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ecorlouer\Documents\AA_FICHIERS_ELABORATION_IPC\Actualisation_2019_N\R2015\"/>
    </mc:Choice>
  </mc:AlternateContent>
  <bookViews>
    <workbookView xWindow="0" yWindow="0" windowWidth="28800" windowHeight="11700"/>
  </bookViews>
  <sheets>
    <sheet name="Feuil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B176" i="1" l="1"/>
  <c r="AB168" i="1"/>
  <c r="G209" i="1" l="1"/>
  <c r="G212" i="1"/>
  <c r="U292" i="1" l="1"/>
  <c r="U269" i="1"/>
  <c r="U246" i="1"/>
  <c r="U225" i="1"/>
  <c r="U188" i="1"/>
  <c r="U131" i="1"/>
  <c r="U19" i="1"/>
  <c r="Q301" i="1"/>
  <c r="R301" i="1" s="1"/>
  <c r="S301" i="1" s="1"/>
  <c r="Q300" i="1"/>
  <c r="R300" i="1" s="1"/>
  <c r="S300" i="1" s="1"/>
  <c r="Q299" i="1"/>
  <c r="R299" i="1" s="1"/>
  <c r="S299" i="1" s="1"/>
  <c r="Q298" i="1"/>
  <c r="R298" i="1" s="1"/>
  <c r="S298" i="1" s="1"/>
  <c r="S297" i="1"/>
  <c r="R297" i="1"/>
  <c r="Q297" i="1"/>
  <c r="R296" i="1"/>
  <c r="S296" i="1" s="1"/>
  <c r="Q296" i="1"/>
  <c r="Q295" i="1"/>
  <c r="R295" i="1" s="1"/>
  <c r="S295" i="1" s="1"/>
  <c r="S294" i="1"/>
  <c r="R294" i="1"/>
  <c r="Q294" i="1"/>
  <c r="Q293" i="1"/>
  <c r="R293" i="1" s="1"/>
  <c r="S293" i="1" s="1"/>
  <c r="Q292" i="1"/>
  <c r="R292" i="1" s="1"/>
  <c r="S292" i="1" s="1"/>
  <c r="Q291" i="1"/>
  <c r="R291" i="1" s="1"/>
  <c r="S291" i="1" s="1"/>
  <c r="Q290" i="1"/>
  <c r="R290" i="1" s="1"/>
  <c r="S290" i="1" s="1"/>
  <c r="Q289" i="1"/>
  <c r="R289" i="1" s="1"/>
  <c r="S289" i="1" s="1"/>
  <c r="Q288" i="1"/>
  <c r="R288" i="1" s="1"/>
  <c r="S288" i="1" s="1"/>
  <c r="R287" i="1"/>
  <c r="S287" i="1" s="1"/>
  <c r="Q287" i="1"/>
  <c r="Q286" i="1"/>
  <c r="R286" i="1" s="1"/>
  <c r="S286" i="1" s="1"/>
  <c r="Y285" i="1"/>
  <c r="Y286" i="1" s="1"/>
  <c r="Y287" i="1" s="1"/>
  <c r="Y288" i="1" s="1"/>
  <c r="Y289" i="1" s="1"/>
  <c r="Y290" i="1" s="1"/>
  <c r="Y291" i="1" s="1"/>
  <c r="Y292" i="1" s="1"/>
  <c r="Y293" i="1" s="1"/>
  <c r="Y294" i="1" s="1"/>
  <c r="Y295" i="1" s="1"/>
  <c r="Y296" i="1" s="1"/>
  <c r="Y297" i="1" s="1"/>
  <c r="Y298" i="1" s="1"/>
  <c r="Y299" i="1" s="1"/>
  <c r="Y300" i="1" s="1"/>
  <c r="Y301" i="1" s="1"/>
  <c r="R285" i="1"/>
  <c r="S285" i="1" s="1"/>
  <c r="Q285" i="1"/>
  <c r="Q284" i="1"/>
  <c r="R284" i="1" s="1"/>
  <c r="S284" i="1" s="1"/>
  <c r="I284" i="1"/>
  <c r="H284" i="1"/>
  <c r="H285" i="1" s="1"/>
  <c r="H286" i="1" s="1"/>
  <c r="H287" i="1" s="1"/>
  <c r="H288" i="1" s="1"/>
  <c r="H289" i="1" s="1"/>
  <c r="H290" i="1" s="1"/>
  <c r="H291" i="1" s="1"/>
  <c r="H292" i="1" s="1"/>
  <c r="H293" i="1" s="1"/>
  <c r="H294" i="1" s="1"/>
  <c r="H295" i="1" s="1"/>
  <c r="H296" i="1" s="1"/>
  <c r="H297" i="1" s="1"/>
  <c r="H298" i="1" s="1"/>
  <c r="H299" i="1" s="1"/>
  <c r="H300" i="1" s="1"/>
  <c r="H301" i="1" s="1"/>
  <c r="Q283" i="1"/>
  <c r="R283" i="1" s="1"/>
  <c r="S283" i="1" s="1"/>
  <c r="Z282" i="1"/>
  <c r="Q282" i="1"/>
  <c r="R282" i="1" s="1"/>
  <c r="S282" i="1" s="1"/>
  <c r="I282" i="1"/>
  <c r="Y281" i="1"/>
  <c r="Y282" i="1" s="1"/>
  <c r="Y283" i="1" s="1"/>
  <c r="Y284" i="1" s="1"/>
  <c r="Q281" i="1"/>
  <c r="R281" i="1" s="1"/>
  <c r="S281" i="1" s="1"/>
  <c r="H281" i="1"/>
  <c r="H282" i="1" s="1"/>
  <c r="H283" i="1" s="1"/>
  <c r="Y280" i="1"/>
  <c r="Q280" i="1"/>
  <c r="R280" i="1" s="1"/>
  <c r="S280" i="1" s="1"/>
  <c r="I280" i="1"/>
  <c r="H280" i="1"/>
  <c r="S279" i="1"/>
  <c r="Q279" i="1"/>
  <c r="R279" i="1" s="1"/>
  <c r="Q278" i="1"/>
  <c r="R278" i="1" s="1"/>
  <c r="S278" i="1" s="1"/>
  <c r="S277" i="1"/>
  <c r="Q277" i="1"/>
  <c r="R277" i="1" s="1"/>
  <c r="Q276" i="1"/>
  <c r="R276" i="1" s="1"/>
  <c r="S276" i="1" s="1"/>
  <c r="Q275" i="1"/>
  <c r="R275" i="1" s="1"/>
  <c r="S275" i="1" s="1"/>
  <c r="Q274" i="1"/>
  <c r="R274" i="1" s="1"/>
  <c r="S274" i="1" s="1"/>
  <c r="Q273" i="1"/>
  <c r="R273" i="1" s="1"/>
  <c r="S273" i="1" s="1"/>
  <c r="S272" i="1"/>
  <c r="R272" i="1"/>
  <c r="Q272" i="1"/>
  <c r="R271" i="1"/>
  <c r="S271" i="1" s="1"/>
  <c r="Q271" i="1"/>
  <c r="Q270" i="1"/>
  <c r="R270" i="1" s="1"/>
  <c r="S270" i="1" s="1"/>
  <c r="S269" i="1"/>
  <c r="Q269" i="1"/>
  <c r="R269" i="1" s="1"/>
  <c r="Q268" i="1"/>
  <c r="R268" i="1" s="1"/>
  <c r="S268" i="1" s="1"/>
  <c r="S267" i="1"/>
  <c r="R267" i="1"/>
  <c r="Q267" i="1"/>
  <c r="Q266" i="1"/>
  <c r="R266" i="1" s="1"/>
  <c r="S266" i="1" s="1"/>
  <c r="Q265" i="1"/>
  <c r="R265" i="1" s="1"/>
  <c r="S265" i="1" s="1"/>
  <c r="R264" i="1"/>
  <c r="S264" i="1" s="1"/>
  <c r="Q264" i="1"/>
  <c r="Q263" i="1"/>
  <c r="R263" i="1" s="1"/>
  <c r="S263" i="1" s="1"/>
  <c r="Q262" i="1"/>
  <c r="R262" i="1" s="1"/>
  <c r="S262" i="1" s="1"/>
  <c r="I262" i="1"/>
  <c r="Q261" i="1"/>
  <c r="R261" i="1" s="1"/>
  <c r="S261" i="1" s="1"/>
  <c r="Z260" i="1"/>
  <c r="Q260" i="1"/>
  <c r="R260" i="1" s="1"/>
  <c r="S260" i="1" s="1"/>
  <c r="I260" i="1"/>
  <c r="Q259" i="1"/>
  <c r="R259" i="1" s="1"/>
  <c r="S259" i="1" s="1"/>
  <c r="Y258" i="1"/>
  <c r="Y259" i="1" s="1"/>
  <c r="Y260" i="1" s="1"/>
  <c r="Y261" i="1" s="1"/>
  <c r="Y262" i="1" s="1"/>
  <c r="Y263" i="1" s="1"/>
  <c r="Y264" i="1" s="1"/>
  <c r="Y265" i="1" s="1"/>
  <c r="Y266" i="1" s="1"/>
  <c r="Y267" i="1" s="1"/>
  <c r="Y268" i="1" s="1"/>
  <c r="Y269" i="1" s="1"/>
  <c r="Y270" i="1" s="1"/>
  <c r="Y271" i="1" s="1"/>
  <c r="Y272" i="1" s="1"/>
  <c r="Y273" i="1" s="1"/>
  <c r="Y274" i="1" s="1"/>
  <c r="Y275" i="1" s="1"/>
  <c r="Y276" i="1" s="1"/>
  <c r="Y277" i="1" s="1"/>
  <c r="Y278" i="1" s="1"/>
  <c r="S258" i="1"/>
  <c r="R258" i="1"/>
  <c r="Q258" i="1"/>
  <c r="I258" i="1"/>
  <c r="H258" i="1"/>
  <c r="H259" i="1" s="1"/>
  <c r="H260" i="1" s="1"/>
  <c r="H261" i="1" s="1"/>
  <c r="H262" i="1" s="1"/>
  <c r="H263" i="1" s="1"/>
  <c r="H264" i="1" s="1"/>
  <c r="H265" i="1" s="1"/>
  <c r="H266" i="1" s="1"/>
  <c r="H267" i="1" s="1"/>
  <c r="H268" i="1" s="1"/>
  <c r="H269" i="1" s="1"/>
  <c r="H270" i="1" s="1"/>
  <c r="H271" i="1" s="1"/>
  <c r="H272" i="1" s="1"/>
  <c r="H273" i="1" s="1"/>
  <c r="H274" i="1" s="1"/>
  <c r="H275" i="1" s="1"/>
  <c r="H276" i="1" s="1"/>
  <c r="H277" i="1" s="1"/>
  <c r="H278" i="1" s="1"/>
  <c r="R257" i="1"/>
  <c r="S257" i="1" s="1"/>
  <c r="Q257" i="1"/>
  <c r="R256" i="1"/>
  <c r="S256" i="1" s="1"/>
  <c r="R255" i="1"/>
  <c r="S255" i="1" s="1"/>
  <c r="S254" i="1"/>
  <c r="R254" i="1"/>
  <c r="R253" i="1"/>
  <c r="S253" i="1" s="1"/>
  <c r="R252" i="1"/>
  <c r="S252" i="1" s="1"/>
  <c r="R251" i="1"/>
  <c r="S251" i="1" s="1"/>
  <c r="S250" i="1"/>
  <c r="R250" i="1"/>
  <c r="R249" i="1"/>
  <c r="S249" i="1" s="1"/>
  <c r="R248" i="1"/>
  <c r="S248" i="1" s="1"/>
  <c r="R247" i="1"/>
  <c r="S247" i="1" s="1"/>
  <c r="S246" i="1"/>
  <c r="R246" i="1"/>
  <c r="R245" i="1"/>
  <c r="S245" i="1" s="1"/>
  <c r="H245" i="1"/>
  <c r="H246" i="1" s="1"/>
  <c r="H247" i="1" s="1"/>
  <c r="H248" i="1" s="1"/>
  <c r="H249" i="1" s="1"/>
  <c r="H250" i="1" s="1"/>
  <c r="H251" i="1" s="1"/>
  <c r="H252" i="1" s="1"/>
  <c r="H253" i="1" s="1"/>
  <c r="H254" i="1" s="1"/>
  <c r="H255" i="1" s="1"/>
  <c r="H256" i="1" s="1"/>
  <c r="R244" i="1"/>
  <c r="S244" i="1" s="1"/>
  <c r="R243" i="1"/>
  <c r="S243" i="1" s="1"/>
  <c r="R242" i="1"/>
  <c r="S242" i="1" s="1"/>
  <c r="R241" i="1"/>
  <c r="S241" i="1" s="1"/>
  <c r="R240" i="1"/>
  <c r="S240" i="1" s="1"/>
  <c r="R239" i="1"/>
  <c r="S239" i="1" s="1"/>
  <c r="H239" i="1"/>
  <c r="H240" i="1" s="1"/>
  <c r="H241" i="1" s="1"/>
  <c r="H242" i="1" s="1"/>
  <c r="H243" i="1" s="1"/>
  <c r="H244" i="1" s="1"/>
  <c r="S238" i="1"/>
  <c r="R238" i="1"/>
  <c r="I238" i="1"/>
  <c r="R237" i="1"/>
  <c r="S237" i="1" s="1"/>
  <c r="Z236" i="1"/>
  <c r="R236" i="1"/>
  <c r="S236" i="1" s="1"/>
  <c r="I236" i="1"/>
  <c r="R235" i="1"/>
  <c r="S235" i="1" s="1"/>
  <c r="Y234" i="1"/>
  <c r="Y235" i="1" s="1"/>
  <c r="Y236" i="1" s="1"/>
  <c r="Y237" i="1" s="1"/>
  <c r="Y238" i="1" s="1"/>
  <c r="Y239" i="1" s="1"/>
  <c r="Y240" i="1" s="1"/>
  <c r="Y241" i="1" s="1"/>
  <c r="Y242" i="1" s="1"/>
  <c r="Y243" i="1" s="1"/>
  <c r="Y244" i="1" s="1"/>
  <c r="Y245" i="1" s="1"/>
  <c r="Y246" i="1" s="1"/>
  <c r="Y247" i="1" s="1"/>
  <c r="Y248" i="1" s="1"/>
  <c r="Y249" i="1" s="1"/>
  <c r="Y250" i="1" s="1"/>
  <c r="Y251" i="1" s="1"/>
  <c r="Y252" i="1" s="1"/>
  <c r="Y253" i="1" s="1"/>
  <c r="Y254" i="1" s="1"/>
  <c r="Y255" i="1" s="1"/>
  <c r="Y256" i="1" s="1"/>
  <c r="S234" i="1"/>
  <c r="R234" i="1"/>
  <c r="I234" i="1"/>
  <c r="H234" i="1"/>
  <c r="H235" i="1" s="1"/>
  <c r="H236" i="1" s="1"/>
  <c r="H237" i="1" s="1"/>
  <c r="H238" i="1" s="1"/>
  <c r="S233" i="1"/>
  <c r="R233" i="1"/>
  <c r="S232" i="1"/>
  <c r="R232" i="1"/>
  <c r="S231" i="1"/>
  <c r="R231" i="1"/>
  <c r="S230" i="1"/>
  <c r="R230" i="1"/>
  <c r="R229" i="1"/>
  <c r="S229" i="1" s="1"/>
  <c r="S228" i="1"/>
  <c r="R228" i="1"/>
  <c r="S227" i="1"/>
  <c r="R227" i="1"/>
  <c r="H227" i="1"/>
  <c r="H228" i="1" s="1"/>
  <c r="H229" i="1" s="1"/>
  <c r="H230" i="1" s="1"/>
  <c r="H231" i="1" s="1"/>
  <c r="H232" i="1" s="1"/>
  <c r="S226" i="1"/>
  <c r="R226" i="1"/>
  <c r="R225" i="1"/>
  <c r="S225" i="1" s="1"/>
  <c r="S224" i="1"/>
  <c r="R224" i="1"/>
  <c r="R223" i="1"/>
  <c r="S223" i="1" s="1"/>
  <c r="R222" i="1"/>
  <c r="S222" i="1" s="1"/>
  <c r="S221" i="1"/>
  <c r="R221" i="1"/>
  <c r="S220" i="1"/>
  <c r="R220" i="1"/>
  <c r="H220" i="1"/>
  <c r="H221" i="1" s="1"/>
  <c r="H222" i="1" s="1"/>
  <c r="H223" i="1" s="1"/>
  <c r="H224" i="1" s="1"/>
  <c r="H225" i="1" s="1"/>
  <c r="H226" i="1" s="1"/>
  <c r="R219" i="1"/>
  <c r="S219" i="1" s="1"/>
  <c r="S218" i="1"/>
  <c r="R218" i="1"/>
  <c r="Y217" i="1"/>
  <c r="Y218" i="1" s="1"/>
  <c r="Y219" i="1" s="1"/>
  <c r="Y220" i="1" s="1"/>
  <c r="Y221" i="1" s="1"/>
  <c r="Y222" i="1" s="1"/>
  <c r="Y223" i="1" s="1"/>
  <c r="Y224" i="1" s="1"/>
  <c r="Y225" i="1" s="1"/>
  <c r="Y226" i="1" s="1"/>
  <c r="Y227" i="1" s="1"/>
  <c r="Y228" i="1" s="1"/>
  <c r="Y229" i="1" s="1"/>
  <c r="Y230" i="1" s="1"/>
  <c r="Y231" i="1" s="1"/>
  <c r="Y232" i="1" s="1"/>
  <c r="R217" i="1"/>
  <c r="S217" i="1" s="1"/>
  <c r="I217" i="1"/>
  <c r="S216" i="1"/>
  <c r="R216" i="1"/>
  <c r="Z215" i="1"/>
  <c r="R215" i="1"/>
  <c r="S215" i="1" s="1"/>
  <c r="I215" i="1"/>
  <c r="Y214" i="1"/>
  <c r="Y215" i="1" s="1"/>
  <c r="Y216" i="1" s="1"/>
  <c r="S214" i="1"/>
  <c r="R214" i="1"/>
  <c r="H214" i="1"/>
  <c r="H215" i="1" s="1"/>
  <c r="H216" i="1" s="1"/>
  <c r="H217" i="1" s="1"/>
  <c r="H218" i="1" s="1"/>
  <c r="H219" i="1" s="1"/>
  <c r="Y213" i="1"/>
  <c r="S213" i="1"/>
  <c r="R213" i="1"/>
  <c r="I213" i="1"/>
  <c r="H213" i="1"/>
  <c r="R212" i="1"/>
  <c r="S212" i="1" s="1"/>
  <c r="R211" i="1"/>
  <c r="S211" i="1" s="1"/>
  <c r="Q211" i="1"/>
  <c r="Q210" i="1"/>
  <c r="R210" i="1" s="1"/>
  <c r="S210" i="1" s="1"/>
  <c r="Q209" i="1"/>
  <c r="R209" i="1" s="1"/>
  <c r="S209" i="1" s="1"/>
  <c r="S208" i="1"/>
  <c r="Q208" i="1"/>
  <c r="R208" i="1" s="1"/>
  <c r="R207" i="1"/>
  <c r="S207" i="1" s="1"/>
  <c r="Q207" i="1"/>
  <c r="S206" i="1"/>
  <c r="R206" i="1"/>
  <c r="Q206" i="1"/>
  <c r="R205" i="1"/>
  <c r="S205" i="1" s="1"/>
  <c r="Q205" i="1"/>
  <c r="Q204" i="1"/>
  <c r="R204" i="1" s="1"/>
  <c r="S204" i="1" s="1"/>
  <c r="R203" i="1"/>
  <c r="S203" i="1" s="1"/>
  <c r="Q203" i="1"/>
  <c r="Q202" i="1"/>
  <c r="R202" i="1" s="1"/>
  <c r="S202" i="1" s="1"/>
  <c r="Q201" i="1"/>
  <c r="R201" i="1" s="1"/>
  <c r="S201" i="1" s="1"/>
  <c r="S200" i="1"/>
  <c r="Q200" i="1"/>
  <c r="R200" i="1" s="1"/>
  <c r="R199" i="1"/>
  <c r="S199" i="1" s="1"/>
  <c r="Q199" i="1"/>
  <c r="S198" i="1"/>
  <c r="R198" i="1"/>
  <c r="Q198" i="1"/>
  <c r="R197" i="1"/>
  <c r="S197" i="1" s="1"/>
  <c r="Q197" i="1"/>
  <c r="Q196" i="1"/>
  <c r="R196" i="1" s="1"/>
  <c r="S196" i="1" s="1"/>
  <c r="R195" i="1"/>
  <c r="S195" i="1" s="1"/>
  <c r="Q195" i="1"/>
  <c r="Q194" i="1"/>
  <c r="R194" i="1" s="1"/>
  <c r="S194" i="1" s="1"/>
  <c r="R193" i="1"/>
  <c r="S193" i="1" s="1"/>
  <c r="Q193" i="1"/>
  <c r="S192" i="1"/>
  <c r="Q192" i="1"/>
  <c r="R192" i="1" s="1"/>
  <c r="R191" i="1"/>
  <c r="S191" i="1" s="1"/>
  <c r="Q191" i="1"/>
  <c r="Q190" i="1"/>
  <c r="R190" i="1" s="1"/>
  <c r="S190" i="1" s="1"/>
  <c r="R189" i="1"/>
  <c r="S189" i="1" s="1"/>
  <c r="Q189" i="1"/>
  <c r="S188" i="1"/>
  <c r="Q188" i="1"/>
  <c r="R188" i="1" s="1"/>
  <c r="R187" i="1"/>
  <c r="S187" i="1" s="1"/>
  <c r="Q187" i="1"/>
  <c r="Q186" i="1"/>
  <c r="R186" i="1" s="1"/>
  <c r="S186" i="1" s="1"/>
  <c r="Q185" i="1"/>
  <c r="R185" i="1" s="1"/>
  <c r="S185" i="1" s="1"/>
  <c r="Q184" i="1"/>
  <c r="R184" i="1" s="1"/>
  <c r="S184" i="1" s="1"/>
  <c r="Q183" i="1"/>
  <c r="R183" i="1" s="1"/>
  <c r="S183" i="1" s="1"/>
  <c r="S182" i="1"/>
  <c r="Q182" i="1"/>
  <c r="R182" i="1" s="1"/>
  <c r="R181" i="1"/>
  <c r="S181" i="1" s="1"/>
  <c r="Q181" i="1"/>
  <c r="O181" i="1"/>
  <c r="O182" i="1" s="1"/>
  <c r="O183" i="1" s="1"/>
  <c r="O184" i="1" s="1"/>
  <c r="O185" i="1" s="1"/>
  <c r="O186" i="1" s="1"/>
  <c r="O187" i="1" s="1"/>
  <c r="O188" i="1" s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O207" i="1" s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O226" i="1" s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O247" i="1" s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O268" i="1" s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O291" i="1" s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R180" i="1"/>
  <c r="S180" i="1" s="1"/>
  <c r="Q180" i="1"/>
  <c r="I180" i="1"/>
  <c r="Q179" i="1"/>
  <c r="R179" i="1" s="1"/>
  <c r="S179" i="1" s="1"/>
  <c r="O179" i="1"/>
  <c r="O180" i="1" s="1"/>
  <c r="Z178" i="1"/>
  <c r="S178" i="1"/>
  <c r="R178" i="1"/>
  <c r="Q178" i="1"/>
  <c r="I178" i="1"/>
  <c r="Y177" i="1"/>
  <c r="Y178" i="1" s="1"/>
  <c r="Y179" i="1" s="1"/>
  <c r="Y180" i="1" s="1"/>
  <c r="Y181" i="1" s="1"/>
  <c r="Y182" i="1" s="1"/>
  <c r="Y183" i="1" s="1"/>
  <c r="Y184" i="1" s="1"/>
  <c r="Y185" i="1" s="1"/>
  <c r="Y186" i="1" s="1"/>
  <c r="Y187" i="1" s="1"/>
  <c r="Y188" i="1" s="1"/>
  <c r="Y189" i="1" s="1"/>
  <c r="Y190" i="1" s="1"/>
  <c r="Y191" i="1" s="1"/>
  <c r="Y192" i="1" s="1"/>
  <c r="Y193" i="1" s="1"/>
  <c r="Y194" i="1" s="1"/>
  <c r="Y195" i="1" s="1"/>
  <c r="Y196" i="1" s="1"/>
  <c r="Y197" i="1" s="1"/>
  <c r="Y198" i="1" s="1"/>
  <c r="Y199" i="1" s="1"/>
  <c r="Y200" i="1" s="1"/>
  <c r="Y201" i="1" s="1"/>
  <c r="Y202" i="1" s="1"/>
  <c r="Y203" i="1" s="1"/>
  <c r="Y204" i="1" s="1"/>
  <c r="Y205" i="1" s="1"/>
  <c r="Y206" i="1" s="1"/>
  <c r="Y207" i="1" s="1"/>
  <c r="Y208" i="1" s="1"/>
  <c r="Y209" i="1" s="1"/>
  <c r="Y210" i="1" s="1"/>
  <c r="Y211" i="1" s="1"/>
  <c r="Q177" i="1"/>
  <c r="R177" i="1" s="1"/>
  <c r="S177" i="1" s="1"/>
  <c r="O177" i="1"/>
  <c r="H177" i="1"/>
  <c r="H178" i="1" s="1"/>
  <c r="H179" i="1" s="1"/>
  <c r="H180" i="1" s="1"/>
  <c r="H181" i="1" s="1"/>
  <c r="H182" i="1" s="1"/>
  <c r="H183" i="1" s="1"/>
  <c r="H184" i="1" s="1"/>
  <c r="H185" i="1" s="1"/>
  <c r="H186" i="1" s="1"/>
  <c r="H187" i="1" s="1"/>
  <c r="H188" i="1" s="1"/>
  <c r="H189" i="1" s="1"/>
  <c r="H190" i="1" s="1"/>
  <c r="H191" i="1" s="1"/>
  <c r="H192" i="1" s="1"/>
  <c r="H193" i="1" s="1"/>
  <c r="H194" i="1" s="1"/>
  <c r="H195" i="1" s="1"/>
  <c r="H196" i="1" s="1"/>
  <c r="H197" i="1" s="1"/>
  <c r="H198" i="1" s="1"/>
  <c r="H199" i="1" s="1"/>
  <c r="H200" i="1" s="1"/>
  <c r="H201" i="1" s="1"/>
  <c r="H202" i="1" s="1"/>
  <c r="H203" i="1" s="1"/>
  <c r="H204" i="1" s="1"/>
  <c r="H205" i="1" s="1"/>
  <c r="H206" i="1" s="1"/>
  <c r="H207" i="1" s="1"/>
  <c r="H208" i="1" s="1"/>
  <c r="H209" i="1" s="1"/>
  <c r="H210" i="1" s="1"/>
  <c r="H211" i="1" s="1"/>
  <c r="Y176" i="1"/>
  <c r="Q176" i="1"/>
  <c r="R176" i="1" s="1"/>
  <c r="S176" i="1" s="1"/>
  <c r="H176" i="1"/>
  <c r="R175" i="1"/>
  <c r="S175" i="1" s="1"/>
  <c r="Q175" i="1"/>
  <c r="S174" i="1"/>
  <c r="R174" i="1"/>
  <c r="S173" i="1"/>
  <c r="R173" i="1"/>
  <c r="R172" i="1"/>
  <c r="S172" i="1" s="1"/>
  <c r="R171" i="1"/>
  <c r="S171" i="1" s="1"/>
  <c r="O171" i="1"/>
  <c r="S170" i="1"/>
  <c r="R170" i="1"/>
  <c r="R169" i="1"/>
  <c r="S169" i="1" s="1"/>
  <c r="S168" i="1"/>
  <c r="R168" i="1"/>
  <c r="O168" i="1"/>
  <c r="S167" i="1"/>
  <c r="R167" i="1"/>
  <c r="O167" i="1"/>
  <c r="R166" i="1"/>
  <c r="S166" i="1" s="1"/>
  <c r="R165" i="1"/>
  <c r="S165" i="1" s="1"/>
  <c r="O165" i="1"/>
  <c r="R164" i="1"/>
  <c r="S164" i="1" s="1"/>
  <c r="R163" i="1"/>
  <c r="S163" i="1" s="1"/>
  <c r="R162" i="1"/>
  <c r="S162" i="1" s="1"/>
  <c r="R161" i="1"/>
  <c r="S161" i="1" s="1"/>
  <c r="R160" i="1"/>
  <c r="S160" i="1" s="1"/>
  <c r="R159" i="1"/>
  <c r="S159" i="1" s="1"/>
  <c r="S158" i="1"/>
  <c r="R158" i="1"/>
  <c r="R157" i="1"/>
  <c r="S157" i="1" s="1"/>
  <c r="R156" i="1"/>
  <c r="S156" i="1" s="1"/>
  <c r="R155" i="1"/>
  <c r="S155" i="1" s="1"/>
  <c r="O155" i="1"/>
  <c r="O156" i="1" s="1"/>
  <c r="O157" i="1" s="1"/>
  <c r="O158" i="1" s="1"/>
  <c r="O159" i="1" s="1"/>
  <c r="O160" i="1" s="1"/>
  <c r="O161" i="1" s="1"/>
  <c r="O162" i="1" s="1"/>
  <c r="S154" i="1"/>
  <c r="R154" i="1"/>
  <c r="R153" i="1"/>
  <c r="S153" i="1" s="1"/>
  <c r="R152" i="1"/>
  <c r="S152" i="1" s="1"/>
  <c r="R151" i="1"/>
  <c r="S151" i="1" s="1"/>
  <c r="O151" i="1"/>
  <c r="O152" i="1" s="1"/>
  <c r="O153" i="1" s="1"/>
  <c r="O154" i="1" s="1"/>
  <c r="S150" i="1"/>
  <c r="R150" i="1"/>
  <c r="S149" i="1"/>
  <c r="R149" i="1"/>
  <c r="R148" i="1"/>
  <c r="S148" i="1" s="1"/>
  <c r="S147" i="1"/>
  <c r="R147" i="1"/>
  <c r="S146" i="1"/>
  <c r="R146" i="1"/>
  <c r="R145" i="1"/>
  <c r="S145" i="1" s="1"/>
  <c r="S144" i="1"/>
  <c r="R144" i="1"/>
  <c r="S143" i="1"/>
  <c r="R143" i="1"/>
  <c r="S142" i="1"/>
  <c r="R142" i="1"/>
  <c r="S141" i="1"/>
  <c r="R141" i="1"/>
  <c r="S140" i="1"/>
  <c r="R140" i="1"/>
  <c r="S139" i="1"/>
  <c r="R139" i="1"/>
  <c r="O139" i="1"/>
  <c r="O140" i="1" s="1"/>
  <c r="O141" i="1" s="1"/>
  <c r="O142" i="1" s="1"/>
  <c r="O143" i="1" s="1"/>
  <c r="O144" i="1" s="1"/>
  <c r="O145" i="1" s="1"/>
  <c r="O146" i="1" s="1"/>
  <c r="O147" i="1" s="1"/>
  <c r="S138" i="1"/>
  <c r="R138" i="1"/>
  <c r="O138" i="1"/>
  <c r="R137" i="1"/>
  <c r="S137" i="1" s="1"/>
  <c r="R136" i="1"/>
  <c r="S136" i="1" s="1"/>
  <c r="S135" i="1"/>
  <c r="R135" i="1"/>
  <c r="R134" i="1"/>
  <c r="S134" i="1" s="1"/>
  <c r="S133" i="1"/>
  <c r="R133" i="1"/>
  <c r="S132" i="1"/>
  <c r="R132" i="1"/>
  <c r="S131" i="1"/>
  <c r="R131" i="1"/>
  <c r="S130" i="1"/>
  <c r="R130" i="1"/>
  <c r="S129" i="1"/>
  <c r="R129" i="1"/>
  <c r="S128" i="1"/>
  <c r="R128" i="1"/>
  <c r="S127" i="1"/>
  <c r="R127" i="1"/>
  <c r="R126" i="1"/>
  <c r="S126" i="1" s="1"/>
  <c r="S125" i="1"/>
  <c r="R125" i="1"/>
  <c r="R124" i="1"/>
  <c r="S124" i="1" s="1"/>
  <c r="S123" i="1"/>
  <c r="R123" i="1"/>
  <c r="R122" i="1"/>
  <c r="S122" i="1" s="1"/>
  <c r="S121" i="1"/>
  <c r="R121" i="1"/>
  <c r="I121" i="1"/>
  <c r="G121" i="1"/>
  <c r="G122" i="1" s="1"/>
  <c r="G123" i="1" s="1"/>
  <c r="G124" i="1" s="1"/>
  <c r="G125" i="1" s="1"/>
  <c r="G126" i="1" s="1"/>
  <c r="G127" i="1" s="1"/>
  <c r="G128" i="1" s="1"/>
  <c r="G129" i="1" s="1"/>
  <c r="G130" i="1" s="1"/>
  <c r="G131" i="1" s="1"/>
  <c r="G132" i="1" s="1"/>
  <c r="G133" i="1" s="1"/>
  <c r="G134" i="1" s="1"/>
  <c r="G135" i="1" s="1"/>
  <c r="G136" i="1" s="1"/>
  <c r="G137" i="1" s="1"/>
  <c r="G138" i="1" s="1"/>
  <c r="G139" i="1" s="1"/>
  <c r="G140" i="1" s="1"/>
  <c r="G141" i="1" s="1"/>
  <c r="G142" i="1" s="1"/>
  <c r="G143" i="1" s="1"/>
  <c r="G144" i="1" s="1"/>
  <c r="G145" i="1" s="1"/>
  <c r="G146" i="1" s="1"/>
  <c r="G147" i="1" s="1"/>
  <c r="G148" i="1" s="1"/>
  <c r="G149" i="1" s="1"/>
  <c r="G150" i="1" s="1"/>
  <c r="G151" i="1" s="1"/>
  <c r="G152" i="1" s="1"/>
  <c r="G153" i="1" s="1"/>
  <c r="G154" i="1" s="1"/>
  <c r="G155" i="1" s="1"/>
  <c r="G156" i="1" s="1"/>
  <c r="G157" i="1" s="1"/>
  <c r="G158" i="1" s="1"/>
  <c r="G159" i="1" s="1"/>
  <c r="G160" i="1" s="1"/>
  <c r="G161" i="1" s="1"/>
  <c r="G162" i="1" s="1"/>
  <c r="G163" i="1" s="1"/>
  <c r="G164" i="1" s="1"/>
  <c r="G165" i="1" s="1"/>
  <c r="G166" i="1" s="1"/>
  <c r="G167" i="1" s="1"/>
  <c r="G168" i="1" s="1"/>
  <c r="G169" i="1" s="1"/>
  <c r="G170" i="1" s="1"/>
  <c r="G171" i="1" s="1"/>
  <c r="G172" i="1" s="1"/>
  <c r="G173" i="1" s="1"/>
  <c r="G174" i="1" s="1"/>
  <c r="G175" i="1" s="1"/>
  <c r="G176" i="1" s="1"/>
  <c r="G177" i="1" s="1"/>
  <c r="G178" i="1" s="1"/>
  <c r="G179" i="1" s="1"/>
  <c r="G180" i="1" s="1"/>
  <c r="G181" i="1" s="1"/>
  <c r="G182" i="1" s="1"/>
  <c r="G183" i="1" s="1"/>
  <c r="G184" i="1" s="1"/>
  <c r="G185" i="1" s="1"/>
  <c r="G186" i="1" s="1"/>
  <c r="G187" i="1" s="1"/>
  <c r="G188" i="1" s="1"/>
  <c r="G189" i="1" s="1"/>
  <c r="G190" i="1" s="1"/>
  <c r="G191" i="1" s="1"/>
  <c r="G192" i="1" s="1"/>
  <c r="G193" i="1" s="1"/>
  <c r="G194" i="1" s="1"/>
  <c r="G195" i="1" s="1"/>
  <c r="G196" i="1" s="1"/>
  <c r="G197" i="1" s="1"/>
  <c r="G198" i="1" s="1"/>
  <c r="G199" i="1" s="1"/>
  <c r="G200" i="1" s="1"/>
  <c r="G201" i="1" s="1"/>
  <c r="G202" i="1" s="1"/>
  <c r="G203" i="1" s="1"/>
  <c r="G204" i="1" s="1"/>
  <c r="G205" i="1" s="1"/>
  <c r="G206" i="1" s="1"/>
  <c r="G207" i="1" s="1"/>
  <c r="G208" i="1" s="1"/>
  <c r="G210" i="1" s="1"/>
  <c r="G211" i="1" s="1"/>
  <c r="G213" i="1" s="1"/>
  <c r="G214" i="1" s="1"/>
  <c r="G215" i="1" s="1"/>
  <c r="G216" i="1" s="1"/>
  <c r="G217" i="1" s="1"/>
  <c r="G218" i="1" s="1"/>
  <c r="G219" i="1" s="1"/>
  <c r="G220" i="1" s="1"/>
  <c r="G221" i="1" s="1"/>
  <c r="G222" i="1" s="1"/>
  <c r="G223" i="1" s="1"/>
  <c r="G224" i="1" s="1"/>
  <c r="G225" i="1" s="1"/>
  <c r="G226" i="1" s="1"/>
  <c r="G227" i="1" s="1"/>
  <c r="G228" i="1" s="1"/>
  <c r="G229" i="1" s="1"/>
  <c r="G230" i="1" s="1"/>
  <c r="G231" i="1" s="1"/>
  <c r="G232" i="1" s="1"/>
  <c r="G233" i="1" s="1"/>
  <c r="G234" i="1" s="1"/>
  <c r="G235" i="1" s="1"/>
  <c r="G236" i="1" s="1"/>
  <c r="G237" i="1" s="1"/>
  <c r="G238" i="1" s="1"/>
  <c r="G239" i="1" s="1"/>
  <c r="G240" i="1" s="1"/>
  <c r="G241" i="1" s="1"/>
  <c r="G242" i="1" s="1"/>
  <c r="G243" i="1" s="1"/>
  <c r="G244" i="1" s="1"/>
  <c r="G245" i="1" s="1"/>
  <c r="G246" i="1" s="1"/>
  <c r="G247" i="1" s="1"/>
  <c r="G248" i="1" s="1"/>
  <c r="G249" i="1" s="1"/>
  <c r="G250" i="1" s="1"/>
  <c r="G251" i="1" s="1"/>
  <c r="G252" i="1" s="1"/>
  <c r="G253" i="1" s="1"/>
  <c r="G254" i="1" s="1"/>
  <c r="G255" i="1" s="1"/>
  <c r="G256" i="1" s="1"/>
  <c r="G257" i="1" s="1"/>
  <c r="G258" i="1" s="1"/>
  <c r="G259" i="1" s="1"/>
  <c r="G260" i="1" s="1"/>
  <c r="G261" i="1" s="1"/>
  <c r="G262" i="1" s="1"/>
  <c r="G263" i="1" s="1"/>
  <c r="G264" i="1" s="1"/>
  <c r="G265" i="1" s="1"/>
  <c r="G266" i="1" s="1"/>
  <c r="G267" i="1" s="1"/>
  <c r="G268" i="1" s="1"/>
  <c r="G269" i="1" s="1"/>
  <c r="G270" i="1" s="1"/>
  <c r="G271" i="1" s="1"/>
  <c r="G272" i="1" s="1"/>
  <c r="G273" i="1" s="1"/>
  <c r="G274" i="1" s="1"/>
  <c r="G275" i="1" s="1"/>
  <c r="G276" i="1" s="1"/>
  <c r="G277" i="1" s="1"/>
  <c r="G278" i="1" s="1"/>
  <c r="G279" i="1" s="1"/>
  <c r="G280" i="1" s="1"/>
  <c r="G281" i="1" s="1"/>
  <c r="G282" i="1" s="1"/>
  <c r="G283" i="1" s="1"/>
  <c r="G284" i="1" s="1"/>
  <c r="G285" i="1" s="1"/>
  <c r="G286" i="1" s="1"/>
  <c r="G287" i="1" s="1"/>
  <c r="G288" i="1" s="1"/>
  <c r="G289" i="1" s="1"/>
  <c r="G290" i="1" s="1"/>
  <c r="G291" i="1" s="1"/>
  <c r="G292" i="1" s="1"/>
  <c r="G293" i="1" s="1"/>
  <c r="G294" i="1" s="1"/>
  <c r="G295" i="1" s="1"/>
  <c r="G296" i="1" s="1"/>
  <c r="G297" i="1" s="1"/>
  <c r="G298" i="1" s="1"/>
  <c r="G299" i="1" s="1"/>
  <c r="G300" i="1" s="1"/>
  <c r="G301" i="1" s="1"/>
  <c r="S120" i="1"/>
  <c r="R120" i="1"/>
  <c r="H120" i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  <c r="H133" i="1" s="1"/>
  <c r="H134" i="1" s="1"/>
  <c r="H135" i="1" s="1"/>
  <c r="H136" i="1" s="1"/>
  <c r="H137" i="1" s="1"/>
  <c r="H138" i="1" s="1"/>
  <c r="H139" i="1" s="1"/>
  <c r="H140" i="1" s="1"/>
  <c r="H141" i="1" s="1"/>
  <c r="H142" i="1" s="1"/>
  <c r="H143" i="1" s="1"/>
  <c r="H144" i="1" s="1"/>
  <c r="H145" i="1" s="1"/>
  <c r="H146" i="1" s="1"/>
  <c r="H147" i="1" s="1"/>
  <c r="H148" i="1" s="1"/>
  <c r="H149" i="1" s="1"/>
  <c r="H150" i="1" s="1"/>
  <c r="H151" i="1" s="1"/>
  <c r="H152" i="1" s="1"/>
  <c r="H153" i="1" s="1"/>
  <c r="H154" i="1" s="1"/>
  <c r="H155" i="1" s="1"/>
  <c r="H156" i="1" s="1"/>
  <c r="H157" i="1" s="1"/>
  <c r="H158" i="1" s="1"/>
  <c r="H159" i="1" s="1"/>
  <c r="H160" i="1" s="1"/>
  <c r="H161" i="1" s="1"/>
  <c r="H162" i="1" s="1"/>
  <c r="H163" i="1" s="1"/>
  <c r="H164" i="1" s="1"/>
  <c r="H165" i="1" s="1"/>
  <c r="H166" i="1" s="1"/>
  <c r="H167" i="1" s="1"/>
  <c r="H168" i="1" s="1"/>
  <c r="H169" i="1" s="1"/>
  <c r="H170" i="1" s="1"/>
  <c r="H171" i="1" s="1"/>
  <c r="H172" i="1" s="1"/>
  <c r="H173" i="1" s="1"/>
  <c r="H174" i="1" s="1"/>
  <c r="G120" i="1"/>
  <c r="Z119" i="1"/>
  <c r="Y119" i="1"/>
  <c r="Y120" i="1" s="1"/>
  <c r="Y121" i="1" s="1"/>
  <c r="Y122" i="1" s="1"/>
  <c r="Y123" i="1" s="1"/>
  <c r="Y124" i="1" s="1"/>
  <c r="Y125" i="1" s="1"/>
  <c r="Y126" i="1" s="1"/>
  <c r="Y127" i="1" s="1"/>
  <c r="Y128" i="1" s="1"/>
  <c r="Y129" i="1" s="1"/>
  <c r="Y130" i="1" s="1"/>
  <c r="Y131" i="1" s="1"/>
  <c r="Y132" i="1" s="1"/>
  <c r="Y133" i="1" s="1"/>
  <c r="Y134" i="1" s="1"/>
  <c r="Y135" i="1" s="1"/>
  <c r="Y136" i="1" s="1"/>
  <c r="Y137" i="1" s="1"/>
  <c r="Y138" i="1" s="1"/>
  <c r="Y139" i="1" s="1"/>
  <c r="Y140" i="1" s="1"/>
  <c r="Y141" i="1" s="1"/>
  <c r="Y142" i="1" s="1"/>
  <c r="Y143" i="1" s="1"/>
  <c r="Y144" i="1" s="1"/>
  <c r="Y145" i="1" s="1"/>
  <c r="Y146" i="1" s="1"/>
  <c r="Y147" i="1" s="1"/>
  <c r="Y148" i="1" s="1"/>
  <c r="Y149" i="1" s="1"/>
  <c r="Y150" i="1" s="1"/>
  <c r="Y151" i="1" s="1"/>
  <c r="Y152" i="1" s="1"/>
  <c r="Y153" i="1" s="1"/>
  <c r="Y154" i="1" s="1"/>
  <c r="Y155" i="1" s="1"/>
  <c r="Y156" i="1" s="1"/>
  <c r="Y157" i="1" s="1"/>
  <c r="Y158" i="1" s="1"/>
  <c r="Y159" i="1" s="1"/>
  <c r="Y160" i="1" s="1"/>
  <c r="Y161" i="1" s="1"/>
  <c r="Y162" i="1" s="1"/>
  <c r="Y163" i="1" s="1"/>
  <c r="Y164" i="1" s="1"/>
  <c r="Y165" i="1" s="1"/>
  <c r="Y166" i="1" s="1"/>
  <c r="Y167" i="1" s="1"/>
  <c r="Y168" i="1" s="1"/>
  <c r="Y169" i="1" s="1"/>
  <c r="Y170" i="1" s="1"/>
  <c r="Y171" i="1" s="1"/>
  <c r="Y172" i="1" s="1"/>
  <c r="Y173" i="1" s="1"/>
  <c r="Y174" i="1" s="1"/>
  <c r="W174" i="1" s="1"/>
  <c r="R119" i="1"/>
  <c r="S119" i="1" s="1"/>
  <c r="I119" i="1"/>
  <c r="R118" i="1"/>
  <c r="S118" i="1" s="1"/>
  <c r="H118" i="1"/>
  <c r="G118" i="1"/>
  <c r="R117" i="1"/>
  <c r="S117" i="1" s="1"/>
  <c r="I117" i="1"/>
  <c r="Y116" i="1"/>
  <c r="Y117" i="1" s="1"/>
  <c r="Y118" i="1" s="1"/>
  <c r="R116" i="1"/>
  <c r="S116" i="1" s="1"/>
  <c r="H116" i="1"/>
  <c r="Q115" i="1"/>
  <c r="R115" i="1" s="1"/>
  <c r="S115" i="1" s="1"/>
  <c r="Q114" i="1"/>
  <c r="R114" i="1" s="1"/>
  <c r="S114" i="1" s="1"/>
  <c r="Q113" i="1"/>
  <c r="R113" i="1" s="1"/>
  <c r="S113" i="1" s="1"/>
  <c r="Q112" i="1"/>
  <c r="R112" i="1" s="1"/>
  <c r="S112" i="1" s="1"/>
  <c r="S111" i="1"/>
  <c r="R111" i="1"/>
  <c r="Q111" i="1"/>
  <c r="Q110" i="1"/>
  <c r="R110" i="1" s="1"/>
  <c r="S110" i="1" s="1"/>
  <c r="Q109" i="1"/>
  <c r="R109" i="1" s="1"/>
  <c r="S109" i="1" s="1"/>
  <c r="S108" i="1"/>
  <c r="R108" i="1"/>
  <c r="Q108" i="1"/>
  <c r="Q107" i="1"/>
  <c r="R107" i="1" s="1"/>
  <c r="S107" i="1" s="1"/>
  <c r="Q106" i="1"/>
  <c r="R106" i="1" s="1"/>
  <c r="S106" i="1" s="1"/>
  <c r="R105" i="1"/>
  <c r="S105" i="1" s="1"/>
  <c r="Q105" i="1"/>
  <c r="Q104" i="1"/>
  <c r="R104" i="1" s="1"/>
  <c r="S104" i="1" s="1"/>
  <c r="S103" i="1"/>
  <c r="R103" i="1"/>
  <c r="Q103" i="1"/>
  <c r="Q102" i="1"/>
  <c r="R102" i="1" s="1"/>
  <c r="S102" i="1" s="1"/>
  <c r="Q101" i="1"/>
  <c r="R101" i="1" s="1"/>
  <c r="S101" i="1" s="1"/>
  <c r="S100" i="1"/>
  <c r="R100" i="1"/>
  <c r="Q100" i="1"/>
  <c r="Q99" i="1"/>
  <c r="R99" i="1" s="1"/>
  <c r="S99" i="1" s="1"/>
  <c r="Q98" i="1"/>
  <c r="R98" i="1" s="1"/>
  <c r="S98" i="1" s="1"/>
  <c r="R97" i="1"/>
  <c r="S97" i="1" s="1"/>
  <c r="Q97" i="1"/>
  <c r="Q96" i="1"/>
  <c r="R96" i="1" s="1"/>
  <c r="S96" i="1" s="1"/>
  <c r="S95" i="1"/>
  <c r="R95" i="1"/>
  <c r="Q95" i="1"/>
  <c r="Q94" i="1"/>
  <c r="R94" i="1" s="1"/>
  <c r="S94" i="1" s="1"/>
  <c r="Q93" i="1"/>
  <c r="R93" i="1" s="1"/>
  <c r="S93" i="1" s="1"/>
  <c r="S92" i="1"/>
  <c r="R92" i="1"/>
  <c r="Q92" i="1"/>
  <c r="R91" i="1"/>
  <c r="S91" i="1" s="1"/>
  <c r="Q91" i="1"/>
  <c r="Q90" i="1"/>
  <c r="R90" i="1" s="1"/>
  <c r="S90" i="1" s="1"/>
  <c r="R89" i="1"/>
  <c r="S89" i="1" s="1"/>
  <c r="Q89" i="1"/>
  <c r="Q88" i="1"/>
  <c r="R88" i="1" s="1"/>
  <c r="S88" i="1" s="1"/>
  <c r="Q87" i="1"/>
  <c r="R87" i="1" s="1"/>
  <c r="S87" i="1" s="1"/>
  <c r="Q86" i="1"/>
  <c r="R86" i="1" s="1"/>
  <c r="S86" i="1" s="1"/>
  <c r="R85" i="1"/>
  <c r="S85" i="1" s="1"/>
  <c r="Q85" i="1"/>
  <c r="Q84" i="1"/>
  <c r="R84" i="1" s="1"/>
  <c r="S84" i="1" s="1"/>
  <c r="R83" i="1"/>
  <c r="S83" i="1" s="1"/>
  <c r="Q83" i="1"/>
  <c r="Q82" i="1"/>
  <c r="R82" i="1" s="1"/>
  <c r="S82" i="1" s="1"/>
  <c r="R81" i="1"/>
  <c r="S81" i="1" s="1"/>
  <c r="Q81" i="1"/>
  <c r="Q80" i="1"/>
  <c r="R80" i="1" s="1"/>
  <c r="S80" i="1" s="1"/>
  <c r="Q79" i="1"/>
  <c r="R79" i="1" s="1"/>
  <c r="S79" i="1" s="1"/>
  <c r="Q78" i="1"/>
  <c r="R78" i="1" s="1"/>
  <c r="S78" i="1" s="1"/>
  <c r="S77" i="1"/>
  <c r="R77" i="1"/>
  <c r="Q77" i="1"/>
  <c r="Q76" i="1"/>
  <c r="R76" i="1" s="1"/>
  <c r="S76" i="1" s="1"/>
  <c r="R75" i="1"/>
  <c r="S75" i="1" s="1"/>
  <c r="Q75" i="1"/>
  <c r="Q74" i="1"/>
  <c r="R74" i="1" s="1"/>
  <c r="S74" i="1" s="1"/>
  <c r="R73" i="1"/>
  <c r="S73" i="1" s="1"/>
  <c r="Q73" i="1"/>
  <c r="Q72" i="1"/>
  <c r="R72" i="1" s="1"/>
  <c r="S72" i="1" s="1"/>
  <c r="Q71" i="1"/>
  <c r="R71" i="1" s="1"/>
  <c r="S71" i="1" s="1"/>
  <c r="Q70" i="1"/>
  <c r="R70" i="1" s="1"/>
  <c r="S70" i="1" s="1"/>
  <c r="S69" i="1"/>
  <c r="R69" i="1"/>
  <c r="Q69" i="1"/>
  <c r="Q68" i="1"/>
  <c r="R68" i="1" s="1"/>
  <c r="S68" i="1" s="1"/>
  <c r="R67" i="1"/>
  <c r="S67" i="1" s="1"/>
  <c r="Q67" i="1"/>
  <c r="Q66" i="1"/>
  <c r="R66" i="1" s="1"/>
  <c r="S66" i="1" s="1"/>
  <c r="R65" i="1"/>
  <c r="S65" i="1" s="1"/>
  <c r="Q65" i="1"/>
  <c r="Q64" i="1"/>
  <c r="R64" i="1" s="1"/>
  <c r="S64" i="1" s="1"/>
  <c r="Q63" i="1"/>
  <c r="R63" i="1" s="1"/>
  <c r="S63" i="1" s="1"/>
  <c r="Q62" i="1"/>
  <c r="R62" i="1" s="1"/>
  <c r="S62" i="1" s="1"/>
  <c r="R61" i="1"/>
  <c r="S61" i="1" s="1"/>
  <c r="Q61" i="1"/>
  <c r="Q60" i="1"/>
  <c r="R60" i="1" s="1"/>
  <c r="S60" i="1" s="1"/>
  <c r="R59" i="1"/>
  <c r="S59" i="1" s="1"/>
  <c r="Q59" i="1"/>
  <c r="Q58" i="1"/>
  <c r="R58" i="1" s="1"/>
  <c r="S58" i="1" s="1"/>
  <c r="R57" i="1"/>
  <c r="S57" i="1" s="1"/>
  <c r="Q57" i="1"/>
  <c r="Q56" i="1"/>
  <c r="R56" i="1" s="1"/>
  <c r="S56" i="1" s="1"/>
  <c r="Q55" i="1"/>
  <c r="R55" i="1" s="1"/>
  <c r="S55" i="1" s="1"/>
  <c r="Q54" i="1"/>
  <c r="R54" i="1" s="1"/>
  <c r="S54" i="1" s="1"/>
  <c r="R53" i="1"/>
  <c r="S53" i="1" s="1"/>
  <c r="Q53" i="1"/>
  <c r="Q52" i="1"/>
  <c r="R52" i="1" s="1"/>
  <c r="S52" i="1" s="1"/>
  <c r="R51" i="1"/>
  <c r="S51" i="1" s="1"/>
  <c r="Q51" i="1"/>
  <c r="Q50" i="1"/>
  <c r="R50" i="1" s="1"/>
  <c r="S50" i="1" s="1"/>
  <c r="R49" i="1"/>
  <c r="S49" i="1" s="1"/>
  <c r="Q49" i="1"/>
  <c r="Q48" i="1"/>
  <c r="R48" i="1" s="1"/>
  <c r="S48" i="1" s="1"/>
  <c r="Q47" i="1"/>
  <c r="R47" i="1" s="1"/>
  <c r="S47" i="1" s="1"/>
  <c r="Q46" i="1"/>
  <c r="R46" i="1" s="1"/>
  <c r="S46" i="1" s="1"/>
  <c r="R45" i="1"/>
  <c r="S45" i="1" s="1"/>
  <c r="Q45" i="1"/>
  <c r="Q44" i="1"/>
  <c r="R44" i="1" s="1"/>
  <c r="S44" i="1" s="1"/>
  <c r="R43" i="1"/>
  <c r="S43" i="1" s="1"/>
  <c r="Q43" i="1"/>
  <c r="Q42" i="1"/>
  <c r="R42" i="1" s="1"/>
  <c r="S42" i="1" s="1"/>
  <c r="R41" i="1"/>
  <c r="S41" i="1" s="1"/>
  <c r="Q41" i="1"/>
  <c r="Q40" i="1"/>
  <c r="R40" i="1" s="1"/>
  <c r="S40" i="1" s="1"/>
  <c r="Q39" i="1"/>
  <c r="R39" i="1" s="1"/>
  <c r="S39" i="1" s="1"/>
  <c r="Q38" i="1"/>
  <c r="R38" i="1" s="1"/>
  <c r="S38" i="1" s="1"/>
  <c r="S37" i="1"/>
  <c r="R37" i="1"/>
  <c r="Q37" i="1"/>
  <c r="Q36" i="1"/>
  <c r="R36" i="1" s="1"/>
  <c r="S36" i="1" s="1"/>
  <c r="R35" i="1"/>
  <c r="S35" i="1" s="1"/>
  <c r="Q35" i="1"/>
  <c r="Q34" i="1"/>
  <c r="R34" i="1" s="1"/>
  <c r="S34" i="1" s="1"/>
  <c r="R33" i="1"/>
  <c r="S33" i="1" s="1"/>
  <c r="Q33" i="1"/>
  <c r="O33" i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O49" i="1" s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O69" i="1" s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O85" i="1" s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O107" i="1" s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O130" i="1" s="1"/>
  <c r="O131" i="1" s="1"/>
  <c r="O132" i="1" s="1"/>
  <c r="O133" i="1" s="1"/>
  <c r="Q32" i="1"/>
  <c r="R32" i="1" s="1"/>
  <c r="S32" i="1" s="1"/>
  <c r="O32" i="1"/>
  <c r="Q31" i="1"/>
  <c r="R31" i="1" s="1"/>
  <c r="S31" i="1" s="1"/>
  <c r="T31" i="1" s="1"/>
  <c r="T32" i="1" s="1"/>
  <c r="T33" i="1" s="1"/>
  <c r="T34" i="1" s="1"/>
  <c r="T35" i="1" s="1"/>
  <c r="T36" i="1" s="1"/>
  <c r="T37" i="1" s="1"/>
  <c r="T38" i="1" s="1"/>
  <c r="T39" i="1" s="1"/>
  <c r="T40" i="1" s="1"/>
  <c r="T41" i="1" s="1"/>
  <c r="T42" i="1" s="1"/>
  <c r="T43" i="1" s="1"/>
  <c r="T44" i="1" s="1"/>
  <c r="O31" i="1"/>
  <c r="Q30" i="1"/>
  <c r="R30" i="1" s="1"/>
  <c r="S30" i="1" s="1"/>
  <c r="Q29" i="1"/>
  <c r="R29" i="1" s="1"/>
  <c r="S29" i="1" s="1"/>
  <c r="Q28" i="1"/>
  <c r="R28" i="1" s="1"/>
  <c r="S28" i="1" s="1"/>
  <c r="Q27" i="1"/>
  <c r="R27" i="1" s="1"/>
  <c r="S27" i="1" s="1"/>
  <c r="R26" i="1"/>
  <c r="S26" i="1" s="1"/>
  <c r="T26" i="1" s="1"/>
  <c r="Q26" i="1"/>
  <c r="O26" i="1"/>
  <c r="Q25" i="1"/>
  <c r="R25" i="1" s="1"/>
  <c r="S25" i="1" s="1"/>
  <c r="R24" i="1"/>
  <c r="S24" i="1" s="1"/>
  <c r="Q24" i="1"/>
  <c r="Q23" i="1"/>
  <c r="R23" i="1" s="1"/>
  <c r="S23" i="1" s="1"/>
  <c r="Q22" i="1"/>
  <c r="R22" i="1" s="1"/>
  <c r="S22" i="1" s="1"/>
  <c r="Q21" i="1"/>
  <c r="R21" i="1" s="1"/>
  <c r="S21" i="1" s="1"/>
  <c r="Q20" i="1"/>
  <c r="R20" i="1" s="1"/>
  <c r="S20" i="1" s="1"/>
  <c r="Q19" i="1"/>
  <c r="R19" i="1" s="1"/>
  <c r="S19" i="1" s="1"/>
  <c r="R18" i="1"/>
  <c r="S18" i="1" s="1"/>
  <c r="Q18" i="1"/>
  <c r="Q17" i="1"/>
  <c r="R17" i="1" s="1"/>
  <c r="S17" i="1" s="1"/>
  <c r="Q16" i="1"/>
  <c r="R16" i="1" s="1"/>
  <c r="S16" i="1" s="1"/>
  <c r="S15" i="1"/>
  <c r="R15" i="1"/>
  <c r="Q15" i="1"/>
  <c r="R14" i="1"/>
  <c r="S14" i="1" s="1"/>
  <c r="Q14" i="1"/>
  <c r="R13" i="1"/>
  <c r="S13" i="1" s="1"/>
  <c r="X12" i="1"/>
  <c r="X13" i="1" s="1"/>
  <c r="X14" i="1" s="1"/>
  <c r="X15" i="1" s="1"/>
  <c r="X16" i="1" s="1"/>
  <c r="X17" i="1" s="1"/>
  <c r="X18" i="1" s="1"/>
  <c r="X19" i="1" s="1"/>
  <c r="X20" i="1" s="1"/>
  <c r="X21" i="1" s="1"/>
  <c r="X22" i="1" s="1"/>
  <c r="X23" i="1" s="1"/>
  <c r="X24" i="1" s="1"/>
  <c r="X25" i="1" s="1"/>
  <c r="X26" i="1" s="1"/>
  <c r="X27" i="1" s="1"/>
  <c r="X28" i="1" s="1"/>
  <c r="X29" i="1" s="1"/>
  <c r="X30" i="1" s="1"/>
  <c r="X31" i="1" s="1"/>
  <c r="X32" i="1" s="1"/>
  <c r="X33" i="1" s="1"/>
  <c r="X34" i="1" s="1"/>
  <c r="X35" i="1" s="1"/>
  <c r="X36" i="1" s="1"/>
  <c r="X37" i="1" s="1"/>
  <c r="X38" i="1" s="1"/>
  <c r="X39" i="1" s="1"/>
  <c r="X40" i="1" s="1"/>
  <c r="X41" i="1" s="1"/>
  <c r="X42" i="1" s="1"/>
  <c r="X43" i="1" s="1"/>
  <c r="X44" i="1" s="1"/>
  <c r="X45" i="1" s="1"/>
  <c r="X46" i="1" s="1"/>
  <c r="X47" i="1" s="1"/>
  <c r="X48" i="1" s="1"/>
  <c r="X49" i="1" s="1"/>
  <c r="X50" i="1" s="1"/>
  <c r="X51" i="1" s="1"/>
  <c r="X52" i="1" s="1"/>
  <c r="X53" i="1" s="1"/>
  <c r="X54" i="1" s="1"/>
  <c r="X55" i="1" s="1"/>
  <c r="X56" i="1" s="1"/>
  <c r="X57" i="1" s="1"/>
  <c r="X58" i="1" s="1"/>
  <c r="X59" i="1" s="1"/>
  <c r="X60" i="1" s="1"/>
  <c r="X61" i="1" s="1"/>
  <c r="X62" i="1" s="1"/>
  <c r="X63" i="1" s="1"/>
  <c r="X64" i="1" s="1"/>
  <c r="X65" i="1" s="1"/>
  <c r="X66" i="1" s="1"/>
  <c r="X67" i="1" s="1"/>
  <c r="X68" i="1" s="1"/>
  <c r="X69" i="1" s="1"/>
  <c r="X70" i="1" s="1"/>
  <c r="X71" i="1" s="1"/>
  <c r="X72" i="1" s="1"/>
  <c r="X73" i="1" s="1"/>
  <c r="X74" i="1" s="1"/>
  <c r="X75" i="1" s="1"/>
  <c r="X76" i="1" s="1"/>
  <c r="X77" i="1" s="1"/>
  <c r="X78" i="1" s="1"/>
  <c r="X79" i="1" s="1"/>
  <c r="X80" i="1" s="1"/>
  <c r="X81" i="1" s="1"/>
  <c r="X82" i="1" s="1"/>
  <c r="X83" i="1" s="1"/>
  <c r="X84" i="1" s="1"/>
  <c r="X85" i="1" s="1"/>
  <c r="X86" i="1" s="1"/>
  <c r="X87" i="1" s="1"/>
  <c r="X88" i="1" s="1"/>
  <c r="X89" i="1" s="1"/>
  <c r="X90" i="1" s="1"/>
  <c r="X91" i="1" s="1"/>
  <c r="X92" i="1" s="1"/>
  <c r="X93" i="1" s="1"/>
  <c r="X94" i="1" s="1"/>
  <c r="X95" i="1" s="1"/>
  <c r="X96" i="1" s="1"/>
  <c r="X97" i="1" s="1"/>
  <c r="X98" i="1" s="1"/>
  <c r="X99" i="1" s="1"/>
  <c r="X100" i="1" s="1"/>
  <c r="X101" i="1" s="1"/>
  <c r="X102" i="1" s="1"/>
  <c r="X103" i="1" s="1"/>
  <c r="X104" i="1" s="1"/>
  <c r="X105" i="1" s="1"/>
  <c r="X106" i="1" s="1"/>
  <c r="X107" i="1" s="1"/>
  <c r="X108" i="1" s="1"/>
  <c r="X109" i="1" s="1"/>
  <c r="X110" i="1" s="1"/>
  <c r="X111" i="1" s="1"/>
  <c r="X112" i="1" s="1"/>
  <c r="X113" i="1" s="1"/>
  <c r="X114" i="1" s="1"/>
  <c r="X115" i="1" s="1"/>
  <c r="X116" i="1" s="1"/>
  <c r="X117" i="1" s="1"/>
  <c r="X118" i="1" s="1"/>
  <c r="X119" i="1" s="1"/>
  <c r="X120" i="1" s="1"/>
  <c r="X121" i="1" s="1"/>
  <c r="X122" i="1" s="1"/>
  <c r="X123" i="1" s="1"/>
  <c r="X124" i="1" s="1"/>
  <c r="X125" i="1" s="1"/>
  <c r="X126" i="1" s="1"/>
  <c r="X127" i="1" s="1"/>
  <c r="X128" i="1" s="1"/>
  <c r="X129" i="1" s="1"/>
  <c r="X130" i="1" s="1"/>
  <c r="X131" i="1" s="1"/>
  <c r="X132" i="1" s="1"/>
  <c r="X133" i="1" s="1"/>
  <c r="X134" i="1" s="1"/>
  <c r="X135" i="1" s="1"/>
  <c r="X136" i="1" s="1"/>
  <c r="X137" i="1" s="1"/>
  <c r="X138" i="1" s="1"/>
  <c r="X139" i="1" s="1"/>
  <c r="X140" i="1" s="1"/>
  <c r="X141" i="1" s="1"/>
  <c r="X142" i="1" s="1"/>
  <c r="X143" i="1" s="1"/>
  <c r="X144" i="1" s="1"/>
  <c r="X145" i="1" s="1"/>
  <c r="X146" i="1" s="1"/>
  <c r="X147" i="1" s="1"/>
  <c r="X148" i="1" s="1"/>
  <c r="X149" i="1" s="1"/>
  <c r="X150" i="1" s="1"/>
  <c r="X151" i="1" s="1"/>
  <c r="X152" i="1" s="1"/>
  <c r="X153" i="1" s="1"/>
  <c r="X154" i="1" s="1"/>
  <c r="X155" i="1" s="1"/>
  <c r="X156" i="1" s="1"/>
  <c r="X157" i="1" s="1"/>
  <c r="X158" i="1" s="1"/>
  <c r="X159" i="1" s="1"/>
  <c r="X160" i="1" s="1"/>
  <c r="X161" i="1" s="1"/>
  <c r="X162" i="1" s="1"/>
  <c r="X163" i="1" s="1"/>
  <c r="X164" i="1" s="1"/>
  <c r="X165" i="1" s="1"/>
  <c r="X166" i="1" s="1"/>
  <c r="X167" i="1" s="1"/>
  <c r="X168" i="1" s="1"/>
  <c r="X169" i="1" s="1"/>
  <c r="X170" i="1" s="1"/>
  <c r="X171" i="1" s="1"/>
  <c r="X172" i="1" s="1"/>
  <c r="X173" i="1" s="1"/>
  <c r="X174" i="1" s="1"/>
  <c r="X175" i="1" s="1"/>
  <c r="X176" i="1" s="1"/>
  <c r="X177" i="1" s="1"/>
  <c r="X178" i="1" s="1"/>
  <c r="X179" i="1" s="1"/>
  <c r="X180" i="1" s="1"/>
  <c r="X181" i="1" s="1"/>
  <c r="X182" i="1" s="1"/>
  <c r="X183" i="1" s="1"/>
  <c r="X184" i="1" s="1"/>
  <c r="X185" i="1" s="1"/>
  <c r="X186" i="1" s="1"/>
  <c r="X187" i="1" s="1"/>
  <c r="X188" i="1" s="1"/>
  <c r="X189" i="1" s="1"/>
  <c r="X190" i="1" s="1"/>
  <c r="X191" i="1" s="1"/>
  <c r="X192" i="1" s="1"/>
  <c r="X193" i="1" s="1"/>
  <c r="X194" i="1" s="1"/>
  <c r="X195" i="1" s="1"/>
  <c r="X196" i="1" s="1"/>
  <c r="X197" i="1" s="1"/>
  <c r="X198" i="1" s="1"/>
  <c r="X199" i="1" s="1"/>
  <c r="X200" i="1" s="1"/>
  <c r="X201" i="1" s="1"/>
  <c r="X202" i="1" s="1"/>
  <c r="X203" i="1" s="1"/>
  <c r="X204" i="1" s="1"/>
  <c r="X205" i="1" s="1"/>
  <c r="X206" i="1" s="1"/>
  <c r="X207" i="1" s="1"/>
  <c r="X208" i="1" s="1"/>
  <c r="X209" i="1" s="1"/>
  <c r="X210" i="1" s="1"/>
  <c r="X211" i="1" s="1"/>
  <c r="X212" i="1" s="1"/>
  <c r="X213" i="1" s="1"/>
  <c r="X214" i="1" s="1"/>
  <c r="X215" i="1" s="1"/>
  <c r="X216" i="1" s="1"/>
  <c r="X217" i="1" s="1"/>
  <c r="X218" i="1" s="1"/>
  <c r="X219" i="1" s="1"/>
  <c r="X220" i="1" s="1"/>
  <c r="X221" i="1" s="1"/>
  <c r="X222" i="1" s="1"/>
  <c r="X223" i="1" s="1"/>
  <c r="X224" i="1" s="1"/>
  <c r="X225" i="1" s="1"/>
  <c r="X226" i="1" s="1"/>
  <c r="X227" i="1" s="1"/>
  <c r="X228" i="1" s="1"/>
  <c r="X229" i="1" s="1"/>
  <c r="X230" i="1" s="1"/>
  <c r="X231" i="1" s="1"/>
  <c r="X232" i="1" s="1"/>
  <c r="X233" i="1" s="1"/>
  <c r="X234" i="1" s="1"/>
  <c r="X235" i="1" s="1"/>
  <c r="X236" i="1" s="1"/>
  <c r="X237" i="1" s="1"/>
  <c r="X238" i="1" s="1"/>
  <c r="X239" i="1" s="1"/>
  <c r="X240" i="1" s="1"/>
  <c r="X241" i="1" s="1"/>
  <c r="X242" i="1" s="1"/>
  <c r="X243" i="1" s="1"/>
  <c r="X244" i="1" s="1"/>
  <c r="X245" i="1" s="1"/>
  <c r="X246" i="1" s="1"/>
  <c r="X247" i="1" s="1"/>
  <c r="X248" i="1" s="1"/>
  <c r="X249" i="1" s="1"/>
  <c r="X250" i="1" s="1"/>
  <c r="X251" i="1" s="1"/>
  <c r="X252" i="1" s="1"/>
  <c r="X253" i="1" s="1"/>
  <c r="X254" i="1" s="1"/>
  <c r="X255" i="1" s="1"/>
  <c r="X256" i="1" s="1"/>
  <c r="X257" i="1" s="1"/>
  <c r="X258" i="1" s="1"/>
  <c r="X259" i="1" s="1"/>
  <c r="X260" i="1" s="1"/>
  <c r="X261" i="1" s="1"/>
  <c r="X262" i="1" s="1"/>
  <c r="X263" i="1" s="1"/>
  <c r="X264" i="1" s="1"/>
  <c r="X265" i="1" s="1"/>
  <c r="X266" i="1" s="1"/>
  <c r="X267" i="1" s="1"/>
  <c r="X268" i="1" s="1"/>
  <c r="X269" i="1" s="1"/>
  <c r="X270" i="1" s="1"/>
  <c r="X271" i="1" s="1"/>
  <c r="X272" i="1" s="1"/>
  <c r="X273" i="1" s="1"/>
  <c r="X274" i="1" s="1"/>
  <c r="X275" i="1" s="1"/>
  <c r="X276" i="1" s="1"/>
  <c r="X277" i="1" s="1"/>
  <c r="X278" i="1" s="1"/>
  <c r="X279" i="1" s="1"/>
  <c r="X280" i="1" s="1"/>
  <c r="X281" i="1" s="1"/>
  <c r="X282" i="1" s="1"/>
  <c r="X283" i="1" s="1"/>
  <c r="X284" i="1" s="1"/>
  <c r="X285" i="1" s="1"/>
  <c r="X286" i="1" s="1"/>
  <c r="X287" i="1" s="1"/>
  <c r="X288" i="1" s="1"/>
  <c r="X289" i="1" s="1"/>
  <c r="X290" i="1" s="1"/>
  <c r="X291" i="1" s="1"/>
  <c r="X292" i="1" s="1"/>
  <c r="X293" i="1" s="1"/>
  <c r="X294" i="1" s="1"/>
  <c r="X295" i="1" s="1"/>
  <c r="X296" i="1" s="1"/>
  <c r="X297" i="1" s="1"/>
  <c r="X298" i="1" s="1"/>
  <c r="X299" i="1" s="1"/>
  <c r="X300" i="1" s="1"/>
  <c r="X301" i="1" s="1"/>
  <c r="S12" i="1"/>
  <c r="R12" i="1"/>
  <c r="R11" i="1"/>
  <c r="S11" i="1" s="1"/>
  <c r="I11" i="1"/>
  <c r="R10" i="1"/>
  <c r="S10" i="1" s="1"/>
  <c r="Z9" i="1"/>
  <c r="R9" i="1"/>
  <c r="S9" i="1" s="1"/>
  <c r="I9" i="1"/>
  <c r="X8" i="1"/>
  <c r="X9" i="1" s="1"/>
  <c r="X10" i="1" s="1"/>
  <c r="X11" i="1" s="1"/>
  <c r="R8" i="1"/>
  <c r="S8" i="1" s="1"/>
  <c r="K8" i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X7" i="1"/>
  <c r="S7" i="1"/>
  <c r="R7" i="1"/>
  <c r="O7" i="1"/>
  <c r="O8" i="1" s="1"/>
  <c r="O9" i="1" s="1"/>
  <c r="K7" i="1"/>
  <c r="I7" i="1"/>
  <c r="X6" i="1"/>
  <c r="S6" i="1"/>
  <c r="R6" i="1"/>
  <c r="M6" i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M156" i="1" s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M214" i="1" s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M236" i="1" s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M254" i="1" s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M276" i="1" s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M296" i="1" s="1"/>
  <c r="M297" i="1" s="1"/>
  <c r="M298" i="1" s="1"/>
  <c r="M299" i="1" s="1"/>
  <c r="M300" i="1" s="1"/>
  <c r="M301" i="1" s="1"/>
  <c r="K6" i="1"/>
  <c r="G6" i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T27" i="1" l="1"/>
  <c r="T28" i="1" s="1"/>
  <c r="T29" i="1" s="1"/>
  <c r="T7" i="1"/>
  <c r="T8" i="1" s="1"/>
  <c r="T9" i="1" s="1"/>
  <c r="T10" i="1" s="1"/>
  <c r="T11" i="1" s="1"/>
  <c r="T12" i="1" s="1"/>
  <c r="T13" i="1" s="1"/>
  <c r="T14" i="1" s="1"/>
  <c r="T15" i="1" s="1"/>
  <c r="T16" i="1" s="1"/>
  <c r="T17" i="1" s="1"/>
  <c r="T18" i="1" s="1"/>
  <c r="T19" i="1" s="1"/>
  <c r="T20" i="1" s="1"/>
  <c r="T21" i="1" s="1"/>
  <c r="T22" i="1" s="1"/>
  <c r="T23" i="1" s="1"/>
  <c r="T24" i="1" s="1"/>
  <c r="T45" i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T88" i="1" s="1"/>
  <c r="T89" i="1" s="1"/>
  <c r="T90" i="1" s="1"/>
  <c r="T91" i="1" s="1"/>
  <c r="T92" i="1" s="1"/>
  <c r="T93" i="1" s="1"/>
  <c r="T94" i="1" s="1"/>
  <c r="T95" i="1" s="1"/>
  <c r="T96" i="1" s="1"/>
  <c r="T97" i="1" s="1"/>
  <c r="T98" i="1" s="1"/>
  <c r="T99" i="1" s="1"/>
  <c r="T100" i="1" s="1"/>
  <c r="T101" i="1" s="1"/>
  <c r="T102" i="1" s="1"/>
  <c r="T103" i="1" s="1"/>
  <c r="T104" i="1" s="1"/>
  <c r="T105" i="1" s="1"/>
  <c r="T106" i="1" s="1"/>
  <c r="T107" i="1" s="1"/>
  <c r="T108" i="1" s="1"/>
  <c r="T109" i="1" s="1"/>
  <c r="T110" i="1" s="1"/>
  <c r="T111" i="1" s="1"/>
  <c r="T112" i="1" s="1"/>
  <c r="T113" i="1" s="1"/>
  <c r="T114" i="1" s="1"/>
  <c r="T115" i="1" s="1"/>
  <c r="T116" i="1" s="1"/>
  <c r="U17" i="1" l="1"/>
  <c r="U15" i="1"/>
  <c r="T117" i="1"/>
  <c r="T118" i="1" s="1"/>
  <c r="T119" i="1" s="1"/>
  <c r="T120" i="1" s="1"/>
  <c r="T121" i="1" s="1"/>
  <c r="T122" i="1" s="1"/>
  <c r="T123" i="1" s="1"/>
  <c r="T124" i="1" s="1"/>
  <c r="T125" i="1" s="1"/>
  <c r="T126" i="1" s="1"/>
  <c r="T127" i="1" s="1"/>
  <c r="T128" i="1" s="1"/>
  <c r="T129" i="1" s="1"/>
  <c r="T130" i="1" s="1"/>
  <c r="T131" i="1" s="1"/>
  <c r="T132" i="1" s="1"/>
  <c r="T133" i="1" s="1"/>
  <c r="T134" i="1" s="1"/>
  <c r="T135" i="1" s="1"/>
  <c r="T136" i="1" s="1"/>
  <c r="T137" i="1" s="1"/>
  <c r="T138" i="1" s="1"/>
  <c r="T139" i="1" s="1"/>
  <c r="T140" i="1" s="1"/>
  <c r="T141" i="1" s="1"/>
  <c r="T142" i="1" s="1"/>
  <c r="T143" i="1" s="1"/>
  <c r="T144" i="1" s="1"/>
  <c r="T145" i="1" s="1"/>
  <c r="T146" i="1" s="1"/>
  <c r="T147" i="1" s="1"/>
  <c r="T148" i="1" s="1"/>
  <c r="T149" i="1" s="1"/>
  <c r="T150" i="1" s="1"/>
  <c r="T151" i="1" s="1"/>
  <c r="T152" i="1" s="1"/>
  <c r="T153" i="1" s="1"/>
  <c r="T154" i="1" s="1"/>
  <c r="T155" i="1" s="1"/>
  <c r="T156" i="1" s="1"/>
  <c r="T157" i="1" s="1"/>
  <c r="T158" i="1" s="1"/>
  <c r="T159" i="1" s="1"/>
  <c r="T160" i="1" s="1"/>
  <c r="T161" i="1" s="1"/>
  <c r="T162" i="1" s="1"/>
  <c r="T163" i="1" s="1"/>
  <c r="T164" i="1" s="1"/>
  <c r="T165" i="1" s="1"/>
  <c r="T166" i="1" s="1"/>
  <c r="T167" i="1" s="1"/>
  <c r="T168" i="1" s="1"/>
  <c r="T169" i="1" s="1"/>
  <c r="T170" i="1" s="1"/>
  <c r="T171" i="1" s="1"/>
  <c r="T172" i="1" s="1"/>
  <c r="T173" i="1" s="1"/>
  <c r="T174" i="1" s="1"/>
  <c r="T175" i="1" s="1"/>
  <c r="U123" i="1" l="1"/>
  <c r="T176" i="1"/>
  <c r="T177" i="1" s="1"/>
  <c r="T178" i="1" s="1"/>
  <c r="T179" i="1" s="1"/>
  <c r="T180" i="1" s="1"/>
  <c r="T181" i="1" s="1"/>
  <c r="T182" i="1" s="1"/>
  <c r="T183" i="1" s="1"/>
  <c r="T184" i="1" s="1"/>
  <c r="T185" i="1" s="1"/>
  <c r="T186" i="1" s="1"/>
  <c r="T187" i="1" s="1"/>
  <c r="T188" i="1" s="1"/>
  <c r="T189" i="1" s="1"/>
  <c r="T190" i="1" s="1"/>
  <c r="T191" i="1" s="1"/>
  <c r="T192" i="1" s="1"/>
  <c r="T193" i="1" s="1"/>
  <c r="T194" i="1" s="1"/>
  <c r="T195" i="1" s="1"/>
  <c r="T196" i="1" s="1"/>
  <c r="T197" i="1" s="1"/>
  <c r="T198" i="1" s="1"/>
  <c r="T199" i="1" s="1"/>
  <c r="T200" i="1" s="1"/>
  <c r="T201" i="1" s="1"/>
  <c r="T202" i="1" s="1"/>
  <c r="T203" i="1" s="1"/>
  <c r="T204" i="1" s="1"/>
  <c r="T205" i="1" s="1"/>
  <c r="T206" i="1" s="1"/>
  <c r="T207" i="1" s="1"/>
  <c r="T208" i="1" s="1"/>
  <c r="T209" i="1" s="1"/>
  <c r="T210" i="1" s="1"/>
  <c r="T211" i="1" s="1"/>
  <c r="T212" i="1" s="1"/>
  <c r="U127" i="1"/>
  <c r="U182" i="1" l="1"/>
  <c r="U184" i="1"/>
  <c r="U186" i="1"/>
  <c r="T213" i="1"/>
  <c r="T214" i="1" s="1"/>
  <c r="T215" i="1" s="1"/>
  <c r="T216" i="1" s="1"/>
  <c r="T217" i="1" s="1"/>
  <c r="T218" i="1" s="1"/>
  <c r="T219" i="1" s="1"/>
  <c r="T220" i="1" s="1"/>
  <c r="T221" i="1" s="1"/>
  <c r="T222" i="1" s="1"/>
  <c r="T223" i="1" s="1"/>
  <c r="T224" i="1" s="1"/>
  <c r="T225" i="1" s="1"/>
  <c r="T226" i="1" s="1"/>
  <c r="T227" i="1" s="1"/>
  <c r="T228" i="1" s="1"/>
  <c r="T229" i="1" s="1"/>
  <c r="T230" i="1" s="1"/>
  <c r="T231" i="1" s="1"/>
  <c r="T232" i="1" s="1"/>
  <c r="T233" i="1" s="1"/>
  <c r="T234" i="1" l="1"/>
  <c r="T235" i="1" s="1"/>
  <c r="T236" i="1" s="1"/>
  <c r="T237" i="1" s="1"/>
  <c r="T238" i="1" s="1"/>
  <c r="T239" i="1" s="1"/>
  <c r="T240" i="1" s="1"/>
  <c r="T241" i="1" s="1"/>
  <c r="T242" i="1" s="1"/>
  <c r="T243" i="1" s="1"/>
  <c r="T244" i="1" s="1"/>
  <c r="T245" i="1" s="1"/>
  <c r="T246" i="1" s="1"/>
  <c r="T247" i="1" s="1"/>
  <c r="T248" i="1" s="1"/>
  <c r="T249" i="1" s="1"/>
  <c r="T250" i="1" s="1"/>
  <c r="T251" i="1" s="1"/>
  <c r="T252" i="1" s="1"/>
  <c r="T253" i="1" s="1"/>
  <c r="T254" i="1" s="1"/>
  <c r="T255" i="1" s="1"/>
  <c r="T256" i="1" s="1"/>
  <c r="T257" i="1" s="1"/>
  <c r="U219" i="1"/>
  <c r="U223" i="1"/>
  <c r="U221" i="1"/>
  <c r="U244" i="1" l="1"/>
  <c r="T258" i="1"/>
  <c r="T259" i="1" s="1"/>
  <c r="T260" i="1" s="1"/>
  <c r="T261" i="1" s="1"/>
  <c r="T262" i="1" s="1"/>
  <c r="T263" i="1" s="1"/>
  <c r="T264" i="1" s="1"/>
  <c r="T265" i="1" s="1"/>
  <c r="T266" i="1" s="1"/>
  <c r="T267" i="1" s="1"/>
  <c r="T268" i="1" s="1"/>
  <c r="T269" i="1" s="1"/>
  <c r="T270" i="1" s="1"/>
  <c r="T271" i="1" s="1"/>
  <c r="T272" i="1" s="1"/>
  <c r="T273" i="1" s="1"/>
  <c r="T274" i="1" s="1"/>
  <c r="T275" i="1" s="1"/>
  <c r="T276" i="1" s="1"/>
  <c r="T277" i="1" s="1"/>
  <c r="T278" i="1" s="1"/>
  <c r="T279" i="1" s="1"/>
  <c r="U242" i="1"/>
  <c r="U240" i="1"/>
  <c r="T280" i="1" l="1"/>
  <c r="T281" i="1" s="1"/>
  <c r="T282" i="1" s="1"/>
  <c r="T283" i="1" s="1"/>
  <c r="T284" i="1" s="1"/>
  <c r="T285" i="1" s="1"/>
  <c r="T286" i="1" s="1"/>
  <c r="T287" i="1" s="1"/>
  <c r="T288" i="1" s="1"/>
  <c r="T289" i="1" s="1"/>
  <c r="T290" i="1" s="1"/>
  <c r="T291" i="1" s="1"/>
  <c r="T292" i="1" s="1"/>
  <c r="T293" i="1" s="1"/>
  <c r="T294" i="1" s="1"/>
  <c r="T295" i="1" s="1"/>
  <c r="T296" i="1" s="1"/>
  <c r="T297" i="1" s="1"/>
  <c r="T298" i="1" s="1"/>
  <c r="T299" i="1" s="1"/>
  <c r="T300" i="1" s="1"/>
  <c r="T301" i="1" s="1"/>
  <c r="U264" i="1"/>
  <c r="U268" i="1"/>
  <c r="U266" i="1"/>
  <c r="U290" i="1" l="1"/>
  <c r="U288" i="1"/>
  <c r="U286" i="1"/>
</calcChain>
</file>

<file path=xl/sharedStrings.xml><?xml version="1.0" encoding="utf-8"?>
<sst xmlns="http://schemas.openxmlformats.org/spreadsheetml/2006/main" count="154" uniqueCount="57">
  <si>
    <t>TEMPERATURE</t>
  </si>
  <si>
    <t>ETAT HYDRIQUE</t>
  </si>
  <si>
    <t>RAYONNEMENT</t>
  </si>
  <si>
    <t>BILAN HYDRIQUE</t>
  </si>
  <si>
    <t>Période</t>
  </si>
  <si>
    <t>DATE</t>
  </si>
  <si>
    <t>T_Q</t>
  </si>
  <si>
    <t>TINF_H_Q</t>
  </si>
  <si>
    <t>TSUP_H_Q</t>
  </si>
  <si>
    <t>GDD base 0°</t>
  </si>
  <si>
    <t>VAR</t>
  </si>
  <si>
    <t>PRELIQ_Q</t>
  </si>
  <si>
    <t>Cumul_P</t>
  </si>
  <si>
    <t>ETP_Q</t>
  </si>
  <si>
    <t>Cumul_ETP</t>
  </si>
  <si>
    <t>P-ETP</t>
  </si>
  <si>
    <t>ETAT RU_1</t>
  </si>
  <si>
    <t>i</t>
  </si>
  <si>
    <t>kc</t>
  </si>
  <si>
    <t>ETM</t>
  </si>
  <si>
    <t>P-ETM</t>
  </si>
  <si>
    <t>WSC</t>
  </si>
  <si>
    <t>SSI_Q</t>
  </si>
  <si>
    <t>QPT_Q</t>
  </si>
  <si>
    <t>Cumul RG</t>
  </si>
  <si>
    <t>Photoperiode</t>
  </si>
  <si>
    <t>SEMIS INRA15</t>
  </si>
  <si>
    <t>AUTOMNE</t>
  </si>
  <si>
    <t>Tmin</t>
  </si>
  <si>
    <t>nbj_sec</t>
  </si>
  <si>
    <t>crg</t>
  </si>
  <si>
    <t>Tmax</t>
  </si>
  <si>
    <t>nbj_water_deficit</t>
  </si>
  <si>
    <t>qpt_p</t>
  </si>
  <si>
    <t>Tmoy</t>
  </si>
  <si>
    <t>nbj_stress_hydro</t>
  </si>
  <si>
    <t>nbj_radinf_900</t>
  </si>
  <si>
    <t>nbj_tgel</t>
  </si>
  <si>
    <t>water_soil_content_min</t>
  </si>
  <si>
    <t>nbj_tsup25</t>
  </si>
  <si>
    <t>water_soil_content_max</t>
  </si>
  <si>
    <t>nbj_tinf5</t>
  </si>
  <si>
    <t>water_soil_content_moy</t>
  </si>
  <si>
    <t>gdd</t>
  </si>
  <si>
    <t>HIVER</t>
  </si>
  <si>
    <t>gdd_p</t>
  </si>
  <si>
    <t>nbj_vern_opti</t>
  </si>
  <si>
    <t>MONTAISON</t>
  </si>
  <si>
    <t>A&amp;M</t>
  </si>
  <si>
    <t>Fin Flo</t>
  </si>
  <si>
    <t>RECOLTE INRA15</t>
  </si>
  <si>
    <t>IRF</t>
  </si>
  <si>
    <t>TS</t>
  </si>
  <si>
    <t>DRF</t>
  </si>
  <si>
    <t>BI</t>
  </si>
  <si>
    <t>WSC_I</t>
  </si>
  <si>
    <t>N40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</si>
</sst>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name val="Calibri"/>
      <family val="2"/>
    </font>
    <font>
      <sz val="11"/>
      <color rgb="FFFF0000"/>
      <name val="Calibri"/>
      <family val="2"/>
    </font>
    <font>
      <b/>
      <i/>
      <u/>
      <sz val="11"/>
      <color rgb="FFFFC000"/>
      <name val="Calibri"/>
      <family val="2"/>
    </font>
    <font>
      <b/>
      <sz val="11"/>
      <color theme="1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rgb="FFDDD9C4"/>
        <bgColor rgb="FF000000"/>
      </patternFill>
    </fill>
    <fill>
      <patternFill patternType="lightGray">
        <fgColor rgb="FF000000"/>
        <bgColor rgb="FFFFFFFF"/>
      </patternFill>
    </fill>
    <fill>
      <patternFill patternType="solid">
        <fgColor rgb="FF0070C0"/>
        <bgColor rgb="FF000000"/>
      </patternFill>
    </fill>
    <fill>
      <patternFill patternType="solid">
        <fgColor rgb="FFCCECFF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E26B0A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theme="3"/>
        <bgColor rgb="FF000000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0" borderId="0" xfId="0" applyFill="1" applyAlignment="1"/>
    <xf numFmtId="0" fontId="0" fillId="0" borderId="0" xfId="0" applyFill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Fill="1" applyBorder="1"/>
    <xf numFmtId="0" fontId="4" fillId="0" borderId="0" xfId="0" applyFont="1" applyFill="1" applyBorder="1" applyAlignment="1">
      <alignment horizontal="center" vertical="center"/>
    </xf>
    <xf numFmtId="14" fontId="3" fillId="3" borderId="0" xfId="0" applyNumberFormat="1" applyFont="1" applyFill="1" applyBorder="1"/>
    <xf numFmtId="0" fontId="4" fillId="3" borderId="0" xfId="0" applyFont="1" applyFill="1" applyBorder="1"/>
    <xf numFmtId="164" fontId="3" fillId="0" borderId="0" xfId="0" applyNumberFormat="1" applyFont="1" applyFill="1" applyBorder="1"/>
    <xf numFmtId="0" fontId="3" fillId="4" borderId="0" xfId="0" applyFont="1" applyFill="1" applyBorder="1"/>
    <xf numFmtId="0" fontId="4" fillId="5" borderId="0" xfId="0" applyFont="1" applyFill="1" applyBorder="1" applyAlignment="1">
      <alignment horizontal="center" vertical="center"/>
    </xf>
    <xf numFmtId="0" fontId="5" fillId="0" borderId="0" xfId="0" applyFont="1" applyFill="1" applyBorder="1"/>
    <xf numFmtId="164" fontId="5" fillId="0" borderId="0" xfId="0" applyNumberFormat="1" applyFont="1" applyFill="1" applyBorder="1"/>
    <xf numFmtId="14" fontId="3" fillId="6" borderId="0" xfId="0" applyNumberFormat="1" applyFont="1" applyFill="1" applyBorder="1"/>
    <xf numFmtId="0" fontId="4" fillId="6" borderId="0" xfId="0" applyFont="1" applyFill="1" applyBorder="1"/>
    <xf numFmtId="14" fontId="3" fillId="8" borderId="0" xfId="0" applyNumberFormat="1" applyFont="1" applyFill="1" applyBorder="1"/>
    <xf numFmtId="0" fontId="4" fillId="8" borderId="0" xfId="0" applyFont="1" applyFill="1" applyBorder="1"/>
    <xf numFmtId="2" fontId="3" fillId="0" borderId="0" xfId="0" applyNumberFormat="1" applyFont="1" applyFill="1" applyBorder="1"/>
    <xf numFmtId="0" fontId="4" fillId="9" borderId="0" xfId="0" applyFont="1" applyFill="1" applyBorder="1" applyAlignment="1">
      <alignment vertical="center"/>
    </xf>
    <xf numFmtId="0" fontId="3" fillId="0" borderId="0" xfId="0" applyFont="1" applyFill="1" applyBorder="1" applyAlignment="1"/>
    <xf numFmtId="14" fontId="3" fillId="9" borderId="0" xfId="0" applyNumberFormat="1" applyFont="1" applyFill="1" applyBorder="1"/>
    <xf numFmtId="0" fontId="4" fillId="9" borderId="0" xfId="0" applyFont="1" applyFill="1" applyBorder="1"/>
    <xf numFmtId="0" fontId="4" fillId="9" borderId="0" xfId="0" applyFont="1" applyFill="1" applyBorder="1" applyAlignment="1">
      <alignment horizontal="center" vertical="center"/>
    </xf>
    <xf numFmtId="0" fontId="6" fillId="0" borderId="0" xfId="0" applyFont="1" applyFill="1" applyBorder="1"/>
    <xf numFmtId="0" fontId="7" fillId="0" borderId="0" xfId="0" applyFont="1" applyFill="1" applyBorder="1"/>
    <xf numFmtId="14" fontId="3" fillId="10" borderId="0" xfId="0" applyNumberFormat="1" applyFont="1" applyFill="1" applyBorder="1"/>
    <xf numFmtId="0" fontId="4" fillId="10" borderId="0" xfId="0" applyFont="1" applyFill="1" applyBorder="1"/>
    <xf numFmtId="14" fontId="3" fillId="11" borderId="0" xfId="0" applyNumberFormat="1" applyFont="1" applyFill="1" applyBorder="1"/>
    <xf numFmtId="0" fontId="4" fillId="11" borderId="0" xfId="0" applyFont="1" applyFill="1" applyBorder="1"/>
    <xf numFmtId="14" fontId="3" fillId="12" borderId="0" xfId="0" applyNumberFormat="1" applyFont="1" applyFill="1" applyBorder="1"/>
    <xf numFmtId="0" fontId="4" fillId="12" borderId="0" xfId="0" applyFont="1" applyFill="1" applyBorder="1"/>
    <xf numFmtId="0" fontId="3" fillId="0" borderId="0" xfId="0" applyFont="1" applyFill="1" applyBorder="1" applyAlignment="1">
      <alignment horizontal="center"/>
    </xf>
    <xf numFmtId="0" fontId="5" fillId="0" borderId="0" xfId="0" applyFont="1" applyFill="1" applyBorder="1" applyAlignment="1">
      <alignment horizontal="center"/>
    </xf>
    <xf numFmtId="14" fontId="5" fillId="12" borderId="0" xfId="0" applyNumberFormat="1" applyFont="1" applyFill="1" applyBorder="1"/>
    <xf numFmtId="0" fontId="4" fillId="0" borderId="1" xfId="0" applyFont="1" applyFill="1" applyBorder="1" applyAlignment="1">
      <alignment horizontal="center" vertical="center"/>
    </xf>
    <xf numFmtId="14" fontId="5" fillId="3" borderId="1" xfId="0" applyNumberFormat="1" applyFont="1" applyFill="1" applyBorder="1"/>
    <xf numFmtId="0" fontId="5" fillId="0" borderId="1" xfId="0" applyFont="1" applyFill="1" applyBorder="1"/>
    <xf numFmtId="0" fontId="9" fillId="0" borderId="1" xfId="0" applyFont="1" applyFill="1" applyBorder="1"/>
    <xf numFmtId="164" fontId="5" fillId="0" borderId="1" xfId="0" applyNumberFormat="1" applyFont="1" applyFill="1" applyBorder="1"/>
    <xf numFmtId="164" fontId="9" fillId="0" borderId="1" xfId="0" applyNumberFormat="1" applyFont="1" applyFill="1" applyBorder="1"/>
    <xf numFmtId="0" fontId="9" fillId="4" borderId="1" xfId="0" applyFont="1" applyFill="1" applyBorder="1"/>
    <xf numFmtId="0" fontId="5" fillId="0" borderId="1" xfId="0" applyFont="1" applyFill="1" applyBorder="1" applyAlignment="1">
      <alignment horizontal="center" vertical="center"/>
    </xf>
    <xf numFmtId="14" fontId="5" fillId="6" borderId="1" xfId="0" applyNumberFormat="1" applyFont="1" applyFill="1" applyBorder="1"/>
    <xf numFmtId="0" fontId="5" fillId="7" borderId="1" xfId="0" applyFont="1" applyFill="1" applyBorder="1"/>
    <xf numFmtId="14" fontId="5" fillId="8" borderId="1" xfId="0" applyNumberFormat="1" applyFont="1" applyFill="1" applyBorder="1"/>
    <xf numFmtId="2" fontId="9" fillId="0" borderId="1" xfId="0" applyNumberFormat="1" applyFont="1" applyFill="1" applyBorder="1"/>
    <xf numFmtId="0" fontId="5" fillId="9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/>
    <xf numFmtId="14" fontId="5" fillId="9" borderId="1" xfId="0" applyNumberFormat="1" applyFont="1" applyFill="1" applyBorder="1"/>
    <xf numFmtId="0" fontId="3" fillId="0" borderId="1" xfId="0" applyFont="1" applyFill="1" applyBorder="1"/>
    <xf numFmtId="164" fontId="3" fillId="0" borderId="1" xfId="0" applyNumberFormat="1" applyFont="1" applyFill="1" applyBorder="1"/>
    <xf numFmtId="14" fontId="5" fillId="10" borderId="1" xfId="0" applyNumberFormat="1" applyFont="1" applyFill="1" applyBorder="1"/>
    <xf numFmtId="14" fontId="5" fillId="11" borderId="1" xfId="0" applyNumberFormat="1" applyFont="1" applyFill="1" applyBorder="1"/>
    <xf numFmtId="2" fontId="3" fillId="0" borderId="1" xfId="0" applyNumberFormat="1" applyFont="1" applyFill="1" applyBorder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12" borderId="0" xfId="0" applyFont="1" applyFill="1" applyBorder="1" applyAlignment="1">
      <alignment horizontal="center" vertical="center" textRotation="255"/>
    </xf>
    <xf numFmtId="0" fontId="8" fillId="13" borderId="0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 vertical="center" textRotation="255"/>
    </xf>
    <xf numFmtId="0" fontId="4" fillId="6" borderId="0" xfId="0" applyFont="1" applyFill="1" applyBorder="1" applyAlignment="1">
      <alignment horizontal="center" vertical="center" textRotation="255"/>
    </xf>
    <xf numFmtId="0" fontId="4" fillId="8" borderId="0" xfId="0" applyFont="1" applyFill="1" applyBorder="1" applyAlignment="1">
      <alignment horizontal="center" vertical="center" textRotation="255"/>
    </xf>
    <xf numFmtId="0" fontId="4" fillId="10" borderId="0" xfId="0" applyFont="1" applyFill="1" applyBorder="1" applyAlignment="1">
      <alignment horizontal="center" vertical="center" textRotation="255"/>
    </xf>
    <xf numFmtId="0" fontId="4" fillId="11" borderId="0" xfId="0" applyFont="1" applyFill="1" applyBorder="1" applyAlignment="1">
      <alignment horizontal="center" vertical="center" textRotation="255"/>
    </xf>
    <xf numFmtId="0" fontId="4" fillId="14" borderId="0" xfId="0" applyFont="1" applyFill="1" applyBorder="1" applyAlignment="1">
      <alignment horizontal="center" vertical="center"/>
    </xf>
    <xf numFmtId="14" fontId="3" fillId="15" borderId="0" xfId="0" applyNumberFormat="1" applyFont="1" applyFill="1" applyBorder="1"/>
    <xf numFmtId="0" fontId="3" fillId="14" borderId="0" xfId="0" applyFont="1" applyFill="1" applyBorder="1"/>
    <xf numFmtId="0" fontId="4" fillId="15" borderId="0" xfId="0" applyFont="1" applyFill="1" applyBorder="1"/>
    <xf numFmtId="2" fontId="3" fillId="14" borderId="0" xfId="0" applyNumberFormat="1" applyFont="1" applyFill="1" applyBorder="1"/>
    <xf numFmtId="164" fontId="3" fillId="14" borderId="0" xfId="0" applyNumberFormat="1" applyFont="1" applyFill="1" applyBorder="1"/>
    <xf numFmtId="0" fontId="3" fillId="16" borderId="0" xfId="0" applyFont="1" applyFill="1" applyBorder="1"/>
    <xf numFmtId="0" fontId="5" fillId="16" borderId="1" xfId="0" applyFont="1" applyFill="1" applyBorder="1"/>
    <xf numFmtId="164" fontId="9" fillId="16" borderId="1" xfId="0" applyNumberFormat="1" applyFont="1" applyFill="1" applyBorder="1"/>
    <xf numFmtId="164" fontId="3" fillId="16" borderId="0" xfId="0" applyNumberFormat="1" applyFont="1" applyFill="1" applyBorder="1"/>
    <xf numFmtId="0" fontId="9" fillId="0" borderId="0" xfId="0" applyFont="1" applyFill="1" applyBorder="1"/>
  </cellXfs>
  <cellStyles count="1">
    <cellStyle name="Normal" xfId="0" builtinId="0"/>
  </cellStyles>
  <dxfs count="11">
    <dxf>
      <fill>
        <patternFill>
          <bgColor rgb="FFFABF8F"/>
        </patternFill>
      </fill>
    </dxf>
    <dxf>
      <fill>
        <patternFill>
          <bgColor rgb="FFDA9694"/>
        </patternFill>
      </fill>
    </dxf>
    <dxf>
      <fill>
        <patternFill>
          <bgColor rgb="FFF2DCDB"/>
        </patternFill>
      </fill>
    </dxf>
    <dxf>
      <fill>
        <patternFill>
          <bgColor rgb="FFCCC0DA"/>
        </patternFill>
      </fill>
    </dxf>
    <dxf>
      <fill>
        <patternFill>
          <bgColor rgb="FFF2DCDB"/>
        </patternFill>
      </fill>
    </dxf>
    <dxf>
      <fill>
        <patternFill>
          <bgColor rgb="FF00B0F0"/>
        </patternFill>
      </fill>
    </dxf>
    <dxf>
      <fill>
        <patternFill>
          <bgColor rgb="FFDAEEF3"/>
        </patternFill>
      </fill>
    </dxf>
    <dxf>
      <fill>
        <patternFill>
          <bgColor rgb="FFFFC000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02"/>
  <sheetViews>
    <sheetView tabSelected="1" topLeftCell="B154" zoomScale="85" zoomScaleNormal="85" workbookViewId="0">
      <selection activeCell="AC189" sqref="AC189"/>
    </sheetView>
  </sheetViews>
  <sheetFormatPr baseColWidth="10" defaultRowHeight="15" x14ac:dyDescent="0.25"/>
  <sheetData>
    <row r="1" spans="1:27" s="2" customFormat="1" x14ac:dyDescent="0.25">
      <c r="A1"/>
      <c r="B1" s="1"/>
      <c r="C1"/>
      <c r="D1" s="55" t="s">
        <v>0</v>
      </c>
      <c r="E1" s="55"/>
      <c r="F1" s="55"/>
      <c r="G1" s="55"/>
      <c r="H1" s="55"/>
      <c r="I1" s="55"/>
      <c r="J1" s="55" t="s">
        <v>1</v>
      </c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 t="s">
        <v>2</v>
      </c>
      <c r="W1" s="56"/>
      <c r="X1" s="56"/>
      <c r="Y1" s="56"/>
      <c r="Z1" s="56"/>
    </row>
    <row r="2" spans="1:27" s="2" customFormat="1" x14ac:dyDescent="0.25">
      <c r="A2"/>
      <c r="B2" s="1"/>
      <c r="C2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6"/>
      <c r="W2" s="56"/>
      <c r="X2" s="56"/>
      <c r="Y2" s="56"/>
      <c r="Z2" s="56"/>
    </row>
    <row r="3" spans="1:27" s="2" customFormat="1" x14ac:dyDescent="0.25">
      <c r="A3"/>
      <c r="B3" s="1"/>
      <c r="C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55" t="s">
        <v>3</v>
      </c>
      <c r="Q3" s="55"/>
      <c r="R3" s="55"/>
      <c r="S3" s="55"/>
      <c r="T3" s="55"/>
      <c r="U3" s="3"/>
      <c r="V3" s="4"/>
      <c r="W3" s="4"/>
      <c r="X3" s="4"/>
      <c r="Y3" s="4"/>
      <c r="Z3" s="4"/>
    </row>
    <row r="4" spans="1:27" s="2" customFormat="1" x14ac:dyDescent="0.25">
      <c r="A4" t="s">
        <v>4</v>
      </c>
      <c r="B4" s="1">
        <v>5</v>
      </c>
      <c r="C4" t="s">
        <v>5</v>
      </c>
      <c r="D4" t="s">
        <v>6</v>
      </c>
      <c r="E4" t="s">
        <v>7</v>
      </c>
      <c r="F4" t="s">
        <v>8</v>
      </c>
      <c r="G4" s="57" t="s">
        <v>9</v>
      </c>
      <c r="H4" s="57"/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10</v>
      </c>
      <c r="V4" t="s">
        <v>22</v>
      </c>
      <c r="W4" t="s">
        <v>23</v>
      </c>
      <c r="X4" s="57" t="s">
        <v>24</v>
      </c>
      <c r="Y4" s="57"/>
      <c r="Z4" t="s">
        <v>10</v>
      </c>
      <c r="AA4" s="2" t="s">
        <v>25</v>
      </c>
    </row>
    <row r="5" spans="1:27" s="5" customFormat="1" x14ac:dyDescent="0.25">
      <c r="A5" s="60" t="s">
        <v>26</v>
      </c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</row>
    <row r="6" spans="1:27" s="5" customFormat="1" x14ac:dyDescent="0.25">
      <c r="A6" s="61" t="s">
        <v>27</v>
      </c>
      <c r="B6" s="6"/>
      <c r="C6" s="7">
        <v>41891</v>
      </c>
      <c r="D6" s="5">
        <v>20.399999999999999</v>
      </c>
      <c r="E6" s="5">
        <v>15.6</v>
      </c>
      <c r="F6" s="5">
        <v>25.2</v>
      </c>
      <c r="G6" s="5">
        <f>D6</f>
        <v>20.399999999999999</v>
      </c>
      <c r="I6" s="8" t="s">
        <v>28</v>
      </c>
      <c r="J6" s="5">
        <v>0</v>
      </c>
      <c r="K6" s="5">
        <f>J6</f>
        <v>0</v>
      </c>
      <c r="L6" s="5">
        <v>3.6</v>
      </c>
      <c r="M6" s="5">
        <f>L6</f>
        <v>3.6</v>
      </c>
      <c r="N6" s="5">
        <v>-3.6</v>
      </c>
      <c r="O6" s="5">
        <v>14.2</v>
      </c>
      <c r="P6" s="5">
        <v>1</v>
      </c>
      <c r="Q6" s="5">
        <v>0.35</v>
      </c>
      <c r="R6" s="9">
        <f t="shared" ref="R6:R69" si="0">Q6*L6</f>
        <v>1.26</v>
      </c>
      <c r="S6" s="9">
        <f t="shared" ref="S6:S69" si="1">J6-R6</f>
        <v>-1.26</v>
      </c>
      <c r="T6" s="9">
        <v>16.5</v>
      </c>
      <c r="U6" s="8" t="s">
        <v>29</v>
      </c>
      <c r="V6" s="5">
        <v>1819.2</v>
      </c>
      <c r="X6" s="5">
        <f>V6</f>
        <v>1819.2</v>
      </c>
      <c r="Z6" s="8" t="s">
        <v>30</v>
      </c>
      <c r="AA6" s="5">
        <v>13.0116416538983</v>
      </c>
    </row>
    <row r="7" spans="1:27" s="5" customFormat="1" x14ac:dyDescent="0.25">
      <c r="A7" s="61"/>
      <c r="B7" s="6"/>
      <c r="C7" s="7">
        <v>41892</v>
      </c>
      <c r="D7" s="5">
        <v>18.5</v>
      </c>
      <c r="E7" s="5">
        <v>15.5</v>
      </c>
      <c r="F7" s="5">
        <v>22.5</v>
      </c>
      <c r="G7" s="5">
        <f>G6+D7</f>
        <v>38.9</v>
      </c>
      <c r="I7" s="5">
        <f>MIN(E6:E115)</f>
        <v>-2.6</v>
      </c>
      <c r="J7" s="5">
        <v>0</v>
      </c>
      <c r="K7" s="5">
        <f>K6+J7</f>
        <v>0</v>
      </c>
      <c r="L7" s="5">
        <v>4.4000000000000004</v>
      </c>
      <c r="M7" s="5">
        <f>M6+L7</f>
        <v>8</v>
      </c>
      <c r="N7" s="5">
        <v>-4.4000000000000004</v>
      </c>
      <c r="O7" s="5">
        <f>O6+N7</f>
        <v>9.7999999999999989</v>
      </c>
      <c r="P7" s="5">
        <v>2</v>
      </c>
      <c r="Q7" s="5">
        <v>0.35</v>
      </c>
      <c r="R7" s="9">
        <f t="shared" si="0"/>
        <v>1.54</v>
      </c>
      <c r="S7" s="9">
        <f t="shared" si="1"/>
        <v>-1.54</v>
      </c>
      <c r="T7" s="9">
        <f>MIN(197.4,(T6+S7))</f>
        <v>14.96</v>
      </c>
      <c r="U7" s="5">
        <v>63</v>
      </c>
      <c r="V7" s="5">
        <v>2094.6999999999998</v>
      </c>
      <c r="X7" s="5">
        <f>X6+V7</f>
        <v>3913.8999999999996</v>
      </c>
      <c r="Z7" s="5">
        <v>65143.300000000017</v>
      </c>
      <c r="AA7" s="5">
        <v>12.9544310880942</v>
      </c>
    </row>
    <row r="8" spans="1:27" s="5" customFormat="1" x14ac:dyDescent="0.25">
      <c r="A8" s="61"/>
      <c r="B8" s="6"/>
      <c r="C8" s="7">
        <v>41893</v>
      </c>
      <c r="D8" s="5">
        <v>16.3</v>
      </c>
      <c r="E8" s="5">
        <v>11</v>
      </c>
      <c r="F8" s="5">
        <v>20.7</v>
      </c>
      <c r="G8" s="5">
        <f t="shared" ref="G8:G71" si="2">G7+D8</f>
        <v>55.2</v>
      </c>
      <c r="I8" s="8" t="s">
        <v>31</v>
      </c>
      <c r="J8" s="5">
        <v>0</v>
      </c>
      <c r="K8" s="5">
        <f t="shared" ref="K8:K71" si="3">K7+J8</f>
        <v>0</v>
      </c>
      <c r="L8" s="5">
        <v>3.9</v>
      </c>
      <c r="M8" s="5">
        <f t="shared" ref="M8:M71" si="4">M7+L8</f>
        <v>11.9</v>
      </c>
      <c r="N8" s="5">
        <v>-3.9</v>
      </c>
      <c r="O8" s="5">
        <f t="shared" ref="O8:O9" si="5">O7+N8</f>
        <v>5.8999999999999986</v>
      </c>
      <c r="P8" s="5">
        <v>3</v>
      </c>
      <c r="Q8" s="5">
        <v>0.35</v>
      </c>
      <c r="R8" s="9">
        <f t="shared" si="0"/>
        <v>1.365</v>
      </c>
      <c r="S8" s="9">
        <f t="shared" si="1"/>
        <v>-1.365</v>
      </c>
      <c r="T8" s="9">
        <f t="shared" ref="T8:T71" si="6">MIN(197.4,(T7+S8))</f>
        <v>13.595000000000001</v>
      </c>
      <c r="U8" s="8" t="s">
        <v>32</v>
      </c>
      <c r="V8" s="5">
        <v>2159.5</v>
      </c>
      <c r="X8" s="5">
        <f t="shared" ref="X8:X71" si="7">X7+V8</f>
        <v>6073.4</v>
      </c>
      <c r="Z8" s="8" t="s">
        <v>33</v>
      </c>
      <c r="AA8" s="5">
        <v>12.8971265156125</v>
      </c>
    </row>
    <row r="9" spans="1:27" s="5" customFormat="1" x14ac:dyDescent="0.25">
      <c r="A9" s="61"/>
      <c r="B9" s="6"/>
      <c r="C9" s="7">
        <v>41894</v>
      </c>
      <c r="D9" s="5">
        <v>16.100000000000001</v>
      </c>
      <c r="E9" s="5">
        <v>10</v>
      </c>
      <c r="F9" s="5">
        <v>22.4</v>
      </c>
      <c r="G9" s="5">
        <f t="shared" si="2"/>
        <v>71.300000000000011</v>
      </c>
      <c r="I9" s="5">
        <f>MAX(F6:F115)</f>
        <v>26.4</v>
      </c>
      <c r="J9" s="5">
        <v>0</v>
      </c>
      <c r="K9" s="5">
        <f t="shared" si="3"/>
        <v>0</v>
      </c>
      <c r="L9" s="5">
        <v>3.4</v>
      </c>
      <c r="M9" s="5">
        <f t="shared" si="4"/>
        <v>15.3</v>
      </c>
      <c r="N9" s="5">
        <v>-3.4</v>
      </c>
      <c r="O9" s="5">
        <f t="shared" si="5"/>
        <v>2.4999999999999987</v>
      </c>
      <c r="P9" s="5">
        <v>4</v>
      </c>
      <c r="Q9" s="5">
        <v>0.35</v>
      </c>
      <c r="R9" s="9">
        <f t="shared" si="0"/>
        <v>1.19</v>
      </c>
      <c r="S9" s="9">
        <f t="shared" si="1"/>
        <v>-1.19</v>
      </c>
      <c r="T9" s="9">
        <f t="shared" si="6"/>
        <v>12.405000000000001</v>
      </c>
      <c r="U9" s="5">
        <v>2</v>
      </c>
      <c r="V9" s="5">
        <v>1660.4</v>
      </c>
      <c r="X9" s="5">
        <f t="shared" si="7"/>
        <v>7733.7999999999993</v>
      </c>
      <c r="Z9" s="5">
        <f>(Z7/100)/I19</f>
        <v>0.49002030991424717</v>
      </c>
      <c r="AA9" s="5">
        <v>12.8397344490566</v>
      </c>
    </row>
    <row r="10" spans="1:27" s="5" customFormat="1" x14ac:dyDescent="0.25">
      <c r="A10" s="61"/>
      <c r="B10" s="6"/>
      <c r="C10" s="7">
        <v>41895</v>
      </c>
      <c r="D10" s="5">
        <v>17.2</v>
      </c>
      <c r="E10" s="5">
        <v>10</v>
      </c>
      <c r="F10" s="5">
        <v>22.2</v>
      </c>
      <c r="G10" s="5">
        <f t="shared" si="2"/>
        <v>88.500000000000014</v>
      </c>
      <c r="I10" s="8" t="s">
        <v>34</v>
      </c>
      <c r="J10" s="5">
        <v>0</v>
      </c>
      <c r="K10" s="5">
        <f t="shared" si="3"/>
        <v>0</v>
      </c>
      <c r="L10" s="5">
        <v>3.2</v>
      </c>
      <c r="M10" s="5">
        <f t="shared" si="4"/>
        <v>18.5</v>
      </c>
      <c r="N10" s="5">
        <v>-3.2</v>
      </c>
      <c r="O10" s="5">
        <v>0</v>
      </c>
      <c r="P10" s="5">
        <v>5</v>
      </c>
      <c r="Q10" s="5">
        <v>0.35</v>
      </c>
      <c r="R10" s="9">
        <f t="shared" si="0"/>
        <v>1.1199999999999999</v>
      </c>
      <c r="S10" s="9">
        <f t="shared" si="1"/>
        <v>-1.1199999999999999</v>
      </c>
      <c r="T10" s="9">
        <f t="shared" si="6"/>
        <v>11.285000000000002</v>
      </c>
      <c r="U10" s="8" t="s">
        <v>35</v>
      </c>
      <c r="V10" s="5">
        <v>1821.9</v>
      </c>
      <c r="X10" s="5">
        <f t="shared" si="7"/>
        <v>9555.6999999999989</v>
      </c>
      <c r="Z10" s="8" t="s">
        <v>36</v>
      </c>
      <c r="AA10" s="5">
        <v>12.78226122165</v>
      </c>
    </row>
    <row r="11" spans="1:27" s="5" customFormat="1" x14ac:dyDescent="0.25">
      <c r="A11" s="61"/>
      <c r="B11" s="6"/>
      <c r="C11" s="7">
        <v>41896</v>
      </c>
      <c r="D11" s="5">
        <v>18.2</v>
      </c>
      <c r="E11" s="5">
        <v>13.6</v>
      </c>
      <c r="F11" s="5">
        <v>22.7</v>
      </c>
      <c r="G11" s="5">
        <f t="shared" si="2"/>
        <v>106.70000000000002</v>
      </c>
      <c r="I11" s="9">
        <f>AVERAGE(D6:D115)</f>
        <v>12.085454545454539</v>
      </c>
      <c r="J11" s="5">
        <v>0</v>
      </c>
      <c r="K11" s="5">
        <f t="shared" si="3"/>
        <v>0</v>
      </c>
      <c r="L11" s="5">
        <v>2.6</v>
      </c>
      <c r="M11" s="5">
        <f t="shared" si="4"/>
        <v>21.1</v>
      </c>
      <c r="N11" s="5">
        <v>-2.6</v>
      </c>
      <c r="O11" s="5">
        <v>0</v>
      </c>
      <c r="P11" s="5">
        <v>6</v>
      </c>
      <c r="Q11" s="5">
        <v>0.35</v>
      </c>
      <c r="R11" s="9">
        <f t="shared" si="0"/>
        <v>0.90999999999999992</v>
      </c>
      <c r="S11" s="9">
        <f t="shared" si="1"/>
        <v>-0.90999999999999992</v>
      </c>
      <c r="T11" s="9">
        <f t="shared" si="6"/>
        <v>10.375000000000002</v>
      </c>
      <c r="U11" s="5">
        <v>46</v>
      </c>
      <c r="V11" s="5">
        <v>1163</v>
      </c>
      <c r="X11" s="5">
        <f t="shared" si="7"/>
        <v>10718.699999999999</v>
      </c>
      <c r="Z11" s="5">
        <v>82</v>
      </c>
      <c r="AA11" s="5">
        <v>12.7247130029575</v>
      </c>
    </row>
    <row r="12" spans="1:27" s="5" customFormat="1" x14ac:dyDescent="0.25">
      <c r="A12" s="61"/>
      <c r="B12" s="6"/>
      <c r="C12" s="7">
        <v>41897</v>
      </c>
      <c r="D12" s="5">
        <v>18.7</v>
      </c>
      <c r="E12" s="5">
        <v>14.3</v>
      </c>
      <c r="F12" s="5">
        <v>23.2</v>
      </c>
      <c r="G12" s="5">
        <f t="shared" si="2"/>
        <v>125.40000000000002</v>
      </c>
      <c r="I12" s="8" t="s">
        <v>37</v>
      </c>
      <c r="J12" s="5">
        <v>0</v>
      </c>
      <c r="K12" s="5">
        <f t="shared" si="3"/>
        <v>0</v>
      </c>
      <c r="L12" s="5">
        <v>2.2000000000000002</v>
      </c>
      <c r="M12" s="5">
        <f t="shared" si="4"/>
        <v>23.3</v>
      </c>
      <c r="N12" s="5">
        <v>-2.2000000000000002</v>
      </c>
      <c r="O12" s="5">
        <v>0</v>
      </c>
      <c r="P12" s="5">
        <v>7</v>
      </c>
      <c r="Q12" s="5">
        <v>0.35</v>
      </c>
      <c r="R12" s="9">
        <f t="shared" si="0"/>
        <v>0.77</v>
      </c>
      <c r="S12" s="9">
        <f t="shared" si="1"/>
        <v>-0.77</v>
      </c>
      <c r="T12" s="9">
        <f t="shared" si="6"/>
        <v>9.6050000000000022</v>
      </c>
      <c r="U12" s="8" t="s">
        <v>38</v>
      </c>
      <c r="V12" s="5">
        <v>1187.9000000000001</v>
      </c>
      <c r="X12" s="5">
        <f t="shared" si="7"/>
        <v>11906.599999999999</v>
      </c>
      <c r="AA12" s="5">
        <v>12.667095814664201</v>
      </c>
    </row>
    <row r="13" spans="1:27" s="5" customFormat="1" x14ac:dyDescent="0.25">
      <c r="A13" s="61"/>
      <c r="B13" s="6"/>
      <c r="C13" s="7">
        <v>41898</v>
      </c>
      <c r="D13" s="5">
        <v>20.399999999999999</v>
      </c>
      <c r="E13" s="5">
        <v>13.4</v>
      </c>
      <c r="F13" s="5">
        <v>26.4</v>
      </c>
      <c r="G13" s="5">
        <f t="shared" si="2"/>
        <v>145.80000000000001</v>
      </c>
      <c r="I13" s="5">
        <v>2</v>
      </c>
      <c r="J13" s="5">
        <v>0</v>
      </c>
      <c r="K13" s="5">
        <f t="shared" si="3"/>
        <v>0</v>
      </c>
      <c r="L13" s="5">
        <v>3.8</v>
      </c>
      <c r="M13" s="5">
        <f t="shared" si="4"/>
        <v>27.1</v>
      </c>
      <c r="N13" s="5">
        <v>-3.8</v>
      </c>
      <c r="O13" s="5">
        <v>0</v>
      </c>
      <c r="P13" s="5">
        <v>8</v>
      </c>
      <c r="Q13" s="5">
        <v>0.35</v>
      </c>
      <c r="R13" s="9">
        <f t="shared" si="0"/>
        <v>1.3299999999999998</v>
      </c>
      <c r="S13" s="9">
        <f t="shared" si="1"/>
        <v>-1.3299999999999998</v>
      </c>
      <c r="T13" s="9">
        <f t="shared" si="6"/>
        <v>8.2750000000000021</v>
      </c>
      <c r="U13" s="9">
        <v>0</v>
      </c>
      <c r="V13" s="5">
        <v>1648.9</v>
      </c>
      <c r="X13" s="5">
        <f t="shared" si="7"/>
        <v>13555.499999999998</v>
      </c>
      <c r="AA13" s="5">
        <v>12.6094155464097</v>
      </c>
    </row>
    <row r="14" spans="1:27" s="5" customFormat="1" x14ac:dyDescent="0.25">
      <c r="A14" s="61"/>
      <c r="B14" s="6"/>
      <c r="C14" s="7">
        <v>41899</v>
      </c>
      <c r="D14" s="5">
        <v>21.3</v>
      </c>
      <c r="E14" s="5">
        <v>17.899999999999999</v>
      </c>
      <c r="F14" s="5">
        <v>23.8</v>
      </c>
      <c r="G14" s="5">
        <f t="shared" si="2"/>
        <v>167.10000000000002</v>
      </c>
      <c r="I14" s="8" t="s">
        <v>39</v>
      </c>
      <c r="J14" s="5">
        <v>0.1</v>
      </c>
      <c r="K14" s="5">
        <f t="shared" si="3"/>
        <v>0.1</v>
      </c>
      <c r="L14" s="5">
        <v>1.9</v>
      </c>
      <c r="M14" s="5">
        <f t="shared" si="4"/>
        <v>29</v>
      </c>
      <c r="N14" s="5">
        <v>-1.7999999999999998</v>
      </c>
      <c r="O14" s="5">
        <v>0</v>
      </c>
      <c r="P14" s="5">
        <v>9</v>
      </c>
      <c r="Q14" s="5">
        <f>0.35+((P14-8)/102)*(1-0.35)</f>
        <v>0.3563725490196078</v>
      </c>
      <c r="R14" s="9">
        <f t="shared" si="0"/>
        <v>0.67710784313725481</v>
      </c>
      <c r="S14" s="9">
        <f t="shared" si="1"/>
        <v>-0.57710784313725483</v>
      </c>
      <c r="T14" s="9">
        <f t="shared" si="6"/>
        <v>7.6978921568627472</v>
      </c>
      <c r="U14" s="8" t="s">
        <v>40</v>
      </c>
      <c r="V14" s="5">
        <v>369.4</v>
      </c>
      <c r="X14" s="5">
        <f t="shared" si="7"/>
        <v>13924.899999999998</v>
      </c>
      <c r="AA14" s="5">
        <v>12.5516779716794</v>
      </c>
    </row>
    <row r="15" spans="1:27" s="5" customFormat="1" x14ac:dyDescent="0.25">
      <c r="A15" s="61"/>
      <c r="B15" s="6"/>
      <c r="C15" s="7">
        <v>41900</v>
      </c>
      <c r="D15" s="5">
        <v>20</v>
      </c>
      <c r="E15" s="5">
        <v>15.5</v>
      </c>
      <c r="F15" s="5">
        <v>25.1</v>
      </c>
      <c r="G15" s="5">
        <f t="shared" si="2"/>
        <v>187.10000000000002</v>
      </c>
      <c r="I15" s="5">
        <v>4</v>
      </c>
      <c r="J15" s="5">
        <v>0.1</v>
      </c>
      <c r="K15" s="5">
        <f t="shared" si="3"/>
        <v>0.2</v>
      </c>
      <c r="L15" s="5">
        <v>3</v>
      </c>
      <c r="M15" s="5">
        <f t="shared" si="4"/>
        <v>32</v>
      </c>
      <c r="N15" s="5">
        <v>-2.9</v>
      </c>
      <c r="O15" s="5">
        <v>0</v>
      </c>
      <c r="P15" s="5">
        <v>10</v>
      </c>
      <c r="Q15" s="5">
        <f t="shared" ref="Q15:Q78" si="8">0.35+((P15-8)/102)*(1-0.35)</f>
        <v>0.36274509803921567</v>
      </c>
      <c r="R15" s="9">
        <f t="shared" si="0"/>
        <v>1.088235294117647</v>
      </c>
      <c r="S15" s="9">
        <f t="shared" si="1"/>
        <v>-0.98823529411764699</v>
      </c>
      <c r="T15" s="9">
        <f t="shared" si="6"/>
        <v>6.7096568627451001</v>
      </c>
      <c r="U15" s="9">
        <f>MAX(T6:T115)</f>
        <v>197.4</v>
      </c>
      <c r="V15" s="5">
        <v>1500.1</v>
      </c>
      <c r="X15" s="5">
        <f t="shared" si="7"/>
        <v>15424.999999999998</v>
      </c>
      <c r="AA15" s="5">
        <v>12.4938887637508</v>
      </c>
    </row>
    <row r="16" spans="1:27" s="5" customFormat="1" x14ac:dyDescent="0.25">
      <c r="A16" s="61"/>
      <c r="B16" s="6"/>
      <c r="C16" s="7">
        <v>41901</v>
      </c>
      <c r="D16" s="5">
        <v>20.399999999999999</v>
      </c>
      <c r="E16" s="5">
        <v>15</v>
      </c>
      <c r="F16" s="5">
        <v>25.7</v>
      </c>
      <c r="G16" s="5">
        <f t="shared" si="2"/>
        <v>207.50000000000003</v>
      </c>
      <c r="I16" s="8" t="s">
        <v>41</v>
      </c>
      <c r="J16" s="5">
        <v>2.2999999999999998</v>
      </c>
      <c r="K16" s="5">
        <f t="shared" si="3"/>
        <v>2.5</v>
      </c>
      <c r="L16" s="5">
        <v>3.1</v>
      </c>
      <c r="M16" s="5">
        <f t="shared" si="4"/>
        <v>35.1</v>
      </c>
      <c r="N16" s="5">
        <v>-0.80000000000000027</v>
      </c>
      <c r="O16" s="5">
        <v>0</v>
      </c>
      <c r="P16" s="5">
        <v>11</v>
      </c>
      <c r="Q16" s="5">
        <f t="shared" si="8"/>
        <v>0.36911764705882349</v>
      </c>
      <c r="R16" s="9">
        <f t="shared" si="0"/>
        <v>1.144264705882353</v>
      </c>
      <c r="S16" s="9">
        <f t="shared" si="1"/>
        <v>1.1557352941176469</v>
      </c>
      <c r="T16" s="9">
        <f t="shared" si="6"/>
        <v>7.8653921568627467</v>
      </c>
      <c r="U16" s="8" t="s">
        <v>42</v>
      </c>
      <c r="V16" s="5">
        <v>1348.1</v>
      </c>
      <c r="X16" s="5">
        <f t="shared" si="7"/>
        <v>16773.099999999999</v>
      </c>
      <c r="AA16" s="5">
        <v>12.436053511699001</v>
      </c>
    </row>
    <row r="17" spans="1:27" s="5" customFormat="1" x14ac:dyDescent="0.25">
      <c r="A17" s="61"/>
      <c r="B17" s="6"/>
      <c r="C17" s="7">
        <v>41902</v>
      </c>
      <c r="D17" s="5">
        <v>18.399999999999999</v>
      </c>
      <c r="E17" s="5">
        <v>13.3</v>
      </c>
      <c r="F17" s="5">
        <v>21.8</v>
      </c>
      <c r="G17" s="5">
        <f t="shared" si="2"/>
        <v>225.90000000000003</v>
      </c>
      <c r="I17" s="5">
        <v>13</v>
      </c>
      <c r="J17" s="5">
        <v>0</v>
      </c>
      <c r="K17" s="5">
        <f t="shared" si="3"/>
        <v>2.5</v>
      </c>
      <c r="L17" s="5">
        <v>1.8</v>
      </c>
      <c r="M17" s="5">
        <f t="shared" si="4"/>
        <v>36.9</v>
      </c>
      <c r="N17" s="5">
        <v>-1.8</v>
      </c>
      <c r="O17" s="5">
        <v>0</v>
      </c>
      <c r="P17" s="5">
        <v>12</v>
      </c>
      <c r="Q17" s="5">
        <f t="shared" si="8"/>
        <v>0.37549019607843137</v>
      </c>
      <c r="R17" s="9">
        <f t="shared" si="0"/>
        <v>0.67588235294117649</v>
      </c>
      <c r="S17" s="9">
        <f t="shared" si="1"/>
        <v>-0.67588235294117649</v>
      </c>
      <c r="T17" s="9">
        <f t="shared" si="6"/>
        <v>7.1895098039215704</v>
      </c>
      <c r="U17" s="18">
        <f>AVERAGE(T6:T115)</f>
        <v>90.848695632798538</v>
      </c>
      <c r="V17" s="5">
        <v>914.6</v>
      </c>
      <c r="X17" s="5">
        <f t="shared" si="7"/>
        <v>17687.699999999997</v>
      </c>
      <c r="AA17" s="5">
        <v>12.378177736463099</v>
      </c>
    </row>
    <row r="18" spans="1:27" s="5" customFormat="1" x14ac:dyDescent="0.25">
      <c r="A18" s="61"/>
      <c r="B18" s="6"/>
      <c r="C18" s="7">
        <v>41903</v>
      </c>
      <c r="D18" s="5">
        <v>16.899999999999999</v>
      </c>
      <c r="E18" s="5">
        <v>15.4</v>
      </c>
      <c r="F18" s="5">
        <v>20.100000000000001</v>
      </c>
      <c r="G18" s="5">
        <f t="shared" si="2"/>
        <v>242.80000000000004</v>
      </c>
      <c r="I18" s="8" t="s">
        <v>43</v>
      </c>
      <c r="J18" s="5">
        <v>0</v>
      </c>
      <c r="K18" s="5">
        <f t="shared" si="3"/>
        <v>2.5</v>
      </c>
      <c r="L18" s="5">
        <v>1.5</v>
      </c>
      <c r="M18" s="5">
        <f t="shared" si="4"/>
        <v>38.4</v>
      </c>
      <c r="N18" s="5">
        <v>-1.5</v>
      </c>
      <c r="O18" s="5">
        <v>0</v>
      </c>
      <c r="P18" s="5">
        <v>13</v>
      </c>
      <c r="Q18" s="5">
        <f t="shared" si="8"/>
        <v>0.38186274509803919</v>
      </c>
      <c r="R18" s="9">
        <f t="shared" si="0"/>
        <v>0.57279411764705879</v>
      </c>
      <c r="S18" s="9">
        <f t="shared" si="1"/>
        <v>-0.57279411764705879</v>
      </c>
      <c r="T18" s="9">
        <f t="shared" si="6"/>
        <v>6.616715686274512</v>
      </c>
      <c r="V18" s="5">
        <v>514.6</v>
      </c>
      <c r="X18" s="5">
        <f t="shared" si="7"/>
        <v>18202.299999999996</v>
      </c>
      <c r="AA18" s="5">
        <v>12.320266906978199</v>
      </c>
    </row>
    <row r="19" spans="1:27" s="5" customFormat="1" x14ac:dyDescent="0.25">
      <c r="A19" s="61"/>
      <c r="B19" s="6"/>
      <c r="C19" s="7">
        <v>41904</v>
      </c>
      <c r="D19" s="5">
        <v>13.9</v>
      </c>
      <c r="E19" s="5">
        <v>9.8000000000000007</v>
      </c>
      <c r="F19" s="5">
        <v>18.100000000000001</v>
      </c>
      <c r="G19" s="5">
        <f t="shared" si="2"/>
        <v>256.70000000000005</v>
      </c>
      <c r="I19" s="5">
        <v>1329.4</v>
      </c>
      <c r="J19" s="5">
        <v>0</v>
      </c>
      <c r="K19" s="5">
        <f t="shared" si="3"/>
        <v>2.5</v>
      </c>
      <c r="L19" s="5">
        <v>2.2000000000000002</v>
      </c>
      <c r="M19" s="5">
        <f t="shared" si="4"/>
        <v>40.6</v>
      </c>
      <c r="N19" s="5">
        <v>-2.2000000000000002</v>
      </c>
      <c r="O19" s="5">
        <v>0</v>
      </c>
      <c r="P19" s="5">
        <v>14</v>
      </c>
      <c r="Q19" s="5">
        <f t="shared" si="8"/>
        <v>0.38823529411764701</v>
      </c>
      <c r="R19" s="9">
        <f t="shared" si="0"/>
        <v>0.85411764705882354</v>
      </c>
      <c r="S19" s="9">
        <f t="shared" si="1"/>
        <v>-0.85411764705882354</v>
      </c>
      <c r="T19" s="9">
        <f t="shared" si="6"/>
        <v>5.7625980392156881</v>
      </c>
      <c r="U19" s="9">
        <f>(U17*100)/197.4</f>
        <v>46.022642164538262</v>
      </c>
      <c r="V19" s="5">
        <v>1068.7</v>
      </c>
      <c r="X19" s="5">
        <f t="shared" si="7"/>
        <v>19270.999999999996</v>
      </c>
      <c r="AA19" s="5">
        <v>12.2623264563753</v>
      </c>
    </row>
    <row r="20" spans="1:27" s="5" customFormat="1" x14ac:dyDescent="0.25">
      <c r="A20" s="61"/>
      <c r="B20" s="6"/>
      <c r="C20" s="7">
        <v>41905</v>
      </c>
      <c r="D20" s="5">
        <v>12.7</v>
      </c>
      <c r="E20" s="5">
        <v>6.9</v>
      </c>
      <c r="F20" s="5">
        <v>18.5</v>
      </c>
      <c r="G20" s="5">
        <f t="shared" si="2"/>
        <v>269.40000000000003</v>
      </c>
      <c r="J20" s="5">
        <v>0</v>
      </c>
      <c r="K20" s="5">
        <f t="shared" si="3"/>
        <v>2.5</v>
      </c>
      <c r="L20" s="5">
        <v>3.1</v>
      </c>
      <c r="M20" s="5">
        <f t="shared" si="4"/>
        <v>43.7</v>
      </c>
      <c r="N20" s="5">
        <v>-3.1</v>
      </c>
      <c r="O20" s="5">
        <v>0</v>
      </c>
      <c r="P20" s="5">
        <v>15</v>
      </c>
      <c r="Q20" s="5">
        <f t="shared" si="8"/>
        <v>0.39460784313725489</v>
      </c>
      <c r="R20" s="9">
        <f t="shared" si="0"/>
        <v>1.2232843137254903</v>
      </c>
      <c r="S20" s="9">
        <f t="shared" si="1"/>
        <v>-1.2232843137254903</v>
      </c>
      <c r="T20" s="9">
        <f t="shared" si="6"/>
        <v>4.5393137254901976</v>
      </c>
      <c r="V20" s="5">
        <v>1788.4</v>
      </c>
      <c r="X20" s="5">
        <f t="shared" si="7"/>
        <v>21059.399999999998</v>
      </c>
      <c r="AA20" s="5">
        <v>12.2043617982565</v>
      </c>
    </row>
    <row r="21" spans="1:27" s="5" customFormat="1" x14ac:dyDescent="0.25">
      <c r="A21" s="61"/>
      <c r="B21" s="6"/>
      <c r="C21" s="7">
        <v>41906</v>
      </c>
      <c r="D21" s="5">
        <v>13.2</v>
      </c>
      <c r="E21" s="5">
        <v>6.7</v>
      </c>
      <c r="F21" s="5">
        <v>19.5</v>
      </c>
      <c r="G21" s="5">
        <f t="shared" si="2"/>
        <v>282.60000000000002</v>
      </c>
      <c r="J21" s="5">
        <v>0.2</v>
      </c>
      <c r="K21" s="5">
        <f t="shared" si="3"/>
        <v>2.7</v>
      </c>
      <c r="L21" s="5">
        <v>2</v>
      </c>
      <c r="M21" s="5">
        <f t="shared" si="4"/>
        <v>45.7</v>
      </c>
      <c r="N21" s="5">
        <v>-1.8</v>
      </c>
      <c r="O21" s="5">
        <v>0</v>
      </c>
      <c r="P21" s="5">
        <v>16</v>
      </c>
      <c r="Q21" s="5">
        <f t="shared" si="8"/>
        <v>0.40098039215686271</v>
      </c>
      <c r="R21" s="9">
        <f t="shared" si="0"/>
        <v>0.80196078431372542</v>
      </c>
      <c r="S21" s="9">
        <f t="shared" si="1"/>
        <v>-0.60196078431372535</v>
      </c>
      <c r="T21" s="9">
        <f t="shared" si="6"/>
        <v>3.9373529411764725</v>
      </c>
      <c r="V21" s="5">
        <v>979.9</v>
      </c>
      <c r="X21" s="5">
        <f t="shared" si="7"/>
        <v>22039.3</v>
      </c>
      <c r="AA21" s="5">
        <v>12.1463783430485</v>
      </c>
    </row>
    <row r="22" spans="1:27" s="5" customFormat="1" x14ac:dyDescent="0.25">
      <c r="A22" s="61"/>
      <c r="B22" s="6"/>
      <c r="C22" s="7">
        <v>41907</v>
      </c>
      <c r="D22" s="5">
        <v>13.2</v>
      </c>
      <c r="E22" s="5">
        <v>7.6</v>
      </c>
      <c r="F22" s="5">
        <v>18.100000000000001</v>
      </c>
      <c r="G22" s="5">
        <f t="shared" si="2"/>
        <v>295.8</v>
      </c>
      <c r="J22" s="5">
        <v>0.1</v>
      </c>
      <c r="K22" s="5">
        <f t="shared" si="3"/>
        <v>2.8000000000000003</v>
      </c>
      <c r="L22" s="5">
        <v>1.8</v>
      </c>
      <c r="M22" s="5">
        <f t="shared" si="4"/>
        <v>47.5</v>
      </c>
      <c r="N22" s="5">
        <v>-1.7</v>
      </c>
      <c r="O22" s="5">
        <v>0</v>
      </c>
      <c r="P22" s="5">
        <v>17</v>
      </c>
      <c r="Q22" s="5">
        <f t="shared" si="8"/>
        <v>0.40735294117647058</v>
      </c>
      <c r="R22" s="9">
        <f t="shared" si="0"/>
        <v>0.7332352941176471</v>
      </c>
      <c r="S22" s="9">
        <f t="shared" si="1"/>
        <v>-0.63323529411764712</v>
      </c>
      <c r="T22" s="9">
        <f t="shared" si="6"/>
        <v>3.3041176470588254</v>
      </c>
      <c r="V22" s="5">
        <v>1033.5</v>
      </c>
      <c r="X22" s="5">
        <f t="shared" si="7"/>
        <v>23072.799999999999</v>
      </c>
      <c r="AA22" s="5">
        <v>12.0883815144407</v>
      </c>
    </row>
    <row r="23" spans="1:27" s="5" customFormat="1" x14ac:dyDescent="0.25">
      <c r="A23" s="61"/>
      <c r="B23" s="6"/>
      <c r="C23" s="7">
        <v>41908</v>
      </c>
      <c r="D23" s="5">
        <v>14.2</v>
      </c>
      <c r="E23" s="5">
        <v>6.8</v>
      </c>
      <c r="F23" s="5">
        <v>21.6</v>
      </c>
      <c r="G23" s="5">
        <f t="shared" si="2"/>
        <v>310</v>
      </c>
      <c r="J23" s="5">
        <v>0</v>
      </c>
      <c r="K23" s="5">
        <f t="shared" si="3"/>
        <v>2.8000000000000003</v>
      </c>
      <c r="L23" s="5">
        <v>3.1</v>
      </c>
      <c r="M23" s="5">
        <f t="shared" si="4"/>
        <v>50.6</v>
      </c>
      <c r="N23" s="5">
        <v>-3.1</v>
      </c>
      <c r="O23" s="5">
        <v>0</v>
      </c>
      <c r="P23" s="5">
        <v>18</v>
      </c>
      <c r="Q23" s="5">
        <f t="shared" si="8"/>
        <v>0.4137254901960784</v>
      </c>
      <c r="R23" s="9">
        <f t="shared" si="0"/>
        <v>1.2825490196078431</v>
      </c>
      <c r="S23" s="9">
        <f t="shared" si="1"/>
        <v>-1.2825490196078431</v>
      </c>
      <c r="T23" s="9">
        <f t="shared" si="6"/>
        <v>2.0215686274509821</v>
      </c>
      <c r="V23" s="5">
        <v>1672.5</v>
      </c>
      <c r="X23" s="5">
        <f t="shared" si="7"/>
        <v>24745.3</v>
      </c>
      <c r="AA23" s="5">
        <v>12.030376765913299</v>
      </c>
    </row>
    <row r="24" spans="1:27" s="5" customFormat="1" x14ac:dyDescent="0.25">
      <c r="A24" s="61"/>
      <c r="B24" s="6"/>
      <c r="C24" s="7">
        <v>41909</v>
      </c>
      <c r="D24" s="5">
        <v>15.7</v>
      </c>
      <c r="E24" s="5">
        <v>8.9</v>
      </c>
      <c r="F24" s="5">
        <v>22.7</v>
      </c>
      <c r="G24" s="5">
        <f t="shared" si="2"/>
        <v>325.7</v>
      </c>
      <c r="J24" s="5">
        <v>0</v>
      </c>
      <c r="K24" s="5">
        <f t="shared" si="3"/>
        <v>2.8000000000000003</v>
      </c>
      <c r="L24" s="5">
        <v>3.5</v>
      </c>
      <c r="M24" s="5">
        <f t="shared" si="4"/>
        <v>54.1</v>
      </c>
      <c r="N24" s="5">
        <v>-3.5</v>
      </c>
      <c r="O24" s="5">
        <v>0</v>
      </c>
      <c r="P24" s="5">
        <v>19</v>
      </c>
      <c r="Q24" s="5">
        <f t="shared" si="8"/>
        <v>0.42009803921568623</v>
      </c>
      <c r="R24" s="9">
        <f t="shared" si="0"/>
        <v>1.4703431372549018</v>
      </c>
      <c r="S24" s="9">
        <f t="shared" si="1"/>
        <v>-1.4703431372549018</v>
      </c>
      <c r="T24" s="9">
        <f t="shared" si="6"/>
        <v>0.55122549019608025</v>
      </c>
      <c r="V24" s="5">
        <v>1740.9</v>
      </c>
      <c r="X24" s="5">
        <f t="shared" si="7"/>
        <v>26486.2</v>
      </c>
      <c r="AA24" s="5">
        <v>11.972369597360601</v>
      </c>
    </row>
    <row r="25" spans="1:27" s="5" customFormat="1" x14ac:dyDescent="0.25">
      <c r="A25" s="61"/>
      <c r="B25" s="6"/>
      <c r="C25" s="7">
        <v>41910</v>
      </c>
      <c r="D25" s="5">
        <v>16.7</v>
      </c>
      <c r="E25" s="5">
        <v>9.1999999999999993</v>
      </c>
      <c r="F25" s="5">
        <v>22.4</v>
      </c>
      <c r="G25" s="5">
        <f t="shared" si="2"/>
        <v>342.4</v>
      </c>
      <c r="J25" s="5">
        <v>0</v>
      </c>
      <c r="K25" s="5">
        <f t="shared" si="3"/>
        <v>2.8000000000000003</v>
      </c>
      <c r="L25" s="5">
        <v>2.2999999999999998</v>
      </c>
      <c r="M25" s="5">
        <f t="shared" si="4"/>
        <v>56.4</v>
      </c>
      <c r="N25" s="5">
        <v>-2.2999999999999998</v>
      </c>
      <c r="O25" s="5">
        <v>0</v>
      </c>
      <c r="P25" s="5">
        <v>20</v>
      </c>
      <c r="Q25" s="5">
        <f t="shared" si="8"/>
        <v>0.4264705882352941</v>
      </c>
      <c r="R25" s="9">
        <f t="shared" si="0"/>
        <v>0.98088235294117632</v>
      </c>
      <c r="S25" s="9">
        <f t="shared" si="1"/>
        <v>-0.98088235294117632</v>
      </c>
      <c r="T25" s="9">
        <v>0</v>
      </c>
      <c r="V25" s="5">
        <v>1290.2</v>
      </c>
      <c r="X25" s="5">
        <f t="shared" si="7"/>
        <v>27776.400000000001</v>
      </c>
      <c r="AA25" s="5">
        <v>11.9143655718154</v>
      </c>
    </row>
    <row r="26" spans="1:27" s="5" customFormat="1" x14ac:dyDescent="0.25">
      <c r="A26" s="61"/>
      <c r="B26" s="6"/>
      <c r="C26" s="7">
        <v>41911</v>
      </c>
      <c r="D26" s="5">
        <v>17.100000000000001</v>
      </c>
      <c r="E26" s="5">
        <v>14.6</v>
      </c>
      <c r="F26" s="5">
        <v>19.899999999999999</v>
      </c>
      <c r="G26" s="5">
        <f t="shared" si="2"/>
        <v>359.5</v>
      </c>
      <c r="J26" s="5">
        <v>1.4</v>
      </c>
      <c r="K26" s="5">
        <f t="shared" si="3"/>
        <v>4.2</v>
      </c>
      <c r="L26" s="5">
        <v>1.2</v>
      </c>
      <c r="M26" s="5">
        <f t="shared" si="4"/>
        <v>57.6</v>
      </c>
      <c r="N26" s="5">
        <v>0.19999999999999996</v>
      </c>
      <c r="O26" s="5">
        <f>O25+N26</f>
        <v>0.19999999999999996</v>
      </c>
      <c r="P26" s="5">
        <v>21</v>
      </c>
      <c r="Q26" s="5">
        <f t="shared" si="8"/>
        <v>0.43284313725490192</v>
      </c>
      <c r="R26" s="9">
        <f t="shared" si="0"/>
        <v>0.51941176470588224</v>
      </c>
      <c r="S26" s="9">
        <f t="shared" si="1"/>
        <v>0.88058823529411767</v>
      </c>
      <c r="T26" s="9">
        <f t="shared" si="6"/>
        <v>0.88058823529411767</v>
      </c>
      <c r="V26" s="5">
        <v>641.20000000000005</v>
      </c>
      <c r="X26" s="5">
        <f t="shared" si="7"/>
        <v>28417.600000000002</v>
      </c>
      <c r="AA26" s="5">
        <v>11.856370332278001</v>
      </c>
    </row>
    <row r="27" spans="1:27" s="5" customFormat="1" x14ac:dyDescent="0.25">
      <c r="A27" s="61"/>
      <c r="B27" s="6"/>
      <c r="C27" s="7">
        <v>41912</v>
      </c>
      <c r="D27" s="5">
        <v>16.2</v>
      </c>
      <c r="E27" s="5">
        <v>14.2</v>
      </c>
      <c r="F27" s="5">
        <v>18.7</v>
      </c>
      <c r="G27" s="5">
        <f t="shared" si="2"/>
        <v>375.7</v>
      </c>
      <c r="J27" s="5">
        <v>0.1</v>
      </c>
      <c r="K27" s="5">
        <f t="shared" si="3"/>
        <v>4.3</v>
      </c>
      <c r="L27" s="5">
        <v>1.1000000000000001</v>
      </c>
      <c r="M27" s="5">
        <f t="shared" si="4"/>
        <v>58.7</v>
      </c>
      <c r="N27" s="5">
        <v>-1</v>
      </c>
      <c r="O27" s="5">
        <v>0</v>
      </c>
      <c r="P27" s="5">
        <v>22</v>
      </c>
      <c r="Q27" s="5">
        <f t="shared" si="8"/>
        <v>0.4392156862745098</v>
      </c>
      <c r="R27" s="9">
        <f t="shared" si="0"/>
        <v>0.4831372549019608</v>
      </c>
      <c r="S27" s="9">
        <f t="shared" si="1"/>
        <v>-0.38313725490196082</v>
      </c>
      <c r="T27" s="9">
        <f t="shared" si="6"/>
        <v>0.49745098039215685</v>
      </c>
      <c r="V27" s="5">
        <v>627.6</v>
      </c>
      <c r="X27" s="5">
        <f t="shared" si="7"/>
        <v>29045.200000000001</v>
      </c>
      <c r="AA27" s="5">
        <v>11.7983896186562</v>
      </c>
    </row>
    <row r="28" spans="1:27" s="5" customFormat="1" x14ac:dyDescent="0.25">
      <c r="A28" s="61"/>
      <c r="B28" s="6"/>
      <c r="C28" s="7">
        <v>41913</v>
      </c>
      <c r="D28" s="5">
        <v>16.5</v>
      </c>
      <c r="E28" s="5">
        <v>12.1</v>
      </c>
      <c r="F28" s="5">
        <v>20.5</v>
      </c>
      <c r="G28" s="5">
        <f t="shared" si="2"/>
        <v>392.2</v>
      </c>
      <c r="J28" s="5">
        <v>0.8</v>
      </c>
      <c r="K28" s="5">
        <f t="shared" si="3"/>
        <v>5.0999999999999996</v>
      </c>
      <c r="L28" s="5">
        <v>1</v>
      </c>
      <c r="M28" s="5">
        <f t="shared" si="4"/>
        <v>59.7</v>
      </c>
      <c r="N28" s="5">
        <v>-0.19999999999999996</v>
      </c>
      <c r="O28" s="5">
        <v>0</v>
      </c>
      <c r="P28" s="5">
        <v>23</v>
      </c>
      <c r="Q28" s="5">
        <f t="shared" si="8"/>
        <v>0.44558823529411762</v>
      </c>
      <c r="R28" s="9">
        <f t="shared" si="0"/>
        <v>0.44558823529411762</v>
      </c>
      <c r="S28" s="9">
        <f t="shared" si="1"/>
        <v>0.35441176470588243</v>
      </c>
      <c r="T28" s="9">
        <f t="shared" si="6"/>
        <v>0.85186274509803928</v>
      </c>
      <c r="V28" s="5">
        <v>431.2</v>
      </c>
      <c r="X28" s="5">
        <f t="shared" si="7"/>
        <v>29476.400000000001</v>
      </c>
      <c r="AA28" s="5">
        <v>11.740429284817401</v>
      </c>
    </row>
    <row r="29" spans="1:27" s="5" customFormat="1" x14ac:dyDescent="0.25">
      <c r="A29" s="61"/>
      <c r="B29" s="6"/>
      <c r="C29" s="7">
        <v>41914</v>
      </c>
      <c r="D29" s="5">
        <v>17.600000000000001</v>
      </c>
      <c r="E29" s="5">
        <v>15.4</v>
      </c>
      <c r="F29" s="5">
        <v>21.1</v>
      </c>
      <c r="G29" s="5">
        <f t="shared" si="2"/>
        <v>409.8</v>
      </c>
      <c r="J29" s="5">
        <v>0.2</v>
      </c>
      <c r="K29" s="5">
        <f t="shared" si="3"/>
        <v>5.3</v>
      </c>
      <c r="L29" s="5">
        <v>2.2999999999999998</v>
      </c>
      <c r="M29" s="5">
        <f t="shared" si="4"/>
        <v>62</v>
      </c>
      <c r="N29" s="5">
        <v>-2.0999999999999996</v>
      </c>
      <c r="O29" s="5">
        <v>0</v>
      </c>
      <c r="P29" s="5">
        <v>24</v>
      </c>
      <c r="Q29" s="5">
        <f t="shared" si="8"/>
        <v>0.45196078431372544</v>
      </c>
      <c r="R29" s="9">
        <f t="shared" si="0"/>
        <v>1.0395098039215684</v>
      </c>
      <c r="S29" s="9">
        <f t="shared" si="1"/>
        <v>-0.83950980392156849</v>
      </c>
      <c r="T29" s="9">
        <f t="shared" si="6"/>
        <v>1.2352941176470789E-2</v>
      </c>
      <c r="V29" s="5">
        <v>1154.7</v>
      </c>
      <c r="X29" s="5">
        <f t="shared" si="7"/>
        <v>30631.100000000002</v>
      </c>
      <c r="AA29" s="5">
        <v>11.6824953157588</v>
      </c>
    </row>
    <row r="30" spans="1:27" s="5" customFormat="1" x14ac:dyDescent="0.25">
      <c r="A30" s="61"/>
      <c r="B30" s="6"/>
      <c r="C30" s="7">
        <v>41915</v>
      </c>
      <c r="D30" s="5">
        <v>16.7</v>
      </c>
      <c r="E30" s="5">
        <v>11.6</v>
      </c>
      <c r="F30" s="5">
        <v>23.1</v>
      </c>
      <c r="G30" s="5">
        <f t="shared" si="2"/>
        <v>426.5</v>
      </c>
      <c r="J30" s="5">
        <v>0.1</v>
      </c>
      <c r="K30" s="5">
        <f t="shared" si="3"/>
        <v>5.3999999999999995</v>
      </c>
      <c r="L30" s="5">
        <v>2.8</v>
      </c>
      <c r="M30" s="5">
        <f t="shared" si="4"/>
        <v>64.8</v>
      </c>
      <c r="N30" s="5">
        <v>-2.6999999999999997</v>
      </c>
      <c r="O30" s="5">
        <v>0</v>
      </c>
      <c r="P30" s="5">
        <v>25</v>
      </c>
      <c r="Q30" s="5">
        <f t="shared" si="8"/>
        <v>0.45833333333333331</v>
      </c>
      <c r="R30" s="9">
        <f t="shared" si="0"/>
        <v>1.2833333333333332</v>
      </c>
      <c r="S30" s="9">
        <f t="shared" si="1"/>
        <v>-1.1833333333333331</v>
      </c>
      <c r="T30" s="9">
        <v>0</v>
      </c>
      <c r="V30" s="5">
        <v>1418.4</v>
      </c>
      <c r="X30" s="5">
        <f t="shared" si="7"/>
        <v>32049.500000000004</v>
      </c>
      <c r="AA30" s="5">
        <v>11.624593844895101</v>
      </c>
    </row>
    <row r="31" spans="1:27" s="5" customFormat="1" x14ac:dyDescent="0.25">
      <c r="A31" s="61"/>
      <c r="B31" s="6"/>
      <c r="C31" s="7">
        <v>41916</v>
      </c>
      <c r="D31" s="5">
        <v>13.6</v>
      </c>
      <c r="E31" s="5">
        <v>12.5</v>
      </c>
      <c r="F31" s="5">
        <v>18.7</v>
      </c>
      <c r="G31" s="5">
        <f t="shared" si="2"/>
        <v>440.1</v>
      </c>
      <c r="J31" s="5">
        <v>9.3000000000000007</v>
      </c>
      <c r="K31" s="5">
        <f t="shared" si="3"/>
        <v>14.7</v>
      </c>
      <c r="L31" s="5">
        <v>1.3</v>
      </c>
      <c r="M31" s="5">
        <f t="shared" si="4"/>
        <v>66.099999999999994</v>
      </c>
      <c r="N31" s="5">
        <v>8</v>
      </c>
      <c r="O31" s="5">
        <f t="shared" ref="O31:O94" si="9">O30+N31</f>
        <v>8</v>
      </c>
      <c r="P31" s="5">
        <v>26</v>
      </c>
      <c r="Q31" s="5">
        <f t="shared" si="8"/>
        <v>0.46470588235294119</v>
      </c>
      <c r="R31" s="9">
        <f t="shared" si="0"/>
        <v>0.60411764705882354</v>
      </c>
      <c r="S31" s="9">
        <f t="shared" si="1"/>
        <v>8.6958823529411777</v>
      </c>
      <c r="T31" s="9">
        <f t="shared" si="6"/>
        <v>8.6958823529411777</v>
      </c>
      <c r="V31" s="5">
        <v>531.79999999999995</v>
      </c>
      <c r="X31" s="5">
        <f t="shared" si="7"/>
        <v>32581.300000000003</v>
      </c>
      <c r="AA31" s="5">
        <v>11.566731171465699</v>
      </c>
    </row>
    <row r="32" spans="1:27" s="5" customFormat="1" x14ac:dyDescent="0.25">
      <c r="A32" s="61"/>
      <c r="B32" s="6"/>
      <c r="C32" s="7">
        <v>41917</v>
      </c>
      <c r="D32" s="5">
        <v>10.8</v>
      </c>
      <c r="E32" s="5">
        <v>5.0999999999999996</v>
      </c>
      <c r="F32" s="5">
        <v>16.399999999999999</v>
      </c>
      <c r="G32" s="5">
        <f t="shared" si="2"/>
        <v>450.90000000000003</v>
      </c>
      <c r="J32" s="5">
        <v>0.3</v>
      </c>
      <c r="K32" s="5">
        <f t="shared" si="3"/>
        <v>15</v>
      </c>
      <c r="L32" s="5">
        <v>1.7</v>
      </c>
      <c r="M32" s="5">
        <f t="shared" si="4"/>
        <v>67.8</v>
      </c>
      <c r="N32" s="5">
        <v>-1.4</v>
      </c>
      <c r="O32" s="5">
        <f t="shared" si="9"/>
        <v>6.6</v>
      </c>
      <c r="P32" s="5">
        <v>27</v>
      </c>
      <c r="Q32" s="5">
        <f t="shared" si="8"/>
        <v>0.47107843137254901</v>
      </c>
      <c r="R32" s="9">
        <f t="shared" si="0"/>
        <v>0.80083333333333329</v>
      </c>
      <c r="S32" s="9">
        <f t="shared" si="1"/>
        <v>-0.50083333333333324</v>
      </c>
      <c r="T32" s="9">
        <f t="shared" si="6"/>
        <v>8.1950490196078452</v>
      </c>
      <c r="V32" s="5">
        <v>1052.9000000000001</v>
      </c>
      <c r="X32" s="5">
        <f t="shared" si="7"/>
        <v>33634.200000000004</v>
      </c>
      <c r="AA32" s="5">
        <v>11.5089137780611</v>
      </c>
    </row>
    <row r="33" spans="1:27" s="5" customFormat="1" x14ac:dyDescent="0.25">
      <c r="A33" s="61"/>
      <c r="B33" s="6"/>
      <c r="C33" s="7">
        <v>41918</v>
      </c>
      <c r="D33" s="5">
        <v>12.2</v>
      </c>
      <c r="E33" s="5">
        <v>9.1999999999999993</v>
      </c>
      <c r="F33" s="5">
        <v>13.7</v>
      </c>
      <c r="G33" s="5">
        <f t="shared" si="2"/>
        <v>463.1</v>
      </c>
      <c r="J33" s="5">
        <v>9.1999999999999993</v>
      </c>
      <c r="K33" s="5">
        <f t="shared" si="3"/>
        <v>24.2</v>
      </c>
      <c r="L33" s="5">
        <v>0.6</v>
      </c>
      <c r="M33" s="5">
        <f t="shared" si="4"/>
        <v>68.399999999999991</v>
      </c>
      <c r="N33" s="5">
        <v>8.6</v>
      </c>
      <c r="O33" s="5">
        <f t="shared" si="9"/>
        <v>15.2</v>
      </c>
      <c r="P33" s="5">
        <v>28</v>
      </c>
      <c r="Q33" s="5">
        <f t="shared" si="8"/>
        <v>0.47745098039215683</v>
      </c>
      <c r="R33" s="9">
        <f t="shared" si="0"/>
        <v>0.28647058823529409</v>
      </c>
      <c r="S33" s="9">
        <f t="shared" si="1"/>
        <v>8.9135294117647046</v>
      </c>
      <c r="T33" s="9">
        <f t="shared" si="6"/>
        <v>17.10857843137255</v>
      </c>
      <c r="V33" s="5">
        <v>209.1</v>
      </c>
      <c r="X33" s="5">
        <f t="shared" si="7"/>
        <v>33843.300000000003</v>
      </c>
      <c r="AA33" s="5">
        <v>11.451148348265299</v>
      </c>
    </row>
    <row r="34" spans="1:27" s="5" customFormat="1" x14ac:dyDescent="0.25">
      <c r="A34" s="61"/>
      <c r="B34" s="6"/>
      <c r="C34" s="7">
        <v>41919</v>
      </c>
      <c r="D34" s="5">
        <v>13.5</v>
      </c>
      <c r="E34" s="5">
        <v>11.1</v>
      </c>
      <c r="F34" s="5">
        <v>16.600000000000001</v>
      </c>
      <c r="G34" s="5">
        <f t="shared" si="2"/>
        <v>476.6</v>
      </c>
      <c r="J34" s="5">
        <v>4.4000000000000004</v>
      </c>
      <c r="K34" s="5">
        <f t="shared" si="3"/>
        <v>28.6</v>
      </c>
      <c r="L34" s="5">
        <v>1.3</v>
      </c>
      <c r="M34" s="5">
        <f t="shared" si="4"/>
        <v>69.699999999999989</v>
      </c>
      <c r="N34" s="5">
        <v>3.1000000000000005</v>
      </c>
      <c r="O34" s="5">
        <f t="shared" si="9"/>
        <v>18.3</v>
      </c>
      <c r="P34" s="5">
        <v>29</v>
      </c>
      <c r="Q34" s="5">
        <f t="shared" si="8"/>
        <v>0.48382352941176465</v>
      </c>
      <c r="R34" s="9">
        <f t="shared" si="0"/>
        <v>0.62897058823529406</v>
      </c>
      <c r="S34" s="9">
        <f t="shared" si="1"/>
        <v>3.7710294117647063</v>
      </c>
      <c r="T34" s="9">
        <f t="shared" si="6"/>
        <v>20.879607843137258</v>
      </c>
      <c r="V34" s="5">
        <v>675.1</v>
      </c>
      <c r="X34" s="5">
        <f t="shared" si="7"/>
        <v>34518.400000000001</v>
      </c>
      <c r="AA34" s="5">
        <v>11.393441784411801</v>
      </c>
    </row>
    <row r="35" spans="1:27" s="5" customFormat="1" x14ac:dyDescent="0.25">
      <c r="A35" s="61"/>
      <c r="B35" s="6"/>
      <c r="C35" s="7">
        <v>41920</v>
      </c>
      <c r="D35" s="5">
        <v>15.3</v>
      </c>
      <c r="E35" s="5">
        <v>13.4</v>
      </c>
      <c r="F35" s="5">
        <v>18.399999999999999</v>
      </c>
      <c r="G35" s="5">
        <f t="shared" si="2"/>
        <v>491.90000000000003</v>
      </c>
      <c r="J35" s="5">
        <v>4.8</v>
      </c>
      <c r="K35" s="5">
        <f t="shared" si="3"/>
        <v>33.4</v>
      </c>
      <c r="L35" s="5">
        <v>1.5</v>
      </c>
      <c r="M35" s="5">
        <f t="shared" si="4"/>
        <v>71.199999999999989</v>
      </c>
      <c r="N35" s="5">
        <v>3.3</v>
      </c>
      <c r="O35" s="5">
        <f t="shared" si="9"/>
        <v>21.6</v>
      </c>
      <c r="P35" s="5">
        <v>30</v>
      </c>
      <c r="Q35" s="5">
        <f t="shared" si="8"/>
        <v>0.49019607843137253</v>
      </c>
      <c r="R35" s="9">
        <f t="shared" si="0"/>
        <v>0.73529411764705876</v>
      </c>
      <c r="S35" s="9">
        <f t="shared" si="1"/>
        <v>4.0647058823529409</v>
      </c>
      <c r="T35" s="9">
        <f t="shared" si="6"/>
        <v>24.944313725490197</v>
      </c>
      <c r="V35" s="5">
        <v>499.9</v>
      </c>
      <c r="X35" s="5">
        <f t="shared" si="7"/>
        <v>35018.300000000003</v>
      </c>
      <c r="AA35" s="5">
        <v>11.335801225446801</v>
      </c>
    </row>
    <row r="36" spans="1:27" s="5" customFormat="1" x14ac:dyDescent="0.25">
      <c r="A36" s="61"/>
      <c r="B36" s="6"/>
      <c r="C36" s="7">
        <v>41921</v>
      </c>
      <c r="D36" s="5">
        <v>12.6</v>
      </c>
      <c r="E36" s="5">
        <v>11.8</v>
      </c>
      <c r="F36" s="5">
        <v>14.4</v>
      </c>
      <c r="G36" s="5">
        <f t="shared" si="2"/>
        <v>504.50000000000006</v>
      </c>
      <c r="J36" s="5">
        <v>1.5</v>
      </c>
      <c r="K36" s="5">
        <f t="shared" si="3"/>
        <v>34.9</v>
      </c>
      <c r="L36" s="5">
        <v>1</v>
      </c>
      <c r="M36" s="5">
        <f t="shared" si="4"/>
        <v>72.199999999999989</v>
      </c>
      <c r="N36" s="5">
        <v>0.5</v>
      </c>
      <c r="O36" s="5">
        <f t="shared" si="9"/>
        <v>22.1</v>
      </c>
      <c r="P36" s="5">
        <v>31</v>
      </c>
      <c r="Q36" s="5">
        <f t="shared" si="8"/>
        <v>0.4965686274509804</v>
      </c>
      <c r="R36" s="9">
        <f t="shared" si="0"/>
        <v>0.4965686274509804</v>
      </c>
      <c r="S36" s="9">
        <f t="shared" si="1"/>
        <v>1.0034313725490196</v>
      </c>
      <c r="T36" s="9">
        <f t="shared" si="6"/>
        <v>25.947745098039217</v>
      </c>
      <c r="V36" s="5">
        <v>567.20000000000005</v>
      </c>
      <c r="X36" s="5">
        <f t="shared" si="7"/>
        <v>35585.5</v>
      </c>
      <c r="AA36" s="5">
        <v>11.278234064892301</v>
      </c>
    </row>
    <row r="37" spans="1:27" s="5" customFormat="1" x14ac:dyDescent="0.25">
      <c r="A37" s="61"/>
      <c r="B37" s="6"/>
      <c r="C37" s="7">
        <v>41922</v>
      </c>
      <c r="D37" s="5">
        <v>13</v>
      </c>
      <c r="E37" s="5">
        <v>9.1</v>
      </c>
      <c r="F37" s="5">
        <v>18.3</v>
      </c>
      <c r="G37" s="5">
        <f t="shared" si="2"/>
        <v>517.5</v>
      </c>
      <c r="J37" s="5">
        <v>0.7</v>
      </c>
      <c r="K37" s="5">
        <f t="shared" si="3"/>
        <v>35.6</v>
      </c>
      <c r="L37" s="5">
        <v>2.1</v>
      </c>
      <c r="M37" s="5">
        <f t="shared" si="4"/>
        <v>74.299999999999983</v>
      </c>
      <c r="N37" s="5">
        <v>-1.4000000000000001</v>
      </c>
      <c r="O37" s="5">
        <f t="shared" si="9"/>
        <v>20.700000000000003</v>
      </c>
      <c r="P37" s="5">
        <v>32</v>
      </c>
      <c r="Q37" s="5">
        <f t="shared" si="8"/>
        <v>0.50294117647058822</v>
      </c>
      <c r="R37" s="9">
        <f t="shared" si="0"/>
        <v>1.0561764705882353</v>
      </c>
      <c r="S37" s="9">
        <f t="shared" si="1"/>
        <v>-0.35617647058823532</v>
      </c>
      <c r="T37" s="9">
        <f t="shared" si="6"/>
        <v>25.591568627450982</v>
      </c>
      <c r="V37" s="5">
        <v>1071.4000000000001</v>
      </c>
      <c r="X37" s="5">
        <f t="shared" si="7"/>
        <v>36656.9</v>
      </c>
      <c r="AA37" s="5">
        <v>11.220747968898101</v>
      </c>
    </row>
    <row r="38" spans="1:27" s="5" customFormat="1" x14ac:dyDescent="0.25">
      <c r="A38" s="61"/>
      <c r="B38" s="6"/>
      <c r="C38" s="7">
        <v>41923</v>
      </c>
      <c r="D38" s="5">
        <v>13.6</v>
      </c>
      <c r="E38" s="5">
        <v>9.8000000000000007</v>
      </c>
      <c r="F38" s="5">
        <v>18.2</v>
      </c>
      <c r="G38" s="5">
        <f t="shared" si="2"/>
        <v>531.1</v>
      </c>
      <c r="J38" s="5">
        <v>1.9</v>
      </c>
      <c r="K38" s="5">
        <f t="shared" si="3"/>
        <v>37.5</v>
      </c>
      <c r="L38" s="5">
        <v>1.8</v>
      </c>
      <c r="M38" s="5">
        <f t="shared" si="4"/>
        <v>76.09999999999998</v>
      </c>
      <c r="N38" s="5">
        <v>9.9999999999999867E-2</v>
      </c>
      <c r="O38" s="5">
        <f t="shared" si="9"/>
        <v>20.800000000000004</v>
      </c>
      <c r="P38" s="5">
        <v>33</v>
      </c>
      <c r="Q38" s="5">
        <f t="shared" si="8"/>
        <v>0.50931372549019605</v>
      </c>
      <c r="R38" s="9">
        <f t="shared" si="0"/>
        <v>0.91676470588235293</v>
      </c>
      <c r="S38" s="9">
        <f t="shared" si="1"/>
        <v>0.98323529411764699</v>
      </c>
      <c r="T38" s="9">
        <f t="shared" si="6"/>
        <v>26.57480392156863</v>
      </c>
      <c r="V38" s="5">
        <v>932.5</v>
      </c>
      <c r="X38" s="5">
        <f t="shared" si="7"/>
        <v>37589.4</v>
      </c>
      <c r="AA38" s="5">
        <v>11.163350894371</v>
      </c>
    </row>
    <row r="39" spans="1:27" s="5" customFormat="1" x14ac:dyDescent="0.25">
      <c r="A39" s="61"/>
      <c r="B39" s="6"/>
      <c r="C39" s="7">
        <v>41924</v>
      </c>
      <c r="D39" s="5">
        <v>13.2</v>
      </c>
      <c r="E39" s="5">
        <v>10.199999999999999</v>
      </c>
      <c r="F39" s="5">
        <v>15.6</v>
      </c>
      <c r="G39" s="5">
        <f t="shared" si="2"/>
        <v>544.30000000000007</v>
      </c>
      <c r="J39" s="5">
        <v>24</v>
      </c>
      <c r="K39" s="5">
        <f t="shared" si="3"/>
        <v>61.5</v>
      </c>
      <c r="L39" s="5">
        <v>0.5</v>
      </c>
      <c r="M39" s="5">
        <f t="shared" si="4"/>
        <v>76.59999999999998</v>
      </c>
      <c r="N39" s="5">
        <v>23.5</v>
      </c>
      <c r="O39" s="5">
        <f t="shared" si="9"/>
        <v>44.300000000000004</v>
      </c>
      <c r="P39" s="5">
        <v>34</v>
      </c>
      <c r="Q39" s="5">
        <f t="shared" si="8"/>
        <v>0.51568627450980387</v>
      </c>
      <c r="R39" s="9">
        <f t="shared" si="0"/>
        <v>0.25784313725490193</v>
      </c>
      <c r="S39" s="9">
        <f t="shared" si="1"/>
        <v>23.742156862745098</v>
      </c>
      <c r="T39" s="9">
        <f t="shared" si="6"/>
        <v>50.316960784313729</v>
      </c>
      <c r="V39" s="5">
        <v>206.4</v>
      </c>
      <c r="X39" s="5">
        <f t="shared" si="7"/>
        <v>37795.800000000003</v>
      </c>
      <c r="AA39" s="5">
        <v>11.1060511071659</v>
      </c>
    </row>
    <row r="40" spans="1:27" s="5" customFormat="1" x14ac:dyDescent="0.25">
      <c r="A40" s="61"/>
      <c r="B40" s="6"/>
      <c r="C40" s="7">
        <v>41925</v>
      </c>
      <c r="D40" s="5">
        <v>12.5</v>
      </c>
      <c r="E40" s="5">
        <v>11.9</v>
      </c>
      <c r="F40" s="5">
        <v>15.8</v>
      </c>
      <c r="G40" s="5">
        <f t="shared" si="2"/>
        <v>556.80000000000007</v>
      </c>
      <c r="J40" s="5">
        <v>0</v>
      </c>
      <c r="K40" s="5">
        <f t="shared" si="3"/>
        <v>61.5</v>
      </c>
      <c r="L40" s="5">
        <v>1.6</v>
      </c>
      <c r="M40" s="5">
        <f t="shared" si="4"/>
        <v>78.199999999999974</v>
      </c>
      <c r="N40" s="5">
        <v>-1.6</v>
      </c>
      <c r="O40" s="5">
        <f t="shared" si="9"/>
        <v>42.7</v>
      </c>
      <c r="P40" s="5">
        <v>35</v>
      </c>
      <c r="Q40" s="5">
        <f t="shared" si="8"/>
        <v>0.52205882352941169</v>
      </c>
      <c r="R40" s="9">
        <f t="shared" si="0"/>
        <v>0.83529411764705874</v>
      </c>
      <c r="S40" s="9">
        <f t="shared" si="1"/>
        <v>-0.83529411764705874</v>
      </c>
      <c r="T40" s="9">
        <f t="shared" si="6"/>
        <v>49.481666666666669</v>
      </c>
      <c r="V40" s="5">
        <v>383.2</v>
      </c>
      <c r="X40" s="5">
        <f t="shared" si="7"/>
        <v>38179</v>
      </c>
      <c r="AA40" s="5">
        <v>11.0488572003194</v>
      </c>
    </row>
    <row r="41" spans="1:27" s="5" customFormat="1" x14ac:dyDescent="0.25">
      <c r="A41" s="61"/>
      <c r="B41" s="6"/>
      <c r="C41" s="7">
        <v>41926</v>
      </c>
      <c r="D41" s="5">
        <v>11.5</v>
      </c>
      <c r="E41" s="5">
        <v>4.5999999999999996</v>
      </c>
      <c r="F41" s="5">
        <v>16.8</v>
      </c>
      <c r="G41" s="5">
        <f t="shared" si="2"/>
        <v>568.30000000000007</v>
      </c>
      <c r="J41" s="5">
        <v>0</v>
      </c>
      <c r="K41" s="5">
        <f t="shared" si="3"/>
        <v>61.5</v>
      </c>
      <c r="L41" s="5">
        <v>1.7</v>
      </c>
      <c r="M41" s="5">
        <f t="shared" si="4"/>
        <v>79.899999999999977</v>
      </c>
      <c r="N41" s="5">
        <v>-1.7</v>
      </c>
      <c r="O41" s="5">
        <f t="shared" si="9"/>
        <v>41</v>
      </c>
      <c r="P41" s="5">
        <v>36</v>
      </c>
      <c r="Q41" s="5">
        <f t="shared" si="8"/>
        <v>0.52843137254901962</v>
      </c>
      <c r="R41" s="9">
        <f t="shared" si="0"/>
        <v>0.89833333333333332</v>
      </c>
      <c r="S41" s="9">
        <f t="shared" si="1"/>
        <v>-0.89833333333333332</v>
      </c>
      <c r="T41" s="9">
        <f t="shared" si="6"/>
        <v>48.583333333333336</v>
      </c>
      <c r="V41" s="5">
        <v>1157.9000000000001</v>
      </c>
      <c r="X41" s="5">
        <f t="shared" si="7"/>
        <v>39336.9</v>
      </c>
      <c r="AA41" s="5">
        <v>10.9917781123049</v>
      </c>
    </row>
    <row r="42" spans="1:27" s="5" customFormat="1" x14ac:dyDescent="0.25">
      <c r="A42" s="61"/>
      <c r="B42" s="6"/>
      <c r="C42" s="7">
        <v>41927</v>
      </c>
      <c r="D42" s="5">
        <v>15</v>
      </c>
      <c r="E42" s="5">
        <v>12.3</v>
      </c>
      <c r="F42" s="5">
        <v>16</v>
      </c>
      <c r="G42" s="5">
        <f t="shared" si="2"/>
        <v>583.30000000000007</v>
      </c>
      <c r="J42" s="5">
        <v>8.5</v>
      </c>
      <c r="K42" s="5">
        <f t="shared" si="3"/>
        <v>70</v>
      </c>
      <c r="L42" s="5">
        <v>0.6</v>
      </c>
      <c r="M42" s="5">
        <f t="shared" si="4"/>
        <v>80.499999999999972</v>
      </c>
      <c r="N42" s="5">
        <v>7.9</v>
      </c>
      <c r="O42" s="5">
        <f t="shared" si="9"/>
        <v>48.9</v>
      </c>
      <c r="P42" s="5">
        <v>37</v>
      </c>
      <c r="Q42" s="5">
        <f t="shared" si="8"/>
        <v>0.53480392156862744</v>
      </c>
      <c r="R42" s="9">
        <f t="shared" si="0"/>
        <v>0.32088235294117645</v>
      </c>
      <c r="S42" s="9">
        <f t="shared" si="1"/>
        <v>8.179117647058824</v>
      </c>
      <c r="T42" s="9">
        <f t="shared" si="6"/>
        <v>56.76245098039216</v>
      </c>
      <c r="V42" s="5">
        <v>341.2</v>
      </c>
      <c r="X42" s="5">
        <f t="shared" si="7"/>
        <v>39678.1</v>
      </c>
      <c r="AA42" s="5">
        <v>10.9348231452836</v>
      </c>
    </row>
    <row r="43" spans="1:27" s="5" customFormat="1" x14ac:dyDescent="0.25">
      <c r="A43" s="61"/>
      <c r="B43" s="6"/>
      <c r="C43" s="7">
        <v>41928</v>
      </c>
      <c r="D43" s="5">
        <v>15.5</v>
      </c>
      <c r="E43" s="5">
        <v>14.2</v>
      </c>
      <c r="F43" s="5">
        <v>17.2</v>
      </c>
      <c r="G43" s="5">
        <f t="shared" si="2"/>
        <v>598.80000000000007</v>
      </c>
      <c r="J43" s="5">
        <v>12.6</v>
      </c>
      <c r="K43" s="5">
        <f t="shared" si="3"/>
        <v>82.6</v>
      </c>
      <c r="L43" s="5">
        <v>0.9</v>
      </c>
      <c r="M43" s="5">
        <f t="shared" si="4"/>
        <v>81.399999999999977</v>
      </c>
      <c r="N43" s="5">
        <v>11.7</v>
      </c>
      <c r="O43" s="5">
        <f t="shared" si="9"/>
        <v>60.599999999999994</v>
      </c>
      <c r="P43" s="5">
        <v>38</v>
      </c>
      <c r="Q43" s="5">
        <f t="shared" si="8"/>
        <v>0.54117647058823526</v>
      </c>
      <c r="R43" s="9">
        <f t="shared" si="0"/>
        <v>0.48705882352941177</v>
      </c>
      <c r="S43" s="9">
        <f t="shared" si="1"/>
        <v>12.112941176470589</v>
      </c>
      <c r="T43" s="9">
        <f t="shared" si="6"/>
        <v>68.875392156862745</v>
      </c>
      <c r="V43" s="5">
        <v>274.3</v>
      </c>
      <c r="X43" s="5">
        <f t="shared" si="7"/>
        <v>39952.400000000001</v>
      </c>
      <c r="AA43" s="5">
        <v>10.878001983322999</v>
      </c>
    </row>
    <row r="44" spans="1:27" s="5" customFormat="1" x14ac:dyDescent="0.25">
      <c r="A44" s="61"/>
      <c r="B44" s="6"/>
      <c r="C44" s="7">
        <v>41929</v>
      </c>
      <c r="D44" s="5">
        <v>17.2</v>
      </c>
      <c r="E44" s="5">
        <v>14.6</v>
      </c>
      <c r="F44" s="5">
        <v>19.100000000000001</v>
      </c>
      <c r="G44" s="5">
        <f t="shared" si="2"/>
        <v>616.00000000000011</v>
      </c>
      <c r="J44" s="5">
        <v>0.1</v>
      </c>
      <c r="K44" s="5">
        <f t="shared" si="3"/>
        <v>82.699999999999989</v>
      </c>
      <c r="L44" s="5">
        <v>0.9</v>
      </c>
      <c r="M44" s="5">
        <f t="shared" si="4"/>
        <v>82.299999999999983</v>
      </c>
      <c r="N44" s="5">
        <v>-0.8</v>
      </c>
      <c r="O44" s="5">
        <f t="shared" si="9"/>
        <v>59.8</v>
      </c>
      <c r="P44" s="5">
        <v>39</v>
      </c>
      <c r="Q44" s="5">
        <f t="shared" si="8"/>
        <v>0.54754901960784308</v>
      </c>
      <c r="R44" s="9">
        <f t="shared" si="0"/>
        <v>0.49279411764705877</v>
      </c>
      <c r="S44" s="9">
        <f t="shared" si="1"/>
        <v>-0.39279411764705874</v>
      </c>
      <c r="T44" s="9">
        <f t="shared" si="6"/>
        <v>68.482598039215688</v>
      </c>
      <c r="V44" s="5">
        <v>444.9</v>
      </c>
      <c r="X44" s="5">
        <f t="shared" si="7"/>
        <v>40397.300000000003</v>
      </c>
      <c r="AA44" s="5">
        <v>10.8213247105489</v>
      </c>
    </row>
    <row r="45" spans="1:27" s="5" customFormat="1" x14ac:dyDescent="0.25">
      <c r="A45" s="61"/>
      <c r="B45" s="6"/>
      <c r="C45" s="7">
        <v>41930</v>
      </c>
      <c r="D45" s="5">
        <v>19</v>
      </c>
      <c r="E45" s="5">
        <v>15.8</v>
      </c>
      <c r="F45" s="5">
        <v>24.3</v>
      </c>
      <c r="G45" s="5">
        <f t="shared" si="2"/>
        <v>635.00000000000011</v>
      </c>
      <c r="J45" s="5">
        <v>0.1</v>
      </c>
      <c r="K45" s="5">
        <f t="shared" si="3"/>
        <v>82.799999999999983</v>
      </c>
      <c r="L45" s="5">
        <v>2.9</v>
      </c>
      <c r="M45" s="5">
        <f t="shared" si="4"/>
        <v>85.199999999999989</v>
      </c>
      <c r="N45" s="5">
        <v>-2.8</v>
      </c>
      <c r="O45" s="5">
        <f t="shared" si="9"/>
        <v>57</v>
      </c>
      <c r="P45" s="5">
        <v>40</v>
      </c>
      <c r="Q45" s="5">
        <f t="shared" si="8"/>
        <v>0.55392156862745101</v>
      </c>
      <c r="R45" s="9">
        <f t="shared" si="0"/>
        <v>1.6063725490196079</v>
      </c>
      <c r="S45" s="9">
        <f t="shared" si="1"/>
        <v>-1.5063725490196078</v>
      </c>
      <c r="T45" s="9">
        <f t="shared" si="6"/>
        <v>66.976225490196086</v>
      </c>
      <c r="V45" s="5">
        <v>1156.8</v>
      </c>
      <c r="X45" s="5">
        <f t="shared" si="7"/>
        <v>41554.100000000006</v>
      </c>
      <c r="AA45" s="5">
        <v>10.764801829194701</v>
      </c>
    </row>
    <row r="46" spans="1:27" s="5" customFormat="1" x14ac:dyDescent="0.25">
      <c r="A46" s="61"/>
      <c r="B46" s="6"/>
      <c r="C46" s="7">
        <v>41931</v>
      </c>
      <c r="D46" s="5">
        <v>17</v>
      </c>
      <c r="E46" s="5">
        <v>14.5</v>
      </c>
      <c r="F46" s="5">
        <v>22.1</v>
      </c>
      <c r="G46" s="5">
        <f t="shared" si="2"/>
        <v>652.00000000000011</v>
      </c>
      <c r="J46" s="5">
        <v>0</v>
      </c>
      <c r="K46" s="5">
        <f t="shared" si="3"/>
        <v>82.799999999999983</v>
      </c>
      <c r="L46" s="5">
        <v>1.8</v>
      </c>
      <c r="M46" s="5">
        <f t="shared" si="4"/>
        <v>86.999999999999986</v>
      </c>
      <c r="N46" s="5">
        <v>-1.8</v>
      </c>
      <c r="O46" s="5">
        <f t="shared" si="9"/>
        <v>55.2</v>
      </c>
      <c r="P46" s="5">
        <v>41</v>
      </c>
      <c r="Q46" s="5">
        <f t="shared" si="8"/>
        <v>0.56029411764705883</v>
      </c>
      <c r="R46" s="9">
        <f t="shared" si="0"/>
        <v>1.0085294117647059</v>
      </c>
      <c r="S46" s="9">
        <f t="shared" si="1"/>
        <v>-1.0085294117647059</v>
      </c>
      <c r="T46" s="9">
        <f t="shared" si="6"/>
        <v>65.967696078431374</v>
      </c>
      <c r="V46" s="5">
        <v>591.20000000000005</v>
      </c>
      <c r="X46" s="5">
        <f t="shared" si="7"/>
        <v>42145.3</v>
      </c>
      <c r="AA46" s="5">
        <v>10.7084442775047</v>
      </c>
    </row>
    <row r="47" spans="1:27" s="5" customFormat="1" x14ac:dyDescent="0.25">
      <c r="A47" s="61"/>
      <c r="B47" s="6"/>
      <c r="C47" s="7">
        <v>41932</v>
      </c>
      <c r="D47" s="5">
        <v>13.5</v>
      </c>
      <c r="E47" s="5">
        <v>12.9</v>
      </c>
      <c r="F47" s="5">
        <v>15.3</v>
      </c>
      <c r="G47" s="5">
        <f t="shared" si="2"/>
        <v>665.50000000000011</v>
      </c>
      <c r="J47" s="5">
        <v>1.4</v>
      </c>
      <c r="K47" s="5">
        <f t="shared" si="3"/>
        <v>84.199999999999989</v>
      </c>
      <c r="L47" s="5">
        <v>0.7</v>
      </c>
      <c r="M47" s="5">
        <f t="shared" si="4"/>
        <v>87.699999999999989</v>
      </c>
      <c r="N47" s="5">
        <v>0.7</v>
      </c>
      <c r="O47" s="5">
        <f t="shared" si="9"/>
        <v>55.900000000000006</v>
      </c>
      <c r="P47" s="5">
        <v>42</v>
      </c>
      <c r="Q47" s="5">
        <f t="shared" si="8"/>
        <v>0.56666666666666665</v>
      </c>
      <c r="R47" s="9">
        <f t="shared" si="0"/>
        <v>0.39666666666666661</v>
      </c>
      <c r="S47" s="9">
        <f t="shared" si="1"/>
        <v>1.0033333333333334</v>
      </c>
      <c r="T47" s="9">
        <f t="shared" si="6"/>
        <v>66.971029411764704</v>
      </c>
      <c r="V47" s="5">
        <v>235.7</v>
      </c>
      <c r="X47" s="5">
        <f t="shared" si="7"/>
        <v>42381</v>
      </c>
      <c r="AA47" s="5">
        <v>10.652263447446201</v>
      </c>
    </row>
    <row r="48" spans="1:27" s="5" customFormat="1" x14ac:dyDescent="0.25">
      <c r="A48" s="61"/>
      <c r="B48" s="6"/>
      <c r="C48" s="7">
        <v>41933</v>
      </c>
      <c r="D48" s="5">
        <v>12.9</v>
      </c>
      <c r="E48" s="5">
        <v>11.7</v>
      </c>
      <c r="F48" s="5">
        <v>15.3</v>
      </c>
      <c r="G48" s="5">
        <f t="shared" si="2"/>
        <v>678.40000000000009</v>
      </c>
      <c r="J48" s="5">
        <v>0.5</v>
      </c>
      <c r="K48" s="5">
        <f t="shared" si="3"/>
        <v>84.699999999999989</v>
      </c>
      <c r="L48" s="5">
        <v>2.1</v>
      </c>
      <c r="M48" s="5">
        <f t="shared" si="4"/>
        <v>89.799999999999983</v>
      </c>
      <c r="N48" s="5">
        <v>-1.6</v>
      </c>
      <c r="O48" s="5">
        <f t="shared" si="9"/>
        <v>54.300000000000004</v>
      </c>
      <c r="P48" s="5">
        <v>43</v>
      </c>
      <c r="Q48" s="5">
        <f t="shared" si="8"/>
        <v>0.57303921568627447</v>
      </c>
      <c r="R48" s="9">
        <f t="shared" si="0"/>
        <v>1.2033823529411765</v>
      </c>
      <c r="S48" s="9">
        <f t="shared" si="1"/>
        <v>-0.70338235294117646</v>
      </c>
      <c r="T48" s="9">
        <f t="shared" si="6"/>
        <v>66.267647058823528</v>
      </c>
      <c r="V48" s="5">
        <v>655</v>
      </c>
      <c r="X48" s="5">
        <f t="shared" si="7"/>
        <v>43036</v>
      </c>
      <c r="AA48" s="5">
        <v>10.5962712021773</v>
      </c>
    </row>
    <row r="49" spans="1:27" s="5" customFormat="1" x14ac:dyDescent="0.25">
      <c r="A49" s="61"/>
      <c r="B49" s="6"/>
      <c r="C49" s="7">
        <v>41934</v>
      </c>
      <c r="D49" s="5">
        <v>10.5</v>
      </c>
      <c r="E49" s="5">
        <v>7.9</v>
      </c>
      <c r="F49" s="5">
        <v>14.5</v>
      </c>
      <c r="G49" s="5">
        <f t="shared" si="2"/>
        <v>688.90000000000009</v>
      </c>
      <c r="J49" s="5">
        <v>0</v>
      </c>
      <c r="K49" s="5">
        <f t="shared" si="3"/>
        <v>84.699999999999989</v>
      </c>
      <c r="L49" s="5">
        <v>1.3</v>
      </c>
      <c r="M49" s="5">
        <f t="shared" si="4"/>
        <v>91.09999999999998</v>
      </c>
      <c r="N49" s="5">
        <v>-1.3</v>
      </c>
      <c r="O49" s="5">
        <f t="shared" si="9"/>
        <v>53.000000000000007</v>
      </c>
      <c r="P49" s="5">
        <v>44</v>
      </c>
      <c r="Q49" s="5">
        <f t="shared" si="8"/>
        <v>0.57941176470588229</v>
      </c>
      <c r="R49" s="9">
        <f t="shared" si="0"/>
        <v>0.753235294117647</v>
      </c>
      <c r="S49" s="9">
        <f t="shared" si="1"/>
        <v>-0.753235294117647</v>
      </c>
      <c r="T49" s="9">
        <f t="shared" si="6"/>
        <v>65.514411764705883</v>
      </c>
      <c r="V49" s="5">
        <v>241</v>
      </c>
      <c r="X49" s="5">
        <f t="shared" si="7"/>
        <v>43277</v>
      </c>
      <c r="AA49" s="5">
        <v>10.540479893213901</v>
      </c>
    </row>
    <row r="50" spans="1:27" s="5" customFormat="1" x14ac:dyDescent="0.25">
      <c r="A50" s="61"/>
      <c r="B50" s="6"/>
      <c r="C50" s="7">
        <v>41935</v>
      </c>
      <c r="D50" s="5">
        <v>12.1</v>
      </c>
      <c r="E50" s="5">
        <v>7.3</v>
      </c>
      <c r="F50" s="5">
        <v>14.4</v>
      </c>
      <c r="G50" s="5">
        <f t="shared" si="2"/>
        <v>701.00000000000011</v>
      </c>
      <c r="J50" s="5">
        <v>0.3</v>
      </c>
      <c r="K50" s="5">
        <f t="shared" si="3"/>
        <v>84.999999999999986</v>
      </c>
      <c r="L50" s="5">
        <v>0.4</v>
      </c>
      <c r="M50" s="5">
        <f t="shared" si="4"/>
        <v>91.499999999999986</v>
      </c>
      <c r="N50" s="5">
        <v>-0.10000000000000003</v>
      </c>
      <c r="O50" s="5">
        <f t="shared" si="9"/>
        <v>52.900000000000006</v>
      </c>
      <c r="P50" s="5">
        <v>45</v>
      </c>
      <c r="Q50" s="5">
        <f t="shared" si="8"/>
        <v>0.58578431372549011</v>
      </c>
      <c r="R50" s="9">
        <f t="shared" si="0"/>
        <v>0.23431372549019605</v>
      </c>
      <c r="S50" s="9">
        <f t="shared" si="1"/>
        <v>6.5686274509803938E-2</v>
      </c>
      <c r="T50" s="9">
        <f t="shared" si="6"/>
        <v>65.580098039215684</v>
      </c>
      <c r="V50" s="5">
        <v>229.4</v>
      </c>
      <c r="X50" s="5">
        <f t="shared" si="7"/>
        <v>43506.400000000001</v>
      </c>
      <c r="AA50" s="5">
        <v>10.4849023772331</v>
      </c>
    </row>
    <row r="51" spans="1:27" s="5" customFormat="1" x14ac:dyDescent="0.25">
      <c r="A51" s="61"/>
      <c r="B51" s="6"/>
      <c r="C51" s="7">
        <v>41936</v>
      </c>
      <c r="D51" s="5">
        <v>14.3</v>
      </c>
      <c r="E51" s="5">
        <v>12.8</v>
      </c>
      <c r="F51" s="5">
        <v>15.8</v>
      </c>
      <c r="G51" s="5">
        <f t="shared" si="2"/>
        <v>715.30000000000007</v>
      </c>
      <c r="J51" s="5">
        <v>0.1</v>
      </c>
      <c r="K51" s="5">
        <f t="shared" si="3"/>
        <v>85.09999999999998</v>
      </c>
      <c r="L51" s="5">
        <v>0.9</v>
      </c>
      <c r="M51" s="5">
        <f t="shared" si="4"/>
        <v>92.399999999999991</v>
      </c>
      <c r="N51" s="5">
        <v>-0.8</v>
      </c>
      <c r="O51" s="5">
        <f t="shared" si="9"/>
        <v>52.100000000000009</v>
      </c>
      <c r="P51" s="5">
        <v>46</v>
      </c>
      <c r="Q51" s="5">
        <f t="shared" si="8"/>
        <v>0.59215686274509804</v>
      </c>
      <c r="R51" s="9">
        <f t="shared" si="0"/>
        <v>0.53294117647058825</v>
      </c>
      <c r="S51" s="9">
        <f t="shared" si="1"/>
        <v>-0.43294117647058827</v>
      </c>
      <c r="T51" s="9">
        <f t="shared" si="6"/>
        <v>65.147156862745092</v>
      </c>
      <c r="V51" s="5">
        <v>307.8</v>
      </c>
      <c r="X51" s="5">
        <f t="shared" si="7"/>
        <v>43814.200000000004</v>
      </c>
      <c r="AA51" s="5">
        <v>10.429552032444199</v>
      </c>
    </row>
    <row r="52" spans="1:27" s="5" customFormat="1" x14ac:dyDescent="0.25">
      <c r="A52" s="61"/>
      <c r="B52" s="6"/>
      <c r="C52" s="7">
        <v>41937</v>
      </c>
      <c r="D52" s="5">
        <v>13.6</v>
      </c>
      <c r="E52" s="5">
        <v>13.5</v>
      </c>
      <c r="F52" s="5">
        <v>16.2</v>
      </c>
      <c r="G52" s="5">
        <f t="shared" si="2"/>
        <v>728.90000000000009</v>
      </c>
      <c r="J52" s="5">
        <v>0</v>
      </c>
      <c r="K52" s="5">
        <f t="shared" si="3"/>
        <v>85.09999999999998</v>
      </c>
      <c r="L52" s="5">
        <v>0.8</v>
      </c>
      <c r="M52" s="5">
        <f t="shared" si="4"/>
        <v>93.199999999999989</v>
      </c>
      <c r="N52" s="5">
        <v>-0.8</v>
      </c>
      <c r="O52" s="5">
        <f t="shared" si="9"/>
        <v>51.300000000000011</v>
      </c>
      <c r="P52" s="5">
        <v>47</v>
      </c>
      <c r="Q52" s="5">
        <f t="shared" si="8"/>
        <v>0.59852941176470587</v>
      </c>
      <c r="R52" s="9">
        <f t="shared" si="0"/>
        <v>0.4788235294117647</v>
      </c>
      <c r="S52" s="9">
        <f t="shared" si="1"/>
        <v>-0.4788235294117647</v>
      </c>
      <c r="T52" s="9">
        <f t="shared" si="6"/>
        <v>64.668333333333322</v>
      </c>
      <c r="V52" s="5">
        <v>241.9</v>
      </c>
      <c r="X52" s="5">
        <f t="shared" si="7"/>
        <v>44056.100000000006</v>
      </c>
      <c r="AA52" s="5">
        <v>10.374442774453</v>
      </c>
    </row>
    <row r="53" spans="1:27" s="5" customFormat="1" x14ac:dyDescent="0.25">
      <c r="A53" s="61"/>
      <c r="B53" s="6"/>
      <c r="C53" s="7">
        <v>41938</v>
      </c>
      <c r="D53" s="5">
        <v>12.3</v>
      </c>
      <c r="E53" s="5">
        <v>8.1999999999999993</v>
      </c>
      <c r="F53" s="5">
        <v>17.5</v>
      </c>
      <c r="G53" s="5">
        <f t="shared" si="2"/>
        <v>741.2</v>
      </c>
      <c r="J53" s="5">
        <v>0</v>
      </c>
      <c r="K53" s="5">
        <f t="shared" si="3"/>
        <v>85.09999999999998</v>
      </c>
      <c r="L53" s="5">
        <v>1.2</v>
      </c>
      <c r="M53" s="5">
        <f t="shared" si="4"/>
        <v>94.399999999999991</v>
      </c>
      <c r="N53" s="5">
        <v>-1.2</v>
      </c>
      <c r="O53" s="5">
        <f t="shared" si="9"/>
        <v>50.100000000000009</v>
      </c>
      <c r="P53" s="5">
        <v>48</v>
      </c>
      <c r="Q53" s="5">
        <f t="shared" si="8"/>
        <v>0.60490196078431369</v>
      </c>
      <c r="R53" s="9">
        <f t="shared" si="0"/>
        <v>0.72588235294117642</v>
      </c>
      <c r="S53" s="9">
        <f t="shared" si="1"/>
        <v>-0.72588235294117642</v>
      </c>
      <c r="T53" s="9">
        <f t="shared" si="6"/>
        <v>63.942450980392145</v>
      </c>
      <c r="V53" s="5">
        <v>406</v>
      </c>
      <c r="X53" s="5">
        <f t="shared" si="7"/>
        <v>44462.100000000006</v>
      </c>
      <c r="AA53" s="5">
        <v>10.3195890715385</v>
      </c>
    </row>
    <row r="54" spans="1:27" s="5" customFormat="1" x14ac:dyDescent="0.25">
      <c r="A54" s="61"/>
      <c r="B54" s="6"/>
      <c r="C54" s="7">
        <v>41939</v>
      </c>
      <c r="D54" s="5">
        <v>12.7</v>
      </c>
      <c r="E54" s="5">
        <v>8.3000000000000007</v>
      </c>
      <c r="F54" s="5">
        <v>18.2</v>
      </c>
      <c r="G54" s="5">
        <f t="shared" si="2"/>
        <v>753.90000000000009</v>
      </c>
      <c r="J54" s="5">
        <v>0.2</v>
      </c>
      <c r="K54" s="5">
        <f t="shared" si="3"/>
        <v>85.299999999999983</v>
      </c>
      <c r="L54" s="5">
        <v>1.8</v>
      </c>
      <c r="M54" s="5">
        <f t="shared" si="4"/>
        <v>96.199999999999989</v>
      </c>
      <c r="N54" s="5">
        <v>-1.6</v>
      </c>
      <c r="O54" s="5">
        <f t="shared" si="9"/>
        <v>48.500000000000007</v>
      </c>
      <c r="P54" s="5">
        <v>49</v>
      </c>
      <c r="Q54" s="5">
        <f t="shared" si="8"/>
        <v>0.61127450980392162</v>
      </c>
      <c r="R54" s="9">
        <f t="shared" si="0"/>
        <v>1.1002941176470589</v>
      </c>
      <c r="S54" s="9">
        <f t="shared" si="1"/>
        <v>-0.90029411764705891</v>
      </c>
      <c r="T54" s="9">
        <f t="shared" si="6"/>
        <v>63.042156862745088</v>
      </c>
      <c r="V54" s="5">
        <v>1126.2</v>
      </c>
      <c r="X54" s="5">
        <f t="shared" si="7"/>
        <v>45588.3</v>
      </c>
      <c r="AA54" s="5">
        <v>10.265005959254699</v>
      </c>
    </row>
    <row r="55" spans="1:27" s="5" customFormat="1" x14ac:dyDescent="0.25">
      <c r="A55" s="61"/>
      <c r="B55" s="6"/>
      <c r="C55" s="7">
        <v>41940</v>
      </c>
      <c r="D55" s="5">
        <v>11</v>
      </c>
      <c r="E55" s="5">
        <v>7.7</v>
      </c>
      <c r="F55" s="5">
        <v>14.4</v>
      </c>
      <c r="G55" s="5">
        <f t="shared" si="2"/>
        <v>764.90000000000009</v>
      </c>
      <c r="J55" s="5">
        <v>0.3</v>
      </c>
      <c r="K55" s="5">
        <f t="shared" si="3"/>
        <v>85.59999999999998</v>
      </c>
      <c r="L55" s="5">
        <v>1.1000000000000001</v>
      </c>
      <c r="M55" s="5">
        <f t="shared" si="4"/>
        <v>97.299999999999983</v>
      </c>
      <c r="N55" s="5">
        <v>-0.8</v>
      </c>
      <c r="O55" s="5">
        <f t="shared" si="9"/>
        <v>47.70000000000001</v>
      </c>
      <c r="P55" s="5">
        <v>50</v>
      </c>
      <c r="Q55" s="5">
        <f t="shared" si="8"/>
        <v>0.61764705882352944</v>
      </c>
      <c r="R55" s="9">
        <f t="shared" si="0"/>
        <v>0.67941176470588238</v>
      </c>
      <c r="S55" s="9">
        <f t="shared" si="1"/>
        <v>-0.37941176470588239</v>
      </c>
      <c r="T55" s="9">
        <f t="shared" si="6"/>
        <v>62.662745098039203</v>
      </c>
      <c r="V55" s="5">
        <v>679.7</v>
      </c>
      <c r="X55" s="5">
        <f t="shared" si="7"/>
        <v>46268</v>
      </c>
      <c r="AA55" s="5">
        <v>10.210709054264401</v>
      </c>
    </row>
    <row r="56" spans="1:27" s="5" customFormat="1" x14ac:dyDescent="0.25">
      <c r="A56" s="61"/>
      <c r="B56" s="6"/>
      <c r="C56" s="7">
        <v>41941</v>
      </c>
      <c r="D56" s="5">
        <v>13.4</v>
      </c>
      <c r="E56" s="5">
        <v>8.1</v>
      </c>
      <c r="F56" s="5">
        <v>17.2</v>
      </c>
      <c r="G56" s="5">
        <f t="shared" si="2"/>
        <v>778.30000000000007</v>
      </c>
      <c r="J56" s="5">
        <v>0</v>
      </c>
      <c r="K56" s="5">
        <f t="shared" si="3"/>
        <v>85.59999999999998</v>
      </c>
      <c r="L56" s="5">
        <v>0.8</v>
      </c>
      <c r="M56" s="5">
        <f t="shared" si="4"/>
        <v>98.09999999999998</v>
      </c>
      <c r="N56" s="5">
        <v>-0.8</v>
      </c>
      <c r="O56" s="5">
        <f t="shared" si="9"/>
        <v>46.900000000000013</v>
      </c>
      <c r="P56" s="5">
        <v>51</v>
      </c>
      <c r="Q56" s="5">
        <f t="shared" si="8"/>
        <v>0.62401960784313726</v>
      </c>
      <c r="R56" s="9">
        <f t="shared" si="0"/>
        <v>0.49921568627450985</v>
      </c>
      <c r="S56" s="9">
        <f t="shared" si="1"/>
        <v>-0.49921568627450985</v>
      </c>
      <c r="T56" s="9">
        <f t="shared" si="6"/>
        <v>62.163529411764692</v>
      </c>
      <c r="V56" s="5">
        <v>547.4</v>
      </c>
      <c r="X56" s="5">
        <f t="shared" si="7"/>
        <v>46815.4</v>
      </c>
      <c r="AA56" s="5">
        <v>10.1567145673041</v>
      </c>
    </row>
    <row r="57" spans="1:27" s="5" customFormat="1" x14ac:dyDescent="0.25">
      <c r="A57" s="61"/>
      <c r="B57" s="6"/>
      <c r="C57" s="7">
        <v>41942</v>
      </c>
      <c r="D57" s="5">
        <v>15.4</v>
      </c>
      <c r="E57" s="5">
        <v>12.8</v>
      </c>
      <c r="F57" s="5">
        <v>19.600000000000001</v>
      </c>
      <c r="G57" s="5">
        <f t="shared" si="2"/>
        <v>793.7</v>
      </c>
      <c r="J57" s="5">
        <v>0.1</v>
      </c>
      <c r="K57" s="5">
        <f t="shared" si="3"/>
        <v>85.699999999999974</v>
      </c>
      <c r="L57" s="5">
        <v>2</v>
      </c>
      <c r="M57" s="5">
        <f t="shared" si="4"/>
        <v>100.09999999999998</v>
      </c>
      <c r="N57" s="5">
        <v>-1.9</v>
      </c>
      <c r="O57" s="5">
        <f t="shared" si="9"/>
        <v>45.000000000000014</v>
      </c>
      <c r="P57" s="5">
        <v>52</v>
      </c>
      <c r="Q57" s="5">
        <f t="shared" si="8"/>
        <v>0.63039215686274508</v>
      </c>
      <c r="R57" s="9">
        <f t="shared" si="0"/>
        <v>1.2607843137254902</v>
      </c>
      <c r="S57" s="9">
        <f t="shared" si="1"/>
        <v>-1.1607843137254901</v>
      </c>
      <c r="T57" s="9">
        <f t="shared" si="6"/>
        <v>61.002745098039199</v>
      </c>
      <c r="V57" s="5">
        <v>957.6</v>
      </c>
      <c r="X57" s="5">
        <f t="shared" si="7"/>
        <v>47773</v>
      </c>
      <c r="AA57" s="5">
        <v>10.1030393151739</v>
      </c>
    </row>
    <row r="58" spans="1:27" s="5" customFormat="1" x14ac:dyDescent="0.25">
      <c r="A58" s="61"/>
      <c r="B58" s="6"/>
      <c r="C58" s="7">
        <v>41943</v>
      </c>
      <c r="D58" s="5">
        <v>15.4</v>
      </c>
      <c r="E58" s="5">
        <v>10.4</v>
      </c>
      <c r="F58" s="5">
        <v>21.2</v>
      </c>
      <c r="G58" s="5">
        <f t="shared" si="2"/>
        <v>809.1</v>
      </c>
      <c r="J58" s="5">
        <v>0.1</v>
      </c>
      <c r="K58" s="5">
        <f t="shared" si="3"/>
        <v>85.799999999999969</v>
      </c>
      <c r="L58" s="5">
        <v>2.2999999999999998</v>
      </c>
      <c r="M58" s="5">
        <f t="shared" si="4"/>
        <v>102.39999999999998</v>
      </c>
      <c r="N58" s="5">
        <v>-2.1999999999999997</v>
      </c>
      <c r="O58" s="5">
        <f t="shared" si="9"/>
        <v>42.800000000000011</v>
      </c>
      <c r="P58" s="5">
        <v>53</v>
      </c>
      <c r="Q58" s="5">
        <f t="shared" si="8"/>
        <v>0.6367647058823529</v>
      </c>
      <c r="R58" s="9">
        <f t="shared" si="0"/>
        <v>1.4645588235294116</v>
      </c>
      <c r="S58" s="9">
        <f t="shared" si="1"/>
        <v>-1.3645588235294115</v>
      </c>
      <c r="T58" s="9">
        <f t="shared" si="6"/>
        <v>59.638186274509785</v>
      </c>
      <c r="V58" s="5">
        <v>1098.5</v>
      </c>
      <c r="X58" s="5">
        <f t="shared" si="7"/>
        <v>48871.5</v>
      </c>
      <c r="AA58" s="5">
        <v>10.0497007316379</v>
      </c>
    </row>
    <row r="59" spans="1:27" s="5" customFormat="1" x14ac:dyDescent="0.25">
      <c r="A59" s="61"/>
      <c r="B59" s="6"/>
      <c r="C59" s="7">
        <v>41944</v>
      </c>
      <c r="D59" s="5">
        <v>14.3</v>
      </c>
      <c r="E59" s="5">
        <v>12.1</v>
      </c>
      <c r="F59" s="5">
        <v>18.600000000000001</v>
      </c>
      <c r="G59" s="5">
        <f t="shared" si="2"/>
        <v>823.4</v>
      </c>
      <c r="J59" s="5">
        <v>0.1</v>
      </c>
      <c r="K59" s="5">
        <f t="shared" si="3"/>
        <v>85.899999999999963</v>
      </c>
      <c r="L59" s="5">
        <v>1.2</v>
      </c>
      <c r="M59" s="5">
        <f t="shared" si="4"/>
        <v>103.59999999999998</v>
      </c>
      <c r="N59" s="5">
        <v>-1.0999999999999999</v>
      </c>
      <c r="O59" s="5">
        <f t="shared" si="9"/>
        <v>41.70000000000001</v>
      </c>
      <c r="P59" s="5">
        <v>54</v>
      </c>
      <c r="Q59" s="5">
        <f t="shared" si="8"/>
        <v>0.64313725490196072</v>
      </c>
      <c r="R59" s="9">
        <f t="shared" si="0"/>
        <v>0.7717647058823528</v>
      </c>
      <c r="S59" s="9">
        <f t="shared" si="1"/>
        <v>-0.67176470588235282</v>
      </c>
      <c r="T59" s="9">
        <f t="shared" si="6"/>
        <v>58.966421568627432</v>
      </c>
      <c r="V59" s="5">
        <v>442</v>
      </c>
      <c r="X59" s="5">
        <f t="shared" si="7"/>
        <v>49313.5</v>
      </c>
      <c r="AA59" s="5">
        <v>9.9967168771169792</v>
      </c>
    </row>
    <row r="60" spans="1:27" s="5" customFormat="1" x14ac:dyDescent="0.25">
      <c r="A60" s="61"/>
      <c r="B60" s="6"/>
      <c r="C60" s="7">
        <v>41945</v>
      </c>
      <c r="D60" s="5">
        <v>13.4</v>
      </c>
      <c r="E60" s="5">
        <v>11.7</v>
      </c>
      <c r="F60" s="5">
        <v>15.7</v>
      </c>
      <c r="G60" s="5">
        <f t="shared" si="2"/>
        <v>836.8</v>
      </c>
      <c r="J60" s="5">
        <v>14.2</v>
      </c>
      <c r="K60" s="5">
        <f t="shared" si="3"/>
        <v>100.09999999999997</v>
      </c>
      <c r="L60" s="5">
        <v>1</v>
      </c>
      <c r="M60" s="5">
        <f t="shared" si="4"/>
        <v>104.59999999999998</v>
      </c>
      <c r="N60" s="5">
        <v>13.2</v>
      </c>
      <c r="O60" s="5">
        <f t="shared" si="9"/>
        <v>54.900000000000006</v>
      </c>
      <c r="P60" s="5">
        <v>55</v>
      </c>
      <c r="Q60" s="5">
        <f t="shared" si="8"/>
        <v>0.64950980392156854</v>
      </c>
      <c r="R60" s="9">
        <f t="shared" si="0"/>
        <v>0.64950980392156854</v>
      </c>
      <c r="S60" s="9">
        <f t="shared" si="1"/>
        <v>13.550490196078432</v>
      </c>
      <c r="T60" s="9">
        <f t="shared" si="6"/>
        <v>72.516911764705867</v>
      </c>
      <c r="V60" s="5">
        <v>236.3</v>
      </c>
      <c r="X60" s="5">
        <f t="shared" si="7"/>
        <v>49549.8</v>
      </c>
      <c r="AA60" s="5">
        <v>9.9441064470457103</v>
      </c>
    </row>
    <row r="61" spans="1:27" s="5" customFormat="1" x14ac:dyDescent="0.25">
      <c r="A61" s="61"/>
      <c r="B61" s="6"/>
      <c r="C61" s="7">
        <v>41946</v>
      </c>
      <c r="D61" s="5">
        <v>10</v>
      </c>
      <c r="E61" s="5">
        <v>8.9</v>
      </c>
      <c r="F61" s="5">
        <v>11.5</v>
      </c>
      <c r="G61" s="5">
        <f t="shared" si="2"/>
        <v>846.8</v>
      </c>
      <c r="J61" s="5">
        <v>9.9</v>
      </c>
      <c r="K61" s="5">
        <f t="shared" si="3"/>
        <v>109.99999999999997</v>
      </c>
      <c r="L61" s="5">
        <v>0.6</v>
      </c>
      <c r="M61" s="5">
        <f t="shared" si="4"/>
        <v>105.19999999999997</v>
      </c>
      <c r="N61" s="5">
        <v>9.3000000000000007</v>
      </c>
      <c r="O61" s="5">
        <f t="shared" si="9"/>
        <v>64.2</v>
      </c>
      <c r="P61" s="5">
        <v>56</v>
      </c>
      <c r="Q61" s="5">
        <f t="shared" si="8"/>
        <v>0.65588235294117647</v>
      </c>
      <c r="R61" s="9">
        <f t="shared" si="0"/>
        <v>0.39352941176470585</v>
      </c>
      <c r="S61" s="9">
        <f t="shared" si="1"/>
        <v>9.5064705882352953</v>
      </c>
      <c r="T61" s="9">
        <f t="shared" si="6"/>
        <v>82.023382352941155</v>
      </c>
      <c r="V61" s="5">
        <v>136.69999999999999</v>
      </c>
      <c r="X61" s="5">
        <f t="shared" si="7"/>
        <v>49686.5</v>
      </c>
      <c r="AA61" s="5">
        <v>9.8918887787624996</v>
      </c>
    </row>
    <row r="62" spans="1:27" s="5" customFormat="1" x14ac:dyDescent="0.25">
      <c r="A62" s="61"/>
      <c r="B62" s="6"/>
      <c r="C62" s="7">
        <v>41947</v>
      </c>
      <c r="D62" s="5">
        <v>8.6999999999999993</v>
      </c>
      <c r="E62" s="5">
        <v>5.6</v>
      </c>
      <c r="F62" s="5">
        <v>13.4</v>
      </c>
      <c r="G62" s="5">
        <f t="shared" si="2"/>
        <v>855.5</v>
      </c>
      <c r="J62" s="5">
        <v>0.4</v>
      </c>
      <c r="K62" s="5">
        <f t="shared" si="3"/>
        <v>110.39999999999998</v>
      </c>
      <c r="L62" s="5">
        <v>0.9</v>
      </c>
      <c r="M62" s="5">
        <f t="shared" si="4"/>
        <v>106.09999999999998</v>
      </c>
      <c r="N62" s="5">
        <v>-0.5</v>
      </c>
      <c r="O62" s="5">
        <f t="shared" si="9"/>
        <v>63.7</v>
      </c>
      <c r="P62" s="5">
        <v>57</v>
      </c>
      <c r="Q62" s="5">
        <f t="shared" si="8"/>
        <v>0.66225490196078429</v>
      </c>
      <c r="R62" s="9">
        <f t="shared" si="0"/>
        <v>0.59602941176470592</v>
      </c>
      <c r="S62" s="9">
        <f t="shared" si="1"/>
        <v>-0.1960294117647059</v>
      </c>
      <c r="T62" s="9">
        <f t="shared" si="6"/>
        <v>81.827352941176443</v>
      </c>
      <c r="V62" s="5">
        <v>578</v>
      </c>
      <c r="X62" s="5">
        <f t="shared" si="7"/>
        <v>50264.5</v>
      </c>
      <c r="AA62" s="5">
        <v>9.8400838567940205</v>
      </c>
    </row>
    <row r="63" spans="1:27" s="5" customFormat="1" x14ac:dyDescent="0.25">
      <c r="A63" s="61"/>
      <c r="B63" s="6"/>
      <c r="C63" s="7">
        <v>41948</v>
      </c>
      <c r="D63" s="5">
        <v>7.3</v>
      </c>
      <c r="E63" s="5">
        <v>4.9000000000000004</v>
      </c>
      <c r="F63" s="5">
        <v>11.4</v>
      </c>
      <c r="G63" s="5">
        <f t="shared" si="2"/>
        <v>862.8</v>
      </c>
      <c r="J63" s="5">
        <v>2.7</v>
      </c>
      <c r="K63" s="5">
        <f t="shared" si="3"/>
        <v>113.09999999999998</v>
      </c>
      <c r="L63" s="5">
        <v>1</v>
      </c>
      <c r="M63" s="5">
        <f t="shared" si="4"/>
        <v>107.09999999999998</v>
      </c>
      <c r="N63" s="5">
        <v>1.7000000000000002</v>
      </c>
      <c r="O63" s="5">
        <f t="shared" si="9"/>
        <v>65.400000000000006</v>
      </c>
      <c r="P63" s="5">
        <v>58</v>
      </c>
      <c r="Q63" s="5">
        <f t="shared" si="8"/>
        <v>0.66862745098039211</v>
      </c>
      <c r="R63" s="9">
        <f t="shared" si="0"/>
        <v>0.66862745098039211</v>
      </c>
      <c r="S63" s="9">
        <f t="shared" si="1"/>
        <v>2.0313725490196082</v>
      </c>
      <c r="T63" s="9">
        <f t="shared" si="6"/>
        <v>83.858725490196051</v>
      </c>
      <c r="V63" s="5">
        <v>805.4</v>
      </c>
      <c r="X63" s="5">
        <f t="shared" si="7"/>
        <v>51069.9</v>
      </c>
      <c r="AA63" s="5">
        <v>9.7887123163906296</v>
      </c>
    </row>
    <row r="64" spans="1:27" s="5" customFormat="1" x14ac:dyDescent="0.25">
      <c r="A64" s="61"/>
      <c r="B64" s="6"/>
      <c r="C64" s="7">
        <v>41949</v>
      </c>
      <c r="D64" s="5">
        <v>7.9</v>
      </c>
      <c r="E64" s="5">
        <v>0.4</v>
      </c>
      <c r="F64" s="5">
        <v>12.8</v>
      </c>
      <c r="G64" s="5">
        <f t="shared" si="2"/>
        <v>870.69999999999993</v>
      </c>
      <c r="J64" s="5">
        <v>14.1</v>
      </c>
      <c r="K64" s="5">
        <f t="shared" si="3"/>
        <v>127.19999999999997</v>
      </c>
      <c r="L64" s="5">
        <v>0.4</v>
      </c>
      <c r="M64" s="5">
        <f t="shared" si="4"/>
        <v>107.49999999999999</v>
      </c>
      <c r="N64" s="5">
        <v>13.7</v>
      </c>
      <c r="O64" s="5">
        <f t="shared" si="9"/>
        <v>79.100000000000009</v>
      </c>
      <c r="P64" s="5">
        <v>59</v>
      </c>
      <c r="Q64" s="5">
        <f t="shared" si="8"/>
        <v>0.67500000000000004</v>
      </c>
      <c r="R64" s="9">
        <f t="shared" si="0"/>
        <v>0.27</v>
      </c>
      <c r="S64" s="9">
        <f t="shared" si="1"/>
        <v>13.83</v>
      </c>
      <c r="T64" s="9">
        <f t="shared" si="6"/>
        <v>97.688725490196049</v>
      </c>
      <c r="V64" s="5">
        <v>301.2</v>
      </c>
      <c r="X64" s="5">
        <f t="shared" si="7"/>
        <v>51371.1</v>
      </c>
      <c r="AA64" s="5">
        <v>9.7377954451645401</v>
      </c>
    </row>
    <row r="65" spans="1:27" s="5" customFormat="1" x14ac:dyDescent="0.25">
      <c r="A65" s="61"/>
      <c r="B65" s="6"/>
      <c r="C65" s="7">
        <v>41950</v>
      </c>
      <c r="D65" s="5">
        <v>11.4</v>
      </c>
      <c r="E65" s="5">
        <v>10.8</v>
      </c>
      <c r="F65" s="5">
        <v>12.8</v>
      </c>
      <c r="G65" s="5">
        <f t="shared" si="2"/>
        <v>882.09999999999991</v>
      </c>
      <c r="J65" s="5">
        <v>0.7</v>
      </c>
      <c r="K65" s="5">
        <f t="shared" si="3"/>
        <v>127.89999999999998</v>
      </c>
      <c r="L65" s="5">
        <v>1.4</v>
      </c>
      <c r="M65" s="5">
        <f t="shared" si="4"/>
        <v>108.89999999999999</v>
      </c>
      <c r="N65" s="5">
        <v>-0.7</v>
      </c>
      <c r="O65" s="5">
        <f t="shared" si="9"/>
        <v>78.400000000000006</v>
      </c>
      <c r="P65" s="5">
        <v>60</v>
      </c>
      <c r="Q65" s="5">
        <f t="shared" si="8"/>
        <v>0.68137254901960786</v>
      </c>
      <c r="R65" s="9">
        <f t="shared" si="0"/>
        <v>0.95392156862745092</v>
      </c>
      <c r="S65" s="9">
        <f t="shared" si="1"/>
        <v>-0.25392156862745097</v>
      </c>
      <c r="T65" s="9">
        <f t="shared" si="6"/>
        <v>97.434803921568601</v>
      </c>
      <c r="V65" s="5">
        <v>780.8</v>
      </c>
      <c r="X65" s="5">
        <f t="shared" si="7"/>
        <v>52151.9</v>
      </c>
      <c r="AA65" s="5">
        <v>9.6873551826779796</v>
      </c>
    </row>
    <row r="66" spans="1:27" s="5" customFormat="1" x14ac:dyDescent="0.25">
      <c r="A66" s="61"/>
      <c r="B66" s="6"/>
      <c r="C66" s="7">
        <v>41951</v>
      </c>
      <c r="D66" s="5">
        <v>11.1</v>
      </c>
      <c r="E66" s="5">
        <v>8.5</v>
      </c>
      <c r="F66" s="5">
        <v>14.3</v>
      </c>
      <c r="G66" s="5">
        <f t="shared" si="2"/>
        <v>893.19999999999993</v>
      </c>
      <c r="J66" s="5">
        <v>17.3</v>
      </c>
      <c r="K66" s="5">
        <f t="shared" si="3"/>
        <v>145.19999999999999</v>
      </c>
      <c r="L66" s="5">
        <v>0.9</v>
      </c>
      <c r="M66" s="5">
        <f t="shared" si="4"/>
        <v>109.8</v>
      </c>
      <c r="N66" s="5">
        <v>16.400000000000002</v>
      </c>
      <c r="O66" s="5">
        <f t="shared" si="9"/>
        <v>94.800000000000011</v>
      </c>
      <c r="P66" s="5">
        <v>61</v>
      </c>
      <c r="Q66" s="5">
        <f t="shared" si="8"/>
        <v>0.68774509803921569</v>
      </c>
      <c r="R66" s="9">
        <f t="shared" si="0"/>
        <v>0.61897058823529416</v>
      </c>
      <c r="S66" s="9">
        <f t="shared" si="1"/>
        <v>16.681029411764708</v>
      </c>
      <c r="T66" s="9">
        <f t="shared" si="6"/>
        <v>114.11583333333331</v>
      </c>
      <c r="V66" s="5">
        <v>355.8</v>
      </c>
      <c r="X66" s="5">
        <f t="shared" si="7"/>
        <v>52507.700000000004</v>
      </c>
      <c r="AA66" s="5">
        <v>9.6374141178255108</v>
      </c>
    </row>
    <row r="67" spans="1:27" s="5" customFormat="1" x14ac:dyDescent="0.25">
      <c r="A67" s="61"/>
      <c r="B67" s="6"/>
      <c r="C67" s="7">
        <v>41952</v>
      </c>
      <c r="D67" s="5">
        <v>9.3000000000000007</v>
      </c>
      <c r="E67" s="5">
        <v>8</v>
      </c>
      <c r="F67" s="5">
        <v>13.4</v>
      </c>
      <c r="G67" s="5">
        <f t="shared" si="2"/>
        <v>902.49999999999989</v>
      </c>
      <c r="J67" s="5">
        <v>0.1</v>
      </c>
      <c r="K67" s="5">
        <f t="shared" si="3"/>
        <v>145.29999999999998</v>
      </c>
      <c r="L67" s="5">
        <v>1.4</v>
      </c>
      <c r="M67" s="5">
        <f t="shared" si="4"/>
        <v>111.2</v>
      </c>
      <c r="N67" s="5">
        <v>-1.2999999999999998</v>
      </c>
      <c r="O67" s="5">
        <f t="shared" si="9"/>
        <v>93.500000000000014</v>
      </c>
      <c r="P67" s="5">
        <v>62</v>
      </c>
      <c r="Q67" s="5">
        <f t="shared" si="8"/>
        <v>0.69411764705882351</v>
      </c>
      <c r="R67" s="9">
        <f t="shared" si="0"/>
        <v>0.97176470588235286</v>
      </c>
      <c r="S67" s="9">
        <f t="shared" si="1"/>
        <v>-0.87176470588235289</v>
      </c>
      <c r="T67" s="9">
        <f t="shared" si="6"/>
        <v>113.24406862745096</v>
      </c>
      <c r="V67" s="5">
        <v>770.4</v>
      </c>
      <c r="X67" s="5">
        <f t="shared" si="7"/>
        <v>53278.100000000006</v>
      </c>
      <c r="AA67" s="5">
        <v>9.5879954838522501</v>
      </c>
    </row>
    <row r="68" spans="1:27" s="5" customFormat="1" x14ac:dyDescent="0.25">
      <c r="A68" s="61"/>
      <c r="B68" s="6"/>
      <c r="C68" s="7">
        <v>41953</v>
      </c>
      <c r="D68" s="5">
        <v>9.6999999999999993</v>
      </c>
      <c r="E68" s="5">
        <v>4.5999999999999996</v>
      </c>
      <c r="F68" s="5">
        <v>14.3</v>
      </c>
      <c r="G68" s="5">
        <f t="shared" si="2"/>
        <v>912.19999999999993</v>
      </c>
      <c r="J68" s="5">
        <v>1.9</v>
      </c>
      <c r="K68" s="5">
        <f t="shared" si="3"/>
        <v>147.19999999999999</v>
      </c>
      <c r="L68" s="5">
        <v>1.1000000000000001</v>
      </c>
      <c r="M68" s="5">
        <f t="shared" si="4"/>
        <v>112.3</v>
      </c>
      <c r="N68" s="5">
        <v>0.79999999999999982</v>
      </c>
      <c r="O68" s="5">
        <f t="shared" si="9"/>
        <v>94.300000000000011</v>
      </c>
      <c r="P68" s="5">
        <v>63</v>
      </c>
      <c r="Q68" s="5">
        <f t="shared" si="8"/>
        <v>0.70049019607843133</v>
      </c>
      <c r="R68" s="9">
        <f t="shared" si="0"/>
        <v>0.77053921568627448</v>
      </c>
      <c r="S68" s="9">
        <f t="shared" si="1"/>
        <v>1.1294607843137254</v>
      </c>
      <c r="T68" s="9">
        <f t="shared" si="6"/>
        <v>114.37352941176468</v>
      </c>
      <c r="V68" s="5">
        <v>851.9</v>
      </c>
      <c r="X68" s="5">
        <f t="shared" si="7"/>
        <v>54130.000000000007</v>
      </c>
      <c r="AA68" s="5">
        <v>9.5391231508480097</v>
      </c>
    </row>
    <row r="69" spans="1:27" s="5" customFormat="1" x14ac:dyDescent="0.25">
      <c r="A69" s="61"/>
      <c r="B69" s="6"/>
      <c r="C69" s="7">
        <v>41954</v>
      </c>
      <c r="D69" s="5">
        <v>10.4</v>
      </c>
      <c r="E69" s="5">
        <v>9.6</v>
      </c>
      <c r="F69" s="5">
        <v>11.2</v>
      </c>
      <c r="G69" s="5">
        <f t="shared" si="2"/>
        <v>922.59999999999991</v>
      </c>
      <c r="J69" s="5">
        <v>10.8</v>
      </c>
      <c r="K69" s="5">
        <f t="shared" si="3"/>
        <v>158</v>
      </c>
      <c r="L69" s="5">
        <v>0.7</v>
      </c>
      <c r="M69" s="5">
        <f t="shared" si="4"/>
        <v>113</v>
      </c>
      <c r="N69" s="5">
        <v>10.100000000000001</v>
      </c>
      <c r="O69" s="5">
        <f t="shared" si="9"/>
        <v>104.4</v>
      </c>
      <c r="P69" s="5">
        <v>64</v>
      </c>
      <c r="Q69" s="5">
        <f t="shared" si="8"/>
        <v>0.70686274509803926</v>
      </c>
      <c r="R69" s="9">
        <f t="shared" si="0"/>
        <v>0.49480392156862746</v>
      </c>
      <c r="S69" s="9">
        <f t="shared" si="1"/>
        <v>10.305196078431374</v>
      </c>
      <c r="T69" s="9">
        <f t="shared" si="6"/>
        <v>124.67872549019606</v>
      </c>
      <c r="V69" s="5">
        <v>138.1</v>
      </c>
      <c r="X69" s="5">
        <f t="shared" si="7"/>
        <v>54268.100000000006</v>
      </c>
      <c r="AA69" s="5">
        <v>9.4908216155575502</v>
      </c>
    </row>
    <row r="70" spans="1:27" s="5" customFormat="1" x14ac:dyDescent="0.25">
      <c r="A70" s="61"/>
      <c r="B70" s="6"/>
      <c r="C70" s="7">
        <v>41955</v>
      </c>
      <c r="D70" s="5">
        <v>10.6</v>
      </c>
      <c r="E70" s="5">
        <v>8.3000000000000007</v>
      </c>
      <c r="F70" s="5">
        <v>14.6</v>
      </c>
      <c r="G70" s="5">
        <f t="shared" si="2"/>
        <v>933.19999999999993</v>
      </c>
      <c r="J70" s="5">
        <v>1.2</v>
      </c>
      <c r="K70" s="5">
        <f t="shared" si="3"/>
        <v>159.19999999999999</v>
      </c>
      <c r="L70" s="5">
        <v>1.4</v>
      </c>
      <c r="M70" s="5">
        <f t="shared" si="4"/>
        <v>114.4</v>
      </c>
      <c r="N70" s="5">
        <v>-0.19999999999999996</v>
      </c>
      <c r="O70" s="5">
        <f t="shared" si="9"/>
        <v>104.2</v>
      </c>
      <c r="P70" s="5">
        <v>65</v>
      </c>
      <c r="Q70" s="5">
        <f t="shared" si="8"/>
        <v>0.71323529411764708</v>
      </c>
      <c r="R70" s="9">
        <f t="shared" ref="R70:R133" si="10">Q70*L70</f>
        <v>0.99852941176470589</v>
      </c>
      <c r="S70" s="9">
        <f t="shared" ref="S70:S133" si="11">J70-R70</f>
        <v>0.20147058823529407</v>
      </c>
      <c r="T70" s="9">
        <f t="shared" si="6"/>
        <v>124.88019607843135</v>
      </c>
      <c r="V70" s="5">
        <v>715.6</v>
      </c>
      <c r="X70" s="5">
        <f t="shared" si="7"/>
        <v>54983.700000000004</v>
      </c>
      <c r="AA70" s="5">
        <v>9.4431159883480404</v>
      </c>
    </row>
    <row r="71" spans="1:27" s="5" customFormat="1" x14ac:dyDescent="0.25">
      <c r="A71" s="61"/>
      <c r="B71" s="6"/>
      <c r="C71" s="7">
        <v>41956</v>
      </c>
      <c r="D71" s="5">
        <v>12.5</v>
      </c>
      <c r="E71" s="5">
        <v>8.6</v>
      </c>
      <c r="F71" s="5">
        <v>15.2</v>
      </c>
      <c r="G71" s="5">
        <f t="shared" si="2"/>
        <v>945.69999999999993</v>
      </c>
      <c r="J71" s="5">
        <v>6.4</v>
      </c>
      <c r="K71" s="5">
        <f t="shared" si="3"/>
        <v>165.6</v>
      </c>
      <c r="L71" s="5">
        <v>1</v>
      </c>
      <c r="M71" s="5">
        <f t="shared" si="4"/>
        <v>115.4</v>
      </c>
      <c r="N71" s="5">
        <v>5.4</v>
      </c>
      <c r="O71" s="5">
        <f t="shared" si="9"/>
        <v>109.60000000000001</v>
      </c>
      <c r="P71" s="5">
        <v>66</v>
      </c>
      <c r="Q71" s="5">
        <f t="shared" si="8"/>
        <v>0.7196078431372549</v>
      </c>
      <c r="R71" s="9">
        <f t="shared" si="10"/>
        <v>0.7196078431372549</v>
      </c>
      <c r="S71" s="9">
        <f t="shared" si="11"/>
        <v>5.6803921568627453</v>
      </c>
      <c r="T71" s="9">
        <f t="shared" si="6"/>
        <v>130.56058823529409</v>
      </c>
      <c r="V71" s="5">
        <v>401.6</v>
      </c>
      <c r="X71" s="5">
        <f t="shared" si="7"/>
        <v>55385.3</v>
      </c>
      <c r="AA71" s="5">
        <v>9.3960319771778806</v>
      </c>
    </row>
    <row r="72" spans="1:27" s="5" customFormat="1" x14ac:dyDescent="0.25">
      <c r="A72" s="61"/>
      <c r="B72" s="6"/>
      <c r="C72" s="7">
        <v>41957</v>
      </c>
      <c r="D72" s="5">
        <v>12.2</v>
      </c>
      <c r="E72" s="5">
        <v>11.1</v>
      </c>
      <c r="F72" s="5">
        <v>14.8</v>
      </c>
      <c r="G72" s="5">
        <f t="shared" ref="G72:G135" si="12">G71+D72</f>
        <v>957.9</v>
      </c>
      <c r="J72" s="5">
        <v>1.3</v>
      </c>
      <c r="K72" s="5">
        <f t="shared" ref="K72:K135" si="13">K71+J72</f>
        <v>166.9</v>
      </c>
      <c r="L72" s="5">
        <v>1.1000000000000001</v>
      </c>
      <c r="M72" s="5">
        <f t="shared" ref="M72:M135" si="14">M71+L72</f>
        <v>116.5</v>
      </c>
      <c r="N72" s="5">
        <v>0.19999999999999996</v>
      </c>
      <c r="O72" s="5">
        <f t="shared" si="9"/>
        <v>109.80000000000001</v>
      </c>
      <c r="P72" s="5">
        <v>67</v>
      </c>
      <c r="Q72" s="5">
        <f t="shared" si="8"/>
        <v>0.72598039215686283</v>
      </c>
      <c r="R72" s="9">
        <f t="shared" si="10"/>
        <v>0.79857843137254914</v>
      </c>
      <c r="S72" s="9">
        <f t="shared" si="11"/>
        <v>0.50142156862745091</v>
      </c>
      <c r="T72" s="9">
        <f t="shared" ref="T72:T135" si="15">MIN(197.4,(T71+S72))</f>
        <v>131.06200980392154</v>
      </c>
      <c r="V72" s="5">
        <v>513.4</v>
      </c>
      <c r="X72" s="5">
        <f t="shared" ref="X72:X135" si="16">X71+V72</f>
        <v>55898.700000000004</v>
      </c>
      <c r="AA72" s="5">
        <v>9.3495958684151308</v>
      </c>
    </row>
    <row r="73" spans="1:27" s="5" customFormat="1" x14ac:dyDescent="0.25">
      <c r="A73" s="61"/>
      <c r="B73" s="6"/>
      <c r="C73" s="7">
        <v>41958</v>
      </c>
      <c r="D73" s="5">
        <v>10.1</v>
      </c>
      <c r="E73" s="5">
        <v>8.6</v>
      </c>
      <c r="F73" s="5">
        <v>12.9</v>
      </c>
      <c r="G73" s="5">
        <f t="shared" si="12"/>
        <v>968</v>
      </c>
      <c r="J73" s="5">
        <v>3.1</v>
      </c>
      <c r="K73" s="5">
        <f t="shared" si="13"/>
        <v>170</v>
      </c>
      <c r="L73" s="5">
        <v>0.6</v>
      </c>
      <c r="M73" s="5">
        <f t="shared" si="14"/>
        <v>117.1</v>
      </c>
      <c r="N73" s="5">
        <v>2.5</v>
      </c>
      <c r="O73" s="5">
        <f t="shared" si="9"/>
        <v>112.30000000000001</v>
      </c>
      <c r="P73" s="5">
        <v>68</v>
      </c>
      <c r="Q73" s="5">
        <f t="shared" si="8"/>
        <v>0.73235294117647065</v>
      </c>
      <c r="R73" s="9">
        <f t="shared" si="10"/>
        <v>0.43941176470588239</v>
      </c>
      <c r="S73" s="9">
        <f t="shared" si="11"/>
        <v>2.6605882352941177</v>
      </c>
      <c r="T73" s="9">
        <f t="shared" si="15"/>
        <v>133.72259803921565</v>
      </c>
      <c r="V73" s="5">
        <v>184.3</v>
      </c>
      <c r="X73" s="5">
        <f t="shared" si="16"/>
        <v>56083.000000000007</v>
      </c>
      <c r="AA73" s="5">
        <v>9.3038345043603208</v>
      </c>
    </row>
    <row r="74" spans="1:27" s="5" customFormat="1" x14ac:dyDescent="0.25">
      <c r="A74" s="61"/>
      <c r="B74" s="6"/>
      <c r="C74" s="7">
        <v>41959</v>
      </c>
      <c r="D74" s="5">
        <v>7.8</v>
      </c>
      <c r="E74" s="5">
        <v>7.1</v>
      </c>
      <c r="F74" s="5">
        <v>9.3000000000000007</v>
      </c>
      <c r="G74" s="5">
        <f t="shared" si="12"/>
        <v>975.8</v>
      </c>
      <c r="J74" s="5">
        <v>0.2</v>
      </c>
      <c r="K74" s="5">
        <f t="shared" si="13"/>
        <v>170.2</v>
      </c>
      <c r="L74" s="5">
        <v>0.4</v>
      </c>
      <c r="M74" s="5">
        <f t="shared" si="14"/>
        <v>117.5</v>
      </c>
      <c r="N74" s="5">
        <v>-0.2</v>
      </c>
      <c r="O74" s="5">
        <f t="shared" si="9"/>
        <v>112.10000000000001</v>
      </c>
      <c r="P74" s="5">
        <v>69</v>
      </c>
      <c r="Q74" s="5">
        <f t="shared" si="8"/>
        <v>0.73872549019607847</v>
      </c>
      <c r="R74" s="9">
        <f t="shared" si="10"/>
        <v>0.29549019607843141</v>
      </c>
      <c r="S74" s="9">
        <f t="shared" si="11"/>
        <v>-9.54901960784314E-2</v>
      </c>
      <c r="T74" s="9">
        <f t="shared" si="15"/>
        <v>133.62710784313722</v>
      </c>
      <c r="V74" s="5">
        <v>158.4</v>
      </c>
      <c r="X74" s="5">
        <f t="shared" si="16"/>
        <v>56241.400000000009</v>
      </c>
      <c r="AA74" s="5">
        <v>9.2587752573368096</v>
      </c>
    </row>
    <row r="75" spans="1:27" s="5" customFormat="1" x14ac:dyDescent="0.25">
      <c r="A75" s="61"/>
      <c r="B75" s="6"/>
      <c r="C75" s="7">
        <v>41960</v>
      </c>
      <c r="D75" s="5">
        <v>8.6</v>
      </c>
      <c r="E75" s="5">
        <v>6</v>
      </c>
      <c r="F75" s="5">
        <v>10.9</v>
      </c>
      <c r="G75" s="5">
        <f t="shared" si="12"/>
        <v>984.4</v>
      </c>
      <c r="J75" s="5">
        <v>6.6</v>
      </c>
      <c r="K75" s="5">
        <f t="shared" si="13"/>
        <v>176.79999999999998</v>
      </c>
      <c r="L75" s="5">
        <v>0.4</v>
      </c>
      <c r="M75" s="5">
        <f t="shared" si="14"/>
        <v>117.9</v>
      </c>
      <c r="N75" s="5">
        <v>6.1999999999999993</v>
      </c>
      <c r="O75" s="5">
        <f t="shared" si="9"/>
        <v>118.30000000000001</v>
      </c>
      <c r="P75" s="5">
        <v>70</v>
      </c>
      <c r="Q75" s="5">
        <f t="shared" si="8"/>
        <v>0.74509803921568629</v>
      </c>
      <c r="R75" s="9">
        <f t="shared" si="10"/>
        <v>0.29803921568627451</v>
      </c>
      <c r="S75" s="9">
        <f t="shared" si="11"/>
        <v>6.3019607843137253</v>
      </c>
      <c r="T75" s="9">
        <f t="shared" si="15"/>
        <v>139.92906862745096</v>
      </c>
      <c r="V75" s="5">
        <v>333.1</v>
      </c>
      <c r="X75" s="5">
        <f t="shared" si="16"/>
        <v>56574.500000000007</v>
      </c>
      <c r="AA75" s="5">
        <v>9.2144460002220008</v>
      </c>
    </row>
    <row r="76" spans="1:27" s="5" customFormat="1" x14ac:dyDescent="0.25">
      <c r="A76" s="61"/>
      <c r="B76" s="6"/>
      <c r="C76" s="7">
        <v>41961</v>
      </c>
      <c r="D76" s="5">
        <v>9</v>
      </c>
      <c r="E76" s="5">
        <v>8.5</v>
      </c>
      <c r="F76" s="5">
        <v>10.6</v>
      </c>
      <c r="G76" s="5">
        <f t="shared" si="12"/>
        <v>993.4</v>
      </c>
      <c r="J76" s="5">
        <v>0.1</v>
      </c>
      <c r="K76" s="5">
        <f t="shared" si="13"/>
        <v>176.89999999999998</v>
      </c>
      <c r="L76" s="5">
        <v>0.5</v>
      </c>
      <c r="M76" s="5">
        <f t="shared" si="14"/>
        <v>118.4</v>
      </c>
      <c r="N76" s="5">
        <v>-0.4</v>
      </c>
      <c r="O76" s="5">
        <f t="shared" si="9"/>
        <v>117.9</v>
      </c>
      <c r="P76" s="5">
        <v>71</v>
      </c>
      <c r="Q76" s="5">
        <f t="shared" si="8"/>
        <v>0.75147058823529411</v>
      </c>
      <c r="R76" s="9">
        <f t="shared" si="10"/>
        <v>0.37573529411764706</v>
      </c>
      <c r="S76" s="9">
        <f t="shared" si="11"/>
        <v>-0.27573529411764708</v>
      </c>
      <c r="T76" s="9">
        <f t="shared" si="15"/>
        <v>139.65333333333331</v>
      </c>
      <c r="V76" s="5">
        <v>163.4</v>
      </c>
      <c r="X76" s="5">
        <f t="shared" si="16"/>
        <v>56737.900000000009</v>
      </c>
      <c r="AA76" s="5">
        <v>9.1708750733060302</v>
      </c>
    </row>
    <row r="77" spans="1:27" s="5" customFormat="1" x14ac:dyDescent="0.25">
      <c r="A77" s="61"/>
      <c r="B77" s="6"/>
      <c r="C77" s="7">
        <v>41962</v>
      </c>
      <c r="D77" s="5">
        <v>9.1</v>
      </c>
      <c r="E77" s="5">
        <v>7.8</v>
      </c>
      <c r="F77" s="5">
        <v>9.9</v>
      </c>
      <c r="G77" s="5">
        <f t="shared" si="12"/>
        <v>1002.5</v>
      </c>
      <c r="J77" s="5">
        <v>0.1</v>
      </c>
      <c r="K77" s="5">
        <f t="shared" si="13"/>
        <v>176.99999999999997</v>
      </c>
      <c r="L77" s="5">
        <v>0.3</v>
      </c>
      <c r="M77" s="5">
        <f t="shared" si="14"/>
        <v>118.7</v>
      </c>
      <c r="N77" s="5">
        <v>-0.19999999999999998</v>
      </c>
      <c r="O77" s="5">
        <f t="shared" si="9"/>
        <v>117.7</v>
      </c>
      <c r="P77" s="5">
        <v>72</v>
      </c>
      <c r="Q77" s="5">
        <f t="shared" si="8"/>
        <v>0.75784313725490193</v>
      </c>
      <c r="R77" s="9">
        <f t="shared" si="10"/>
        <v>0.22735294117647056</v>
      </c>
      <c r="S77" s="9">
        <f t="shared" si="11"/>
        <v>-0.12735294117647056</v>
      </c>
      <c r="T77" s="9">
        <f t="shared" si="15"/>
        <v>139.52598039215684</v>
      </c>
      <c r="V77" s="5">
        <v>159.19999999999999</v>
      </c>
      <c r="X77" s="5">
        <f t="shared" si="16"/>
        <v>56897.100000000006</v>
      </c>
      <c r="AA77" s="5">
        <v>9.1280912473793894</v>
      </c>
    </row>
    <row r="78" spans="1:27" s="5" customFormat="1" x14ac:dyDescent="0.25">
      <c r="A78" s="61"/>
      <c r="B78" s="6"/>
      <c r="C78" s="7">
        <v>41963</v>
      </c>
      <c r="D78" s="5">
        <v>9.8000000000000007</v>
      </c>
      <c r="E78" s="5">
        <v>8.6999999999999993</v>
      </c>
      <c r="F78" s="5">
        <v>10.9</v>
      </c>
      <c r="G78" s="5">
        <f t="shared" si="12"/>
        <v>1012.3</v>
      </c>
      <c r="J78" s="5">
        <v>0.3</v>
      </c>
      <c r="K78" s="5">
        <f t="shared" si="13"/>
        <v>177.29999999999998</v>
      </c>
      <c r="L78" s="5">
        <v>0.6</v>
      </c>
      <c r="M78" s="5">
        <f t="shared" si="14"/>
        <v>119.3</v>
      </c>
      <c r="N78" s="5">
        <v>-0.3</v>
      </c>
      <c r="O78" s="5">
        <f t="shared" si="9"/>
        <v>117.4</v>
      </c>
      <c r="P78" s="5">
        <v>73</v>
      </c>
      <c r="Q78" s="5">
        <f t="shared" si="8"/>
        <v>0.76421568627450975</v>
      </c>
      <c r="R78" s="9">
        <f t="shared" si="10"/>
        <v>0.45852941176470585</v>
      </c>
      <c r="S78" s="9">
        <f t="shared" si="11"/>
        <v>-0.15852941176470586</v>
      </c>
      <c r="T78" s="9">
        <f t="shared" si="15"/>
        <v>139.36745098039214</v>
      </c>
      <c r="V78" s="5">
        <v>117.3</v>
      </c>
      <c r="X78" s="5">
        <f t="shared" si="16"/>
        <v>57014.400000000009</v>
      </c>
      <c r="AA78" s="5">
        <v>9.0861236829689993</v>
      </c>
    </row>
    <row r="79" spans="1:27" s="5" customFormat="1" x14ac:dyDescent="0.25">
      <c r="A79" s="61"/>
      <c r="B79" s="6"/>
      <c r="C79" s="7">
        <v>41964</v>
      </c>
      <c r="D79" s="5">
        <v>9.8000000000000007</v>
      </c>
      <c r="E79" s="5">
        <v>6.9</v>
      </c>
      <c r="F79" s="5">
        <v>12.6</v>
      </c>
      <c r="G79" s="5">
        <f t="shared" si="12"/>
        <v>1022.0999999999999</v>
      </c>
      <c r="J79" s="5">
        <v>0</v>
      </c>
      <c r="K79" s="5">
        <f t="shared" si="13"/>
        <v>177.29999999999998</v>
      </c>
      <c r="L79" s="5">
        <v>0.7</v>
      </c>
      <c r="M79" s="5">
        <f t="shared" si="14"/>
        <v>120</v>
      </c>
      <c r="N79" s="5">
        <v>-0.7</v>
      </c>
      <c r="O79" s="5">
        <f t="shared" si="9"/>
        <v>116.7</v>
      </c>
      <c r="P79" s="5">
        <v>74</v>
      </c>
      <c r="Q79" s="5">
        <f t="shared" ref="Q79:Q115" si="17">0.35+((P79-8)/102)*(1-0.35)</f>
        <v>0.77058823529411768</v>
      </c>
      <c r="R79" s="9">
        <f t="shared" si="10"/>
        <v>0.53941176470588237</v>
      </c>
      <c r="S79" s="9">
        <f t="shared" si="11"/>
        <v>-0.53941176470588237</v>
      </c>
      <c r="T79" s="9">
        <f t="shared" si="15"/>
        <v>138.82803921568626</v>
      </c>
      <c r="V79" s="5">
        <v>345.4</v>
      </c>
      <c r="X79" s="5">
        <f t="shared" si="16"/>
        <v>57359.80000000001</v>
      </c>
      <c r="AA79" s="5">
        <v>9.0450018856624599</v>
      </c>
    </row>
    <row r="80" spans="1:27" s="5" customFormat="1" x14ac:dyDescent="0.25">
      <c r="A80" s="61"/>
      <c r="B80" s="6"/>
      <c r="C80" s="7">
        <v>41965</v>
      </c>
      <c r="D80" s="5">
        <v>13</v>
      </c>
      <c r="E80" s="5">
        <v>11.3</v>
      </c>
      <c r="F80" s="5">
        <v>13.9</v>
      </c>
      <c r="G80" s="5">
        <f t="shared" si="12"/>
        <v>1035.0999999999999</v>
      </c>
      <c r="J80" s="5">
        <v>0.7</v>
      </c>
      <c r="K80" s="5">
        <f t="shared" si="13"/>
        <v>177.99999999999997</v>
      </c>
      <c r="L80" s="5">
        <v>0.2</v>
      </c>
      <c r="M80" s="5">
        <f t="shared" si="14"/>
        <v>120.2</v>
      </c>
      <c r="N80" s="5">
        <v>0.49999999999999994</v>
      </c>
      <c r="O80" s="5">
        <f t="shared" si="9"/>
        <v>117.2</v>
      </c>
      <c r="P80" s="5">
        <v>75</v>
      </c>
      <c r="Q80" s="5">
        <f t="shared" si="17"/>
        <v>0.77696078431372551</v>
      </c>
      <c r="R80" s="9">
        <f t="shared" si="10"/>
        <v>0.1553921568627451</v>
      </c>
      <c r="S80" s="9">
        <f t="shared" si="11"/>
        <v>0.54460784313725485</v>
      </c>
      <c r="T80" s="9">
        <f t="shared" si="15"/>
        <v>139.3726470588235</v>
      </c>
      <c r="V80" s="5">
        <v>116</v>
      </c>
      <c r="X80" s="5">
        <f t="shared" si="16"/>
        <v>57475.80000000001</v>
      </c>
      <c r="AA80" s="5">
        <v>9.0047556574835408</v>
      </c>
    </row>
    <row r="81" spans="1:27" s="5" customFormat="1" x14ac:dyDescent="0.25">
      <c r="A81" s="61"/>
      <c r="B81" s="6"/>
      <c r="C81" s="7">
        <v>41966</v>
      </c>
      <c r="D81" s="5">
        <v>11.1</v>
      </c>
      <c r="E81" s="5">
        <v>10.5</v>
      </c>
      <c r="F81" s="5">
        <v>12</v>
      </c>
      <c r="G81" s="5">
        <f t="shared" si="12"/>
        <v>1046.1999999999998</v>
      </c>
      <c r="J81" s="5">
        <v>1</v>
      </c>
      <c r="K81" s="5">
        <f t="shared" si="13"/>
        <v>178.99999999999997</v>
      </c>
      <c r="L81" s="5">
        <v>0.4</v>
      </c>
      <c r="M81" s="5">
        <f t="shared" si="14"/>
        <v>120.60000000000001</v>
      </c>
      <c r="N81" s="5">
        <v>0.6</v>
      </c>
      <c r="O81" s="5">
        <f t="shared" si="9"/>
        <v>117.8</v>
      </c>
      <c r="P81" s="5">
        <v>76</v>
      </c>
      <c r="Q81" s="5">
        <f t="shared" si="17"/>
        <v>0.78333333333333333</v>
      </c>
      <c r="R81" s="9">
        <f t="shared" si="10"/>
        <v>0.31333333333333335</v>
      </c>
      <c r="S81" s="9">
        <f t="shared" si="11"/>
        <v>0.68666666666666665</v>
      </c>
      <c r="T81" s="9">
        <f t="shared" si="15"/>
        <v>140.05931372549017</v>
      </c>
      <c r="V81" s="5">
        <v>99.5</v>
      </c>
      <c r="X81" s="5">
        <f t="shared" si="16"/>
        <v>57575.30000000001</v>
      </c>
      <c r="AA81" s="10">
        <v>8.9654150443073704</v>
      </c>
    </row>
    <row r="82" spans="1:27" s="5" customFormat="1" x14ac:dyDescent="0.25">
      <c r="A82" s="61"/>
      <c r="B82" s="6"/>
      <c r="C82" s="7">
        <v>41967</v>
      </c>
      <c r="D82" s="5">
        <v>9.6999999999999993</v>
      </c>
      <c r="E82" s="5">
        <v>9.4</v>
      </c>
      <c r="F82" s="5">
        <v>10</v>
      </c>
      <c r="G82" s="5">
        <f t="shared" si="12"/>
        <v>1055.8999999999999</v>
      </c>
      <c r="J82" s="5">
        <v>6.7</v>
      </c>
      <c r="K82" s="5">
        <f t="shared" si="13"/>
        <v>185.69999999999996</v>
      </c>
      <c r="L82" s="5">
        <v>0.5</v>
      </c>
      <c r="M82" s="5">
        <f t="shared" si="14"/>
        <v>121.10000000000001</v>
      </c>
      <c r="N82" s="5">
        <v>6.2</v>
      </c>
      <c r="O82" s="5">
        <f t="shared" si="9"/>
        <v>124</v>
      </c>
      <c r="P82" s="5">
        <v>77</v>
      </c>
      <c r="Q82" s="5">
        <f t="shared" si="17"/>
        <v>0.78970588235294126</v>
      </c>
      <c r="R82" s="9">
        <f t="shared" si="10"/>
        <v>0.39485294117647063</v>
      </c>
      <c r="S82" s="9">
        <f t="shared" si="11"/>
        <v>6.3051470588235299</v>
      </c>
      <c r="T82" s="9">
        <f t="shared" si="15"/>
        <v>146.36446078431371</v>
      </c>
      <c r="V82" s="5">
        <v>88.8</v>
      </c>
      <c r="X82" s="5">
        <f t="shared" si="16"/>
        <v>57664.100000000013</v>
      </c>
      <c r="AA82" s="10">
        <v>8.9270102793325297</v>
      </c>
    </row>
    <row r="83" spans="1:27" s="5" customFormat="1" x14ac:dyDescent="0.25">
      <c r="A83" s="61"/>
      <c r="B83" s="6"/>
      <c r="C83" s="7">
        <v>41968</v>
      </c>
      <c r="D83" s="5">
        <v>10.199999999999999</v>
      </c>
      <c r="E83" s="5">
        <v>9.6</v>
      </c>
      <c r="F83" s="5">
        <v>10.8</v>
      </c>
      <c r="G83" s="5">
        <f t="shared" si="12"/>
        <v>1066.0999999999999</v>
      </c>
      <c r="J83" s="5">
        <v>7.6</v>
      </c>
      <c r="K83" s="5">
        <f t="shared" si="13"/>
        <v>193.29999999999995</v>
      </c>
      <c r="L83" s="5">
        <v>0.4</v>
      </c>
      <c r="M83" s="5">
        <f t="shared" si="14"/>
        <v>121.50000000000001</v>
      </c>
      <c r="N83" s="5">
        <v>7.1999999999999993</v>
      </c>
      <c r="O83" s="5">
        <f t="shared" si="9"/>
        <v>131.19999999999999</v>
      </c>
      <c r="P83" s="5">
        <v>78</v>
      </c>
      <c r="Q83" s="5">
        <f t="shared" si="17"/>
        <v>0.79607843137254908</v>
      </c>
      <c r="R83" s="9">
        <f t="shared" si="10"/>
        <v>0.31843137254901965</v>
      </c>
      <c r="S83" s="9">
        <f t="shared" si="11"/>
        <v>7.2815686274509801</v>
      </c>
      <c r="T83" s="9">
        <f t="shared" si="15"/>
        <v>153.64602941176469</v>
      </c>
      <c r="V83" s="5">
        <v>158.9</v>
      </c>
      <c r="X83" s="5">
        <f t="shared" si="16"/>
        <v>57823.000000000015</v>
      </c>
      <c r="AA83" s="10">
        <v>8.8895717226579496</v>
      </c>
    </row>
    <row r="84" spans="1:27" s="5" customFormat="1" x14ac:dyDescent="0.25">
      <c r="A84" s="61"/>
      <c r="B84" s="6"/>
      <c r="C84" s="7">
        <v>41969</v>
      </c>
      <c r="D84" s="5">
        <v>11.1</v>
      </c>
      <c r="E84" s="5">
        <v>10.3</v>
      </c>
      <c r="F84" s="5">
        <v>12.1</v>
      </c>
      <c r="G84" s="5">
        <f t="shared" si="12"/>
        <v>1077.1999999999998</v>
      </c>
      <c r="J84" s="5">
        <v>1.3</v>
      </c>
      <c r="K84" s="5">
        <f t="shared" si="13"/>
        <v>194.59999999999997</v>
      </c>
      <c r="L84" s="5">
        <v>0.3</v>
      </c>
      <c r="M84" s="5">
        <f t="shared" si="14"/>
        <v>121.80000000000001</v>
      </c>
      <c r="N84" s="5">
        <v>1</v>
      </c>
      <c r="O84" s="5">
        <f t="shared" si="9"/>
        <v>132.19999999999999</v>
      </c>
      <c r="P84" s="5">
        <v>79</v>
      </c>
      <c r="Q84" s="5">
        <f t="shared" si="17"/>
        <v>0.8024509803921569</v>
      </c>
      <c r="R84" s="9">
        <f t="shared" si="10"/>
        <v>0.24073529411764705</v>
      </c>
      <c r="S84" s="9">
        <f t="shared" si="11"/>
        <v>1.059264705882353</v>
      </c>
      <c r="T84" s="9">
        <f t="shared" si="15"/>
        <v>154.70529411764704</v>
      </c>
      <c r="V84" s="5">
        <v>120.5</v>
      </c>
      <c r="X84" s="5">
        <f t="shared" si="16"/>
        <v>57943.500000000015</v>
      </c>
      <c r="AA84" s="10">
        <v>8.8531297970460692</v>
      </c>
    </row>
    <row r="85" spans="1:27" s="5" customFormat="1" x14ac:dyDescent="0.25">
      <c r="A85" s="61"/>
      <c r="B85" s="6"/>
      <c r="C85" s="7">
        <v>41970</v>
      </c>
      <c r="D85" s="5">
        <v>10.3</v>
      </c>
      <c r="E85" s="5">
        <v>9.1</v>
      </c>
      <c r="F85" s="5">
        <v>11.7</v>
      </c>
      <c r="G85" s="5">
        <f t="shared" si="12"/>
        <v>1087.4999999999998</v>
      </c>
      <c r="J85" s="5">
        <v>0</v>
      </c>
      <c r="K85" s="5">
        <f t="shared" si="13"/>
        <v>194.59999999999997</v>
      </c>
      <c r="L85" s="5">
        <v>0.5</v>
      </c>
      <c r="M85" s="5">
        <f t="shared" si="14"/>
        <v>122.30000000000001</v>
      </c>
      <c r="N85" s="5">
        <v>-0.5</v>
      </c>
      <c r="O85" s="5">
        <f t="shared" si="9"/>
        <v>131.69999999999999</v>
      </c>
      <c r="P85" s="5">
        <v>80</v>
      </c>
      <c r="Q85" s="5">
        <f t="shared" si="17"/>
        <v>0.80882352941176472</v>
      </c>
      <c r="R85" s="9">
        <f t="shared" si="10"/>
        <v>0.40441176470588236</v>
      </c>
      <c r="S85" s="9">
        <f t="shared" si="11"/>
        <v>-0.40441176470588236</v>
      </c>
      <c r="T85" s="9">
        <f t="shared" si="15"/>
        <v>154.30088235294116</v>
      </c>
      <c r="V85" s="5">
        <v>152.4</v>
      </c>
      <c r="X85" s="5">
        <f t="shared" si="16"/>
        <v>58095.900000000016</v>
      </c>
      <c r="AA85" s="10">
        <v>8.8177149199891005</v>
      </c>
    </row>
    <row r="86" spans="1:27" s="5" customFormat="1" x14ac:dyDescent="0.25">
      <c r="A86" s="61"/>
      <c r="B86" s="6"/>
      <c r="C86" s="7">
        <v>41971</v>
      </c>
      <c r="D86" s="5">
        <v>12.6</v>
      </c>
      <c r="E86" s="5">
        <v>9.8000000000000007</v>
      </c>
      <c r="F86" s="5">
        <v>15.7</v>
      </c>
      <c r="G86" s="5">
        <f t="shared" si="12"/>
        <v>1100.0999999999997</v>
      </c>
      <c r="J86" s="5">
        <v>0</v>
      </c>
      <c r="K86" s="5">
        <f t="shared" si="13"/>
        <v>194.59999999999997</v>
      </c>
      <c r="L86" s="5">
        <v>1.6</v>
      </c>
      <c r="M86" s="5">
        <f t="shared" si="14"/>
        <v>123.9</v>
      </c>
      <c r="N86" s="5">
        <v>-1.6</v>
      </c>
      <c r="O86" s="5">
        <f t="shared" si="9"/>
        <v>130.1</v>
      </c>
      <c r="P86" s="5">
        <v>81</v>
      </c>
      <c r="Q86" s="5">
        <f t="shared" si="17"/>
        <v>0.81519607843137254</v>
      </c>
      <c r="R86" s="9">
        <f t="shared" si="10"/>
        <v>1.3043137254901962</v>
      </c>
      <c r="S86" s="9">
        <f t="shared" si="11"/>
        <v>-1.3043137254901962</v>
      </c>
      <c r="T86" s="9">
        <f t="shared" si="15"/>
        <v>152.99656862745096</v>
      </c>
      <c r="V86" s="5">
        <v>767.5</v>
      </c>
      <c r="X86" s="5">
        <f t="shared" si="16"/>
        <v>58863.400000000016</v>
      </c>
      <c r="AA86" s="10">
        <v>8.7833574322332097</v>
      </c>
    </row>
    <row r="87" spans="1:27" s="5" customFormat="1" x14ac:dyDescent="0.25">
      <c r="A87" s="61"/>
      <c r="B87" s="6"/>
      <c r="C87" s="7">
        <v>41972</v>
      </c>
      <c r="D87" s="5">
        <v>11.6</v>
      </c>
      <c r="E87" s="5">
        <v>10.5</v>
      </c>
      <c r="F87" s="5">
        <v>16</v>
      </c>
      <c r="G87" s="5">
        <f t="shared" si="12"/>
        <v>1111.6999999999996</v>
      </c>
      <c r="J87" s="5">
        <v>0</v>
      </c>
      <c r="K87" s="5">
        <f t="shared" si="13"/>
        <v>194.59999999999997</v>
      </c>
      <c r="L87" s="5">
        <v>1.2</v>
      </c>
      <c r="M87" s="5">
        <f t="shared" si="14"/>
        <v>125.10000000000001</v>
      </c>
      <c r="N87" s="5">
        <v>-1.2</v>
      </c>
      <c r="O87" s="5">
        <f t="shared" si="9"/>
        <v>128.9</v>
      </c>
      <c r="P87" s="5">
        <v>82</v>
      </c>
      <c r="Q87" s="5">
        <f t="shared" si="17"/>
        <v>0.82156862745098036</v>
      </c>
      <c r="R87" s="9">
        <f t="shared" si="10"/>
        <v>0.98588235294117643</v>
      </c>
      <c r="S87" s="9">
        <f t="shared" si="11"/>
        <v>-0.98588235294117643</v>
      </c>
      <c r="T87" s="9">
        <f t="shared" si="15"/>
        <v>152.01068627450977</v>
      </c>
      <c r="V87" s="5">
        <v>487.8</v>
      </c>
      <c r="X87" s="5">
        <f t="shared" si="16"/>
        <v>59351.200000000019</v>
      </c>
      <c r="AA87" s="10">
        <v>8.7500875229543809</v>
      </c>
    </row>
    <row r="88" spans="1:27" s="5" customFormat="1" x14ac:dyDescent="0.25">
      <c r="A88" s="61"/>
      <c r="B88" s="6"/>
      <c r="C88" s="7">
        <v>41973</v>
      </c>
      <c r="D88" s="5">
        <v>9.6</v>
      </c>
      <c r="E88" s="5">
        <v>5.0999999999999996</v>
      </c>
      <c r="F88" s="5">
        <v>13.9</v>
      </c>
      <c r="G88" s="5">
        <f t="shared" si="12"/>
        <v>1121.2999999999995</v>
      </c>
      <c r="J88" s="5">
        <v>0.1</v>
      </c>
      <c r="K88" s="5">
        <f t="shared" si="13"/>
        <v>194.69999999999996</v>
      </c>
      <c r="L88" s="5">
        <v>0.8</v>
      </c>
      <c r="M88" s="5">
        <f t="shared" si="14"/>
        <v>125.9</v>
      </c>
      <c r="N88" s="5">
        <v>-0.70000000000000007</v>
      </c>
      <c r="O88" s="5">
        <f t="shared" si="9"/>
        <v>128.20000000000002</v>
      </c>
      <c r="P88" s="5">
        <v>83</v>
      </c>
      <c r="Q88" s="5">
        <f t="shared" si="17"/>
        <v>0.82794117647058818</v>
      </c>
      <c r="R88" s="9">
        <f t="shared" si="10"/>
        <v>0.66235294117647059</v>
      </c>
      <c r="S88" s="9">
        <f t="shared" si="11"/>
        <v>-0.56235294117647061</v>
      </c>
      <c r="T88" s="9">
        <f t="shared" si="15"/>
        <v>151.4483333333333</v>
      </c>
      <c r="V88" s="5">
        <v>661.2</v>
      </c>
      <c r="X88" s="5">
        <f t="shared" si="16"/>
        <v>60012.400000000016</v>
      </c>
      <c r="AA88" s="10">
        <v>8.7179351518204609</v>
      </c>
    </row>
    <row r="89" spans="1:27" s="5" customFormat="1" x14ac:dyDescent="0.25">
      <c r="A89" s="61"/>
      <c r="B89" s="6"/>
      <c r="C89" s="7">
        <v>41974</v>
      </c>
      <c r="D89" s="5">
        <v>9.6999999999999993</v>
      </c>
      <c r="E89" s="5">
        <v>9.5</v>
      </c>
      <c r="F89" s="5">
        <v>10.199999999999999</v>
      </c>
      <c r="G89" s="5">
        <f t="shared" si="12"/>
        <v>1130.9999999999995</v>
      </c>
      <c r="J89" s="5">
        <v>0</v>
      </c>
      <c r="K89" s="5">
        <f t="shared" si="13"/>
        <v>194.69999999999996</v>
      </c>
      <c r="L89" s="5">
        <v>1</v>
      </c>
      <c r="M89" s="5">
        <f t="shared" si="14"/>
        <v>126.9</v>
      </c>
      <c r="N89" s="5">
        <v>-1</v>
      </c>
      <c r="O89" s="5">
        <f t="shared" si="9"/>
        <v>127.20000000000002</v>
      </c>
      <c r="P89" s="5">
        <v>84</v>
      </c>
      <c r="Q89" s="5">
        <f t="shared" si="17"/>
        <v>0.834313725490196</v>
      </c>
      <c r="R89" s="9">
        <f t="shared" si="10"/>
        <v>0.834313725490196</v>
      </c>
      <c r="S89" s="9">
        <f t="shared" si="11"/>
        <v>-0.834313725490196</v>
      </c>
      <c r="T89" s="9">
        <f t="shared" si="15"/>
        <v>150.61401960784309</v>
      </c>
      <c r="V89" s="5">
        <v>123.9</v>
      </c>
      <c r="X89" s="5">
        <f t="shared" si="16"/>
        <v>60136.300000000017</v>
      </c>
      <c r="AA89" s="10">
        <v>8.6869299682154892</v>
      </c>
    </row>
    <row r="90" spans="1:27" s="5" customFormat="1" x14ac:dyDescent="0.25">
      <c r="A90" s="61"/>
      <c r="B90" s="6"/>
      <c r="C90" s="7">
        <v>41975</v>
      </c>
      <c r="D90" s="5">
        <v>8.5</v>
      </c>
      <c r="E90" s="5">
        <v>7.5</v>
      </c>
      <c r="F90" s="5">
        <v>9.4</v>
      </c>
      <c r="G90" s="5">
        <f t="shared" si="12"/>
        <v>1139.4999999999995</v>
      </c>
      <c r="J90" s="5">
        <v>1.1000000000000001</v>
      </c>
      <c r="K90" s="5">
        <f t="shared" si="13"/>
        <v>195.79999999999995</v>
      </c>
      <c r="L90" s="5">
        <v>0.8</v>
      </c>
      <c r="M90" s="5">
        <f t="shared" si="14"/>
        <v>127.7</v>
      </c>
      <c r="N90" s="5">
        <v>0.30000000000000004</v>
      </c>
      <c r="O90" s="5">
        <f t="shared" si="9"/>
        <v>127.50000000000001</v>
      </c>
      <c r="P90" s="5">
        <v>85</v>
      </c>
      <c r="Q90" s="5">
        <f t="shared" si="17"/>
        <v>0.84068627450980393</v>
      </c>
      <c r="R90" s="9">
        <f t="shared" si="10"/>
        <v>0.67254901960784319</v>
      </c>
      <c r="S90" s="9">
        <f t="shared" si="11"/>
        <v>0.4274509803921569</v>
      </c>
      <c r="T90" s="9">
        <f t="shared" si="15"/>
        <v>151.04147058823526</v>
      </c>
      <c r="V90" s="5">
        <v>119.7</v>
      </c>
      <c r="X90" s="5">
        <f t="shared" si="16"/>
        <v>60256.000000000015</v>
      </c>
      <c r="AA90" s="10">
        <v>8.6571012279438708</v>
      </c>
    </row>
    <row r="91" spans="1:27" s="5" customFormat="1" x14ac:dyDescent="0.25">
      <c r="A91" s="61"/>
      <c r="B91" s="6"/>
      <c r="C91" s="7">
        <v>41976</v>
      </c>
      <c r="D91" s="5">
        <v>7.2</v>
      </c>
      <c r="E91" s="5">
        <v>6.6</v>
      </c>
      <c r="F91" s="5">
        <v>8.1999999999999993</v>
      </c>
      <c r="G91" s="5">
        <f t="shared" si="12"/>
        <v>1146.6999999999996</v>
      </c>
      <c r="J91" s="5">
        <v>0</v>
      </c>
      <c r="K91" s="5">
        <f t="shared" si="13"/>
        <v>195.79999999999995</v>
      </c>
      <c r="L91" s="5">
        <v>1.2</v>
      </c>
      <c r="M91" s="5">
        <f t="shared" si="14"/>
        <v>128.9</v>
      </c>
      <c r="N91" s="5">
        <v>-1.2</v>
      </c>
      <c r="O91" s="5">
        <f t="shared" si="9"/>
        <v>126.30000000000001</v>
      </c>
      <c r="P91" s="5">
        <v>86</v>
      </c>
      <c r="Q91" s="5">
        <f t="shared" si="17"/>
        <v>0.84705882352941175</v>
      </c>
      <c r="R91" s="9">
        <f t="shared" si="10"/>
        <v>1.016470588235294</v>
      </c>
      <c r="S91" s="9">
        <f t="shared" si="11"/>
        <v>-1.016470588235294</v>
      </c>
      <c r="T91" s="9">
        <f t="shared" si="15"/>
        <v>150.02499999999995</v>
      </c>
      <c r="V91" s="5">
        <v>190.1</v>
      </c>
      <c r="X91" s="5">
        <f t="shared" si="16"/>
        <v>60446.100000000013</v>
      </c>
      <c r="AA91" s="10">
        <v>8.6284777077740902</v>
      </c>
    </row>
    <row r="92" spans="1:27" s="5" customFormat="1" x14ac:dyDescent="0.25">
      <c r="A92" s="61"/>
      <c r="B92" s="11"/>
      <c r="C92" s="7">
        <v>41977</v>
      </c>
      <c r="D92" s="5">
        <v>4.2</v>
      </c>
      <c r="E92" s="5">
        <v>4</v>
      </c>
      <c r="F92" s="5">
        <v>4.3</v>
      </c>
      <c r="G92" s="5">
        <f t="shared" si="12"/>
        <v>1150.8999999999996</v>
      </c>
      <c r="J92" s="5">
        <v>0.7</v>
      </c>
      <c r="K92" s="5">
        <f t="shared" si="13"/>
        <v>196.49999999999994</v>
      </c>
      <c r="L92" s="5">
        <v>0.4</v>
      </c>
      <c r="M92" s="5">
        <f t="shared" si="14"/>
        <v>129.30000000000001</v>
      </c>
      <c r="N92" s="5">
        <v>0.29999999999999993</v>
      </c>
      <c r="O92" s="5">
        <f t="shared" si="9"/>
        <v>126.60000000000001</v>
      </c>
      <c r="P92" s="5">
        <v>87</v>
      </c>
      <c r="Q92" s="5">
        <f t="shared" si="17"/>
        <v>0.85343137254901957</v>
      </c>
      <c r="R92" s="9">
        <f t="shared" si="10"/>
        <v>0.34137254901960784</v>
      </c>
      <c r="S92" s="9">
        <f t="shared" si="11"/>
        <v>0.35862745098039212</v>
      </c>
      <c r="T92" s="9">
        <f t="shared" si="15"/>
        <v>150.38362745098033</v>
      </c>
      <c r="V92" s="5">
        <v>118.9</v>
      </c>
      <c r="X92" s="5">
        <f t="shared" si="16"/>
        <v>60565.000000000015</v>
      </c>
      <c r="AA92" s="10">
        <v>8.6010876182217704</v>
      </c>
    </row>
    <row r="93" spans="1:27" s="5" customFormat="1" x14ac:dyDescent="0.25">
      <c r="A93" s="61"/>
      <c r="B93" s="11"/>
      <c r="C93" s="7">
        <v>41978</v>
      </c>
      <c r="D93" s="5">
        <v>4.5999999999999996</v>
      </c>
      <c r="E93" s="5">
        <v>4</v>
      </c>
      <c r="F93" s="5">
        <v>5.8</v>
      </c>
      <c r="G93" s="5">
        <f t="shared" si="12"/>
        <v>1155.4999999999995</v>
      </c>
      <c r="J93" s="5">
        <v>1.9</v>
      </c>
      <c r="K93" s="5">
        <f t="shared" si="13"/>
        <v>198.39999999999995</v>
      </c>
      <c r="L93" s="5">
        <v>0.4</v>
      </c>
      <c r="M93" s="5">
        <f t="shared" si="14"/>
        <v>129.70000000000002</v>
      </c>
      <c r="N93" s="5">
        <v>1.5</v>
      </c>
      <c r="O93" s="5">
        <f t="shared" si="9"/>
        <v>128.10000000000002</v>
      </c>
      <c r="P93" s="5">
        <v>88</v>
      </c>
      <c r="Q93" s="5">
        <f t="shared" si="17"/>
        <v>0.85980392156862739</v>
      </c>
      <c r="R93" s="9">
        <f t="shared" si="10"/>
        <v>0.34392156862745099</v>
      </c>
      <c r="S93" s="9">
        <f t="shared" si="11"/>
        <v>1.5560784313725489</v>
      </c>
      <c r="T93" s="9">
        <f t="shared" si="15"/>
        <v>151.93970588235288</v>
      </c>
      <c r="V93" s="5">
        <v>141.30000000000001</v>
      </c>
      <c r="X93" s="5">
        <f t="shared" si="16"/>
        <v>60706.300000000017</v>
      </c>
      <c r="AA93" s="10">
        <v>8.5749585150120193</v>
      </c>
    </row>
    <row r="94" spans="1:27" s="5" customFormat="1" x14ac:dyDescent="0.25">
      <c r="A94" s="61"/>
      <c r="B94" s="11"/>
      <c r="C94" s="7">
        <v>41979</v>
      </c>
      <c r="D94" s="5">
        <v>3.2</v>
      </c>
      <c r="E94" s="5">
        <v>2</v>
      </c>
      <c r="F94" s="5">
        <v>7.7</v>
      </c>
      <c r="G94" s="5">
        <f t="shared" si="12"/>
        <v>1158.6999999999996</v>
      </c>
      <c r="J94" s="5">
        <v>0.1</v>
      </c>
      <c r="K94" s="5">
        <f t="shared" si="13"/>
        <v>198.49999999999994</v>
      </c>
      <c r="L94" s="5">
        <v>0.9</v>
      </c>
      <c r="M94" s="5">
        <f t="shared" si="14"/>
        <v>130.60000000000002</v>
      </c>
      <c r="N94" s="5">
        <v>-0.8</v>
      </c>
      <c r="O94" s="5">
        <f t="shared" si="9"/>
        <v>127.30000000000003</v>
      </c>
      <c r="P94" s="5">
        <v>89</v>
      </c>
      <c r="Q94" s="5">
        <f t="shared" si="17"/>
        <v>0.86617647058823521</v>
      </c>
      <c r="R94" s="9">
        <f t="shared" si="10"/>
        <v>0.77955882352941175</v>
      </c>
      <c r="S94" s="9">
        <f t="shared" si="11"/>
        <v>-0.67955882352941177</v>
      </c>
      <c r="T94" s="9">
        <f t="shared" si="15"/>
        <v>151.26014705882346</v>
      </c>
      <c r="V94" s="5">
        <v>526.9</v>
      </c>
      <c r="X94" s="5">
        <f t="shared" si="16"/>
        <v>61233.200000000019</v>
      </c>
      <c r="AA94" s="10">
        <v>8.5501172096972606</v>
      </c>
    </row>
    <row r="95" spans="1:27" s="5" customFormat="1" x14ac:dyDescent="0.25">
      <c r="A95" s="61"/>
      <c r="B95" s="6"/>
      <c r="C95" s="7">
        <v>41980</v>
      </c>
      <c r="D95" s="5">
        <v>5.7</v>
      </c>
      <c r="E95" s="5">
        <v>-1</v>
      </c>
      <c r="F95" s="5">
        <v>9.3000000000000007</v>
      </c>
      <c r="G95" s="5">
        <f t="shared" si="12"/>
        <v>1164.3999999999996</v>
      </c>
      <c r="J95" s="5">
        <v>1.3</v>
      </c>
      <c r="K95" s="5">
        <f t="shared" si="13"/>
        <v>199.79999999999995</v>
      </c>
      <c r="L95" s="5">
        <v>0.1</v>
      </c>
      <c r="M95" s="5">
        <f t="shared" si="14"/>
        <v>130.70000000000002</v>
      </c>
      <c r="N95" s="5">
        <v>1.2</v>
      </c>
      <c r="O95" s="5">
        <f t="shared" ref="O95:O133" si="18">O94+N95</f>
        <v>128.50000000000003</v>
      </c>
      <c r="P95" s="5">
        <v>90</v>
      </c>
      <c r="Q95" s="5">
        <f t="shared" si="17"/>
        <v>0.87254901960784315</v>
      </c>
      <c r="R95" s="9">
        <f t="shared" si="10"/>
        <v>8.7254901960784323E-2</v>
      </c>
      <c r="S95" s="9">
        <f t="shared" si="11"/>
        <v>1.2127450980392158</v>
      </c>
      <c r="T95" s="9">
        <f t="shared" si="15"/>
        <v>152.47289215686268</v>
      </c>
      <c r="V95" s="5">
        <v>279.7</v>
      </c>
      <c r="X95" s="5">
        <f t="shared" si="16"/>
        <v>61512.900000000016</v>
      </c>
      <c r="AA95" s="10">
        <v>8.5265896799417202</v>
      </c>
    </row>
    <row r="96" spans="1:27" s="5" customFormat="1" x14ac:dyDescent="0.25">
      <c r="A96" s="61"/>
      <c r="B96" s="6"/>
      <c r="C96" s="7">
        <v>41981</v>
      </c>
      <c r="D96" s="5">
        <v>5.0999999999999996</v>
      </c>
      <c r="E96" s="5">
        <v>4.5999999999999996</v>
      </c>
      <c r="F96" s="5">
        <v>7.8</v>
      </c>
      <c r="G96" s="5">
        <f t="shared" si="12"/>
        <v>1169.4999999999995</v>
      </c>
      <c r="J96" s="5">
        <v>2.4</v>
      </c>
      <c r="K96" s="5">
        <f t="shared" si="13"/>
        <v>202.19999999999996</v>
      </c>
      <c r="L96" s="5">
        <v>0.7</v>
      </c>
      <c r="M96" s="5">
        <f t="shared" si="14"/>
        <v>131.4</v>
      </c>
      <c r="N96" s="5">
        <v>1.7</v>
      </c>
      <c r="O96" s="5">
        <f t="shared" si="18"/>
        <v>130.20000000000002</v>
      </c>
      <c r="P96" s="5">
        <v>91</v>
      </c>
      <c r="Q96" s="5">
        <f t="shared" si="17"/>
        <v>0.87892156862745097</v>
      </c>
      <c r="R96" s="9">
        <f t="shared" si="10"/>
        <v>0.61524509803921568</v>
      </c>
      <c r="S96" s="9">
        <f t="shared" si="11"/>
        <v>1.7847549019607842</v>
      </c>
      <c r="T96" s="9">
        <f t="shared" si="15"/>
        <v>154.25764705882347</v>
      </c>
      <c r="V96" s="5">
        <v>333.4</v>
      </c>
      <c r="X96" s="5">
        <f t="shared" si="16"/>
        <v>61846.300000000017</v>
      </c>
      <c r="AA96" s="10">
        <v>8.5044009800137506</v>
      </c>
    </row>
    <row r="97" spans="1:27" s="5" customFormat="1" x14ac:dyDescent="0.25">
      <c r="A97" s="61"/>
      <c r="B97" s="6"/>
      <c r="C97" s="7">
        <v>41982</v>
      </c>
      <c r="D97" s="5">
        <v>5.5</v>
      </c>
      <c r="E97" s="5">
        <v>1.5</v>
      </c>
      <c r="F97" s="5">
        <v>12.3</v>
      </c>
      <c r="G97" s="5">
        <f t="shared" si="12"/>
        <v>1174.9999999999995</v>
      </c>
      <c r="J97" s="5">
        <v>1</v>
      </c>
      <c r="K97" s="5">
        <f t="shared" si="13"/>
        <v>203.19999999999996</v>
      </c>
      <c r="L97" s="5">
        <v>0.8</v>
      </c>
      <c r="M97" s="5">
        <f t="shared" si="14"/>
        <v>132.20000000000002</v>
      </c>
      <c r="N97" s="5">
        <v>0.19999999999999996</v>
      </c>
      <c r="O97" s="5">
        <f t="shared" si="18"/>
        <v>130.4</v>
      </c>
      <c r="P97" s="5">
        <v>92</v>
      </c>
      <c r="Q97" s="5">
        <f t="shared" si="17"/>
        <v>0.88529411764705879</v>
      </c>
      <c r="R97" s="9">
        <f t="shared" si="10"/>
        <v>0.70823529411764707</v>
      </c>
      <c r="S97" s="9">
        <f t="shared" si="11"/>
        <v>0.29176470588235293</v>
      </c>
      <c r="T97" s="9">
        <f t="shared" si="15"/>
        <v>154.54941176470581</v>
      </c>
      <c r="V97" s="5">
        <v>171.6</v>
      </c>
      <c r="X97" s="5">
        <f t="shared" si="16"/>
        <v>62017.900000000016</v>
      </c>
      <c r="AA97" s="10">
        <v>8.4835751520538096</v>
      </c>
    </row>
    <row r="98" spans="1:27" s="5" customFormat="1" x14ac:dyDescent="0.25">
      <c r="A98" s="61"/>
      <c r="B98" s="6"/>
      <c r="C98" s="7">
        <v>41983</v>
      </c>
      <c r="D98" s="5">
        <v>9.6999999999999993</v>
      </c>
      <c r="E98" s="5">
        <v>7.6</v>
      </c>
      <c r="F98" s="5">
        <v>12.1</v>
      </c>
      <c r="G98" s="5">
        <f t="shared" si="12"/>
        <v>1184.6999999999996</v>
      </c>
      <c r="J98" s="5">
        <v>0.6</v>
      </c>
      <c r="K98" s="5">
        <f t="shared" si="13"/>
        <v>203.79999999999995</v>
      </c>
      <c r="L98" s="5">
        <v>0.8</v>
      </c>
      <c r="M98" s="5">
        <f t="shared" si="14"/>
        <v>133.00000000000003</v>
      </c>
      <c r="N98" s="5">
        <v>-0.20000000000000007</v>
      </c>
      <c r="O98" s="5">
        <f t="shared" si="18"/>
        <v>130.20000000000002</v>
      </c>
      <c r="P98" s="5">
        <v>93</v>
      </c>
      <c r="Q98" s="5">
        <f t="shared" si="17"/>
        <v>0.89166666666666672</v>
      </c>
      <c r="R98" s="9">
        <f t="shared" si="10"/>
        <v>0.71333333333333337</v>
      </c>
      <c r="S98" s="9">
        <f t="shared" si="11"/>
        <v>-0.1133333333333334</v>
      </c>
      <c r="T98" s="9">
        <f t="shared" si="15"/>
        <v>154.43607843137247</v>
      </c>
      <c r="V98" s="5">
        <v>120.3</v>
      </c>
      <c r="X98" s="5">
        <f t="shared" si="16"/>
        <v>62138.200000000019</v>
      </c>
      <c r="AA98" s="10">
        <v>8.4641351387067392</v>
      </c>
    </row>
    <row r="99" spans="1:27" s="5" customFormat="1" x14ac:dyDescent="0.25">
      <c r="A99" s="61"/>
      <c r="B99" s="6"/>
      <c r="C99" s="7">
        <v>41984</v>
      </c>
      <c r="D99" s="5">
        <v>9.5</v>
      </c>
      <c r="E99" s="5">
        <v>6</v>
      </c>
      <c r="F99" s="5">
        <v>11.3</v>
      </c>
      <c r="G99" s="5">
        <f t="shared" si="12"/>
        <v>1194.1999999999996</v>
      </c>
      <c r="J99" s="5">
        <v>0.9</v>
      </c>
      <c r="K99" s="5">
        <f t="shared" si="13"/>
        <v>204.69999999999996</v>
      </c>
      <c r="L99" s="5">
        <v>1.2</v>
      </c>
      <c r="M99" s="5">
        <f t="shared" si="14"/>
        <v>134.20000000000002</v>
      </c>
      <c r="N99" s="5">
        <v>-0.29999999999999993</v>
      </c>
      <c r="O99" s="5">
        <f t="shared" si="18"/>
        <v>129.9</v>
      </c>
      <c r="P99" s="5">
        <v>94</v>
      </c>
      <c r="Q99" s="5">
        <f t="shared" si="17"/>
        <v>0.89803921568627454</v>
      </c>
      <c r="R99" s="9">
        <f t="shared" si="10"/>
        <v>1.0776470588235294</v>
      </c>
      <c r="S99" s="9">
        <f t="shared" si="11"/>
        <v>-0.17764705882352938</v>
      </c>
      <c r="T99" s="9">
        <f t="shared" si="15"/>
        <v>154.25843137254893</v>
      </c>
      <c r="V99" s="5">
        <v>495</v>
      </c>
      <c r="X99" s="5">
        <f t="shared" si="16"/>
        <v>62633.200000000019</v>
      </c>
      <c r="AA99" s="10">
        <v>8.4461026977227203</v>
      </c>
    </row>
    <row r="100" spans="1:27" s="5" customFormat="1" x14ac:dyDescent="0.25">
      <c r="A100" s="61"/>
      <c r="B100" s="6"/>
      <c r="C100" s="7">
        <v>41985</v>
      </c>
      <c r="D100" s="5">
        <v>10.1</v>
      </c>
      <c r="E100" s="5">
        <v>8.4</v>
      </c>
      <c r="F100" s="5">
        <v>13.4</v>
      </c>
      <c r="G100" s="5">
        <f t="shared" si="12"/>
        <v>1204.2999999999995</v>
      </c>
      <c r="J100" s="5">
        <v>27.5</v>
      </c>
      <c r="K100" s="5">
        <f t="shared" si="13"/>
        <v>232.19999999999996</v>
      </c>
      <c r="L100" s="5">
        <v>1.1000000000000001</v>
      </c>
      <c r="M100" s="5">
        <f t="shared" si="14"/>
        <v>135.30000000000001</v>
      </c>
      <c r="N100" s="5">
        <v>26.4</v>
      </c>
      <c r="O100" s="5">
        <f t="shared" si="18"/>
        <v>156.30000000000001</v>
      </c>
      <c r="P100" s="5">
        <v>95</v>
      </c>
      <c r="Q100" s="5">
        <f t="shared" si="17"/>
        <v>0.90441176470588236</v>
      </c>
      <c r="R100" s="9">
        <f t="shared" si="10"/>
        <v>0.99485294117647072</v>
      </c>
      <c r="S100" s="9">
        <f t="shared" si="11"/>
        <v>26.505147058823528</v>
      </c>
      <c r="T100" s="9">
        <f t="shared" si="15"/>
        <v>180.76357843137245</v>
      </c>
      <c r="V100" s="5">
        <v>123.3</v>
      </c>
      <c r="X100" s="5">
        <f t="shared" si="16"/>
        <v>62756.500000000022</v>
      </c>
      <c r="AA100" s="10">
        <v>8.4294983191401904</v>
      </c>
    </row>
    <row r="101" spans="1:27" s="5" customFormat="1" x14ac:dyDescent="0.25">
      <c r="A101" s="61"/>
      <c r="B101" s="11"/>
      <c r="C101" s="7">
        <v>41986</v>
      </c>
      <c r="D101" s="5">
        <v>3.6</v>
      </c>
      <c r="E101" s="5">
        <v>2.8</v>
      </c>
      <c r="F101" s="5">
        <v>5.6</v>
      </c>
      <c r="G101" s="5">
        <f t="shared" si="12"/>
        <v>1207.8999999999994</v>
      </c>
      <c r="J101" s="5">
        <v>2</v>
      </c>
      <c r="K101" s="5">
        <f t="shared" si="13"/>
        <v>234.19999999999996</v>
      </c>
      <c r="L101" s="5">
        <v>0.4</v>
      </c>
      <c r="M101" s="5">
        <f t="shared" si="14"/>
        <v>135.70000000000002</v>
      </c>
      <c r="N101" s="5">
        <v>1.6</v>
      </c>
      <c r="O101" s="5">
        <f t="shared" si="18"/>
        <v>157.9</v>
      </c>
      <c r="P101" s="5">
        <v>96</v>
      </c>
      <c r="Q101" s="5">
        <f t="shared" si="17"/>
        <v>0.91078431372549018</v>
      </c>
      <c r="R101" s="9">
        <f t="shared" si="10"/>
        <v>0.36431372549019608</v>
      </c>
      <c r="S101" s="9">
        <f t="shared" si="11"/>
        <v>1.635686274509804</v>
      </c>
      <c r="T101" s="9">
        <f t="shared" si="15"/>
        <v>182.39926470588225</v>
      </c>
      <c r="V101" s="5">
        <v>150.19999999999999</v>
      </c>
      <c r="X101" s="5">
        <f t="shared" si="16"/>
        <v>62906.700000000019</v>
      </c>
      <c r="AA101" s="10">
        <v>8.4143411456663699</v>
      </c>
    </row>
    <row r="102" spans="1:27" s="5" customFormat="1" x14ac:dyDescent="0.25">
      <c r="A102" s="61"/>
      <c r="B102" s="11"/>
      <c r="C102" s="7">
        <v>41987</v>
      </c>
      <c r="D102" s="5">
        <v>1.8</v>
      </c>
      <c r="E102" s="5">
        <v>-2.6</v>
      </c>
      <c r="F102" s="5">
        <v>7.4</v>
      </c>
      <c r="G102" s="5">
        <f t="shared" si="12"/>
        <v>1209.6999999999994</v>
      </c>
      <c r="J102" s="5">
        <v>1.7</v>
      </c>
      <c r="K102" s="5">
        <f t="shared" si="13"/>
        <v>235.89999999999995</v>
      </c>
      <c r="L102" s="5">
        <v>0.7</v>
      </c>
      <c r="M102" s="5">
        <f t="shared" si="14"/>
        <v>136.4</v>
      </c>
      <c r="N102" s="5">
        <v>1</v>
      </c>
      <c r="O102" s="5">
        <f t="shared" si="18"/>
        <v>158.9</v>
      </c>
      <c r="P102" s="5">
        <v>97</v>
      </c>
      <c r="Q102" s="5">
        <f t="shared" si="17"/>
        <v>0.917156862745098</v>
      </c>
      <c r="R102" s="9">
        <f t="shared" si="10"/>
        <v>0.64200980392156859</v>
      </c>
      <c r="S102" s="9">
        <f t="shared" si="11"/>
        <v>1.0579901960784315</v>
      </c>
      <c r="T102" s="9">
        <f t="shared" si="15"/>
        <v>183.45725490196068</v>
      </c>
      <c r="V102" s="5">
        <v>536.5</v>
      </c>
      <c r="X102" s="5">
        <f t="shared" si="16"/>
        <v>63443.200000000019</v>
      </c>
      <c r="AA102" s="10">
        <v>8.4006488968663096</v>
      </c>
    </row>
    <row r="103" spans="1:27" s="5" customFormat="1" x14ac:dyDescent="0.25">
      <c r="A103" s="61"/>
      <c r="B103" s="6"/>
      <c r="C103" s="7">
        <v>41988</v>
      </c>
      <c r="D103" s="5">
        <v>8.1</v>
      </c>
      <c r="E103" s="5">
        <v>3.7</v>
      </c>
      <c r="F103" s="5">
        <v>9.3000000000000007</v>
      </c>
      <c r="G103" s="5">
        <f t="shared" si="12"/>
        <v>1217.7999999999993</v>
      </c>
      <c r="J103" s="5">
        <v>5</v>
      </c>
      <c r="K103" s="5">
        <f t="shared" si="13"/>
        <v>240.89999999999995</v>
      </c>
      <c r="L103" s="5">
        <v>0.2</v>
      </c>
      <c r="M103" s="5">
        <f t="shared" si="14"/>
        <v>136.6</v>
      </c>
      <c r="N103" s="5">
        <v>4.8</v>
      </c>
      <c r="O103" s="5">
        <f t="shared" si="18"/>
        <v>163.70000000000002</v>
      </c>
      <c r="P103" s="5">
        <v>98</v>
      </c>
      <c r="Q103" s="5">
        <f t="shared" si="17"/>
        <v>0.92352941176470582</v>
      </c>
      <c r="R103" s="9">
        <f t="shared" si="10"/>
        <v>0.18470588235294116</v>
      </c>
      <c r="S103" s="9">
        <f t="shared" si="11"/>
        <v>4.8152941176470589</v>
      </c>
      <c r="T103" s="9">
        <f t="shared" si="15"/>
        <v>188.27254901960774</v>
      </c>
      <c r="V103" s="5">
        <v>251.7</v>
      </c>
      <c r="X103" s="5">
        <f t="shared" si="16"/>
        <v>63694.900000000016</v>
      </c>
      <c r="AA103" s="10">
        <v>8.3884377977584599</v>
      </c>
    </row>
    <row r="104" spans="1:27" s="5" customFormat="1" x14ac:dyDescent="0.25">
      <c r="A104" s="61"/>
      <c r="B104" s="6"/>
      <c r="C104" s="7">
        <v>41989</v>
      </c>
      <c r="D104" s="5">
        <v>8.6999999999999993</v>
      </c>
      <c r="E104" s="5">
        <v>8.1</v>
      </c>
      <c r="F104" s="5">
        <v>11.5</v>
      </c>
      <c r="G104" s="5">
        <f t="shared" si="12"/>
        <v>1226.4999999999993</v>
      </c>
      <c r="J104" s="5">
        <v>2.2999999999999998</v>
      </c>
      <c r="K104" s="5">
        <f t="shared" si="13"/>
        <v>243.19999999999996</v>
      </c>
      <c r="L104" s="5">
        <v>0.7</v>
      </c>
      <c r="M104" s="5">
        <f t="shared" si="14"/>
        <v>137.29999999999998</v>
      </c>
      <c r="N104" s="5">
        <v>1.5999999999999999</v>
      </c>
      <c r="O104" s="5">
        <f t="shared" si="18"/>
        <v>165.3</v>
      </c>
      <c r="P104" s="5">
        <v>99</v>
      </c>
      <c r="Q104" s="5">
        <f t="shared" si="17"/>
        <v>0.92990196078431375</v>
      </c>
      <c r="R104" s="9">
        <f t="shared" si="10"/>
        <v>0.65093137254901956</v>
      </c>
      <c r="S104" s="9">
        <f t="shared" si="11"/>
        <v>1.6490686274509803</v>
      </c>
      <c r="T104" s="9">
        <f t="shared" si="15"/>
        <v>189.92161764705872</v>
      </c>
      <c r="V104" s="5">
        <v>240.9</v>
      </c>
      <c r="X104" s="5">
        <f t="shared" si="16"/>
        <v>63935.800000000017</v>
      </c>
      <c r="AA104" s="10">
        <v>8.3777225123951595</v>
      </c>
    </row>
    <row r="105" spans="1:27" s="5" customFormat="1" x14ac:dyDescent="0.25">
      <c r="A105" s="61"/>
      <c r="B105" s="6"/>
      <c r="C105" s="7">
        <v>41990</v>
      </c>
      <c r="D105" s="5">
        <v>12.3</v>
      </c>
      <c r="E105" s="5">
        <v>8.1</v>
      </c>
      <c r="F105" s="5">
        <v>13.5</v>
      </c>
      <c r="G105" s="5">
        <f t="shared" si="12"/>
        <v>1238.7999999999993</v>
      </c>
      <c r="J105" s="5">
        <v>0</v>
      </c>
      <c r="K105" s="5">
        <f t="shared" si="13"/>
        <v>243.19999999999996</v>
      </c>
      <c r="L105" s="5">
        <v>0.3</v>
      </c>
      <c r="M105" s="5">
        <f t="shared" si="14"/>
        <v>137.6</v>
      </c>
      <c r="N105" s="5">
        <v>-0.3</v>
      </c>
      <c r="O105" s="5">
        <f t="shared" si="18"/>
        <v>165</v>
      </c>
      <c r="P105" s="5">
        <v>100</v>
      </c>
      <c r="Q105" s="5">
        <f t="shared" si="17"/>
        <v>0.93627450980392157</v>
      </c>
      <c r="R105" s="9">
        <f t="shared" si="10"/>
        <v>0.28088235294117647</v>
      </c>
      <c r="S105" s="9">
        <f t="shared" si="11"/>
        <v>-0.28088235294117647</v>
      </c>
      <c r="T105" s="9">
        <f t="shared" si="15"/>
        <v>189.64073529411755</v>
      </c>
      <c r="V105" s="5">
        <v>97</v>
      </c>
      <c r="X105" s="5">
        <f t="shared" si="16"/>
        <v>64032.800000000017</v>
      </c>
      <c r="AA105" s="10">
        <v>8.3685160829780205</v>
      </c>
    </row>
    <row r="106" spans="1:27" s="5" customFormat="1" x14ac:dyDescent="0.25">
      <c r="A106" s="61"/>
      <c r="B106" s="6"/>
      <c r="C106" s="7">
        <v>41991</v>
      </c>
      <c r="D106" s="5">
        <v>12.7</v>
      </c>
      <c r="E106" s="5">
        <v>12.3</v>
      </c>
      <c r="F106" s="5">
        <v>13.1</v>
      </c>
      <c r="G106" s="5">
        <f t="shared" si="12"/>
        <v>1251.4999999999993</v>
      </c>
      <c r="J106" s="5">
        <v>0</v>
      </c>
      <c r="K106" s="5">
        <f t="shared" si="13"/>
        <v>243.19999999999996</v>
      </c>
      <c r="L106" s="5">
        <v>0.9</v>
      </c>
      <c r="M106" s="5">
        <f t="shared" si="14"/>
        <v>138.5</v>
      </c>
      <c r="N106" s="5">
        <v>-0.9</v>
      </c>
      <c r="O106" s="5">
        <f t="shared" si="18"/>
        <v>164.1</v>
      </c>
      <c r="P106" s="5">
        <v>101</v>
      </c>
      <c r="Q106" s="5">
        <f t="shared" si="17"/>
        <v>0.94264705882352939</v>
      </c>
      <c r="R106" s="9">
        <f t="shared" si="10"/>
        <v>0.84838235294117648</v>
      </c>
      <c r="S106" s="9">
        <f t="shared" si="11"/>
        <v>-0.84838235294117648</v>
      </c>
      <c r="T106" s="9">
        <f t="shared" si="15"/>
        <v>188.79235294117638</v>
      </c>
      <c r="V106" s="5">
        <v>102.6</v>
      </c>
      <c r="X106" s="5">
        <f t="shared" si="16"/>
        <v>64135.400000000016</v>
      </c>
      <c r="AA106" s="10">
        <v>8.3608298750230894</v>
      </c>
    </row>
    <row r="107" spans="1:27" s="5" customFormat="1" x14ac:dyDescent="0.25">
      <c r="A107" s="61"/>
      <c r="B107" s="6"/>
      <c r="C107" s="7">
        <v>41992</v>
      </c>
      <c r="D107" s="5">
        <v>11.2</v>
      </c>
      <c r="E107" s="5">
        <v>9.6</v>
      </c>
      <c r="F107" s="5">
        <v>13.3</v>
      </c>
      <c r="G107" s="5">
        <f t="shared" si="12"/>
        <v>1262.6999999999994</v>
      </c>
      <c r="J107" s="5">
        <v>2.7</v>
      </c>
      <c r="K107" s="5">
        <f t="shared" si="13"/>
        <v>245.89999999999995</v>
      </c>
      <c r="L107" s="5">
        <v>0.7</v>
      </c>
      <c r="M107" s="5">
        <f t="shared" si="14"/>
        <v>139.19999999999999</v>
      </c>
      <c r="N107" s="5">
        <v>2</v>
      </c>
      <c r="O107" s="5">
        <f t="shared" si="18"/>
        <v>166.1</v>
      </c>
      <c r="P107" s="5">
        <v>102</v>
      </c>
      <c r="Q107" s="5">
        <f t="shared" si="17"/>
        <v>0.94901960784313721</v>
      </c>
      <c r="R107" s="9">
        <f t="shared" si="10"/>
        <v>0.66431372549019596</v>
      </c>
      <c r="S107" s="9">
        <f t="shared" si="11"/>
        <v>2.0356862745098043</v>
      </c>
      <c r="T107" s="9">
        <f t="shared" si="15"/>
        <v>190.82803921568618</v>
      </c>
      <c r="V107" s="5">
        <v>98.1</v>
      </c>
      <c r="X107" s="5">
        <f t="shared" si="16"/>
        <v>64233.500000000015</v>
      </c>
      <c r="AA107" s="10">
        <v>8.3546735290476395</v>
      </c>
    </row>
    <row r="108" spans="1:27" s="5" customFormat="1" x14ac:dyDescent="0.25">
      <c r="A108" s="61"/>
      <c r="B108" s="6"/>
      <c r="C108" s="7">
        <v>41993</v>
      </c>
      <c r="D108" s="5">
        <v>8.9</v>
      </c>
      <c r="E108" s="5">
        <v>7.6</v>
      </c>
      <c r="F108" s="5">
        <v>10.1</v>
      </c>
      <c r="G108" s="5">
        <f t="shared" si="12"/>
        <v>1271.5999999999995</v>
      </c>
      <c r="J108" s="5">
        <v>0</v>
      </c>
      <c r="K108" s="5">
        <f t="shared" si="13"/>
        <v>245.89999999999995</v>
      </c>
      <c r="L108" s="5">
        <v>1</v>
      </c>
      <c r="M108" s="5">
        <f t="shared" si="14"/>
        <v>140.19999999999999</v>
      </c>
      <c r="N108" s="5">
        <v>-1</v>
      </c>
      <c r="O108" s="5">
        <f t="shared" si="18"/>
        <v>165.1</v>
      </c>
      <c r="P108" s="5">
        <v>103</v>
      </c>
      <c r="Q108" s="5">
        <f t="shared" si="17"/>
        <v>0.95539215686274515</v>
      </c>
      <c r="R108" s="9">
        <f t="shared" si="10"/>
        <v>0.95539215686274515</v>
      </c>
      <c r="S108" s="9">
        <f t="shared" si="11"/>
        <v>-0.95539215686274515</v>
      </c>
      <c r="T108" s="9">
        <f t="shared" si="15"/>
        <v>189.87264705882342</v>
      </c>
      <c r="V108" s="5">
        <v>113.1</v>
      </c>
      <c r="X108" s="5">
        <f t="shared" si="16"/>
        <v>64346.600000000013</v>
      </c>
      <c r="AA108" s="10">
        <v>8.3500549192009093</v>
      </c>
    </row>
    <row r="109" spans="1:27" s="5" customFormat="1" x14ac:dyDescent="0.25">
      <c r="A109" s="61"/>
      <c r="B109" s="6"/>
      <c r="C109" s="7">
        <v>41994</v>
      </c>
      <c r="D109" s="5">
        <v>9.4</v>
      </c>
      <c r="E109" s="5">
        <v>8.3000000000000007</v>
      </c>
      <c r="F109" s="5">
        <v>10</v>
      </c>
      <c r="G109" s="5">
        <f t="shared" si="12"/>
        <v>1280.9999999999995</v>
      </c>
      <c r="J109" s="5">
        <v>0</v>
      </c>
      <c r="K109" s="5">
        <f t="shared" si="13"/>
        <v>245.89999999999995</v>
      </c>
      <c r="L109" s="5">
        <v>1</v>
      </c>
      <c r="M109" s="5">
        <f t="shared" si="14"/>
        <v>141.19999999999999</v>
      </c>
      <c r="N109" s="5">
        <v>-1</v>
      </c>
      <c r="O109" s="5">
        <f t="shared" si="18"/>
        <v>164.1</v>
      </c>
      <c r="P109" s="5">
        <v>104</v>
      </c>
      <c r="Q109" s="5">
        <f t="shared" si="17"/>
        <v>0.96176470588235297</v>
      </c>
      <c r="R109" s="9">
        <f t="shared" si="10"/>
        <v>0.96176470588235297</v>
      </c>
      <c r="S109" s="9">
        <f t="shared" si="11"/>
        <v>-0.96176470588235297</v>
      </c>
      <c r="T109" s="9">
        <f t="shared" si="15"/>
        <v>188.91088235294106</v>
      </c>
      <c r="V109" s="5">
        <v>110.9</v>
      </c>
      <c r="X109" s="5">
        <f t="shared" si="16"/>
        <v>64457.500000000015</v>
      </c>
      <c r="AA109" s="10">
        <v>8.3469801192051296</v>
      </c>
    </row>
    <row r="110" spans="1:27" s="5" customFormat="1" x14ac:dyDescent="0.25">
      <c r="A110" s="61"/>
      <c r="B110" s="6"/>
      <c r="C110" s="7">
        <v>41995</v>
      </c>
      <c r="D110" s="5">
        <v>10.3</v>
      </c>
      <c r="E110" s="5">
        <v>9.5</v>
      </c>
      <c r="F110" s="5">
        <v>11.4</v>
      </c>
      <c r="G110" s="5">
        <f t="shared" si="12"/>
        <v>1291.2999999999995</v>
      </c>
      <c r="J110" s="5">
        <v>1.2</v>
      </c>
      <c r="K110" s="5">
        <f t="shared" si="13"/>
        <v>247.09999999999994</v>
      </c>
      <c r="L110" s="5">
        <v>0.6</v>
      </c>
      <c r="M110" s="5">
        <f t="shared" si="14"/>
        <v>141.79999999999998</v>
      </c>
      <c r="N110" s="5">
        <v>0.6</v>
      </c>
      <c r="O110" s="5">
        <f t="shared" si="18"/>
        <v>164.7</v>
      </c>
      <c r="P110" s="5">
        <v>105</v>
      </c>
      <c r="Q110" s="5">
        <f t="shared" si="17"/>
        <v>0.96813725490196079</v>
      </c>
      <c r="R110" s="9">
        <f t="shared" si="10"/>
        <v>0.58088235294117641</v>
      </c>
      <c r="S110" s="9">
        <f t="shared" si="11"/>
        <v>0.61911764705882355</v>
      </c>
      <c r="T110" s="9">
        <f t="shared" si="15"/>
        <v>189.52999999999989</v>
      </c>
      <c r="V110" s="5">
        <v>96.3</v>
      </c>
      <c r="X110" s="5">
        <f t="shared" si="16"/>
        <v>64553.800000000017</v>
      </c>
      <c r="AA110" s="10">
        <v>8.3454533759116405</v>
      </c>
    </row>
    <row r="111" spans="1:27" s="5" customFormat="1" x14ac:dyDescent="0.25">
      <c r="A111" s="61"/>
      <c r="B111" s="6"/>
      <c r="C111" s="7">
        <v>41996</v>
      </c>
      <c r="D111" s="5">
        <v>9.1</v>
      </c>
      <c r="E111" s="5">
        <v>8.8000000000000007</v>
      </c>
      <c r="F111" s="5">
        <v>9.9</v>
      </c>
      <c r="G111" s="5">
        <f t="shared" si="12"/>
        <v>1300.3999999999994</v>
      </c>
      <c r="J111" s="5">
        <v>0.1</v>
      </c>
      <c r="K111" s="5">
        <f t="shared" si="13"/>
        <v>247.19999999999993</v>
      </c>
      <c r="L111" s="5">
        <v>0.5</v>
      </c>
      <c r="M111" s="5">
        <f t="shared" si="14"/>
        <v>142.29999999999998</v>
      </c>
      <c r="N111" s="5">
        <v>-0.4</v>
      </c>
      <c r="O111" s="5">
        <f t="shared" si="18"/>
        <v>164.29999999999998</v>
      </c>
      <c r="P111" s="5">
        <v>106</v>
      </c>
      <c r="Q111" s="5">
        <f t="shared" si="17"/>
        <v>0.97450980392156861</v>
      </c>
      <c r="R111" s="9">
        <f t="shared" si="10"/>
        <v>0.4872549019607843</v>
      </c>
      <c r="S111" s="9">
        <f t="shared" si="11"/>
        <v>-0.38725490196078427</v>
      </c>
      <c r="T111" s="9">
        <f t="shared" si="15"/>
        <v>189.14274509803911</v>
      </c>
      <c r="V111" s="5">
        <v>121.3</v>
      </c>
      <c r="X111" s="5">
        <f t="shared" si="16"/>
        <v>64675.10000000002</v>
      </c>
      <c r="AA111" s="10">
        <v>8.3454770907109808</v>
      </c>
    </row>
    <row r="112" spans="1:27" s="5" customFormat="1" x14ac:dyDescent="0.25">
      <c r="A112" s="61"/>
      <c r="B112" s="6"/>
      <c r="C112" s="7">
        <v>41997</v>
      </c>
      <c r="D112" s="5">
        <v>9.1</v>
      </c>
      <c r="E112" s="5">
        <v>7.9</v>
      </c>
      <c r="F112" s="5">
        <v>11.4</v>
      </c>
      <c r="G112" s="5">
        <f t="shared" si="12"/>
        <v>1309.4999999999993</v>
      </c>
      <c r="J112" s="5">
        <v>1.6</v>
      </c>
      <c r="K112" s="5">
        <f t="shared" si="13"/>
        <v>248.79999999999993</v>
      </c>
      <c r="L112" s="5">
        <v>0.5</v>
      </c>
      <c r="M112" s="5">
        <f t="shared" si="14"/>
        <v>142.79999999999998</v>
      </c>
      <c r="N112" s="5">
        <v>1.1000000000000001</v>
      </c>
      <c r="O112" s="5">
        <f t="shared" si="18"/>
        <v>165.39999999999998</v>
      </c>
      <c r="P112" s="5">
        <v>107</v>
      </c>
      <c r="Q112" s="5">
        <f t="shared" si="17"/>
        <v>0.98088235294117643</v>
      </c>
      <c r="R112" s="9">
        <f t="shared" si="10"/>
        <v>0.49044117647058821</v>
      </c>
      <c r="S112" s="9">
        <f t="shared" si="11"/>
        <v>1.1095588235294118</v>
      </c>
      <c r="T112" s="9">
        <f t="shared" si="15"/>
        <v>190.25230392156854</v>
      </c>
      <c r="V112" s="5">
        <v>113.2</v>
      </c>
      <c r="X112" s="5">
        <f t="shared" si="16"/>
        <v>64788.300000000017</v>
      </c>
      <c r="AA112" s="10">
        <v>8.3470518089656096</v>
      </c>
    </row>
    <row r="113" spans="1:27" s="5" customFormat="1" x14ac:dyDescent="0.25">
      <c r="A113" s="61"/>
      <c r="B113" s="6"/>
      <c r="C113" s="7">
        <v>41998</v>
      </c>
      <c r="D113" s="5">
        <v>7</v>
      </c>
      <c r="E113" s="5">
        <v>6.1</v>
      </c>
      <c r="F113" s="5">
        <v>9.6999999999999993</v>
      </c>
      <c r="G113" s="5">
        <f t="shared" si="12"/>
        <v>1316.4999999999993</v>
      </c>
      <c r="J113" s="5">
        <v>0.5</v>
      </c>
      <c r="K113" s="5">
        <f t="shared" si="13"/>
        <v>249.29999999999993</v>
      </c>
      <c r="L113" s="5">
        <v>0.6</v>
      </c>
      <c r="M113" s="5">
        <f t="shared" si="14"/>
        <v>143.39999999999998</v>
      </c>
      <c r="N113" s="5">
        <v>-9.9999999999999978E-2</v>
      </c>
      <c r="O113" s="5">
        <f t="shared" si="18"/>
        <v>165.29999999999998</v>
      </c>
      <c r="P113" s="5">
        <v>108</v>
      </c>
      <c r="Q113" s="5">
        <f t="shared" si="17"/>
        <v>0.98725490196078425</v>
      </c>
      <c r="R113" s="9">
        <f t="shared" si="10"/>
        <v>0.59235294117647053</v>
      </c>
      <c r="S113" s="9">
        <f t="shared" si="11"/>
        <v>-9.2352941176470527E-2</v>
      </c>
      <c r="T113" s="9">
        <f t="shared" si="15"/>
        <v>190.15995098039207</v>
      </c>
      <c r="V113" s="5">
        <v>145.4</v>
      </c>
      <c r="X113" s="5">
        <f t="shared" si="16"/>
        <v>64933.700000000019</v>
      </c>
      <c r="AA113" s="10">
        <v>8.3501762175618701</v>
      </c>
    </row>
    <row r="114" spans="1:27" s="5" customFormat="1" x14ac:dyDescent="0.25">
      <c r="A114" s="61"/>
      <c r="B114" s="6"/>
      <c r="C114" s="7">
        <v>41999</v>
      </c>
      <c r="D114" s="5">
        <v>6.6</v>
      </c>
      <c r="E114" s="5">
        <v>3.6</v>
      </c>
      <c r="F114" s="5">
        <v>10.7</v>
      </c>
      <c r="G114" s="5">
        <f t="shared" si="12"/>
        <v>1323.0999999999992</v>
      </c>
      <c r="J114" s="5">
        <v>6.9</v>
      </c>
      <c r="K114" s="5">
        <f t="shared" si="13"/>
        <v>256.19999999999993</v>
      </c>
      <c r="L114" s="5">
        <v>0.5</v>
      </c>
      <c r="M114" s="5">
        <f t="shared" si="14"/>
        <v>143.89999999999998</v>
      </c>
      <c r="N114" s="5">
        <v>6.4</v>
      </c>
      <c r="O114" s="5">
        <f t="shared" si="18"/>
        <v>171.7</v>
      </c>
      <c r="P114" s="5">
        <v>109</v>
      </c>
      <c r="Q114" s="5">
        <f t="shared" si="17"/>
        <v>0.99362745098039218</v>
      </c>
      <c r="R114" s="9">
        <f t="shared" si="10"/>
        <v>0.49681372549019609</v>
      </c>
      <c r="S114" s="9">
        <f t="shared" si="11"/>
        <v>6.403186274509804</v>
      </c>
      <c r="T114" s="9">
        <f t="shared" si="15"/>
        <v>196.56313725490187</v>
      </c>
      <c r="V114" s="5">
        <v>90.6</v>
      </c>
      <c r="X114" s="5">
        <f t="shared" si="16"/>
        <v>65024.300000000017</v>
      </c>
      <c r="AA114" s="10">
        <v>8.3548471506033692</v>
      </c>
    </row>
    <row r="115" spans="1:27" s="37" customFormat="1" ht="15.75" thickBot="1" x14ac:dyDescent="0.3">
      <c r="A115" s="61"/>
      <c r="B115" s="35"/>
      <c r="C115" s="36">
        <v>42000</v>
      </c>
      <c r="D115" s="37">
        <v>6.3</v>
      </c>
      <c r="E115" s="37">
        <v>4.8</v>
      </c>
      <c r="F115" s="37">
        <v>7.3</v>
      </c>
      <c r="G115" s="37">
        <f t="shared" si="12"/>
        <v>1329.3999999999992</v>
      </c>
      <c r="J115" s="37">
        <v>11.5</v>
      </c>
      <c r="K115" s="37">
        <f t="shared" si="13"/>
        <v>267.69999999999993</v>
      </c>
      <c r="L115" s="37">
        <v>0.6</v>
      </c>
      <c r="M115" s="37">
        <f t="shared" si="14"/>
        <v>144.49999999999997</v>
      </c>
      <c r="N115" s="37">
        <v>10.9</v>
      </c>
      <c r="O115" s="37">
        <f t="shared" si="18"/>
        <v>182.6</v>
      </c>
      <c r="P115" s="37">
        <v>110</v>
      </c>
      <c r="Q115" s="38">
        <f t="shared" si="17"/>
        <v>1</v>
      </c>
      <c r="R115" s="39">
        <f t="shared" si="10"/>
        <v>0.6</v>
      </c>
      <c r="S115" s="39">
        <f t="shared" si="11"/>
        <v>10.9</v>
      </c>
      <c r="T115" s="40">
        <f t="shared" si="15"/>
        <v>197.4</v>
      </c>
      <c r="V115" s="37">
        <v>119</v>
      </c>
      <c r="X115" s="37">
        <f t="shared" si="16"/>
        <v>65143.300000000017</v>
      </c>
      <c r="AA115" s="41">
        <v>8.3610596031940396</v>
      </c>
    </row>
    <row r="116" spans="1:27" s="5" customFormat="1" x14ac:dyDescent="0.25">
      <c r="A116" s="62" t="s">
        <v>44</v>
      </c>
      <c r="B116" s="11"/>
      <c r="C116" s="14">
        <v>42001</v>
      </c>
      <c r="D116" s="5">
        <v>2.7</v>
      </c>
      <c r="E116" s="5">
        <v>1.6</v>
      </c>
      <c r="F116" s="5">
        <v>6.4</v>
      </c>
      <c r="G116" s="5">
        <f t="shared" si="12"/>
        <v>1332.0999999999992</v>
      </c>
      <c r="H116" s="5">
        <f>D116</f>
        <v>2.7</v>
      </c>
      <c r="I116" s="15" t="s">
        <v>28</v>
      </c>
      <c r="J116" s="5">
        <v>0</v>
      </c>
      <c r="K116" s="5">
        <f t="shared" si="13"/>
        <v>267.69999999999993</v>
      </c>
      <c r="L116" s="5">
        <v>1.5</v>
      </c>
      <c r="M116" s="5">
        <f t="shared" si="14"/>
        <v>145.99999999999997</v>
      </c>
      <c r="N116" s="5">
        <v>-1.5</v>
      </c>
      <c r="O116" s="5">
        <f t="shared" si="18"/>
        <v>181.1</v>
      </c>
      <c r="P116" s="5">
        <v>111</v>
      </c>
      <c r="Q116" s="5">
        <v>1</v>
      </c>
      <c r="R116" s="9">
        <f t="shared" si="10"/>
        <v>1.5</v>
      </c>
      <c r="S116" s="9">
        <f t="shared" si="11"/>
        <v>-1.5</v>
      </c>
      <c r="T116" s="9">
        <f t="shared" si="15"/>
        <v>195.9</v>
      </c>
      <c r="U116" s="15" t="s">
        <v>29</v>
      </c>
      <c r="V116" s="5">
        <v>684.3</v>
      </c>
      <c r="X116" s="5">
        <f t="shared" si="16"/>
        <v>65827.60000000002</v>
      </c>
      <c r="Y116" s="5">
        <f>V116</f>
        <v>684.3</v>
      </c>
      <c r="Z116" s="15" t="s">
        <v>30</v>
      </c>
      <c r="AA116" s="10">
        <v>8.3688067531851402</v>
      </c>
    </row>
    <row r="117" spans="1:27" s="5" customFormat="1" x14ac:dyDescent="0.25">
      <c r="A117" s="62"/>
      <c r="B117" s="11"/>
      <c r="C117" s="14">
        <v>42002</v>
      </c>
      <c r="D117" s="5">
        <v>-0.1</v>
      </c>
      <c r="E117" s="5">
        <v>-4.2</v>
      </c>
      <c r="F117" s="5">
        <v>3.5</v>
      </c>
      <c r="G117" s="5">
        <v>1332.1</v>
      </c>
      <c r="H117" s="5">
        <v>2.7</v>
      </c>
      <c r="I117" s="5">
        <f>MIN(E116:E174)</f>
        <v>-4.4000000000000004</v>
      </c>
      <c r="J117" s="5">
        <v>0</v>
      </c>
      <c r="K117" s="5">
        <f t="shared" si="13"/>
        <v>267.69999999999993</v>
      </c>
      <c r="L117" s="5">
        <v>0.6</v>
      </c>
      <c r="M117" s="5">
        <f t="shared" si="14"/>
        <v>146.59999999999997</v>
      </c>
      <c r="N117" s="5">
        <v>-0.6</v>
      </c>
      <c r="O117" s="5">
        <f t="shared" si="18"/>
        <v>180.5</v>
      </c>
      <c r="P117" s="5">
        <v>112</v>
      </c>
      <c r="Q117" s="5">
        <v>1</v>
      </c>
      <c r="R117" s="9">
        <f t="shared" si="10"/>
        <v>0.6</v>
      </c>
      <c r="S117" s="9">
        <f t="shared" si="11"/>
        <v>-0.6</v>
      </c>
      <c r="T117" s="9">
        <f t="shared" si="15"/>
        <v>195.3</v>
      </c>
      <c r="U117" s="5">
        <v>32</v>
      </c>
      <c r="V117" s="5">
        <v>688.4</v>
      </c>
      <c r="X117" s="5">
        <f t="shared" si="16"/>
        <v>66516.000000000015</v>
      </c>
      <c r="Y117" s="5">
        <f>Y116+V117</f>
        <v>1372.6999999999998</v>
      </c>
      <c r="Z117" s="5">
        <v>26499.499999999985</v>
      </c>
      <c r="AA117" s="10">
        <v>8.3780799906893897</v>
      </c>
    </row>
    <row r="118" spans="1:27" s="5" customFormat="1" x14ac:dyDescent="0.25">
      <c r="A118" s="62"/>
      <c r="B118" s="11"/>
      <c r="C118" s="14">
        <v>42003</v>
      </c>
      <c r="D118" s="5">
        <v>0</v>
      </c>
      <c r="E118" s="5">
        <v>-2.7</v>
      </c>
      <c r="F118" s="5">
        <v>4.4000000000000004</v>
      </c>
      <c r="G118" s="5">
        <f t="shared" si="12"/>
        <v>1332.1</v>
      </c>
      <c r="H118" s="5">
        <f t="shared" ref="H118:H181" si="19">H117+D118</f>
        <v>2.7</v>
      </c>
      <c r="I118" s="15" t="s">
        <v>31</v>
      </c>
      <c r="J118" s="5">
        <v>0</v>
      </c>
      <c r="K118" s="5">
        <f t="shared" si="13"/>
        <v>267.69999999999993</v>
      </c>
      <c r="L118" s="5">
        <v>0.7</v>
      </c>
      <c r="M118" s="5">
        <f t="shared" si="14"/>
        <v>147.29999999999995</v>
      </c>
      <c r="N118" s="5">
        <v>-0.7</v>
      </c>
      <c r="O118" s="5">
        <f t="shared" si="18"/>
        <v>179.8</v>
      </c>
      <c r="P118" s="5">
        <v>113</v>
      </c>
      <c r="Q118" s="5">
        <v>1</v>
      </c>
      <c r="R118" s="9">
        <f t="shared" si="10"/>
        <v>0.7</v>
      </c>
      <c r="S118" s="9">
        <f t="shared" si="11"/>
        <v>-0.7</v>
      </c>
      <c r="T118" s="9">
        <f t="shared" si="15"/>
        <v>194.60000000000002</v>
      </c>
      <c r="U118" s="15" t="s">
        <v>32</v>
      </c>
      <c r="V118" s="5">
        <v>594.20000000000005</v>
      </c>
      <c r="X118" s="5">
        <f t="shared" si="16"/>
        <v>67110.200000000012</v>
      </c>
      <c r="Y118" s="5">
        <f t="shared" ref="Y118:Y181" si="20">Y117+V118</f>
        <v>1966.8999999999999</v>
      </c>
      <c r="Z118" s="15" t="s">
        <v>33</v>
      </c>
      <c r="AA118" s="10">
        <v>8.3888689550965605</v>
      </c>
    </row>
    <row r="119" spans="1:27" s="5" customFormat="1" x14ac:dyDescent="0.25">
      <c r="A119" s="62"/>
      <c r="B119" s="11"/>
      <c r="C119" s="14">
        <v>42004</v>
      </c>
      <c r="D119" s="5">
        <v>-1.3</v>
      </c>
      <c r="E119" s="5">
        <v>-4.4000000000000004</v>
      </c>
      <c r="F119" s="5">
        <v>2.2000000000000002</v>
      </c>
      <c r="G119" s="5">
        <v>1332.1</v>
      </c>
      <c r="H119" s="5">
        <v>2.7</v>
      </c>
      <c r="I119" s="5">
        <f>MAX(F116:F174)</f>
        <v>14.6</v>
      </c>
      <c r="J119" s="5">
        <v>0</v>
      </c>
      <c r="K119" s="5">
        <f t="shared" si="13"/>
        <v>267.69999999999993</v>
      </c>
      <c r="L119" s="5">
        <v>0.6</v>
      </c>
      <c r="M119" s="5">
        <f t="shared" si="14"/>
        <v>147.89999999999995</v>
      </c>
      <c r="N119" s="5">
        <v>-0.6</v>
      </c>
      <c r="O119" s="5">
        <f t="shared" si="18"/>
        <v>179.20000000000002</v>
      </c>
      <c r="P119" s="5">
        <v>114</v>
      </c>
      <c r="Q119" s="5">
        <v>1</v>
      </c>
      <c r="R119" s="9">
        <f t="shared" si="10"/>
        <v>0.6</v>
      </c>
      <c r="S119" s="9">
        <f t="shared" si="11"/>
        <v>-0.6</v>
      </c>
      <c r="T119" s="9">
        <f t="shared" si="15"/>
        <v>194.00000000000003</v>
      </c>
      <c r="U119" s="5">
        <v>0</v>
      </c>
      <c r="V119" s="5">
        <v>614</v>
      </c>
      <c r="X119" s="5">
        <f t="shared" si="16"/>
        <v>67724.200000000012</v>
      </c>
      <c r="Y119" s="5">
        <f t="shared" si="20"/>
        <v>2580.8999999999996</v>
      </c>
      <c r="Z119" s="5">
        <f>(Z117/100)/I129</f>
        <v>0.90503756830601034</v>
      </c>
      <c r="AA119" s="10">
        <v>8.4011615792606609</v>
      </c>
    </row>
    <row r="120" spans="1:27" s="5" customFormat="1" x14ac:dyDescent="0.25">
      <c r="A120" s="62"/>
      <c r="B120" s="11"/>
      <c r="C120" s="14">
        <v>42005</v>
      </c>
      <c r="D120" s="5">
        <v>2.2000000000000002</v>
      </c>
      <c r="E120" s="5">
        <v>-2.5</v>
      </c>
      <c r="F120" s="5">
        <v>11.5</v>
      </c>
      <c r="G120" s="5">
        <f t="shared" si="12"/>
        <v>1334.3</v>
      </c>
      <c r="H120" s="5">
        <f t="shared" si="19"/>
        <v>4.9000000000000004</v>
      </c>
      <c r="I120" s="15" t="s">
        <v>34</v>
      </c>
      <c r="J120" s="5">
        <v>0.4</v>
      </c>
      <c r="K120" s="5">
        <f t="shared" si="13"/>
        <v>268.09999999999991</v>
      </c>
      <c r="L120" s="5">
        <v>1.2</v>
      </c>
      <c r="M120" s="5">
        <f t="shared" si="14"/>
        <v>149.09999999999994</v>
      </c>
      <c r="N120" s="5">
        <v>-0.79999999999999993</v>
      </c>
      <c r="O120" s="5">
        <f t="shared" si="18"/>
        <v>178.4</v>
      </c>
      <c r="P120" s="5">
        <v>115</v>
      </c>
      <c r="Q120" s="5">
        <v>1</v>
      </c>
      <c r="R120" s="9">
        <f t="shared" si="10"/>
        <v>1.2</v>
      </c>
      <c r="S120" s="9">
        <f t="shared" si="11"/>
        <v>-0.79999999999999993</v>
      </c>
      <c r="T120" s="9">
        <f t="shared" si="15"/>
        <v>193.20000000000002</v>
      </c>
      <c r="U120" s="15" t="s">
        <v>35</v>
      </c>
      <c r="V120" s="5">
        <v>204.8</v>
      </c>
      <c r="X120" s="5">
        <f t="shared" si="16"/>
        <v>67929.000000000015</v>
      </c>
      <c r="Y120" s="5">
        <f t="shared" si="20"/>
        <v>2785.7</v>
      </c>
      <c r="Z120" s="15" t="s">
        <v>36</v>
      </c>
      <c r="AA120" s="10">
        <v>8.4193892160187005</v>
      </c>
    </row>
    <row r="121" spans="1:27" s="5" customFormat="1" x14ac:dyDescent="0.25">
      <c r="A121" s="62"/>
      <c r="B121" s="6"/>
      <c r="C121" s="14">
        <v>42006</v>
      </c>
      <c r="D121" s="5">
        <v>8.1</v>
      </c>
      <c r="E121" s="5">
        <v>4.5</v>
      </c>
      <c r="F121" s="5">
        <v>11.5</v>
      </c>
      <c r="G121" s="5">
        <f t="shared" si="12"/>
        <v>1342.3999999999999</v>
      </c>
      <c r="H121" s="5">
        <f t="shared" si="19"/>
        <v>13</v>
      </c>
      <c r="I121" s="9">
        <f>AVERAGE(D116:D174)</f>
        <v>4.938983050847459</v>
      </c>
      <c r="J121" s="5">
        <v>0.8</v>
      </c>
      <c r="K121" s="5">
        <f t="shared" si="13"/>
        <v>268.89999999999992</v>
      </c>
      <c r="L121" s="5">
        <v>0.5</v>
      </c>
      <c r="M121" s="5">
        <f t="shared" si="14"/>
        <v>149.59999999999994</v>
      </c>
      <c r="N121" s="5">
        <v>0.30000000000000004</v>
      </c>
      <c r="O121" s="5">
        <f t="shared" si="18"/>
        <v>178.70000000000002</v>
      </c>
      <c r="P121" s="5">
        <v>116</v>
      </c>
      <c r="Q121" s="5">
        <v>1</v>
      </c>
      <c r="R121" s="9">
        <f t="shared" si="10"/>
        <v>0.5</v>
      </c>
      <c r="S121" s="9">
        <f t="shared" si="11"/>
        <v>0.30000000000000004</v>
      </c>
      <c r="T121" s="9">
        <f t="shared" si="15"/>
        <v>193.50000000000003</v>
      </c>
      <c r="U121" s="5">
        <v>0</v>
      </c>
      <c r="V121" s="5">
        <v>306.8</v>
      </c>
      <c r="X121" s="5">
        <f t="shared" si="16"/>
        <v>68235.800000000017</v>
      </c>
      <c r="Y121" s="5">
        <f t="shared" si="20"/>
        <v>3092.5</v>
      </c>
      <c r="Z121" s="5">
        <v>53</v>
      </c>
      <c r="AA121" s="10">
        <v>8.4350877093723202</v>
      </c>
    </row>
    <row r="122" spans="1:27" s="5" customFormat="1" x14ac:dyDescent="0.25">
      <c r="A122" s="62"/>
      <c r="B122" s="6"/>
      <c r="C122" s="14">
        <v>42007</v>
      </c>
      <c r="D122" s="5">
        <v>10.1</v>
      </c>
      <c r="E122" s="5">
        <v>1.1000000000000001</v>
      </c>
      <c r="F122" s="5">
        <v>13.8</v>
      </c>
      <c r="G122" s="5">
        <f t="shared" si="12"/>
        <v>1352.4999999999998</v>
      </c>
      <c r="H122" s="5">
        <f t="shared" si="19"/>
        <v>23.1</v>
      </c>
      <c r="I122" s="15" t="s">
        <v>37</v>
      </c>
      <c r="J122" s="5">
        <v>0.8</v>
      </c>
      <c r="K122" s="5">
        <f t="shared" si="13"/>
        <v>269.69999999999993</v>
      </c>
      <c r="L122" s="5">
        <v>0.1</v>
      </c>
      <c r="M122" s="5">
        <f t="shared" si="14"/>
        <v>149.69999999999993</v>
      </c>
      <c r="N122" s="5">
        <v>0.70000000000000007</v>
      </c>
      <c r="O122" s="5">
        <f t="shared" si="18"/>
        <v>179.4</v>
      </c>
      <c r="P122" s="5">
        <v>117</v>
      </c>
      <c r="Q122" s="5">
        <v>1</v>
      </c>
      <c r="R122" s="9">
        <f t="shared" si="10"/>
        <v>0.1</v>
      </c>
      <c r="S122" s="9">
        <f t="shared" si="11"/>
        <v>0.70000000000000007</v>
      </c>
      <c r="T122" s="9">
        <f t="shared" si="15"/>
        <v>194.20000000000002</v>
      </c>
      <c r="U122" s="15" t="s">
        <v>38</v>
      </c>
      <c r="V122" s="5">
        <v>115.3</v>
      </c>
      <c r="X122" s="5">
        <f t="shared" si="16"/>
        <v>68351.10000000002</v>
      </c>
      <c r="Y122" s="5">
        <f t="shared" si="20"/>
        <v>3207.8</v>
      </c>
      <c r="AA122" s="10">
        <v>8.4522385901356891</v>
      </c>
    </row>
    <row r="123" spans="1:27" s="5" customFormat="1" x14ac:dyDescent="0.25">
      <c r="A123" s="62"/>
      <c r="B123" s="6"/>
      <c r="C123" s="14">
        <v>42008</v>
      </c>
      <c r="D123" s="5">
        <v>9.3000000000000007</v>
      </c>
      <c r="E123" s="5">
        <v>8.6</v>
      </c>
      <c r="F123" s="5">
        <v>11.1</v>
      </c>
      <c r="G123" s="5">
        <f t="shared" si="12"/>
        <v>1361.7999999999997</v>
      </c>
      <c r="H123" s="5">
        <f t="shared" si="19"/>
        <v>32.400000000000006</v>
      </c>
      <c r="I123" s="5">
        <v>21</v>
      </c>
      <c r="J123" s="5">
        <v>0.1</v>
      </c>
      <c r="K123" s="5">
        <f t="shared" si="13"/>
        <v>269.79999999999995</v>
      </c>
      <c r="L123" s="5">
        <v>0.4</v>
      </c>
      <c r="M123" s="5">
        <f t="shared" si="14"/>
        <v>150.09999999999994</v>
      </c>
      <c r="N123" s="5">
        <v>-0.30000000000000004</v>
      </c>
      <c r="O123" s="5">
        <f t="shared" si="18"/>
        <v>179.1</v>
      </c>
      <c r="P123" s="5">
        <v>118</v>
      </c>
      <c r="Q123" s="5">
        <v>1</v>
      </c>
      <c r="R123" s="9">
        <f t="shared" si="10"/>
        <v>0.4</v>
      </c>
      <c r="S123" s="9">
        <f t="shared" si="11"/>
        <v>-0.30000000000000004</v>
      </c>
      <c r="T123" s="9">
        <f t="shared" si="15"/>
        <v>193.9</v>
      </c>
      <c r="U123" s="9">
        <f>MIN(T116:T174)</f>
        <v>189.2</v>
      </c>
      <c r="V123" s="5">
        <v>106</v>
      </c>
      <c r="X123" s="5">
        <f t="shared" si="16"/>
        <v>68457.10000000002</v>
      </c>
      <c r="Y123" s="5">
        <f t="shared" si="20"/>
        <v>3313.8</v>
      </c>
      <c r="AA123" s="10">
        <v>8.4708231076445308</v>
      </c>
    </row>
    <row r="124" spans="1:27" s="5" customFormat="1" x14ac:dyDescent="0.25">
      <c r="A124" s="62"/>
      <c r="B124" s="6"/>
      <c r="C124" s="14">
        <v>42009</v>
      </c>
      <c r="D124" s="5">
        <v>6.1</v>
      </c>
      <c r="E124" s="5">
        <v>5.2</v>
      </c>
      <c r="F124" s="5">
        <v>7.6</v>
      </c>
      <c r="G124" s="5">
        <f t="shared" si="12"/>
        <v>1367.8999999999996</v>
      </c>
      <c r="H124" s="5">
        <f t="shared" si="19"/>
        <v>38.500000000000007</v>
      </c>
      <c r="I124" s="15" t="s">
        <v>39</v>
      </c>
      <c r="J124" s="5">
        <v>0</v>
      </c>
      <c r="K124" s="5">
        <f t="shared" si="13"/>
        <v>269.79999999999995</v>
      </c>
      <c r="L124" s="5">
        <v>0.3</v>
      </c>
      <c r="M124" s="5">
        <f t="shared" si="14"/>
        <v>150.39999999999995</v>
      </c>
      <c r="N124" s="5">
        <v>-0.3</v>
      </c>
      <c r="O124" s="5">
        <f t="shared" si="18"/>
        <v>178.79999999999998</v>
      </c>
      <c r="P124" s="5">
        <v>119</v>
      </c>
      <c r="Q124" s="5">
        <v>1</v>
      </c>
      <c r="R124" s="9">
        <f t="shared" si="10"/>
        <v>0.3</v>
      </c>
      <c r="S124" s="9">
        <f t="shared" si="11"/>
        <v>-0.3</v>
      </c>
      <c r="T124" s="9">
        <f t="shared" si="15"/>
        <v>193.6</v>
      </c>
      <c r="U124" s="15" t="s">
        <v>40</v>
      </c>
      <c r="V124" s="5">
        <v>132.9</v>
      </c>
      <c r="X124" s="5">
        <f t="shared" si="16"/>
        <v>68590.000000000015</v>
      </c>
      <c r="Y124" s="5">
        <f t="shared" si="20"/>
        <v>3446.7000000000003</v>
      </c>
      <c r="AA124" s="10">
        <v>8.4908211407778005</v>
      </c>
    </row>
    <row r="125" spans="1:27" s="5" customFormat="1" x14ac:dyDescent="0.25">
      <c r="A125" s="62"/>
      <c r="B125" s="6"/>
      <c r="C125" s="14">
        <v>42010</v>
      </c>
      <c r="D125" s="5">
        <v>5.7</v>
      </c>
      <c r="E125" s="5">
        <v>4.0999999999999996</v>
      </c>
      <c r="F125" s="5">
        <v>9</v>
      </c>
      <c r="G125" s="5">
        <f t="shared" si="12"/>
        <v>1373.5999999999997</v>
      </c>
      <c r="H125" s="5">
        <f t="shared" si="19"/>
        <v>44.20000000000001</v>
      </c>
      <c r="I125" s="5">
        <v>0</v>
      </c>
      <c r="J125" s="5">
        <v>1.7</v>
      </c>
      <c r="K125" s="5">
        <f t="shared" si="13"/>
        <v>271.49999999999994</v>
      </c>
      <c r="L125" s="5">
        <v>0.4</v>
      </c>
      <c r="M125" s="5">
        <f t="shared" si="14"/>
        <v>150.79999999999995</v>
      </c>
      <c r="N125" s="5">
        <v>1.2999999999999998</v>
      </c>
      <c r="O125" s="5">
        <f t="shared" si="18"/>
        <v>180.1</v>
      </c>
      <c r="P125" s="5">
        <v>120</v>
      </c>
      <c r="Q125" s="5">
        <v>1</v>
      </c>
      <c r="R125" s="9">
        <f t="shared" si="10"/>
        <v>0.4</v>
      </c>
      <c r="S125" s="9">
        <f t="shared" si="11"/>
        <v>1.2999999999999998</v>
      </c>
      <c r="T125" s="9">
        <f t="shared" si="15"/>
        <v>194.9</v>
      </c>
      <c r="U125" s="9">
        <v>197.4</v>
      </c>
      <c r="V125" s="5">
        <v>147</v>
      </c>
      <c r="X125" s="5">
        <f t="shared" si="16"/>
        <v>68737.000000000015</v>
      </c>
      <c r="Y125" s="5">
        <f t="shared" si="20"/>
        <v>3593.7000000000003</v>
      </c>
      <c r="AA125" s="10">
        <v>8.5122112765059796</v>
      </c>
    </row>
    <row r="126" spans="1:27" s="5" customFormat="1" x14ac:dyDescent="0.25">
      <c r="A126" s="62"/>
      <c r="B126" s="11"/>
      <c r="C126" s="14">
        <v>42011</v>
      </c>
      <c r="D126" s="5">
        <v>3.3</v>
      </c>
      <c r="E126" s="5">
        <v>-2.1</v>
      </c>
      <c r="F126" s="5">
        <v>10.8</v>
      </c>
      <c r="G126" s="5">
        <f t="shared" si="12"/>
        <v>1376.8999999999996</v>
      </c>
      <c r="H126" s="5">
        <f t="shared" si="19"/>
        <v>47.500000000000007</v>
      </c>
      <c r="I126" s="15" t="s">
        <v>41</v>
      </c>
      <c r="J126" s="5">
        <v>0</v>
      </c>
      <c r="K126" s="5">
        <f t="shared" si="13"/>
        <v>271.49999999999994</v>
      </c>
      <c r="L126" s="5">
        <v>0.9</v>
      </c>
      <c r="M126" s="5">
        <f t="shared" si="14"/>
        <v>151.69999999999996</v>
      </c>
      <c r="N126" s="5">
        <v>-0.9</v>
      </c>
      <c r="O126" s="5">
        <f t="shared" si="18"/>
        <v>179.2</v>
      </c>
      <c r="P126" s="5">
        <v>121</v>
      </c>
      <c r="Q126" s="5">
        <v>1</v>
      </c>
      <c r="R126" s="9">
        <f t="shared" si="10"/>
        <v>0.9</v>
      </c>
      <c r="S126" s="9">
        <f t="shared" si="11"/>
        <v>-0.9</v>
      </c>
      <c r="T126" s="9">
        <f t="shared" si="15"/>
        <v>194</v>
      </c>
      <c r="U126" s="15" t="s">
        <v>42</v>
      </c>
      <c r="V126" s="5">
        <v>554</v>
      </c>
      <c r="X126" s="5">
        <f t="shared" si="16"/>
        <v>69291.000000000015</v>
      </c>
      <c r="Y126" s="5">
        <f t="shared" si="20"/>
        <v>4147.7000000000007</v>
      </c>
      <c r="AA126" s="10">
        <v>8.5349708918221392</v>
      </c>
    </row>
    <row r="127" spans="1:27" s="5" customFormat="1" x14ac:dyDescent="0.25">
      <c r="A127" s="62"/>
      <c r="B127" s="6"/>
      <c r="C127" s="14">
        <v>42012</v>
      </c>
      <c r="D127" s="5">
        <v>9.3000000000000007</v>
      </c>
      <c r="E127" s="5">
        <v>6.6</v>
      </c>
      <c r="F127" s="5">
        <v>12.4</v>
      </c>
      <c r="G127" s="5">
        <f t="shared" si="12"/>
        <v>1386.1999999999996</v>
      </c>
      <c r="H127" s="5">
        <f t="shared" si="19"/>
        <v>56.800000000000011</v>
      </c>
      <c r="I127" s="5">
        <v>24</v>
      </c>
      <c r="J127" s="5">
        <v>7</v>
      </c>
      <c r="K127" s="5">
        <f t="shared" si="13"/>
        <v>278.49999999999994</v>
      </c>
      <c r="L127" s="5">
        <v>0.6</v>
      </c>
      <c r="M127" s="5">
        <f t="shared" si="14"/>
        <v>152.29999999999995</v>
      </c>
      <c r="N127" s="5">
        <v>6.4</v>
      </c>
      <c r="O127" s="5">
        <f t="shared" si="18"/>
        <v>185.6</v>
      </c>
      <c r="P127" s="5">
        <v>122</v>
      </c>
      <c r="Q127" s="5">
        <v>1</v>
      </c>
      <c r="R127" s="9">
        <f t="shared" si="10"/>
        <v>0.6</v>
      </c>
      <c r="S127" s="9">
        <f t="shared" si="11"/>
        <v>6.4</v>
      </c>
      <c r="T127" s="9">
        <f t="shared" si="15"/>
        <v>197.4</v>
      </c>
      <c r="U127" s="18">
        <f>AVERAGE(T116:T174)</f>
        <v>195.57796610169484</v>
      </c>
      <c r="V127" s="5">
        <v>200.9</v>
      </c>
      <c r="X127" s="5">
        <f t="shared" si="16"/>
        <v>69491.900000000009</v>
      </c>
      <c r="Y127" s="5">
        <f t="shared" si="20"/>
        <v>4348.6000000000004</v>
      </c>
      <c r="AA127" s="10">
        <v>8.5590762384411292</v>
      </c>
    </row>
    <row r="128" spans="1:27" s="5" customFormat="1" x14ac:dyDescent="0.25">
      <c r="A128" s="62"/>
      <c r="B128" s="6"/>
      <c r="C128" s="14">
        <v>42013</v>
      </c>
      <c r="D128" s="5">
        <v>12.9</v>
      </c>
      <c r="E128" s="5">
        <v>7.4</v>
      </c>
      <c r="F128" s="5">
        <v>14.6</v>
      </c>
      <c r="G128" s="5">
        <f t="shared" si="12"/>
        <v>1399.0999999999997</v>
      </c>
      <c r="H128" s="5">
        <f t="shared" si="19"/>
        <v>69.700000000000017</v>
      </c>
      <c r="I128" s="15" t="s">
        <v>45</v>
      </c>
      <c r="J128" s="5">
        <v>0.1</v>
      </c>
      <c r="K128" s="5">
        <f t="shared" si="13"/>
        <v>278.59999999999997</v>
      </c>
      <c r="L128" s="5">
        <v>0.2</v>
      </c>
      <c r="M128" s="5">
        <f t="shared" si="14"/>
        <v>152.49999999999994</v>
      </c>
      <c r="N128" s="5">
        <v>-0.1</v>
      </c>
      <c r="O128" s="5">
        <f t="shared" si="18"/>
        <v>185.5</v>
      </c>
      <c r="P128" s="5">
        <v>123</v>
      </c>
      <c r="Q128" s="5">
        <v>1</v>
      </c>
      <c r="R128" s="9">
        <f t="shared" si="10"/>
        <v>0.2</v>
      </c>
      <c r="S128" s="9">
        <f t="shared" si="11"/>
        <v>-0.1</v>
      </c>
      <c r="T128" s="9">
        <f t="shared" si="15"/>
        <v>197.3</v>
      </c>
      <c r="U128" s="15" t="s">
        <v>46</v>
      </c>
      <c r="V128" s="5">
        <v>127.9</v>
      </c>
      <c r="X128" s="5">
        <f t="shared" si="16"/>
        <v>69619.8</v>
      </c>
      <c r="Y128" s="5">
        <f t="shared" si="20"/>
        <v>4476.5</v>
      </c>
      <c r="AA128" s="10">
        <v>8.5845025296519992</v>
      </c>
    </row>
    <row r="129" spans="1:27" s="5" customFormat="1" x14ac:dyDescent="0.25">
      <c r="A129" s="62"/>
      <c r="B129" s="6"/>
      <c r="C129" s="14">
        <v>42014</v>
      </c>
      <c r="D129" s="5">
        <v>11.2</v>
      </c>
      <c r="E129" s="5">
        <v>9.4</v>
      </c>
      <c r="F129" s="5">
        <v>13.2</v>
      </c>
      <c r="G129" s="5">
        <f t="shared" si="12"/>
        <v>1410.2999999999997</v>
      </c>
      <c r="H129" s="5">
        <f t="shared" si="19"/>
        <v>80.90000000000002</v>
      </c>
      <c r="I129" s="5">
        <v>292.8</v>
      </c>
      <c r="J129" s="5">
        <v>1.6</v>
      </c>
      <c r="K129" s="5">
        <f t="shared" si="13"/>
        <v>280.2</v>
      </c>
      <c r="L129" s="5">
        <v>0.8</v>
      </c>
      <c r="M129" s="5">
        <f t="shared" si="14"/>
        <v>153.29999999999995</v>
      </c>
      <c r="N129" s="5">
        <v>0.8</v>
      </c>
      <c r="O129" s="5">
        <f t="shared" si="18"/>
        <v>186.3</v>
      </c>
      <c r="P129" s="5">
        <v>124</v>
      </c>
      <c r="Q129" s="5">
        <v>1</v>
      </c>
      <c r="R129" s="9">
        <f t="shared" si="10"/>
        <v>0.8</v>
      </c>
      <c r="S129" s="9">
        <f t="shared" si="11"/>
        <v>0.8</v>
      </c>
      <c r="T129" s="9">
        <f t="shared" si="15"/>
        <v>197.4</v>
      </c>
      <c r="U129" s="18">
        <v>17</v>
      </c>
      <c r="V129" s="5">
        <v>112.3</v>
      </c>
      <c r="X129" s="5">
        <f t="shared" si="16"/>
        <v>69732.100000000006</v>
      </c>
      <c r="Y129" s="5">
        <f t="shared" si="20"/>
        <v>4588.8</v>
      </c>
      <c r="AA129" s="10">
        <v>8.61122402871605</v>
      </c>
    </row>
    <row r="130" spans="1:27" s="5" customFormat="1" x14ac:dyDescent="0.25">
      <c r="A130" s="62"/>
      <c r="B130" s="6"/>
      <c r="C130" s="14">
        <v>42015</v>
      </c>
      <c r="D130" s="5">
        <v>7.5</v>
      </c>
      <c r="E130" s="5">
        <v>4.8</v>
      </c>
      <c r="F130" s="5">
        <v>9.9</v>
      </c>
      <c r="G130" s="5">
        <f t="shared" si="12"/>
        <v>1417.7999999999997</v>
      </c>
      <c r="H130" s="5">
        <f t="shared" si="19"/>
        <v>88.40000000000002</v>
      </c>
      <c r="J130" s="5">
        <v>0</v>
      </c>
      <c r="K130" s="5">
        <f t="shared" si="13"/>
        <v>280.2</v>
      </c>
      <c r="L130" s="5">
        <v>1.1000000000000001</v>
      </c>
      <c r="M130" s="5">
        <f t="shared" si="14"/>
        <v>154.39999999999995</v>
      </c>
      <c r="N130" s="5">
        <v>-1.1000000000000001</v>
      </c>
      <c r="O130" s="5">
        <f t="shared" si="18"/>
        <v>185.20000000000002</v>
      </c>
      <c r="P130" s="5">
        <v>125</v>
      </c>
      <c r="Q130" s="5">
        <v>1</v>
      </c>
      <c r="R130" s="9">
        <f t="shared" si="10"/>
        <v>1.1000000000000001</v>
      </c>
      <c r="S130" s="9">
        <f t="shared" si="11"/>
        <v>-1.1000000000000001</v>
      </c>
      <c r="T130" s="9">
        <f t="shared" si="15"/>
        <v>196.3</v>
      </c>
      <c r="V130" s="5">
        <v>452.8</v>
      </c>
      <c r="X130" s="5">
        <f t="shared" si="16"/>
        <v>70184.900000000009</v>
      </c>
      <c r="Y130" s="5">
        <f t="shared" si="20"/>
        <v>5041.6000000000004</v>
      </c>
      <c r="AA130" s="10">
        <v>8.6392141382164898</v>
      </c>
    </row>
    <row r="131" spans="1:27" s="5" customFormat="1" x14ac:dyDescent="0.25">
      <c r="A131" s="62"/>
      <c r="B131" s="6"/>
      <c r="C131" s="14">
        <v>42016</v>
      </c>
      <c r="D131" s="5">
        <v>11.2</v>
      </c>
      <c r="E131" s="5">
        <v>7.8</v>
      </c>
      <c r="F131" s="5">
        <v>12.3</v>
      </c>
      <c r="G131" s="5">
        <f t="shared" si="12"/>
        <v>1428.9999999999998</v>
      </c>
      <c r="H131" s="5">
        <f t="shared" si="19"/>
        <v>99.600000000000023</v>
      </c>
      <c r="J131" s="5">
        <v>1.4</v>
      </c>
      <c r="K131" s="5">
        <f t="shared" si="13"/>
        <v>281.59999999999997</v>
      </c>
      <c r="L131" s="5">
        <v>1</v>
      </c>
      <c r="M131" s="5">
        <f t="shared" si="14"/>
        <v>155.39999999999995</v>
      </c>
      <c r="N131" s="5">
        <v>0.39999999999999991</v>
      </c>
      <c r="O131" s="5">
        <f t="shared" si="18"/>
        <v>185.60000000000002</v>
      </c>
      <c r="P131" s="5">
        <v>126</v>
      </c>
      <c r="Q131" s="5">
        <v>1</v>
      </c>
      <c r="R131" s="9">
        <f t="shared" si="10"/>
        <v>1</v>
      </c>
      <c r="S131" s="9">
        <f t="shared" si="11"/>
        <v>0.39999999999999991</v>
      </c>
      <c r="T131" s="9">
        <f t="shared" si="15"/>
        <v>196.70000000000002</v>
      </c>
      <c r="U131" s="5">
        <f>(U127*100)/197.4</f>
        <v>99.07698384077753</v>
      </c>
      <c r="V131" s="5">
        <v>122</v>
      </c>
      <c r="X131" s="5">
        <f t="shared" si="16"/>
        <v>70306.900000000009</v>
      </c>
      <c r="Y131" s="5">
        <f t="shared" si="20"/>
        <v>5163.6000000000004</v>
      </c>
      <c r="AA131" s="10">
        <v>8.6684454897849594</v>
      </c>
    </row>
    <row r="132" spans="1:27" s="5" customFormat="1" x14ac:dyDescent="0.25">
      <c r="A132" s="62"/>
      <c r="B132" s="6"/>
      <c r="C132" s="14">
        <v>42017</v>
      </c>
      <c r="D132" s="5">
        <v>9.8000000000000007</v>
      </c>
      <c r="E132" s="5">
        <v>8.3000000000000007</v>
      </c>
      <c r="F132" s="5">
        <v>11.5</v>
      </c>
      <c r="G132" s="5">
        <f t="shared" si="12"/>
        <v>1438.7999999999997</v>
      </c>
      <c r="H132" s="5">
        <f t="shared" si="19"/>
        <v>109.40000000000002</v>
      </c>
      <c r="J132" s="5">
        <v>4.4000000000000004</v>
      </c>
      <c r="K132" s="5">
        <f t="shared" si="13"/>
        <v>285.99999999999994</v>
      </c>
      <c r="L132" s="5">
        <v>1.1000000000000001</v>
      </c>
      <c r="M132" s="5">
        <f t="shared" si="14"/>
        <v>156.49999999999994</v>
      </c>
      <c r="N132" s="5">
        <v>3.3000000000000003</v>
      </c>
      <c r="O132" s="5">
        <f t="shared" si="18"/>
        <v>188.90000000000003</v>
      </c>
      <c r="P132" s="5">
        <v>127</v>
      </c>
      <c r="Q132" s="5">
        <v>1</v>
      </c>
      <c r="R132" s="9">
        <f t="shared" si="10"/>
        <v>1.1000000000000001</v>
      </c>
      <c r="S132" s="9">
        <f t="shared" si="11"/>
        <v>3.3000000000000003</v>
      </c>
      <c r="T132" s="9">
        <f t="shared" si="15"/>
        <v>197.4</v>
      </c>
      <c r="V132" s="5">
        <v>458.3</v>
      </c>
      <c r="X132" s="5">
        <f t="shared" si="16"/>
        <v>70765.200000000012</v>
      </c>
      <c r="Y132" s="5">
        <f t="shared" si="20"/>
        <v>5621.9000000000005</v>
      </c>
      <c r="AA132" s="10">
        <v>8.6988900336550294</v>
      </c>
    </row>
    <row r="133" spans="1:27" s="5" customFormat="1" x14ac:dyDescent="0.25">
      <c r="A133" s="62"/>
      <c r="B133" s="6"/>
      <c r="C133" s="14">
        <v>42018</v>
      </c>
      <c r="D133" s="5">
        <v>8.6999999999999993</v>
      </c>
      <c r="E133" s="5">
        <v>4.8</v>
      </c>
      <c r="F133" s="5">
        <v>11.6</v>
      </c>
      <c r="G133" s="5">
        <f t="shared" si="12"/>
        <v>1447.4999999999998</v>
      </c>
      <c r="H133" s="5">
        <f t="shared" si="19"/>
        <v>118.10000000000002</v>
      </c>
      <c r="J133" s="5">
        <v>7.8</v>
      </c>
      <c r="K133" s="5">
        <f t="shared" si="13"/>
        <v>293.79999999999995</v>
      </c>
      <c r="L133" s="5">
        <v>1.2</v>
      </c>
      <c r="M133" s="5">
        <f t="shared" si="14"/>
        <v>157.69999999999993</v>
      </c>
      <c r="N133" s="5">
        <v>6.6</v>
      </c>
      <c r="O133" s="5">
        <f t="shared" si="18"/>
        <v>195.50000000000003</v>
      </c>
      <c r="P133" s="5">
        <v>128</v>
      </c>
      <c r="Q133" s="5">
        <v>1</v>
      </c>
      <c r="R133" s="9">
        <f t="shared" si="10"/>
        <v>1.2</v>
      </c>
      <c r="S133" s="9">
        <f t="shared" si="11"/>
        <v>6.6</v>
      </c>
      <c r="T133" s="9">
        <f t="shared" si="15"/>
        <v>197.4</v>
      </c>
      <c r="V133" s="5">
        <v>577.5</v>
      </c>
      <c r="X133" s="5">
        <f t="shared" si="16"/>
        <v>71342.700000000012</v>
      </c>
      <c r="Y133" s="5">
        <f t="shared" si="20"/>
        <v>6199.4000000000005</v>
      </c>
      <c r="AA133" s="10">
        <v>8.7305191275220508</v>
      </c>
    </row>
    <row r="134" spans="1:27" s="5" customFormat="1" x14ac:dyDescent="0.25">
      <c r="A134" s="62"/>
      <c r="B134" s="6"/>
      <c r="C134" s="14">
        <v>42019</v>
      </c>
      <c r="D134" s="5">
        <v>8.4</v>
      </c>
      <c r="E134" s="5">
        <v>6.9</v>
      </c>
      <c r="F134" s="5">
        <v>10.5</v>
      </c>
      <c r="G134" s="5">
        <f t="shared" si="12"/>
        <v>1455.8999999999999</v>
      </c>
      <c r="H134" s="5">
        <f t="shared" si="19"/>
        <v>126.50000000000003</v>
      </c>
      <c r="J134" s="5">
        <v>8.8000000000000007</v>
      </c>
      <c r="K134" s="5">
        <f t="shared" si="13"/>
        <v>302.59999999999997</v>
      </c>
      <c r="L134" s="5">
        <v>0.8</v>
      </c>
      <c r="M134" s="5">
        <f t="shared" si="14"/>
        <v>158.49999999999994</v>
      </c>
      <c r="N134" s="5">
        <v>8</v>
      </c>
      <c r="O134" s="5">
        <v>197.4</v>
      </c>
      <c r="P134" s="5">
        <v>129</v>
      </c>
      <c r="Q134" s="5">
        <v>1</v>
      </c>
      <c r="R134" s="9">
        <f t="shared" ref="R134:R197" si="21">Q134*L134</f>
        <v>0.8</v>
      </c>
      <c r="S134" s="9">
        <f t="shared" ref="S134:S197" si="22">J134-R134</f>
        <v>8</v>
      </c>
      <c r="T134" s="9">
        <f t="shared" si="15"/>
        <v>197.4</v>
      </c>
      <c r="V134" s="5">
        <v>140</v>
      </c>
      <c r="X134" s="5">
        <f t="shared" si="16"/>
        <v>71482.700000000012</v>
      </c>
      <c r="Y134" s="5">
        <f t="shared" si="20"/>
        <v>6339.4000000000005</v>
      </c>
      <c r="AA134" s="10">
        <v>8.7633036242218001</v>
      </c>
    </row>
    <row r="135" spans="1:27" s="5" customFormat="1" x14ac:dyDescent="0.25">
      <c r="A135" s="62"/>
      <c r="B135" s="11"/>
      <c r="C135" s="14">
        <v>42020</v>
      </c>
      <c r="D135" s="5">
        <v>4</v>
      </c>
      <c r="E135" s="5">
        <v>2.7</v>
      </c>
      <c r="F135" s="5">
        <v>6.3</v>
      </c>
      <c r="G135" s="5">
        <f t="shared" si="12"/>
        <v>1459.8999999999999</v>
      </c>
      <c r="H135" s="5">
        <f t="shared" si="19"/>
        <v>130.50000000000003</v>
      </c>
      <c r="J135" s="5">
        <v>3.6</v>
      </c>
      <c r="K135" s="5">
        <f t="shared" si="13"/>
        <v>306.2</v>
      </c>
      <c r="L135" s="5">
        <v>0.4</v>
      </c>
      <c r="M135" s="5">
        <f t="shared" si="14"/>
        <v>158.89999999999995</v>
      </c>
      <c r="N135" s="5">
        <v>3.2</v>
      </c>
      <c r="O135" s="5">
        <v>197.4</v>
      </c>
      <c r="P135" s="5">
        <v>130</v>
      </c>
      <c r="Q135" s="5">
        <v>1</v>
      </c>
      <c r="R135" s="9">
        <f t="shared" si="21"/>
        <v>0.4</v>
      </c>
      <c r="S135" s="9">
        <f t="shared" si="22"/>
        <v>3.2</v>
      </c>
      <c r="T135" s="9">
        <f t="shared" si="15"/>
        <v>197.4</v>
      </c>
      <c r="V135" s="5">
        <v>183.5</v>
      </c>
      <c r="X135" s="5">
        <f t="shared" si="16"/>
        <v>71666.200000000012</v>
      </c>
      <c r="Y135" s="5">
        <f t="shared" si="20"/>
        <v>6522.9000000000005</v>
      </c>
      <c r="AA135" s="10">
        <v>8.7972139577765898</v>
      </c>
    </row>
    <row r="136" spans="1:27" s="5" customFormat="1" x14ac:dyDescent="0.25">
      <c r="A136" s="62"/>
      <c r="B136" s="11"/>
      <c r="C136" s="14">
        <v>42021</v>
      </c>
      <c r="D136" s="5">
        <v>3.7</v>
      </c>
      <c r="E136" s="5">
        <v>-0.9</v>
      </c>
      <c r="F136" s="5">
        <v>6.6</v>
      </c>
      <c r="G136" s="5">
        <f t="shared" ref="G136:G199" si="23">G135+D136</f>
        <v>1463.6</v>
      </c>
      <c r="H136" s="5">
        <f t="shared" si="19"/>
        <v>134.20000000000002</v>
      </c>
      <c r="J136" s="5">
        <v>3</v>
      </c>
      <c r="K136" s="5">
        <f t="shared" ref="K136:K199" si="24">K135+J136</f>
        <v>309.2</v>
      </c>
      <c r="L136" s="5">
        <v>0.7</v>
      </c>
      <c r="M136" s="5">
        <f t="shared" ref="M136:M199" si="25">M135+L136</f>
        <v>159.59999999999994</v>
      </c>
      <c r="N136" s="5">
        <v>2.2999999999999998</v>
      </c>
      <c r="O136" s="5">
        <v>197.4</v>
      </c>
      <c r="P136" s="5">
        <v>131</v>
      </c>
      <c r="Q136" s="5">
        <v>1</v>
      </c>
      <c r="R136" s="9">
        <f t="shared" si="21"/>
        <v>0.7</v>
      </c>
      <c r="S136" s="9">
        <f t="shared" si="22"/>
        <v>2.2999999999999998</v>
      </c>
      <c r="T136" s="9">
        <f t="shared" ref="T136:T199" si="26">MIN(197.4,(T135+S136))</f>
        <v>197.4</v>
      </c>
      <c r="V136" s="5">
        <v>723.7</v>
      </c>
      <c r="X136" s="5">
        <f t="shared" ref="X136:X199" si="27">X135+V136</f>
        <v>72389.900000000009</v>
      </c>
      <c r="Y136" s="5">
        <f t="shared" si="20"/>
        <v>7246.6</v>
      </c>
      <c r="AA136" s="10">
        <v>8.8322202273963804</v>
      </c>
    </row>
    <row r="137" spans="1:27" s="5" customFormat="1" x14ac:dyDescent="0.25">
      <c r="A137" s="62"/>
      <c r="B137" s="11"/>
      <c r="C137" s="14">
        <v>42022</v>
      </c>
      <c r="D137" s="5">
        <v>3.4</v>
      </c>
      <c r="E137" s="5">
        <v>3.4</v>
      </c>
      <c r="F137" s="5">
        <v>3.8</v>
      </c>
      <c r="G137" s="5">
        <f t="shared" si="23"/>
        <v>1467</v>
      </c>
      <c r="H137" s="5">
        <f t="shared" si="19"/>
        <v>137.60000000000002</v>
      </c>
      <c r="J137" s="5">
        <v>13.6</v>
      </c>
      <c r="K137" s="5">
        <f t="shared" si="24"/>
        <v>322.8</v>
      </c>
      <c r="L137" s="5">
        <v>0.3</v>
      </c>
      <c r="M137" s="5">
        <f t="shared" si="25"/>
        <v>159.89999999999995</v>
      </c>
      <c r="N137" s="5">
        <v>13.299999999999999</v>
      </c>
      <c r="O137" s="5">
        <v>197.4</v>
      </c>
      <c r="P137" s="5">
        <v>132</v>
      </c>
      <c r="Q137" s="5">
        <v>1</v>
      </c>
      <c r="R137" s="9">
        <f t="shared" si="21"/>
        <v>0.3</v>
      </c>
      <c r="S137" s="9">
        <f t="shared" si="22"/>
        <v>13.299999999999999</v>
      </c>
      <c r="T137" s="9">
        <f t="shared" si="26"/>
        <v>197.4</v>
      </c>
      <c r="V137" s="5">
        <v>77.3</v>
      </c>
      <c r="X137" s="5">
        <f t="shared" si="27"/>
        <v>72467.200000000012</v>
      </c>
      <c r="Y137" s="5">
        <f t="shared" si="20"/>
        <v>7323.9000000000005</v>
      </c>
      <c r="AA137" s="10">
        <v>8.8682922790623309</v>
      </c>
    </row>
    <row r="138" spans="1:27" s="5" customFormat="1" x14ac:dyDescent="0.25">
      <c r="A138" s="62"/>
      <c r="B138" s="11"/>
      <c r="C138" s="14">
        <v>42023</v>
      </c>
      <c r="D138" s="5">
        <v>2.5</v>
      </c>
      <c r="E138" s="5">
        <v>-0.4</v>
      </c>
      <c r="F138" s="5">
        <v>6.1</v>
      </c>
      <c r="G138" s="5">
        <f t="shared" si="23"/>
        <v>1469.5</v>
      </c>
      <c r="H138" s="5">
        <f t="shared" si="19"/>
        <v>140.10000000000002</v>
      </c>
      <c r="J138" s="5">
        <v>0</v>
      </c>
      <c r="K138" s="5">
        <f t="shared" si="24"/>
        <v>322.8</v>
      </c>
      <c r="L138" s="5">
        <v>0.9</v>
      </c>
      <c r="M138" s="5">
        <f t="shared" si="25"/>
        <v>160.79999999999995</v>
      </c>
      <c r="N138" s="5">
        <v>-0.9</v>
      </c>
      <c r="O138" s="5">
        <f t="shared" ref="O138:O147" si="28">O137+N138</f>
        <v>196.5</v>
      </c>
      <c r="P138" s="5">
        <v>133</v>
      </c>
      <c r="Q138" s="5">
        <v>1</v>
      </c>
      <c r="R138" s="9">
        <f t="shared" si="21"/>
        <v>0.9</v>
      </c>
      <c r="S138" s="9">
        <f t="shared" si="22"/>
        <v>-0.9</v>
      </c>
      <c r="T138" s="9">
        <f t="shared" si="26"/>
        <v>196.5</v>
      </c>
      <c r="V138" s="5">
        <v>785.4</v>
      </c>
      <c r="X138" s="5">
        <f t="shared" si="27"/>
        <v>73252.600000000006</v>
      </c>
      <c r="Y138" s="5">
        <f t="shared" si="20"/>
        <v>8109.3</v>
      </c>
      <c r="AA138" s="10">
        <v>8.9053997843622401</v>
      </c>
    </row>
    <row r="139" spans="1:27" s="5" customFormat="1" x14ac:dyDescent="0.25">
      <c r="A139" s="62"/>
      <c r="B139" s="11"/>
      <c r="C139" s="14">
        <v>42024</v>
      </c>
      <c r="D139" s="5">
        <v>1.7</v>
      </c>
      <c r="E139" s="5">
        <v>-0.1</v>
      </c>
      <c r="F139" s="5">
        <v>3.5</v>
      </c>
      <c r="G139" s="5">
        <f t="shared" si="23"/>
        <v>1471.2</v>
      </c>
      <c r="H139" s="5">
        <f t="shared" si="19"/>
        <v>141.80000000000001</v>
      </c>
      <c r="J139" s="5">
        <v>0.1</v>
      </c>
      <c r="K139" s="5">
        <f t="shared" si="24"/>
        <v>322.90000000000003</v>
      </c>
      <c r="L139" s="5">
        <v>0.7</v>
      </c>
      <c r="M139" s="5">
        <f t="shared" si="25"/>
        <v>161.49999999999994</v>
      </c>
      <c r="N139" s="5">
        <v>-0.6</v>
      </c>
      <c r="O139" s="5">
        <f t="shared" si="28"/>
        <v>195.9</v>
      </c>
      <c r="P139" s="5">
        <v>134</v>
      </c>
      <c r="Q139" s="5">
        <v>1</v>
      </c>
      <c r="R139" s="9">
        <f t="shared" si="21"/>
        <v>0.7</v>
      </c>
      <c r="S139" s="9">
        <f t="shared" si="22"/>
        <v>-0.6</v>
      </c>
      <c r="T139" s="9">
        <f t="shared" si="26"/>
        <v>195.9</v>
      </c>
      <c r="V139" s="5">
        <v>610.6</v>
      </c>
      <c r="X139" s="5">
        <f t="shared" si="27"/>
        <v>73863.200000000012</v>
      </c>
      <c r="Y139" s="5">
        <f t="shared" si="20"/>
        <v>8719.9</v>
      </c>
      <c r="AA139" s="10">
        <v>8.9435123162883503</v>
      </c>
    </row>
    <row r="140" spans="1:27" s="5" customFormat="1" x14ac:dyDescent="0.25">
      <c r="A140" s="62"/>
      <c r="B140" s="11"/>
      <c r="C140" s="14">
        <v>42025</v>
      </c>
      <c r="D140" s="5">
        <v>1.8</v>
      </c>
      <c r="E140" s="5">
        <v>0.5</v>
      </c>
      <c r="F140" s="5">
        <v>3</v>
      </c>
      <c r="G140" s="5">
        <f t="shared" si="23"/>
        <v>1473</v>
      </c>
      <c r="H140" s="5">
        <f t="shared" si="19"/>
        <v>143.60000000000002</v>
      </c>
      <c r="J140" s="5">
        <v>0.5</v>
      </c>
      <c r="K140" s="5">
        <f t="shared" si="24"/>
        <v>323.40000000000003</v>
      </c>
      <c r="L140" s="5">
        <v>0.2</v>
      </c>
      <c r="M140" s="5">
        <f t="shared" si="25"/>
        <v>161.69999999999993</v>
      </c>
      <c r="N140" s="5">
        <v>0.3</v>
      </c>
      <c r="O140" s="5">
        <f t="shared" si="28"/>
        <v>196.20000000000002</v>
      </c>
      <c r="P140" s="5">
        <v>135</v>
      </c>
      <c r="Q140" s="5">
        <v>1</v>
      </c>
      <c r="R140" s="9">
        <f t="shared" si="21"/>
        <v>0.2</v>
      </c>
      <c r="S140" s="9">
        <f t="shared" si="22"/>
        <v>0.3</v>
      </c>
      <c r="T140" s="9">
        <f t="shared" si="26"/>
        <v>196.20000000000002</v>
      </c>
      <c r="V140" s="5">
        <v>97.3</v>
      </c>
      <c r="X140" s="5">
        <f t="shared" si="27"/>
        <v>73960.500000000015</v>
      </c>
      <c r="Y140" s="5">
        <f t="shared" si="20"/>
        <v>8817.1999999999989</v>
      </c>
      <c r="AA140" s="10">
        <v>8.9825994217501801</v>
      </c>
    </row>
    <row r="141" spans="1:27" s="5" customFormat="1" x14ac:dyDescent="0.25">
      <c r="A141" s="62"/>
      <c r="B141" s="6"/>
      <c r="C141" s="14">
        <v>42026</v>
      </c>
      <c r="D141" s="5">
        <v>1.4</v>
      </c>
      <c r="E141" s="5">
        <v>-0.5</v>
      </c>
      <c r="F141" s="5">
        <v>3.5</v>
      </c>
      <c r="G141" s="5">
        <f t="shared" si="23"/>
        <v>1474.4</v>
      </c>
      <c r="H141" s="5">
        <f t="shared" si="19"/>
        <v>145.00000000000003</v>
      </c>
      <c r="J141" s="5">
        <v>0</v>
      </c>
      <c r="K141" s="5">
        <f t="shared" si="24"/>
        <v>323.40000000000003</v>
      </c>
      <c r="L141" s="5">
        <v>0.5</v>
      </c>
      <c r="M141" s="5">
        <f t="shared" si="25"/>
        <v>162.19999999999993</v>
      </c>
      <c r="N141" s="5">
        <v>-0.5</v>
      </c>
      <c r="O141" s="5">
        <f t="shared" si="28"/>
        <v>195.70000000000002</v>
      </c>
      <c r="P141" s="5">
        <v>136</v>
      </c>
      <c r="Q141" s="5">
        <v>1</v>
      </c>
      <c r="R141" s="9">
        <f t="shared" si="21"/>
        <v>0.5</v>
      </c>
      <c r="S141" s="9">
        <f t="shared" si="22"/>
        <v>-0.5</v>
      </c>
      <c r="T141" s="9">
        <f t="shared" si="26"/>
        <v>195.70000000000002</v>
      </c>
      <c r="V141" s="5">
        <v>455</v>
      </c>
      <c r="X141" s="5">
        <f t="shared" si="27"/>
        <v>74415.500000000015</v>
      </c>
      <c r="Y141" s="5">
        <f t="shared" si="20"/>
        <v>9272.1999999999989</v>
      </c>
      <c r="AA141" s="5">
        <v>9.02263069059555</v>
      </c>
    </row>
    <row r="142" spans="1:27" s="5" customFormat="1" x14ac:dyDescent="0.25">
      <c r="A142" s="62"/>
      <c r="B142" s="6"/>
      <c r="C142" s="14">
        <v>42027</v>
      </c>
      <c r="D142" s="5">
        <v>0.9</v>
      </c>
      <c r="E142" s="5">
        <v>-2.9</v>
      </c>
      <c r="F142" s="5">
        <v>4.5999999999999996</v>
      </c>
      <c r="G142" s="5">
        <f t="shared" si="23"/>
        <v>1475.3000000000002</v>
      </c>
      <c r="H142" s="5">
        <f t="shared" si="19"/>
        <v>145.90000000000003</v>
      </c>
      <c r="J142" s="5">
        <v>2.2000000000000002</v>
      </c>
      <c r="K142" s="5">
        <f t="shared" si="24"/>
        <v>325.60000000000002</v>
      </c>
      <c r="L142" s="5">
        <v>0.8</v>
      </c>
      <c r="M142" s="5">
        <f t="shared" si="25"/>
        <v>162.99999999999994</v>
      </c>
      <c r="N142" s="5">
        <v>1.4000000000000001</v>
      </c>
      <c r="O142" s="5">
        <f t="shared" si="28"/>
        <v>197.10000000000002</v>
      </c>
      <c r="P142" s="5">
        <v>137</v>
      </c>
      <c r="Q142" s="5">
        <v>1</v>
      </c>
      <c r="R142" s="9">
        <f t="shared" si="21"/>
        <v>0.8</v>
      </c>
      <c r="S142" s="9">
        <f t="shared" si="22"/>
        <v>1.4000000000000001</v>
      </c>
      <c r="T142" s="9">
        <f t="shared" si="26"/>
        <v>197.10000000000002</v>
      </c>
      <c r="V142" s="5">
        <v>722.3</v>
      </c>
      <c r="X142" s="5">
        <f t="shared" si="27"/>
        <v>75137.800000000017</v>
      </c>
      <c r="Y142" s="5">
        <f t="shared" si="20"/>
        <v>9994.4999999999982</v>
      </c>
      <c r="AA142" s="5">
        <v>9.0635758209727104</v>
      </c>
    </row>
    <row r="143" spans="1:27" s="5" customFormat="1" x14ac:dyDescent="0.25">
      <c r="A143" s="62"/>
      <c r="B143" s="6"/>
      <c r="C143" s="14">
        <v>42028</v>
      </c>
      <c r="D143" s="5">
        <v>4.3</v>
      </c>
      <c r="E143" s="5">
        <v>1.8</v>
      </c>
      <c r="F143" s="5">
        <v>8.4</v>
      </c>
      <c r="G143" s="5">
        <f t="shared" si="23"/>
        <v>1479.6000000000001</v>
      </c>
      <c r="H143" s="5">
        <f t="shared" si="19"/>
        <v>150.20000000000005</v>
      </c>
      <c r="J143" s="5">
        <v>0.1</v>
      </c>
      <c r="K143" s="5">
        <f t="shared" si="24"/>
        <v>325.70000000000005</v>
      </c>
      <c r="L143" s="5">
        <v>0.8</v>
      </c>
      <c r="M143" s="5">
        <f t="shared" si="25"/>
        <v>163.79999999999995</v>
      </c>
      <c r="N143" s="5">
        <v>-0.70000000000000007</v>
      </c>
      <c r="O143" s="5">
        <f t="shared" si="28"/>
        <v>196.40000000000003</v>
      </c>
      <c r="P143" s="5">
        <v>138</v>
      </c>
      <c r="Q143" s="5">
        <v>1</v>
      </c>
      <c r="R143" s="9">
        <f t="shared" si="21"/>
        <v>0.8</v>
      </c>
      <c r="S143" s="9">
        <f t="shared" si="22"/>
        <v>-0.70000000000000007</v>
      </c>
      <c r="T143" s="9">
        <f t="shared" si="26"/>
        <v>196.40000000000003</v>
      </c>
      <c r="V143" s="5">
        <v>396.3</v>
      </c>
      <c r="X143" s="5">
        <f t="shared" si="27"/>
        <v>75534.10000000002</v>
      </c>
      <c r="Y143" s="5">
        <f t="shared" si="20"/>
        <v>10390.799999999997</v>
      </c>
      <c r="AA143" s="5">
        <v>9.1054046809047993</v>
      </c>
    </row>
    <row r="144" spans="1:27" s="5" customFormat="1" x14ac:dyDescent="0.25">
      <c r="A144" s="62"/>
      <c r="B144" s="6">
        <v>7</v>
      </c>
      <c r="C144" s="14">
        <v>42029</v>
      </c>
      <c r="D144" s="5">
        <v>4.4000000000000004</v>
      </c>
      <c r="E144" s="5">
        <v>0.3</v>
      </c>
      <c r="F144" s="5">
        <v>7.1</v>
      </c>
      <c r="G144" s="5">
        <f t="shared" si="23"/>
        <v>1484.0000000000002</v>
      </c>
      <c r="H144" s="5">
        <f t="shared" si="19"/>
        <v>154.60000000000005</v>
      </c>
      <c r="J144" s="5">
        <v>0</v>
      </c>
      <c r="K144" s="5">
        <f t="shared" si="24"/>
        <v>325.70000000000005</v>
      </c>
      <c r="L144" s="5">
        <v>0.5</v>
      </c>
      <c r="M144" s="5">
        <f t="shared" si="25"/>
        <v>164.29999999999995</v>
      </c>
      <c r="N144" s="5">
        <v>-0.5</v>
      </c>
      <c r="O144" s="5">
        <f t="shared" si="28"/>
        <v>195.90000000000003</v>
      </c>
      <c r="P144" s="5">
        <v>139</v>
      </c>
      <c r="Q144" s="5">
        <v>1</v>
      </c>
      <c r="R144" s="9">
        <f t="shared" si="21"/>
        <v>0.5</v>
      </c>
      <c r="S144" s="9">
        <f t="shared" si="22"/>
        <v>-0.5</v>
      </c>
      <c r="T144" s="9">
        <f t="shared" si="26"/>
        <v>195.90000000000003</v>
      </c>
      <c r="V144" s="5">
        <v>208.1</v>
      </c>
      <c r="X144" s="5">
        <f t="shared" si="27"/>
        <v>75742.200000000026</v>
      </c>
      <c r="Y144" s="5">
        <f t="shared" si="20"/>
        <v>10598.899999999998</v>
      </c>
      <c r="AA144" s="5">
        <v>9.1480873659837592</v>
      </c>
    </row>
    <row r="145" spans="1:27" s="5" customFormat="1" x14ac:dyDescent="0.25">
      <c r="A145" s="62"/>
      <c r="B145" s="6"/>
      <c r="C145" s="14">
        <v>42030</v>
      </c>
      <c r="D145" s="5">
        <v>7.6</v>
      </c>
      <c r="E145" s="5">
        <v>5.8</v>
      </c>
      <c r="F145" s="5">
        <v>10.7</v>
      </c>
      <c r="G145" s="5">
        <f t="shared" si="23"/>
        <v>1491.6000000000001</v>
      </c>
      <c r="H145" s="5">
        <f t="shared" si="19"/>
        <v>162.20000000000005</v>
      </c>
      <c r="J145" s="5">
        <v>0.3</v>
      </c>
      <c r="K145" s="5">
        <f t="shared" si="24"/>
        <v>326.00000000000006</v>
      </c>
      <c r="L145" s="5">
        <v>0.9</v>
      </c>
      <c r="M145" s="5">
        <f t="shared" si="25"/>
        <v>165.19999999999996</v>
      </c>
      <c r="N145" s="5">
        <v>-0.60000000000000009</v>
      </c>
      <c r="O145" s="5">
        <f t="shared" si="28"/>
        <v>195.30000000000004</v>
      </c>
      <c r="P145" s="5">
        <v>140</v>
      </c>
      <c r="Q145" s="5">
        <v>1</v>
      </c>
      <c r="R145" s="9">
        <f t="shared" si="21"/>
        <v>0.9</v>
      </c>
      <c r="S145" s="9">
        <f t="shared" si="22"/>
        <v>-0.60000000000000009</v>
      </c>
      <c r="T145" s="9">
        <f t="shared" si="26"/>
        <v>195.30000000000004</v>
      </c>
      <c r="V145" s="5">
        <v>197.5</v>
      </c>
      <c r="X145" s="5">
        <f t="shared" si="27"/>
        <v>75939.700000000026</v>
      </c>
      <c r="Y145" s="5">
        <f t="shared" si="20"/>
        <v>10796.399999999998</v>
      </c>
      <c r="AA145" s="5">
        <v>9.1915942531253005</v>
      </c>
    </row>
    <row r="146" spans="1:27" s="5" customFormat="1" x14ac:dyDescent="0.25">
      <c r="A146" s="62"/>
      <c r="B146" s="6"/>
      <c r="C146" s="14">
        <v>42031</v>
      </c>
      <c r="D146" s="5">
        <v>6.9</v>
      </c>
      <c r="E146" s="5">
        <v>4.5999999999999996</v>
      </c>
      <c r="F146" s="5">
        <v>8.9</v>
      </c>
      <c r="G146" s="5">
        <f t="shared" si="23"/>
        <v>1498.5000000000002</v>
      </c>
      <c r="H146" s="5">
        <f t="shared" si="19"/>
        <v>169.10000000000005</v>
      </c>
      <c r="J146" s="5">
        <v>0.1</v>
      </c>
      <c r="K146" s="5">
        <f t="shared" si="24"/>
        <v>326.10000000000008</v>
      </c>
      <c r="L146" s="5">
        <v>0.6</v>
      </c>
      <c r="M146" s="5">
        <f t="shared" si="25"/>
        <v>165.79999999999995</v>
      </c>
      <c r="N146" s="5">
        <v>-0.5</v>
      </c>
      <c r="O146" s="5">
        <f t="shared" si="28"/>
        <v>194.80000000000004</v>
      </c>
      <c r="P146" s="5">
        <v>141</v>
      </c>
      <c r="Q146" s="5">
        <v>1</v>
      </c>
      <c r="R146" s="9">
        <f t="shared" si="21"/>
        <v>0.6</v>
      </c>
      <c r="S146" s="9">
        <f t="shared" si="22"/>
        <v>-0.5</v>
      </c>
      <c r="T146" s="9">
        <f t="shared" si="26"/>
        <v>194.80000000000004</v>
      </c>
      <c r="V146" s="5">
        <v>157</v>
      </c>
      <c r="X146" s="5">
        <f t="shared" si="27"/>
        <v>76096.700000000026</v>
      </c>
      <c r="Y146" s="5">
        <f t="shared" si="20"/>
        <v>10953.399999999998</v>
      </c>
      <c r="AA146" s="5">
        <v>9.2358960503577805</v>
      </c>
    </row>
    <row r="147" spans="1:27" s="5" customFormat="1" x14ac:dyDescent="0.25">
      <c r="A147" s="62"/>
      <c r="B147" s="6"/>
      <c r="C147" s="14">
        <v>42032</v>
      </c>
      <c r="D147" s="5">
        <v>8.3000000000000007</v>
      </c>
      <c r="E147" s="5">
        <v>6.9</v>
      </c>
      <c r="F147" s="5">
        <v>11.7</v>
      </c>
      <c r="G147" s="5">
        <f t="shared" si="23"/>
        <v>1506.8000000000002</v>
      </c>
      <c r="H147" s="5">
        <f t="shared" si="19"/>
        <v>177.40000000000006</v>
      </c>
      <c r="J147" s="5">
        <v>1.2</v>
      </c>
      <c r="K147" s="5">
        <f t="shared" si="24"/>
        <v>327.30000000000007</v>
      </c>
      <c r="L147" s="5">
        <v>1.2</v>
      </c>
      <c r="M147" s="5">
        <f t="shared" si="25"/>
        <v>166.99999999999994</v>
      </c>
      <c r="N147" s="5">
        <v>0</v>
      </c>
      <c r="O147" s="5">
        <f t="shared" si="28"/>
        <v>194.80000000000004</v>
      </c>
      <c r="P147" s="5">
        <v>142</v>
      </c>
      <c r="Q147" s="5">
        <v>1</v>
      </c>
      <c r="R147" s="9">
        <f t="shared" si="21"/>
        <v>1.2</v>
      </c>
      <c r="S147" s="9">
        <f t="shared" si="22"/>
        <v>0</v>
      </c>
      <c r="T147" s="9">
        <f t="shared" si="26"/>
        <v>194.80000000000004</v>
      </c>
      <c r="V147" s="5">
        <v>209.8</v>
      </c>
      <c r="X147" s="5">
        <f t="shared" si="27"/>
        <v>76306.500000000029</v>
      </c>
      <c r="Y147" s="5">
        <f t="shared" si="20"/>
        <v>11163.199999999997</v>
      </c>
      <c r="AA147" s="5">
        <v>9.2809638426474006</v>
      </c>
    </row>
    <row r="148" spans="1:27" s="5" customFormat="1" x14ac:dyDescent="0.25">
      <c r="A148" s="62"/>
      <c r="B148" s="6"/>
      <c r="C148" s="14">
        <v>42033</v>
      </c>
      <c r="D148" s="5">
        <v>5.9</v>
      </c>
      <c r="E148" s="5">
        <v>5.8</v>
      </c>
      <c r="F148" s="5">
        <v>7.3</v>
      </c>
      <c r="G148" s="5">
        <f t="shared" si="23"/>
        <v>1512.7000000000003</v>
      </c>
      <c r="H148" s="5">
        <f t="shared" si="19"/>
        <v>183.30000000000007</v>
      </c>
      <c r="J148" s="5">
        <v>6.9</v>
      </c>
      <c r="K148" s="5">
        <f t="shared" si="24"/>
        <v>334.20000000000005</v>
      </c>
      <c r="L148" s="5">
        <v>0.8</v>
      </c>
      <c r="M148" s="5">
        <f t="shared" si="25"/>
        <v>167.79999999999995</v>
      </c>
      <c r="N148" s="5">
        <v>6.1000000000000005</v>
      </c>
      <c r="O148" s="5">
        <v>197.4</v>
      </c>
      <c r="P148" s="5">
        <v>143</v>
      </c>
      <c r="Q148" s="5">
        <v>1</v>
      </c>
      <c r="R148" s="9">
        <f t="shared" si="21"/>
        <v>0.8</v>
      </c>
      <c r="S148" s="9">
        <f t="shared" si="22"/>
        <v>6.1000000000000005</v>
      </c>
      <c r="T148" s="9">
        <f t="shared" si="26"/>
        <v>197.4</v>
      </c>
      <c r="V148" s="5">
        <v>125.2</v>
      </c>
      <c r="X148" s="5">
        <f t="shared" si="27"/>
        <v>76431.700000000026</v>
      </c>
      <c r="Y148" s="5">
        <f t="shared" si="20"/>
        <v>11288.399999999998</v>
      </c>
      <c r="AA148" s="5">
        <v>9.3267691337885896</v>
      </c>
    </row>
    <row r="149" spans="1:27" s="5" customFormat="1" x14ac:dyDescent="0.25">
      <c r="A149" s="62"/>
      <c r="B149" s="6"/>
      <c r="C149" s="14">
        <v>42034</v>
      </c>
      <c r="D149" s="5">
        <v>4.5</v>
      </c>
      <c r="E149" s="5">
        <v>2.8</v>
      </c>
      <c r="F149" s="5">
        <v>8.1</v>
      </c>
      <c r="G149" s="5">
        <f t="shared" si="23"/>
        <v>1517.2000000000003</v>
      </c>
      <c r="H149" s="5">
        <f t="shared" si="19"/>
        <v>187.80000000000007</v>
      </c>
      <c r="J149" s="5">
        <v>7.9</v>
      </c>
      <c r="K149" s="5">
        <f t="shared" si="24"/>
        <v>342.1</v>
      </c>
      <c r="L149" s="5">
        <v>1.1000000000000001</v>
      </c>
      <c r="M149" s="5">
        <f t="shared" si="25"/>
        <v>168.89999999999995</v>
      </c>
      <c r="N149" s="5">
        <v>6.8000000000000007</v>
      </c>
      <c r="O149" s="5">
        <v>197.4</v>
      </c>
      <c r="P149" s="5">
        <v>144</v>
      </c>
      <c r="Q149" s="5">
        <v>1</v>
      </c>
      <c r="R149" s="9">
        <f t="shared" si="21"/>
        <v>1.1000000000000001</v>
      </c>
      <c r="S149" s="9">
        <f t="shared" si="22"/>
        <v>6.8000000000000007</v>
      </c>
      <c r="T149" s="9">
        <f t="shared" si="26"/>
        <v>197.4</v>
      </c>
      <c r="V149" s="5">
        <v>282</v>
      </c>
      <c r="X149" s="5">
        <f t="shared" si="27"/>
        <v>76713.700000000026</v>
      </c>
      <c r="Y149" s="5">
        <f t="shared" si="20"/>
        <v>11570.399999999998</v>
      </c>
      <c r="AA149" s="5">
        <v>9.37328388441213</v>
      </c>
    </row>
    <row r="150" spans="1:27" s="5" customFormat="1" x14ac:dyDescent="0.25">
      <c r="A150" s="62"/>
      <c r="B150" s="6"/>
      <c r="C150" s="14">
        <v>42035</v>
      </c>
      <c r="D150" s="5">
        <v>3.4</v>
      </c>
      <c r="E150" s="5">
        <v>1.4</v>
      </c>
      <c r="F150" s="5">
        <v>5.7</v>
      </c>
      <c r="G150" s="5">
        <f t="shared" si="23"/>
        <v>1520.6000000000004</v>
      </c>
      <c r="H150" s="5">
        <f t="shared" si="19"/>
        <v>191.20000000000007</v>
      </c>
      <c r="J150" s="5">
        <v>9.1999999999999993</v>
      </c>
      <c r="K150" s="5">
        <f t="shared" si="24"/>
        <v>351.3</v>
      </c>
      <c r="L150" s="5">
        <v>0.5</v>
      </c>
      <c r="M150" s="5">
        <f t="shared" si="25"/>
        <v>169.39999999999995</v>
      </c>
      <c r="N150" s="5">
        <v>8.6999999999999993</v>
      </c>
      <c r="O150" s="5">
        <v>197.4</v>
      </c>
      <c r="P150" s="5">
        <v>145</v>
      </c>
      <c r="Q150" s="5">
        <v>1</v>
      </c>
      <c r="R150" s="9">
        <f t="shared" si="21"/>
        <v>0.5</v>
      </c>
      <c r="S150" s="9">
        <f t="shared" si="22"/>
        <v>8.6999999999999993</v>
      </c>
      <c r="T150" s="9">
        <f t="shared" si="26"/>
        <v>197.4</v>
      </c>
      <c r="V150" s="5">
        <v>358.3</v>
      </c>
      <c r="X150" s="5">
        <f t="shared" si="27"/>
        <v>77072.000000000029</v>
      </c>
      <c r="Y150" s="5">
        <f t="shared" si="20"/>
        <v>11928.699999999997</v>
      </c>
      <c r="AA150" s="5">
        <v>9.4204805461851908</v>
      </c>
    </row>
    <row r="151" spans="1:27" s="5" customFormat="1" x14ac:dyDescent="0.25">
      <c r="A151" s="62"/>
      <c r="B151" s="6">
        <v>8</v>
      </c>
      <c r="C151" s="14">
        <v>42036</v>
      </c>
      <c r="D151" s="5">
        <v>3.7</v>
      </c>
      <c r="E151" s="5">
        <v>2.2999999999999998</v>
      </c>
      <c r="F151" s="5">
        <v>6.6</v>
      </c>
      <c r="G151" s="5">
        <f t="shared" si="23"/>
        <v>1524.3000000000004</v>
      </c>
      <c r="H151" s="5">
        <f t="shared" si="19"/>
        <v>194.90000000000006</v>
      </c>
      <c r="J151" s="5">
        <v>0.7</v>
      </c>
      <c r="K151" s="5">
        <f t="shared" si="24"/>
        <v>352</v>
      </c>
      <c r="L151" s="5">
        <v>1.2</v>
      </c>
      <c r="M151" s="5">
        <f t="shared" si="25"/>
        <v>170.59999999999994</v>
      </c>
      <c r="N151" s="5">
        <v>-0.5</v>
      </c>
      <c r="O151" s="5">
        <f t="shared" ref="O151:O162" si="29">O150+N151</f>
        <v>196.9</v>
      </c>
      <c r="P151" s="5">
        <v>146</v>
      </c>
      <c r="Q151" s="5">
        <v>1</v>
      </c>
      <c r="R151" s="9">
        <f t="shared" si="21"/>
        <v>1.2</v>
      </c>
      <c r="S151" s="9">
        <f t="shared" si="22"/>
        <v>-0.5</v>
      </c>
      <c r="T151" s="9">
        <f t="shared" si="26"/>
        <v>196.9</v>
      </c>
      <c r="V151" s="5">
        <v>616.6</v>
      </c>
      <c r="X151" s="5">
        <f t="shared" si="27"/>
        <v>77688.600000000035</v>
      </c>
      <c r="Y151" s="5">
        <f t="shared" si="20"/>
        <v>12545.299999999997</v>
      </c>
      <c r="AA151" s="5">
        <v>9.4683320922958405</v>
      </c>
    </row>
    <row r="152" spans="1:27" s="5" customFormat="1" x14ac:dyDescent="0.25">
      <c r="A152" s="62"/>
      <c r="B152" s="6"/>
      <c r="C152" s="14">
        <v>42037</v>
      </c>
      <c r="D152" s="5">
        <v>2</v>
      </c>
      <c r="E152" s="5">
        <v>-0.2</v>
      </c>
      <c r="F152" s="5">
        <v>5.2</v>
      </c>
      <c r="G152" s="5">
        <f t="shared" si="23"/>
        <v>1526.3000000000004</v>
      </c>
      <c r="H152" s="5">
        <f t="shared" si="19"/>
        <v>196.90000000000006</v>
      </c>
      <c r="J152" s="5">
        <v>0</v>
      </c>
      <c r="K152" s="5">
        <f t="shared" si="24"/>
        <v>352</v>
      </c>
      <c r="L152" s="5">
        <v>0.9</v>
      </c>
      <c r="M152" s="5">
        <f t="shared" si="25"/>
        <v>171.49999999999994</v>
      </c>
      <c r="N152" s="5">
        <v>-0.9</v>
      </c>
      <c r="O152" s="5">
        <f t="shared" si="29"/>
        <v>196</v>
      </c>
      <c r="P152" s="5">
        <v>147</v>
      </c>
      <c r="Q152" s="5">
        <v>1</v>
      </c>
      <c r="R152" s="9">
        <f t="shared" si="21"/>
        <v>0.9</v>
      </c>
      <c r="S152" s="9">
        <f t="shared" si="22"/>
        <v>-0.9</v>
      </c>
      <c r="T152" s="9">
        <f t="shared" si="26"/>
        <v>196</v>
      </c>
      <c r="V152" s="5">
        <v>819.9</v>
      </c>
      <c r="X152" s="5">
        <f t="shared" si="27"/>
        <v>78508.500000000029</v>
      </c>
      <c r="Y152" s="5">
        <f t="shared" si="20"/>
        <v>13365.199999999997</v>
      </c>
      <c r="AA152" s="5">
        <v>9.5168120443305408</v>
      </c>
    </row>
    <row r="153" spans="1:27" s="5" customFormat="1" x14ac:dyDescent="0.25">
      <c r="A153" s="62"/>
      <c r="B153" s="6"/>
      <c r="C153" s="14">
        <v>42038</v>
      </c>
      <c r="D153" s="5">
        <v>1.6</v>
      </c>
      <c r="E153" s="5">
        <v>0.2</v>
      </c>
      <c r="F153" s="5">
        <v>3.4</v>
      </c>
      <c r="G153" s="5">
        <f t="shared" si="23"/>
        <v>1527.9000000000003</v>
      </c>
      <c r="H153" s="5">
        <f t="shared" si="19"/>
        <v>198.50000000000006</v>
      </c>
      <c r="J153" s="5">
        <v>0</v>
      </c>
      <c r="K153" s="5">
        <f t="shared" si="24"/>
        <v>352</v>
      </c>
      <c r="L153" s="5">
        <v>0.4</v>
      </c>
      <c r="M153" s="5">
        <f t="shared" si="25"/>
        <v>171.89999999999995</v>
      </c>
      <c r="N153" s="5">
        <v>-0.4</v>
      </c>
      <c r="O153" s="5">
        <f t="shared" si="29"/>
        <v>195.6</v>
      </c>
      <c r="P153" s="5">
        <v>148</v>
      </c>
      <c r="Q153" s="5">
        <v>1</v>
      </c>
      <c r="R153" s="9">
        <f t="shared" si="21"/>
        <v>0.4</v>
      </c>
      <c r="S153" s="9">
        <f t="shared" si="22"/>
        <v>-0.4</v>
      </c>
      <c r="T153" s="9">
        <f t="shared" si="26"/>
        <v>195.6</v>
      </c>
      <c r="V153" s="5">
        <v>503.2</v>
      </c>
      <c r="X153" s="5">
        <f t="shared" si="27"/>
        <v>79011.700000000026</v>
      </c>
      <c r="Y153" s="5">
        <f t="shared" si="20"/>
        <v>13868.399999999998</v>
      </c>
      <c r="AA153" s="5">
        <v>9.5658944956672105</v>
      </c>
    </row>
    <row r="154" spans="1:27" s="5" customFormat="1" x14ac:dyDescent="0.25">
      <c r="A154" s="62"/>
      <c r="B154" s="6"/>
      <c r="C154" s="14">
        <v>42039</v>
      </c>
      <c r="D154" s="5">
        <v>2.2000000000000002</v>
      </c>
      <c r="E154" s="5">
        <v>-0.4</v>
      </c>
      <c r="F154" s="5">
        <v>5.8</v>
      </c>
      <c r="G154" s="5">
        <f t="shared" si="23"/>
        <v>1530.1000000000004</v>
      </c>
      <c r="H154" s="5">
        <f t="shared" si="19"/>
        <v>200.70000000000005</v>
      </c>
      <c r="J154" s="5">
        <v>0.1</v>
      </c>
      <c r="K154" s="5">
        <f t="shared" si="24"/>
        <v>352.1</v>
      </c>
      <c r="L154" s="5">
        <v>1</v>
      </c>
      <c r="M154" s="5">
        <f t="shared" si="25"/>
        <v>172.89999999999995</v>
      </c>
      <c r="N154" s="5">
        <v>-0.9</v>
      </c>
      <c r="O154" s="5">
        <f t="shared" si="29"/>
        <v>194.7</v>
      </c>
      <c r="P154" s="5">
        <v>149</v>
      </c>
      <c r="Q154" s="5">
        <v>1</v>
      </c>
      <c r="R154" s="9">
        <f t="shared" si="21"/>
        <v>1</v>
      </c>
      <c r="S154" s="9">
        <f t="shared" si="22"/>
        <v>-0.9</v>
      </c>
      <c r="T154" s="9">
        <f t="shared" si="26"/>
        <v>194.7</v>
      </c>
      <c r="V154" s="5">
        <v>640.5</v>
      </c>
      <c r="X154" s="5">
        <f t="shared" si="27"/>
        <v>79652.200000000026</v>
      </c>
      <c r="Y154" s="5">
        <f t="shared" si="20"/>
        <v>14508.899999999998</v>
      </c>
      <c r="AA154" s="5">
        <v>9.6155541315168893</v>
      </c>
    </row>
    <row r="155" spans="1:27" s="5" customFormat="1" x14ac:dyDescent="0.25">
      <c r="A155" s="62"/>
      <c r="B155" s="6"/>
      <c r="C155" s="14">
        <v>42040</v>
      </c>
      <c r="D155" s="5">
        <v>1.9</v>
      </c>
      <c r="E155" s="5">
        <v>-0.3</v>
      </c>
      <c r="F155" s="5">
        <v>4.3</v>
      </c>
      <c r="G155" s="5">
        <f t="shared" si="23"/>
        <v>1532.0000000000005</v>
      </c>
      <c r="H155" s="5">
        <f t="shared" si="19"/>
        <v>202.60000000000005</v>
      </c>
      <c r="J155" s="5">
        <v>1.8</v>
      </c>
      <c r="K155" s="5">
        <f t="shared" si="24"/>
        <v>353.90000000000003</v>
      </c>
      <c r="L155" s="5">
        <v>0.6</v>
      </c>
      <c r="M155" s="5">
        <f t="shared" si="25"/>
        <v>173.49999999999994</v>
      </c>
      <c r="N155" s="5">
        <v>1.2000000000000002</v>
      </c>
      <c r="O155" s="5">
        <f t="shared" si="29"/>
        <v>195.89999999999998</v>
      </c>
      <c r="P155" s="5">
        <v>150</v>
      </c>
      <c r="Q155" s="5">
        <v>1</v>
      </c>
      <c r="R155" s="9">
        <f t="shared" si="21"/>
        <v>0.6</v>
      </c>
      <c r="S155" s="9">
        <f t="shared" si="22"/>
        <v>1.2000000000000002</v>
      </c>
      <c r="T155" s="9">
        <f t="shared" si="26"/>
        <v>195.89999999999998</v>
      </c>
      <c r="V155" s="5">
        <v>205.5</v>
      </c>
      <c r="X155" s="5">
        <f t="shared" si="27"/>
        <v>79857.700000000026</v>
      </c>
      <c r="Y155" s="5">
        <f t="shared" si="20"/>
        <v>14714.399999999998</v>
      </c>
      <c r="AA155" s="5">
        <v>9.6657662457569504</v>
      </c>
    </row>
    <row r="156" spans="1:27" s="5" customFormat="1" x14ac:dyDescent="0.25">
      <c r="A156" s="62"/>
      <c r="B156" s="6"/>
      <c r="C156" s="14">
        <v>42041</v>
      </c>
      <c r="D156" s="5">
        <v>0.9</v>
      </c>
      <c r="E156" s="5">
        <v>-0.5</v>
      </c>
      <c r="F156" s="5">
        <v>2.9</v>
      </c>
      <c r="G156" s="5">
        <f t="shared" si="23"/>
        <v>1532.9000000000005</v>
      </c>
      <c r="H156" s="5">
        <f t="shared" si="19"/>
        <v>203.50000000000006</v>
      </c>
      <c r="J156" s="5">
        <v>0</v>
      </c>
      <c r="K156" s="5">
        <f t="shared" si="24"/>
        <v>353.90000000000003</v>
      </c>
      <c r="L156" s="5">
        <v>1.2</v>
      </c>
      <c r="M156" s="5">
        <f t="shared" si="25"/>
        <v>174.69999999999993</v>
      </c>
      <c r="N156" s="5">
        <v>-1.2</v>
      </c>
      <c r="O156" s="5">
        <f t="shared" si="29"/>
        <v>194.7</v>
      </c>
      <c r="P156" s="5">
        <v>151</v>
      </c>
      <c r="Q156" s="5">
        <v>1</v>
      </c>
      <c r="R156" s="9">
        <f t="shared" si="21"/>
        <v>1.2</v>
      </c>
      <c r="S156" s="9">
        <f t="shared" si="22"/>
        <v>-1.2</v>
      </c>
      <c r="T156" s="9">
        <f t="shared" si="26"/>
        <v>194.7</v>
      </c>
      <c r="V156" s="5">
        <v>983.8</v>
      </c>
      <c r="X156" s="5">
        <f t="shared" si="27"/>
        <v>80841.500000000029</v>
      </c>
      <c r="Y156" s="5">
        <f t="shared" si="20"/>
        <v>15698.199999999997</v>
      </c>
      <c r="AA156" s="5">
        <v>9.7165067547050707</v>
      </c>
    </row>
    <row r="157" spans="1:27" s="5" customFormat="1" x14ac:dyDescent="0.25">
      <c r="A157" s="62"/>
      <c r="B157" s="6"/>
      <c r="C157" s="14">
        <v>42042</v>
      </c>
      <c r="D157" s="5">
        <v>2.5</v>
      </c>
      <c r="E157" s="5">
        <v>-1.8</v>
      </c>
      <c r="F157" s="5">
        <v>5.8</v>
      </c>
      <c r="G157" s="5">
        <f t="shared" si="23"/>
        <v>1535.4000000000005</v>
      </c>
      <c r="H157" s="5">
        <f t="shared" si="19"/>
        <v>206.00000000000006</v>
      </c>
      <c r="J157" s="5">
        <v>0</v>
      </c>
      <c r="K157" s="5">
        <f t="shared" si="24"/>
        <v>353.90000000000003</v>
      </c>
      <c r="L157" s="5">
        <v>1.6</v>
      </c>
      <c r="M157" s="5">
        <f t="shared" si="25"/>
        <v>176.29999999999993</v>
      </c>
      <c r="N157" s="5">
        <v>-1.6</v>
      </c>
      <c r="O157" s="5">
        <f t="shared" si="29"/>
        <v>193.1</v>
      </c>
      <c r="P157" s="5">
        <v>152</v>
      </c>
      <c r="Q157" s="5">
        <v>1</v>
      </c>
      <c r="R157" s="9">
        <f t="shared" si="21"/>
        <v>1.6</v>
      </c>
      <c r="S157" s="9">
        <f t="shared" si="22"/>
        <v>-1.6</v>
      </c>
      <c r="T157" s="9">
        <f t="shared" si="26"/>
        <v>193.1</v>
      </c>
      <c r="V157" s="5">
        <v>1059.5999999999999</v>
      </c>
      <c r="X157" s="5">
        <f t="shared" si="27"/>
        <v>81901.100000000035</v>
      </c>
      <c r="Y157" s="5">
        <f t="shared" si="20"/>
        <v>16757.799999999996</v>
      </c>
      <c r="AA157" s="5">
        <v>9.7677522079885293</v>
      </c>
    </row>
    <row r="158" spans="1:27" s="5" customFormat="1" x14ac:dyDescent="0.25">
      <c r="A158" s="62"/>
      <c r="B158" s="6">
        <v>9</v>
      </c>
      <c r="C158" s="14">
        <v>42043</v>
      </c>
      <c r="D158" s="5">
        <v>5.3</v>
      </c>
      <c r="E158" s="5">
        <v>3.7</v>
      </c>
      <c r="F158" s="5">
        <v>8.6999999999999993</v>
      </c>
      <c r="G158" s="5">
        <f t="shared" si="23"/>
        <v>1540.7000000000005</v>
      </c>
      <c r="H158" s="5">
        <f t="shared" si="19"/>
        <v>211.30000000000007</v>
      </c>
      <c r="J158" s="5">
        <v>0</v>
      </c>
      <c r="K158" s="5">
        <f t="shared" si="24"/>
        <v>353.90000000000003</v>
      </c>
      <c r="L158" s="5">
        <v>1.6</v>
      </c>
      <c r="M158" s="5">
        <f t="shared" si="25"/>
        <v>177.89999999999992</v>
      </c>
      <c r="N158" s="5">
        <v>-1.6</v>
      </c>
      <c r="O158" s="5">
        <f t="shared" si="29"/>
        <v>191.5</v>
      </c>
      <c r="P158" s="5">
        <v>153</v>
      </c>
      <c r="Q158" s="5">
        <v>1</v>
      </c>
      <c r="R158" s="9">
        <f t="shared" si="21"/>
        <v>1.6</v>
      </c>
      <c r="S158" s="9">
        <f t="shared" si="22"/>
        <v>-1.6</v>
      </c>
      <c r="T158" s="9">
        <f t="shared" si="26"/>
        <v>191.5</v>
      </c>
      <c r="V158" s="5">
        <v>860.1</v>
      </c>
      <c r="X158" s="5">
        <f t="shared" si="27"/>
        <v>82761.200000000041</v>
      </c>
      <c r="Y158" s="5">
        <f t="shared" si="20"/>
        <v>17617.899999999994</v>
      </c>
      <c r="AA158" s="5">
        <v>9.8194797966666592</v>
      </c>
    </row>
    <row r="159" spans="1:27" s="5" customFormat="1" x14ac:dyDescent="0.25">
      <c r="A159" s="62"/>
      <c r="B159" s="6"/>
      <c r="C159" s="14">
        <v>42044</v>
      </c>
      <c r="D159" s="5">
        <v>3.6</v>
      </c>
      <c r="E159" s="5">
        <v>-1.6</v>
      </c>
      <c r="F159" s="5">
        <v>6.5</v>
      </c>
      <c r="G159" s="5">
        <f t="shared" si="23"/>
        <v>1544.3000000000004</v>
      </c>
      <c r="H159" s="5">
        <f t="shared" si="19"/>
        <v>214.90000000000006</v>
      </c>
      <c r="J159" s="5">
        <v>0</v>
      </c>
      <c r="K159" s="5">
        <f t="shared" si="24"/>
        <v>353.90000000000003</v>
      </c>
      <c r="L159" s="5">
        <v>0.4</v>
      </c>
      <c r="M159" s="5">
        <f t="shared" si="25"/>
        <v>178.29999999999993</v>
      </c>
      <c r="N159" s="5">
        <v>-0.4</v>
      </c>
      <c r="O159" s="5">
        <f t="shared" si="29"/>
        <v>191.1</v>
      </c>
      <c r="P159" s="5">
        <v>154</v>
      </c>
      <c r="Q159" s="5">
        <v>1</v>
      </c>
      <c r="R159" s="9">
        <f t="shared" si="21"/>
        <v>0.4</v>
      </c>
      <c r="S159" s="9">
        <f t="shared" si="22"/>
        <v>-0.4</v>
      </c>
      <c r="T159" s="9">
        <f t="shared" si="26"/>
        <v>191.1</v>
      </c>
      <c r="V159" s="5">
        <v>239.7</v>
      </c>
      <c r="X159" s="5">
        <f t="shared" si="27"/>
        <v>83000.900000000038</v>
      </c>
      <c r="Y159" s="5">
        <f t="shared" si="20"/>
        <v>17857.599999999995</v>
      </c>
      <c r="AA159" s="5">
        <v>9.87166735876594</v>
      </c>
    </row>
    <row r="160" spans="1:27" s="5" customFormat="1" x14ac:dyDescent="0.25">
      <c r="A160" s="62"/>
      <c r="B160" s="6"/>
      <c r="C160" s="14">
        <v>42045</v>
      </c>
      <c r="D160" s="5">
        <v>3.4</v>
      </c>
      <c r="E160" s="5">
        <v>2.7</v>
      </c>
      <c r="F160" s="5">
        <v>4.5</v>
      </c>
      <c r="G160" s="5">
        <f t="shared" si="23"/>
        <v>1547.7000000000005</v>
      </c>
      <c r="H160" s="5">
        <f t="shared" si="19"/>
        <v>218.30000000000007</v>
      </c>
      <c r="J160" s="5">
        <v>0</v>
      </c>
      <c r="K160" s="5">
        <f t="shared" si="24"/>
        <v>353.90000000000003</v>
      </c>
      <c r="L160" s="5">
        <v>0.8</v>
      </c>
      <c r="M160" s="5">
        <f t="shared" si="25"/>
        <v>179.09999999999994</v>
      </c>
      <c r="N160" s="5">
        <v>-0.8</v>
      </c>
      <c r="O160" s="5">
        <f t="shared" si="29"/>
        <v>190.29999999999998</v>
      </c>
      <c r="P160" s="5">
        <v>155</v>
      </c>
      <c r="Q160" s="5">
        <v>1</v>
      </c>
      <c r="R160" s="9">
        <f t="shared" si="21"/>
        <v>0.8</v>
      </c>
      <c r="S160" s="9">
        <f t="shared" si="22"/>
        <v>-0.8</v>
      </c>
      <c r="T160" s="9">
        <f t="shared" si="26"/>
        <v>190.29999999999998</v>
      </c>
      <c r="V160" s="5">
        <v>336.3</v>
      </c>
      <c r="X160" s="5">
        <f t="shared" si="27"/>
        <v>83337.200000000041</v>
      </c>
      <c r="Y160" s="5">
        <f t="shared" si="20"/>
        <v>18193.899999999994</v>
      </c>
      <c r="AA160" s="5">
        <v>9.9242933823874697</v>
      </c>
    </row>
    <row r="161" spans="1:28" s="5" customFormat="1" x14ac:dyDescent="0.25">
      <c r="A161" s="62"/>
      <c r="B161" s="6"/>
      <c r="C161" s="14">
        <v>42046</v>
      </c>
      <c r="D161" s="5">
        <v>3</v>
      </c>
      <c r="E161" s="5">
        <v>-0.2</v>
      </c>
      <c r="F161" s="5">
        <v>6.6</v>
      </c>
      <c r="G161" s="5">
        <f t="shared" si="23"/>
        <v>1550.7000000000005</v>
      </c>
      <c r="H161" s="5">
        <f t="shared" si="19"/>
        <v>221.30000000000007</v>
      </c>
      <c r="J161" s="5">
        <v>0</v>
      </c>
      <c r="K161" s="5">
        <f t="shared" si="24"/>
        <v>353.90000000000003</v>
      </c>
      <c r="L161" s="5">
        <v>1.1000000000000001</v>
      </c>
      <c r="M161" s="5">
        <f t="shared" si="25"/>
        <v>180.19999999999993</v>
      </c>
      <c r="N161" s="5">
        <v>-1.1000000000000001</v>
      </c>
      <c r="O161" s="5">
        <f t="shared" si="29"/>
        <v>189.2</v>
      </c>
      <c r="P161" s="5">
        <v>156</v>
      </c>
      <c r="Q161" s="5">
        <v>1</v>
      </c>
      <c r="R161" s="9">
        <f t="shared" si="21"/>
        <v>1.1000000000000001</v>
      </c>
      <c r="S161" s="9">
        <f t="shared" si="22"/>
        <v>-1.1000000000000001</v>
      </c>
      <c r="T161" s="9">
        <f t="shared" si="26"/>
        <v>189.2</v>
      </c>
      <c r="V161" s="5">
        <v>1091.0999999999999</v>
      </c>
      <c r="X161" s="5">
        <f t="shared" si="27"/>
        <v>84428.300000000047</v>
      </c>
      <c r="Y161" s="5">
        <f t="shared" si="20"/>
        <v>19284.999999999993</v>
      </c>
      <c r="AA161" s="5">
        <v>9.9773370065455698</v>
      </c>
    </row>
    <row r="162" spans="1:28" s="5" customFormat="1" x14ac:dyDescent="0.25">
      <c r="A162" s="62"/>
      <c r="B162" s="6"/>
      <c r="C162" s="14">
        <v>42047</v>
      </c>
      <c r="D162" s="5">
        <v>3.5</v>
      </c>
      <c r="E162" s="5">
        <v>-1.5</v>
      </c>
      <c r="F162" s="5">
        <v>7.2</v>
      </c>
      <c r="G162" s="5">
        <f t="shared" si="23"/>
        <v>1554.2000000000005</v>
      </c>
      <c r="H162" s="5">
        <f t="shared" si="19"/>
        <v>224.80000000000007</v>
      </c>
      <c r="J162" s="5">
        <v>1</v>
      </c>
      <c r="K162" s="5">
        <f t="shared" si="24"/>
        <v>354.90000000000003</v>
      </c>
      <c r="L162" s="5">
        <v>0.5</v>
      </c>
      <c r="M162" s="5">
        <f t="shared" si="25"/>
        <v>180.69999999999993</v>
      </c>
      <c r="N162" s="5">
        <v>0.5</v>
      </c>
      <c r="O162" s="5">
        <f t="shared" si="29"/>
        <v>189.7</v>
      </c>
      <c r="P162" s="5">
        <v>157</v>
      </c>
      <c r="Q162" s="5">
        <v>1</v>
      </c>
      <c r="R162" s="9">
        <f t="shared" si="21"/>
        <v>0.5</v>
      </c>
      <c r="S162" s="9">
        <f t="shared" si="22"/>
        <v>0.5</v>
      </c>
      <c r="T162" s="9">
        <f t="shared" si="26"/>
        <v>189.7</v>
      </c>
      <c r="V162" s="5">
        <v>526.29999999999995</v>
      </c>
      <c r="X162" s="5">
        <f t="shared" si="27"/>
        <v>84954.600000000049</v>
      </c>
      <c r="Y162" s="5">
        <f t="shared" si="20"/>
        <v>19811.299999999992</v>
      </c>
      <c r="AA162" s="5">
        <v>10.0307780198942</v>
      </c>
    </row>
    <row r="163" spans="1:28" s="5" customFormat="1" x14ac:dyDescent="0.25">
      <c r="A163" s="62"/>
      <c r="B163" s="6"/>
      <c r="C163" s="14">
        <v>42048</v>
      </c>
      <c r="D163" s="5">
        <v>7.4</v>
      </c>
      <c r="E163" s="5">
        <v>5</v>
      </c>
      <c r="F163" s="5">
        <v>8.6999999999999993</v>
      </c>
      <c r="G163" s="5">
        <f t="shared" si="23"/>
        <v>1561.6000000000006</v>
      </c>
      <c r="H163" s="5">
        <f t="shared" si="19"/>
        <v>232.20000000000007</v>
      </c>
      <c r="J163" s="5">
        <v>9.3000000000000007</v>
      </c>
      <c r="K163" s="5">
        <f t="shared" si="24"/>
        <v>364.20000000000005</v>
      </c>
      <c r="L163" s="5">
        <v>0.4</v>
      </c>
      <c r="M163" s="5">
        <f t="shared" si="25"/>
        <v>181.09999999999994</v>
      </c>
      <c r="N163" s="5">
        <v>8.9</v>
      </c>
      <c r="O163" s="5">
        <v>197.4</v>
      </c>
      <c r="P163" s="5">
        <v>158</v>
      </c>
      <c r="Q163" s="5">
        <v>1</v>
      </c>
      <c r="R163" s="9">
        <f t="shared" si="21"/>
        <v>0.4</v>
      </c>
      <c r="S163" s="9">
        <f t="shared" si="22"/>
        <v>8.9</v>
      </c>
      <c r="T163" s="9">
        <f t="shared" si="26"/>
        <v>197.4</v>
      </c>
      <c r="V163" s="5">
        <v>191.4</v>
      </c>
      <c r="X163" s="5">
        <f t="shared" si="27"/>
        <v>85146.000000000044</v>
      </c>
      <c r="Y163" s="5">
        <f t="shared" si="20"/>
        <v>20002.699999999993</v>
      </c>
      <c r="AA163" s="5">
        <v>10.084596857494899</v>
      </c>
    </row>
    <row r="164" spans="1:28" s="5" customFormat="1" x14ac:dyDescent="0.25">
      <c r="A164" s="62"/>
      <c r="B164" s="6"/>
      <c r="C164" s="14">
        <v>42049</v>
      </c>
      <c r="D164" s="5">
        <v>6.6</v>
      </c>
      <c r="E164" s="5">
        <v>4.4000000000000004</v>
      </c>
      <c r="F164" s="5">
        <v>8.9</v>
      </c>
      <c r="G164" s="5">
        <f t="shared" si="23"/>
        <v>1568.2000000000005</v>
      </c>
      <c r="H164" s="5">
        <f t="shared" si="19"/>
        <v>238.80000000000007</v>
      </c>
      <c r="J164" s="5">
        <v>3.7</v>
      </c>
      <c r="K164" s="5">
        <f t="shared" si="24"/>
        <v>367.90000000000003</v>
      </c>
      <c r="L164" s="5">
        <v>0.6</v>
      </c>
      <c r="M164" s="5">
        <f t="shared" si="25"/>
        <v>181.69999999999993</v>
      </c>
      <c r="N164" s="5">
        <v>3.1</v>
      </c>
      <c r="O164" s="5">
        <v>197.4</v>
      </c>
      <c r="P164" s="5">
        <v>159</v>
      </c>
      <c r="Q164" s="5">
        <v>1</v>
      </c>
      <c r="R164" s="9">
        <f t="shared" si="21"/>
        <v>0.6</v>
      </c>
      <c r="S164" s="9">
        <f t="shared" si="22"/>
        <v>3.1</v>
      </c>
      <c r="T164" s="9">
        <f t="shared" si="26"/>
        <v>197.4</v>
      </c>
      <c r="V164" s="5">
        <v>211.6</v>
      </c>
      <c r="X164" s="5">
        <f t="shared" si="27"/>
        <v>85357.600000000049</v>
      </c>
      <c r="Y164" s="5">
        <f t="shared" si="20"/>
        <v>20214.299999999992</v>
      </c>
      <c r="AA164" s="5">
        <v>10.138774595775301</v>
      </c>
    </row>
    <row r="165" spans="1:28" s="5" customFormat="1" x14ac:dyDescent="0.25">
      <c r="A165" s="62"/>
      <c r="B165" s="6">
        <v>10</v>
      </c>
      <c r="C165" s="14">
        <v>42050</v>
      </c>
      <c r="D165" s="5">
        <v>6.4</v>
      </c>
      <c r="E165" s="5">
        <v>5.2</v>
      </c>
      <c r="F165" s="5">
        <v>9.9</v>
      </c>
      <c r="G165" s="5">
        <f t="shared" si="23"/>
        <v>1574.6000000000006</v>
      </c>
      <c r="H165" s="5">
        <f t="shared" si="19"/>
        <v>245.20000000000007</v>
      </c>
      <c r="J165" s="5">
        <v>0</v>
      </c>
      <c r="K165" s="5">
        <f t="shared" si="24"/>
        <v>367.90000000000003</v>
      </c>
      <c r="L165" s="5">
        <v>1</v>
      </c>
      <c r="M165" s="5">
        <f t="shared" si="25"/>
        <v>182.69999999999993</v>
      </c>
      <c r="N165" s="5">
        <v>-1</v>
      </c>
      <c r="O165" s="5">
        <f>O164+N165</f>
        <v>196.4</v>
      </c>
      <c r="P165" s="5">
        <v>160</v>
      </c>
      <c r="Q165" s="5">
        <v>1</v>
      </c>
      <c r="R165" s="9">
        <f t="shared" si="21"/>
        <v>1</v>
      </c>
      <c r="S165" s="9">
        <f t="shared" si="22"/>
        <v>-1</v>
      </c>
      <c r="T165" s="9">
        <f t="shared" si="26"/>
        <v>196.4</v>
      </c>
      <c r="V165" s="5">
        <v>476</v>
      </c>
      <c r="X165" s="5">
        <f t="shared" si="27"/>
        <v>85833.600000000049</v>
      </c>
      <c r="Y165" s="5">
        <f t="shared" si="20"/>
        <v>20690.299999999992</v>
      </c>
      <c r="AA165" s="5">
        <v>10.193292945824201</v>
      </c>
    </row>
    <row r="166" spans="1:28" s="5" customFormat="1" x14ac:dyDescent="0.25">
      <c r="A166" s="62"/>
      <c r="B166" s="6"/>
      <c r="C166" s="14">
        <v>42051</v>
      </c>
      <c r="D166" s="5">
        <v>5.3</v>
      </c>
      <c r="E166" s="5">
        <v>1.8</v>
      </c>
      <c r="F166" s="5">
        <v>6.8</v>
      </c>
      <c r="G166" s="5">
        <f t="shared" si="23"/>
        <v>1579.9000000000005</v>
      </c>
      <c r="H166" s="5">
        <f t="shared" si="19"/>
        <v>250.50000000000009</v>
      </c>
      <c r="J166" s="5">
        <v>13.7</v>
      </c>
      <c r="K166" s="5">
        <f t="shared" si="24"/>
        <v>381.6</v>
      </c>
      <c r="L166" s="5">
        <v>0.3</v>
      </c>
      <c r="M166" s="5">
        <f t="shared" si="25"/>
        <v>182.99999999999994</v>
      </c>
      <c r="N166" s="5">
        <v>13.399999999999999</v>
      </c>
      <c r="O166" s="5">
        <v>197.4</v>
      </c>
      <c r="P166" s="5">
        <v>161</v>
      </c>
      <c r="Q166" s="5">
        <v>1</v>
      </c>
      <c r="R166" s="9">
        <f t="shared" si="21"/>
        <v>0.3</v>
      </c>
      <c r="S166" s="9">
        <f t="shared" si="22"/>
        <v>13.399999999999999</v>
      </c>
      <c r="T166" s="9">
        <f t="shared" si="26"/>
        <v>197.4</v>
      </c>
      <c r="V166" s="5">
        <v>174.6</v>
      </c>
      <c r="X166" s="5">
        <f t="shared" si="27"/>
        <v>86008.200000000055</v>
      </c>
      <c r="Y166" s="5">
        <f t="shared" si="20"/>
        <v>20864.899999999991</v>
      </c>
      <c r="AA166" s="5">
        <v>10.248134245162101</v>
      </c>
    </row>
    <row r="167" spans="1:28" s="5" customFormat="1" x14ac:dyDescent="0.25">
      <c r="A167" s="62"/>
      <c r="B167" s="6"/>
      <c r="C167" s="14">
        <v>42052</v>
      </c>
      <c r="D167" s="5">
        <v>4.8</v>
      </c>
      <c r="E167" s="5">
        <v>3.5</v>
      </c>
      <c r="F167" s="5">
        <v>9</v>
      </c>
      <c r="G167" s="5">
        <f t="shared" si="23"/>
        <v>1584.7000000000005</v>
      </c>
      <c r="H167" s="5">
        <f t="shared" si="19"/>
        <v>255.3000000000001</v>
      </c>
      <c r="J167" s="72">
        <v>0.1</v>
      </c>
      <c r="K167" s="5">
        <f t="shared" si="24"/>
        <v>381.70000000000005</v>
      </c>
      <c r="L167" s="5">
        <v>1.7</v>
      </c>
      <c r="M167" s="5">
        <f t="shared" si="25"/>
        <v>184.69999999999993</v>
      </c>
      <c r="N167" s="5">
        <v>-1.5999999999999999</v>
      </c>
      <c r="O167" s="5">
        <f>O166+N167</f>
        <v>195.8</v>
      </c>
      <c r="P167" s="5">
        <v>162</v>
      </c>
      <c r="Q167" s="5">
        <v>1</v>
      </c>
      <c r="R167" s="9">
        <f t="shared" si="21"/>
        <v>1.7</v>
      </c>
      <c r="S167" s="9">
        <f t="shared" si="22"/>
        <v>-1.5999999999999999</v>
      </c>
      <c r="T167" s="9">
        <f t="shared" si="26"/>
        <v>195.8</v>
      </c>
      <c r="V167" s="5">
        <v>1087.0999999999999</v>
      </c>
      <c r="X167" s="5">
        <f t="shared" si="27"/>
        <v>87095.300000000061</v>
      </c>
      <c r="Y167" s="5">
        <f t="shared" si="20"/>
        <v>21951.999999999989</v>
      </c>
      <c r="AA167" s="5">
        <v>10.3032814481223</v>
      </c>
      <c r="AB167" s="76" t="s">
        <v>55</v>
      </c>
    </row>
    <row r="168" spans="1:28" s="5" customFormat="1" x14ac:dyDescent="0.25">
      <c r="A168" s="62"/>
      <c r="B168" s="6"/>
      <c r="C168" s="14">
        <v>42053</v>
      </c>
      <c r="D168" s="5">
        <v>3</v>
      </c>
      <c r="E168" s="5">
        <v>-1.4</v>
      </c>
      <c r="F168" s="5">
        <v>7.4</v>
      </c>
      <c r="G168" s="5">
        <f t="shared" si="23"/>
        <v>1587.7000000000005</v>
      </c>
      <c r="H168" s="5">
        <f t="shared" si="19"/>
        <v>258.30000000000007</v>
      </c>
      <c r="J168" s="72">
        <v>0</v>
      </c>
      <c r="K168" s="5">
        <f t="shared" si="24"/>
        <v>381.70000000000005</v>
      </c>
      <c r="L168" s="5">
        <v>1.3</v>
      </c>
      <c r="M168" s="5">
        <f t="shared" si="25"/>
        <v>185.99999999999994</v>
      </c>
      <c r="N168" s="5">
        <v>-1.3</v>
      </c>
      <c r="O168" s="5">
        <f>O167+N168</f>
        <v>194.5</v>
      </c>
      <c r="P168" s="5">
        <v>163</v>
      </c>
      <c r="Q168" s="5">
        <v>1</v>
      </c>
      <c r="R168" s="9">
        <f t="shared" si="21"/>
        <v>1.3</v>
      </c>
      <c r="S168" s="9">
        <f t="shared" si="22"/>
        <v>-1.3</v>
      </c>
      <c r="T168" s="9">
        <f t="shared" si="26"/>
        <v>194.5</v>
      </c>
      <c r="V168" s="5">
        <v>1207.5999999999999</v>
      </c>
      <c r="X168" s="5">
        <f t="shared" si="27"/>
        <v>88302.900000000067</v>
      </c>
      <c r="Y168" s="5">
        <f t="shared" si="20"/>
        <v>23159.599999999988</v>
      </c>
      <c r="AA168" s="5">
        <v>10.358718114969401</v>
      </c>
      <c r="AB168" s="18">
        <f>AVERAGE(T174:T187)</f>
        <v>193.87040540540539</v>
      </c>
    </row>
    <row r="169" spans="1:28" s="5" customFormat="1" x14ac:dyDescent="0.25">
      <c r="A169" s="62"/>
      <c r="B169" s="6"/>
      <c r="C169" s="14">
        <v>42054</v>
      </c>
      <c r="D169" s="5">
        <v>4.9000000000000004</v>
      </c>
      <c r="E169" s="5">
        <v>-1</v>
      </c>
      <c r="F169" s="5">
        <v>8.6999999999999993</v>
      </c>
      <c r="G169" s="5">
        <f t="shared" si="23"/>
        <v>1592.6000000000006</v>
      </c>
      <c r="H169" s="5">
        <f t="shared" si="19"/>
        <v>263.20000000000005</v>
      </c>
      <c r="J169" s="72">
        <v>4.5</v>
      </c>
      <c r="K169" s="5">
        <f t="shared" si="24"/>
        <v>386.20000000000005</v>
      </c>
      <c r="L169" s="5">
        <v>0.6</v>
      </c>
      <c r="M169" s="5">
        <f t="shared" si="25"/>
        <v>186.59999999999994</v>
      </c>
      <c r="N169" s="5">
        <v>3.9</v>
      </c>
      <c r="O169" s="5">
        <v>197.4</v>
      </c>
      <c r="P169" s="5">
        <v>164</v>
      </c>
      <c r="Q169" s="5">
        <v>1</v>
      </c>
      <c r="R169" s="9">
        <f t="shared" si="21"/>
        <v>0.6</v>
      </c>
      <c r="S169" s="9">
        <f t="shared" si="22"/>
        <v>3.9</v>
      </c>
      <c r="T169" s="9">
        <f t="shared" si="26"/>
        <v>197.4</v>
      </c>
      <c r="V169" s="5">
        <v>309.10000000000002</v>
      </c>
      <c r="X169" s="5">
        <f t="shared" si="27"/>
        <v>88612.000000000073</v>
      </c>
      <c r="Y169" s="5">
        <f t="shared" si="20"/>
        <v>23468.699999999986</v>
      </c>
      <c r="AA169" s="5">
        <v>10.4144283998791</v>
      </c>
      <c r="AB169" s="76" t="s">
        <v>54</v>
      </c>
    </row>
    <row r="170" spans="1:28" s="5" customFormat="1" x14ac:dyDescent="0.25">
      <c r="A170" s="62"/>
      <c r="B170" s="6"/>
      <c r="C170" s="14">
        <v>42055</v>
      </c>
      <c r="D170" s="5">
        <v>7.6</v>
      </c>
      <c r="E170" s="5">
        <v>6.5</v>
      </c>
      <c r="F170" s="5">
        <v>9.9</v>
      </c>
      <c r="G170" s="5">
        <f t="shared" si="23"/>
        <v>1600.2000000000005</v>
      </c>
      <c r="H170" s="5">
        <f t="shared" si="19"/>
        <v>270.80000000000007</v>
      </c>
      <c r="J170" s="72">
        <v>9.3000000000000007</v>
      </c>
      <c r="K170" s="5">
        <f t="shared" si="24"/>
        <v>395.50000000000006</v>
      </c>
      <c r="L170" s="5">
        <v>0.6</v>
      </c>
      <c r="M170" s="5">
        <f t="shared" si="25"/>
        <v>187.19999999999993</v>
      </c>
      <c r="N170" s="5">
        <v>8.7000000000000011</v>
      </c>
      <c r="O170" s="5">
        <v>197.4</v>
      </c>
      <c r="P170" s="5">
        <v>165</v>
      </c>
      <c r="Q170" s="5">
        <v>1</v>
      </c>
      <c r="R170" s="9">
        <f t="shared" si="21"/>
        <v>0.6</v>
      </c>
      <c r="S170" s="9">
        <f t="shared" si="22"/>
        <v>8.7000000000000011</v>
      </c>
      <c r="T170" s="9">
        <f t="shared" si="26"/>
        <v>197.4</v>
      </c>
      <c r="V170" s="5">
        <v>181.6</v>
      </c>
      <c r="X170" s="5">
        <f t="shared" si="27"/>
        <v>88793.600000000079</v>
      </c>
      <c r="Y170" s="5">
        <f t="shared" si="20"/>
        <v>23650.299999999985</v>
      </c>
      <c r="AA170" s="5">
        <v>10.4703970378929</v>
      </c>
      <c r="AB170" s="5">
        <v>1</v>
      </c>
    </row>
    <row r="171" spans="1:28" s="5" customFormat="1" x14ac:dyDescent="0.25">
      <c r="A171" s="62"/>
      <c r="B171" s="6"/>
      <c r="C171" s="14">
        <v>42056</v>
      </c>
      <c r="D171" s="5">
        <v>3.8</v>
      </c>
      <c r="E171" s="5">
        <v>2.8</v>
      </c>
      <c r="F171" s="5">
        <v>7.1</v>
      </c>
      <c r="G171" s="5">
        <f t="shared" si="23"/>
        <v>1604.0000000000005</v>
      </c>
      <c r="H171" s="5">
        <f t="shared" si="19"/>
        <v>274.60000000000008</v>
      </c>
      <c r="J171" s="72">
        <v>1.1000000000000001</v>
      </c>
      <c r="K171" s="5">
        <f t="shared" si="24"/>
        <v>396.60000000000008</v>
      </c>
      <c r="L171" s="5">
        <v>1.4</v>
      </c>
      <c r="M171" s="5">
        <f t="shared" si="25"/>
        <v>188.59999999999994</v>
      </c>
      <c r="N171" s="5">
        <v>-0.29999999999999982</v>
      </c>
      <c r="O171" s="5">
        <f>O170+N171</f>
        <v>197.1</v>
      </c>
      <c r="P171" s="5">
        <v>166</v>
      </c>
      <c r="Q171" s="5">
        <v>1</v>
      </c>
      <c r="R171" s="9">
        <f t="shared" si="21"/>
        <v>1.4</v>
      </c>
      <c r="S171" s="9">
        <f t="shared" si="22"/>
        <v>-0.29999999999999982</v>
      </c>
      <c r="T171" s="9">
        <f t="shared" si="26"/>
        <v>197.1</v>
      </c>
      <c r="V171" s="5">
        <v>1061.3</v>
      </c>
      <c r="X171" s="5">
        <f t="shared" si="27"/>
        <v>89854.900000000081</v>
      </c>
      <c r="Y171" s="5">
        <f t="shared" si="20"/>
        <v>24711.599999999984</v>
      </c>
      <c r="AA171" s="5">
        <v>10.526609330957299</v>
      </c>
      <c r="AB171" s="76" t="s">
        <v>53</v>
      </c>
    </row>
    <row r="172" spans="1:28" s="5" customFormat="1" x14ac:dyDescent="0.25">
      <c r="A172" s="62"/>
      <c r="B172" s="6"/>
      <c r="C172" s="14">
        <v>42057</v>
      </c>
      <c r="D172" s="5">
        <v>5.4</v>
      </c>
      <c r="E172" s="5">
        <v>-0.7</v>
      </c>
      <c r="F172" s="5">
        <v>10.7</v>
      </c>
      <c r="G172" s="5">
        <f t="shared" si="23"/>
        <v>1609.4000000000005</v>
      </c>
      <c r="H172" s="5">
        <f t="shared" si="19"/>
        <v>280.00000000000006</v>
      </c>
      <c r="J172" s="72">
        <v>6</v>
      </c>
      <c r="K172" s="5">
        <f t="shared" si="24"/>
        <v>402.60000000000008</v>
      </c>
      <c r="L172" s="5">
        <v>0.8</v>
      </c>
      <c r="M172" s="5">
        <f t="shared" si="25"/>
        <v>189.39999999999995</v>
      </c>
      <c r="N172" s="5">
        <v>5.2</v>
      </c>
      <c r="O172" s="5">
        <v>197.4</v>
      </c>
      <c r="P172" s="5">
        <v>167</v>
      </c>
      <c r="Q172" s="5">
        <v>1</v>
      </c>
      <c r="R172" s="9">
        <f t="shared" si="21"/>
        <v>0.8</v>
      </c>
      <c r="S172" s="9">
        <f t="shared" si="22"/>
        <v>5.2</v>
      </c>
      <c r="T172" s="9">
        <f t="shared" si="26"/>
        <v>197.4</v>
      </c>
      <c r="V172" s="5">
        <v>434.2</v>
      </c>
      <c r="X172" s="5">
        <f t="shared" si="27"/>
        <v>90289.100000000079</v>
      </c>
      <c r="Y172" s="5">
        <f t="shared" si="20"/>
        <v>25145.799999999985</v>
      </c>
      <c r="AA172" s="5">
        <v>10.5830511331501</v>
      </c>
      <c r="AB172" s="5">
        <v>5</v>
      </c>
    </row>
    <row r="173" spans="1:28" s="5" customFormat="1" x14ac:dyDescent="0.25">
      <c r="A173" s="62"/>
      <c r="B173" s="6"/>
      <c r="C173" s="14">
        <v>42058</v>
      </c>
      <c r="D173" s="5">
        <v>6.7</v>
      </c>
      <c r="E173" s="5">
        <v>5.2</v>
      </c>
      <c r="F173" s="5">
        <v>8.1</v>
      </c>
      <c r="G173" s="5">
        <f t="shared" si="23"/>
        <v>1616.1000000000006</v>
      </c>
      <c r="H173" s="5">
        <f t="shared" si="19"/>
        <v>286.70000000000005</v>
      </c>
      <c r="J173" s="72">
        <v>1.4</v>
      </c>
      <c r="K173" s="5">
        <f t="shared" si="24"/>
        <v>404.00000000000006</v>
      </c>
      <c r="L173" s="5">
        <v>0.9</v>
      </c>
      <c r="M173" s="5">
        <f t="shared" si="25"/>
        <v>190.29999999999995</v>
      </c>
      <c r="N173" s="5">
        <v>0.49999999999999989</v>
      </c>
      <c r="O173" s="5">
        <v>197.4</v>
      </c>
      <c r="P173" s="5">
        <v>168</v>
      </c>
      <c r="Q173" s="5">
        <v>1</v>
      </c>
      <c r="R173" s="9">
        <f t="shared" si="21"/>
        <v>0.9</v>
      </c>
      <c r="S173" s="9">
        <f t="shared" si="22"/>
        <v>0.49999999999999989</v>
      </c>
      <c r="T173" s="9">
        <f t="shared" si="26"/>
        <v>197.4</v>
      </c>
      <c r="V173" s="5">
        <v>777.9</v>
      </c>
      <c r="X173" s="5">
        <f t="shared" si="27"/>
        <v>91067.000000000073</v>
      </c>
      <c r="Y173" s="5">
        <f t="shared" si="20"/>
        <v>25923.699999999986</v>
      </c>
      <c r="AA173" s="5">
        <v>10.639708835189101</v>
      </c>
      <c r="AB173" s="76" t="s">
        <v>52</v>
      </c>
    </row>
    <row r="174" spans="1:28" s="37" customFormat="1" ht="15.75" thickBot="1" x14ac:dyDescent="0.3">
      <c r="A174" s="62"/>
      <c r="B174" s="42"/>
      <c r="C174" s="43">
        <v>42059</v>
      </c>
      <c r="D174" s="37">
        <v>6.1</v>
      </c>
      <c r="E174" s="37">
        <v>3.1</v>
      </c>
      <c r="F174" s="37">
        <v>10.4</v>
      </c>
      <c r="G174" s="37">
        <f t="shared" si="23"/>
        <v>1622.2000000000005</v>
      </c>
      <c r="H174" s="37">
        <f t="shared" si="19"/>
        <v>292.80000000000007</v>
      </c>
      <c r="J174" s="73">
        <v>4.4000000000000004</v>
      </c>
      <c r="K174" s="37">
        <f t="shared" si="24"/>
        <v>408.40000000000003</v>
      </c>
      <c r="L174" s="37">
        <v>1.3</v>
      </c>
      <c r="M174" s="37">
        <f t="shared" si="25"/>
        <v>191.59999999999997</v>
      </c>
      <c r="N174" s="37">
        <v>3.1000000000000005</v>
      </c>
      <c r="O174" s="37">
        <v>197.4</v>
      </c>
      <c r="P174" s="37">
        <v>169</v>
      </c>
      <c r="Q174" s="38">
        <v>1</v>
      </c>
      <c r="R174" s="39">
        <f t="shared" si="21"/>
        <v>1.3</v>
      </c>
      <c r="S174" s="39">
        <f t="shared" si="22"/>
        <v>3.1000000000000005</v>
      </c>
      <c r="T174" s="74">
        <f t="shared" si="26"/>
        <v>197.4</v>
      </c>
      <c r="V174" s="37">
        <v>575.79999999999995</v>
      </c>
      <c r="W174" s="37">
        <f>(Y174/100)/I129</f>
        <v>0.90503756830601034</v>
      </c>
      <c r="X174" s="37">
        <f t="shared" si="27"/>
        <v>91642.800000000076</v>
      </c>
      <c r="Y174" s="38">
        <f t="shared" si="20"/>
        <v>26499.499999999985</v>
      </c>
      <c r="Z174" s="44"/>
      <c r="AA174" s="38">
        <v>10.696569348312501</v>
      </c>
      <c r="AB174" s="37">
        <v>1</v>
      </c>
    </row>
    <row r="175" spans="1:28" s="5" customFormat="1" x14ac:dyDescent="0.25">
      <c r="A175" s="63" t="s">
        <v>47</v>
      </c>
      <c r="B175" s="6"/>
      <c r="C175" s="16">
        <v>42060</v>
      </c>
      <c r="D175" s="5">
        <v>9.3000000000000007</v>
      </c>
      <c r="E175" s="5">
        <v>5.8</v>
      </c>
      <c r="F175" s="5">
        <v>10.8</v>
      </c>
      <c r="G175" s="5">
        <f t="shared" si="23"/>
        <v>1631.5000000000005</v>
      </c>
      <c r="H175" s="5">
        <v>9.3000000000000007</v>
      </c>
      <c r="I175" s="17" t="s">
        <v>28</v>
      </c>
      <c r="J175" s="72">
        <v>2.7</v>
      </c>
      <c r="K175" s="5">
        <f t="shared" si="24"/>
        <v>411.1</v>
      </c>
      <c r="L175" s="5">
        <v>0.1</v>
      </c>
      <c r="M175" s="5">
        <f t="shared" si="25"/>
        <v>191.69999999999996</v>
      </c>
      <c r="N175" s="5">
        <v>2.6</v>
      </c>
      <c r="O175" s="5">
        <v>197.4</v>
      </c>
      <c r="P175" s="5">
        <v>170</v>
      </c>
      <c r="Q175" s="18">
        <f>1+((P175-169)/37)*(1.15-1)</f>
        <v>1.0040540540540541</v>
      </c>
      <c r="R175" s="9">
        <f t="shared" si="21"/>
        <v>0.10040540540540542</v>
      </c>
      <c r="S175" s="9">
        <f t="shared" si="22"/>
        <v>2.5995945945945946</v>
      </c>
      <c r="T175" s="75">
        <f t="shared" si="26"/>
        <v>197.4</v>
      </c>
      <c r="U175" s="17" t="s">
        <v>29</v>
      </c>
      <c r="V175" s="5">
        <v>178.4</v>
      </c>
      <c r="X175" s="5">
        <f t="shared" si="27"/>
        <v>91821.20000000007</v>
      </c>
      <c r="Y175" s="5">
        <v>178.4</v>
      </c>
      <c r="Z175" s="17" t="s">
        <v>30</v>
      </c>
      <c r="AA175" s="5">
        <v>10.7536200876135</v>
      </c>
      <c r="AB175" s="76" t="s">
        <v>51</v>
      </c>
    </row>
    <row r="176" spans="1:28" s="5" customFormat="1" x14ac:dyDescent="0.25">
      <c r="A176" s="63"/>
      <c r="B176" s="6"/>
      <c r="C176" s="16">
        <v>42061</v>
      </c>
      <c r="D176" s="5">
        <v>9.5</v>
      </c>
      <c r="E176" s="5">
        <v>8.6999999999999993</v>
      </c>
      <c r="F176" s="5">
        <v>11.8</v>
      </c>
      <c r="G176" s="5">
        <f t="shared" si="23"/>
        <v>1641.0000000000005</v>
      </c>
      <c r="H176" s="5">
        <f t="shared" si="19"/>
        <v>18.8</v>
      </c>
      <c r="I176" s="5">
        <v>-0.4</v>
      </c>
      <c r="J176" s="72">
        <v>6.9</v>
      </c>
      <c r="K176" s="5">
        <f t="shared" si="24"/>
        <v>418</v>
      </c>
      <c r="L176" s="5">
        <v>0.7</v>
      </c>
      <c r="M176" s="5">
        <f t="shared" si="25"/>
        <v>192.39999999999995</v>
      </c>
      <c r="N176" s="5">
        <v>6.2</v>
      </c>
      <c r="O176" s="5">
        <v>197.4</v>
      </c>
      <c r="P176" s="5">
        <v>171</v>
      </c>
      <c r="Q176" s="18">
        <f t="shared" ref="Q176:Q211" si="30">1+((P176-169)/37)*(1.15-1)</f>
        <v>1.008108108108108</v>
      </c>
      <c r="R176" s="9">
        <f t="shared" si="21"/>
        <v>0.70567567567567557</v>
      </c>
      <c r="S176" s="9">
        <f t="shared" si="22"/>
        <v>6.1943243243243247</v>
      </c>
      <c r="T176" s="75">
        <f t="shared" si="26"/>
        <v>197.4</v>
      </c>
      <c r="U176" s="5">
        <v>27</v>
      </c>
      <c r="V176" s="5">
        <v>312.5</v>
      </c>
      <c r="X176" s="5">
        <f t="shared" si="27"/>
        <v>92133.70000000007</v>
      </c>
      <c r="Y176" s="5">
        <f t="shared" si="20"/>
        <v>490.9</v>
      </c>
      <c r="Z176" s="5">
        <v>32405.999999999996</v>
      </c>
      <c r="AA176" s="5">
        <v>10.810848954906399</v>
      </c>
      <c r="AB176" s="5">
        <f>SUM(J178:J187)</f>
        <v>6.8999999999999995</v>
      </c>
    </row>
    <row r="177" spans="1:27" s="68" customFormat="1" x14ac:dyDescent="0.25">
      <c r="A177" s="63"/>
      <c r="B177" s="66" t="s">
        <v>56</v>
      </c>
      <c r="C177" s="67">
        <v>42062</v>
      </c>
      <c r="D177" s="68">
        <v>6</v>
      </c>
      <c r="E177" s="68">
        <v>2.2000000000000002</v>
      </c>
      <c r="F177" s="68">
        <v>8.6999999999999993</v>
      </c>
      <c r="G177" s="68">
        <f t="shared" si="23"/>
        <v>1647.0000000000005</v>
      </c>
      <c r="H177" s="68">
        <f t="shared" si="19"/>
        <v>24.8</v>
      </c>
      <c r="I177" s="69" t="s">
        <v>31</v>
      </c>
      <c r="J177" s="68">
        <v>0.3</v>
      </c>
      <c r="K177" s="68">
        <f t="shared" si="24"/>
        <v>418.3</v>
      </c>
      <c r="L177" s="68">
        <v>1.2</v>
      </c>
      <c r="M177" s="68">
        <f t="shared" si="25"/>
        <v>193.59999999999994</v>
      </c>
      <c r="N177" s="68">
        <v>-0.89999999999999991</v>
      </c>
      <c r="O177" s="68">
        <f>O176+N177</f>
        <v>196.5</v>
      </c>
      <c r="P177" s="68">
        <v>172</v>
      </c>
      <c r="Q177" s="70">
        <f t="shared" si="30"/>
        <v>1.0121621621621621</v>
      </c>
      <c r="R177" s="71">
        <f t="shared" si="21"/>
        <v>1.2145945945945946</v>
      </c>
      <c r="S177" s="71">
        <f t="shared" si="22"/>
        <v>-0.91459459459459458</v>
      </c>
      <c r="T177" s="71">
        <f t="shared" si="26"/>
        <v>196.4854054054054</v>
      </c>
      <c r="U177" s="69" t="s">
        <v>32</v>
      </c>
      <c r="V177" s="68">
        <v>974.2</v>
      </c>
      <c r="X177" s="68">
        <f t="shared" si="27"/>
        <v>93107.900000000067</v>
      </c>
      <c r="Y177" s="68">
        <f t="shared" si="20"/>
        <v>1465.1</v>
      </c>
      <c r="Z177" s="69" t="s">
        <v>33</v>
      </c>
      <c r="AA177" s="68">
        <v>10.868244321193201</v>
      </c>
    </row>
    <row r="178" spans="1:27" s="5" customFormat="1" x14ac:dyDescent="0.25">
      <c r="A178" s="63"/>
      <c r="B178" s="6"/>
      <c r="C178" s="16">
        <v>42063</v>
      </c>
      <c r="D178" s="5">
        <v>9.3000000000000007</v>
      </c>
      <c r="E178" s="5">
        <v>5.4</v>
      </c>
      <c r="F178" s="5">
        <v>12.2</v>
      </c>
      <c r="G178" s="5">
        <f t="shared" si="23"/>
        <v>1656.3000000000004</v>
      </c>
      <c r="H178" s="5">
        <f t="shared" si="19"/>
        <v>34.1</v>
      </c>
      <c r="I178" s="5">
        <f>MAX(F175:F211)</f>
        <v>15.6</v>
      </c>
      <c r="J178" s="72">
        <v>3.9</v>
      </c>
      <c r="K178" s="5">
        <f t="shared" si="24"/>
        <v>422.2</v>
      </c>
      <c r="L178" s="5">
        <v>0.4</v>
      </c>
      <c r="M178" s="5">
        <f t="shared" si="25"/>
        <v>193.99999999999994</v>
      </c>
      <c r="N178" s="5">
        <v>3.5</v>
      </c>
      <c r="O178" s="5">
        <v>197.4</v>
      </c>
      <c r="P178" s="5">
        <v>173</v>
      </c>
      <c r="Q178" s="18">
        <f t="shared" si="30"/>
        <v>1.0162162162162163</v>
      </c>
      <c r="R178" s="9">
        <f t="shared" si="21"/>
        <v>0.40648648648648655</v>
      </c>
      <c r="S178" s="9">
        <f t="shared" si="22"/>
        <v>3.4935135135135136</v>
      </c>
      <c r="T178" s="75">
        <f t="shared" si="26"/>
        <v>197.4</v>
      </c>
      <c r="U178" s="5">
        <v>0</v>
      </c>
      <c r="V178" s="5">
        <v>167.3</v>
      </c>
      <c r="X178" s="5">
        <f t="shared" si="27"/>
        <v>93275.20000000007</v>
      </c>
      <c r="Y178" s="5">
        <f t="shared" si="20"/>
        <v>1632.3999999999999</v>
      </c>
      <c r="Z178" s="5">
        <f>(Z176/100)/I188</f>
        <v>1.0514600908500973</v>
      </c>
      <c r="AA178" s="5">
        <v>10.9257950087975</v>
      </c>
    </row>
    <row r="179" spans="1:27" s="5" customFormat="1" x14ac:dyDescent="0.25">
      <c r="A179" s="63"/>
      <c r="B179" s="6"/>
      <c r="C179" s="16">
        <v>42064</v>
      </c>
      <c r="D179" s="5">
        <v>11.3</v>
      </c>
      <c r="E179" s="5">
        <v>10.6</v>
      </c>
      <c r="F179" s="5">
        <v>12.3</v>
      </c>
      <c r="G179" s="5">
        <f t="shared" si="23"/>
        <v>1667.6000000000004</v>
      </c>
      <c r="H179" s="5">
        <f t="shared" si="19"/>
        <v>45.400000000000006</v>
      </c>
      <c r="I179" s="17" t="s">
        <v>34</v>
      </c>
      <c r="J179" s="72">
        <v>0.9</v>
      </c>
      <c r="K179" s="5">
        <f t="shared" si="24"/>
        <v>423.09999999999997</v>
      </c>
      <c r="L179" s="5">
        <v>1.2</v>
      </c>
      <c r="M179" s="5">
        <f t="shared" si="25"/>
        <v>195.19999999999993</v>
      </c>
      <c r="N179" s="5">
        <v>-0.29999999999999993</v>
      </c>
      <c r="O179" s="5">
        <f t="shared" ref="O179:O242" si="31">O178+N179</f>
        <v>197.1</v>
      </c>
      <c r="P179" s="5">
        <v>174</v>
      </c>
      <c r="Q179" s="18">
        <f t="shared" si="30"/>
        <v>1.0202702702702702</v>
      </c>
      <c r="R179" s="9">
        <f t="shared" si="21"/>
        <v>1.2243243243243243</v>
      </c>
      <c r="S179" s="9">
        <f t="shared" si="22"/>
        <v>-0.32432432432432423</v>
      </c>
      <c r="T179" s="75">
        <f t="shared" si="26"/>
        <v>197.07567567567568</v>
      </c>
      <c r="U179" s="17" t="s">
        <v>35</v>
      </c>
      <c r="V179" s="5">
        <v>464.6</v>
      </c>
      <c r="X179" s="5">
        <f t="shared" si="27"/>
        <v>93739.800000000076</v>
      </c>
      <c r="Y179" s="5">
        <f t="shared" si="20"/>
        <v>2097</v>
      </c>
      <c r="Z179" s="17" t="s">
        <v>36</v>
      </c>
      <c r="AA179" s="5">
        <v>10.9834902732216</v>
      </c>
    </row>
    <row r="180" spans="1:27" s="5" customFormat="1" x14ac:dyDescent="0.25">
      <c r="A180" s="63"/>
      <c r="B180" s="6"/>
      <c r="C180" s="16">
        <v>42065</v>
      </c>
      <c r="D180" s="5">
        <v>8.1</v>
      </c>
      <c r="E180" s="5">
        <v>6.8</v>
      </c>
      <c r="F180" s="5">
        <v>10.9</v>
      </c>
      <c r="G180" s="5">
        <f t="shared" si="23"/>
        <v>1675.7000000000003</v>
      </c>
      <c r="H180" s="5">
        <f t="shared" si="19"/>
        <v>53.500000000000007</v>
      </c>
      <c r="I180" s="9">
        <f>AVERAGE(E175:E211)</f>
        <v>5.4243243243243242</v>
      </c>
      <c r="J180" s="72">
        <v>0</v>
      </c>
      <c r="K180" s="5">
        <f t="shared" si="24"/>
        <v>423.09999999999997</v>
      </c>
      <c r="L180" s="5">
        <v>1.7</v>
      </c>
      <c r="M180" s="5">
        <f t="shared" si="25"/>
        <v>196.89999999999992</v>
      </c>
      <c r="N180" s="5">
        <v>-1.7</v>
      </c>
      <c r="O180" s="5">
        <f t="shared" si="31"/>
        <v>195.4</v>
      </c>
      <c r="P180" s="5">
        <v>175</v>
      </c>
      <c r="Q180" s="18">
        <f t="shared" si="30"/>
        <v>1.0243243243243243</v>
      </c>
      <c r="R180" s="9">
        <f t="shared" si="21"/>
        <v>1.7413513513513512</v>
      </c>
      <c r="S180" s="9">
        <f t="shared" si="22"/>
        <v>-1.7413513513513512</v>
      </c>
      <c r="T180" s="75">
        <f t="shared" si="26"/>
        <v>195.33432432432434</v>
      </c>
      <c r="U180" s="5">
        <v>0</v>
      </c>
      <c r="V180" s="5">
        <v>658.3</v>
      </c>
      <c r="X180" s="5">
        <f t="shared" si="27"/>
        <v>94398.100000000079</v>
      </c>
      <c r="Y180" s="5">
        <f t="shared" si="20"/>
        <v>2755.3</v>
      </c>
      <c r="Z180" s="5">
        <v>22</v>
      </c>
      <c r="AA180" s="5">
        <v>11.0413197847836</v>
      </c>
    </row>
    <row r="181" spans="1:27" s="5" customFormat="1" x14ac:dyDescent="0.25">
      <c r="A181" s="63"/>
      <c r="B181" s="6"/>
      <c r="C181" s="16">
        <v>42066</v>
      </c>
      <c r="D181" s="5">
        <v>6.3</v>
      </c>
      <c r="E181" s="5">
        <v>3.9</v>
      </c>
      <c r="F181" s="5">
        <v>10.5</v>
      </c>
      <c r="G181" s="5">
        <f t="shared" si="23"/>
        <v>1682.0000000000002</v>
      </c>
      <c r="H181" s="5">
        <f t="shared" si="19"/>
        <v>59.800000000000004</v>
      </c>
      <c r="I181" s="17" t="s">
        <v>37</v>
      </c>
      <c r="J181" s="72">
        <v>1.3</v>
      </c>
      <c r="K181" s="5">
        <f t="shared" si="24"/>
        <v>424.4</v>
      </c>
      <c r="L181" s="5">
        <v>1</v>
      </c>
      <c r="M181" s="5">
        <f t="shared" si="25"/>
        <v>197.89999999999992</v>
      </c>
      <c r="N181" s="5">
        <v>0.30000000000000004</v>
      </c>
      <c r="O181" s="5">
        <f t="shared" si="31"/>
        <v>195.70000000000002</v>
      </c>
      <c r="P181" s="5">
        <v>176</v>
      </c>
      <c r="Q181" s="18">
        <f t="shared" si="30"/>
        <v>1.0283783783783784</v>
      </c>
      <c r="R181" s="9">
        <f t="shared" si="21"/>
        <v>1.0283783783783784</v>
      </c>
      <c r="S181" s="9">
        <f t="shared" si="22"/>
        <v>0.27162162162162162</v>
      </c>
      <c r="T181" s="75">
        <f t="shared" si="26"/>
        <v>195.60594594594596</v>
      </c>
      <c r="U181" s="17" t="s">
        <v>38</v>
      </c>
      <c r="V181" s="5">
        <v>624</v>
      </c>
      <c r="X181" s="5">
        <f t="shared" si="27"/>
        <v>95022.100000000079</v>
      </c>
      <c r="Y181" s="5">
        <f t="shared" si="20"/>
        <v>3379.3</v>
      </c>
      <c r="AA181" s="5">
        <v>11.0992736100799</v>
      </c>
    </row>
    <row r="182" spans="1:27" s="5" customFormat="1" x14ac:dyDescent="0.25">
      <c r="A182" s="63"/>
      <c r="B182" s="6"/>
      <c r="C182" s="16">
        <v>42067</v>
      </c>
      <c r="D182" s="5">
        <v>4.3</v>
      </c>
      <c r="E182" s="5">
        <v>1.9</v>
      </c>
      <c r="F182" s="5">
        <v>7.9</v>
      </c>
      <c r="G182" s="5">
        <f t="shared" si="23"/>
        <v>1686.3000000000002</v>
      </c>
      <c r="H182" s="5">
        <f t="shared" ref="H182:H245" si="32">H181+D182</f>
        <v>64.100000000000009</v>
      </c>
      <c r="I182" s="5">
        <v>1</v>
      </c>
      <c r="J182" s="72">
        <v>0.7</v>
      </c>
      <c r="K182" s="5">
        <f t="shared" si="24"/>
        <v>425.09999999999997</v>
      </c>
      <c r="L182" s="5">
        <v>1.1000000000000001</v>
      </c>
      <c r="M182" s="5">
        <f t="shared" si="25"/>
        <v>198.99999999999991</v>
      </c>
      <c r="N182" s="5">
        <v>-0.40000000000000013</v>
      </c>
      <c r="O182" s="5">
        <f t="shared" si="31"/>
        <v>195.3</v>
      </c>
      <c r="P182" s="5">
        <v>177</v>
      </c>
      <c r="Q182" s="18">
        <f t="shared" si="30"/>
        <v>1.0324324324324323</v>
      </c>
      <c r="R182" s="9">
        <f t="shared" si="21"/>
        <v>1.1356756756756756</v>
      </c>
      <c r="S182" s="9">
        <f t="shared" si="22"/>
        <v>-0.43567567567567567</v>
      </c>
      <c r="T182" s="75">
        <f t="shared" si="26"/>
        <v>195.17027027027029</v>
      </c>
      <c r="U182" s="9">
        <f>MIN(T175:T211)</f>
        <v>166.36662162162165</v>
      </c>
      <c r="V182" s="5">
        <v>770.4</v>
      </c>
      <c r="X182" s="5">
        <f t="shared" si="27"/>
        <v>95792.500000000073</v>
      </c>
      <c r="Y182" s="5">
        <f t="shared" ref="Y182:Y245" si="33">Y181+V182</f>
        <v>4149.7</v>
      </c>
      <c r="AA182" s="5">
        <v>11.157342193318399</v>
      </c>
    </row>
    <row r="183" spans="1:27" s="5" customFormat="1" x14ac:dyDescent="0.25">
      <c r="A183" s="63"/>
      <c r="B183" s="6"/>
      <c r="C183" s="16">
        <v>42068</v>
      </c>
      <c r="D183" s="5">
        <v>4.9000000000000004</v>
      </c>
      <c r="E183" s="5">
        <v>-0.4</v>
      </c>
      <c r="F183" s="5">
        <v>10.199999999999999</v>
      </c>
      <c r="G183" s="5">
        <f t="shared" si="23"/>
        <v>1691.2000000000003</v>
      </c>
      <c r="H183" s="5">
        <f t="shared" si="32"/>
        <v>69.000000000000014</v>
      </c>
      <c r="I183" s="17" t="s">
        <v>39</v>
      </c>
      <c r="J183" s="72">
        <v>0</v>
      </c>
      <c r="K183" s="5">
        <f t="shared" si="24"/>
        <v>425.09999999999997</v>
      </c>
      <c r="L183" s="5">
        <v>1.9</v>
      </c>
      <c r="M183" s="5">
        <f t="shared" si="25"/>
        <v>200.89999999999992</v>
      </c>
      <c r="N183" s="5">
        <v>-1.9</v>
      </c>
      <c r="O183" s="5">
        <f t="shared" si="31"/>
        <v>193.4</v>
      </c>
      <c r="P183" s="5">
        <v>178</v>
      </c>
      <c r="Q183" s="18">
        <f t="shared" si="30"/>
        <v>1.0364864864864864</v>
      </c>
      <c r="R183" s="9">
        <f t="shared" si="21"/>
        <v>1.9693243243243241</v>
      </c>
      <c r="S183" s="9">
        <f t="shared" si="22"/>
        <v>-1.9693243243243241</v>
      </c>
      <c r="T183" s="75">
        <f t="shared" si="26"/>
        <v>193.20094594594596</v>
      </c>
      <c r="U183" s="17" t="s">
        <v>40</v>
      </c>
      <c r="V183" s="5">
        <v>1472.8</v>
      </c>
      <c r="X183" s="5">
        <f t="shared" si="27"/>
        <v>97265.300000000076</v>
      </c>
      <c r="Y183" s="5">
        <f t="shared" si="33"/>
        <v>5622.5</v>
      </c>
      <c r="AA183" s="5">
        <v>11.215516337560899</v>
      </c>
    </row>
    <row r="184" spans="1:27" s="5" customFormat="1" x14ac:dyDescent="0.25">
      <c r="A184" s="63"/>
      <c r="B184" s="6"/>
      <c r="C184" s="16">
        <v>42069</v>
      </c>
      <c r="D184" s="5">
        <v>6.3</v>
      </c>
      <c r="E184" s="5">
        <v>0.2</v>
      </c>
      <c r="F184" s="5">
        <v>12.3</v>
      </c>
      <c r="G184" s="5">
        <f t="shared" si="23"/>
        <v>1697.5000000000002</v>
      </c>
      <c r="H184" s="5">
        <f t="shared" si="32"/>
        <v>75.300000000000011</v>
      </c>
      <c r="I184" s="5">
        <v>0</v>
      </c>
      <c r="J184" s="72">
        <v>0</v>
      </c>
      <c r="K184" s="5">
        <f t="shared" si="24"/>
        <v>425.09999999999997</v>
      </c>
      <c r="L184" s="5">
        <v>2.1</v>
      </c>
      <c r="M184" s="5">
        <f t="shared" si="25"/>
        <v>202.99999999999991</v>
      </c>
      <c r="N184" s="5">
        <v>-2.1</v>
      </c>
      <c r="O184" s="5">
        <f t="shared" si="31"/>
        <v>191.3</v>
      </c>
      <c r="P184" s="5">
        <v>179</v>
      </c>
      <c r="Q184" s="18">
        <f t="shared" si="30"/>
        <v>1.0405405405405406</v>
      </c>
      <c r="R184" s="9">
        <f t="shared" si="21"/>
        <v>2.1851351351351354</v>
      </c>
      <c r="S184" s="9">
        <f t="shared" si="22"/>
        <v>-2.1851351351351354</v>
      </c>
      <c r="T184" s="75">
        <f t="shared" si="26"/>
        <v>191.01581081081082</v>
      </c>
      <c r="U184" s="9">
        <f>MAX(T175:T211)</f>
        <v>197.4</v>
      </c>
      <c r="V184" s="5">
        <v>1534.9</v>
      </c>
      <c r="X184" s="5">
        <f t="shared" si="27"/>
        <v>98800.20000000007</v>
      </c>
      <c r="Y184" s="5">
        <f t="shared" si="33"/>
        <v>7157.4</v>
      </c>
      <c r="AA184" s="5">
        <v>11.2737871859081</v>
      </c>
    </row>
    <row r="185" spans="1:27" s="5" customFormat="1" x14ac:dyDescent="0.25">
      <c r="A185" s="63"/>
      <c r="B185" s="6"/>
      <c r="C185" s="16">
        <v>42070</v>
      </c>
      <c r="D185" s="5">
        <v>9</v>
      </c>
      <c r="E185" s="5">
        <v>3.7</v>
      </c>
      <c r="F185" s="5">
        <v>14.9</v>
      </c>
      <c r="G185" s="5">
        <f t="shared" si="23"/>
        <v>1706.5000000000002</v>
      </c>
      <c r="H185" s="5">
        <f t="shared" si="32"/>
        <v>84.300000000000011</v>
      </c>
      <c r="I185" s="17" t="s">
        <v>41</v>
      </c>
      <c r="J185" s="72">
        <v>0</v>
      </c>
      <c r="K185" s="5">
        <f t="shared" si="24"/>
        <v>425.09999999999997</v>
      </c>
      <c r="L185" s="5">
        <v>2.6</v>
      </c>
      <c r="M185" s="5">
        <f t="shared" si="25"/>
        <v>205.59999999999991</v>
      </c>
      <c r="N185" s="5">
        <v>-2.6</v>
      </c>
      <c r="O185" s="5">
        <f t="shared" si="31"/>
        <v>188.70000000000002</v>
      </c>
      <c r="P185" s="5">
        <v>180</v>
      </c>
      <c r="Q185" s="18">
        <f t="shared" si="30"/>
        <v>1.0445945945945945</v>
      </c>
      <c r="R185" s="9">
        <f t="shared" si="21"/>
        <v>2.7159459459459456</v>
      </c>
      <c r="S185" s="9">
        <f t="shared" si="22"/>
        <v>-2.7159459459459456</v>
      </c>
      <c r="T185" s="75">
        <f t="shared" si="26"/>
        <v>188.29986486486487</v>
      </c>
      <c r="U185" s="17" t="s">
        <v>42</v>
      </c>
      <c r="V185" s="5">
        <v>1644.8</v>
      </c>
      <c r="X185" s="5">
        <f t="shared" si="27"/>
        <v>100445.00000000007</v>
      </c>
      <c r="Y185" s="5">
        <f t="shared" si="33"/>
        <v>8802.1999999999989</v>
      </c>
      <c r="AA185" s="5">
        <v>11.332146202658601</v>
      </c>
    </row>
    <row r="186" spans="1:27" s="5" customFormat="1" x14ac:dyDescent="0.25">
      <c r="A186" s="63"/>
      <c r="B186" s="6"/>
      <c r="C186" s="16">
        <v>42071</v>
      </c>
      <c r="D186" s="5">
        <v>7.8</v>
      </c>
      <c r="E186" s="5">
        <v>3.7</v>
      </c>
      <c r="F186" s="5">
        <v>10.199999999999999</v>
      </c>
      <c r="G186" s="5">
        <f t="shared" si="23"/>
        <v>1714.3000000000002</v>
      </c>
      <c r="H186" s="5">
        <f t="shared" si="32"/>
        <v>92.100000000000009</v>
      </c>
      <c r="I186" s="5">
        <v>18</v>
      </c>
      <c r="J186" s="72">
        <v>0</v>
      </c>
      <c r="K186" s="5">
        <f t="shared" si="24"/>
        <v>425.09999999999997</v>
      </c>
      <c r="L186" s="5">
        <v>1.7</v>
      </c>
      <c r="M186" s="5">
        <f t="shared" si="25"/>
        <v>207.2999999999999</v>
      </c>
      <c r="N186" s="5">
        <v>-1.7</v>
      </c>
      <c r="O186" s="5">
        <f t="shared" si="31"/>
        <v>187.00000000000003</v>
      </c>
      <c r="P186" s="5">
        <v>181</v>
      </c>
      <c r="Q186" s="18">
        <f t="shared" si="30"/>
        <v>1.0486486486486486</v>
      </c>
      <c r="R186" s="9">
        <f t="shared" si="21"/>
        <v>1.7827027027027025</v>
      </c>
      <c r="S186" s="9">
        <f t="shared" si="22"/>
        <v>-1.7827027027027025</v>
      </c>
      <c r="T186" s="75">
        <f t="shared" si="26"/>
        <v>186.51716216216218</v>
      </c>
      <c r="U186" s="18">
        <f>AVERAGE(T175:T211)</f>
        <v>182.00608838568297</v>
      </c>
      <c r="V186" s="5">
        <v>1440.6</v>
      </c>
      <c r="X186" s="5">
        <f t="shared" si="27"/>
        <v>101885.60000000008</v>
      </c>
      <c r="Y186" s="5">
        <f t="shared" si="33"/>
        <v>10242.799999999999</v>
      </c>
      <c r="AA186" s="5">
        <v>11.390585154468599</v>
      </c>
    </row>
    <row r="187" spans="1:27" s="5" customFormat="1" x14ac:dyDescent="0.25">
      <c r="A187" s="63"/>
      <c r="B187" s="6"/>
      <c r="C187" s="16">
        <v>42072</v>
      </c>
      <c r="D187" s="5">
        <v>9.1999999999999993</v>
      </c>
      <c r="E187" s="5">
        <v>8.3000000000000007</v>
      </c>
      <c r="F187" s="5">
        <v>10.5</v>
      </c>
      <c r="G187" s="5">
        <f t="shared" si="23"/>
        <v>1723.5000000000002</v>
      </c>
      <c r="H187" s="5">
        <f t="shared" si="32"/>
        <v>101.30000000000001</v>
      </c>
      <c r="I187" s="17" t="s">
        <v>45</v>
      </c>
      <c r="J187" s="72">
        <v>0.1</v>
      </c>
      <c r="K187" s="5">
        <f t="shared" si="24"/>
        <v>425.2</v>
      </c>
      <c r="L187" s="5">
        <v>0.7</v>
      </c>
      <c r="M187" s="5">
        <f t="shared" si="25"/>
        <v>207.99999999999989</v>
      </c>
      <c r="N187" s="5">
        <v>-0.6</v>
      </c>
      <c r="O187" s="5">
        <f t="shared" si="31"/>
        <v>186.40000000000003</v>
      </c>
      <c r="P187" s="5">
        <v>182</v>
      </c>
      <c r="Q187" s="18">
        <f t="shared" si="30"/>
        <v>1.0527027027027027</v>
      </c>
      <c r="R187" s="9">
        <f t="shared" si="21"/>
        <v>0.73689189189189186</v>
      </c>
      <c r="S187" s="9">
        <f t="shared" si="22"/>
        <v>-0.63689189189189188</v>
      </c>
      <c r="T187" s="75">
        <f t="shared" si="26"/>
        <v>185.8802702702703</v>
      </c>
      <c r="V187" s="5">
        <v>417.5</v>
      </c>
      <c r="X187" s="5">
        <f t="shared" si="27"/>
        <v>102303.10000000008</v>
      </c>
      <c r="Y187" s="5">
        <f t="shared" si="33"/>
        <v>10660.3</v>
      </c>
      <c r="AA187" s="5">
        <v>11.4490960915339</v>
      </c>
    </row>
    <row r="188" spans="1:27" s="5" customFormat="1" x14ac:dyDescent="0.25">
      <c r="A188" s="63"/>
      <c r="B188" s="6"/>
      <c r="C188" s="16">
        <v>42073</v>
      </c>
      <c r="D188" s="5">
        <v>9.9</v>
      </c>
      <c r="E188" s="5">
        <v>7.3</v>
      </c>
      <c r="F188" s="5">
        <v>11.3</v>
      </c>
      <c r="G188" s="5">
        <f t="shared" si="23"/>
        <v>1733.4000000000003</v>
      </c>
      <c r="H188" s="5">
        <f t="shared" si="32"/>
        <v>111.20000000000002</v>
      </c>
      <c r="I188" s="5">
        <v>308.2</v>
      </c>
      <c r="J188" s="5">
        <v>3.4</v>
      </c>
      <c r="K188" s="5">
        <f t="shared" si="24"/>
        <v>428.59999999999997</v>
      </c>
      <c r="L188" s="5">
        <v>0.5</v>
      </c>
      <c r="M188" s="5">
        <f t="shared" si="25"/>
        <v>208.49999999999989</v>
      </c>
      <c r="N188" s="5">
        <v>2.9</v>
      </c>
      <c r="O188" s="5">
        <f t="shared" si="31"/>
        <v>189.30000000000004</v>
      </c>
      <c r="P188" s="5">
        <v>183</v>
      </c>
      <c r="Q188" s="18">
        <f t="shared" si="30"/>
        <v>1.0567567567567566</v>
      </c>
      <c r="R188" s="9">
        <f t="shared" si="21"/>
        <v>0.52837837837837831</v>
      </c>
      <c r="S188" s="9">
        <f t="shared" si="22"/>
        <v>2.8716216216216215</v>
      </c>
      <c r="T188" s="9">
        <f t="shared" si="26"/>
        <v>188.75189189189192</v>
      </c>
      <c r="U188" s="9">
        <f>(U186*100)/197.4</f>
        <v>92.201665848876871</v>
      </c>
      <c r="V188" s="5">
        <v>222.7</v>
      </c>
      <c r="X188" s="5">
        <f t="shared" si="27"/>
        <v>102525.80000000008</v>
      </c>
      <c r="Y188" s="5">
        <f t="shared" si="33"/>
        <v>10883</v>
      </c>
      <c r="AA188" s="5">
        <v>11.507671328814601</v>
      </c>
    </row>
    <row r="189" spans="1:27" s="5" customFormat="1" x14ac:dyDescent="0.25">
      <c r="A189" s="63"/>
      <c r="B189" s="6"/>
      <c r="C189" s="16">
        <v>42074</v>
      </c>
      <c r="D189" s="5">
        <v>10.5</v>
      </c>
      <c r="E189" s="5">
        <v>9.3000000000000007</v>
      </c>
      <c r="F189" s="5">
        <v>12.5</v>
      </c>
      <c r="G189" s="5">
        <f t="shared" si="23"/>
        <v>1743.9000000000003</v>
      </c>
      <c r="H189" s="5">
        <f t="shared" si="32"/>
        <v>121.70000000000002</v>
      </c>
      <c r="J189" s="5">
        <v>0</v>
      </c>
      <c r="K189" s="5">
        <f t="shared" si="24"/>
        <v>428.59999999999997</v>
      </c>
      <c r="L189" s="5">
        <v>0.9</v>
      </c>
      <c r="M189" s="5">
        <f t="shared" si="25"/>
        <v>209.39999999999989</v>
      </c>
      <c r="N189" s="5">
        <v>-0.9</v>
      </c>
      <c r="O189" s="5">
        <f t="shared" si="31"/>
        <v>188.40000000000003</v>
      </c>
      <c r="P189" s="5">
        <v>184</v>
      </c>
      <c r="Q189" s="18">
        <f t="shared" si="30"/>
        <v>1.0608108108108107</v>
      </c>
      <c r="R189" s="9">
        <f t="shared" si="21"/>
        <v>0.95472972972972969</v>
      </c>
      <c r="S189" s="9">
        <f t="shared" si="22"/>
        <v>-0.95472972972972969</v>
      </c>
      <c r="T189" s="9">
        <f t="shared" si="26"/>
        <v>187.79716216216218</v>
      </c>
      <c r="V189" s="5">
        <v>428.5</v>
      </c>
      <c r="X189" s="5">
        <f t="shared" si="27"/>
        <v>102954.30000000008</v>
      </c>
      <c r="Y189" s="5">
        <f t="shared" si="33"/>
        <v>11311.5</v>
      </c>
      <c r="AA189" s="5">
        <v>11.5663034273196</v>
      </c>
    </row>
    <row r="190" spans="1:27" s="5" customFormat="1" x14ac:dyDescent="0.25">
      <c r="A190" s="63"/>
      <c r="B190" s="6"/>
      <c r="C190" s="16">
        <v>42075</v>
      </c>
      <c r="D190" s="5">
        <v>10.5</v>
      </c>
      <c r="E190" s="5">
        <v>6.6</v>
      </c>
      <c r="F190" s="5">
        <v>14.6</v>
      </c>
      <c r="G190" s="5">
        <f t="shared" si="23"/>
        <v>1754.4000000000003</v>
      </c>
      <c r="H190" s="5">
        <f t="shared" si="32"/>
        <v>132.20000000000002</v>
      </c>
      <c r="J190" s="5">
        <v>0.1</v>
      </c>
      <c r="K190" s="5">
        <f t="shared" si="24"/>
        <v>428.7</v>
      </c>
      <c r="L190" s="5">
        <v>2</v>
      </c>
      <c r="M190" s="5">
        <f t="shared" si="25"/>
        <v>211.39999999999989</v>
      </c>
      <c r="N190" s="5">
        <v>-1.9</v>
      </c>
      <c r="O190" s="5">
        <f t="shared" si="31"/>
        <v>186.50000000000003</v>
      </c>
      <c r="P190" s="5">
        <v>185</v>
      </c>
      <c r="Q190" s="18">
        <f t="shared" si="30"/>
        <v>1.0648648648648649</v>
      </c>
      <c r="R190" s="9">
        <f t="shared" si="21"/>
        <v>2.1297297297297297</v>
      </c>
      <c r="S190" s="9">
        <f t="shared" si="22"/>
        <v>-2.0297297297297296</v>
      </c>
      <c r="T190" s="9">
        <f t="shared" si="26"/>
        <v>185.76743243243246</v>
      </c>
      <c r="V190" s="5">
        <v>1256.3</v>
      </c>
      <c r="X190" s="5">
        <f t="shared" si="27"/>
        <v>104210.60000000008</v>
      </c>
      <c r="Y190" s="5">
        <f t="shared" si="33"/>
        <v>12567.8</v>
      </c>
      <c r="AA190" s="5">
        <v>11.6249851754635</v>
      </c>
    </row>
    <row r="191" spans="1:27" s="5" customFormat="1" x14ac:dyDescent="0.25">
      <c r="A191" s="63"/>
      <c r="B191" s="6"/>
      <c r="C191" s="16">
        <v>42076</v>
      </c>
      <c r="D191" s="5">
        <v>7.6</v>
      </c>
      <c r="E191" s="5">
        <v>6.7</v>
      </c>
      <c r="F191" s="5">
        <v>8.3000000000000007</v>
      </c>
      <c r="G191" s="5">
        <f t="shared" si="23"/>
        <v>1762.0000000000002</v>
      </c>
      <c r="H191" s="5">
        <f t="shared" si="32"/>
        <v>139.80000000000001</v>
      </c>
      <c r="J191" s="5">
        <v>1.2</v>
      </c>
      <c r="K191" s="5">
        <f t="shared" si="24"/>
        <v>429.9</v>
      </c>
      <c r="L191" s="5">
        <v>0.6</v>
      </c>
      <c r="M191" s="5">
        <f t="shared" si="25"/>
        <v>211.99999999999989</v>
      </c>
      <c r="N191" s="5">
        <v>0.6</v>
      </c>
      <c r="O191" s="5">
        <f t="shared" si="31"/>
        <v>187.10000000000002</v>
      </c>
      <c r="P191" s="5">
        <v>186</v>
      </c>
      <c r="Q191" s="18">
        <f t="shared" si="30"/>
        <v>1.0689189189189188</v>
      </c>
      <c r="R191" s="9">
        <f t="shared" si="21"/>
        <v>0.64135135135135124</v>
      </c>
      <c r="S191" s="9">
        <f t="shared" si="22"/>
        <v>0.55864864864864872</v>
      </c>
      <c r="T191" s="9">
        <f t="shared" si="26"/>
        <v>186.3260810810811</v>
      </c>
      <c r="V191" s="5">
        <v>392.7</v>
      </c>
      <c r="X191" s="5">
        <f t="shared" si="27"/>
        <v>104603.30000000008</v>
      </c>
      <c r="Y191" s="5">
        <f t="shared" si="33"/>
        <v>12960.5</v>
      </c>
      <c r="AA191" s="5">
        <v>11.6837095705081</v>
      </c>
    </row>
    <row r="192" spans="1:27" s="5" customFormat="1" x14ac:dyDescent="0.25">
      <c r="A192" s="63"/>
      <c r="B192" s="6"/>
      <c r="C192" s="16">
        <v>42077</v>
      </c>
      <c r="D192" s="5">
        <v>6</v>
      </c>
      <c r="E192" s="5">
        <v>3.9</v>
      </c>
      <c r="F192" s="5">
        <v>7.8</v>
      </c>
      <c r="G192" s="5">
        <f t="shared" si="23"/>
        <v>1768.0000000000002</v>
      </c>
      <c r="H192" s="5">
        <f t="shared" si="32"/>
        <v>145.80000000000001</v>
      </c>
      <c r="J192" s="5">
        <v>0</v>
      </c>
      <c r="K192" s="5">
        <f t="shared" si="24"/>
        <v>429.9</v>
      </c>
      <c r="L192" s="5">
        <v>1.4</v>
      </c>
      <c r="M192" s="5">
        <f t="shared" si="25"/>
        <v>213.39999999999989</v>
      </c>
      <c r="N192" s="5">
        <v>-1.4</v>
      </c>
      <c r="O192" s="5">
        <f t="shared" si="31"/>
        <v>185.70000000000002</v>
      </c>
      <c r="P192" s="5">
        <v>187</v>
      </c>
      <c r="Q192" s="18">
        <f t="shared" si="30"/>
        <v>1.0729729729729729</v>
      </c>
      <c r="R192" s="9">
        <f t="shared" si="21"/>
        <v>1.5021621621621619</v>
      </c>
      <c r="S192" s="9">
        <f t="shared" si="22"/>
        <v>-1.5021621621621619</v>
      </c>
      <c r="T192" s="9">
        <f t="shared" si="26"/>
        <v>184.82391891891893</v>
      </c>
      <c r="V192" s="5">
        <v>831</v>
      </c>
      <c r="X192" s="5">
        <f t="shared" si="27"/>
        <v>105434.30000000008</v>
      </c>
      <c r="Y192" s="5">
        <f t="shared" si="33"/>
        <v>13791.5</v>
      </c>
      <c r="AA192" s="5">
        <v>11.7424698000957</v>
      </c>
    </row>
    <row r="193" spans="1:27" s="5" customFormat="1" x14ac:dyDescent="0.25">
      <c r="A193" s="63"/>
      <c r="B193" s="6"/>
      <c r="C193" s="16">
        <v>42078</v>
      </c>
      <c r="D193" s="5">
        <v>5.9</v>
      </c>
      <c r="E193" s="5">
        <v>4</v>
      </c>
      <c r="F193" s="5">
        <v>7.6</v>
      </c>
      <c r="G193" s="5">
        <f t="shared" si="23"/>
        <v>1773.9000000000003</v>
      </c>
      <c r="H193" s="5">
        <f t="shared" si="32"/>
        <v>151.70000000000002</v>
      </c>
      <c r="J193" s="5">
        <v>0</v>
      </c>
      <c r="K193" s="5">
        <f t="shared" si="24"/>
        <v>429.9</v>
      </c>
      <c r="L193" s="5">
        <v>1.1000000000000001</v>
      </c>
      <c r="M193" s="5">
        <f t="shared" si="25"/>
        <v>214.49999999999989</v>
      </c>
      <c r="N193" s="5">
        <v>-1.1000000000000001</v>
      </c>
      <c r="O193" s="5">
        <f t="shared" si="31"/>
        <v>184.60000000000002</v>
      </c>
      <c r="P193" s="5">
        <v>188</v>
      </c>
      <c r="Q193" s="18">
        <f t="shared" si="30"/>
        <v>1.077027027027027</v>
      </c>
      <c r="R193" s="9">
        <f t="shared" si="21"/>
        <v>1.1847297297297299</v>
      </c>
      <c r="S193" s="9">
        <f t="shared" si="22"/>
        <v>-1.1847297297297299</v>
      </c>
      <c r="T193" s="9">
        <f t="shared" si="26"/>
        <v>183.63918918918921</v>
      </c>
      <c r="V193" s="5">
        <v>800.6</v>
      </c>
      <c r="X193" s="5">
        <f t="shared" si="27"/>
        <v>106234.90000000008</v>
      </c>
      <c r="Y193" s="5">
        <f t="shared" si="33"/>
        <v>14592.1</v>
      </c>
      <c r="AA193" s="5">
        <v>11.8012592238835</v>
      </c>
    </row>
    <row r="194" spans="1:27" s="5" customFormat="1" x14ac:dyDescent="0.25">
      <c r="A194" s="63"/>
      <c r="B194" s="6"/>
      <c r="C194" s="16">
        <v>42079</v>
      </c>
      <c r="D194" s="5">
        <v>7.6</v>
      </c>
      <c r="E194" s="5">
        <v>4.2</v>
      </c>
      <c r="F194" s="5">
        <v>10.6</v>
      </c>
      <c r="G194" s="5">
        <f t="shared" si="23"/>
        <v>1781.5000000000002</v>
      </c>
      <c r="H194" s="5">
        <f t="shared" si="32"/>
        <v>159.30000000000001</v>
      </c>
      <c r="J194" s="5">
        <v>0</v>
      </c>
      <c r="K194" s="5">
        <f t="shared" si="24"/>
        <v>429.9</v>
      </c>
      <c r="L194" s="5">
        <v>1.2</v>
      </c>
      <c r="M194" s="5">
        <f t="shared" si="25"/>
        <v>215.69999999999987</v>
      </c>
      <c r="N194" s="5">
        <v>-1.2</v>
      </c>
      <c r="O194" s="5">
        <f t="shared" si="31"/>
        <v>183.40000000000003</v>
      </c>
      <c r="P194" s="5">
        <v>189</v>
      </c>
      <c r="Q194" s="18">
        <f t="shared" si="30"/>
        <v>1.0810810810810811</v>
      </c>
      <c r="R194" s="9">
        <f t="shared" si="21"/>
        <v>1.2972972972972974</v>
      </c>
      <c r="S194" s="9">
        <f t="shared" si="22"/>
        <v>-1.2972972972972974</v>
      </c>
      <c r="T194" s="9">
        <f t="shared" si="26"/>
        <v>182.34189189189192</v>
      </c>
      <c r="V194" s="5">
        <v>770.7</v>
      </c>
      <c r="X194" s="5">
        <f t="shared" si="27"/>
        <v>107005.60000000008</v>
      </c>
      <c r="Y194" s="5">
        <f t="shared" si="33"/>
        <v>15362.800000000001</v>
      </c>
      <c r="AA194" s="5">
        <v>11.8600713552808</v>
      </c>
    </row>
    <row r="195" spans="1:27" s="5" customFormat="1" x14ac:dyDescent="0.25">
      <c r="A195" s="63"/>
      <c r="B195" s="6"/>
      <c r="C195" s="16">
        <v>42080</v>
      </c>
      <c r="D195" s="5">
        <v>8.8000000000000007</v>
      </c>
      <c r="E195" s="5">
        <v>4.9000000000000004</v>
      </c>
      <c r="F195" s="5">
        <v>13.2</v>
      </c>
      <c r="G195" s="5">
        <f t="shared" si="23"/>
        <v>1790.3000000000002</v>
      </c>
      <c r="H195" s="5">
        <f t="shared" si="32"/>
        <v>168.10000000000002</v>
      </c>
      <c r="J195" s="5">
        <v>0</v>
      </c>
      <c r="K195" s="5">
        <f t="shared" si="24"/>
        <v>429.9</v>
      </c>
      <c r="L195" s="5">
        <v>1.9</v>
      </c>
      <c r="M195" s="5">
        <f t="shared" si="25"/>
        <v>217.59999999999988</v>
      </c>
      <c r="N195" s="5">
        <v>-1.9</v>
      </c>
      <c r="O195" s="5">
        <f t="shared" si="31"/>
        <v>181.50000000000003</v>
      </c>
      <c r="P195" s="5">
        <v>190</v>
      </c>
      <c r="Q195" s="18">
        <f t="shared" si="30"/>
        <v>1.085135135135135</v>
      </c>
      <c r="R195" s="9">
        <f t="shared" si="21"/>
        <v>2.0617567567567563</v>
      </c>
      <c r="S195" s="9">
        <f t="shared" si="22"/>
        <v>-2.0617567567567563</v>
      </c>
      <c r="T195" s="9">
        <f t="shared" si="26"/>
        <v>180.28013513513517</v>
      </c>
      <c r="V195" s="5">
        <v>1384.9</v>
      </c>
      <c r="X195" s="5">
        <f t="shared" si="27"/>
        <v>108390.50000000007</v>
      </c>
      <c r="Y195" s="5">
        <f t="shared" si="33"/>
        <v>16747.7</v>
      </c>
      <c r="AA195" s="5">
        <v>11.9188998432952</v>
      </c>
    </row>
    <row r="196" spans="1:27" s="5" customFormat="1" x14ac:dyDescent="0.25">
      <c r="A196" s="63"/>
      <c r="B196" s="6"/>
      <c r="C196" s="16">
        <v>42081</v>
      </c>
      <c r="D196" s="5">
        <v>9.6999999999999993</v>
      </c>
      <c r="E196" s="5">
        <v>4.5999999999999996</v>
      </c>
      <c r="F196" s="5">
        <v>15.6</v>
      </c>
      <c r="G196" s="5">
        <f t="shared" si="23"/>
        <v>1800.0000000000002</v>
      </c>
      <c r="H196" s="5">
        <f t="shared" si="32"/>
        <v>177.8</v>
      </c>
      <c r="J196" s="5">
        <v>0</v>
      </c>
      <c r="K196" s="5">
        <f t="shared" si="24"/>
        <v>429.9</v>
      </c>
      <c r="L196" s="5">
        <v>1.8</v>
      </c>
      <c r="M196" s="5">
        <f t="shared" si="25"/>
        <v>219.39999999999989</v>
      </c>
      <c r="N196" s="5">
        <v>-1.8</v>
      </c>
      <c r="O196" s="5">
        <f t="shared" si="31"/>
        <v>179.70000000000002</v>
      </c>
      <c r="P196" s="5">
        <v>191</v>
      </c>
      <c r="Q196" s="18">
        <f t="shared" si="30"/>
        <v>1.0891891891891892</v>
      </c>
      <c r="R196" s="9">
        <f t="shared" si="21"/>
        <v>1.9605405405405405</v>
      </c>
      <c r="S196" s="9">
        <f t="shared" si="22"/>
        <v>-1.9605405405405405</v>
      </c>
      <c r="T196" s="9">
        <f t="shared" si="26"/>
        <v>178.31959459459463</v>
      </c>
      <c r="V196" s="5">
        <v>815.4</v>
      </c>
      <c r="X196" s="5">
        <f t="shared" si="27"/>
        <v>109205.90000000007</v>
      </c>
      <c r="Y196" s="5">
        <f t="shared" si="33"/>
        <v>17563.100000000002</v>
      </c>
      <c r="AA196" s="5">
        <v>11.9777384544863</v>
      </c>
    </row>
    <row r="197" spans="1:27" s="5" customFormat="1" x14ac:dyDescent="0.25">
      <c r="A197" s="63"/>
      <c r="B197" s="6"/>
      <c r="C197" s="16">
        <v>42082</v>
      </c>
      <c r="D197" s="5">
        <v>7.5</v>
      </c>
      <c r="E197" s="5">
        <v>3.9</v>
      </c>
      <c r="F197" s="5">
        <v>11.3</v>
      </c>
      <c r="G197" s="5">
        <f t="shared" si="23"/>
        <v>1807.5000000000002</v>
      </c>
      <c r="H197" s="5">
        <f t="shared" si="32"/>
        <v>185.3</v>
      </c>
      <c r="J197" s="5">
        <v>0</v>
      </c>
      <c r="K197" s="5">
        <f t="shared" si="24"/>
        <v>429.9</v>
      </c>
      <c r="L197" s="5">
        <v>2.2999999999999998</v>
      </c>
      <c r="M197" s="5">
        <f t="shared" si="25"/>
        <v>221.6999999999999</v>
      </c>
      <c r="N197" s="5">
        <v>-2.2999999999999998</v>
      </c>
      <c r="O197" s="5">
        <f t="shared" si="31"/>
        <v>177.4</v>
      </c>
      <c r="P197" s="5">
        <v>192</v>
      </c>
      <c r="Q197" s="18">
        <f t="shared" si="30"/>
        <v>1.0932432432432431</v>
      </c>
      <c r="R197" s="9">
        <f t="shared" si="21"/>
        <v>2.5144594594594589</v>
      </c>
      <c r="S197" s="9">
        <f t="shared" si="22"/>
        <v>-2.5144594594594589</v>
      </c>
      <c r="T197" s="9">
        <f t="shared" si="26"/>
        <v>175.80513513513517</v>
      </c>
      <c r="V197" s="5">
        <v>1631.5</v>
      </c>
      <c r="X197" s="5">
        <f t="shared" si="27"/>
        <v>110837.40000000007</v>
      </c>
      <c r="Y197" s="5">
        <f t="shared" si="33"/>
        <v>19194.600000000002</v>
      </c>
      <c r="AA197" s="5">
        <v>12.0365810550304</v>
      </c>
    </row>
    <row r="198" spans="1:27" s="5" customFormat="1" x14ac:dyDescent="0.25">
      <c r="A198" s="63"/>
      <c r="B198" s="6"/>
      <c r="C198" s="16">
        <v>42083</v>
      </c>
      <c r="D198" s="5">
        <v>7.1</v>
      </c>
      <c r="E198" s="5">
        <v>6</v>
      </c>
      <c r="F198" s="5">
        <v>8.4</v>
      </c>
      <c r="G198" s="5">
        <f t="shared" si="23"/>
        <v>1814.6000000000001</v>
      </c>
      <c r="H198" s="5">
        <f t="shared" si="32"/>
        <v>192.4</v>
      </c>
      <c r="J198" s="5">
        <v>0.2</v>
      </c>
      <c r="K198" s="5">
        <f t="shared" si="24"/>
        <v>430.09999999999997</v>
      </c>
      <c r="L198" s="5">
        <v>1.1000000000000001</v>
      </c>
      <c r="M198" s="5">
        <f t="shared" si="25"/>
        <v>222.7999999999999</v>
      </c>
      <c r="N198" s="5">
        <v>-0.90000000000000013</v>
      </c>
      <c r="O198" s="5">
        <f t="shared" si="31"/>
        <v>176.5</v>
      </c>
      <c r="P198" s="5">
        <v>193</v>
      </c>
      <c r="Q198" s="18">
        <f t="shared" si="30"/>
        <v>1.0972972972972972</v>
      </c>
      <c r="R198" s="9">
        <f t="shared" ref="R198:R261" si="34">Q198*L198</f>
        <v>1.2070270270270269</v>
      </c>
      <c r="S198" s="9">
        <f t="shared" ref="S198:S261" si="35">J198-R198</f>
        <v>-1.007027027027027</v>
      </c>
      <c r="T198" s="9">
        <f t="shared" si="26"/>
        <v>174.79810810810815</v>
      </c>
      <c r="V198" s="5">
        <v>465.7</v>
      </c>
      <c r="X198" s="5">
        <f t="shared" si="27"/>
        <v>111303.10000000006</v>
      </c>
      <c r="Y198" s="5">
        <f t="shared" si="33"/>
        <v>19660.300000000003</v>
      </c>
      <c r="AA198" s="5">
        <v>12.095421592892601</v>
      </c>
    </row>
    <row r="199" spans="1:27" s="5" customFormat="1" x14ac:dyDescent="0.25">
      <c r="A199" s="63"/>
      <c r="B199" s="6"/>
      <c r="C199" s="16">
        <v>42084</v>
      </c>
      <c r="D199" s="5">
        <v>7.8</v>
      </c>
      <c r="E199" s="5">
        <v>5</v>
      </c>
      <c r="F199" s="5">
        <v>10.9</v>
      </c>
      <c r="G199" s="5">
        <f t="shared" si="23"/>
        <v>1822.4</v>
      </c>
      <c r="H199" s="5">
        <f t="shared" si="32"/>
        <v>200.20000000000002</v>
      </c>
      <c r="J199" s="5">
        <v>0</v>
      </c>
      <c r="K199" s="5">
        <f t="shared" si="24"/>
        <v>430.09999999999997</v>
      </c>
      <c r="L199" s="5">
        <v>2.2999999999999998</v>
      </c>
      <c r="M199" s="5">
        <f t="shared" si="25"/>
        <v>225.09999999999991</v>
      </c>
      <c r="N199" s="5">
        <v>-2.2999999999999998</v>
      </c>
      <c r="O199" s="5">
        <f t="shared" si="31"/>
        <v>174.2</v>
      </c>
      <c r="P199" s="5">
        <v>194</v>
      </c>
      <c r="Q199" s="18">
        <f t="shared" si="30"/>
        <v>1.1013513513513513</v>
      </c>
      <c r="R199" s="9">
        <f t="shared" si="34"/>
        <v>2.5331081081081077</v>
      </c>
      <c r="S199" s="9">
        <f t="shared" si="35"/>
        <v>-2.5331081081081077</v>
      </c>
      <c r="T199" s="9">
        <f t="shared" si="26"/>
        <v>172.26500000000004</v>
      </c>
      <c r="V199" s="5">
        <v>1639.6</v>
      </c>
      <c r="X199" s="5">
        <f t="shared" si="27"/>
        <v>112942.70000000007</v>
      </c>
      <c r="Y199" s="5">
        <f t="shared" si="33"/>
        <v>21299.9</v>
      </c>
      <c r="AA199" s="5">
        <v>12.1542540801066</v>
      </c>
    </row>
    <row r="200" spans="1:27" s="5" customFormat="1" x14ac:dyDescent="0.25">
      <c r="A200" s="63"/>
      <c r="B200" s="6"/>
      <c r="C200" s="16">
        <v>42085</v>
      </c>
      <c r="D200" s="5">
        <v>6.2</v>
      </c>
      <c r="E200" s="5">
        <v>4.9000000000000004</v>
      </c>
      <c r="F200" s="5">
        <v>7.9</v>
      </c>
      <c r="G200" s="5">
        <f t="shared" ref="G200:G263" si="36">G199+D200</f>
        <v>1828.6000000000001</v>
      </c>
      <c r="H200" s="5">
        <f t="shared" si="32"/>
        <v>206.4</v>
      </c>
      <c r="J200" s="5">
        <v>0</v>
      </c>
      <c r="K200" s="5">
        <f t="shared" ref="K200:K263" si="37">K199+J200</f>
        <v>430.09999999999997</v>
      </c>
      <c r="L200" s="5">
        <v>1.5</v>
      </c>
      <c r="M200" s="5">
        <f t="shared" ref="M200:M263" si="38">M199+L200</f>
        <v>226.59999999999991</v>
      </c>
      <c r="N200" s="5">
        <v>-1.5</v>
      </c>
      <c r="O200" s="5">
        <f t="shared" si="31"/>
        <v>172.7</v>
      </c>
      <c r="P200" s="5">
        <v>195</v>
      </c>
      <c r="Q200" s="18">
        <f t="shared" si="30"/>
        <v>1.1054054054054054</v>
      </c>
      <c r="R200" s="9">
        <f t="shared" si="34"/>
        <v>1.6581081081081082</v>
      </c>
      <c r="S200" s="9">
        <f t="shared" si="35"/>
        <v>-1.6581081081081082</v>
      </c>
      <c r="T200" s="9">
        <f t="shared" ref="T200:T263" si="39">MIN(197.4,(T199+S200))</f>
        <v>170.60689189189193</v>
      </c>
      <c r="V200" s="5">
        <v>757.8</v>
      </c>
      <c r="X200" s="5">
        <f t="shared" ref="X200:X263" si="40">X199+V200</f>
        <v>113700.50000000007</v>
      </c>
      <c r="Y200" s="5">
        <f t="shared" si="33"/>
        <v>22057.7</v>
      </c>
      <c r="AA200" s="5">
        <v>12.2130725751594</v>
      </c>
    </row>
    <row r="201" spans="1:27" s="5" customFormat="1" x14ac:dyDescent="0.25">
      <c r="A201" s="63"/>
      <c r="B201" s="6"/>
      <c r="C201" s="16">
        <v>42086</v>
      </c>
      <c r="D201" s="5">
        <v>6.6</v>
      </c>
      <c r="E201" s="5">
        <v>0.9</v>
      </c>
      <c r="F201" s="5">
        <v>11.8</v>
      </c>
      <c r="G201" s="5">
        <f t="shared" si="36"/>
        <v>1835.2</v>
      </c>
      <c r="H201" s="5">
        <f t="shared" si="32"/>
        <v>213</v>
      </c>
      <c r="J201" s="5">
        <v>0.1</v>
      </c>
      <c r="K201" s="5">
        <f t="shared" si="37"/>
        <v>430.2</v>
      </c>
      <c r="L201" s="5">
        <v>1.5</v>
      </c>
      <c r="M201" s="5">
        <f t="shared" si="38"/>
        <v>228.09999999999991</v>
      </c>
      <c r="N201" s="5">
        <v>-1.4</v>
      </c>
      <c r="O201" s="5">
        <f t="shared" si="31"/>
        <v>171.29999999999998</v>
      </c>
      <c r="P201" s="5">
        <v>196</v>
      </c>
      <c r="Q201" s="18">
        <f t="shared" si="30"/>
        <v>1.1094594594594593</v>
      </c>
      <c r="R201" s="9">
        <f t="shared" si="34"/>
        <v>1.6641891891891891</v>
      </c>
      <c r="S201" s="9">
        <f t="shared" si="35"/>
        <v>-1.564189189189189</v>
      </c>
      <c r="T201" s="9">
        <f t="shared" si="39"/>
        <v>169.04270270270274</v>
      </c>
      <c r="V201" s="5">
        <v>1060.3</v>
      </c>
      <c r="X201" s="5">
        <f t="shared" si="40"/>
        <v>114760.80000000008</v>
      </c>
      <c r="Y201" s="5">
        <f t="shared" si="33"/>
        <v>23118</v>
      </c>
      <c r="AA201" s="5">
        <v>12.2718711654767</v>
      </c>
    </row>
    <row r="202" spans="1:27" s="5" customFormat="1" x14ac:dyDescent="0.25">
      <c r="A202" s="63"/>
      <c r="B202" s="6"/>
      <c r="C202" s="16">
        <v>42087</v>
      </c>
      <c r="D202" s="5">
        <v>6.3</v>
      </c>
      <c r="E202" s="5">
        <v>5.2</v>
      </c>
      <c r="F202" s="5">
        <v>9.6999999999999993</v>
      </c>
      <c r="G202" s="5">
        <f t="shared" si="36"/>
        <v>1841.5</v>
      </c>
      <c r="H202" s="5">
        <f t="shared" si="32"/>
        <v>219.3</v>
      </c>
      <c r="J202" s="5">
        <v>0.7</v>
      </c>
      <c r="K202" s="5">
        <f t="shared" si="37"/>
        <v>430.9</v>
      </c>
      <c r="L202" s="5">
        <v>2</v>
      </c>
      <c r="M202" s="5">
        <f t="shared" si="38"/>
        <v>230.09999999999991</v>
      </c>
      <c r="N202" s="5">
        <v>-1.3</v>
      </c>
      <c r="O202" s="5">
        <f t="shared" si="31"/>
        <v>169.99999999999997</v>
      </c>
      <c r="P202" s="5">
        <v>197</v>
      </c>
      <c r="Q202" s="18">
        <f t="shared" si="30"/>
        <v>1.1135135135135135</v>
      </c>
      <c r="R202" s="9">
        <f t="shared" si="34"/>
        <v>2.2270270270270269</v>
      </c>
      <c r="S202" s="9">
        <f t="shared" si="35"/>
        <v>-1.527027027027027</v>
      </c>
      <c r="T202" s="9">
        <f t="shared" si="39"/>
        <v>167.51567567567571</v>
      </c>
      <c r="V202" s="5">
        <v>1404.7</v>
      </c>
      <c r="X202" s="5">
        <f t="shared" si="40"/>
        <v>116165.50000000007</v>
      </c>
      <c r="Y202" s="5">
        <f t="shared" si="33"/>
        <v>24522.7</v>
      </c>
      <c r="AA202" s="5">
        <v>12.3306439500082</v>
      </c>
    </row>
    <row r="203" spans="1:27" s="5" customFormat="1" x14ac:dyDescent="0.25">
      <c r="A203" s="63"/>
      <c r="B203" s="6"/>
      <c r="C203" s="16">
        <v>42088</v>
      </c>
      <c r="D203" s="5">
        <v>5</v>
      </c>
      <c r="E203" s="5">
        <v>1.6</v>
      </c>
      <c r="F203" s="5">
        <v>9</v>
      </c>
      <c r="G203" s="5">
        <f t="shared" si="36"/>
        <v>1846.5</v>
      </c>
      <c r="H203" s="5">
        <f t="shared" si="32"/>
        <v>224.3</v>
      </c>
      <c r="J203" s="5">
        <v>2.4</v>
      </c>
      <c r="K203" s="5">
        <f t="shared" si="37"/>
        <v>433.29999999999995</v>
      </c>
      <c r="L203" s="5">
        <v>1.7</v>
      </c>
      <c r="M203" s="5">
        <f t="shared" si="38"/>
        <v>231.7999999999999</v>
      </c>
      <c r="N203" s="5">
        <v>0.7</v>
      </c>
      <c r="O203" s="5">
        <f t="shared" si="31"/>
        <v>170.69999999999996</v>
      </c>
      <c r="P203" s="5">
        <v>198</v>
      </c>
      <c r="Q203" s="18">
        <f t="shared" si="30"/>
        <v>1.1175675675675676</v>
      </c>
      <c r="R203" s="9">
        <f t="shared" si="34"/>
        <v>1.8998648648648648</v>
      </c>
      <c r="S203" s="9">
        <f t="shared" si="35"/>
        <v>0.50013513513513508</v>
      </c>
      <c r="T203" s="9">
        <f t="shared" si="39"/>
        <v>168.01581081081085</v>
      </c>
      <c r="V203" s="5">
        <v>1287.5999999999999</v>
      </c>
      <c r="X203" s="5">
        <f t="shared" si="40"/>
        <v>117453.10000000008</v>
      </c>
      <c r="Y203" s="5">
        <f t="shared" si="33"/>
        <v>25810.3</v>
      </c>
      <c r="AA203" s="5">
        <v>12.389385021906101</v>
      </c>
    </row>
    <row r="204" spans="1:27" s="5" customFormat="1" x14ac:dyDescent="0.25">
      <c r="A204" s="63"/>
      <c r="B204" s="6"/>
      <c r="C204" s="16">
        <v>42089</v>
      </c>
      <c r="D204" s="5">
        <v>7.7</v>
      </c>
      <c r="E204" s="5">
        <v>1.9</v>
      </c>
      <c r="F204" s="5">
        <v>11.8</v>
      </c>
      <c r="G204" s="5">
        <f t="shared" si="36"/>
        <v>1854.2</v>
      </c>
      <c r="H204" s="5">
        <f t="shared" si="32"/>
        <v>232</v>
      </c>
      <c r="J204" s="5">
        <v>1.6</v>
      </c>
      <c r="K204" s="5">
        <f t="shared" si="37"/>
        <v>434.9</v>
      </c>
      <c r="L204" s="5">
        <v>0.4</v>
      </c>
      <c r="M204" s="5">
        <f t="shared" si="38"/>
        <v>232.1999999999999</v>
      </c>
      <c r="N204" s="5">
        <v>1.2000000000000002</v>
      </c>
      <c r="O204" s="5">
        <f t="shared" si="31"/>
        <v>171.89999999999995</v>
      </c>
      <c r="P204" s="5">
        <v>199</v>
      </c>
      <c r="Q204" s="18">
        <f t="shared" si="30"/>
        <v>1.1216216216216215</v>
      </c>
      <c r="R204" s="9">
        <f t="shared" si="34"/>
        <v>0.44864864864864862</v>
      </c>
      <c r="S204" s="9">
        <f t="shared" si="35"/>
        <v>1.1513513513513516</v>
      </c>
      <c r="T204" s="9">
        <f t="shared" si="39"/>
        <v>169.16716216216219</v>
      </c>
      <c r="V204" s="5">
        <v>401.8</v>
      </c>
      <c r="X204" s="5">
        <f t="shared" si="40"/>
        <v>117854.90000000008</v>
      </c>
      <c r="Y204" s="5">
        <f t="shared" si="33"/>
        <v>26212.1</v>
      </c>
      <c r="AA204" s="5">
        <v>12.4480884512964</v>
      </c>
    </row>
    <row r="205" spans="1:27" s="5" customFormat="1" x14ac:dyDescent="0.25">
      <c r="A205" s="63"/>
      <c r="B205" s="6"/>
      <c r="C205" s="16">
        <v>42090</v>
      </c>
      <c r="D205" s="5">
        <v>7.8</v>
      </c>
      <c r="E205" s="5">
        <v>3.2</v>
      </c>
      <c r="F205" s="5">
        <v>11.5</v>
      </c>
      <c r="G205" s="5">
        <f t="shared" si="36"/>
        <v>1862</v>
      </c>
      <c r="H205" s="5">
        <f t="shared" si="32"/>
        <v>239.8</v>
      </c>
      <c r="J205" s="5">
        <v>3</v>
      </c>
      <c r="K205" s="5">
        <f t="shared" si="37"/>
        <v>437.9</v>
      </c>
      <c r="L205" s="5">
        <v>1.7</v>
      </c>
      <c r="M205" s="5">
        <f t="shared" si="38"/>
        <v>233.89999999999989</v>
      </c>
      <c r="N205" s="5">
        <v>1.3</v>
      </c>
      <c r="O205" s="5">
        <f t="shared" si="31"/>
        <v>173.19999999999996</v>
      </c>
      <c r="P205" s="5">
        <v>200</v>
      </c>
      <c r="Q205" s="18">
        <f t="shared" si="30"/>
        <v>1.1256756756756756</v>
      </c>
      <c r="R205" s="9">
        <f t="shared" si="34"/>
        <v>1.9136486486486486</v>
      </c>
      <c r="S205" s="9">
        <f t="shared" si="35"/>
        <v>1.0863513513513514</v>
      </c>
      <c r="T205" s="9">
        <f t="shared" si="39"/>
        <v>170.25351351351352</v>
      </c>
      <c r="V205" s="5">
        <v>1358.3</v>
      </c>
      <c r="X205" s="5">
        <f t="shared" si="40"/>
        <v>119213.20000000008</v>
      </c>
      <c r="Y205" s="5">
        <f t="shared" si="33"/>
        <v>27570.399999999998</v>
      </c>
      <c r="AA205" s="5">
        <v>12.506748268137301</v>
      </c>
    </row>
    <row r="206" spans="1:27" s="5" customFormat="1" x14ac:dyDescent="0.25">
      <c r="A206" s="63"/>
      <c r="B206" s="6"/>
      <c r="C206" s="16">
        <v>42091</v>
      </c>
      <c r="D206" s="5">
        <v>12.2</v>
      </c>
      <c r="E206" s="5">
        <v>9.4</v>
      </c>
      <c r="F206" s="5">
        <v>14.8</v>
      </c>
      <c r="G206" s="5">
        <f t="shared" si="36"/>
        <v>1874.2</v>
      </c>
      <c r="H206" s="5">
        <f t="shared" si="32"/>
        <v>252</v>
      </c>
      <c r="J206" s="5">
        <v>0</v>
      </c>
      <c r="K206" s="5">
        <f t="shared" si="37"/>
        <v>437.9</v>
      </c>
      <c r="L206" s="5">
        <v>1</v>
      </c>
      <c r="M206" s="5">
        <f t="shared" si="38"/>
        <v>234.89999999999989</v>
      </c>
      <c r="N206" s="5">
        <v>-1</v>
      </c>
      <c r="O206" s="5">
        <f t="shared" si="31"/>
        <v>172.19999999999996</v>
      </c>
      <c r="P206" s="5">
        <v>201</v>
      </c>
      <c r="Q206" s="18">
        <f t="shared" si="30"/>
        <v>1.1297297297297297</v>
      </c>
      <c r="R206" s="9">
        <f t="shared" si="34"/>
        <v>1.1297297297297297</v>
      </c>
      <c r="S206" s="9">
        <f t="shared" si="35"/>
        <v>-1.1297297297297297</v>
      </c>
      <c r="T206" s="9">
        <f t="shared" si="39"/>
        <v>169.12378378378381</v>
      </c>
      <c r="V206" s="5">
        <v>538.79999999999995</v>
      </c>
      <c r="X206" s="5">
        <f t="shared" si="40"/>
        <v>119752.00000000009</v>
      </c>
      <c r="Y206" s="5">
        <f t="shared" si="33"/>
        <v>28109.199999999997</v>
      </c>
      <c r="AA206" s="5">
        <v>12.565358445162101</v>
      </c>
    </row>
    <row r="207" spans="1:27" s="5" customFormat="1" x14ac:dyDescent="0.25">
      <c r="A207" s="63"/>
      <c r="B207" s="6"/>
      <c r="C207" s="16">
        <v>42092</v>
      </c>
      <c r="D207" s="5">
        <v>12.1</v>
      </c>
      <c r="E207" s="5">
        <v>10.6</v>
      </c>
      <c r="F207" s="5">
        <v>13.2</v>
      </c>
      <c r="G207" s="5">
        <f t="shared" si="36"/>
        <v>1886.3</v>
      </c>
      <c r="H207" s="5">
        <f t="shared" si="32"/>
        <v>264.10000000000002</v>
      </c>
      <c r="J207" s="5">
        <v>6.4</v>
      </c>
      <c r="K207" s="5">
        <f t="shared" si="37"/>
        <v>444.29999999999995</v>
      </c>
      <c r="L207" s="5">
        <v>0.9</v>
      </c>
      <c r="M207" s="5">
        <f t="shared" si="38"/>
        <v>235.7999999999999</v>
      </c>
      <c r="N207" s="5">
        <v>5.5</v>
      </c>
      <c r="O207" s="5">
        <f t="shared" si="31"/>
        <v>177.69999999999996</v>
      </c>
      <c r="P207" s="5">
        <v>202</v>
      </c>
      <c r="Q207" s="18">
        <f t="shared" si="30"/>
        <v>1.1337837837837836</v>
      </c>
      <c r="R207" s="9">
        <f t="shared" si="34"/>
        <v>1.0204054054054053</v>
      </c>
      <c r="S207" s="9">
        <f t="shared" si="35"/>
        <v>5.3795945945945949</v>
      </c>
      <c r="T207" s="9">
        <f t="shared" si="39"/>
        <v>174.50337837837841</v>
      </c>
      <c r="V207" s="5">
        <v>319.60000000000002</v>
      </c>
      <c r="X207" s="5">
        <f t="shared" si="40"/>
        <v>120071.60000000009</v>
      </c>
      <c r="Y207" s="5">
        <f t="shared" si="33"/>
        <v>28428.799999999996</v>
      </c>
      <c r="AA207" s="5">
        <v>12.6239128809042</v>
      </c>
    </row>
    <row r="208" spans="1:27" s="5" customFormat="1" x14ac:dyDescent="0.25">
      <c r="A208" s="63"/>
      <c r="B208" s="6"/>
      <c r="C208" s="16">
        <v>42093</v>
      </c>
      <c r="D208" s="5">
        <v>12.6</v>
      </c>
      <c r="E208" s="5">
        <v>11.1</v>
      </c>
      <c r="F208" s="5">
        <v>13.8</v>
      </c>
      <c r="G208" s="5">
        <f t="shared" si="36"/>
        <v>1898.8999999999999</v>
      </c>
      <c r="H208" s="5">
        <f t="shared" si="32"/>
        <v>276.70000000000005</v>
      </c>
      <c r="J208" s="5">
        <v>0.4</v>
      </c>
      <c r="K208" s="5">
        <f t="shared" si="37"/>
        <v>444.69999999999993</v>
      </c>
      <c r="L208" s="5">
        <v>1.3</v>
      </c>
      <c r="M208" s="5">
        <f t="shared" si="38"/>
        <v>237.09999999999991</v>
      </c>
      <c r="N208" s="5">
        <v>-0.9</v>
      </c>
      <c r="O208" s="5">
        <f t="shared" si="31"/>
        <v>176.79999999999995</v>
      </c>
      <c r="P208" s="5">
        <v>203</v>
      </c>
      <c r="Q208" s="18">
        <f t="shared" si="30"/>
        <v>1.1378378378378378</v>
      </c>
      <c r="R208" s="9">
        <f t="shared" si="34"/>
        <v>1.4791891891891891</v>
      </c>
      <c r="S208" s="9">
        <f t="shared" si="35"/>
        <v>-1.0791891891891892</v>
      </c>
      <c r="T208" s="9">
        <f t="shared" si="39"/>
        <v>173.42418918918924</v>
      </c>
      <c r="V208" s="5">
        <v>578.79999999999995</v>
      </c>
      <c r="X208" s="5">
        <f t="shared" si="40"/>
        <v>120650.4000000001</v>
      </c>
      <c r="Y208" s="5">
        <f t="shared" si="33"/>
        <v>29007.599999999995</v>
      </c>
      <c r="AA208" s="5">
        <v>12.6824053828018</v>
      </c>
    </row>
    <row r="209" spans="1:27" s="5" customFormat="1" x14ac:dyDescent="0.25">
      <c r="A209" s="63"/>
      <c r="B209" s="6"/>
      <c r="C209" s="16">
        <v>42094</v>
      </c>
      <c r="D209" s="5">
        <v>11.2</v>
      </c>
      <c r="E209" s="5">
        <v>10.6</v>
      </c>
      <c r="F209" s="5">
        <v>13.6</v>
      </c>
      <c r="G209" s="5">
        <f>G208+D209</f>
        <v>1910.1</v>
      </c>
      <c r="H209" s="5">
        <f t="shared" si="32"/>
        <v>287.90000000000003</v>
      </c>
      <c r="J209" s="5">
        <v>0.4</v>
      </c>
      <c r="K209" s="5">
        <f t="shared" si="37"/>
        <v>445.09999999999991</v>
      </c>
      <c r="L209" s="5">
        <v>2.9</v>
      </c>
      <c r="M209" s="5">
        <f t="shared" si="38"/>
        <v>239.99999999999991</v>
      </c>
      <c r="N209" s="5">
        <v>-2.5</v>
      </c>
      <c r="O209" s="5">
        <f t="shared" si="31"/>
        <v>174.29999999999995</v>
      </c>
      <c r="P209" s="5">
        <v>204</v>
      </c>
      <c r="Q209" s="18">
        <f t="shared" si="30"/>
        <v>1.1418918918918919</v>
      </c>
      <c r="R209" s="9">
        <f t="shared" si="34"/>
        <v>3.3114864864864866</v>
      </c>
      <c r="S209" s="9">
        <f t="shared" si="35"/>
        <v>-2.9114864864864867</v>
      </c>
      <c r="T209" s="9">
        <f t="shared" si="39"/>
        <v>170.51270270270274</v>
      </c>
      <c r="V209" s="5">
        <v>1042.7</v>
      </c>
      <c r="X209" s="5">
        <f t="shared" si="40"/>
        <v>121693.10000000009</v>
      </c>
      <c r="Y209" s="5">
        <f t="shared" si="33"/>
        <v>30050.299999999996</v>
      </c>
      <c r="AA209" s="5">
        <v>12.7408296503808</v>
      </c>
    </row>
    <row r="210" spans="1:27" s="5" customFormat="1" x14ac:dyDescent="0.25">
      <c r="A210" s="63"/>
      <c r="B210" s="6"/>
      <c r="C210" s="16">
        <v>42095</v>
      </c>
      <c r="D210" s="5">
        <v>8.9</v>
      </c>
      <c r="E210" s="5">
        <v>5.5</v>
      </c>
      <c r="F210" s="5">
        <v>11.4</v>
      </c>
      <c r="G210" s="5">
        <f t="shared" si="36"/>
        <v>1919</v>
      </c>
      <c r="H210" s="5">
        <f t="shared" si="32"/>
        <v>296.8</v>
      </c>
      <c r="J210" s="5">
        <v>0</v>
      </c>
      <c r="K210" s="5">
        <f t="shared" si="37"/>
        <v>445.09999999999991</v>
      </c>
      <c r="L210" s="5">
        <v>2.2000000000000002</v>
      </c>
      <c r="M210" s="5">
        <f t="shared" si="38"/>
        <v>242.1999999999999</v>
      </c>
      <c r="N210" s="5">
        <v>-2.2000000000000002</v>
      </c>
      <c r="O210" s="5">
        <f t="shared" si="31"/>
        <v>172.09999999999997</v>
      </c>
      <c r="P210" s="5">
        <v>205</v>
      </c>
      <c r="Q210" s="18">
        <f t="shared" si="30"/>
        <v>1.1459459459459458</v>
      </c>
      <c r="R210" s="9">
        <f t="shared" si="34"/>
        <v>2.5210810810810811</v>
      </c>
      <c r="S210" s="9">
        <f t="shared" si="35"/>
        <v>-2.5210810810810811</v>
      </c>
      <c r="T210" s="9">
        <f t="shared" si="39"/>
        <v>167.99162162162165</v>
      </c>
      <c r="V210" s="5">
        <v>1465.2</v>
      </c>
      <c r="X210" s="5">
        <f t="shared" si="40"/>
        <v>123158.30000000009</v>
      </c>
      <c r="Y210" s="5">
        <f t="shared" si="33"/>
        <v>31515.499999999996</v>
      </c>
      <c r="AA210" s="5">
        <v>12.7991792585143</v>
      </c>
    </row>
    <row r="211" spans="1:27" s="37" customFormat="1" ht="15.75" thickBot="1" x14ac:dyDescent="0.3">
      <c r="A211" s="63"/>
      <c r="B211" s="42"/>
      <c r="C211" s="45">
        <v>42096</v>
      </c>
      <c r="D211" s="37">
        <v>11.4</v>
      </c>
      <c r="E211" s="37">
        <v>8.6</v>
      </c>
      <c r="F211" s="37">
        <v>14.3</v>
      </c>
      <c r="G211" s="37">
        <f t="shared" si="36"/>
        <v>1930.4</v>
      </c>
      <c r="H211" s="37">
        <f t="shared" si="32"/>
        <v>308.2</v>
      </c>
      <c r="J211" s="37">
        <v>0.1</v>
      </c>
      <c r="K211" s="37">
        <f t="shared" si="37"/>
        <v>445.19999999999993</v>
      </c>
      <c r="L211" s="37">
        <v>1.5</v>
      </c>
      <c r="M211" s="37">
        <f t="shared" si="38"/>
        <v>243.6999999999999</v>
      </c>
      <c r="N211" s="37">
        <v>-1.4</v>
      </c>
      <c r="O211" s="37">
        <f t="shared" si="31"/>
        <v>170.69999999999996</v>
      </c>
      <c r="P211" s="37">
        <v>206</v>
      </c>
      <c r="Q211" s="46">
        <f t="shared" si="30"/>
        <v>1.1499999999999999</v>
      </c>
      <c r="R211" s="39">
        <f t="shared" si="34"/>
        <v>1.7249999999999999</v>
      </c>
      <c r="S211" s="39">
        <f t="shared" si="35"/>
        <v>-1.6249999999999998</v>
      </c>
      <c r="T211" s="40">
        <f t="shared" si="39"/>
        <v>166.36662162162165</v>
      </c>
      <c r="V211" s="37">
        <v>890.5</v>
      </c>
      <c r="X211" s="37">
        <f t="shared" si="40"/>
        <v>124048.80000000009</v>
      </c>
      <c r="Y211" s="38">
        <f t="shared" si="33"/>
        <v>32405.999999999996</v>
      </c>
      <c r="AA211" s="38">
        <v>12.8574476407617</v>
      </c>
    </row>
    <row r="212" spans="1:27" s="5" customFormat="1" ht="15" customHeight="1" x14ac:dyDescent="0.25">
      <c r="A212" s="19" t="s">
        <v>48</v>
      </c>
      <c r="B212" s="20"/>
      <c r="C212" s="21">
        <v>42097</v>
      </c>
      <c r="D212" s="5">
        <v>10.199999999999999</v>
      </c>
      <c r="E212" s="5">
        <v>9.3000000000000007</v>
      </c>
      <c r="F212" s="5">
        <v>11.8</v>
      </c>
      <c r="G212" s="5">
        <f>G211+D212</f>
        <v>1940.6000000000001</v>
      </c>
      <c r="H212" s="5">
        <v>10.199999999999999</v>
      </c>
      <c r="I212" s="22" t="s">
        <v>28</v>
      </c>
      <c r="J212" s="5">
        <v>6.6</v>
      </c>
      <c r="K212" s="5">
        <f t="shared" si="37"/>
        <v>451.79999999999995</v>
      </c>
      <c r="L212" s="5">
        <v>0.9</v>
      </c>
      <c r="M212" s="5">
        <f t="shared" si="38"/>
        <v>244.59999999999991</v>
      </c>
      <c r="N212" s="5">
        <v>5.6999999999999993</v>
      </c>
      <c r="O212" s="5">
        <f t="shared" si="31"/>
        <v>176.39999999999995</v>
      </c>
      <c r="P212" s="5">
        <v>207</v>
      </c>
      <c r="Q212" s="5">
        <v>1.1499999999999999</v>
      </c>
      <c r="R212" s="9">
        <f t="shared" si="34"/>
        <v>1.0349999999999999</v>
      </c>
      <c r="S212" s="9">
        <f t="shared" si="35"/>
        <v>5.5649999999999995</v>
      </c>
      <c r="T212" s="9">
        <f t="shared" si="39"/>
        <v>171.93162162162164</v>
      </c>
      <c r="U212" s="22" t="s">
        <v>29</v>
      </c>
      <c r="V212" s="5">
        <v>392.5</v>
      </c>
      <c r="X212" s="5">
        <f t="shared" si="40"/>
        <v>124441.30000000009</v>
      </c>
      <c r="Y212" s="5">
        <v>392.5</v>
      </c>
      <c r="Z212" s="22" t="s">
        <v>30</v>
      </c>
      <c r="AA212" s="5">
        <v>12.915628072785401</v>
      </c>
    </row>
    <row r="213" spans="1:27" s="5" customFormat="1" x14ac:dyDescent="0.25">
      <c r="A213" s="23"/>
      <c r="B213" s="20"/>
      <c r="C213" s="21">
        <v>42098</v>
      </c>
      <c r="D213" s="5">
        <v>8.9</v>
      </c>
      <c r="E213" s="5">
        <v>9.1</v>
      </c>
      <c r="F213" s="5">
        <v>9.8000000000000007</v>
      </c>
      <c r="G213" s="5">
        <f t="shared" si="36"/>
        <v>1949.5000000000002</v>
      </c>
      <c r="H213" s="5">
        <f t="shared" si="32"/>
        <v>19.100000000000001</v>
      </c>
      <c r="I213" s="5">
        <f>MIN(E212:E232)</f>
        <v>1.9</v>
      </c>
      <c r="J213" s="5">
        <v>0</v>
      </c>
      <c r="K213" s="5">
        <f t="shared" si="37"/>
        <v>451.79999999999995</v>
      </c>
      <c r="L213" s="5">
        <v>1</v>
      </c>
      <c r="M213" s="5">
        <f t="shared" si="38"/>
        <v>245.59999999999991</v>
      </c>
      <c r="N213" s="5">
        <v>-1</v>
      </c>
      <c r="O213" s="5">
        <f t="shared" si="31"/>
        <v>175.39999999999995</v>
      </c>
      <c r="P213" s="5">
        <v>208</v>
      </c>
      <c r="Q213" s="5">
        <v>1.1499999999999999</v>
      </c>
      <c r="R213" s="9">
        <f t="shared" si="34"/>
        <v>1.1499999999999999</v>
      </c>
      <c r="S213" s="9">
        <f t="shared" si="35"/>
        <v>-1.1499999999999999</v>
      </c>
      <c r="T213" s="9">
        <f t="shared" si="39"/>
        <v>170.78162162162164</v>
      </c>
      <c r="U213" s="5">
        <v>21</v>
      </c>
      <c r="V213" s="5">
        <v>668.1</v>
      </c>
      <c r="X213" s="5">
        <f t="shared" si="40"/>
        <v>125109.4000000001</v>
      </c>
      <c r="Y213" s="5">
        <f t="shared" si="33"/>
        <v>1060.5999999999999</v>
      </c>
      <c r="Z213" s="5">
        <v>38573.899999999994</v>
      </c>
      <c r="AA213" s="5">
        <v>12.973713655852</v>
      </c>
    </row>
    <row r="214" spans="1:27" s="5" customFormat="1" x14ac:dyDescent="0.25">
      <c r="A214" s="23"/>
      <c r="B214" s="20"/>
      <c r="C214" s="21">
        <v>42099</v>
      </c>
      <c r="D214" s="5">
        <v>6.6</v>
      </c>
      <c r="E214" s="5">
        <v>2.6</v>
      </c>
      <c r="F214" s="5">
        <v>9.9</v>
      </c>
      <c r="G214" s="5">
        <f t="shared" si="36"/>
        <v>1956.1000000000001</v>
      </c>
      <c r="H214" s="5">
        <f t="shared" si="32"/>
        <v>25.700000000000003</v>
      </c>
      <c r="I214" s="22" t="s">
        <v>31</v>
      </c>
      <c r="J214" s="5">
        <v>0</v>
      </c>
      <c r="K214" s="5">
        <f t="shared" si="37"/>
        <v>451.79999999999995</v>
      </c>
      <c r="L214" s="5">
        <v>1.5</v>
      </c>
      <c r="M214" s="5">
        <f t="shared" si="38"/>
        <v>247.09999999999991</v>
      </c>
      <c r="N214" s="5">
        <v>-1.5</v>
      </c>
      <c r="O214" s="5">
        <f t="shared" si="31"/>
        <v>173.89999999999995</v>
      </c>
      <c r="P214" s="5">
        <v>209</v>
      </c>
      <c r="Q214" s="5">
        <v>1.1499999999999999</v>
      </c>
      <c r="R214" s="9">
        <f t="shared" si="34"/>
        <v>1.7249999999999999</v>
      </c>
      <c r="S214" s="9">
        <f t="shared" si="35"/>
        <v>-1.7249999999999999</v>
      </c>
      <c r="T214" s="9">
        <f t="shared" si="39"/>
        <v>169.05662162162164</v>
      </c>
      <c r="U214" s="22" t="s">
        <v>32</v>
      </c>
      <c r="V214" s="5">
        <v>1040.3</v>
      </c>
      <c r="X214" s="5">
        <f t="shared" si="40"/>
        <v>126149.7000000001</v>
      </c>
      <c r="Y214" s="5">
        <f t="shared" si="33"/>
        <v>2100.8999999999996</v>
      </c>
      <c r="Z214" s="22" t="s">
        <v>33</v>
      </c>
      <c r="AA214" s="5">
        <v>13.0316973004188</v>
      </c>
    </row>
    <row r="215" spans="1:27" s="5" customFormat="1" x14ac:dyDescent="0.25">
      <c r="A215" s="23"/>
      <c r="B215" s="20"/>
      <c r="C215" s="21">
        <v>42100</v>
      </c>
      <c r="D215" s="5">
        <v>8.4</v>
      </c>
      <c r="E215" s="5">
        <v>1.9</v>
      </c>
      <c r="F215" s="5">
        <v>13.6</v>
      </c>
      <c r="G215" s="5">
        <f t="shared" si="36"/>
        <v>1964.5000000000002</v>
      </c>
      <c r="H215" s="5">
        <f t="shared" si="32"/>
        <v>34.1</v>
      </c>
      <c r="I215" s="5">
        <f>MAX(F212:F232)</f>
        <v>25</v>
      </c>
      <c r="J215" s="5">
        <v>0</v>
      </c>
      <c r="K215" s="5">
        <f t="shared" si="37"/>
        <v>451.79999999999995</v>
      </c>
      <c r="L215" s="5">
        <v>3.1</v>
      </c>
      <c r="M215" s="5">
        <f t="shared" si="38"/>
        <v>250.1999999999999</v>
      </c>
      <c r="N215" s="5">
        <v>-3.1</v>
      </c>
      <c r="O215" s="5">
        <f t="shared" si="31"/>
        <v>170.79999999999995</v>
      </c>
      <c r="P215" s="5">
        <v>210</v>
      </c>
      <c r="Q215" s="5">
        <v>1.1499999999999999</v>
      </c>
      <c r="R215" s="9">
        <f t="shared" si="34"/>
        <v>3.5649999999999999</v>
      </c>
      <c r="S215" s="9">
        <f t="shared" si="35"/>
        <v>-3.5649999999999999</v>
      </c>
      <c r="T215" s="9">
        <f t="shared" si="39"/>
        <v>165.49162162162165</v>
      </c>
      <c r="U215" s="5">
        <v>0</v>
      </c>
      <c r="V215" s="5">
        <v>2311</v>
      </c>
      <c r="X215" s="5">
        <f t="shared" si="40"/>
        <v>128460.7000000001</v>
      </c>
      <c r="Y215" s="5">
        <f t="shared" si="33"/>
        <v>4411.8999999999996</v>
      </c>
      <c r="Z215" s="5">
        <f>(Z213/100)/I225</f>
        <v>1.4355749906959432</v>
      </c>
      <c r="AA215" s="5">
        <v>13.0895717098142</v>
      </c>
    </row>
    <row r="216" spans="1:27" s="5" customFormat="1" x14ac:dyDescent="0.25">
      <c r="A216" s="23"/>
      <c r="B216" s="20"/>
      <c r="C216" s="21">
        <v>42101</v>
      </c>
      <c r="D216" s="5">
        <v>10.199999999999999</v>
      </c>
      <c r="E216" s="5">
        <v>4.8</v>
      </c>
      <c r="F216" s="5">
        <v>14.8</v>
      </c>
      <c r="G216" s="5">
        <f t="shared" si="36"/>
        <v>1974.7000000000003</v>
      </c>
      <c r="H216" s="5">
        <f t="shared" si="32"/>
        <v>44.3</v>
      </c>
      <c r="I216" s="22" t="s">
        <v>34</v>
      </c>
      <c r="J216" s="5">
        <v>0</v>
      </c>
      <c r="K216" s="5">
        <f t="shared" si="37"/>
        <v>451.79999999999995</v>
      </c>
      <c r="L216" s="5">
        <v>3.5</v>
      </c>
      <c r="M216" s="5">
        <f t="shared" si="38"/>
        <v>253.6999999999999</v>
      </c>
      <c r="N216" s="5">
        <v>-3.5</v>
      </c>
      <c r="O216" s="5">
        <f t="shared" si="31"/>
        <v>167.29999999999995</v>
      </c>
      <c r="P216" s="5">
        <v>211</v>
      </c>
      <c r="Q216" s="5">
        <v>1.1499999999999999</v>
      </c>
      <c r="R216" s="9">
        <f t="shared" si="34"/>
        <v>4.0249999999999995</v>
      </c>
      <c r="S216" s="9">
        <f t="shared" si="35"/>
        <v>-4.0249999999999995</v>
      </c>
      <c r="T216" s="9">
        <f t="shared" si="39"/>
        <v>161.46662162162164</v>
      </c>
      <c r="U216" s="22" t="s">
        <v>35</v>
      </c>
      <c r="V216" s="5">
        <v>2228.3000000000002</v>
      </c>
      <c r="X216" s="5">
        <f t="shared" si="40"/>
        <v>130689.0000000001</v>
      </c>
      <c r="Y216" s="5">
        <f t="shared" si="33"/>
        <v>6640.2</v>
      </c>
      <c r="Z216" s="22" t="s">
        <v>36</v>
      </c>
      <c r="AA216" s="5">
        <v>13.1473293640191</v>
      </c>
    </row>
    <row r="217" spans="1:27" s="5" customFormat="1" x14ac:dyDescent="0.25">
      <c r="A217" s="23"/>
      <c r="B217" s="20"/>
      <c r="C217" s="21">
        <v>42102</v>
      </c>
      <c r="D217" s="5">
        <v>11.2</v>
      </c>
      <c r="E217" s="5">
        <v>4.7</v>
      </c>
      <c r="F217" s="5">
        <v>16.600000000000001</v>
      </c>
      <c r="G217" s="5">
        <f t="shared" si="36"/>
        <v>1985.9000000000003</v>
      </c>
      <c r="H217" s="5">
        <f t="shared" si="32"/>
        <v>55.5</v>
      </c>
      <c r="I217" s="9">
        <f>AVERAGE(D212:D232)</f>
        <v>12.795238095238094</v>
      </c>
      <c r="J217" s="5">
        <v>0</v>
      </c>
      <c r="K217" s="5">
        <f t="shared" si="37"/>
        <v>451.79999999999995</v>
      </c>
      <c r="L217" s="5">
        <v>3.9</v>
      </c>
      <c r="M217" s="5">
        <f t="shared" si="38"/>
        <v>257.59999999999991</v>
      </c>
      <c r="N217" s="5">
        <v>-3.9</v>
      </c>
      <c r="O217" s="5">
        <f t="shared" si="31"/>
        <v>163.39999999999995</v>
      </c>
      <c r="P217" s="5">
        <v>212</v>
      </c>
      <c r="Q217" s="5">
        <v>1.1499999999999999</v>
      </c>
      <c r="R217" s="9">
        <f t="shared" si="34"/>
        <v>4.4849999999999994</v>
      </c>
      <c r="S217" s="9">
        <f t="shared" si="35"/>
        <v>-4.4849999999999994</v>
      </c>
      <c r="T217" s="9">
        <f t="shared" si="39"/>
        <v>156.98162162162163</v>
      </c>
      <c r="U217" s="5">
        <v>0</v>
      </c>
      <c r="V217" s="5">
        <v>2411.1</v>
      </c>
      <c r="X217" s="5">
        <f t="shared" si="40"/>
        <v>133100.10000000009</v>
      </c>
      <c r="Y217" s="5">
        <f t="shared" si="33"/>
        <v>9051.2999999999993</v>
      </c>
      <c r="Z217" s="5">
        <v>5</v>
      </c>
      <c r="AA217" s="5">
        <v>13.204962503558599</v>
      </c>
    </row>
    <row r="218" spans="1:27" s="5" customFormat="1" x14ac:dyDescent="0.25">
      <c r="A218" s="23"/>
      <c r="B218" s="20"/>
      <c r="C218" s="21">
        <v>42103</v>
      </c>
      <c r="D218" s="5">
        <v>13.6</v>
      </c>
      <c r="E218" s="5">
        <v>6.2</v>
      </c>
      <c r="F218" s="5">
        <v>18.899999999999999</v>
      </c>
      <c r="G218" s="5">
        <f t="shared" si="36"/>
        <v>1999.5000000000002</v>
      </c>
      <c r="H218" s="5">
        <f t="shared" si="32"/>
        <v>69.099999999999994</v>
      </c>
      <c r="I218" s="22" t="s">
        <v>37</v>
      </c>
      <c r="J218" s="5">
        <v>0</v>
      </c>
      <c r="K218" s="5">
        <f t="shared" si="37"/>
        <v>451.79999999999995</v>
      </c>
      <c r="L218" s="5">
        <v>3.6</v>
      </c>
      <c r="M218" s="5">
        <f t="shared" si="38"/>
        <v>261.19999999999993</v>
      </c>
      <c r="N218" s="5">
        <v>-3.6</v>
      </c>
      <c r="O218" s="5">
        <f t="shared" si="31"/>
        <v>159.79999999999995</v>
      </c>
      <c r="P218" s="5">
        <v>213</v>
      </c>
      <c r="Q218" s="5">
        <v>1.1499999999999999</v>
      </c>
      <c r="R218" s="9">
        <f t="shared" si="34"/>
        <v>4.1399999999999997</v>
      </c>
      <c r="S218" s="9">
        <f t="shared" si="35"/>
        <v>-4.1399999999999997</v>
      </c>
      <c r="T218" s="9">
        <f t="shared" si="39"/>
        <v>152.84162162162164</v>
      </c>
      <c r="U218" s="22" t="s">
        <v>38</v>
      </c>
      <c r="V218" s="5">
        <v>2238.4</v>
      </c>
      <c r="X218" s="5">
        <f t="shared" si="40"/>
        <v>135338.50000000009</v>
      </c>
      <c r="Y218" s="5">
        <f t="shared" si="33"/>
        <v>11289.699999999999</v>
      </c>
      <c r="AA218" s="5">
        <v>13.2624631135172</v>
      </c>
    </row>
    <row r="219" spans="1:27" s="5" customFormat="1" x14ac:dyDescent="0.25">
      <c r="A219" s="23"/>
      <c r="B219" s="20"/>
      <c r="C219" s="21">
        <v>42104</v>
      </c>
      <c r="D219" s="5">
        <v>13.7</v>
      </c>
      <c r="E219" s="5">
        <v>9.6999999999999993</v>
      </c>
      <c r="F219" s="5">
        <v>19.8</v>
      </c>
      <c r="G219" s="5">
        <f t="shared" si="36"/>
        <v>2013.2000000000003</v>
      </c>
      <c r="H219" s="5">
        <f t="shared" si="32"/>
        <v>82.8</v>
      </c>
      <c r="I219" s="5">
        <v>0</v>
      </c>
      <c r="J219" s="5">
        <v>0.7</v>
      </c>
      <c r="K219" s="5">
        <f t="shared" si="37"/>
        <v>452.49999999999994</v>
      </c>
      <c r="L219" s="5">
        <v>3.8</v>
      </c>
      <c r="M219" s="5">
        <f t="shared" si="38"/>
        <v>264.99999999999994</v>
      </c>
      <c r="N219" s="5">
        <v>-3.0999999999999996</v>
      </c>
      <c r="O219" s="5">
        <f t="shared" si="31"/>
        <v>156.69999999999996</v>
      </c>
      <c r="P219" s="5">
        <v>214</v>
      </c>
      <c r="Q219" s="5">
        <v>1.1499999999999999</v>
      </c>
      <c r="R219" s="9">
        <f t="shared" si="34"/>
        <v>4.3699999999999992</v>
      </c>
      <c r="S219" s="9">
        <f t="shared" si="35"/>
        <v>-3.669999999999999</v>
      </c>
      <c r="T219" s="9">
        <f t="shared" si="39"/>
        <v>149.17162162162165</v>
      </c>
      <c r="U219" s="9">
        <f>MIN(T212:T232)</f>
        <v>100.8916216216217</v>
      </c>
      <c r="V219" s="5">
        <v>2054.1</v>
      </c>
      <c r="X219" s="5">
        <f t="shared" si="40"/>
        <v>137392.60000000009</v>
      </c>
      <c r="Y219" s="5">
        <f t="shared" si="33"/>
        <v>13343.8</v>
      </c>
      <c r="AA219" s="5">
        <v>13.319822907690501</v>
      </c>
    </row>
    <row r="220" spans="1:27" s="5" customFormat="1" x14ac:dyDescent="0.25">
      <c r="A220" s="23"/>
      <c r="B220" s="20"/>
      <c r="C220" s="21">
        <v>42105</v>
      </c>
      <c r="D220" s="5">
        <v>10.6</v>
      </c>
      <c r="E220" s="5">
        <v>10.8</v>
      </c>
      <c r="F220" s="5">
        <v>12.2</v>
      </c>
      <c r="G220" s="5">
        <f t="shared" si="36"/>
        <v>2023.8000000000002</v>
      </c>
      <c r="H220" s="5">
        <f t="shared" si="32"/>
        <v>93.399999999999991</v>
      </c>
      <c r="I220" s="22" t="s">
        <v>39</v>
      </c>
      <c r="J220" s="5">
        <v>1.3</v>
      </c>
      <c r="K220" s="5">
        <f t="shared" si="37"/>
        <v>453.79999999999995</v>
      </c>
      <c r="L220" s="5">
        <v>1.6</v>
      </c>
      <c r="M220" s="5">
        <f t="shared" si="38"/>
        <v>266.59999999999997</v>
      </c>
      <c r="N220" s="5">
        <v>-0.30000000000000004</v>
      </c>
      <c r="O220" s="5">
        <f t="shared" si="31"/>
        <v>156.39999999999995</v>
      </c>
      <c r="P220" s="5">
        <v>215</v>
      </c>
      <c r="Q220" s="5">
        <v>1.1499999999999999</v>
      </c>
      <c r="R220" s="9">
        <f t="shared" si="34"/>
        <v>1.8399999999999999</v>
      </c>
      <c r="S220" s="9">
        <f t="shared" si="35"/>
        <v>-0.53999999999999981</v>
      </c>
      <c r="T220" s="9">
        <f t="shared" si="39"/>
        <v>148.63162162162166</v>
      </c>
      <c r="U220" s="22" t="s">
        <v>40</v>
      </c>
      <c r="V220" s="5">
        <v>779.9</v>
      </c>
      <c r="X220" s="5">
        <f t="shared" si="40"/>
        <v>138172.50000000009</v>
      </c>
      <c r="Y220" s="5">
        <f t="shared" si="33"/>
        <v>14123.699999999999</v>
      </c>
      <c r="AA220" s="5">
        <v>13.3770333128915</v>
      </c>
    </row>
    <row r="221" spans="1:27" s="5" customFormat="1" x14ac:dyDescent="0.25">
      <c r="A221" s="23"/>
      <c r="B221" s="20"/>
      <c r="C221" s="21">
        <v>42106</v>
      </c>
      <c r="D221" s="5">
        <v>11.3</v>
      </c>
      <c r="E221" s="5">
        <v>4.8</v>
      </c>
      <c r="F221" s="5">
        <v>17</v>
      </c>
      <c r="G221" s="5">
        <f t="shared" si="36"/>
        <v>2035.1000000000001</v>
      </c>
      <c r="H221" s="5">
        <f t="shared" si="32"/>
        <v>104.69999999999999</v>
      </c>
      <c r="I221" s="5">
        <v>1</v>
      </c>
      <c r="J221" s="5">
        <v>0</v>
      </c>
      <c r="K221" s="5">
        <f t="shared" si="37"/>
        <v>453.79999999999995</v>
      </c>
      <c r="L221" s="5">
        <v>2.7</v>
      </c>
      <c r="M221" s="5">
        <f t="shared" si="38"/>
        <v>269.29999999999995</v>
      </c>
      <c r="N221" s="5">
        <v>-2.7</v>
      </c>
      <c r="O221" s="5">
        <f t="shared" si="31"/>
        <v>153.69999999999996</v>
      </c>
      <c r="P221" s="5">
        <v>216</v>
      </c>
      <c r="Q221" s="5">
        <v>1.1499999999999999</v>
      </c>
      <c r="R221" s="9">
        <f t="shared" si="34"/>
        <v>3.105</v>
      </c>
      <c r="S221" s="9">
        <f t="shared" si="35"/>
        <v>-3.105</v>
      </c>
      <c r="T221" s="9">
        <f t="shared" si="39"/>
        <v>145.52662162162167</v>
      </c>
      <c r="U221" s="9">
        <f>MAX(T212:T232)</f>
        <v>171.93162162162164</v>
      </c>
      <c r="V221" s="5">
        <v>1818.9</v>
      </c>
      <c r="X221" s="5">
        <f t="shared" si="40"/>
        <v>139991.40000000008</v>
      </c>
      <c r="Y221" s="5">
        <f t="shared" si="33"/>
        <v>15942.599999999999</v>
      </c>
      <c r="AA221" s="5">
        <v>13.4340854534294</v>
      </c>
    </row>
    <row r="222" spans="1:27" s="5" customFormat="1" x14ac:dyDescent="0.25">
      <c r="A222" s="23"/>
      <c r="B222" s="20"/>
      <c r="C222" s="21">
        <v>42107</v>
      </c>
      <c r="D222" s="5">
        <v>13.6</v>
      </c>
      <c r="E222" s="5">
        <v>6</v>
      </c>
      <c r="F222" s="5">
        <v>19.7</v>
      </c>
      <c r="G222" s="5">
        <f t="shared" si="36"/>
        <v>2048.7000000000003</v>
      </c>
      <c r="H222" s="5">
        <f t="shared" si="32"/>
        <v>118.29999999999998</v>
      </c>
      <c r="I222" s="22" t="s">
        <v>41</v>
      </c>
      <c r="J222" s="5">
        <v>0</v>
      </c>
      <c r="K222" s="5">
        <f t="shared" si="37"/>
        <v>453.79999999999995</v>
      </c>
      <c r="L222" s="5">
        <v>3.7</v>
      </c>
      <c r="M222" s="5">
        <f t="shared" si="38"/>
        <v>272.99999999999994</v>
      </c>
      <c r="N222" s="5">
        <v>-3.7</v>
      </c>
      <c r="O222" s="5">
        <f t="shared" si="31"/>
        <v>149.99999999999997</v>
      </c>
      <c r="P222" s="5">
        <v>217</v>
      </c>
      <c r="Q222" s="5">
        <v>1.1499999999999999</v>
      </c>
      <c r="R222" s="9">
        <f t="shared" si="34"/>
        <v>4.2549999999999999</v>
      </c>
      <c r="S222" s="9">
        <f t="shared" si="35"/>
        <v>-4.2549999999999999</v>
      </c>
      <c r="T222" s="9">
        <f t="shared" si="39"/>
        <v>141.27162162162168</v>
      </c>
      <c r="U222" s="22" t="s">
        <v>42</v>
      </c>
      <c r="V222" s="5">
        <v>2298.1</v>
      </c>
      <c r="X222" s="5">
        <f t="shared" si="40"/>
        <v>142289.50000000009</v>
      </c>
      <c r="Y222" s="5">
        <f t="shared" si="33"/>
        <v>18240.699999999997</v>
      </c>
      <c r="AA222" s="5">
        <v>13.490970135784</v>
      </c>
    </row>
    <row r="223" spans="1:27" s="5" customFormat="1" x14ac:dyDescent="0.25">
      <c r="A223" s="23"/>
      <c r="B223" s="20"/>
      <c r="C223" s="21">
        <v>42108</v>
      </c>
      <c r="D223" s="5">
        <v>16</v>
      </c>
      <c r="E223" s="5">
        <v>8.6</v>
      </c>
      <c r="F223" s="5">
        <v>23</v>
      </c>
      <c r="G223" s="5">
        <f t="shared" si="36"/>
        <v>2064.7000000000003</v>
      </c>
      <c r="H223" s="5">
        <f t="shared" si="32"/>
        <v>134.29999999999998</v>
      </c>
      <c r="I223" s="5">
        <v>6</v>
      </c>
      <c r="J223" s="5">
        <v>0</v>
      </c>
      <c r="K223" s="5">
        <f t="shared" si="37"/>
        <v>453.79999999999995</v>
      </c>
      <c r="L223" s="5">
        <v>4.5</v>
      </c>
      <c r="M223" s="5">
        <f t="shared" si="38"/>
        <v>277.49999999999994</v>
      </c>
      <c r="N223" s="5">
        <v>-4.5</v>
      </c>
      <c r="O223" s="5">
        <f t="shared" si="31"/>
        <v>145.49999999999997</v>
      </c>
      <c r="P223" s="5">
        <v>218</v>
      </c>
      <c r="Q223" s="5">
        <v>1.1499999999999999</v>
      </c>
      <c r="R223" s="9">
        <f t="shared" si="34"/>
        <v>5.1749999999999998</v>
      </c>
      <c r="S223" s="9">
        <f t="shared" si="35"/>
        <v>-5.1749999999999998</v>
      </c>
      <c r="T223" s="9">
        <f t="shared" si="39"/>
        <v>136.09662162162167</v>
      </c>
      <c r="U223" s="18">
        <f>AVERAGE(T212:T232)</f>
        <v>140.11376447876452</v>
      </c>
      <c r="V223" s="5">
        <v>2397.1999999999998</v>
      </c>
      <c r="X223" s="5">
        <f t="shared" si="40"/>
        <v>144686.7000000001</v>
      </c>
      <c r="Y223" s="5">
        <f t="shared" si="33"/>
        <v>20637.899999999998</v>
      </c>
      <c r="AA223" s="5">
        <v>13.547677833501201</v>
      </c>
    </row>
    <row r="224" spans="1:27" s="5" customFormat="1" x14ac:dyDescent="0.25">
      <c r="A224" s="23"/>
      <c r="B224" s="20"/>
      <c r="C224" s="21">
        <v>42109</v>
      </c>
      <c r="D224" s="5">
        <v>18.2</v>
      </c>
      <c r="E224" s="5">
        <v>10.4</v>
      </c>
      <c r="F224" s="5">
        <v>25</v>
      </c>
      <c r="G224" s="5">
        <f t="shared" si="36"/>
        <v>2082.9</v>
      </c>
      <c r="H224" s="5">
        <f t="shared" si="32"/>
        <v>152.49999999999997</v>
      </c>
      <c r="I224" s="22" t="s">
        <v>45</v>
      </c>
      <c r="J224" s="5">
        <v>0</v>
      </c>
      <c r="K224" s="5">
        <f t="shared" si="37"/>
        <v>453.79999999999995</v>
      </c>
      <c r="L224" s="5">
        <v>3.9</v>
      </c>
      <c r="M224" s="5">
        <f t="shared" si="38"/>
        <v>281.39999999999992</v>
      </c>
      <c r="N224" s="5">
        <v>-3.9</v>
      </c>
      <c r="O224" s="5">
        <f t="shared" si="31"/>
        <v>141.59999999999997</v>
      </c>
      <c r="P224" s="5">
        <v>219</v>
      </c>
      <c r="Q224" s="5">
        <v>1.1499999999999999</v>
      </c>
      <c r="R224" s="9">
        <f t="shared" si="34"/>
        <v>4.4849999999999994</v>
      </c>
      <c r="S224" s="9">
        <f t="shared" si="35"/>
        <v>-4.4849999999999994</v>
      </c>
      <c r="T224" s="9">
        <f t="shared" si="39"/>
        <v>131.61162162162168</v>
      </c>
      <c r="V224" s="5">
        <v>2089.6999999999998</v>
      </c>
      <c r="X224" s="5">
        <f t="shared" si="40"/>
        <v>146776.40000000011</v>
      </c>
      <c r="Y224" s="5">
        <f t="shared" si="33"/>
        <v>22727.599999999999</v>
      </c>
      <c r="AA224" s="5">
        <v>13.6041986723355</v>
      </c>
    </row>
    <row r="225" spans="1:27" s="5" customFormat="1" x14ac:dyDescent="0.25">
      <c r="A225" s="23"/>
      <c r="B225" s="20"/>
      <c r="C225" s="21">
        <v>42110</v>
      </c>
      <c r="D225" s="5">
        <v>17.399999999999999</v>
      </c>
      <c r="E225" s="5">
        <v>12.7</v>
      </c>
      <c r="F225" s="5">
        <v>22.4</v>
      </c>
      <c r="G225" s="5">
        <f t="shared" si="36"/>
        <v>2100.3000000000002</v>
      </c>
      <c r="H225" s="5">
        <f t="shared" si="32"/>
        <v>169.89999999999998</v>
      </c>
      <c r="I225" s="5">
        <v>268.7</v>
      </c>
      <c r="J225" s="5">
        <v>0</v>
      </c>
      <c r="K225" s="5">
        <f t="shared" si="37"/>
        <v>453.79999999999995</v>
      </c>
      <c r="L225" s="5">
        <v>2</v>
      </c>
      <c r="M225" s="5">
        <f t="shared" si="38"/>
        <v>283.39999999999992</v>
      </c>
      <c r="N225" s="5">
        <v>-2</v>
      </c>
      <c r="O225" s="5">
        <f t="shared" si="31"/>
        <v>139.59999999999997</v>
      </c>
      <c r="P225" s="5">
        <v>220</v>
      </c>
      <c r="Q225" s="5">
        <v>1.1499999999999999</v>
      </c>
      <c r="R225" s="9">
        <f t="shared" si="34"/>
        <v>2.2999999999999998</v>
      </c>
      <c r="S225" s="9">
        <f t="shared" si="35"/>
        <v>-2.2999999999999998</v>
      </c>
      <c r="T225" s="9">
        <f t="shared" si="39"/>
        <v>129.31162162162167</v>
      </c>
      <c r="U225" s="9">
        <f>(U223*100)/197.4</f>
        <v>70.979617263811804</v>
      </c>
      <c r="V225" s="5">
        <v>771</v>
      </c>
      <c r="X225" s="5">
        <f t="shared" si="40"/>
        <v>147547.40000000011</v>
      </c>
      <c r="Y225" s="5">
        <f t="shared" si="33"/>
        <v>23498.6</v>
      </c>
      <c r="AA225" s="5">
        <v>13.660522415674199</v>
      </c>
    </row>
    <row r="226" spans="1:27" s="5" customFormat="1" x14ac:dyDescent="0.25">
      <c r="A226" s="23"/>
      <c r="B226" s="20"/>
      <c r="C226" s="21">
        <v>42111</v>
      </c>
      <c r="D226" s="5">
        <v>14.4</v>
      </c>
      <c r="E226" s="5">
        <v>12.7</v>
      </c>
      <c r="F226" s="5">
        <v>16.899999999999999</v>
      </c>
      <c r="G226" s="5">
        <f t="shared" si="36"/>
        <v>2114.7000000000003</v>
      </c>
      <c r="H226" s="5">
        <f t="shared" si="32"/>
        <v>184.29999999999998</v>
      </c>
      <c r="J226" s="5">
        <v>2</v>
      </c>
      <c r="K226" s="5">
        <f t="shared" si="37"/>
        <v>455.79999999999995</v>
      </c>
      <c r="L226" s="5">
        <v>1.1000000000000001</v>
      </c>
      <c r="M226" s="5">
        <f t="shared" si="38"/>
        <v>284.49999999999994</v>
      </c>
      <c r="N226" s="5">
        <v>0.89999999999999991</v>
      </c>
      <c r="O226" s="5">
        <f t="shared" si="31"/>
        <v>140.49999999999997</v>
      </c>
      <c r="P226" s="5">
        <v>221</v>
      </c>
      <c r="Q226" s="5">
        <v>1.1499999999999999</v>
      </c>
      <c r="R226" s="9">
        <f t="shared" si="34"/>
        <v>1.2649999999999999</v>
      </c>
      <c r="S226" s="9">
        <f t="shared" si="35"/>
        <v>0.7350000000000001</v>
      </c>
      <c r="T226" s="9">
        <f t="shared" si="39"/>
        <v>130.04662162162168</v>
      </c>
      <c r="V226" s="5">
        <v>481</v>
      </c>
      <c r="X226" s="5">
        <f t="shared" si="40"/>
        <v>148028.40000000011</v>
      </c>
      <c r="Y226" s="5">
        <f t="shared" si="33"/>
        <v>23979.599999999999</v>
      </c>
      <c r="AA226" s="5">
        <v>13.7166384502749</v>
      </c>
    </row>
    <row r="227" spans="1:27" s="5" customFormat="1" x14ac:dyDescent="0.25">
      <c r="A227" s="23"/>
      <c r="B227" s="20"/>
      <c r="C227" s="21">
        <v>42112</v>
      </c>
      <c r="D227" s="5">
        <v>13.1</v>
      </c>
      <c r="E227" s="5">
        <v>10.1</v>
      </c>
      <c r="F227" s="5">
        <v>16.399999999999999</v>
      </c>
      <c r="G227" s="5">
        <f t="shared" si="36"/>
        <v>2127.8000000000002</v>
      </c>
      <c r="H227" s="5">
        <f t="shared" si="32"/>
        <v>197.39999999999998</v>
      </c>
      <c r="J227" s="5">
        <v>0.4</v>
      </c>
      <c r="K227" s="5">
        <f t="shared" si="37"/>
        <v>456.19999999999993</v>
      </c>
      <c r="L227" s="5">
        <v>3.6</v>
      </c>
      <c r="M227" s="5">
        <f t="shared" si="38"/>
        <v>288.09999999999997</v>
      </c>
      <c r="N227" s="5">
        <v>-3.2</v>
      </c>
      <c r="O227" s="5">
        <f t="shared" si="31"/>
        <v>137.29999999999998</v>
      </c>
      <c r="P227" s="5">
        <v>222</v>
      </c>
      <c r="Q227" s="5">
        <v>1.1499999999999999</v>
      </c>
      <c r="R227" s="9">
        <f t="shared" si="34"/>
        <v>4.1399999999999997</v>
      </c>
      <c r="S227" s="9">
        <f t="shared" si="35"/>
        <v>-3.7399999999999998</v>
      </c>
      <c r="T227" s="9">
        <f t="shared" si="39"/>
        <v>126.30662162162169</v>
      </c>
      <c r="V227" s="5">
        <v>1810.7</v>
      </c>
      <c r="X227" s="5">
        <f t="shared" si="40"/>
        <v>149839.10000000012</v>
      </c>
      <c r="Y227" s="5">
        <f t="shared" si="33"/>
        <v>25790.3</v>
      </c>
      <c r="AA227" s="5">
        <v>13.772535772356401</v>
      </c>
    </row>
    <row r="228" spans="1:27" s="5" customFormat="1" x14ac:dyDescent="0.25">
      <c r="A228" s="23"/>
      <c r="B228" s="20"/>
      <c r="C228" s="21">
        <v>42113</v>
      </c>
      <c r="D228" s="5">
        <v>11.5</v>
      </c>
      <c r="E228" s="5">
        <v>6.7</v>
      </c>
      <c r="F228" s="5">
        <v>16.7</v>
      </c>
      <c r="G228" s="5">
        <f t="shared" si="36"/>
        <v>2139.3000000000002</v>
      </c>
      <c r="H228" s="5">
        <f t="shared" si="32"/>
        <v>208.89999999999998</v>
      </c>
      <c r="J228" s="5">
        <v>0</v>
      </c>
      <c r="K228" s="5">
        <f t="shared" si="37"/>
        <v>456.19999999999993</v>
      </c>
      <c r="L228" s="5">
        <v>4.5</v>
      </c>
      <c r="M228" s="5">
        <f t="shared" si="38"/>
        <v>292.59999999999997</v>
      </c>
      <c r="N228" s="5">
        <v>-4.5</v>
      </c>
      <c r="O228" s="5">
        <f t="shared" si="31"/>
        <v>132.79999999999998</v>
      </c>
      <c r="P228" s="5">
        <v>223</v>
      </c>
      <c r="Q228" s="5">
        <v>1.1499999999999999</v>
      </c>
      <c r="R228" s="9">
        <f t="shared" si="34"/>
        <v>5.1749999999999998</v>
      </c>
      <c r="S228" s="9">
        <f t="shared" si="35"/>
        <v>-5.1749999999999998</v>
      </c>
      <c r="T228" s="9">
        <f t="shared" si="39"/>
        <v>121.13162162162169</v>
      </c>
      <c r="V228" s="5">
        <v>2654.2</v>
      </c>
      <c r="X228" s="5">
        <f t="shared" si="40"/>
        <v>152493.30000000013</v>
      </c>
      <c r="Y228" s="5">
        <f t="shared" si="33"/>
        <v>28444.5</v>
      </c>
      <c r="AA228" s="5">
        <v>13.828202974085199</v>
      </c>
    </row>
    <row r="229" spans="1:27" s="5" customFormat="1" x14ac:dyDescent="0.25">
      <c r="A229" s="23"/>
      <c r="B229" s="20"/>
      <c r="C229" s="21">
        <v>42114</v>
      </c>
      <c r="D229" s="5">
        <v>12.9</v>
      </c>
      <c r="E229" s="5">
        <v>5</v>
      </c>
      <c r="F229" s="5">
        <v>19.2</v>
      </c>
      <c r="G229" s="5">
        <f t="shared" si="36"/>
        <v>2152.2000000000003</v>
      </c>
      <c r="H229" s="5">
        <f t="shared" si="32"/>
        <v>221.79999999999998</v>
      </c>
      <c r="J229" s="5">
        <v>0</v>
      </c>
      <c r="K229" s="5">
        <f t="shared" si="37"/>
        <v>456.19999999999993</v>
      </c>
      <c r="L229" s="5">
        <v>3.8</v>
      </c>
      <c r="M229" s="5">
        <f t="shared" si="38"/>
        <v>296.39999999999998</v>
      </c>
      <c r="N229" s="5">
        <v>-3.8</v>
      </c>
      <c r="O229" s="5">
        <f t="shared" si="31"/>
        <v>128.99999999999997</v>
      </c>
      <c r="P229" s="5">
        <v>224</v>
      </c>
      <c r="Q229" s="5">
        <v>1.1499999999999999</v>
      </c>
      <c r="R229" s="9">
        <f t="shared" si="34"/>
        <v>4.3699999999999992</v>
      </c>
      <c r="S229" s="9">
        <f t="shared" si="35"/>
        <v>-4.3699999999999992</v>
      </c>
      <c r="T229" s="9">
        <f t="shared" si="39"/>
        <v>116.76162162162169</v>
      </c>
      <c r="V229" s="5">
        <v>2342.6</v>
      </c>
      <c r="W229" s="24"/>
      <c r="X229" s="24">
        <f t="shared" si="40"/>
        <v>154835.90000000014</v>
      </c>
      <c r="Y229" s="5">
        <f t="shared" si="33"/>
        <v>30787.1</v>
      </c>
      <c r="Z229" s="25"/>
      <c r="AA229" s="5">
        <v>13.8836282305015</v>
      </c>
    </row>
    <row r="230" spans="1:27" s="5" customFormat="1" ht="15" customHeight="1" x14ac:dyDescent="0.25">
      <c r="A230" s="23"/>
      <c r="B230" s="20"/>
      <c r="C230" s="21">
        <v>42115</v>
      </c>
      <c r="D230" s="5">
        <v>15.5</v>
      </c>
      <c r="E230" s="5">
        <v>8.5</v>
      </c>
      <c r="F230" s="5">
        <v>21.3</v>
      </c>
      <c r="G230" s="5">
        <f t="shared" si="36"/>
        <v>2167.7000000000003</v>
      </c>
      <c r="H230" s="5">
        <f t="shared" si="32"/>
        <v>237.29999999999998</v>
      </c>
      <c r="J230" s="5">
        <v>0</v>
      </c>
      <c r="K230" s="5">
        <f t="shared" si="37"/>
        <v>456.19999999999993</v>
      </c>
      <c r="L230" s="5">
        <v>4.8</v>
      </c>
      <c r="M230" s="5">
        <f t="shared" si="38"/>
        <v>301.2</v>
      </c>
      <c r="N230" s="5">
        <v>-4.8</v>
      </c>
      <c r="O230" s="5">
        <f t="shared" si="31"/>
        <v>124.19999999999997</v>
      </c>
      <c r="P230" s="5">
        <v>225</v>
      </c>
      <c r="Q230" s="5">
        <v>1.1499999999999999</v>
      </c>
      <c r="R230" s="9">
        <f t="shared" si="34"/>
        <v>5.52</v>
      </c>
      <c r="S230" s="9">
        <f t="shared" si="35"/>
        <v>-5.52</v>
      </c>
      <c r="T230" s="9">
        <f t="shared" si="39"/>
        <v>111.24162162162169</v>
      </c>
      <c r="V230" s="5">
        <v>2671.7</v>
      </c>
      <c r="X230" s="5">
        <f t="shared" si="40"/>
        <v>157507.60000000015</v>
      </c>
      <c r="Y230" s="5">
        <f t="shared" si="33"/>
        <v>33458.799999999996</v>
      </c>
      <c r="AA230" s="5">
        <v>13.938799286936201</v>
      </c>
    </row>
    <row r="231" spans="1:27" s="5" customFormat="1" x14ac:dyDescent="0.25">
      <c r="A231" s="23"/>
      <c r="B231" s="20"/>
      <c r="C231" s="21">
        <v>42116</v>
      </c>
      <c r="D231" s="5">
        <v>16.2</v>
      </c>
      <c r="E231" s="5">
        <v>10.6</v>
      </c>
      <c r="F231" s="5">
        <v>22</v>
      </c>
      <c r="G231" s="5">
        <f t="shared" si="36"/>
        <v>2183.9</v>
      </c>
      <c r="H231" s="5">
        <f t="shared" si="32"/>
        <v>253.49999999999997</v>
      </c>
      <c r="J231" s="5">
        <v>0</v>
      </c>
      <c r="K231" s="5">
        <f t="shared" si="37"/>
        <v>456.19999999999993</v>
      </c>
      <c r="L231" s="5">
        <v>4.7</v>
      </c>
      <c r="M231" s="5">
        <f t="shared" si="38"/>
        <v>305.89999999999998</v>
      </c>
      <c r="N231" s="5">
        <v>-4.7</v>
      </c>
      <c r="O231" s="5">
        <f t="shared" si="31"/>
        <v>119.49999999999997</v>
      </c>
      <c r="P231" s="5">
        <v>226</v>
      </c>
      <c r="Q231" s="5">
        <v>1.1499999999999999</v>
      </c>
      <c r="R231" s="9">
        <f t="shared" si="34"/>
        <v>5.4049999999999994</v>
      </c>
      <c r="S231" s="9">
        <f t="shared" si="35"/>
        <v>-5.4049999999999994</v>
      </c>
      <c r="T231" s="9">
        <f t="shared" si="39"/>
        <v>105.83662162162169</v>
      </c>
      <c r="V231" s="5">
        <v>2510.9</v>
      </c>
      <c r="X231" s="5">
        <f t="shared" si="40"/>
        <v>160018.50000000015</v>
      </c>
      <c r="Y231" s="5">
        <f t="shared" si="33"/>
        <v>35969.699999999997</v>
      </c>
      <c r="AA231" s="5">
        <v>13.9937034469721</v>
      </c>
    </row>
    <row r="232" spans="1:27" s="37" customFormat="1" ht="15.75" thickBot="1" x14ac:dyDescent="0.3">
      <c r="A232" s="47" t="s">
        <v>49</v>
      </c>
      <c r="B232" s="48"/>
      <c r="C232" s="49">
        <v>42117</v>
      </c>
      <c r="D232" s="37">
        <v>15.2</v>
      </c>
      <c r="E232" s="37">
        <v>8.4</v>
      </c>
      <c r="F232" s="37">
        <v>20.8</v>
      </c>
      <c r="G232" s="37">
        <f t="shared" si="36"/>
        <v>2199.1</v>
      </c>
      <c r="H232" s="37">
        <f t="shared" si="32"/>
        <v>268.7</v>
      </c>
      <c r="J232" s="37">
        <v>0</v>
      </c>
      <c r="K232" s="37">
        <f t="shared" si="37"/>
        <v>456.19999999999993</v>
      </c>
      <c r="L232" s="37">
        <v>4.3</v>
      </c>
      <c r="M232" s="37">
        <f t="shared" si="38"/>
        <v>310.2</v>
      </c>
      <c r="N232" s="37">
        <v>-4.3</v>
      </c>
      <c r="O232" s="37">
        <f t="shared" si="31"/>
        <v>115.19999999999997</v>
      </c>
      <c r="P232" s="37">
        <v>227</v>
      </c>
      <c r="Q232" s="50">
        <v>1.1499999999999999</v>
      </c>
      <c r="R232" s="39">
        <f t="shared" si="34"/>
        <v>4.9449999999999994</v>
      </c>
      <c r="S232" s="39">
        <f t="shared" si="35"/>
        <v>-4.9449999999999994</v>
      </c>
      <c r="T232" s="51">
        <f t="shared" si="39"/>
        <v>100.8916216216217</v>
      </c>
      <c r="V232" s="37">
        <v>2604.1999999999998</v>
      </c>
      <c r="X232" s="37">
        <f t="shared" si="40"/>
        <v>162622.70000000016</v>
      </c>
      <c r="Y232" s="50">
        <f t="shared" si="33"/>
        <v>38573.899999999994</v>
      </c>
      <c r="AA232" s="50">
        <v>14.0483275610059</v>
      </c>
    </row>
    <row r="233" spans="1:27" s="5" customFormat="1" x14ac:dyDescent="0.25">
      <c r="A233" s="64">
        <v>300</v>
      </c>
      <c r="B233" s="6"/>
      <c r="C233" s="26">
        <v>42118</v>
      </c>
      <c r="D233" s="5">
        <v>13.3</v>
      </c>
      <c r="E233" s="5">
        <v>11</v>
      </c>
      <c r="F233" s="5">
        <v>15.9</v>
      </c>
      <c r="G233" s="5">
        <f t="shared" si="36"/>
        <v>2212.4</v>
      </c>
      <c r="H233" s="5">
        <v>13.3</v>
      </c>
      <c r="I233" s="27" t="s">
        <v>28</v>
      </c>
      <c r="J233" s="5">
        <v>0.8</v>
      </c>
      <c r="K233" s="5">
        <f t="shared" si="37"/>
        <v>456.99999999999994</v>
      </c>
      <c r="L233" s="5">
        <v>2.2999999999999998</v>
      </c>
      <c r="M233" s="5">
        <f t="shared" si="38"/>
        <v>312.5</v>
      </c>
      <c r="N233" s="5">
        <v>-1.4999999999999998</v>
      </c>
      <c r="O233" s="5">
        <f t="shared" si="31"/>
        <v>113.69999999999997</v>
      </c>
      <c r="P233" s="5">
        <v>228</v>
      </c>
      <c r="Q233" s="5">
        <v>1.1499999999999999</v>
      </c>
      <c r="R233" s="9">
        <f t="shared" si="34"/>
        <v>2.6449999999999996</v>
      </c>
      <c r="S233" s="9">
        <f t="shared" si="35"/>
        <v>-1.8449999999999995</v>
      </c>
      <c r="T233" s="9">
        <f t="shared" si="39"/>
        <v>99.046621621621696</v>
      </c>
      <c r="U233" s="27" t="s">
        <v>29</v>
      </c>
      <c r="V233" s="5">
        <v>1497.4</v>
      </c>
      <c r="X233" s="5">
        <f t="shared" si="40"/>
        <v>164120.10000000015</v>
      </c>
      <c r="Y233" s="5">
        <v>1497.4</v>
      </c>
      <c r="Z233" s="27" t="s">
        <v>30</v>
      </c>
      <c r="AA233" s="5">
        <v>14.102658015474701</v>
      </c>
    </row>
    <row r="234" spans="1:27" s="5" customFormat="1" x14ac:dyDescent="0.25">
      <c r="A234" s="64"/>
      <c r="B234" s="6"/>
      <c r="C234" s="26">
        <v>42119</v>
      </c>
      <c r="D234" s="5">
        <v>12.9</v>
      </c>
      <c r="E234" s="5">
        <v>11.4</v>
      </c>
      <c r="F234" s="5">
        <v>15.3</v>
      </c>
      <c r="G234" s="5">
        <f t="shared" si="36"/>
        <v>2225.3000000000002</v>
      </c>
      <c r="H234" s="5">
        <f t="shared" si="32"/>
        <v>26.200000000000003</v>
      </c>
      <c r="I234" s="5">
        <f>MIN(E233:E256)</f>
        <v>3.3</v>
      </c>
      <c r="J234" s="5">
        <v>2.6</v>
      </c>
      <c r="K234" s="5">
        <f t="shared" si="37"/>
        <v>459.59999999999997</v>
      </c>
      <c r="L234" s="5">
        <v>1.6</v>
      </c>
      <c r="M234" s="5">
        <f t="shared" si="38"/>
        <v>314.10000000000002</v>
      </c>
      <c r="N234" s="5">
        <v>1</v>
      </c>
      <c r="O234" s="5">
        <f t="shared" si="31"/>
        <v>114.69999999999997</v>
      </c>
      <c r="P234" s="5">
        <v>229</v>
      </c>
      <c r="Q234" s="5">
        <v>1.1499999999999999</v>
      </c>
      <c r="R234" s="9">
        <f t="shared" si="34"/>
        <v>1.8399999999999999</v>
      </c>
      <c r="S234" s="9">
        <f t="shared" si="35"/>
        <v>0.76000000000000023</v>
      </c>
      <c r="T234" s="9">
        <f t="shared" si="39"/>
        <v>99.806621621621701</v>
      </c>
      <c r="U234" s="5">
        <v>17</v>
      </c>
      <c r="V234" s="5">
        <v>755.6</v>
      </c>
      <c r="X234" s="5">
        <f t="shared" si="40"/>
        <v>164875.70000000016</v>
      </c>
      <c r="Y234" s="5">
        <f t="shared" si="33"/>
        <v>2253</v>
      </c>
      <c r="Z234" s="5">
        <v>31162.9</v>
      </c>
      <c r="AA234" s="5">
        <v>14.156680722811201</v>
      </c>
    </row>
    <row r="235" spans="1:27" s="5" customFormat="1" x14ac:dyDescent="0.25">
      <c r="A235" s="64"/>
      <c r="B235" s="6"/>
      <c r="C235" s="26">
        <v>42120</v>
      </c>
      <c r="D235" s="5">
        <v>13.4</v>
      </c>
      <c r="E235" s="5">
        <v>10.4</v>
      </c>
      <c r="F235" s="5">
        <v>16.100000000000001</v>
      </c>
      <c r="G235" s="5">
        <f t="shared" si="36"/>
        <v>2238.7000000000003</v>
      </c>
      <c r="H235" s="5">
        <f t="shared" si="32"/>
        <v>39.6</v>
      </c>
      <c r="I235" s="27" t="s">
        <v>31</v>
      </c>
      <c r="J235" s="5">
        <v>2.2999999999999998</v>
      </c>
      <c r="K235" s="5">
        <f t="shared" si="37"/>
        <v>461.9</v>
      </c>
      <c r="L235" s="5">
        <v>1.5</v>
      </c>
      <c r="M235" s="5">
        <f t="shared" si="38"/>
        <v>315.60000000000002</v>
      </c>
      <c r="N235" s="5">
        <v>0.79999999999999982</v>
      </c>
      <c r="O235" s="5">
        <f t="shared" si="31"/>
        <v>115.49999999999997</v>
      </c>
      <c r="P235" s="5">
        <v>230</v>
      </c>
      <c r="Q235" s="5">
        <v>1.1499999999999999</v>
      </c>
      <c r="R235" s="9">
        <f t="shared" si="34"/>
        <v>1.7249999999999999</v>
      </c>
      <c r="S235" s="9">
        <f t="shared" si="35"/>
        <v>0.57499999999999996</v>
      </c>
      <c r="T235" s="9">
        <f t="shared" si="39"/>
        <v>100.3816216216217</v>
      </c>
      <c r="U235" s="27" t="s">
        <v>32</v>
      </c>
      <c r="V235" s="5">
        <v>879.7</v>
      </c>
      <c r="X235" s="5">
        <f t="shared" si="40"/>
        <v>165755.40000000017</v>
      </c>
      <c r="Y235" s="5">
        <f t="shared" si="33"/>
        <v>3132.7</v>
      </c>
      <c r="Z235" s="27" t="s">
        <v>33</v>
      </c>
      <c r="AA235" s="5">
        <v>14.210381112199199</v>
      </c>
    </row>
    <row r="236" spans="1:27" s="5" customFormat="1" x14ac:dyDescent="0.25">
      <c r="A236" s="64"/>
      <c r="B236" s="6"/>
      <c r="C236" s="26">
        <v>42121</v>
      </c>
      <c r="D236" s="5">
        <v>10.5</v>
      </c>
      <c r="E236" s="5">
        <v>9.6</v>
      </c>
      <c r="F236" s="5">
        <v>14.6</v>
      </c>
      <c r="G236" s="5">
        <f t="shared" si="36"/>
        <v>2249.2000000000003</v>
      </c>
      <c r="H236" s="5">
        <f t="shared" si="32"/>
        <v>50.1</v>
      </c>
      <c r="I236" s="5">
        <f>MAX(F233:F256)</f>
        <v>22.8</v>
      </c>
      <c r="J236" s="5">
        <v>0</v>
      </c>
      <c r="K236" s="5">
        <f t="shared" si="37"/>
        <v>461.9</v>
      </c>
      <c r="L236" s="5">
        <v>3.2</v>
      </c>
      <c r="M236" s="5">
        <f t="shared" si="38"/>
        <v>318.8</v>
      </c>
      <c r="N236" s="5">
        <v>-3.2</v>
      </c>
      <c r="O236" s="5">
        <f t="shared" si="31"/>
        <v>112.29999999999997</v>
      </c>
      <c r="P236" s="5">
        <v>231</v>
      </c>
      <c r="Q236" s="5">
        <v>1.1499999999999999</v>
      </c>
      <c r="R236" s="9">
        <f t="shared" si="34"/>
        <v>3.6799999999999997</v>
      </c>
      <c r="S236" s="9">
        <f t="shared" si="35"/>
        <v>-3.6799999999999997</v>
      </c>
      <c r="T236" s="9">
        <f t="shared" si="39"/>
        <v>96.701621621621712</v>
      </c>
      <c r="U236" s="5">
        <v>0</v>
      </c>
      <c r="V236" s="5">
        <v>1357.2</v>
      </c>
      <c r="X236" s="5">
        <f t="shared" si="40"/>
        <v>167112.60000000018</v>
      </c>
      <c r="Y236" s="5">
        <f t="shared" si="33"/>
        <v>4489.8999999999996</v>
      </c>
      <c r="Z236" s="5">
        <f>(Z234/100)/I246</f>
        <v>1.0055792191029365</v>
      </c>
      <c r="AA236" s="5">
        <v>14.2637441212025</v>
      </c>
    </row>
    <row r="237" spans="1:27" s="5" customFormat="1" x14ac:dyDescent="0.25">
      <c r="A237" s="64"/>
      <c r="B237" s="6"/>
      <c r="C237" s="26">
        <v>42122</v>
      </c>
      <c r="D237" s="5">
        <v>8.6</v>
      </c>
      <c r="E237" s="5">
        <v>3.3</v>
      </c>
      <c r="F237" s="5">
        <v>13.7</v>
      </c>
      <c r="G237" s="5">
        <f t="shared" si="36"/>
        <v>2257.8000000000002</v>
      </c>
      <c r="H237" s="5">
        <f t="shared" si="32"/>
        <v>58.7</v>
      </c>
      <c r="I237" s="27" t="s">
        <v>34</v>
      </c>
      <c r="J237" s="5">
        <v>0</v>
      </c>
      <c r="K237" s="5">
        <f t="shared" si="37"/>
        <v>461.9</v>
      </c>
      <c r="L237" s="5">
        <v>2</v>
      </c>
      <c r="M237" s="5">
        <f t="shared" si="38"/>
        <v>320.8</v>
      </c>
      <c r="N237" s="5">
        <v>-2</v>
      </c>
      <c r="O237" s="5">
        <f t="shared" si="31"/>
        <v>110.29999999999997</v>
      </c>
      <c r="P237" s="5">
        <v>232</v>
      </c>
      <c r="Q237" s="5">
        <v>1.1499999999999999</v>
      </c>
      <c r="R237" s="9">
        <f t="shared" si="34"/>
        <v>2.2999999999999998</v>
      </c>
      <c r="S237" s="9">
        <f t="shared" si="35"/>
        <v>-2.2999999999999998</v>
      </c>
      <c r="T237" s="9">
        <f t="shared" si="39"/>
        <v>94.401621621621715</v>
      </c>
      <c r="U237" s="27" t="s">
        <v>35</v>
      </c>
      <c r="V237" s="5">
        <v>1460.2</v>
      </c>
      <c r="X237" s="5">
        <f t="shared" si="40"/>
        <v>168572.80000000019</v>
      </c>
      <c r="Y237" s="5">
        <f t="shared" si="33"/>
        <v>5950.0999999999995</v>
      </c>
      <c r="Z237" s="27" t="s">
        <v>36</v>
      </c>
      <c r="AA237" s="5">
        <v>14.316754188346501</v>
      </c>
    </row>
    <row r="238" spans="1:27" s="5" customFormat="1" x14ac:dyDescent="0.25">
      <c r="A238" s="64"/>
      <c r="B238" s="6"/>
      <c r="C238" s="26">
        <v>42123</v>
      </c>
      <c r="D238" s="5">
        <v>9.6</v>
      </c>
      <c r="E238" s="5">
        <v>4.3</v>
      </c>
      <c r="F238" s="5">
        <v>14.9</v>
      </c>
      <c r="G238" s="5">
        <f t="shared" si="36"/>
        <v>2267.4</v>
      </c>
      <c r="H238" s="5">
        <f t="shared" si="32"/>
        <v>68.3</v>
      </c>
      <c r="I238" s="9">
        <f>AVERAGE(D233:D256)</f>
        <v>12.912499999999996</v>
      </c>
      <c r="J238" s="5">
        <v>11</v>
      </c>
      <c r="K238" s="5">
        <f t="shared" si="37"/>
        <v>472.9</v>
      </c>
      <c r="L238" s="5">
        <v>2</v>
      </c>
      <c r="M238" s="5">
        <f t="shared" si="38"/>
        <v>322.8</v>
      </c>
      <c r="N238" s="5">
        <v>9</v>
      </c>
      <c r="O238" s="5">
        <f t="shared" si="31"/>
        <v>119.29999999999997</v>
      </c>
      <c r="P238" s="5">
        <v>233</v>
      </c>
      <c r="Q238" s="5">
        <v>1.1499999999999999</v>
      </c>
      <c r="R238" s="9">
        <f t="shared" si="34"/>
        <v>2.2999999999999998</v>
      </c>
      <c r="S238" s="9">
        <f t="shared" si="35"/>
        <v>8.6999999999999993</v>
      </c>
      <c r="T238" s="9">
        <f t="shared" si="39"/>
        <v>103.10162162162172</v>
      </c>
      <c r="U238" s="5">
        <v>0</v>
      </c>
      <c r="V238" s="5">
        <v>1448.4</v>
      </c>
      <c r="X238" s="5">
        <f t="shared" si="40"/>
        <v>170021.20000000019</v>
      </c>
      <c r="Y238" s="5">
        <f t="shared" si="33"/>
        <v>7398.5</v>
      </c>
      <c r="Z238" s="5">
        <v>8</v>
      </c>
      <c r="AA238" s="5">
        <v>14.3693952467345</v>
      </c>
    </row>
    <row r="239" spans="1:27" s="5" customFormat="1" x14ac:dyDescent="0.25">
      <c r="A239" s="64"/>
      <c r="B239" s="6"/>
      <c r="C239" s="26">
        <v>42124</v>
      </c>
      <c r="D239" s="5">
        <v>10.8</v>
      </c>
      <c r="E239" s="5">
        <v>9.6999999999999993</v>
      </c>
      <c r="F239" s="5">
        <v>11.6</v>
      </c>
      <c r="G239" s="5">
        <f t="shared" si="36"/>
        <v>2278.2000000000003</v>
      </c>
      <c r="H239" s="5">
        <f t="shared" si="32"/>
        <v>79.099999999999994</v>
      </c>
      <c r="I239" s="27" t="s">
        <v>37</v>
      </c>
      <c r="J239" s="5">
        <v>21.5</v>
      </c>
      <c r="K239" s="5">
        <f t="shared" si="37"/>
        <v>494.4</v>
      </c>
      <c r="L239" s="5">
        <v>0.9</v>
      </c>
      <c r="M239" s="5">
        <f t="shared" si="38"/>
        <v>323.7</v>
      </c>
      <c r="N239" s="5">
        <v>20.6</v>
      </c>
      <c r="O239" s="5">
        <f t="shared" si="31"/>
        <v>139.89999999999998</v>
      </c>
      <c r="P239" s="5">
        <v>234</v>
      </c>
      <c r="Q239" s="5">
        <v>1.1499999999999999</v>
      </c>
      <c r="R239" s="9">
        <f t="shared" si="34"/>
        <v>1.0349999999999999</v>
      </c>
      <c r="S239" s="9">
        <f t="shared" si="35"/>
        <v>20.465</v>
      </c>
      <c r="T239" s="9">
        <f t="shared" si="39"/>
        <v>123.56662162162172</v>
      </c>
      <c r="U239" s="27" t="s">
        <v>38</v>
      </c>
      <c r="V239" s="5">
        <v>427</v>
      </c>
      <c r="X239" s="5">
        <f t="shared" si="40"/>
        <v>170448.20000000019</v>
      </c>
      <c r="Y239" s="5">
        <f t="shared" si="33"/>
        <v>7825.5</v>
      </c>
      <c r="AA239" s="5">
        <v>14.421650718784701</v>
      </c>
    </row>
    <row r="240" spans="1:27" s="5" customFormat="1" x14ac:dyDescent="0.25">
      <c r="A240" s="64"/>
      <c r="B240" s="6"/>
      <c r="C240" s="26">
        <v>42125</v>
      </c>
      <c r="D240" s="5">
        <v>12.2</v>
      </c>
      <c r="E240" s="5">
        <v>9.6</v>
      </c>
      <c r="F240" s="5">
        <v>14.9</v>
      </c>
      <c r="G240" s="5">
        <f t="shared" si="36"/>
        <v>2290.4</v>
      </c>
      <c r="H240" s="5">
        <f t="shared" si="32"/>
        <v>91.3</v>
      </c>
      <c r="I240" s="5">
        <v>0</v>
      </c>
      <c r="J240" s="5">
        <v>0.7</v>
      </c>
      <c r="K240" s="5">
        <f t="shared" si="37"/>
        <v>495.09999999999997</v>
      </c>
      <c r="L240" s="5">
        <v>1.1000000000000001</v>
      </c>
      <c r="M240" s="5">
        <f t="shared" si="38"/>
        <v>324.8</v>
      </c>
      <c r="N240" s="5">
        <v>-0.40000000000000013</v>
      </c>
      <c r="O240" s="5">
        <f t="shared" si="31"/>
        <v>139.49999999999997</v>
      </c>
      <c r="P240" s="5">
        <v>235</v>
      </c>
      <c r="Q240" s="5">
        <v>1.1499999999999999</v>
      </c>
      <c r="R240" s="9">
        <f t="shared" si="34"/>
        <v>1.2649999999999999</v>
      </c>
      <c r="S240" s="9">
        <f t="shared" si="35"/>
        <v>-0.56499999999999995</v>
      </c>
      <c r="T240" s="9">
        <f t="shared" si="39"/>
        <v>123.00162162162172</v>
      </c>
      <c r="U240" s="9">
        <f>MIN(T233:T256)</f>
        <v>94.401621621621715</v>
      </c>
      <c r="V240" s="5">
        <v>625.1</v>
      </c>
      <c r="X240" s="5">
        <f t="shared" si="40"/>
        <v>171073.30000000019</v>
      </c>
      <c r="Y240" s="5">
        <f t="shared" si="33"/>
        <v>8450.6</v>
      </c>
      <c r="AA240" s="5">
        <v>14.4735035121777</v>
      </c>
    </row>
    <row r="241" spans="1:27" s="5" customFormat="1" x14ac:dyDescent="0.25">
      <c r="A241" s="64"/>
      <c r="B241" s="6"/>
      <c r="C241" s="26">
        <v>42126</v>
      </c>
      <c r="D241" s="5">
        <v>13.3</v>
      </c>
      <c r="E241" s="5">
        <v>11.9</v>
      </c>
      <c r="F241" s="5">
        <v>14.8</v>
      </c>
      <c r="G241" s="5">
        <f t="shared" si="36"/>
        <v>2303.7000000000003</v>
      </c>
      <c r="H241" s="5">
        <f t="shared" si="32"/>
        <v>104.6</v>
      </c>
      <c r="I241" s="27" t="s">
        <v>39</v>
      </c>
      <c r="J241" s="5">
        <v>19.899999999999999</v>
      </c>
      <c r="K241" s="5">
        <f t="shared" si="37"/>
        <v>515</v>
      </c>
      <c r="L241" s="5">
        <v>1.2</v>
      </c>
      <c r="M241" s="5">
        <f t="shared" si="38"/>
        <v>326</v>
      </c>
      <c r="N241" s="5">
        <v>18.7</v>
      </c>
      <c r="O241" s="5">
        <f t="shared" si="31"/>
        <v>158.19999999999996</v>
      </c>
      <c r="P241" s="5">
        <v>236</v>
      </c>
      <c r="Q241" s="5">
        <v>1.1499999999999999</v>
      </c>
      <c r="R241" s="9">
        <f t="shared" si="34"/>
        <v>1.38</v>
      </c>
      <c r="S241" s="9">
        <f t="shared" si="35"/>
        <v>18.52</v>
      </c>
      <c r="T241" s="9">
        <f t="shared" si="39"/>
        <v>141.52162162162173</v>
      </c>
      <c r="U241" s="27" t="s">
        <v>40</v>
      </c>
      <c r="V241" s="5">
        <v>638.20000000000005</v>
      </c>
      <c r="X241" s="5">
        <f t="shared" si="40"/>
        <v>171711.5000000002</v>
      </c>
      <c r="Y241" s="5">
        <f t="shared" si="33"/>
        <v>9088.8000000000011</v>
      </c>
      <c r="AA241" s="5">
        <v>14.5249360171082</v>
      </c>
    </row>
    <row r="242" spans="1:27" s="5" customFormat="1" x14ac:dyDescent="0.25">
      <c r="A242" s="64"/>
      <c r="B242" s="6"/>
      <c r="C242" s="26">
        <v>42127</v>
      </c>
      <c r="D242" s="5">
        <v>15</v>
      </c>
      <c r="E242" s="5">
        <v>13.7</v>
      </c>
      <c r="F242" s="5">
        <v>17.600000000000001</v>
      </c>
      <c r="G242" s="5">
        <f t="shared" si="36"/>
        <v>2318.7000000000003</v>
      </c>
      <c r="H242" s="5">
        <f t="shared" si="32"/>
        <v>119.6</v>
      </c>
      <c r="I242" s="5">
        <v>0</v>
      </c>
      <c r="J242" s="5">
        <v>0.4</v>
      </c>
      <c r="K242" s="5">
        <f t="shared" si="37"/>
        <v>515.4</v>
      </c>
      <c r="L242" s="5">
        <v>1.5</v>
      </c>
      <c r="M242" s="5">
        <f t="shared" si="38"/>
        <v>327.5</v>
      </c>
      <c r="N242" s="5">
        <v>-1.1000000000000001</v>
      </c>
      <c r="O242" s="5">
        <f t="shared" si="31"/>
        <v>157.09999999999997</v>
      </c>
      <c r="P242" s="5">
        <v>237</v>
      </c>
      <c r="Q242" s="5">
        <v>1.1499999999999999</v>
      </c>
      <c r="R242" s="9">
        <f t="shared" si="34"/>
        <v>1.7249999999999999</v>
      </c>
      <c r="S242" s="9">
        <f t="shared" si="35"/>
        <v>-1.3249999999999997</v>
      </c>
      <c r="T242" s="9">
        <f t="shared" si="39"/>
        <v>140.19662162162174</v>
      </c>
      <c r="U242" s="9">
        <f>MAX(T233:T256)</f>
        <v>151.07162162162174</v>
      </c>
      <c r="V242" s="5">
        <v>592.1</v>
      </c>
      <c r="X242" s="5">
        <f t="shared" si="40"/>
        <v>172303.60000000021</v>
      </c>
      <c r="Y242" s="5">
        <f t="shared" si="33"/>
        <v>9680.9000000000015</v>
      </c>
      <c r="AA242" s="5">
        <v>14.575930104935701</v>
      </c>
    </row>
    <row r="243" spans="1:27" s="5" customFormat="1" x14ac:dyDescent="0.25">
      <c r="A243" s="64"/>
      <c r="B243" s="6"/>
      <c r="C243" s="26">
        <v>42128</v>
      </c>
      <c r="D243" s="5">
        <v>14.4</v>
      </c>
      <c r="E243" s="5">
        <v>13</v>
      </c>
      <c r="F243" s="5">
        <v>15.9</v>
      </c>
      <c r="G243" s="5">
        <f t="shared" si="36"/>
        <v>2333.1000000000004</v>
      </c>
      <c r="H243" s="5">
        <f t="shared" si="32"/>
        <v>134</v>
      </c>
      <c r="I243" s="27" t="s">
        <v>41</v>
      </c>
      <c r="J243" s="5">
        <v>12.6</v>
      </c>
      <c r="K243" s="5">
        <f t="shared" si="37"/>
        <v>528</v>
      </c>
      <c r="L243" s="5">
        <v>1.5</v>
      </c>
      <c r="M243" s="5">
        <f t="shared" si="38"/>
        <v>329</v>
      </c>
      <c r="N243" s="5">
        <v>11.1</v>
      </c>
      <c r="O243" s="5">
        <f t="shared" ref="O243:O301" si="41">O242+N243</f>
        <v>168.19999999999996</v>
      </c>
      <c r="P243" s="5">
        <v>238</v>
      </c>
      <c r="Q243" s="5">
        <v>1.1499999999999999</v>
      </c>
      <c r="R243" s="9">
        <f t="shared" si="34"/>
        <v>1.7249999999999999</v>
      </c>
      <c r="S243" s="9">
        <f t="shared" si="35"/>
        <v>10.875</v>
      </c>
      <c r="T243" s="9">
        <f t="shared" si="39"/>
        <v>151.07162162162174</v>
      </c>
      <c r="U243" s="27" t="s">
        <v>42</v>
      </c>
      <c r="V243" s="5">
        <v>690.7</v>
      </c>
      <c r="X243" s="5">
        <f t="shared" si="40"/>
        <v>172994.30000000022</v>
      </c>
      <c r="Y243" s="5">
        <f t="shared" si="33"/>
        <v>10371.600000000002</v>
      </c>
      <c r="AA243" s="5">
        <v>14.6264671283348</v>
      </c>
    </row>
    <row r="244" spans="1:27" s="5" customFormat="1" x14ac:dyDescent="0.25">
      <c r="A244" s="64"/>
      <c r="B244" s="6"/>
      <c r="C244" s="26">
        <v>42129</v>
      </c>
      <c r="D244" s="5">
        <v>13</v>
      </c>
      <c r="E244" s="5">
        <v>12.5</v>
      </c>
      <c r="F244" s="5">
        <v>14.7</v>
      </c>
      <c r="G244" s="5">
        <f t="shared" si="36"/>
        <v>2346.1000000000004</v>
      </c>
      <c r="H244" s="5">
        <f t="shared" si="32"/>
        <v>147</v>
      </c>
      <c r="I244" s="5">
        <v>2</v>
      </c>
      <c r="J244" s="5">
        <v>2.8</v>
      </c>
      <c r="K244" s="5">
        <f t="shared" si="37"/>
        <v>530.79999999999995</v>
      </c>
      <c r="L244" s="5">
        <v>2.9</v>
      </c>
      <c r="M244" s="5">
        <f t="shared" si="38"/>
        <v>331.9</v>
      </c>
      <c r="N244" s="5">
        <v>-0.10000000000000009</v>
      </c>
      <c r="O244" s="5">
        <f t="shared" si="41"/>
        <v>168.09999999999997</v>
      </c>
      <c r="P244" s="5">
        <v>239</v>
      </c>
      <c r="Q244" s="5">
        <v>1.1499999999999999</v>
      </c>
      <c r="R244" s="9">
        <f t="shared" si="34"/>
        <v>3.3349999999999995</v>
      </c>
      <c r="S244" s="9">
        <f t="shared" si="35"/>
        <v>-0.5349999999999997</v>
      </c>
      <c r="T244" s="9">
        <f t="shared" si="39"/>
        <v>150.53662162162175</v>
      </c>
      <c r="U244" s="18">
        <f>AVERAGE(T233:T256)</f>
        <v>126.90516328828841</v>
      </c>
      <c r="V244" s="5">
        <v>1322.4</v>
      </c>
      <c r="X244" s="5">
        <f t="shared" si="40"/>
        <v>174316.70000000022</v>
      </c>
      <c r="Y244" s="5">
        <f t="shared" si="33"/>
        <v>11694.000000000002</v>
      </c>
      <c r="AA244" s="5">
        <v>14.676527923044199</v>
      </c>
    </row>
    <row r="245" spans="1:27" s="5" customFormat="1" x14ac:dyDescent="0.25">
      <c r="A245" s="64"/>
      <c r="B245" s="6"/>
      <c r="C245" s="26">
        <v>42130</v>
      </c>
      <c r="D245" s="5">
        <v>11.6</v>
      </c>
      <c r="E245" s="5">
        <v>9.6999999999999993</v>
      </c>
      <c r="F245" s="5">
        <v>15.1</v>
      </c>
      <c r="G245" s="5">
        <f t="shared" si="36"/>
        <v>2357.7000000000003</v>
      </c>
      <c r="H245" s="5">
        <f t="shared" si="32"/>
        <v>158.6</v>
      </c>
      <c r="I245" s="27" t="s">
        <v>45</v>
      </c>
      <c r="J245" s="5">
        <v>1.5</v>
      </c>
      <c r="K245" s="5">
        <f t="shared" si="37"/>
        <v>532.29999999999995</v>
      </c>
      <c r="L245" s="5">
        <v>2.8</v>
      </c>
      <c r="M245" s="5">
        <f t="shared" si="38"/>
        <v>334.7</v>
      </c>
      <c r="N245" s="5">
        <v>-1.2999999999999998</v>
      </c>
      <c r="O245" s="5">
        <f t="shared" si="41"/>
        <v>166.79999999999995</v>
      </c>
      <c r="P245" s="5">
        <v>240</v>
      </c>
      <c r="Q245" s="5">
        <v>1.1499999999999999</v>
      </c>
      <c r="R245" s="9">
        <f t="shared" si="34"/>
        <v>3.2199999999999998</v>
      </c>
      <c r="S245" s="9">
        <f t="shared" si="35"/>
        <v>-1.7199999999999998</v>
      </c>
      <c r="T245" s="9">
        <f t="shared" si="39"/>
        <v>148.81662162162175</v>
      </c>
      <c r="V245" s="5">
        <v>1442.8</v>
      </c>
      <c r="X245" s="5">
        <f t="shared" si="40"/>
        <v>175759.5000000002</v>
      </c>
      <c r="Y245" s="5">
        <f t="shared" si="33"/>
        <v>13136.800000000001</v>
      </c>
      <c r="AA245" s="5">
        <v>14.7260928113191</v>
      </c>
    </row>
    <row r="246" spans="1:27" s="5" customFormat="1" x14ac:dyDescent="0.25">
      <c r="A246" s="64"/>
      <c r="B246" s="6"/>
      <c r="C246" s="26">
        <v>42131</v>
      </c>
      <c r="D246" s="5">
        <v>11.8</v>
      </c>
      <c r="E246" s="5">
        <v>7.3</v>
      </c>
      <c r="F246" s="5">
        <v>15.3</v>
      </c>
      <c r="G246" s="5">
        <f t="shared" si="36"/>
        <v>2369.5000000000005</v>
      </c>
      <c r="H246" s="5">
        <f t="shared" ref="H246:H301" si="42">H245+D246</f>
        <v>170.4</v>
      </c>
      <c r="I246" s="5">
        <v>309.89999999999998</v>
      </c>
      <c r="J246" s="5">
        <v>0.2</v>
      </c>
      <c r="K246" s="5">
        <f t="shared" si="37"/>
        <v>532.5</v>
      </c>
      <c r="L246" s="5">
        <v>3</v>
      </c>
      <c r="M246" s="5">
        <f t="shared" si="38"/>
        <v>337.7</v>
      </c>
      <c r="N246" s="5">
        <v>-2.8</v>
      </c>
      <c r="O246" s="5">
        <f t="shared" si="41"/>
        <v>163.99999999999994</v>
      </c>
      <c r="P246" s="5">
        <v>241</v>
      </c>
      <c r="Q246" s="5">
        <v>1.1499999999999999</v>
      </c>
      <c r="R246" s="9">
        <f t="shared" si="34"/>
        <v>3.4499999999999997</v>
      </c>
      <c r="S246" s="9">
        <f t="shared" si="35"/>
        <v>-3.2499999999999996</v>
      </c>
      <c r="T246" s="9">
        <f t="shared" si="39"/>
        <v>145.56662162162175</v>
      </c>
      <c r="U246" s="5">
        <f>(U244*100)/197.4</f>
        <v>64.288329933276799</v>
      </c>
      <c r="V246" s="5">
        <v>2090.6</v>
      </c>
      <c r="X246" s="5">
        <f t="shared" si="40"/>
        <v>177850.10000000021</v>
      </c>
      <c r="Y246" s="5">
        <f t="shared" ref="Y246:Y301" si="43">Y245+V246</f>
        <v>15227.400000000001</v>
      </c>
      <c r="AA246" s="5">
        <v>14.7751416071881</v>
      </c>
    </row>
    <row r="247" spans="1:27" s="5" customFormat="1" x14ac:dyDescent="0.25">
      <c r="A247" s="64"/>
      <c r="B247" s="6"/>
      <c r="C247" s="26">
        <v>42132</v>
      </c>
      <c r="D247" s="5">
        <v>13.9</v>
      </c>
      <c r="E247" s="5">
        <v>10.5</v>
      </c>
      <c r="F247" s="5">
        <v>16.600000000000001</v>
      </c>
      <c r="G247" s="5">
        <f t="shared" si="36"/>
        <v>2383.4000000000005</v>
      </c>
      <c r="H247" s="5">
        <f t="shared" si="42"/>
        <v>184.3</v>
      </c>
      <c r="J247" s="5">
        <v>1.8</v>
      </c>
      <c r="K247" s="5">
        <f t="shared" si="37"/>
        <v>534.29999999999995</v>
      </c>
      <c r="L247" s="5">
        <v>1.3</v>
      </c>
      <c r="M247" s="5">
        <f t="shared" si="38"/>
        <v>339</v>
      </c>
      <c r="N247" s="5">
        <v>0.5</v>
      </c>
      <c r="O247" s="5">
        <f t="shared" si="41"/>
        <v>164.49999999999994</v>
      </c>
      <c r="P247" s="5">
        <v>242</v>
      </c>
      <c r="Q247" s="5">
        <v>1.1499999999999999</v>
      </c>
      <c r="R247" s="9">
        <f t="shared" si="34"/>
        <v>1.4949999999999999</v>
      </c>
      <c r="S247" s="9">
        <f t="shared" si="35"/>
        <v>0.30500000000000016</v>
      </c>
      <c r="T247" s="9">
        <f t="shared" si="39"/>
        <v>145.87162162162176</v>
      </c>
      <c r="V247" s="5">
        <v>813.7</v>
      </c>
      <c r="X247" s="5">
        <f t="shared" si="40"/>
        <v>178663.80000000022</v>
      </c>
      <c r="Y247" s="5">
        <f t="shared" si="43"/>
        <v>16041.100000000002</v>
      </c>
      <c r="AA247" s="5">
        <v>14.823653623621601</v>
      </c>
    </row>
    <row r="248" spans="1:27" s="5" customFormat="1" x14ac:dyDescent="0.25">
      <c r="A248" s="64"/>
      <c r="B248" s="6"/>
      <c r="C248" s="26">
        <v>42133</v>
      </c>
      <c r="D248" s="5">
        <v>14.5</v>
      </c>
      <c r="E248" s="5">
        <v>11.9</v>
      </c>
      <c r="F248" s="5">
        <v>17.7</v>
      </c>
      <c r="G248" s="5">
        <f t="shared" si="36"/>
        <v>2397.9000000000005</v>
      </c>
      <c r="H248" s="5">
        <f t="shared" si="42"/>
        <v>198.8</v>
      </c>
      <c r="J248" s="5">
        <v>0.2</v>
      </c>
      <c r="K248" s="5">
        <f t="shared" si="37"/>
        <v>534.5</v>
      </c>
      <c r="L248" s="5">
        <v>2.7</v>
      </c>
      <c r="M248" s="5">
        <f t="shared" si="38"/>
        <v>341.7</v>
      </c>
      <c r="N248" s="5">
        <v>-2.5</v>
      </c>
      <c r="O248" s="5">
        <f t="shared" si="41"/>
        <v>161.99999999999994</v>
      </c>
      <c r="P248" s="5">
        <v>243</v>
      </c>
      <c r="Q248" s="5">
        <v>1.1499999999999999</v>
      </c>
      <c r="R248" s="9">
        <f t="shared" si="34"/>
        <v>3.105</v>
      </c>
      <c r="S248" s="9">
        <f t="shared" si="35"/>
        <v>-2.9049999999999998</v>
      </c>
      <c r="T248" s="9">
        <f t="shared" si="39"/>
        <v>142.96662162162175</v>
      </c>
      <c r="V248" s="5">
        <v>1725.2</v>
      </c>
      <c r="X248" s="5">
        <f t="shared" si="40"/>
        <v>180389.00000000023</v>
      </c>
      <c r="Y248" s="5">
        <f t="shared" si="43"/>
        <v>17766.300000000003</v>
      </c>
      <c r="AA248" s="5">
        <v>14.8716076817126</v>
      </c>
    </row>
    <row r="249" spans="1:27" s="5" customFormat="1" x14ac:dyDescent="0.25">
      <c r="A249" s="64"/>
      <c r="B249" s="6"/>
      <c r="C249" s="26">
        <v>42134</v>
      </c>
      <c r="D249" s="5">
        <v>16</v>
      </c>
      <c r="E249" s="5">
        <v>11.5</v>
      </c>
      <c r="F249" s="5">
        <v>21</v>
      </c>
      <c r="G249" s="5">
        <f t="shared" si="36"/>
        <v>2413.9000000000005</v>
      </c>
      <c r="H249" s="5">
        <f t="shared" si="42"/>
        <v>214.8</v>
      </c>
      <c r="J249" s="5">
        <v>0</v>
      </c>
      <c r="K249" s="5">
        <f t="shared" si="37"/>
        <v>534.5</v>
      </c>
      <c r="L249" s="5">
        <v>2.6</v>
      </c>
      <c r="M249" s="5">
        <f t="shared" si="38"/>
        <v>344.3</v>
      </c>
      <c r="N249" s="5">
        <v>-2.6</v>
      </c>
      <c r="O249" s="5">
        <f t="shared" si="41"/>
        <v>159.39999999999995</v>
      </c>
      <c r="P249" s="5">
        <v>244</v>
      </c>
      <c r="Q249" s="5">
        <v>1.1499999999999999</v>
      </c>
      <c r="R249" s="9">
        <f t="shared" si="34"/>
        <v>2.9899999999999998</v>
      </c>
      <c r="S249" s="9">
        <f t="shared" si="35"/>
        <v>-2.9899999999999998</v>
      </c>
      <c r="T249" s="9">
        <f t="shared" si="39"/>
        <v>139.97662162162175</v>
      </c>
      <c r="V249" s="5">
        <v>1557.2</v>
      </c>
      <c r="X249" s="5">
        <f t="shared" si="40"/>
        <v>181946.20000000024</v>
      </c>
      <c r="Y249" s="5">
        <f t="shared" si="43"/>
        <v>19323.500000000004</v>
      </c>
      <c r="AA249" s="5">
        <v>14.9189821219744</v>
      </c>
    </row>
    <row r="250" spans="1:27" s="5" customFormat="1" x14ac:dyDescent="0.25">
      <c r="A250" s="64"/>
      <c r="B250" s="6"/>
      <c r="C250" s="26">
        <v>42135</v>
      </c>
      <c r="D250" s="5">
        <v>17</v>
      </c>
      <c r="E250" s="5">
        <v>13.2</v>
      </c>
      <c r="F250" s="5">
        <v>22.8</v>
      </c>
      <c r="G250" s="5">
        <f t="shared" si="36"/>
        <v>2430.9000000000005</v>
      </c>
      <c r="H250" s="5">
        <f t="shared" si="42"/>
        <v>231.8</v>
      </c>
      <c r="J250" s="5">
        <v>0</v>
      </c>
      <c r="K250" s="5">
        <f t="shared" si="37"/>
        <v>534.5</v>
      </c>
      <c r="L250" s="5">
        <v>4.3</v>
      </c>
      <c r="M250" s="5">
        <f t="shared" si="38"/>
        <v>348.6</v>
      </c>
      <c r="N250" s="5">
        <v>-4.3</v>
      </c>
      <c r="O250" s="5">
        <f t="shared" si="41"/>
        <v>155.09999999999994</v>
      </c>
      <c r="P250" s="5">
        <v>245</v>
      </c>
      <c r="Q250" s="5">
        <v>1.1499999999999999</v>
      </c>
      <c r="R250" s="9">
        <f t="shared" si="34"/>
        <v>4.9449999999999994</v>
      </c>
      <c r="S250" s="9">
        <f t="shared" si="35"/>
        <v>-4.9449999999999994</v>
      </c>
      <c r="T250" s="9">
        <f t="shared" si="39"/>
        <v>135.03162162162175</v>
      </c>
      <c r="V250" s="5">
        <v>2317.6</v>
      </c>
      <c r="X250" s="5">
        <f t="shared" si="40"/>
        <v>184263.80000000025</v>
      </c>
      <c r="Y250" s="5">
        <f t="shared" si="43"/>
        <v>21641.100000000002</v>
      </c>
      <c r="AA250" s="5">
        <v>14.9657548178534</v>
      </c>
    </row>
    <row r="251" spans="1:27" s="5" customFormat="1" x14ac:dyDescent="0.25">
      <c r="A251" s="64"/>
      <c r="B251" s="6"/>
      <c r="C251" s="26">
        <v>42136</v>
      </c>
      <c r="D251" s="5">
        <v>14.2</v>
      </c>
      <c r="E251" s="5">
        <v>11.2</v>
      </c>
      <c r="F251" s="5">
        <v>16.899999999999999</v>
      </c>
      <c r="G251" s="5">
        <f t="shared" si="36"/>
        <v>2445.1000000000004</v>
      </c>
      <c r="H251" s="5">
        <f t="shared" si="42"/>
        <v>246</v>
      </c>
      <c r="J251" s="5">
        <v>0</v>
      </c>
      <c r="K251" s="5">
        <f t="shared" si="37"/>
        <v>534.5</v>
      </c>
      <c r="L251" s="5">
        <v>2.6</v>
      </c>
      <c r="M251" s="5">
        <f t="shared" si="38"/>
        <v>351.20000000000005</v>
      </c>
      <c r="N251" s="5">
        <v>-2.6</v>
      </c>
      <c r="O251" s="5">
        <f t="shared" si="41"/>
        <v>152.49999999999994</v>
      </c>
      <c r="P251" s="5">
        <v>246</v>
      </c>
      <c r="Q251" s="5">
        <v>1.1499999999999999</v>
      </c>
      <c r="R251" s="9">
        <f t="shared" si="34"/>
        <v>2.9899999999999998</v>
      </c>
      <c r="S251" s="9">
        <f t="shared" si="35"/>
        <v>-2.9899999999999998</v>
      </c>
      <c r="T251" s="9">
        <f t="shared" si="39"/>
        <v>132.04162162162174</v>
      </c>
      <c r="V251" s="5">
        <v>1571.1</v>
      </c>
      <c r="X251" s="5">
        <f t="shared" si="40"/>
        <v>185834.90000000026</v>
      </c>
      <c r="Y251" s="5">
        <f t="shared" si="43"/>
        <v>23212.2</v>
      </c>
      <c r="AA251" s="5">
        <v>15.011903191555099</v>
      </c>
    </row>
    <row r="252" spans="1:27" s="5" customFormat="1" x14ac:dyDescent="0.25">
      <c r="A252" s="64"/>
      <c r="B252" s="6"/>
      <c r="C252" s="26">
        <v>42137</v>
      </c>
      <c r="D252" s="5">
        <v>15.2</v>
      </c>
      <c r="E252" s="5">
        <v>9.5</v>
      </c>
      <c r="F252" s="5">
        <v>19.3</v>
      </c>
      <c r="G252" s="5">
        <f t="shared" si="36"/>
        <v>2460.3000000000002</v>
      </c>
      <c r="H252" s="5">
        <f t="shared" si="42"/>
        <v>261.2</v>
      </c>
      <c r="J252" s="5">
        <v>0.1</v>
      </c>
      <c r="K252" s="5">
        <f t="shared" si="37"/>
        <v>534.6</v>
      </c>
      <c r="L252" s="5">
        <v>1.6</v>
      </c>
      <c r="M252" s="5">
        <f t="shared" si="38"/>
        <v>352.80000000000007</v>
      </c>
      <c r="N252" s="5">
        <v>-1.5</v>
      </c>
      <c r="O252" s="5">
        <f t="shared" si="41"/>
        <v>150.99999999999994</v>
      </c>
      <c r="P252" s="5">
        <v>247</v>
      </c>
      <c r="Q252" s="5">
        <v>1.1499999999999999</v>
      </c>
      <c r="R252" s="9">
        <f t="shared" si="34"/>
        <v>1.8399999999999999</v>
      </c>
      <c r="S252" s="9">
        <f t="shared" si="35"/>
        <v>-1.7399999999999998</v>
      </c>
      <c r="T252" s="9">
        <f t="shared" si="39"/>
        <v>130.30162162162173</v>
      </c>
      <c r="V252" s="5">
        <v>1047.7</v>
      </c>
      <c r="W252" s="12"/>
      <c r="X252" s="5">
        <f t="shared" si="40"/>
        <v>186882.60000000027</v>
      </c>
      <c r="Y252" s="5">
        <f t="shared" si="43"/>
        <v>24259.9</v>
      </c>
      <c r="Z252" s="25"/>
      <c r="AA252" s="5">
        <v>15.0574042322748</v>
      </c>
    </row>
    <row r="253" spans="1:27" s="5" customFormat="1" ht="15" customHeight="1" x14ac:dyDescent="0.25">
      <c r="A253" s="64"/>
      <c r="B253" s="6"/>
      <c r="C253" s="26">
        <v>42138</v>
      </c>
      <c r="D253" s="5">
        <v>12.9</v>
      </c>
      <c r="E253" s="5">
        <v>10.7</v>
      </c>
      <c r="F253" s="5">
        <v>16.2</v>
      </c>
      <c r="G253" s="5">
        <f t="shared" si="36"/>
        <v>2473.2000000000003</v>
      </c>
      <c r="H253" s="5">
        <f t="shared" si="42"/>
        <v>274.09999999999997</v>
      </c>
      <c r="J253" s="5">
        <v>2.8</v>
      </c>
      <c r="K253" s="5">
        <f t="shared" si="37"/>
        <v>537.4</v>
      </c>
      <c r="L253" s="5">
        <v>3.3</v>
      </c>
      <c r="M253" s="5">
        <f t="shared" si="38"/>
        <v>356.10000000000008</v>
      </c>
      <c r="N253" s="5">
        <v>-0.5</v>
      </c>
      <c r="O253" s="5">
        <f t="shared" si="41"/>
        <v>150.49999999999994</v>
      </c>
      <c r="P253" s="5">
        <v>248</v>
      </c>
      <c r="Q253" s="5">
        <v>1.1499999999999999</v>
      </c>
      <c r="R253" s="9">
        <f t="shared" si="34"/>
        <v>3.7949999999999995</v>
      </c>
      <c r="S253" s="9">
        <f t="shared" si="35"/>
        <v>-0.99499999999999966</v>
      </c>
      <c r="T253" s="9">
        <f t="shared" si="39"/>
        <v>129.30662162162173</v>
      </c>
      <c r="V253" s="5">
        <v>1944.8</v>
      </c>
      <c r="X253" s="5">
        <f t="shared" si="40"/>
        <v>188827.40000000026</v>
      </c>
      <c r="Y253" s="5">
        <f t="shared" si="43"/>
        <v>26204.7</v>
      </c>
      <c r="AA253" s="5">
        <v>15.1022345169196</v>
      </c>
    </row>
    <row r="254" spans="1:27" s="5" customFormat="1" x14ac:dyDescent="0.25">
      <c r="A254" s="64"/>
      <c r="B254" s="6"/>
      <c r="C254" s="26">
        <v>42139</v>
      </c>
      <c r="D254" s="5">
        <v>11.9</v>
      </c>
      <c r="E254" s="5">
        <v>8.5</v>
      </c>
      <c r="F254" s="5">
        <v>15.4</v>
      </c>
      <c r="G254" s="5">
        <f t="shared" si="36"/>
        <v>2485.1000000000004</v>
      </c>
      <c r="H254" s="5">
        <f t="shared" si="42"/>
        <v>285.99999999999994</v>
      </c>
      <c r="J254" s="5">
        <v>0</v>
      </c>
      <c r="K254" s="5">
        <f t="shared" si="37"/>
        <v>537.4</v>
      </c>
      <c r="L254" s="5">
        <v>2</v>
      </c>
      <c r="M254" s="5">
        <f t="shared" si="38"/>
        <v>358.10000000000008</v>
      </c>
      <c r="N254" s="5">
        <v>-2</v>
      </c>
      <c r="O254" s="5">
        <f t="shared" si="41"/>
        <v>148.49999999999994</v>
      </c>
      <c r="P254" s="5">
        <v>249</v>
      </c>
      <c r="Q254" s="5">
        <v>1.1499999999999999</v>
      </c>
      <c r="R254" s="9">
        <f t="shared" si="34"/>
        <v>2.2999999999999998</v>
      </c>
      <c r="S254" s="9">
        <f t="shared" si="35"/>
        <v>-2.2999999999999998</v>
      </c>
      <c r="T254" s="9">
        <f t="shared" si="39"/>
        <v>127.00662162162173</v>
      </c>
      <c r="V254" s="5">
        <v>1079.5999999999999</v>
      </c>
      <c r="X254" s="5">
        <f t="shared" si="40"/>
        <v>189907.00000000026</v>
      </c>
      <c r="Y254" s="5">
        <f t="shared" si="43"/>
        <v>27284.3</v>
      </c>
      <c r="AA254" s="5">
        <v>15.1463702334015</v>
      </c>
    </row>
    <row r="255" spans="1:27" s="5" customFormat="1" x14ac:dyDescent="0.25">
      <c r="A255" s="64"/>
      <c r="B255" s="6"/>
      <c r="C255" s="26">
        <v>42140</v>
      </c>
      <c r="D255" s="5">
        <v>12.5</v>
      </c>
      <c r="E255" s="5">
        <v>8</v>
      </c>
      <c r="F255" s="5">
        <v>16.7</v>
      </c>
      <c r="G255" s="5">
        <f t="shared" si="36"/>
        <v>2497.6000000000004</v>
      </c>
      <c r="H255" s="5">
        <f t="shared" si="42"/>
        <v>298.49999999999994</v>
      </c>
      <c r="J255" s="5">
        <v>0</v>
      </c>
      <c r="K255" s="5">
        <f t="shared" si="37"/>
        <v>537.4</v>
      </c>
      <c r="L255" s="5">
        <v>1.8</v>
      </c>
      <c r="M255" s="5">
        <f t="shared" si="38"/>
        <v>359.90000000000009</v>
      </c>
      <c r="N255" s="5">
        <v>-1.8</v>
      </c>
      <c r="O255" s="5">
        <f t="shared" si="41"/>
        <v>146.69999999999993</v>
      </c>
      <c r="P255" s="5">
        <v>250</v>
      </c>
      <c r="Q255" s="5">
        <v>1.1499999999999999</v>
      </c>
      <c r="R255" s="9">
        <f t="shared" si="34"/>
        <v>2.0699999999999998</v>
      </c>
      <c r="S255" s="9">
        <f t="shared" si="35"/>
        <v>-2.0699999999999998</v>
      </c>
      <c r="T255" s="9">
        <f t="shared" si="39"/>
        <v>124.93662162162174</v>
      </c>
      <c r="V255" s="5">
        <v>1245.7</v>
      </c>
      <c r="X255" s="5">
        <f t="shared" si="40"/>
        <v>191152.70000000027</v>
      </c>
      <c r="Y255" s="5">
        <f t="shared" si="43"/>
        <v>28530</v>
      </c>
      <c r="AA255" s="5">
        <v>15.1897872065722</v>
      </c>
    </row>
    <row r="256" spans="1:27" s="37" customFormat="1" ht="15.75" thickBot="1" x14ac:dyDescent="0.3">
      <c r="A256" s="64"/>
      <c r="B256" s="42">
        <v>300</v>
      </c>
      <c r="C256" s="52">
        <v>42141</v>
      </c>
      <c r="D256" s="37">
        <v>11.4</v>
      </c>
      <c r="E256" s="37">
        <v>6.3</v>
      </c>
      <c r="F256" s="37">
        <v>16.100000000000001</v>
      </c>
      <c r="G256" s="37">
        <f t="shared" si="36"/>
        <v>2509.0000000000005</v>
      </c>
      <c r="H256" s="37">
        <f t="shared" si="42"/>
        <v>309.89999999999992</v>
      </c>
      <c r="J256" s="37">
        <v>0</v>
      </c>
      <c r="K256" s="37">
        <f t="shared" si="37"/>
        <v>537.4</v>
      </c>
      <c r="L256" s="37">
        <v>3.8</v>
      </c>
      <c r="M256" s="37">
        <f t="shared" si="38"/>
        <v>363.7000000000001</v>
      </c>
      <c r="N256" s="37">
        <v>-3.8</v>
      </c>
      <c r="O256" s="37">
        <f t="shared" si="41"/>
        <v>142.89999999999992</v>
      </c>
      <c r="P256" s="37">
        <v>251</v>
      </c>
      <c r="Q256" s="38">
        <v>1.1499999999999999</v>
      </c>
      <c r="R256" s="39">
        <f t="shared" si="34"/>
        <v>4.3699999999999992</v>
      </c>
      <c r="S256" s="39">
        <f t="shared" si="35"/>
        <v>-4.3699999999999992</v>
      </c>
      <c r="T256" s="40">
        <f t="shared" si="39"/>
        <v>120.56662162162174</v>
      </c>
      <c r="V256" s="37">
        <v>2632.9</v>
      </c>
      <c r="X256" s="37">
        <f t="shared" si="40"/>
        <v>193785.60000000027</v>
      </c>
      <c r="Y256" s="38">
        <f t="shared" si="43"/>
        <v>31162.9</v>
      </c>
      <c r="AA256" s="38">
        <v>15.2324609268607</v>
      </c>
    </row>
    <row r="257" spans="1:27" s="5" customFormat="1" x14ac:dyDescent="0.25">
      <c r="A257" s="65">
        <v>600</v>
      </c>
      <c r="B257" s="6"/>
      <c r="C257" s="28">
        <v>42142</v>
      </c>
      <c r="D257" s="5">
        <v>10.8</v>
      </c>
      <c r="E257" s="5">
        <v>7.1</v>
      </c>
      <c r="F257" s="5">
        <v>14.7</v>
      </c>
      <c r="G257" s="5">
        <f t="shared" si="36"/>
        <v>2519.8000000000006</v>
      </c>
      <c r="H257" s="5">
        <v>10.8</v>
      </c>
      <c r="I257" s="29" t="s">
        <v>28</v>
      </c>
      <c r="J257" s="5">
        <v>3.3</v>
      </c>
      <c r="K257" s="5">
        <f t="shared" si="37"/>
        <v>540.69999999999993</v>
      </c>
      <c r="L257" s="5">
        <v>1.1000000000000001</v>
      </c>
      <c r="M257" s="5">
        <f t="shared" si="38"/>
        <v>364.80000000000013</v>
      </c>
      <c r="N257" s="5">
        <v>2.1999999999999997</v>
      </c>
      <c r="O257" s="5">
        <f t="shared" si="41"/>
        <v>145.09999999999991</v>
      </c>
      <c r="P257" s="5">
        <v>252</v>
      </c>
      <c r="Q257" s="18">
        <f>1.15+((P257-251)/45)*(0.35-1.15)</f>
        <v>1.1322222222222222</v>
      </c>
      <c r="R257" s="9">
        <f t="shared" si="34"/>
        <v>1.2454444444444446</v>
      </c>
      <c r="S257" s="9">
        <f t="shared" si="35"/>
        <v>2.054555555555555</v>
      </c>
      <c r="T257" s="9">
        <f t="shared" si="39"/>
        <v>122.62117717717729</v>
      </c>
      <c r="U257" s="29" t="s">
        <v>29</v>
      </c>
      <c r="V257" s="5">
        <v>787.5</v>
      </c>
      <c r="X257" s="5">
        <f t="shared" si="40"/>
        <v>194573.10000000027</v>
      </c>
      <c r="Y257" s="5">
        <v>787.5</v>
      </c>
      <c r="Z257" s="29" t="s">
        <v>30</v>
      </c>
      <c r="AA257" s="5">
        <v>15.274366581663999</v>
      </c>
    </row>
    <row r="258" spans="1:27" s="5" customFormat="1" x14ac:dyDescent="0.25">
      <c r="A258" s="65"/>
      <c r="B258" s="6"/>
      <c r="C258" s="28">
        <v>42143</v>
      </c>
      <c r="D258" s="5">
        <v>10.199999999999999</v>
      </c>
      <c r="E258" s="5">
        <v>6.8</v>
      </c>
      <c r="F258" s="5">
        <v>14.3</v>
      </c>
      <c r="G258" s="5">
        <f t="shared" si="36"/>
        <v>2530.0000000000005</v>
      </c>
      <c r="H258" s="5">
        <f t="shared" si="42"/>
        <v>21</v>
      </c>
      <c r="I258" s="5">
        <f>MIN(E257:E278)</f>
        <v>5.7</v>
      </c>
      <c r="J258" s="5">
        <v>3.5</v>
      </c>
      <c r="K258" s="5">
        <f t="shared" si="37"/>
        <v>544.19999999999993</v>
      </c>
      <c r="L258" s="5">
        <v>2.7</v>
      </c>
      <c r="M258" s="5">
        <f t="shared" si="38"/>
        <v>367.50000000000011</v>
      </c>
      <c r="N258" s="5">
        <v>0.79999999999999982</v>
      </c>
      <c r="O258" s="5">
        <f t="shared" si="41"/>
        <v>145.89999999999992</v>
      </c>
      <c r="P258" s="5">
        <v>253</v>
      </c>
      <c r="Q258" s="18">
        <f t="shared" ref="Q258:Q301" si="44">1.15+((P258-251)/45)*(0.35-1.15)</f>
        <v>1.1144444444444443</v>
      </c>
      <c r="R258" s="9">
        <f t="shared" si="34"/>
        <v>3.0089999999999999</v>
      </c>
      <c r="S258" s="9">
        <f t="shared" si="35"/>
        <v>0.4910000000000001</v>
      </c>
      <c r="T258" s="9">
        <f t="shared" si="39"/>
        <v>123.11217717717729</v>
      </c>
      <c r="U258" s="5">
        <v>19</v>
      </c>
      <c r="V258" s="5">
        <v>1675.9</v>
      </c>
      <c r="X258" s="5">
        <f t="shared" si="40"/>
        <v>196249.00000000026</v>
      </c>
      <c r="Y258" s="5">
        <f t="shared" si="43"/>
        <v>2463.4</v>
      </c>
      <c r="Z258" s="5">
        <v>40993.399999999994</v>
      </c>
      <c r="AA258" s="5">
        <v>15.315479089526701</v>
      </c>
    </row>
    <row r="259" spans="1:27" s="5" customFormat="1" x14ac:dyDescent="0.25">
      <c r="A259" s="65"/>
      <c r="B259" s="6"/>
      <c r="C259" s="28">
        <v>42144</v>
      </c>
      <c r="D259" s="5">
        <v>9.6999999999999993</v>
      </c>
      <c r="E259" s="5">
        <v>6</v>
      </c>
      <c r="F259" s="5">
        <v>13.3</v>
      </c>
      <c r="G259" s="5">
        <f t="shared" si="36"/>
        <v>2539.7000000000003</v>
      </c>
      <c r="H259" s="5">
        <f t="shared" si="42"/>
        <v>30.7</v>
      </c>
      <c r="I259" s="29" t="s">
        <v>31</v>
      </c>
      <c r="J259" s="5">
        <v>0.9</v>
      </c>
      <c r="K259" s="5">
        <f t="shared" si="37"/>
        <v>545.09999999999991</v>
      </c>
      <c r="L259" s="5">
        <v>3.1</v>
      </c>
      <c r="M259" s="5">
        <f t="shared" si="38"/>
        <v>370.60000000000014</v>
      </c>
      <c r="N259" s="5">
        <v>-2.2000000000000002</v>
      </c>
      <c r="O259" s="5">
        <f t="shared" si="41"/>
        <v>143.69999999999993</v>
      </c>
      <c r="P259" s="5">
        <v>254</v>
      </c>
      <c r="Q259" s="18">
        <f t="shared" si="44"/>
        <v>1.0966666666666667</v>
      </c>
      <c r="R259" s="9">
        <f t="shared" si="34"/>
        <v>3.3996666666666666</v>
      </c>
      <c r="S259" s="9">
        <f t="shared" si="35"/>
        <v>-2.4996666666666667</v>
      </c>
      <c r="T259" s="9">
        <f t="shared" si="39"/>
        <v>120.61251051051062</v>
      </c>
      <c r="U259" s="29" t="s">
        <v>32</v>
      </c>
      <c r="V259" s="5">
        <v>2218.9</v>
      </c>
      <c r="X259" s="5">
        <f t="shared" si="40"/>
        <v>198467.90000000026</v>
      </c>
      <c r="Y259" s="5">
        <f t="shared" si="43"/>
        <v>4682.3</v>
      </c>
      <c r="Z259" s="29" t="s">
        <v>33</v>
      </c>
      <c r="AA259" s="5">
        <v>15.355773137132701</v>
      </c>
    </row>
    <row r="260" spans="1:27" s="5" customFormat="1" x14ac:dyDescent="0.25">
      <c r="A260" s="65"/>
      <c r="B260" s="6"/>
      <c r="C260" s="28">
        <v>42145</v>
      </c>
      <c r="D260" s="5">
        <v>10.6</v>
      </c>
      <c r="E260" s="5">
        <v>5.7</v>
      </c>
      <c r="F260" s="5">
        <v>15</v>
      </c>
      <c r="G260" s="5">
        <f t="shared" si="36"/>
        <v>2550.3000000000002</v>
      </c>
      <c r="H260" s="5">
        <f t="shared" si="42"/>
        <v>41.3</v>
      </c>
      <c r="I260" s="5">
        <f>MAX(F257:F278)</f>
        <v>25.3</v>
      </c>
      <c r="J260" s="5">
        <v>0</v>
      </c>
      <c r="K260" s="5">
        <f t="shared" si="37"/>
        <v>545.09999999999991</v>
      </c>
      <c r="L260" s="5">
        <v>2.1</v>
      </c>
      <c r="M260" s="5">
        <f t="shared" si="38"/>
        <v>372.70000000000016</v>
      </c>
      <c r="N260" s="5">
        <v>-2.1</v>
      </c>
      <c r="O260" s="5">
        <f t="shared" si="41"/>
        <v>141.59999999999994</v>
      </c>
      <c r="P260" s="5">
        <v>255</v>
      </c>
      <c r="Q260" s="18">
        <f t="shared" si="44"/>
        <v>1.0788888888888888</v>
      </c>
      <c r="R260" s="9">
        <f t="shared" si="34"/>
        <v>2.2656666666666667</v>
      </c>
      <c r="S260" s="9">
        <f t="shared" si="35"/>
        <v>-2.2656666666666667</v>
      </c>
      <c r="T260" s="9">
        <f t="shared" si="39"/>
        <v>118.34684384384396</v>
      </c>
      <c r="U260" s="5">
        <v>0</v>
      </c>
      <c r="V260" s="5">
        <v>1522.1</v>
      </c>
      <c r="X260" s="5">
        <f t="shared" si="40"/>
        <v>199990.00000000026</v>
      </c>
      <c r="Y260" s="5">
        <f t="shared" si="43"/>
        <v>6204.4</v>
      </c>
      <c r="Z260" s="5">
        <f>(Z258/100)/I270</f>
        <v>1.3206636597938144</v>
      </c>
      <c r="AA260" s="5">
        <v>15.3952232191133</v>
      </c>
    </row>
    <row r="261" spans="1:27" s="5" customFormat="1" x14ac:dyDescent="0.25">
      <c r="A261" s="65"/>
      <c r="B261" s="6"/>
      <c r="C261" s="28">
        <v>42146</v>
      </c>
      <c r="D261" s="5">
        <v>12.9</v>
      </c>
      <c r="E261" s="5">
        <v>7.3</v>
      </c>
      <c r="F261" s="5">
        <v>16.5</v>
      </c>
      <c r="G261" s="5">
        <f t="shared" si="36"/>
        <v>2563.2000000000003</v>
      </c>
      <c r="H261" s="5">
        <f t="shared" si="42"/>
        <v>54.199999999999996</v>
      </c>
      <c r="I261" s="29" t="s">
        <v>34</v>
      </c>
      <c r="J261" s="5">
        <v>0</v>
      </c>
      <c r="K261" s="5">
        <f t="shared" si="37"/>
        <v>545.09999999999991</v>
      </c>
      <c r="L261" s="5">
        <v>3</v>
      </c>
      <c r="M261" s="5">
        <f t="shared" si="38"/>
        <v>375.70000000000016</v>
      </c>
      <c r="N261" s="5">
        <v>-3</v>
      </c>
      <c r="O261" s="5">
        <f t="shared" si="41"/>
        <v>138.59999999999994</v>
      </c>
      <c r="P261" s="5">
        <v>256</v>
      </c>
      <c r="Q261" s="18">
        <f t="shared" si="44"/>
        <v>1.0611111111111111</v>
      </c>
      <c r="R261" s="9">
        <f t="shared" si="34"/>
        <v>3.1833333333333336</v>
      </c>
      <c r="S261" s="9">
        <f t="shared" si="35"/>
        <v>-3.1833333333333336</v>
      </c>
      <c r="T261" s="9">
        <f t="shared" si="39"/>
        <v>115.16351051051062</v>
      </c>
      <c r="U261" s="29" t="s">
        <v>35</v>
      </c>
      <c r="V261" s="5">
        <v>1990.8</v>
      </c>
      <c r="X261" s="5">
        <f t="shared" si="40"/>
        <v>201980.80000000025</v>
      </c>
      <c r="Y261" s="5">
        <f t="shared" si="43"/>
        <v>8195.1999999999989</v>
      </c>
      <c r="Z261" s="29" t="s">
        <v>36</v>
      </c>
      <c r="AA261" s="5">
        <v>15.433803680661301</v>
      </c>
    </row>
    <row r="262" spans="1:27" s="5" customFormat="1" x14ac:dyDescent="0.25">
      <c r="A262" s="65"/>
      <c r="B262" s="6"/>
      <c r="C262" s="28">
        <v>42147</v>
      </c>
      <c r="D262" s="5">
        <v>15.6</v>
      </c>
      <c r="E262" s="5">
        <v>13.1</v>
      </c>
      <c r="F262" s="5">
        <v>19.5</v>
      </c>
      <c r="G262" s="5">
        <f t="shared" si="36"/>
        <v>2578.8000000000002</v>
      </c>
      <c r="H262" s="5">
        <f t="shared" si="42"/>
        <v>69.8</v>
      </c>
      <c r="I262" s="9">
        <f>AVERAGE(D257:D278)</f>
        <v>14.109090909090908</v>
      </c>
      <c r="J262" s="5">
        <v>0</v>
      </c>
      <c r="K262" s="5">
        <f t="shared" si="37"/>
        <v>545.09999999999991</v>
      </c>
      <c r="L262" s="5">
        <v>2.5</v>
      </c>
      <c r="M262" s="5">
        <f t="shared" si="38"/>
        <v>378.20000000000016</v>
      </c>
      <c r="N262" s="5">
        <v>-2.5</v>
      </c>
      <c r="O262" s="5">
        <f t="shared" si="41"/>
        <v>136.09999999999994</v>
      </c>
      <c r="P262" s="5">
        <v>257</v>
      </c>
      <c r="Q262" s="18">
        <f t="shared" si="44"/>
        <v>1.0433333333333332</v>
      </c>
      <c r="R262" s="9">
        <f t="shared" ref="R262:R301" si="45">Q262*L262</f>
        <v>2.6083333333333329</v>
      </c>
      <c r="S262" s="9">
        <f t="shared" ref="S262:S301" si="46">J262-R262</f>
        <v>-2.6083333333333329</v>
      </c>
      <c r="T262" s="9">
        <f t="shared" si="39"/>
        <v>112.55517717717728</v>
      </c>
      <c r="U262" s="5">
        <v>0</v>
      </c>
      <c r="V262" s="5">
        <v>1229.3</v>
      </c>
      <c r="X262" s="5">
        <f t="shared" si="40"/>
        <v>203210.10000000024</v>
      </c>
      <c r="Y262" s="5">
        <f t="shared" si="43"/>
        <v>9424.4999999999982</v>
      </c>
      <c r="Z262" s="5">
        <v>2</v>
      </c>
      <c r="AA262" s="5">
        <v>15.471488762918799</v>
      </c>
    </row>
    <row r="263" spans="1:27" s="5" customFormat="1" x14ac:dyDescent="0.25">
      <c r="A263" s="65"/>
      <c r="B263" s="6"/>
      <c r="C263" s="28">
        <v>42148</v>
      </c>
      <c r="D263" s="5">
        <v>15.3</v>
      </c>
      <c r="E263" s="5">
        <v>10.3</v>
      </c>
      <c r="F263" s="5">
        <v>19.2</v>
      </c>
      <c r="G263" s="5">
        <f t="shared" si="36"/>
        <v>2594.1000000000004</v>
      </c>
      <c r="H263" s="5">
        <f t="shared" si="42"/>
        <v>85.1</v>
      </c>
      <c r="I263" s="29" t="s">
        <v>37</v>
      </c>
      <c r="J263" s="5">
        <v>0</v>
      </c>
      <c r="K263" s="5">
        <f t="shared" si="37"/>
        <v>545.09999999999991</v>
      </c>
      <c r="L263" s="5">
        <v>2.1</v>
      </c>
      <c r="M263" s="5">
        <f t="shared" si="38"/>
        <v>380.30000000000018</v>
      </c>
      <c r="N263" s="5">
        <v>-2.1</v>
      </c>
      <c r="O263" s="5">
        <f t="shared" si="41"/>
        <v>133.99999999999994</v>
      </c>
      <c r="P263" s="5">
        <v>258</v>
      </c>
      <c r="Q263" s="18">
        <f t="shared" si="44"/>
        <v>1.0255555555555556</v>
      </c>
      <c r="R263" s="9">
        <f t="shared" si="45"/>
        <v>2.1536666666666666</v>
      </c>
      <c r="S263" s="9">
        <f t="shared" si="46"/>
        <v>-2.1536666666666666</v>
      </c>
      <c r="T263" s="9">
        <f t="shared" si="39"/>
        <v>110.40151051051062</v>
      </c>
      <c r="U263" s="29" t="s">
        <v>38</v>
      </c>
      <c r="V263" s="5">
        <v>1160.9000000000001</v>
      </c>
      <c r="X263" s="5">
        <f t="shared" si="40"/>
        <v>204371.00000000023</v>
      </c>
      <c r="Y263" s="5">
        <f t="shared" si="43"/>
        <v>10585.399999999998</v>
      </c>
      <c r="AA263" s="5">
        <v>15.508252651086901</v>
      </c>
    </row>
    <row r="264" spans="1:27" s="5" customFormat="1" x14ac:dyDescent="0.25">
      <c r="A264" s="65"/>
      <c r="B264" s="6"/>
      <c r="C264" s="28">
        <v>42149</v>
      </c>
      <c r="D264" s="5">
        <v>15.1</v>
      </c>
      <c r="E264" s="5">
        <v>13.5</v>
      </c>
      <c r="F264" s="5">
        <v>18.399999999999999</v>
      </c>
      <c r="G264" s="5">
        <f t="shared" ref="G264:G301" si="47">G263+D264</f>
        <v>2609.2000000000003</v>
      </c>
      <c r="H264" s="5">
        <f t="shared" si="42"/>
        <v>100.19999999999999</v>
      </c>
      <c r="I264" s="5">
        <v>0</v>
      </c>
      <c r="J264" s="5">
        <v>0</v>
      </c>
      <c r="K264" s="5">
        <f t="shared" ref="K264:K301" si="48">K263+J264</f>
        <v>545.09999999999991</v>
      </c>
      <c r="L264" s="5">
        <v>3.4</v>
      </c>
      <c r="M264" s="5">
        <f t="shared" ref="M264:M301" si="49">M263+L264</f>
        <v>383.70000000000016</v>
      </c>
      <c r="N264" s="5">
        <v>-3.4</v>
      </c>
      <c r="O264" s="5">
        <f t="shared" si="41"/>
        <v>130.59999999999994</v>
      </c>
      <c r="P264" s="5">
        <v>259</v>
      </c>
      <c r="Q264" s="18">
        <f t="shared" si="44"/>
        <v>1.0077777777777777</v>
      </c>
      <c r="R264" s="9">
        <f t="shared" si="45"/>
        <v>3.426444444444444</v>
      </c>
      <c r="S264" s="9">
        <f t="shared" si="46"/>
        <v>-3.426444444444444</v>
      </c>
      <c r="T264" s="9">
        <f t="shared" ref="T264:T301" si="50">MIN(197.4,(T263+S264))</f>
        <v>106.97506606606618</v>
      </c>
      <c r="U264" s="9">
        <f>MIN(T257:T278)</f>
        <v>68.963843843843947</v>
      </c>
      <c r="V264" s="5">
        <v>1718.3</v>
      </c>
      <c r="X264" s="5">
        <f t="shared" ref="X264:X301" si="51">X263+V264</f>
        <v>206089.30000000022</v>
      </c>
      <c r="Y264" s="5">
        <f t="shared" si="43"/>
        <v>12303.699999999997</v>
      </c>
      <c r="AA264" s="5">
        <v>15.544069525182699</v>
      </c>
    </row>
    <row r="265" spans="1:27" s="5" customFormat="1" x14ac:dyDescent="0.25">
      <c r="A265" s="65"/>
      <c r="B265" s="6"/>
      <c r="C265" s="28">
        <v>42150</v>
      </c>
      <c r="D265" s="5">
        <v>14.6</v>
      </c>
      <c r="E265" s="5">
        <v>11</v>
      </c>
      <c r="F265" s="5">
        <v>18.5</v>
      </c>
      <c r="G265" s="5">
        <f t="shared" si="47"/>
        <v>2623.8</v>
      </c>
      <c r="H265" s="5">
        <f t="shared" si="42"/>
        <v>114.79999999999998</v>
      </c>
      <c r="I265" s="29" t="s">
        <v>39</v>
      </c>
      <c r="J265" s="5">
        <v>0</v>
      </c>
      <c r="K265" s="5">
        <f t="shared" si="48"/>
        <v>545.09999999999991</v>
      </c>
      <c r="L265" s="5">
        <v>3.2</v>
      </c>
      <c r="M265" s="5">
        <f t="shared" si="49"/>
        <v>386.90000000000015</v>
      </c>
      <c r="N265" s="5">
        <v>-3.2</v>
      </c>
      <c r="O265" s="5">
        <f t="shared" si="41"/>
        <v>127.39999999999993</v>
      </c>
      <c r="P265" s="5">
        <v>260</v>
      </c>
      <c r="Q265" s="18">
        <f t="shared" si="44"/>
        <v>0.98999999999999988</v>
      </c>
      <c r="R265" s="9">
        <f t="shared" si="45"/>
        <v>3.1679999999999997</v>
      </c>
      <c r="S265" s="9">
        <f t="shared" si="46"/>
        <v>-3.1679999999999997</v>
      </c>
      <c r="T265" s="9">
        <f t="shared" si="50"/>
        <v>103.80706606606617</v>
      </c>
      <c r="U265" s="29" t="s">
        <v>40</v>
      </c>
      <c r="V265" s="5">
        <v>1761.8</v>
      </c>
      <c r="X265" s="5">
        <f t="shared" si="51"/>
        <v>207851.10000000021</v>
      </c>
      <c r="Y265" s="5">
        <f t="shared" si="43"/>
        <v>14065.499999999996</v>
      </c>
      <c r="AA265" s="5">
        <v>15.578913613345801</v>
      </c>
    </row>
    <row r="266" spans="1:27" s="5" customFormat="1" x14ac:dyDescent="0.25">
      <c r="A266" s="65"/>
      <c r="B266" s="6"/>
      <c r="C266" s="28">
        <v>42151</v>
      </c>
      <c r="D266" s="5">
        <v>15.1</v>
      </c>
      <c r="E266" s="5">
        <v>9.4</v>
      </c>
      <c r="F266" s="5">
        <v>20.8</v>
      </c>
      <c r="G266" s="5">
        <f t="shared" si="47"/>
        <v>2638.9</v>
      </c>
      <c r="H266" s="5">
        <f t="shared" si="42"/>
        <v>129.89999999999998</v>
      </c>
      <c r="I266" s="5">
        <v>1</v>
      </c>
      <c r="J266" s="5">
        <v>0</v>
      </c>
      <c r="K266" s="5">
        <f t="shared" si="48"/>
        <v>545.09999999999991</v>
      </c>
      <c r="L266" s="5">
        <v>3.8</v>
      </c>
      <c r="M266" s="5">
        <f t="shared" si="49"/>
        <v>390.70000000000016</v>
      </c>
      <c r="N266" s="5">
        <v>-3.8</v>
      </c>
      <c r="O266" s="5">
        <f t="shared" si="41"/>
        <v>123.59999999999994</v>
      </c>
      <c r="P266" s="5">
        <v>261</v>
      </c>
      <c r="Q266" s="18">
        <f t="shared" si="44"/>
        <v>0.9722222222222221</v>
      </c>
      <c r="R266" s="9">
        <f t="shared" si="45"/>
        <v>3.6944444444444438</v>
      </c>
      <c r="S266" s="9">
        <f t="shared" si="46"/>
        <v>-3.6944444444444438</v>
      </c>
      <c r="T266" s="9">
        <f t="shared" si="50"/>
        <v>100.11262162162173</v>
      </c>
      <c r="U266" s="9">
        <f>MAX(T257:T278)</f>
        <v>123.11217717717729</v>
      </c>
      <c r="V266" s="5">
        <v>2190.1</v>
      </c>
      <c r="X266" s="5">
        <f t="shared" si="51"/>
        <v>210041.20000000022</v>
      </c>
      <c r="Y266" s="5">
        <f t="shared" si="43"/>
        <v>16255.599999999997</v>
      </c>
      <c r="AA266" s="5">
        <v>15.612759247572299</v>
      </c>
    </row>
    <row r="267" spans="1:27" s="5" customFormat="1" x14ac:dyDescent="0.25">
      <c r="A267" s="65"/>
      <c r="B267" s="6"/>
      <c r="C267" s="28">
        <v>42152</v>
      </c>
      <c r="D267" s="5">
        <v>14.1</v>
      </c>
      <c r="E267" s="5">
        <v>11.4</v>
      </c>
      <c r="F267" s="5">
        <v>17</v>
      </c>
      <c r="G267" s="5">
        <f t="shared" si="47"/>
        <v>2653</v>
      </c>
      <c r="H267" s="5">
        <f t="shared" si="42"/>
        <v>143.99999999999997</v>
      </c>
      <c r="I267" s="29" t="s">
        <v>41</v>
      </c>
      <c r="J267" s="5">
        <v>0</v>
      </c>
      <c r="K267" s="5">
        <f t="shared" si="48"/>
        <v>545.09999999999991</v>
      </c>
      <c r="L267" s="5">
        <v>2</v>
      </c>
      <c r="M267" s="5">
        <f t="shared" si="49"/>
        <v>392.70000000000016</v>
      </c>
      <c r="N267" s="5">
        <v>-2</v>
      </c>
      <c r="O267" s="5">
        <f t="shared" si="41"/>
        <v>121.59999999999994</v>
      </c>
      <c r="P267" s="5">
        <v>262</v>
      </c>
      <c r="Q267" s="18">
        <f t="shared" si="44"/>
        <v>0.95444444444444443</v>
      </c>
      <c r="R267" s="9">
        <f t="shared" si="45"/>
        <v>1.9088888888888889</v>
      </c>
      <c r="S267" s="9">
        <f t="shared" si="46"/>
        <v>-1.9088888888888889</v>
      </c>
      <c r="T267" s="9">
        <f t="shared" si="50"/>
        <v>98.203732732732846</v>
      </c>
      <c r="U267" s="29" t="s">
        <v>42</v>
      </c>
      <c r="V267" s="5">
        <v>1216.2</v>
      </c>
      <c r="X267" s="5">
        <f t="shared" si="51"/>
        <v>211257.40000000023</v>
      </c>
      <c r="Y267" s="5">
        <f t="shared" si="43"/>
        <v>17471.799999999996</v>
      </c>
      <c r="AA267" s="5">
        <v>15.6455809217266</v>
      </c>
    </row>
    <row r="268" spans="1:27" s="5" customFormat="1" x14ac:dyDescent="0.25">
      <c r="A268" s="65"/>
      <c r="B268" s="6"/>
      <c r="C268" s="28">
        <v>42153</v>
      </c>
      <c r="D268" s="5">
        <v>13.6</v>
      </c>
      <c r="E268" s="5">
        <v>10.7</v>
      </c>
      <c r="F268" s="5">
        <v>17</v>
      </c>
      <c r="G268" s="5">
        <f t="shared" si="47"/>
        <v>2666.6</v>
      </c>
      <c r="H268" s="5">
        <f t="shared" si="42"/>
        <v>157.59999999999997</v>
      </c>
      <c r="I268" s="5">
        <v>0</v>
      </c>
      <c r="J268" s="5">
        <v>0</v>
      </c>
      <c r="K268" s="5">
        <f t="shared" si="48"/>
        <v>545.09999999999991</v>
      </c>
      <c r="L268" s="5">
        <v>2.6</v>
      </c>
      <c r="M268" s="5">
        <f t="shared" si="49"/>
        <v>395.30000000000018</v>
      </c>
      <c r="N268" s="5">
        <v>-2.6</v>
      </c>
      <c r="O268" s="5">
        <f t="shared" si="41"/>
        <v>118.99999999999994</v>
      </c>
      <c r="P268" s="5">
        <v>263</v>
      </c>
      <c r="Q268" s="18">
        <f t="shared" si="44"/>
        <v>0.93666666666666654</v>
      </c>
      <c r="R268" s="9">
        <f t="shared" si="45"/>
        <v>2.4353333333333329</v>
      </c>
      <c r="S268" s="9">
        <f t="shared" si="46"/>
        <v>-2.4353333333333329</v>
      </c>
      <c r="T268" s="9">
        <f t="shared" si="50"/>
        <v>95.768399399399513</v>
      </c>
      <c r="U268" s="18">
        <f>AVERAGE(T257:T278)</f>
        <v>99.244126672126768</v>
      </c>
      <c r="V268" s="5">
        <v>1369.2</v>
      </c>
      <c r="X268" s="5">
        <f t="shared" si="51"/>
        <v>212626.60000000024</v>
      </c>
      <c r="Y268" s="5">
        <f t="shared" si="43"/>
        <v>18840.999999999996</v>
      </c>
      <c r="AA268" s="5">
        <v>15.677353351658899</v>
      </c>
    </row>
    <row r="269" spans="1:27" s="5" customFormat="1" x14ac:dyDescent="0.25">
      <c r="A269" s="65"/>
      <c r="B269" s="6"/>
      <c r="C269" s="28">
        <v>42154</v>
      </c>
      <c r="D269" s="5">
        <v>15</v>
      </c>
      <c r="E269" s="5">
        <v>10.7</v>
      </c>
      <c r="F269" s="5">
        <v>18.399999999999999</v>
      </c>
      <c r="G269" s="5">
        <f t="shared" si="47"/>
        <v>2681.6</v>
      </c>
      <c r="H269" s="5">
        <f t="shared" si="42"/>
        <v>172.59999999999997</v>
      </c>
      <c r="I269" s="29" t="s">
        <v>45</v>
      </c>
      <c r="J269" s="5">
        <v>1.2</v>
      </c>
      <c r="K269" s="5">
        <f t="shared" si="48"/>
        <v>546.29999999999995</v>
      </c>
      <c r="L269" s="5">
        <v>3.8</v>
      </c>
      <c r="M269" s="5">
        <f t="shared" si="49"/>
        <v>399.10000000000019</v>
      </c>
      <c r="N269" s="5">
        <v>-2.5999999999999996</v>
      </c>
      <c r="O269" s="5">
        <f t="shared" si="41"/>
        <v>116.39999999999995</v>
      </c>
      <c r="P269" s="5">
        <v>264</v>
      </c>
      <c r="Q269" s="18">
        <f t="shared" si="44"/>
        <v>0.91888888888888887</v>
      </c>
      <c r="R269" s="9">
        <f t="shared" si="45"/>
        <v>3.4917777777777776</v>
      </c>
      <c r="S269" s="9">
        <f t="shared" si="46"/>
        <v>-2.2917777777777779</v>
      </c>
      <c r="T269" s="9">
        <f t="shared" si="50"/>
        <v>93.476621621621732</v>
      </c>
      <c r="U269" s="5">
        <f>(U268*100)/197.4</f>
        <v>50.275646743731897</v>
      </c>
      <c r="V269" s="5">
        <v>2469.1</v>
      </c>
      <c r="X269" s="5">
        <f t="shared" si="51"/>
        <v>215095.70000000024</v>
      </c>
      <c r="Y269" s="5">
        <f t="shared" si="43"/>
        <v>21310.099999999995</v>
      </c>
      <c r="AA269" s="5">
        <v>15.7080515372264</v>
      </c>
    </row>
    <row r="270" spans="1:27" s="5" customFormat="1" x14ac:dyDescent="0.25">
      <c r="A270" s="65"/>
      <c r="B270" s="6"/>
      <c r="C270" s="28">
        <v>42155</v>
      </c>
      <c r="D270" s="5">
        <v>13.2</v>
      </c>
      <c r="E270" s="5">
        <v>12.4</v>
      </c>
      <c r="F270" s="5">
        <v>16.3</v>
      </c>
      <c r="G270" s="5">
        <f t="shared" si="47"/>
        <v>2694.7999999999997</v>
      </c>
      <c r="H270" s="5">
        <f t="shared" si="42"/>
        <v>185.79999999999995</v>
      </c>
      <c r="I270" s="5">
        <v>310.39999999999998</v>
      </c>
      <c r="J270" s="5">
        <v>3.7</v>
      </c>
      <c r="K270" s="5">
        <f t="shared" si="48"/>
        <v>550</v>
      </c>
      <c r="L270" s="5">
        <v>1.2</v>
      </c>
      <c r="M270" s="5">
        <f t="shared" si="49"/>
        <v>400.30000000000018</v>
      </c>
      <c r="N270" s="5">
        <v>2.5</v>
      </c>
      <c r="O270" s="5">
        <f t="shared" si="41"/>
        <v>118.89999999999995</v>
      </c>
      <c r="P270" s="5">
        <v>265</v>
      </c>
      <c r="Q270" s="18">
        <f t="shared" si="44"/>
        <v>0.90111111111111097</v>
      </c>
      <c r="R270" s="9">
        <f t="shared" si="45"/>
        <v>1.081333333333333</v>
      </c>
      <c r="S270" s="9">
        <f t="shared" si="46"/>
        <v>2.6186666666666669</v>
      </c>
      <c r="T270" s="9">
        <f t="shared" si="50"/>
        <v>96.095288288288401</v>
      </c>
      <c r="V270" s="5">
        <v>599.1</v>
      </c>
      <c r="X270" s="5">
        <f t="shared" si="51"/>
        <v>215694.80000000025</v>
      </c>
      <c r="Y270" s="5">
        <f t="shared" si="43"/>
        <v>21909.199999999993</v>
      </c>
      <c r="AA270" s="5">
        <v>15.7376508259911</v>
      </c>
    </row>
    <row r="271" spans="1:27" s="5" customFormat="1" x14ac:dyDescent="0.25">
      <c r="A271" s="65"/>
      <c r="B271" s="6"/>
      <c r="C271" s="28">
        <v>42156</v>
      </c>
      <c r="D271" s="5">
        <v>11.7</v>
      </c>
      <c r="E271" s="5">
        <v>6.6</v>
      </c>
      <c r="F271" s="5">
        <v>15.2</v>
      </c>
      <c r="G271" s="5">
        <f t="shared" si="47"/>
        <v>2706.4999999999995</v>
      </c>
      <c r="H271" s="5">
        <f t="shared" si="42"/>
        <v>197.49999999999994</v>
      </c>
      <c r="J271" s="5">
        <v>0</v>
      </c>
      <c r="K271" s="5">
        <f t="shared" si="48"/>
        <v>550</v>
      </c>
      <c r="L271" s="5">
        <v>2.7</v>
      </c>
      <c r="M271" s="5">
        <f t="shared" si="49"/>
        <v>403.00000000000017</v>
      </c>
      <c r="N271" s="5">
        <v>-2.7</v>
      </c>
      <c r="O271" s="5">
        <f t="shared" si="41"/>
        <v>116.19999999999995</v>
      </c>
      <c r="P271" s="5">
        <v>266</v>
      </c>
      <c r="Q271" s="18">
        <f t="shared" si="44"/>
        <v>0.8833333333333333</v>
      </c>
      <c r="R271" s="9">
        <f t="shared" si="45"/>
        <v>2.3850000000000002</v>
      </c>
      <c r="S271" s="9">
        <f t="shared" si="46"/>
        <v>-2.3850000000000002</v>
      </c>
      <c r="T271" s="9">
        <f t="shared" si="50"/>
        <v>93.710288288288396</v>
      </c>
      <c r="V271" s="5">
        <v>1554.8</v>
      </c>
      <c r="X271" s="5">
        <f t="shared" si="51"/>
        <v>217249.60000000024</v>
      </c>
      <c r="Y271" s="5">
        <f t="shared" si="43"/>
        <v>23463.999999999993</v>
      </c>
      <c r="AA271" s="5">
        <v>15.7661269783405</v>
      </c>
    </row>
    <row r="272" spans="1:27" s="5" customFormat="1" x14ac:dyDescent="0.25">
      <c r="A272" s="65"/>
      <c r="B272" s="6"/>
      <c r="C272" s="28">
        <v>42157</v>
      </c>
      <c r="D272" s="5">
        <v>15.5</v>
      </c>
      <c r="E272" s="5">
        <v>12.3</v>
      </c>
      <c r="F272" s="5">
        <v>17.100000000000001</v>
      </c>
      <c r="G272" s="5">
        <f t="shared" si="47"/>
        <v>2721.9999999999995</v>
      </c>
      <c r="H272" s="5">
        <f t="shared" si="42"/>
        <v>212.99999999999994</v>
      </c>
      <c r="J272" s="5">
        <v>0.4</v>
      </c>
      <c r="K272" s="5">
        <f t="shared" si="48"/>
        <v>550.4</v>
      </c>
      <c r="L272" s="5">
        <v>1.9</v>
      </c>
      <c r="M272" s="5">
        <f t="shared" si="49"/>
        <v>404.90000000000015</v>
      </c>
      <c r="N272" s="5">
        <v>-1.5</v>
      </c>
      <c r="O272" s="5">
        <f t="shared" si="41"/>
        <v>114.69999999999995</v>
      </c>
      <c r="P272" s="5">
        <v>267</v>
      </c>
      <c r="Q272" s="18">
        <f t="shared" si="44"/>
        <v>0.86555555555555541</v>
      </c>
      <c r="R272" s="9">
        <f t="shared" si="45"/>
        <v>1.6445555555555551</v>
      </c>
      <c r="S272" s="9">
        <f t="shared" si="46"/>
        <v>-1.244555555555555</v>
      </c>
      <c r="T272" s="9">
        <f t="shared" si="50"/>
        <v>92.465732732732846</v>
      </c>
      <c r="V272" s="5">
        <v>1070.3</v>
      </c>
      <c r="X272" s="5">
        <f t="shared" si="51"/>
        <v>218319.90000000023</v>
      </c>
      <c r="Y272" s="5">
        <f t="shared" si="43"/>
        <v>24534.299999999992</v>
      </c>
      <c r="AA272" s="5">
        <v>15.793456233751099</v>
      </c>
    </row>
    <row r="273" spans="1:27" s="5" customFormat="1" x14ac:dyDescent="0.25">
      <c r="A273" s="65"/>
      <c r="B273" s="6"/>
      <c r="C273" s="28">
        <v>42158</v>
      </c>
      <c r="D273" s="5">
        <v>15.6</v>
      </c>
      <c r="E273" s="5">
        <v>13.4</v>
      </c>
      <c r="F273" s="5">
        <v>18.399999999999999</v>
      </c>
      <c r="G273" s="5">
        <f t="shared" si="47"/>
        <v>2737.5999999999995</v>
      </c>
      <c r="H273" s="5">
        <f t="shared" si="42"/>
        <v>228.59999999999994</v>
      </c>
      <c r="J273" s="5">
        <v>0</v>
      </c>
      <c r="K273" s="5">
        <f t="shared" si="48"/>
        <v>550.4</v>
      </c>
      <c r="L273" s="5">
        <v>2.5</v>
      </c>
      <c r="M273" s="5">
        <f t="shared" si="49"/>
        <v>407.40000000000015</v>
      </c>
      <c r="N273" s="5">
        <v>-2.5</v>
      </c>
      <c r="O273" s="5">
        <f t="shared" si="41"/>
        <v>112.19999999999995</v>
      </c>
      <c r="P273" s="5">
        <v>268</v>
      </c>
      <c r="Q273" s="18">
        <f t="shared" si="44"/>
        <v>0.84777777777777774</v>
      </c>
      <c r="R273" s="9">
        <f t="shared" si="45"/>
        <v>2.1194444444444445</v>
      </c>
      <c r="S273" s="9">
        <f t="shared" si="46"/>
        <v>-2.1194444444444445</v>
      </c>
      <c r="T273" s="9">
        <f t="shared" si="50"/>
        <v>90.346288288288406</v>
      </c>
      <c r="V273" s="5">
        <v>1202.4000000000001</v>
      </c>
      <c r="X273" s="5">
        <f t="shared" si="51"/>
        <v>219522.30000000022</v>
      </c>
      <c r="Y273" s="5">
        <f t="shared" si="43"/>
        <v>25736.699999999993</v>
      </c>
      <c r="AA273" s="5">
        <v>15.819615377891401</v>
      </c>
    </row>
    <row r="274" spans="1:27" s="5" customFormat="1" x14ac:dyDescent="0.25">
      <c r="A274" s="65"/>
      <c r="B274" s="6"/>
      <c r="C274" s="28">
        <v>42159</v>
      </c>
      <c r="D274" s="5">
        <v>19.5</v>
      </c>
      <c r="E274" s="5">
        <v>10.6</v>
      </c>
      <c r="F274" s="5">
        <v>25.3</v>
      </c>
      <c r="G274" s="5">
        <f t="shared" si="47"/>
        <v>2757.0999999999995</v>
      </c>
      <c r="H274" s="5">
        <f t="shared" si="42"/>
        <v>248.09999999999994</v>
      </c>
      <c r="J274" s="5">
        <v>0</v>
      </c>
      <c r="K274" s="5">
        <f t="shared" si="48"/>
        <v>550.4</v>
      </c>
      <c r="L274" s="5">
        <v>5</v>
      </c>
      <c r="M274" s="5">
        <f t="shared" si="49"/>
        <v>412.40000000000015</v>
      </c>
      <c r="N274" s="5">
        <v>-5</v>
      </c>
      <c r="O274" s="5">
        <f t="shared" si="41"/>
        <v>107.19999999999995</v>
      </c>
      <c r="P274" s="5">
        <v>269</v>
      </c>
      <c r="Q274" s="18">
        <f t="shared" si="44"/>
        <v>0.82999999999999985</v>
      </c>
      <c r="R274" s="9">
        <f t="shared" si="45"/>
        <v>4.1499999999999995</v>
      </c>
      <c r="S274" s="9">
        <f t="shared" si="46"/>
        <v>-4.1499999999999995</v>
      </c>
      <c r="T274" s="9">
        <f t="shared" si="50"/>
        <v>86.1962882882884</v>
      </c>
      <c r="V274" s="5">
        <v>2988.9</v>
      </c>
      <c r="X274" s="5">
        <f t="shared" si="51"/>
        <v>222511.20000000022</v>
      </c>
      <c r="Y274" s="5">
        <f t="shared" si="43"/>
        <v>28725.599999999995</v>
      </c>
      <c r="AA274" s="5">
        <v>15.8445818102358</v>
      </c>
    </row>
    <row r="275" spans="1:27" s="5" customFormat="1" x14ac:dyDescent="0.25">
      <c r="A275" s="65"/>
      <c r="B275" s="6"/>
      <c r="C275" s="28">
        <v>42160</v>
      </c>
      <c r="D275" s="5">
        <v>17.899999999999999</v>
      </c>
      <c r="E275" s="5">
        <v>16.899999999999999</v>
      </c>
      <c r="F275" s="5">
        <v>21.7</v>
      </c>
      <c r="G275" s="5">
        <f t="shared" si="47"/>
        <v>2774.9999999999995</v>
      </c>
      <c r="H275" s="5">
        <f t="shared" si="42"/>
        <v>265.99999999999994</v>
      </c>
      <c r="J275" s="5">
        <v>0</v>
      </c>
      <c r="K275" s="5">
        <f t="shared" si="48"/>
        <v>550.4</v>
      </c>
      <c r="L275" s="5">
        <v>4.8</v>
      </c>
      <c r="M275" s="5">
        <f t="shared" si="49"/>
        <v>417.20000000000016</v>
      </c>
      <c r="N275" s="5">
        <v>-4.8</v>
      </c>
      <c r="O275" s="5">
        <f t="shared" si="41"/>
        <v>102.39999999999995</v>
      </c>
      <c r="P275" s="5">
        <v>270</v>
      </c>
      <c r="Q275" s="18">
        <f t="shared" si="44"/>
        <v>0.81222222222222218</v>
      </c>
      <c r="R275" s="9">
        <f t="shared" si="45"/>
        <v>3.8986666666666663</v>
      </c>
      <c r="S275" s="9">
        <f t="shared" si="46"/>
        <v>-3.8986666666666663</v>
      </c>
      <c r="T275" s="9">
        <f t="shared" si="50"/>
        <v>82.29762162162173</v>
      </c>
      <c r="V275" s="5">
        <v>2523.8000000000002</v>
      </c>
      <c r="W275" s="12"/>
      <c r="X275" s="5">
        <f t="shared" si="51"/>
        <v>225035.0000000002</v>
      </c>
      <c r="Y275" s="5">
        <f t="shared" si="43"/>
        <v>31249.399999999994</v>
      </c>
      <c r="AA275" s="5">
        <v>15.868333611840001</v>
      </c>
    </row>
    <row r="276" spans="1:27" s="5" customFormat="1" ht="15" customHeight="1" x14ac:dyDescent="0.25">
      <c r="A276" s="65"/>
      <c r="B276" s="6"/>
      <c r="C276" s="28">
        <v>42161</v>
      </c>
      <c r="D276" s="5">
        <v>13.8</v>
      </c>
      <c r="E276" s="5">
        <v>10.3</v>
      </c>
      <c r="F276" s="5">
        <v>18.3</v>
      </c>
      <c r="G276" s="5">
        <f t="shared" si="47"/>
        <v>2788.7999999999997</v>
      </c>
      <c r="H276" s="5">
        <f t="shared" si="42"/>
        <v>279.79999999999995</v>
      </c>
      <c r="J276" s="5">
        <v>0</v>
      </c>
      <c r="K276" s="5">
        <f t="shared" si="48"/>
        <v>550.4</v>
      </c>
      <c r="L276" s="5">
        <v>5.2</v>
      </c>
      <c r="M276" s="5">
        <f t="shared" si="49"/>
        <v>422.40000000000015</v>
      </c>
      <c r="N276" s="5">
        <v>-5.2</v>
      </c>
      <c r="O276" s="5">
        <f t="shared" si="41"/>
        <v>97.199999999999946</v>
      </c>
      <c r="P276" s="5">
        <v>271</v>
      </c>
      <c r="Q276" s="18">
        <f t="shared" si="44"/>
        <v>0.7944444444444444</v>
      </c>
      <c r="R276" s="9">
        <f t="shared" si="45"/>
        <v>4.1311111111111112</v>
      </c>
      <c r="S276" s="9">
        <f t="shared" si="46"/>
        <v>-4.1311111111111112</v>
      </c>
      <c r="T276" s="9">
        <f t="shared" si="50"/>
        <v>78.166510510510619</v>
      </c>
      <c r="V276" s="5">
        <v>3163.7</v>
      </c>
      <c r="X276" s="5">
        <f t="shared" si="51"/>
        <v>228198.70000000022</v>
      </c>
      <c r="Y276" s="5">
        <f t="shared" si="43"/>
        <v>34413.099999999991</v>
      </c>
      <c r="AA276" s="5">
        <v>15.8908496129102</v>
      </c>
    </row>
    <row r="277" spans="1:27" s="5" customFormat="1" x14ac:dyDescent="0.25">
      <c r="A277" s="65"/>
      <c r="B277" s="6"/>
      <c r="C277" s="28">
        <v>42162</v>
      </c>
      <c r="D277" s="5">
        <v>15.3</v>
      </c>
      <c r="E277" s="5">
        <v>9.6999999999999993</v>
      </c>
      <c r="F277" s="5">
        <v>20</v>
      </c>
      <c r="G277" s="5">
        <f t="shared" si="47"/>
        <v>2804.1</v>
      </c>
      <c r="H277" s="5">
        <f t="shared" si="42"/>
        <v>295.09999999999997</v>
      </c>
      <c r="J277" s="5">
        <v>0</v>
      </c>
      <c r="K277" s="5">
        <f t="shared" si="48"/>
        <v>550.4</v>
      </c>
      <c r="L277" s="5">
        <v>5.4</v>
      </c>
      <c r="M277" s="5">
        <f t="shared" si="49"/>
        <v>427.80000000000013</v>
      </c>
      <c r="N277" s="5">
        <v>-5.4</v>
      </c>
      <c r="O277" s="5">
        <f t="shared" si="41"/>
        <v>91.79999999999994</v>
      </c>
      <c r="P277" s="5">
        <v>272</v>
      </c>
      <c r="Q277" s="18">
        <f t="shared" si="44"/>
        <v>0.77666666666666662</v>
      </c>
      <c r="R277" s="9">
        <f t="shared" si="45"/>
        <v>4.194</v>
      </c>
      <c r="S277" s="9">
        <f t="shared" si="46"/>
        <v>-4.194</v>
      </c>
      <c r="T277" s="9">
        <f t="shared" si="50"/>
        <v>73.972510510510617</v>
      </c>
      <c r="V277" s="5">
        <v>3272.3</v>
      </c>
      <c r="X277" s="5">
        <f t="shared" si="51"/>
        <v>231471.0000000002</v>
      </c>
      <c r="Y277" s="5">
        <f t="shared" si="43"/>
        <v>37685.399999999994</v>
      </c>
      <c r="AA277" s="5">
        <v>15.9121094597803</v>
      </c>
    </row>
    <row r="278" spans="1:27" s="37" customFormat="1" ht="15.75" thickBot="1" x14ac:dyDescent="0.3">
      <c r="A278" s="65"/>
      <c r="B278" s="42">
        <v>600</v>
      </c>
      <c r="C278" s="53">
        <v>42163</v>
      </c>
      <c r="D278" s="37">
        <v>15.3</v>
      </c>
      <c r="E278" s="37">
        <v>11.2</v>
      </c>
      <c r="F278" s="37">
        <v>20.399999999999999</v>
      </c>
      <c r="G278" s="37">
        <f t="shared" si="47"/>
        <v>2819.4</v>
      </c>
      <c r="H278" s="37">
        <f t="shared" si="42"/>
        <v>310.39999999999998</v>
      </c>
      <c r="J278" s="37">
        <v>0</v>
      </c>
      <c r="K278" s="37">
        <f t="shared" si="48"/>
        <v>550.4</v>
      </c>
      <c r="L278" s="37">
        <v>6.6</v>
      </c>
      <c r="M278" s="37">
        <f t="shared" si="49"/>
        <v>434.40000000000015</v>
      </c>
      <c r="N278" s="37">
        <v>-6.6</v>
      </c>
      <c r="O278" s="37">
        <f t="shared" si="41"/>
        <v>85.199999999999946</v>
      </c>
      <c r="P278" s="37">
        <v>273</v>
      </c>
      <c r="Q278" s="54">
        <f t="shared" si="44"/>
        <v>0.75888888888888884</v>
      </c>
      <c r="R278" s="39">
        <f t="shared" si="45"/>
        <v>5.0086666666666657</v>
      </c>
      <c r="S278" s="39">
        <f t="shared" si="46"/>
        <v>-5.0086666666666657</v>
      </c>
      <c r="T278" s="51">
        <f t="shared" si="50"/>
        <v>68.963843843843947</v>
      </c>
      <c r="V278" s="37">
        <v>3308</v>
      </c>
      <c r="X278" s="37">
        <f t="shared" si="51"/>
        <v>234779.0000000002</v>
      </c>
      <c r="Y278" s="50">
        <f t="shared" si="43"/>
        <v>40993.399999999994</v>
      </c>
      <c r="AA278" s="50">
        <v>15.932093680898401</v>
      </c>
    </row>
    <row r="279" spans="1:27" s="5" customFormat="1" x14ac:dyDescent="0.25">
      <c r="A279" s="58">
        <v>1000</v>
      </c>
      <c r="B279" s="6"/>
      <c r="C279" s="30">
        <v>42164</v>
      </c>
      <c r="D279" s="5">
        <v>14.7</v>
      </c>
      <c r="E279" s="5">
        <v>10.9</v>
      </c>
      <c r="F279" s="5">
        <v>19.600000000000001</v>
      </c>
      <c r="G279" s="5">
        <f t="shared" si="47"/>
        <v>2834.1</v>
      </c>
      <c r="H279" s="5">
        <v>14.7</v>
      </c>
      <c r="I279" s="31" t="s">
        <v>28</v>
      </c>
      <c r="J279" s="5">
        <v>0</v>
      </c>
      <c r="K279" s="5">
        <f t="shared" si="48"/>
        <v>550.4</v>
      </c>
      <c r="L279" s="5">
        <v>5.0999999999999996</v>
      </c>
      <c r="M279" s="5">
        <f t="shared" si="49"/>
        <v>439.50000000000017</v>
      </c>
      <c r="N279" s="5">
        <v>-5.0999999999999996</v>
      </c>
      <c r="O279" s="5">
        <f t="shared" si="41"/>
        <v>80.099999999999952</v>
      </c>
      <c r="P279" s="5">
        <v>274</v>
      </c>
      <c r="Q279" s="18">
        <f t="shared" si="44"/>
        <v>0.74111111111111105</v>
      </c>
      <c r="R279" s="9">
        <f t="shared" si="45"/>
        <v>3.7796666666666661</v>
      </c>
      <c r="S279" s="9">
        <f t="shared" si="46"/>
        <v>-3.7796666666666661</v>
      </c>
      <c r="T279" s="9">
        <f t="shared" si="50"/>
        <v>65.184177177177276</v>
      </c>
      <c r="U279" s="31" t="s">
        <v>29</v>
      </c>
      <c r="V279" s="5">
        <v>2608.8000000000002</v>
      </c>
      <c r="X279" s="5">
        <f t="shared" si="51"/>
        <v>237387.80000000019</v>
      </c>
      <c r="Y279" s="5">
        <v>2608.8000000000002</v>
      </c>
      <c r="Z279" s="31" t="s">
        <v>30</v>
      </c>
      <c r="AA279" s="5">
        <v>15.950783751414001</v>
      </c>
    </row>
    <row r="280" spans="1:27" s="5" customFormat="1" x14ac:dyDescent="0.25">
      <c r="A280" s="58"/>
      <c r="B280" s="6"/>
      <c r="C280" s="30">
        <v>42165</v>
      </c>
      <c r="D280" s="5">
        <v>15.5</v>
      </c>
      <c r="E280" s="5">
        <v>11.4</v>
      </c>
      <c r="F280" s="5">
        <v>19.399999999999999</v>
      </c>
      <c r="G280" s="5">
        <f t="shared" si="47"/>
        <v>2849.6</v>
      </c>
      <c r="H280" s="5">
        <f t="shared" si="42"/>
        <v>30.2</v>
      </c>
      <c r="I280" s="5">
        <f>MIN(E279:E301)</f>
        <v>9.4</v>
      </c>
      <c r="J280" s="5">
        <v>0.4</v>
      </c>
      <c r="K280" s="5">
        <f t="shared" si="48"/>
        <v>550.79999999999995</v>
      </c>
      <c r="L280" s="5">
        <v>3.2</v>
      </c>
      <c r="M280" s="5">
        <f t="shared" si="49"/>
        <v>442.70000000000016</v>
      </c>
      <c r="N280" s="5">
        <v>-2.8000000000000003</v>
      </c>
      <c r="O280" s="5">
        <f t="shared" si="41"/>
        <v>77.299999999999955</v>
      </c>
      <c r="P280" s="5">
        <v>275</v>
      </c>
      <c r="Q280" s="18">
        <f t="shared" si="44"/>
        <v>0.72333333333333327</v>
      </c>
      <c r="R280" s="9">
        <f t="shared" si="45"/>
        <v>2.3146666666666667</v>
      </c>
      <c r="S280" s="9">
        <f t="shared" si="46"/>
        <v>-1.9146666666666667</v>
      </c>
      <c r="T280" s="9">
        <f t="shared" si="50"/>
        <v>63.269510510510607</v>
      </c>
      <c r="U280" s="5">
        <v>19</v>
      </c>
      <c r="V280" s="5">
        <v>1292.4000000000001</v>
      </c>
      <c r="X280" s="5">
        <f t="shared" si="51"/>
        <v>238680.20000000019</v>
      </c>
      <c r="Y280" s="5">
        <f t="shared" si="43"/>
        <v>3901.2000000000003</v>
      </c>
      <c r="Z280" s="5">
        <v>49259.499999999993</v>
      </c>
      <c r="AA280" s="5">
        <v>15.968162155951299</v>
      </c>
    </row>
    <row r="281" spans="1:27" s="5" customFormat="1" x14ac:dyDescent="0.25">
      <c r="A281" s="58"/>
      <c r="B281" s="6"/>
      <c r="C281" s="30">
        <v>42166</v>
      </c>
      <c r="D281" s="5">
        <v>19.8</v>
      </c>
      <c r="E281" s="5">
        <v>16.399999999999999</v>
      </c>
      <c r="F281" s="5">
        <v>24.5</v>
      </c>
      <c r="G281" s="5">
        <f t="shared" si="47"/>
        <v>2869.4</v>
      </c>
      <c r="H281" s="5">
        <f t="shared" si="42"/>
        <v>50</v>
      </c>
      <c r="I281" s="31" t="s">
        <v>31</v>
      </c>
      <c r="J281" s="5">
        <v>9.4</v>
      </c>
      <c r="K281" s="5">
        <f t="shared" si="48"/>
        <v>560.19999999999993</v>
      </c>
      <c r="L281" s="5">
        <v>3.9</v>
      </c>
      <c r="M281" s="5">
        <f t="shared" si="49"/>
        <v>446.60000000000014</v>
      </c>
      <c r="N281" s="5">
        <v>5.5</v>
      </c>
      <c r="O281" s="5">
        <f t="shared" si="41"/>
        <v>82.799999999999955</v>
      </c>
      <c r="P281" s="5">
        <v>276</v>
      </c>
      <c r="Q281" s="18">
        <f t="shared" si="44"/>
        <v>0.70555555555555549</v>
      </c>
      <c r="R281" s="9">
        <f t="shared" si="45"/>
        <v>2.7516666666666665</v>
      </c>
      <c r="S281" s="9">
        <f t="shared" si="46"/>
        <v>6.6483333333333334</v>
      </c>
      <c r="T281" s="9">
        <f t="shared" si="50"/>
        <v>69.91784384384394</v>
      </c>
      <c r="U281" s="31" t="s">
        <v>32</v>
      </c>
      <c r="V281" s="5">
        <v>1913.8</v>
      </c>
      <c r="X281" s="5">
        <f t="shared" si="51"/>
        <v>240594.00000000017</v>
      </c>
      <c r="Y281" s="5">
        <f t="shared" si="43"/>
        <v>5815</v>
      </c>
      <c r="Z281" s="31" t="s">
        <v>33</v>
      </c>
      <c r="AA281" s="5">
        <v>15.984212449150601</v>
      </c>
    </row>
    <row r="282" spans="1:27" s="5" customFormat="1" x14ac:dyDescent="0.25">
      <c r="A282" s="58"/>
      <c r="B282" s="6"/>
      <c r="C282" s="30">
        <v>42167</v>
      </c>
      <c r="D282" s="5">
        <v>16.8</v>
      </c>
      <c r="E282" s="5">
        <v>16.600000000000001</v>
      </c>
      <c r="F282" s="5">
        <v>19</v>
      </c>
      <c r="G282" s="5">
        <f t="shared" si="47"/>
        <v>2886.2000000000003</v>
      </c>
      <c r="H282" s="5">
        <f t="shared" si="42"/>
        <v>66.8</v>
      </c>
      <c r="I282" s="5">
        <f>MAX(F279:F301)</f>
        <v>33.9</v>
      </c>
      <c r="J282" s="5">
        <v>32.1</v>
      </c>
      <c r="K282" s="5">
        <f t="shared" si="48"/>
        <v>592.29999999999995</v>
      </c>
      <c r="L282" s="5">
        <v>1.5</v>
      </c>
      <c r="M282" s="5">
        <f t="shared" si="49"/>
        <v>448.10000000000014</v>
      </c>
      <c r="N282" s="5">
        <v>30.6</v>
      </c>
      <c r="O282" s="5">
        <f t="shared" si="41"/>
        <v>113.39999999999995</v>
      </c>
      <c r="P282" s="5">
        <v>277</v>
      </c>
      <c r="Q282" s="18">
        <f t="shared" si="44"/>
        <v>0.68777777777777782</v>
      </c>
      <c r="R282" s="9">
        <f t="shared" si="45"/>
        <v>1.0316666666666667</v>
      </c>
      <c r="S282" s="9">
        <f t="shared" si="46"/>
        <v>31.068333333333335</v>
      </c>
      <c r="T282" s="9">
        <f t="shared" si="50"/>
        <v>100.98617717717727</v>
      </c>
      <c r="U282" s="5">
        <v>0</v>
      </c>
      <c r="V282" s="5">
        <v>604.4</v>
      </c>
      <c r="X282" s="5">
        <f t="shared" si="51"/>
        <v>241198.40000000017</v>
      </c>
      <c r="Y282" s="5">
        <f t="shared" si="43"/>
        <v>6419.4</v>
      </c>
      <c r="Z282" s="5">
        <f>(Z280/100)/I292</f>
        <v>1.1675634036501539</v>
      </c>
      <c r="AA282" s="5">
        <v>15.9989193135647</v>
      </c>
    </row>
    <row r="283" spans="1:27" s="5" customFormat="1" x14ac:dyDescent="0.25">
      <c r="A283" s="58"/>
      <c r="B283" s="6"/>
      <c r="C283" s="30">
        <v>42168</v>
      </c>
      <c r="D283" s="5">
        <v>16.8</v>
      </c>
      <c r="E283" s="5">
        <v>12.2</v>
      </c>
      <c r="F283" s="5">
        <v>21</v>
      </c>
      <c r="G283" s="5">
        <f t="shared" si="47"/>
        <v>2903.0000000000005</v>
      </c>
      <c r="H283" s="5">
        <f t="shared" si="42"/>
        <v>83.6</v>
      </c>
      <c r="I283" s="31" t="s">
        <v>34</v>
      </c>
      <c r="J283" s="5">
        <v>3.6</v>
      </c>
      <c r="K283" s="5">
        <f t="shared" si="48"/>
        <v>595.9</v>
      </c>
      <c r="L283" s="5">
        <v>3.3</v>
      </c>
      <c r="M283" s="5">
        <f t="shared" si="49"/>
        <v>451.40000000000015</v>
      </c>
      <c r="N283" s="5">
        <v>0.30000000000000027</v>
      </c>
      <c r="O283" s="5">
        <f t="shared" si="41"/>
        <v>113.69999999999995</v>
      </c>
      <c r="P283" s="5">
        <v>278</v>
      </c>
      <c r="Q283" s="18">
        <f t="shared" si="44"/>
        <v>0.66999999999999993</v>
      </c>
      <c r="R283" s="9">
        <f t="shared" si="45"/>
        <v>2.2109999999999999</v>
      </c>
      <c r="S283" s="9">
        <f t="shared" si="46"/>
        <v>1.3890000000000002</v>
      </c>
      <c r="T283" s="9">
        <f t="shared" si="50"/>
        <v>102.37517717717726</v>
      </c>
      <c r="U283" s="31" t="s">
        <v>35</v>
      </c>
      <c r="V283" s="5">
        <v>1862.9</v>
      </c>
      <c r="X283" s="5">
        <f t="shared" si="51"/>
        <v>243061.30000000016</v>
      </c>
      <c r="Y283" s="5">
        <f t="shared" si="43"/>
        <v>8282.2999999999993</v>
      </c>
      <c r="Z283" s="31" t="s">
        <v>36</v>
      </c>
      <c r="AA283" s="5">
        <v>16.012268614500002</v>
      </c>
    </row>
    <row r="284" spans="1:27" s="5" customFormat="1" x14ac:dyDescent="0.25">
      <c r="A284" s="58"/>
      <c r="B284" s="6"/>
      <c r="C284" s="30">
        <v>42169</v>
      </c>
      <c r="D284" s="5">
        <v>15.9</v>
      </c>
      <c r="E284" s="5">
        <v>14.4</v>
      </c>
      <c r="F284" s="5">
        <v>18.2</v>
      </c>
      <c r="G284" s="5">
        <f t="shared" si="47"/>
        <v>2918.9000000000005</v>
      </c>
      <c r="H284" s="5">
        <f t="shared" si="42"/>
        <v>99.5</v>
      </c>
      <c r="I284" s="5">
        <f>AVERAGE(D279:D301)</f>
        <v>18.343478260869563</v>
      </c>
      <c r="J284" s="5">
        <v>0</v>
      </c>
      <c r="K284" s="5">
        <f t="shared" si="48"/>
        <v>595.9</v>
      </c>
      <c r="L284" s="5">
        <v>2.6</v>
      </c>
      <c r="M284" s="5">
        <f t="shared" si="49"/>
        <v>454.00000000000017</v>
      </c>
      <c r="N284" s="5">
        <v>-2.6</v>
      </c>
      <c r="O284" s="5">
        <f t="shared" si="41"/>
        <v>111.09999999999995</v>
      </c>
      <c r="P284" s="5">
        <v>279</v>
      </c>
      <c r="Q284" s="18">
        <f t="shared" si="44"/>
        <v>0.65222222222222215</v>
      </c>
      <c r="R284" s="9">
        <f t="shared" si="45"/>
        <v>1.6957777777777776</v>
      </c>
      <c r="S284" s="9">
        <f t="shared" si="46"/>
        <v>-1.6957777777777776</v>
      </c>
      <c r="T284" s="9">
        <f t="shared" si="50"/>
        <v>100.67939939939949</v>
      </c>
      <c r="U284" s="5">
        <v>3</v>
      </c>
      <c r="V284" s="5">
        <v>1440.5</v>
      </c>
      <c r="X284" s="5">
        <f t="shared" si="51"/>
        <v>244501.80000000016</v>
      </c>
      <c r="Y284" s="5">
        <f t="shared" si="43"/>
        <v>9722.7999999999993</v>
      </c>
      <c r="Z284" s="5">
        <v>2</v>
      </c>
      <c r="AA284" s="5">
        <v>16.024247451408399</v>
      </c>
    </row>
    <row r="285" spans="1:27" s="5" customFormat="1" x14ac:dyDescent="0.25">
      <c r="A285" s="58"/>
      <c r="B285" s="6"/>
      <c r="C285" s="30">
        <v>42170</v>
      </c>
      <c r="D285" s="5">
        <v>15.8</v>
      </c>
      <c r="E285" s="5">
        <v>13.5</v>
      </c>
      <c r="F285" s="5">
        <v>18.600000000000001</v>
      </c>
      <c r="G285" s="5">
        <f t="shared" si="47"/>
        <v>2934.7000000000007</v>
      </c>
      <c r="H285" s="5">
        <f t="shared" si="42"/>
        <v>115.3</v>
      </c>
      <c r="I285" s="31" t="s">
        <v>37</v>
      </c>
      <c r="J285" s="5">
        <v>0</v>
      </c>
      <c r="K285" s="5">
        <f t="shared" si="48"/>
        <v>595.9</v>
      </c>
      <c r="L285" s="5">
        <v>1.6</v>
      </c>
      <c r="M285" s="5">
        <f t="shared" si="49"/>
        <v>455.60000000000019</v>
      </c>
      <c r="N285" s="5">
        <v>-1.6</v>
      </c>
      <c r="O285" s="5">
        <f t="shared" si="41"/>
        <v>109.49999999999996</v>
      </c>
      <c r="P285" s="5">
        <v>280</v>
      </c>
      <c r="Q285" s="18">
        <f t="shared" si="44"/>
        <v>0.63444444444444437</v>
      </c>
      <c r="R285" s="9">
        <f t="shared" si="45"/>
        <v>1.0151111111111111</v>
      </c>
      <c r="S285" s="9">
        <f t="shared" si="46"/>
        <v>-1.0151111111111111</v>
      </c>
      <c r="T285" s="9">
        <f t="shared" si="50"/>
        <v>99.664288288288375</v>
      </c>
      <c r="U285" s="31" t="s">
        <v>38</v>
      </c>
      <c r="V285" s="5">
        <v>836.5</v>
      </c>
      <c r="X285" s="5">
        <f t="shared" si="51"/>
        <v>245338.30000000016</v>
      </c>
      <c r="Y285" s="5">
        <f t="shared" si="43"/>
        <v>10559.3</v>
      </c>
      <c r="AA285" s="5">
        <v>16.034844205448401</v>
      </c>
    </row>
    <row r="286" spans="1:27" s="5" customFormat="1" x14ac:dyDescent="0.25">
      <c r="A286" s="58"/>
      <c r="B286" s="6"/>
      <c r="C286" s="30">
        <v>42171</v>
      </c>
      <c r="D286" s="5">
        <v>16.2</v>
      </c>
      <c r="E286" s="5">
        <v>11.6</v>
      </c>
      <c r="F286" s="5">
        <v>20.5</v>
      </c>
      <c r="G286" s="5">
        <f t="shared" si="47"/>
        <v>2950.9000000000005</v>
      </c>
      <c r="H286" s="5">
        <f t="shared" si="42"/>
        <v>131.5</v>
      </c>
      <c r="I286" s="5">
        <v>0</v>
      </c>
      <c r="J286" s="5">
        <v>0</v>
      </c>
      <c r="K286" s="5">
        <f t="shared" si="48"/>
        <v>595.9</v>
      </c>
      <c r="L286" s="5">
        <v>4.7</v>
      </c>
      <c r="M286" s="5">
        <f t="shared" si="49"/>
        <v>460.30000000000018</v>
      </c>
      <c r="N286" s="5">
        <v>-4.7</v>
      </c>
      <c r="O286" s="5">
        <f t="shared" si="41"/>
        <v>104.79999999999995</v>
      </c>
      <c r="P286" s="5">
        <v>281</v>
      </c>
      <c r="Q286" s="18">
        <f t="shared" si="44"/>
        <v>0.6166666666666667</v>
      </c>
      <c r="R286" s="9">
        <f t="shared" si="45"/>
        <v>2.8983333333333334</v>
      </c>
      <c r="S286" s="9">
        <f t="shared" si="46"/>
        <v>-2.8983333333333334</v>
      </c>
      <c r="T286" s="9">
        <f t="shared" si="50"/>
        <v>96.765954954955049</v>
      </c>
      <c r="U286" s="9">
        <f>MIN(T279:T301)</f>
        <v>63.269510510510607</v>
      </c>
      <c r="V286" s="5">
        <v>2673.8</v>
      </c>
      <c r="X286" s="5">
        <f t="shared" si="51"/>
        <v>248012.10000000015</v>
      </c>
      <c r="Y286" s="5">
        <f t="shared" si="43"/>
        <v>13233.099999999999</v>
      </c>
      <c r="AA286" s="5">
        <v>16.0440485828574</v>
      </c>
    </row>
    <row r="287" spans="1:27" s="5" customFormat="1" x14ac:dyDescent="0.25">
      <c r="A287" s="58"/>
      <c r="B287" s="6"/>
      <c r="C287" s="30">
        <v>42172</v>
      </c>
      <c r="D287" s="5">
        <v>17.399999999999999</v>
      </c>
      <c r="E287" s="5">
        <v>11.4</v>
      </c>
      <c r="F287" s="5">
        <v>21.6</v>
      </c>
      <c r="G287" s="5">
        <f t="shared" si="47"/>
        <v>2968.3000000000006</v>
      </c>
      <c r="H287" s="5">
        <f t="shared" si="42"/>
        <v>148.9</v>
      </c>
      <c r="I287" s="31" t="s">
        <v>39</v>
      </c>
      <c r="J287" s="5">
        <v>0</v>
      </c>
      <c r="K287" s="5">
        <f t="shared" si="48"/>
        <v>595.9</v>
      </c>
      <c r="L287" s="5">
        <v>4.5999999999999996</v>
      </c>
      <c r="M287" s="5">
        <f t="shared" si="49"/>
        <v>464.9000000000002</v>
      </c>
      <c r="N287" s="5">
        <v>-4.5999999999999996</v>
      </c>
      <c r="O287" s="5">
        <f t="shared" si="41"/>
        <v>100.19999999999996</v>
      </c>
      <c r="P287" s="5">
        <v>282</v>
      </c>
      <c r="Q287" s="18">
        <f t="shared" si="44"/>
        <v>0.5988888888888888</v>
      </c>
      <c r="R287" s="9">
        <f t="shared" si="45"/>
        <v>2.7548888888888885</v>
      </c>
      <c r="S287" s="9">
        <f t="shared" si="46"/>
        <v>-2.7548888888888885</v>
      </c>
      <c r="T287" s="9">
        <f t="shared" si="50"/>
        <v>94.011066066066164</v>
      </c>
      <c r="U287" s="31" t="s">
        <v>40</v>
      </c>
      <c r="V287" s="5">
        <v>2572.1</v>
      </c>
      <c r="X287" s="5">
        <f t="shared" si="51"/>
        <v>250584.20000000016</v>
      </c>
      <c r="Y287" s="5">
        <f t="shared" si="43"/>
        <v>15805.199999999999</v>
      </c>
      <c r="AA287" s="5">
        <v>16.051851653800099</v>
      </c>
    </row>
    <row r="288" spans="1:27" s="5" customFormat="1" x14ac:dyDescent="0.25">
      <c r="A288" s="58"/>
      <c r="B288" s="6"/>
      <c r="C288" s="30">
        <v>42173</v>
      </c>
      <c r="D288" s="5">
        <v>17.399999999999999</v>
      </c>
      <c r="E288" s="5">
        <v>15.7</v>
      </c>
      <c r="F288" s="5">
        <v>19.5</v>
      </c>
      <c r="G288" s="5">
        <f t="shared" si="47"/>
        <v>2985.7000000000007</v>
      </c>
      <c r="H288" s="5">
        <f t="shared" si="42"/>
        <v>166.3</v>
      </c>
      <c r="I288" s="5">
        <v>7</v>
      </c>
      <c r="J288" s="5">
        <v>0</v>
      </c>
      <c r="K288" s="5">
        <f t="shared" si="48"/>
        <v>595.9</v>
      </c>
      <c r="L288" s="5">
        <v>2.2000000000000002</v>
      </c>
      <c r="M288" s="5">
        <f t="shared" si="49"/>
        <v>467.10000000000019</v>
      </c>
      <c r="N288" s="5">
        <v>-2.2000000000000002</v>
      </c>
      <c r="O288" s="5">
        <f t="shared" si="41"/>
        <v>97.999999999999957</v>
      </c>
      <c r="P288" s="5">
        <v>283</v>
      </c>
      <c r="Q288" s="18">
        <f t="shared" si="44"/>
        <v>0.58111111111111102</v>
      </c>
      <c r="R288" s="9">
        <f t="shared" si="45"/>
        <v>1.2784444444444443</v>
      </c>
      <c r="S288" s="9">
        <f t="shared" si="46"/>
        <v>-1.2784444444444443</v>
      </c>
      <c r="T288" s="9">
        <f t="shared" si="50"/>
        <v>92.732621621621718</v>
      </c>
      <c r="U288" s="9">
        <f>MAX(T279:T301)</f>
        <v>102.37517717717726</v>
      </c>
      <c r="V288" s="5">
        <v>1288.5999999999999</v>
      </c>
      <c r="X288" s="5">
        <f t="shared" si="51"/>
        <v>251872.80000000016</v>
      </c>
      <c r="Y288" s="5">
        <f t="shared" si="43"/>
        <v>17093.8</v>
      </c>
      <c r="AA288" s="5">
        <v>16.0582458863922</v>
      </c>
    </row>
    <row r="289" spans="1:27" s="5" customFormat="1" x14ac:dyDescent="0.25">
      <c r="A289" s="58"/>
      <c r="B289" s="6"/>
      <c r="C289" s="30">
        <v>42174</v>
      </c>
      <c r="D289" s="5">
        <v>16.100000000000001</v>
      </c>
      <c r="E289" s="5">
        <v>10.6</v>
      </c>
      <c r="F289" s="5">
        <v>20.100000000000001</v>
      </c>
      <c r="G289" s="5">
        <f t="shared" si="47"/>
        <v>3001.8000000000006</v>
      </c>
      <c r="H289" s="5">
        <f t="shared" si="42"/>
        <v>182.4</v>
      </c>
      <c r="I289" s="31" t="s">
        <v>41</v>
      </c>
      <c r="J289" s="5">
        <v>0</v>
      </c>
      <c r="K289" s="5">
        <f t="shared" si="48"/>
        <v>595.9</v>
      </c>
      <c r="L289" s="5">
        <v>4.4000000000000004</v>
      </c>
      <c r="M289" s="5">
        <f t="shared" si="49"/>
        <v>471.50000000000017</v>
      </c>
      <c r="N289" s="5">
        <v>-4.4000000000000004</v>
      </c>
      <c r="O289" s="5">
        <f t="shared" si="41"/>
        <v>93.599999999999952</v>
      </c>
      <c r="P289" s="5">
        <v>284</v>
      </c>
      <c r="Q289" s="18">
        <f t="shared" si="44"/>
        <v>0.56333333333333335</v>
      </c>
      <c r="R289" s="9">
        <f t="shared" si="45"/>
        <v>2.4786666666666668</v>
      </c>
      <c r="S289" s="9">
        <f t="shared" si="46"/>
        <v>-2.4786666666666668</v>
      </c>
      <c r="T289" s="9">
        <f t="shared" si="50"/>
        <v>90.253954954955049</v>
      </c>
      <c r="U289" s="31" t="s">
        <v>42</v>
      </c>
      <c r="V289" s="5">
        <v>2639.5</v>
      </c>
      <c r="X289" s="5">
        <f t="shared" si="51"/>
        <v>254512.30000000016</v>
      </c>
      <c r="Y289" s="5">
        <f t="shared" si="43"/>
        <v>19733.3</v>
      </c>
      <c r="AA289" s="5">
        <v>16.063225175626499</v>
      </c>
    </row>
    <row r="290" spans="1:27" s="5" customFormat="1" x14ac:dyDescent="0.25">
      <c r="A290" s="58"/>
      <c r="B290" s="6"/>
      <c r="C290" s="30">
        <v>42175</v>
      </c>
      <c r="D290" s="5">
        <v>18.2</v>
      </c>
      <c r="E290" s="5">
        <v>11.4</v>
      </c>
      <c r="F290" s="5">
        <v>22.9</v>
      </c>
      <c r="G290" s="5">
        <f t="shared" si="47"/>
        <v>3020.0000000000005</v>
      </c>
      <c r="H290" s="5">
        <f t="shared" si="42"/>
        <v>200.6</v>
      </c>
      <c r="I290" s="5">
        <v>0</v>
      </c>
      <c r="J290" s="5">
        <v>0</v>
      </c>
      <c r="K290" s="5">
        <f t="shared" si="48"/>
        <v>595.9</v>
      </c>
      <c r="L290" s="5">
        <v>4.0999999999999996</v>
      </c>
      <c r="M290" s="5">
        <f t="shared" si="49"/>
        <v>475.60000000000019</v>
      </c>
      <c r="N290" s="5">
        <v>-4.0999999999999996</v>
      </c>
      <c r="O290" s="5">
        <f t="shared" si="41"/>
        <v>89.499999999999957</v>
      </c>
      <c r="P290" s="5">
        <v>285</v>
      </c>
      <c r="Q290" s="18">
        <f t="shared" si="44"/>
        <v>0.54555555555555557</v>
      </c>
      <c r="R290" s="9">
        <f t="shared" si="45"/>
        <v>2.2367777777777778</v>
      </c>
      <c r="S290" s="9">
        <f t="shared" si="46"/>
        <v>-2.2367777777777778</v>
      </c>
      <c r="T290" s="9">
        <f t="shared" si="50"/>
        <v>88.017177177177274</v>
      </c>
      <c r="U290" s="18">
        <f>AVERAGE(T279:T301)</f>
        <v>82.884781041911566</v>
      </c>
      <c r="V290" s="5">
        <v>2332.3000000000002</v>
      </c>
      <c r="X290" s="5">
        <f t="shared" si="51"/>
        <v>256844.60000000015</v>
      </c>
      <c r="Y290" s="5">
        <f t="shared" si="43"/>
        <v>22065.599999999999</v>
      </c>
      <c r="AA290" s="5">
        <v>16.066784866973201</v>
      </c>
    </row>
    <row r="291" spans="1:27" s="5" customFormat="1" x14ac:dyDescent="0.25">
      <c r="A291" s="58"/>
      <c r="B291" s="6"/>
      <c r="C291" s="30">
        <v>42176</v>
      </c>
      <c r="D291" s="5">
        <v>17.7</v>
      </c>
      <c r="E291" s="5">
        <v>15.4</v>
      </c>
      <c r="F291" s="5">
        <v>22</v>
      </c>
      <c r="G291" s="5">
        <f t="shared" si="47"/>
        <v>3037.7000000000003</v>
      </c>
      <c r="H291" s="5">
        <f t="shared" si="42"/>
        <v>218.29999999999998</v>
      </c>
      <c r="I291" s="31" t="s">
        <v>45</v>
      </c>
      <c r="J291" s="5">
        <v>0.2</v>
      </c>
      <c r="K291" s="5">
        <f t="shared" si="48"/>
        <v>596.1</v>
      </c>
      <c r="L291" s="5">
        <v>3</v>
      </c>
      <c r="M291" s="5">
        <f t="shared" si="49"/>
        <v>478.60000000000019</v>
      </c>
      <c r="N291" s="5">
        <v>-2.8</v>
      </c>
      <c r="O291" s="5">
        <f t="shared" si="41"/>
        <v>86.69999999999996</v>
      </c>
      <c r="P291" s="5">
        <v>286</v>
      </c>
      <c r="Q291" s="18">
        <f t="shared" si="44"/>
        <v>0.52777777777777768</v>
      </c>
      <c r="R291" s="9">
        <f t="shared" si="45"/>
        <v>1.583333333333333</v>
      </c>
      <c r="S291" s="9">
        <f t="shared" si="46"/>
        <v>-1.3833333333333331</v>
      </c>
      <c r="T291" s="9">
        <f t="shared" si="50"/>
        <v>86.633843843843934</v>
      </c>
      <c r="V291" s="5">
        <v>1387.6</v>
      </c>
      <c r="X291" s="5">
        <f t="shared" si="51"/>
        <v>258232.20000000016</v>
      </c>
      <c r="Y291" s="5">
        <f t="shared" si="43"/>
        <v>23453.199999999997</v>
      </c>
      <c r="AA291" s="5">
        <v>16.068921774459099</v>
      </c>
    </row>
    <row r="292" spans="1:27" s="5" customFormat="1" x14ac:dyDescent="0.25">
      <c r="A292" s="58"/>
      <c r="B292" s="6"/>
      <c r="C292" s="30">
        <v>42177</v>
      </c>
      <c r="D292" s="5">
        <v>14.4</v>
      </c>
      <c r="E292" s="5">
        <v>11</v>
      </c>
      <c r="F292" s="5">
        <v>19.7</v>
      </c>
      <c r="G292" s="5">
        <f t="shared" si="47"/>
        <v>3052.1000000000004</v>
      </c>
      <c r="H292" s="5">
        <f t="shared" si="42"/>
        <v>232.7</v>
      </c>
      <c r="I292" s="5">
        <v>421.9</v>
      </c>
      <c r="J292" s="5">
        <v>0.5</v>
      </c>
      <c r="K292" s="5">
        <f t="shared" si="48"/>
        <v>596.6</v>
      </c>
      <c r="L292" s="5">
        <v>3.6</v>
      </c>
      <c r="M292" s="5">
        <f t="shared" si="49"/>
        <v>482.20000000000022</v>
      </c>
      <c r="N292" s="5">
        <v>-3.1</v>
      </c>
      <c r="O292" s="5">
        <f t="shared" si="41"/>
        <v>83.599999999999966</v>
      </c>
      <c r="P292" s="5">
        <v>287</v>
      </c>
      <c r="Q292" s="18">
        <f t="shared" si="44"/>
        <v>0.5099999999999999</v>
      </c>
      <c r="R292" s="9">
        <f t="shared" si="45"/>
        <v>1.8359999999999996</v>
      </c>
      <c r="S292" s="9">
        <f t="shared" si="46"/>
        <v>-1.3359999999999996</v>
      </c>
      <c r="T292" s="9">
        <f t="shared" si="50"/>
        <v>85.297843843843935</v>
      </c>
      <c r="U292" s="5">
        <f>(U290*100)/197.4</f>
        <v>41.98823760988428</v>
      </c>
      <c r="V292" s="5">
        <v>1845.9</v>
      </c>
      <c r="X292" s="5">
        <f t="shared" si="51"/>
        <v>260078.10000000015</v>
      </c>
      <c r="Y292" s="5">
        <f t="shared" si="43"/>
        <v>25299.1</v>
      </c>
      <c r="AA292" s="5">
        <v>16.069634193082901</v>
      </c>
    </row>
    <row r="293" spans="1:27" s="5" customFormat="1" x14ac:dyDescent="0.25">
      <c r="A293" s="58"/>
      <c r="B293" s="6"/>
      <c r="C293" s="30">
        <v>42178</v>
      </c>
      <c r="D293" s="5">
        <v>15.6</v>
      </c>
      <c r="E293" s="5">
        <v>9.4</v>
      </c>
      <c r="F293" s="5">
        <v>20.399999999999999</v>
      </c>
      <c r="G293" s="5">
        <f t="shared" si="47"/>
        <v>3067.7000000000003</v>
      </c>
      <c r="H293" s="5">
        <f t="shared" si="42"/>
        <v>248.29999999999998</v>
      </c>
      <c r="J293" s="5">
        <v>0</v>
      </c>
      <c r="K293" s="5">
        <f t="shared" si="48"/>
        <v>596.6</v>
      </c>
      <c r="L293" s="5">
        <v>3.7</v>
      </c>
      <c r="M293" s="5">
        <f t="shared" si="49"/>
        <v>485.9000000000002</v>
      </c>
      <c r="N293" s="5">
        <v>-3.7</v>
      </c>
      <c r="O293" s="5">
        <f t="shared" si="41"/>
        <v>79.899999999999963</v>
      </c>
      <c r="P293" s="5">
        <v>288</v>
      </c>
      <c r="Q293" s="18">
        <f t="shared" si="44"/>
        <v>0.49222222222222223</v>
      </c>
      <c r="R293" s="9">
        <f t="shared" si="45"/>
        <v>1.8212222222222223</v>
      </c>
      <c r="S293" s="9">
        <f t="shared" si="46"/>
        <v>-1.8212222222222223</v>
      </c>
      <c r="T293" s="9">
        <f t="shared" si="50"/>
        <v>83.476621621621717</v>
      </c>
      <c r="V293" s="5">
        <v>2053</v>
      </c>
      <c r="X293" s="5">
        <f t="shared" si="51"/>
        <v>262131.10000000015</v>
      </c>
      <c r="Y293" s="5">
        <f t="shared" si="43"/>
        <v>27352.1</v>
      </c>
      <c r="AA293" s="5">
        <v>16.068921905460201</v>
      </c>
    </row>
    <row r="294" spans="1:27" s="5" customFormat="1" x14ac:dyDescent="0.25">
      <c r="A294" s="58"/>
      <c r="B294" s="6"/>
      <c r="C294" s="30">
        <v>42179</v>
      </c>
      <c r="D294" s="5">
        <v>18.899999999999999</v>
      </c>
      <c r="E294" s="5">
        <v>12</v>
      </c>
      <c r="F294" s="5">
        <v>25.2</v>
      </c>
      <c r="G294" s="5">
        <f t="shared" si="47"/>
        <v>3086.6000000000004</v>
      </c>
      <c r="H294" s="5">
        <f t="shared" si="42"/>
        <v>267.2</v>
      </c>
      <c r="J294" s="5">
        <v>0</v>
      </c>
      <c r="K294" s="5">
        <f t="shared" si="48"/>
        <v>596.6</v>
      </c>
      <c r="L294" s="5">
        <v>5.0999999999999996</v>
      </c>
      <c r="M294" s="5">
        <f t="shared" si="49"/>
        <v>491.00000000000023</v>
      </c>
      <c r="N294" s="5">
        <v>-5.0999999999999996</v>
      </c>
      <c r="O294" s="5">
        <f t="shared" si="41"/>
        <v>74.799999999999969</v>
      </c>
      <c r="P294" s="5">
        <v>289</v>
      </c>
      <c r="Q294" s="18">
        <f t="shared" si="44"/>
        <v>0.47444444444444445</v>
      </c>
      <c r="R294" s="9">
        <f t="shared" si="45"/>
        <v>2.4196666666666666</v>
      </c>
      <c r="S294" s="9">
        <f t="shared" si="46"/>
        <v>-2.4196666666666666</v>
      </c>
      <c r="T294" s="9">
        <f t="shared" si="50"/>
        <v>81.056954954955046</v>
      </c>
      <c r="V294" s="5">
        <v>2677.7</v>
      </c>
      <c r="X294" s="5">
        <f t="shared" si="51"/>
        <v>264808.80000000016</v>
      </c>
      <c r="Y294" s="5">
        <f t="shared" si="43"/>
        <v>30029.8</v>
      </c>
      <c r="AA294" s="5">
        <v>16.0667861826471</v>
      </c>
    </row>
    <row r="295" spans="1:27" s="5" customFormat="1" x14ac:dyDescent="0.25">
      <c r="A295" s="58"/>
      <c r="B295" s="6"/>
      <c r="C295" s="30">
        <v>42180</v>
      </c>
      <c r="D295" s="5">
        <v>20.9</v>
      </c>
      <c r="E295" s="5">
        <v>13.7</v>
      </c>
      <c r="F295" s="5">
        <v>26.3</v>
      </c>
      <c r="G295" s="5">
        <f t="shared" si="47"/>
        <v>3107.5000000000005</v>
      </c>
      <c r="H295" s="5">
        <f t="shared" si="42"/>
        <v>288.09999999999997</v>
      </c>
      <c r="J295" s="5">
        <v>0</v>
      </c>
      <c r="K295" s="5">
        <f t="shared" si="48"/>
        <v>596.6</v>
      </c>
      <c r="L295" s="5">
        <v>5.9</v>
      </c>
      <c r="M295" s="5">
        <f t="shared" si="49"/>
        <v>496.9000000000002</v>
      </c>
      <c r="N295" s="5">
        <v>-5.9</v>
      </c>
      <c r="O295" s="5">
        <f t="shared" si="41"/>
        <v>68.899999999999963</v>
      </c>
      <c r="P295" s="5">
        <v>290</v>
      </c>
      <c r="Q295" s="18">
        <f t="shared" si="44"/>
        <v>0.45666666666666667</v>
      </c>
      <c r="R295" s="9">
        <f t="shared" si="45"/>
        <v>2.6943333333333337</v>
      </c>
      <c r="S295" s="9">
        <f t="shared" si="46"/>
        <v>-2.6943333333333337</v>
      </c>
      <c r="T295" s="9">
        <f t="shared" si="50"/>
        <v>78.362621621621713</v>
      </c>
      <c r="V295" s="5">
        <v>2822.3</v>
      </c>
      <c r="X295" s="5">
        <f t="shared" si="51"/>
        <v>267631.10000000015</v>
      </c>
      <c r="Y295" s="5">
        <f t="shared" si="43"/>
        <v>32852.1</v>
      </c>
      <c r="AA295" s="5">
        <v>16.063229779132801</v>
      </c>
    </row>
    <row r="296" spans="1:27" s="5" customFormat="1" x14ac:dyDescent="0.25">
      <c r="A296" s="58"/>
      <c r="B296" s="6"/>
      <c r="C296" s="30">
        <v>42181</v>
      </c>
      <c r="D296" s="5">
        <v>21.3</v>
      </c>
      <c r="E296" s="5">
        <v>15.8</v>
      </c>
      <c r="F296" s="5">
        <v>26.7</v>
      </c>
      <c r="G296" s="5">
        <f t="shared" si="47"/>
        <v>3128.8000000000006</v>
      </c>
      <c r="H296" s="5">
        <f t="shared" si="42"/>
        <v>309.39999999999998</v>
      </c>
      <c r="J296" s="5">
        <v>0</v>
      </c>
      <c r="K296" s="5">
        <f t="shared" si="48"/>
        <v>596.6</v>
      </c>
      <c r="L296" s="5">
        <v>4.7</v>
      </c>
      <c r="M296" s="5">
        <f t="shared" si="49"/>
        <v>501.60000000000019</v>
      </c>
      <c r="N296" s="5">
        <v>-4.7</v>
      </c>
      <c r="O296" s="5">
        <f t="shared" si="41"/>
        <v>64.19999999999996</v>
      </c>
      <c r="P296" s="5">
        <v>291</v>
      </c>
      <c r="Q296" s="18">
        <f t="shared" si="44"/>
        <v>0.43888888888888888</v>
      </c>
      <c r="R296" s="9">
        <f t="shared" si="45"/>
        <v>2.0627777777777778</v>
      </c>
      <c r="S296" s="9">
        <f t="shared" si="46"/>
        <v>-2.0627777777777778</v>
      </c>
      <c r="T296" s="9">
        <f t="shared" si="50"/>
        <v>76.299843843843931</v>
      </c>
      <c r="V296" s="5">
        <v>1887.8</v>
      </c>
      <c r="X296" s="5">
        <f t="shared" si="51"/>
        <v>269518.90000000014</v>
      </c>
      <c r="Y296" s="5">
        <f t="shared" si="43"/>
        <v>34739.9</v>
      </c>
      <c r="AA296" s="5">
        <v>16.058256922043999</v>
      </c>
    </row>
    <row r="297" spans="1:27" s="5" customFormat="1" x14ac:dyDescent="0.25">
      <c r="A297" s="58"/>
      <c r="B297" s="6"/>
      <c r="C297" s="30">
        <v>42182</v>
      </c>
      <c r="D297" s="5">
        <v>19.3</v>
      </c>
      <c r="E297" s="5">
        <v>15.7</v>
      </c>
      <c r="F297" s="5">
        <v>23.9</v>
      </c>
      <c r="G297" s="5">
        <f t="shared" si="47"/>
        <v>3148.1000000000008</v>
      </c>
      <c r="H297" s="5">
        <f t="shared" si="42"/>
        <v>328.7</v>
      </c>
      <c r="J297" s="5">
        <v>0</v>
      </c>
      <c r="K297" s="5">
        <f t="shared" si="48"/>
        <v>596.6</v>
      </c>
      <c r="L297" s="5">
        <v>5.7</v>
      </c>
      <c r="M297" s="5">
        <f t="shared" si="49"/>
        <v>507.30000000000018</v>
      </c>
      <c r="N297" s="5">
        <v>-5.7</v>
      </c>
      <c r="O297" s="5">
        <f t="shared" si="41"/>
        <v>58.499999999999957</v>
      </c>
      <c r="P297" s="5">
        <v>292</v>
      </c>
      <c r="Q297" s="18">
        <f t="shared" si="44"/>
        <v>0.4211111111111111</v>
      </c>
      <c r="R297" s="9">
        <f t="shared" si="45"/>
        <v>2.4003333333333332</v>
      </c>
      <c r="S297" s="9">
        <f t="shared" si="46"/>
        <v>-2.4003333333333332</v>
      </c>
      <c r="T297" s="9">
        <f t="shared" si="50"/>
        <v>73.899510510510595</v>
      </c>
      <c r="V297" s="5">
        <v>2818.4</v>
      </c>
      <c r="X297" s="5">
        <f t="shared" si="51"/>
        <v>272337.30000000016</v>
      </c>
      <c r="Y297" s="5">
        <f t="shared" si="43"/>
        <v>37558.300000000003</v>
      </c>
      <c r="AA297" s="5">
        <v>16.051873294648299</v>
      </c>
    </row>
    <row r="298" spans="1:27" s="5" customFormat="1" x14ac:dyDescent="0.25">
      <c r="A298" s="58"/>
      <c r="B298" s="6"/>
      <c r="C298" s="30">
        <v>42183</v>
      </c>
      <c r="D298" s="5">
        <v>20.399999999999999</v>
      </c>
      <c r="E298" s="5">
        <v>13.2</v>
      </c>
      <c r="F298" s="5">
        <v>26.1</v>
      </c>
      <c r="G298" s="5">
        <f t="shared" si="47"/>
        <v>3168.5000000000009</v>
      </c>
      <c r="H298" s="5">
        <f t="shared" si="42"/>
        <v>349.09999999999997</v>
      </c>
      <c r="J298" s="5">
        <v>0</v>
      </c>
      <c r="K298" s="5">
        <f t="shared" si="48"/>
        <v>596.6</v>
      </c>
      <c r="L298" s="5">
        <v>6.2</v>
      </c>
      <c r="M298" s="5">
        <f t="shared" si="49"/>
        <v>513.50000000000023</v>
      </c>
      <c r="N298" s="5">
        <v>-6.2</v>
      </c>
      <c r="O298" s="5">
        <f t="shared" si="41"/>
        <v>52.299999999999955</v>
      </c>
      <c r="P298" s="5">
        <v>293</v>
      </c>
      <c r="Q298" s="18">
        <f t="shared" si="44"/>
        <v>0.40333333333333332</v>
      </c>
      <c r="R298" s="9">
        <f t="shared" si="45"/>
        <v>2.5006666666666666</v>
      </c>
      <c r="S298" s="9">
        <f t="shared" si="46"/>
        <v>-2.5006666666666666</v>
      </c>
      <c r="T298" s="9">
        <f t="shared" si="50"/>
        <v>71.398843843843935</v>
      </c>
      <c r="V298" s="5">
        <v>3226.2</v>
      </c>
      <c r="X298" s="5">
        <f t="shared" si="51"/>
        <v>275563.50000000017</v>
      </c>
      <c r="Y298" s="5">
        <f t="shared" si="43"/>
        <v>40784.5</v>
      </c>
      <c r="AA298" s="5">
        <v>16.044086014292098</v>
      </c>
    </row>
    <row r="299" spans="1:27" s="5" customFormat="1" x14ac:dyDescent="0.25">
      <c r="A299" s="58"/>
      <c r="B299" s="6"/>
      <c r="C299" s="30">
        <v>42184</v>
      </c>
      <c r="D299" s="5">
        <v>21.7</v>
      </c>
      <c r="E299" s="5">
        <v>15</v>
      </c>
      <c r="F299" s="5">
        <v>27.5</v>
      </c>
      <c r="G299" s="5">
        <f t="shared" si="47"/>
        <v>3190.2000000000007</v>
      </c>
      <c r="H299" s="5">
        <f t="shared" si="42"/>
        <v>370.79999999999995</v>
      </c>
      <c r="J299" s="5">
        <v>0</v>
      </c>
      <c r="K299" s="5">
        <f t="shared" si="48"/>
        <v>596.6</v>
      </c>
      <c r="L299" s="5">
        <v>6</v>
      </c>
      <c r="M299" s="5">
        <f t="shared" si="49"/>
        <v>519.50000000000023</v>
      </c>
      <c r="N299" s="5">
        <v>-6</v>
      </c>
      <c r="O299" s="5">
        <f t="shared" si="41"/>
        <v>46.299999999999955</v>
      </c>
      <c r="P299" s="5">
        <v>294</v>
      </c>
      <c r="Q299" s="18">
        <f t="shared" si="44"/>
        <v>0.38555555555555554</v>
      </c>
      <c r="R299" s="9">
        <f t="shared" si="45"/>
        <v>2.3133333333333335</v>
      </c>
      <c r="S299" s="9">
        <f t="shared" si="46"/>
        <v>-2.3133333333333335</v>
      </c>
      <c r="T299" s="9">
        <f t="shared" si="50"/>
        <v>69.085510510510602</v>
      </c>
      <c r="V299" s="5">
        <v>2945.7</v>
      </c>
      <c r="W299" s="24"/>
      <c r="X299" s="24">
        <f t="shared" si="51"/>
        <v>278509.20000000019</v>
      </c>
      <c r="Y299" s="5">
        <f t="shared" si="43"/>
        <v>43730.2</v>
      </c>
      <c r="AA299" s="5">
        <v>16.034903604951001</v>
      </c>
    </row>
    <row r="300" spans="1:27" s="5" customFormat="1" x14ac:dyDescent="0.25">
      <c r="A300" s="58"/>
      <c r="B300" s="32"/>
      <c r="C300" s="30">
        <v>42185</v>
      </c>
      <c r="D300" s="5">
        <v>27.3</v>
      </c>
      <c r="E300" s="5">
        <v>20</v>
      </c>
      <c r="F300" s="5">
        <v>33.9</v>
      </c>
      <c r="G300" s="5">
        <f t="shared" si="47"/>
        <v>3217.5000000000009</v>
      </c>
      <c r="H300" s="5">
        <f t="shared" si="42"/>
        <v>398.09999999999997</v>
      </c>
      <c r="J300" s="5">
        <v>0</v>
      </c>
      <c r="K300" s="5">
        <f t="shared" si="48"/>
        <v>596.6</v>
      </c>
      <c r="L300" s="5">
        <v>9</v>
      </c>
      <c r="M300" s="5">
        <f t="shared" si="49"/>
        <v>528.50000000000023</v>
      </c>
      <c r="N300" s="5">
        <v>-9</v>
      </c>
      <c r="O300" s="5">
        <f t="shared" si="41"/>
        <v>37.299999999999955</v>
      </c>
      <c r="P300" s="5">
        <v>295</v>
      </c>
      <c r="Q300" s="18">
        <f t="shared" si="44"/>
        <v>0.36777777777777776</v>
      </c>
      <c r="R300" s="9">
        <f t="shared" si="45"/>
        <v>3.3099999999999996</v>
      </c>
      <c r="S300" s="9">
        <f t="shared" si="46"/>
        <v>-3.3099999999999996</v>
      </c>
      <c r="T300" s="9">
        <f t="shared" si="50"/>
        <v>65.7755105105106</v>
      </c>
      <c r="V300" s="5">
        <v>3143.7</v>
      </c>
      <c r="X300" s="5">
        <f t="shared" si="51"/>
        <v>281652.9000000002</v>
      </c>
      <c r="Y300" s="5">
        <f t="shared" si="43"/>
        <v>46873.899999999994</v>
      </c>
      <c r="AA300" s="5">
        <v>16.024335964614099</v>
      </c>
    </row>
    <row r="301" spans="1:27" s="12" customFormat="1" x14ac:dyDescent="0.25">
      <c r="A301" s="58"/>
      <c r="B301" s="33">
        <v>1000</v>
      </c>
      <c r="C301" s="34">
        <v>42186</v>
      </c>
      <c r="D301" s="12">
        <v>23.8</v>
      </c>
      <c r="E301" s="12">
        <v>22.6</v>
      </c>
      <c r="F301" s="12">
        <v>29.4</v>
      </c>
      <c r="G301" s="12">
        <f t="shared" si="47"/>
        <v>3241.3000000000011</v>
      </c>
      <c r="H301" s="12">
        <f t="shared" si="42"/>
        <v>421.9</v>
      </c>
      <c r="J301" s="12">
        <v>7.6</v>
      </c>
      <c r="K301" s="12">
        <f t="shared" si="48"/>
        <v>604.20000000000005</v>
      </c>
      <c r="L301" s="12">
        <v>6.2</v>
      </c>
      <c r="M301" s="12">
        <f t="shared" si="49"/>
        <v>534.70000000000027</v>
      </c>
      <c r="N301" s="12">
        <v>1.3999999999999995</v>
      </c>
      <c r="O301" s="12">
        <f t="shared" si="41"/>
        <v>38.699999999999953</v>
      </c>
      <c r="P301" s="12">
        <v>296</v>
      </c>
      <c r="Q301" s="18">
        <f t="shared" si="44"/>
        <v>0.35</v>
      </c>
      <c r="R301" s="13">
        <f t="shared" si="45"/>
        <v>2.17</v>
      </c>
      <c r="S301" s="13">
        <f t="shared" si="46"/>
        <v>5.43</v>
      </c>
      <c r="T301" s="9">
        <f t="shared" si="50"/>
        <v>71.205510510510607</v>
      </c>
      <c r="V301" s="12">
        <v>2385.6</v>
      </c>
      <c r="X301" s="12">
        <f t="shared" si="51"/>
        <v>284038.50000000017</v>
      </c>
      <c r="Y301" s="5">
        <f t="shared" si="43"/>
        <v>49259.499999999993</v>
      </c>
      <c r="AA301" s="5">
        <v>16.012394327759999</v>
      </c>
    </row>
    <row r="302" spans="1:27" s="5" customFormat="1" x14ac:dyDescent="0.25">
      <c r="A302" s="59" t="s">
        <v>50</v>
      </c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  <c r="Z302" s="59"/>
    </row>
  </sheetData>
  <mergeCells count="14">
    <mergeCell ref="A279:A301"/>
    <mergeCell ref="A302:Z302"/>
    <mergeCell ref="A5:Z5"/>
    <mergeCell ref="A6:A115"/>
    <mergeCell ref="A116:A174"/>
    <mergeCell ref="A175:A211"/>
    <mergeCell ref="A233:A256"/>
    <mergeCell ref="A257:A278"/>
    <mergeCell ref="D1:I2"/>
    <mergeCell ref="J1:U2"/>
    <mergeCell ref="V1:Z2"/>
    <mergeCell ref="P3:T3"/>
    <mergeCell ref="G4:H4"/>
    <mergeCell ref="X4:Y4"/>
  </mergeCells>
  <conditionalFormatting sqref="V1:V4">
    <cfRule type="cellIs" dxfId="10" priority="11" operator="between">
      <formula>899.999</formula>
      <formula>0</formula>
    </cfRule>
  </conditionalFormatting>
  <conditionalFormatting sqref="T1:T4">
    <cfRule type="cellIs" dxfId="9" priority="9" operator="equal">
      <formula>0</formula>
    </cfRule>
    <cfRule type="cellIs" dxfId="8" priority="10" operator="lessThanOrEqual">
      <formula>65.8</formula>
    </cfRule>
  </conditionalFormatting>
  <conditionalFormatting sqref="D6:F301 I19 I13 I15 I17 I123 I125 I127 I129 I176 I182 I184 I186 I188 I219 I221 I223 I225 I240 I242 I244 I246 I264 I266 I268 I270 I286 I288 I290 I292">
    <cfRule type="cellIs" dxfId="7" priority="6" operator="between">
      <formula>25</formula>
      <formula>40</formula>
    </cfRule>
    <cfRule type="cellIs" dxfId="6" priority="7" operator="between">
      <formula>0</formula>
      <formula>5</formula>
    </cfRule>
    <cfRule type="cellIs" dxfId="5" priority="8" operator="between">
      <formula>0</formula>
      <formula>-50</formula>
    </cfRule>
  </conditionalFormatting>
  <conditionalFormatting sqref="N6:N301">
    <cfRule type="cellIs" dxfId="4" priority="5" operator="between">
      <formula>0</formula>
      <formula>-40</formula>
    </cfRule>
  </conditionalFormatting>
  <conditionalFormatting sqref="V5:V302">
    <cfRule type="cellIs" dxfId="3" priority="4" operator="between">
      <formula>899.999</formula>
      <formula>0</formula>
    </cfRule>
  </conditionalFormatting>
  <conditionalFormatting sqref="S6:S301">
    <cfRule type="cellIs" dxfId="2" priority="3" operator="lessThanOrEqual">
      <formula>0</formula>
    </cfRule>
  </conditionalFormatting>
  <conditionalFormatting sqref="T5:T302">
    <cfRule type="cellIs" dxfId="1" priority="1" operator="equal">
      <formula>0</formula>
    </cfRule>
    <cfRule type="cellIs" dxfId="0" priority="2" operator="lessThanOrEqual">
      <formula>65.8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INRA - RENNES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adminigepp</dc:creator>
  <cp:lastModifiedBy>adminigepp</cp:lastModifiedBy>
  <dcterms:created xsi:type="dcterms:W3CDTF">2019-10-22T12:39:30Z</dcterms:created>
  <dcterms:modified xsi:type="dcterms:W3CDTF">2019-11-27T08:53:54Z</dcterms:modified>
</cp:coreProperties>
</file>