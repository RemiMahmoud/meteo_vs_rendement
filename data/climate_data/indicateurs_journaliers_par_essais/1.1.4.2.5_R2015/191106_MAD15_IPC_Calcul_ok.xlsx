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+" sheetId="1" state="visible" r:id="rId3"/>
    <sheet name="N-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<sst xmlns="http://schemas.openxmlformats.org/spreadsheetml/2006/main" count="337" uniqueCount="62">
  <si>
    <t xml:space="preserve">TEMPERATURE</t>
  </si>
  <si>
    <t xml:space="preserve">ETAT HYDRIQUE</t>
  </si>
  <si>
    <t xml:space="preserve">RAYONNEMENT</t>
  </si>
  <si>
    <t xml:space="preserve">BILAN HYDRIQUE</t>
  </si>
  <si>
    <t xml:space="preserve">Période</t>
  </si>
  <si>
    <t xml:space="preserve">DATE</t>
  </si>
  <si>
    <t xml:space="preserve">T_Q</t>
  </si>
  <si>
    <t xml:space="preserve">TINF_H_Q</t>
  </si>
  <si>
    <t xml:space="preserve">TSUP_H_Q</t>
  </si>
  <si>
    <t xml:space="preserve">GDD base 0°</t>
  </si>
  <si>
    <t xml:space="preserve">VAR</t>
  </si>
  <si>
    <t xml:space="preserve">PRELIQ_Q</t>
  </si>
  <si>
    <t xml:space="preserve">Cumul_P</t>
  </si>
  <si>
    <t xml:space="preserve">ETP_Q</t>
  </si>
  <si>
    <t xml:space="preserve">Cumul_ETP</t>
  </si>
  <si>
    <t xml:space="preserve">P-ETP</t>
  </si>
  <si>
    <t xml:space="preserve">ETAT RU_1</t>
  </si>
  <si>
    <t xml:space="preserve">i</t>
  </si>
  <si>
    <t xml:space="preserve">kc</t>
  </si>
  <si>
    <t xml:space="preserve">ETM</t>
  </si>
  <si>
    <t xml:space="preserve">P-ETM</t>
  </si>
  <si>
    <t xml:space="preserve">WSC</t>
  </si>
  <si>
    <t xml:space="preserve">SSI_Q</t>
  </si>
  <si>
    <t xml:space="preserve">QPT_Q</t>
  </si>
  <si>
    <t xml:space="preserve">Cumul_RG</t>
  </si>
  <si>
    <t xml:space="preserve">Photoperiode</t>
  </si>
  <si>
    <t xml:space="preserve">SEMIS MAD15</t>
  </si>
  <si>
    <t xml:space="preserve">AUTOMNE</t>
  </si>
  <si>
    <t xml:space="preserve">Tmin</t>
  </si>
  <si>
    <t xml:space="preserve">nbj_sec</t>
  </si>
  <si>
    <t xml:space="preserve">crg</t>
  </si>
  <si>
    <t xml:space="preserve">Tmax</t>
  </si>
  <si>
    <t xml:space="preserve">nbj_water_deficit</t>
  </si>
  <si>
    <t xml:space="preserve">qpt_p</t>
  </si>
  <si>
    <t xml:space="preserve">Tmoy</t>
  </si>
  <si>
    <t xml:space="preserve">nbj_stress_hydro</t>
  </si>
  <si>
    <t xml:space="preserve">nbj_radinf_900</t>
  </si>
  <si>
    <t xml:space="preserve">nbj_tgel</t>
  </si>
  <si>
    <t xml:space="preserve">water_soil_content_min</t>
  </si>
  <si>
    <t xml:space="preserve">nbj_tsup25</t>
  </si>
  <si>
    <t xml:space="preserve">water_soil_content_max</t>
  </si>
  <si>
    <t xml:space="preserve">nbj_tinf5</t>
  </si>
  <si>
    <t xml:space="preserve">water_soil_content_moy</t>
  </si>
  <si>
    <t xml:space="preserve">gdd_p</t>
  </si>
  <si>
    <t xml:space="preserve">HIVER</t>
  </si>
  <si>
    <t xml:space="preserve">nbj_vern_opti</t>
  </si>
  <si>
    <t xml:space="preserve">WSC_I</t>
  </si>
  <si>
    <t xml:space="preserve">BI</t>
  </si>
  <si>
    <t xml:space="preserve">DRF</t>
  </si>
  <si>
    <t xml:space="preserve">TS</t>
  </si>
  <si>
    <t xml:space="preserve">IRF</t>
  </si>
  <si>
    <t xml:space="preserve">N80</t>
  </si>
  <si>
    <t xml:space="preserve">N50</t>
  </si>
  <si>
    <t xml:space="preserve">MONTAISON</t>
  </si>
  <si>
    <t xml:space="preserve">N30</t>
  </si>
  <si>
    <t xml:space="preserve">Montego</t>
  </si>
  <si>
    <t xml:space="preserve">Aviso</t>
  </si>
  <si>
    <t xml:space="preserve">Fin FLO</t>
  </si>
  <si>
    <t xml:space="preserve">RECOLTE MAD15</t>
  </si>
  <si>
    <t xml:space="preserve">PRELIQ_Q (mm)</t>
  </si>
  <si>
    <t xml:space="preserve">ETP_Q (mm)</t>
  </si>
  <si>
    <t xml:space="preserve">Etat RU_1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</si>
</sst>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i val="true"/>
      <u val="single"/>
      <sz val="11"/>
      <color rgb="FFFFC00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D9D9D9"/>
        <bgColor rgb="FFE7E6E6"/>
      </patternFill>
    </fill>
    <fill>
      <patternFill patternType="solid">
        <fgColor rgb="FFF2DCDB"/>
        <bgColor rgb="FFE7E6E6"/>
      </patternFill>
    </fill>
    <fill>
      <patternFill patternType="solid">
        <fgColor rgb="FF00B050"/>
        <bgColor rgb="FF008080"/>
      </patternFill>
    </fill>
    <fill>
      <patternFill patternType="solid">
        <fgColor rgb="FFFDE9D9"/>
        <bgColor rgb="FFF2DCDB"/>
      </patternFill>
    </fill>
    <fill>
      <patternFill patternType="solid">
        <fgColor rgb="FF0070C0"/>
        <bgColor rgb="FF008080"/>
      </patternFill>
    </fill>
    <fill>
      <patternFill patternType="solid">
        <fgColor rgb="FFC0C0C0"/>
        <bgColor rgb="FFCCC0DA"/>
      </patternFill>
    </fill>
    <fill>
      <patternFill patternType="solid">
        <fgColor theme="2"/>
        <bgColor rgb="FFDAEEF3"/>
      </patternFill>
    </fill>
    <fill>
      <patternFill patternType="solid">
        <fgColor theme="3"/>
        <bgColor rgb="FF333399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E26B0A"/>
        <bgColor rgb="FFFF9900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1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4" borderId="3" xfId="0" applyFont="true" applyBorder="true" applyAlignment="true" applyProtection="true">
      <alignment horizontal="center" vertical="center" textRotation="255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>
          <bgColor rgb="FFDA9694"/>
        </patternFill>
      </fill>
    </dxf>
    <dxf>
      <fill>
        <patternFill>
          <bgColor rgb="FFFABF8F"/>
        </patternFill>
      </fill>
    </dxf>
    <dxf>
      <fill>
        <patternFill>
          <bgColor rgb="FFF2DCDB"/>
        </patternFill>
      </fill>
    </dxf>
    <dxf>
      <fill>
        <patternFill>
          <bgColor rgb="FFCCC0DA"/>
        </patternFill>
      </fill>
    </dxf>
    <dxf>
      <font>
        <name val="Calibri"/>
        <charset val="1"/>
        <family val="2"/>
        <color rgb="FF000000"/>
        <sz val="11"/>
      </font>
    </dxf>
    <dxf>
      <fill>
        <patternFill>
          <bgColor rgb="FFDAEEF3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  <dxf>
      <fill>
        <patternFill>
          <bgColor rgb="FFDA9694"/>
        </patternFill>
      </fill>
    </dxf>
    <dxf>
      <fill>
        <patternFill>
          <bgColor rgb="FFFABF8F"/>
        </patternFill>
      </fill>
    </dxf>
    <dxf>
      <fill>
        <patternFill>
          <bgColor rgb="FFF2DCDB"/>
        </patternFill>
      </fill>
    </dxf>
    <dxf>
      <fill>
        <patternFill>
          <bgColor rgb="FFCCC0DA"/>
        </patternFill>
      </fill>
    </dxf>
    <dxf>
      <fill>
        <patternFill>
          <bgColor rgb="FFDAEEF3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D9"/>
      <rgbColor rgb="FFDAEEF3"/>
      <rgbColor rgb="FF660066"/>
      <rgbColor rgb="FFDA9694"/>
      <rgbColor rgb="FF0070C0"/>
      <rgbColor rgb="FFCCC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D9D9"/>
      <rgbColor rgb="FFF2DCDB"/>
      <rgbColor rgb="FFA9D18E"/>
      <rgbColor rgb="FFF4B183"/>
      <rgbColor rgb="FFCC99FF"/>
      <rgbColor rgb="FFFABF8F"/>
      <rgbColor rgb="FF3366FF"/>
      <rgbColor rgb="FF33CCCC"/>
      <rgbColor rgb="FF92D050"/>
      <rgbColor rgb="FFFFC000"/>
      <rgbColor rgb="FFFF9900"/>
      <rgbColor rgb="FFE26B0A"/>
      <rgbColor rgb="FF44546A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4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3" ySplit="4" topLeftCell="D146" activePane="bottomRight" state="frozen"/>
      <selection pane="topLeft" activeCell="A1" activeCellId="0" sqref="A1"/>
      <selection pane="topRight" activeCell="D1" activeCellId="0" sqref="D1"/>
      <selection pane="bottomLeft" activeCell="A146" activeCellId="0" sqref="A146"/>
      <selection pane="bottomRight" activeCell="O4" activeCellId="0" sqref="O4"/>
    </sheetView>
  </sheetViews>
  <sheetFormatPr defaultColWidth="10.54296875" defaultRowHeight="15" customHeight="true" zeroHeight="false" outlineLevelRow="0" outlineLevelCol="0"/>
  <sheetData>
    <row r="1" customFormat="false" ht="15" hidden="false" customHeight="false" outlineLevel="0" collapsed="false">
      <c r="B1" s="1"/>
      <c r="C1" s="2"/>
      <c r="D1" s="3" t="s">
        <v>0</v>
      </c>
      <c r="E1" s="3"/>
      <c r="F1" s="3"/>
      <c r="G1" s="3"/>
      <c r="H1" s="3"/>
      <c r="I1" s="3"/>
      <c r="J1" s="3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 t="s">
        <v>2</v>
      </c>
      <c r="W1" s="3"/>
      <c r="X1" s="3"/>
      <c r="Y1" s="3"/>
      <c r="Z1" s="3"/>
    </row>
    <row r="2" customFormat="false" ht="15" hidden="false" customHeight="false" outlineLevel="0" collapsed="false"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B3" s="1"/>
      <c r="C3" s="2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 t="s">
        <v>3</v>
      </c>
      <c r="Q3" s="3"/>
      <c r="R3" s="3"/>
      <c r="S3" s="3"/>
      <c r="T3" s="3"/>
      <c r="U3" s="4"/>
      <c r="V3" s="4"/>
      <c r="W3" s="4"/>
      <c r="X3" s="4"/>
      <c r="Y3" s="4"/>
      <c r="Z3" s="4"/>
    </row>
    <row r="4" customFormat="false" ht="15" hidden="false" customHeight="false" outlineLevel="0" collapsed="false">
      <c r="A4" s="1" t="s">
        <v>4</v>
      </c>
      <c r="B4" s="1" t="n">
        <v>5</v>
      </c>
      <c r="C4" s="1" t="s">
        <v>5</v>
      </c>
      <c r="D4" s="1" t="s">
        <v>6</v>
      </c>
      <c r="E4" s="1" t="s">
        <v>7</v>
      </c>
      <c r="F4" s="1" t="s">
        <v>8</v>
      </c>
      <c r="G4" s="5" t="s">
        <v>9</v>
      </c>
      <c r="H4" s="5"/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6" t="s">
        <v>21</v>
      </c>
      <c r="U4" s="1" t="s">
        <v>10</v>
      </c>
      <c r="V4" s="1" t="s">
        <v>22</v>
      </c>
      <c r="W4" s="1" t="s">
        <v>23</v>
      </c>
      <c r="X4" s="5" t="s">
        <v>24</v>
      </c>
      <c r="Y4" s="5"/>
      <c r="Z4" s="1" t="s">
        <v>10</v>
      </c>
      <c r="AA4" s="1" t="s">
        <v>25</v>
      </c>
    </row>
    <row r="5" s="7" customFormat="true" ht="15" hidden="false" customHeight="false" outlineLevel="0" collapsed="false">
      <c r="C5" s="8" t="n">
        <v>41852</v>
      </c>
      <c r="D5" s="7" t="n">
        <v>21.6</v>
      </c>
      <c r="E5" s="7" t="n">
        <v>16.1</v>
      </c>
      <c r="F5" s="7" t="n">
        <v>27.7</v>
      </c>
      <c r="J5" s="7" t="n">
        <v>0</v>
      </c>
      <c r="L5" s="7" t="n">
        <v>3.2</v>
      </c>
      <c r="N5" s="9" t="n">
        <v>-3.2</v>
      </c>
      <c r="O5" s="7" t="n">
        <v>0</v>
      </c>
      <c r="T5" s="10"/>
      <c r="V5" s="7" t="n">
        <v>1426.3</v>
      </c>
    </row>
    <row r="6" s="7" customFormat="true" ht="15" hidden="false" customHeight="false" outlineLevel="0" collapsed="false">
      <c r="C6" s="8" t="n">
        <v>41853</v>
      </c>
      <c r="D6" s="7" t="n">
        <v>19.2</v>
      </c>
      <c r="E6" s="7" t="n">
        <v>15.2</v>
      </c>
      <c r="F6" s="7" t="n">
        <v>23.7</v>
      </c>
      <c r="J6" s="7" t="n">
        <v>2.5</v>
      </c>
      <c r="L6" s="7" t="n">
        <v>3.1</v>
      </c>
      <c r="N6" s="9" t="n">
        <v>-0.6</v>
      </c>
      <c r="O6" s="7" t="n">
        <v>0</v>
      </c>
      <c r="T6" s="10"/>
      <c r="V6" s="7" t="n">
        <v>1436.5</v>
      </c>
    </row>
    <row r="7" s="7" customFormat="true" ht="15" hidden="false" customHeight="false" outlineLevel="0" collapsed="false">
      <c r="C7" s="8" t="n">
        <v>41854</v>
      </c>
      <c r="D7" s="7" t="n">
        <v>19.7</v>
      </c>
      <c r="E7" s="7" t="n">
        <v>15.4</v>
      </c>
      <c r="F7" s="7" t="n">
        <v>24.3</v>
      </c>
      <c r="J7" s="7" t="n">
        <v>0</v>
      </c>
      <c r="L7" s="7" t="n">
        <v>2.8</v>
      </c>
      <c r="N7" s="9" t="n">
        <v>-2.8</v>
      </c>
      <c r="O7" s="7" t="n">
        <v>0</v>
      </c>
      <c r="T7" s="10"/>
      <c r="V7" s="7" t="n">
        <v>1351.4</v>
      </c>
    </row>
    <row r="8" s="7" customFormat="true" ht="15" hidden="false" customHeight="false" outlineLevel="0" collapsed="false">
      <c r="C8" s="8" t="n">
        <v>41855</v>
      </c>
      <c r="D8" s="7" t="n">
        <v>19</v>
      </c>
      <c r="E8" s="7" t="n">
        <v>14.4</v>
      </c>
      <c r="F8" s="7" t="n">
        <v>23.8</v>
      </c>
      <c r="J8" s="7" t="n">
        <v>0</v>
      </c>
      <c r="L8" s="7" t="n">
        <v>3.5</v>
      </c>
      <c r="N8" s="9" t="n">
        <v>-3.5</v>
      </c>
      <c r="O8" s="7" t="n">
        <v>0</v>
      </c>
      <c r="T8" s="10"/>
      <c r="V8" s="7" t="n">
        <v>1590.9</v>
      </c>
    </row>
    <row r="9" s="7" customFormat="true" ht="15" hidden="false" customHeight="false" outlineLevel="0" collapsed="false">
      <c r="C9" s="8" t="n">
        <v>41856</v>
      </c>
      <c r="D9" s="7" t="n">
        <v>19.6</v>
      </c>
      <c r="E9" s="7" t="n">
        <v>13.7</v>
      </c>
      <c r="F9" s="7" t="n">
        <v>25</v>
      </c>
      <c r="J9" s="7" t="n">
        <v>0</v>
      </c>
      <c r="L9" s="7" t="n">
        <v>4.3</v>
      </c>
      <c r="N9" s="9" t="n">
        <v>-4.3</v>
      </c>
      <c r="O9" s="7" t="n">
        <v>0</v>
      </c>
      <c r="T9" s="10"/>
      <c r="V9" s="7" t="n">
        <v>2214</v>
      </c>
    </row>
    <row r="10" s="7" customFormat="true" ht="15" hidden="false" customHeight="false" outlineLevel="0" collapsed="false">
      <c r="C10" s="8" t="n">
        <v>41857</v>
      </c>
      <c r="D10" s="7" t="n">
        <v>18.5</v>
      </c>
      <c r="E10" s="7" t="n">
        <v>15.9</v>
      </c>
      <c r="F10" s="7" t="n">
        <v>21.8</v>
      </c>
      <c r="J10" s="7" t="n">
        <v>9.7</v>
      </c>
      <c r="L10" s="7" t="n">
        <v>1.2</v>
      </c>
      <c r="N10" s="7" t="n">
        <v>8.5</v>
      </c>
      <c r="O10" s="7" t="n">
        <f aca="false">O9+N10</f>
        <v>8.5</v>
      </c>
      <c r="T10" s="10"/>
      <c r="V10" s="7" t="n">
        <v>652.1</v>
      </c>
    </row>
    <row r="11" s="7" customFormat="true" ht="15" hidden="false" customHeight="false" outlineLevel="0" collapsed="false">
      <c r="C11" s="8" t="n">
        <v>41858</v>
      </c>
      <c r="D11" s="7" t="n">
        <v>21</v>
      </c>
      <c r="E11" s="7" t="n">
        <v>17.8</v>
      </c>
      <c r="F11" s="7" t="n">
        <v>24.3</v>
      </c>
      <c r="J11" s="7" t="n">
        <v>1.1</v>
      </c>
      <c r="L11" s="7" t="n">
        <v>2.7</v>
      </c>
      <c r="N11" s="9" t="n">
        <v>-1.6</v>
      </c>
      <c r="O11" s="7" t="n">
        <f aca="false">O10+N11</f>
        <v>6.9</v>
      </c>
      <c r="T11" s="10"/>
      <c r="V11" s="7" t="n">
        <v>1262.4</v>
      </c>
    </row>
    <row r="12" s="7" customFormat="true" ht="15" hidden="false" customHeight="false" outlineLevel="0" collapsed="false">
      <c r="C12" s="8" t="n">
        <v>41859</v>
      </c>
      <c r="D12" s="7" t="n">
        <v>19.6</v>
      </c>
      <c r="E12" s="7" t="n">
        <v>17.8</v>
      </c>
      <c r="F12" s="7" t="n">
        <v>23.8</v>
      </c>
      <c r="J12" s="7" t="n">
        <v>18.6</v>
      </c>
      <c r="L12" s="7" t="n">
        <v>2.3</v>
      </c>
      <c r="N12" s="7" t="n">
        <v>16.3</v>
      </c>
      <c r="O12" s="7" t="n">
        <f aca="false">O11+N12</f>
        <v>23.2</v>
      </c>
      <c r="T12" s="10"/>
      <c r="V12" s="7" t="n">
        <v>767.5</v>
      </c>
    </row>
    <row r="13" s="7" customFormat="true" ht="15" hidden="false" customHeight="false" outlineLevel="0" collapsed="false">
      <c r="C13" s="8" t="n">
        <v>41860</v>
      </c>
      <c r="D13" s="7" t="n">
        <v>19.1</v>
      </c>
      <c r="E13" s="7" t="n">
        <v>15.1</v>
      </c>
      <c r="F13" s="7" t="n">
        <v>22.2</v>
      </c>
      <c r="J13" s="7" t="n">
        <v>0.8</v>
      </c>
      <c r="L13" s="7" t="n">
        <v>2.8</v>
      </c>
      <c r="N13" s="9" t="n">
        <v>-2</v>
      </c>
      <c r="O13" s="7" t="n">
        <f aca="false">O12+N13</f>
        <v>21.2</v>
      </c>
      <c r="T13" s="10"/>
      <c r="V13" s="7" t="n">
        <v>1603.1</v>
      </c>
    </row>
    <row r="14" s="7" customFormat="true" ht="15" hidden="false" customHeight="false" outlineLevel="0" collapsed="false">
      <c r="C14" s="8" t="n">
        <v>41861</v>
      </c>
      <c r="D14" s="7" t="n">
        <v>20.2</v>
      </c>
      <c r="E14" s="7" t="n">
        <v>17.4</v>
      </c>
      <c r="F14" s="7" t="n">
        <v>26.4</v>
      </c>
      <c r="J14" s="7" t="n">
        <v>7.2</v>
      </c>
      <c r="L14" s="7" t="n">
        <v>3.4</v>
      </c>
      <c r="N14" s="7" t="n">
        <v>3.8</v>
      </c>
      <c r="O14" s="7" t="n">
        <f aca="false">O13+N14</f>
        <v>25</v>
      </c>
      <c r="T14" s="10"/>
      <c r="V14" s="7" t="n">
        <v>1184.8</v>
      </c>
    </row>
    <row r="15" s="7" customFormat="true" ht="15" hidden="false" customHeight="false" outlineLevel="0" collapsed="false">
      <c r="C15" s="8" t="n">
        <v>41862</v>
      </c>
      <c r="D15" s="7" t="n">
        <v>17</v>
      </c>
      <c r="E15" s="7" t="n">
        <v>13.2</v>
      </c>
      <c r="F15" s="7" t="n">
        <v>21.6</v>
      </c>
      <c r="J15" s="7" t="n">
        <v>0</v>
      </c>
      <c r="L15" s="7" t="n">
        <v>3.4</v>
      </c>
      <c r="N15" s="9" t="n">
        <v>-3.4</v>
      </c>
      <c r="O15" s="7" t="n">
        <f aca="false">O14+N15</f>
        <v>21.6</v>
      </c>
      <c r="T15" s="10"/>
      <c r="V15" s="7" t="n">
        <v>1541.1</v>
      </c>
    </row>
    <row r="16" s="7" customFormat="true" ht="15" hidden="false" customHeight="false" outlineLevel="0" collapsed="false">
      <c r="C16" s="8" t="n">
        <v>41863</v>
      </c>
      <c r="D16" s="7" t="n">
        <v>16</v>
      </c>
      <c r="E16" s="7" t="n">
        <v>13</v>
      </c>
      <c r="F16" s="7" t="n">
        <v>18.8</v>
      </c>
      <c r="J16" s="7" t="n">
        <v>21.9</v>
      </c>
      <c r="L16" s="7" t="n">
        <v>1.8</v>
      </c>
      <c r="N16" s="7" t="n">
        <v>20.1</v>
      </c>
      <c r="O16" s="7" t="n">
        <f aca="false">O15+N16</f>
        <v>41.7</v>
      </c>
      <c r="T16" s="10"/>
      <c r="V16" s="7" t="n">
        <v>997.6</v>
      </c>
    </row>
    <row r="17" s="7" customFormat="true" ht="15" hidden="false" customHeight="false" outlineLevel="0" collapsed="false">
      <c r="C17" s="8" t="n">
        <v>41864</v>
      </c>
      <c r="D17" s="7" t="n">
        <v>16.3</v>
      </c>
      <c r="E17" s="7" t="n">
        <v>13.4</v>
      </c>
      <c r="F17" s="7" t="n">
        <v>18.9</v>
      </c>
      <c r="J17" s="7" t="n">
        <v>10.7</v>
      </c>
      <c r="L17" s="7" t="n">
        <v>2</v>
      </c>
      <c r="N17" s="7" t="n">
        <v>8.7</v>
      </c>
      <c r="O17" s="7" t="n">
        <f aca="false">O16+N17</f>
        <v>50.4</v>
      </c>
      <c r="T17" s="10"/>
      <c r="V17" s="7" t="n">
        <v>1029.7</v>
      </c>
    </row>
    <row r="18" s="7" customFormat="true" ht="15" hidden="false" customHeight="false" outlineLevel="0" collapsed="false">
      <c r="C18" s="8" t="n">
        <v>41865</v>
      </c>
      <c r="D18" s="7" t="n">
        <v>16.8</v>
      </c>
      <c r="E18" s="7" t="n">
        <v>14.1</v>
      </c>
      <c r="F18" s="7" t="n">
        <v>20.6</v>
      </c>
      <c r="J18" s="7" t="n">
        <v>1.6</v>
      </c>
      <c r="L18" s="7" t="n">
        <v>3</v>
      </c>
      <c r="N18" s="9" t="n">
        <v>-1.4</v>
      </c>
      <c r="O18" s="7" t="n">
        <f aca="false">O17+N18</f>
        <v>49</v>
      </c>
      <c r="T18" s="10"/>
      <c r="V18" s="7" t="n">
        <v>1381</v>
      </c>
    </row>
    <row r="19" s="7" customFormat="true" ht="15" hidden="false" customHeight="false" outlineLevel="0" collapsed="false">
      <c r="C19" s="8" t="n">
        <v>41866</v>
      </c>
      <c r="D19" s="7" t="n">
        <v>15</v>
      </c>
      <c r="E19" s="7" t="n">
        <v>12.2</v>
      </c>
      <c r="F19" s="7" t="n">
        <v>18.7</v>
      </c>
      <c r="J19" s="7" t="n">
        <v>2.1</v>
      </c>
      <c r="L19" s="7" t="n">
        <v>2.2</v>
      </c>
      <c r="N19" s="9" t="n">
        <v>-0.1</v>
      </c>
      <c r="O19" s="7" t="n">
        <f aca="false">O18+N19</f>
        <v>48.9</v>
      </c>
      <c r="T19" s="10"/>
      <c r="V19" s="7" t="n">
        <v>1176.2</v>
      </c>
    </row>
    <row r="20" s="7" customFormat="true" ht="15" hidden="false" customHeight="false" outlineLevel="0" collapsed="false">
      <c r="C20" s="8" t="n">
        <v>41867</v>
      </c>
      <c r="D20" s="7" t="n">
        <v>15.8</v>
      </c>
      <c r="E20" s="7" t="n">
        <v>10.8</v>
      </c>
      <c r="F20" s="7" t="n">
        <v>20.6</v>
      </c>
      <c r="J20" s="7" t="n">
        <v>0</v>
      </c>
      <c r="L20" s="7" t="n">
        <v>3.2</v>
      </c>
      <c r="N20" s="9" t="n">
        <v>-3.2</v>
      </c>
      <c r="O20" s="7" t="n">
        <f aca="false">O19+N20</f>
        <v>45.7</v>
      </c>
      <c r="T20" s="10"/>
      <c r="V20" s="7" t="n">
        <v>1811.1</v>
      </c>
    </row>
    <row r="21" s="7" customFormat="true" ht="15" hidden="false" customHeight="false" outlineLevel="0" collapsed="false">
      <c r="C21" s="8" t="n">
        <v>41868</v>
      </c>
      <c r="D21" s="7" t="n">
        <v>15.8</v>
      </c>
      <c r="E21" s="7" t="n">
        <v>10</v>
      </c>
      <c r="F21" s="7" t="n">
        <v>20.6</v>
      </c>
      <c r="J21" s="7" t="n">
        <v>0</v>
      </c>
      <c r="L21" s="7" t="n">
        <v>1.9</v>
      </c>
      <c r="N21" s="9" t="n">
        <v>-1.9</v>
      </c>
      <c r="O21" s="7" t="n">
        <f aca="false">O20+N21</f>
        <v>43.8</v>
      </c>
      <c r="T21" s="10"/>
      <c r="V21" s="7" t="n">
        <v>992.5</v>
      </c>
    </row>
    <row r="22" s="7" customFormat="true" ht="15" hidden="false" customHeight="false" outlineLevel="0" collapsed="false">
      <c r="C22" s="8" t="n">
        <v>41869</v>
      </c>
      <c r="D22" s="7" t="n">
        <v>16</v>
      </c>
      <c r="E22" s="7" t="n">
        <v>14.6</v>
      </c>
      <c r="F22" s="7" t="n">
        <v>19.1</v>
      </c>
      <c r="J22" s="7" t="n">
        <v>0.1</v>
      </c>
      <c r="L22" s="7" t="n">
        <v>1.6</v>
      </c>
      <c r="N22" s="9" t="n">
        <v>-1.5</v>
      </c>
      <c r="O22" s="7" t="n">
        <f aca="false">O21+N22</f>
        <v>42.3</v>
      </c>
      <c r="T22" s="10"/>
      <c r="V22" s="7" t="n">
        <v>841.7</v>
      </c>
    </row>
    <row r="23" s="7" customFormat="true" ht="15" hidden="false" customHeight="false" outlineLevel="0" collapsed="false">
      <c r="C23" s="8" t="n">
        <v>41870</v>
      </c>
      <c r="D23" s="7" t="n">
        <v>14.4</v>
      </c>
      <c r="E23" s="7" t="n">
        <v>9.2</v>
      </c>
      <c r="F23" s="7" t="n">
        <v>18.8</v>
      </c>
      <c r="J23" s="7" t="n">
        <v>0</v>
      </c>
      <c r="L23" s="7" t="n">
        <v>2.8</v>
      </c>
      <c r="N23" s="9" t="n">
        <v>-2.8</v>
      </c>
      <c r="O23" s="7" t="n">
        <f aca="false">O22+N23</f>
        <v>39.5</v>
      </c>
      <c r="T23" s="10"/>
      <c r="V23" s="7" t="n">
        <v>1689.1</v>
      </c>
    </row>
    <row r="24" s="7" customFormat="true" ht="15" hidden="false" customHeight="false" outlineLevel="0" collapsed="false">
      <c r="C24" s="8" t="n">
        <v>41871</v>
      </c>
      <c r="D24" s="7" t="n">
        <v>14.6</v>
      </c>
      <c r="E24" s="7" t="n">
        <v>12.6</v>
      </c>
      <c r="F24" s="7" t="n">
        <v>19</v>
      </c>
      <c r="J24" s="7" t="n">
        <v>0</v>
      </c>
      <c r="L24" s="7" t="n">
        <v>3</v>
      </c>
      <c r="N24" s="9" t="n">
        <v>-3</v>
      </c>
      <c r="O24" s="7" t="n">
        <f aca="false">O23+N24</f>
        <v>36.5</v>
      </c>
      <c r="T24" s="10"/>
      <c r="V24" s="7" t="n">
        <v>1661.4</v>
      </c>
    </row>
    <row r="25" s="7" customFormat="true" ht="15" hidden="false" customHeight="false" outlineLevel="0" collapsed="false">
      <c r="C25" s="8" t="n">
        <v>41872</v>
      </c>
      <c r="D25" s="7" t="n">
        <v>13.9</v>
      </c>
      <c r="E25" s="7" t="n">
        <v>7.1</v>
      </c>
      <c r="F25" s="7" t="n">
        <v>20.3</v>
      </c>
      <c r="J25" s="7" t="n">
        <v>0</v>
      </c>
      <c r="L25" s="7" t="n">
        <v>1.6</v>
      </c>
      <c r="N25" s="9" t="n">
        <v>-1.6</v>
      </c>
      <c r="O25" s="7" t="n">
        <f aca="false">O24+N25</f>
        <v>34.9</v>
      </c>
      <c r="T25" s="10"/>
      <c r="V25" s="7" t="n">
        <v>1008.9</v>
      </c>
    </row>
    <row r="26" s="7" customFormat="true" ht="15" hidden="false" customHeight="false" outlineLevel="0" collapsed="false">
      <c r="C26" s="8" t="n">
        <v>41873</v>
      </c>
      <c r="D26" s="7" t="n">
        <v>15.1</v>
      </c>
      <c r="E26" s="7" t="n">
        <v>9.3</v>
      </c>
      <c r="F26" s="7" t="n">
        <v>20.6</v>
      </c>
      <c r="J26" s="7" t="n">
        <v>0</v>
      </c>
      <c r="L26" s="7" t="n">
        <v>3</v>
      </c>
      <c r="N26" s="9" t="n">
        <v>-3</v>
      </c>
      <c r="O26" s="7" t="n">
        <f aca="false">O25+N26</f>
        <v>31.9</v>
      </c>
      <c r="T26" s="10"/>
      <c r="V26" s="7" t="n">
        <v>1580.8</v>
      </c>
    </row>
    <row r="27" s="7" customFormat="true" ht="15" hidden="false" customHeight="false" outlineLevel="0" collapsed="false">
      <c r="C27" s="8" t="n">
        <v>41874</v>
      </c>
      <c r="D27" s="7" t="n">
        <v>14.4</v>
      </c>
      <c r="E27" s="7" t="n">
        <v>11.9</v>
      </c>
      <c r="F27" s="7" t="n">
        <v>18.3</v>
      </c>
      <c r="J27" s="7" t="n">
        <v>0</v>
      </c>
      <c r="L27" s="7" t="n">
        <v>1.9</v>
      </c>
      <c r="N27" s="9" t="n">
        <v>-1.9</v>
      </c>
      <c r="O27" s="7" t="n">
        <f aca="false">O26+N27</f>
        <v>30</v>
      </c>
      <c r="T27" s="10"/>
      <c r="V27" s="7" t="n">
        <v>985.7</v>
      </c>
    </row>
    <row r="28" s="7" customFormat="true" ht="15" hidden="false" customHeight="false" outlineLevel="0" collapsed="false">
      <c r="C28" s="8" t="n">
        <v>41875</v>
      </c>
      <c r="D28" s="7" t="n">
        <v>14.5</v>
      </c>
      <c r="E28" s="7" t="n">
        <v>7.7</v>
      </c>
      <c r="F28" s="7" t="n">
        <v>19.9</v>
      </c>
      <c r="J28" s="7" t="n">
        <v>1.3</v>
      </c>
      <c r="L28" s="7" t="n">
        <v>2.1</v>
      </c>
      <c r="N28" s="9" t="n">
        <v>-0.8</v>
      </c>
      <c r="O28" s="7" t="n">
        <f aca="false">O27+N28</f>
        <v>29.2</v>
      </c>
      <c r="T28" s="10"/>
      <c r="V28" s="7" t="n">
        <v>1232</v>
      </c>
    </row>
    <row r="29" s="7" customFormat="true" ht="15" hidden="false" customHeight="false" outlineLevel="0" collapsed="false">
      <c r="C29" s="8" t="n">
        <v>41876</v>
      </c>
      <c r="D29" s="7" t="n">
        <v>17</v>
      </c>
      <c r="E29" s="7" t="n">
        <v>12.3</v>
      </c>
      <c r="F29" s="7" t="n">
        <v>20.5</v>
      </c>
      <c r="J29" s="7" t="n">
        <v>13.1</v>
      </c>
      <c r="L29" s="7" t="n">
        <v>0.8</v>
      </c>
      <c r="N29" s="7" t="n">
        <v>12.3</v>
      </c>
      <c r="O29" s="7" t="n">
        <f aca="false">O28+N29</f>
        <v>41.5</v>
      </c>
      <c r="T29" s="10"/>
      <c r="V29" s="7" t="n">
        <v>434.9</v>
      </c>
    </row>
    <row r="30" s="7" customFormat="true" ht="15" hidden="false" customHeight="false" outlineLevel="0" collapsed="false">
      <c r="C30" s="8" t="n">
        <v>41877</v>
      </c>
      <c r="D30" s="7" t="n">
        <v>18</v>
      </c>
      <c r="E30" s="7" t="n">
        <v>16.4</v>
      </c>
      <c r="F30" s="7" t="n">
        <v>21</v>
      </c>
      <c r="J30" s="7" t="n">
        <v>1.1</v>
      </c>
      <c r="L30" s="7" t="n">
        <v>2.9</v>
      </c>
      <c r="N30" s="9" t="n">
        <v>-1.8</v>
      </c>
      <c r="O30" s="7" t="n">
        <f aca="false">O29+N30</f>
        <v>39.7</v>
      </c>
      <c r="T30" s="10"/>
      <c r="V30" s="7" t="n">
        <v>1409.1</v>
      </c>
    </row>
    <row r="31" s="7" customFormat="true" ht="15" hidden="false" customHeight="false" outlineLevel="0" collapsed="false">
      <c r="C31" s="8" t="n">
        <v>41878</v>
      </c>
      <c r="D31" s="7" t="n">
        <v>17.7</v>
      </c>
      <c r="E31" s="7" t="n">
        <v>13.6</v>
      </c>
      <c r="F31" s="7" t="n">
        <v>20.4</v>
      </c>
      <c r="J31" s="7" t="n">
        <v>0.1</v>
      </c>
      <c r="L31" s="7" t="n">
        <v>1.7</v>
      </c>
      <c r="N31" s="9" t="n">
        <v>-1.6</v>
      </c>
      <c r="O31" s="7" t="n">
        <f aca="false">O30+N31</f>
        <v>38.1</v>
      </c>
      <c r="T31" s="10"/>
      <c r="V31" s="7" t="n">
        <v>1030.8</v>
      </c>
    </row>
    <row r="32" s="7" customFormat="true" ht="15" hidden="false" customHeight="false" outlineLevel="0" collapsed="false">
      <c r="C32" s="8" t="n">
        <v>41879</v>
      </c>
      <c r="D32" s="7" t="n">
        <v>19.8</v>
      </c>
      <c r="E32" s="7" t="n">
        <v>16.7</v>
      </c>
      <c r="F32" s="7" t="n">
        <v>23.7</v>
      </c>
      <c r="J32" s="7" t="n">
        <v>0</v>
      </c>
      <c r="L32" s="7" t="n">
        <v>2.3</v>
      </c>
      <c r="N32" s="9" t="n">
        <v>-2.3</v>
      </c>
      <c r="O32" s="7" t="n">
        <f aca="false">O31+N32</f>
        <v>35.8</v>
      </c>
      <c r="T32" s="10"/>
      <c r="V32" s="7" t="n">
        <v>1106.8</v>
      </c>
    </row>
    <row r="33" s="7" customFormat="true" ht="15" hidden="false" customHeight="false" outlineLevel="0" collapsed="false">
      <c r="C33" s="8" t="n">
        <v>41880</v>
      </c>
      <c r="D33" s="7" t="n">
        <v>17.5</v>
      </c>
      <c r="E33" s="7" t="n">
        <v>14.3</v>
      </c>
      <c r="F33" s="7" t="n">
        <v>21.7</v>
      </c>
      <c r="J33" s="7" t="n">
        <v>0.1</v>
      </c>
      <c r="L33" s="7" t="n">
        <v>2</v>
      </c>
      <c r="N33" s="9" t="n">
        <v>-1.9</v>
      </c>
      <c r="O33" s="7" t="n">
        <f aca="false">O32+N33</f>
        <v>33.9</v>
      </c>
      <c r="T33" s="10"/>
      <c r="V33" s="7" t="n">
        <v>992.6</v>
      </c>
    </row>
    <row r="34" s="7" customFormat="true" ht="15" hidden="false" customHeight="false" outlineLevel="0" collapsed="false">
      <c r="C34" s="8" t="n">
        <v>41881</v>
      </c>
      <c r="D34" s="7" t="n">
        <v>16.6</v>
      </c>
      <c r="E34" s="7" t="n">
        <v>11.8</v>
      </c>
      <c r="F34" s="7" t="n">
        <v>21.5</v>
      </c>
      <c r="J34" s="7" t="n">
        <v>0</v>
      </c>
      <c r="L34" s="7" t="n">
        <v>1.7</v>
      </c>
      <c r="N34" s="9" t="n">
        <v>-1.7</v>
      </c>
      <c r="O34" s="7" t="n">
        <f aca="false">O33+N34</f>
        <v>32.2</v>
      </c>
      <c r="T34" s="10"/>
      <c r="V34" s="7" t="n">
        <v>1016.1</v>
      </c>
    </row>
    <row r="35" s="7" customFormat="true" ht="15" hidden="false" customHeight="false" outlineLevel="0" collapsed="false">
      <c r="C35" s="8" t="n">
        <v>41882</v>
      </c>
      <c r="D35" s="7" t="n">
        <v>16.8</v>
      </c>
      <c r="E35" s="7" t="n">
        <v>14.5</v>
      </c>
      <c r="F35" s="7" t="n">
        <v>20.2</v>
      </c>
      <c r="J35" s="7" t="n">
        <v>0</v>
      </c>
      <c r="L35" s="7" t="n">
        <v>2.4</v>
      </c>
      <c r="N35" s="9" t="n">
        <v>-2.4</v>
      </c>
      <c r="O35" s="7" t="n">
        <f aca="false">O34+N35</f>
        <v>29.8</v>
      </c>
      <c r="T35" s="10"/>
      <c r="V35" s="7" t="n">
        <v>995.5</v>
      </c>
    </row>
    <row r="36" s="7" customFormat="true" ht="15" hidden="false" customHeight="false" outlineLevel="0" collapsed="false">
      <c r="C36" s="8" t="n">
        <v>41883</v>
      </c>
      <c r="D36" s="7" t="n">
        <v>15.9</v>
      </c>
      <c r="E36" s="7" t="n">
        <v>10.1</v>
      </c>
      <c r="F36" s="7" t="n">
        <v>21.3</v>
      </c>
      <c r="J36" s="7" t="n">
        <v>0</v>
      </c>
      <c r="L36" s="7" t="n">
        <v>3.3</v>
      </c>
      <c r="N36" s="9" t="n">
        <v>-3.3</v>
      </c>
      <c r="O36" s="7" t="n">
        <f aca="false">O35+N36</f>
        <v>26.5</v>
      </c>
      <c r="T36" s="10"/>
      <c r="V36" s="7" t="n">
        <v>1868.7</v>
      </c>
    </row>
    <row r="37" s="7" customFormat="true" ht="15" hidden="false" customHeight="false" outlineLevel="0" collapsed="false">
      <c r="C37" s="8" t="n">
        <v>41884</v>
      </c>
      <c r="D37" s="7" t="n">
        <v>17.4</v>
      </c>
      <c r="E37" s="7" t="n">
        <v>11.7</v>
      </c>
      <c r="F37" s="7" t="n">
        <v>23.4</v>
      </c>
      <c r="J37" s="7" t="n">
        <v>0</v>
      </c>
      <c r="L37" s="7" t="n">
        <v>2.6</v>
      </c>
      <c r="N37" s="9" t="n">
        <v>-2.6</v>
      </c>
      <c r="O37" s="7" t="n">
        <f aca="false">O36+N37</f>
        <v>23.9</v>
      </c>
      <c r="T37" s="10"/>
      <c r="V37" s="7" t="n">
        <v>1275.8</v>
      </c>
    </row>
    <row r="38" s="7" customFormat="true" ht="15" hidden="false" customHeight="false" outlineLevel="0" collapsed="false">
      <c r="C38" s="8" t="n">
        <v>41885</v>
      </c>
      <c r="D38" s="7" t="n">
        <v>18.2</v>
      </c>
      <c r="E38" s="7" t="n">
        <v>12.8</v>
      </c>
      <c r="F38" s="7" t="n">
        <v>23.6</v>
      </c>
      <c r="J38" s="7" t="n">
        <v>0</v>
      </c>
      <c r="L38" s="7" t="n">
        <v>4.4</v>
      </c>
      <c r="N38" s="9" t="n">
        <v>-4.4</v>
      </c>
      <c r="O38" s="7" t="n">
        <f aca="false">O37+N38</f>
        <v>19.5</v>
      </c>
      <c r="T38" s="10"/>
      <c r="V38" s="7" t="n">
        <v>2289.6</v>
      </c>
    </row>
    <row r="39" s="7" customFormat="true" ht="15" hidden="false" customHeight="false" outlineLevel="0" collapsed="false">
      <c r="C39" s="8" t="n">
        <v>41886</v>
      </c>
      <c r="D39" s="7" t="n">
        <v>17.3</v>
      </c>
      <c r="E39" s="7" t="n">
        <v>12.1</v>
      </c>
      <c r="F39" s="7" t="n">
        <v>22.3</v>
      </c>
      <c r="J39" s="7" t="n">
        <v>0</v>
      </c>
      <c r="L39" s="7" t="n">
        <v>2.8</v>
      </c>
      <c r="N39" s="9" t="n">
        <v>-2.8</v>
      </c>
      <c r="O39" s="7" t="n">
        <f aca="false">O38+N39</f>
        <v>16.7</v>
      </c>
      <c r="T39" s="10"/>
      <c r="V39" s="7" t="n">
        <v>1620.4</v>
      </c>
      <c r="AA39" s="7" t="n">
        <v>13.2663387096298</v>
      </c>
    </row>
    <row r="40" s="7" customFormat="true" ht="15" hidden="false" customHeight="false" outlineLevel="0" collapsed="false">
      <c r="C40" s="8" t="n">
        <v>41887</v>
      </c>
      <c r="D40" s="7" t="n">
        <v>17.8</v>
      </c>
      <c r="E40" s="7" t="n">
        <v>11</v>
      </c>
      <c r="F40" s="7" t="n">
        <v>23.5</v>
      </c>
      <c r="J40" s="7" t="n">
        <v>0</v>
      </c>
      <c r="L40" s="7" t="n">
        <v>2.4</v>
      </c>
      <c r="N40" s="9" t="n">
        <v>-2.4</v>
      </c>
      <c r="O40" s="7" t="n">
        <f aca="false">O39+N40</f>
        <v>14.3</v>
      </c>
      <c r="T40" s="10"/>
      <c r="V40" s="7" t="n">
        <v>1255.6</v>
      </c>
      <c r="AA40" s="7" t="n">
        <v>13.2111021060954</v>
      </c>
    </row>
    <row r="41" s="7" customFormat="true" ht="15" hidden="false" customHeight="false" outlineLevel="0" collapsed="false">
      <c r="C41" s="8" t="n">
        <v>41888</v>
      </c>
      <c r="D41" s="7" t="n">
        <v>20.3</v>
      </c>
      <c r="E41" s="7" t="n">
        <v>17.1</v>
      </c>
      <c r="F41" s="7" t="n">
        <v>24.7</v>
      </c>
      <c r="J41" s="7" t="n">
        <v>0</v>
      </c>
      <c r="L41" s="7" t="n">
        <v>1.2</v>
      </c>
      <c r="N41" s="9" t="n">
        <v>-1.2</v>
      </c>
      <c r="O41" s="7" t="n">
        <f aca="false">O40+N41</f>
        <v>13.1</v>
      </c>
      <c r="T41" s="10"/>
      <c r="V41" s="7" t="n">
        <v>801.6</v>
      </c>
      <c r="AA41" s="7" t="n">
        <v>13.1557357957287</v>
      </c>
    </row>
    <row r="42" s="7" customFormat="true" ht="15" hidden="false" customHeight="false" outlineLevel="0" collapsed="false">
      <c r="C42" s="8" t="n">
        <v>41889</v>
      </c>
      <c r="D42" s="7" t="n">
        <v>19.8</v>
      </c>
      <c r="E42" s="7" t="n">
        <v>12.8</v>
      </c>
      <c r="F42" s="7" t="n">
        <v>26.4</v>
      </c>
      <c r="J42" s="7" t="n">
        <v>0</v>
      </c>
      <c r="L42" s="7" t="n">
        <v>3.8</v>
      </c>
      <c r="N42" s="9" t="n">
        <v>-3.8</v>
      </c>
      <c r="O42" s="7" t="n">
        <f aca="false">O41+N42</f>
        <v>9.30000000000001</v>
      </c>
      <c r="T42" s="10"/>
      <c r="V42" s="7" t="n">
        <v>2056.5</v>
      </c>
      <c r="AA42" s="7" t="n">
        <v>13.1002473725603</v>
      </c>
    </row>
    <row r="43" s="7" customFormat="true" ht="15" hidden="false" customHeight="false" outlineLevel="0" collapsed="false">
      <c r="C43" s="8" t="n">
        <v>41890</v>
      </c>
      <c r="D43" s="7" t="n">
        <v>20.2</v>
      </c>
      <c r="E43" s="7" t="n">
        <v>13.6</v>
      </c>
      <c r="F43" s="7" t="n">
        <v>26.8</v>
      </c>
      <c r="J43" s="7" t="n">
        <v>0</v>
      </c>
      <c r="L43" s="7" t="n">
        <v>4.2</v>
      </c>
      <c r="N43" s="9" t="n">
        <v>-4.2</v>
      </c>
      <c r="O43" s="7" t="n">
        <f aca="false">O42+N43</f>
        <v>5.10000000000001</v>
      </c>
      <c r="T43" s="10" t="n">
        <v>5.1</v>
      </c>
      <c r="V43" s="7" t="n">
        <v>1962</v>
      </c>
      <c r="AA43" s="7" t="n">
        <v>13.0446441822443</v>
      </c>
    </row>
    <row r="44" s="7" customFormat="true" ht="15" hidden="false" customHeight="false" outlineLevel="0" collapsed="false">
      <c r="A44" s="11" t="s">
        <v>26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7" t="n">
        <v>12.9889333368254</v>
      </c>
    </row>
    <row r="45" s="7" customFormat="true" ht="15" hidden="false" customHeight="false" outlineLevel="0" collapsed="false">
      <c r="A45" s="12" t="s">
        <v>27</v>
      </c>
      <c r="B45" s="13"/>
      <c r="C45" s="8" t="n">
        <v>41891</v>
      </c>
      <c r="D45" s="7" t="n">
        <v>18.8</v>
      </c>
      <c r="E45" s="7" t="n">
        <v>14.5</v>
      </c>
      <c r="F45" s="7" t="n">
        <v>25.3</v>
      </c>
      <c r="G45" s="7" t="n">
        <f aca="false">D45</f>
        <v>18.8</v>
      </c>
      <c r="I45" s="14" t="s">
        <v>28</v>
      </c>
      <c r="J45" s="7" t="n">
        <v>0</v>
      </c>
      <c r="K45" s="7" t="n">
        <f aca="false">J45</f>
        <v>0</v>
      </c>
      <c r="L45" s="7" t="n">
        <v>3.3</v>
      </c>
      <c r="M45" s="7" t="n">
        <f aca="false">L45</f>
        <v>3.3</v>
      </c>
      <c r="N45" s="9" t="n">
        <v>-3.3</v>
      </c>
      <c r="O45" s="7" t="n">
        <f aca="false">O43+N45</f>
        <v>1.80000000000001</v>
      </c>
      <c r="P45" s="7" t="n">
        <v>1</v>
      </c>
      <c r="Q45" s="7" t="n">
        <v>0.35</v>
      </c>
      <c r="R45" s="10" t="n">
        <f aca="false">Q45*L45</f>
        <v>1.155</v>
      </c>
      <c r="S45" s="10" t="n">
        <f aca="false">J45-R45</f>
        <v>-1.155</v>
      </c>
      <c r="T45" s="10" t="n">
        <f aca="false">T43+S45</f>
        <v>3.945</v>
      </c>
      <c r="U45" s="14" t="s">
        <v>29</v>
      </c>
      <c r="V45" s="7" t="n">
        <v>1354.1</v>
      </c>
      <c r="X45" s="7" t="n">
        <f aca="false">V45</f>
        <v>1354.1</v>
      </c>
      <c r="Z45" s="14" t="s">
        <v>30</v>
      </c>
      <c r="AA45" s="7" t="n">
        <v>12.933121729612</v>
      </c>
    </row>
    <row r="46" s="7" customFormat="true" ht="15" hidden="false" customHeight="false" outlineLevel="0" collapsed="false">
      <c r="A46" s="12"/>
      <c r="B46" s="13"/>
      <c r="C46" s="8" t="n">
        <v>41892</v>
      </c>
      <c r="D46" s="7" t="n">
        <v>16.4</v>
      </c>
      <c r="E46" s="7" t="n">
        <v>10.3</v>
      </c>
      <c r="F46" s="7" t="n">
        <v>21.7</v>
      </c>
      <c r="G46" s="7" t="n">
        <f aca="false">G45+D46</f>
        <v>35.2</v>
      </c>
      <c r="I46" s="7" t="n">
        <f aca="false">MIN(E45:E126)</f>
        <v>0.5</v>
      </c>
      <c r="J46" s="7" t="n">
        <v>0</v>
      </c>
      <c r="K46" s="7" t="n">
        <f aca="false">K45+J46</f>
        <v>0</v>
      </c>
      <c r="L46" s="7" t="n">
        <v>3.7</v>
      </c>
      <c r="M46" s="7" t="n">
        <f aca="false">M45+L46</f>
        <v>7</v>
      </c>
      <c r="N46" s="9" t="n">
        <v>-3.7</v>
      </c>
      <c r="O46" s="7" t="n">
        <v>0</v>
      </c>
      <c r="P46" s="7" t="n">
        <v>2</v>
      </c>
      <c r="Q46" s="7" t="n">
        <v>0.35</v>
      </c>
      <c r="R46" s="10" t="n">
        <f aca="false">Q46*L46</f>
        <v>1.295</v>
      </c>
      <c r="S46" s="10" t="n">
        <f aca="false">J46-R46</f>
        <v>-1.295</v>
      </c>
      <c r="T46" s="10" t="n">
        <f aca="false">MIN(138.9,(T45+S46))</f>
        <v>2.65</v>
      </c>
      <c r="U46" s="7" t="n">
        <v>55</v>
      </c>
      <c r="V46" s="7" t="n">
        <v>2153.4</v>
      </c>
      <c r="X46" s="7" t="n">
        <f aca="false">X45+V46</f>
        <v>3507.5</v>
      </c>
      <c r="Z46" s="7" t="n">
        <v>60224.2</v>
      </c>
      <c r="AA46" s="7" t="n">
        <v>12.8772160501405</v>
      </c>
    </row>
    <row r="47" s="7" customFormat="true" ht="15" hidden="false" customHeight="false" outlineLevel="0" collapsed="false">
      <c r="A47" s="12"/>
      <c r="B47" s="13"/>
      <c r="C47" s="8" t="n">
        <v>41893</v>
      </c>
      <c r="D47" s="7" t="n">
        <v>15.2</v>
      </c>
      <c r="E47" s="7" t="n">
        <v>9.7</v>
      </c>
      <c r="F47" s="7" t="n">
        <v>20.6</v>
      </c>
      <c r="G47" s="7" t="n">
        <f aca="false">G46+D47</f>
        <v>50.4</v>
      </c>
      <c r="I47" s="14" t="s">
        <v>31</v>
      </c>
      <c r="J47" s="7" t="n">
        <v>0</v>
      </c>
      <c r="K47" s="7" t="n">
        <f aca="false">K46+J47</f>
        <v>0</v>
      </c>
      <c r="L47" s="7" t="n">
        <v>4</v>
      </c>
      <c r="M47" s="7" t="n">
        <f aca="false">M46+L47</f>
        <v>11</v>
      </c>
      <c r="N47" s="9" t="n">
        <v>-4</v>
      </c>
      <c r="O47" s="7" t="n">
        <v>0</v>
      </c>
      <c r="P47" s="7" t="n">
        <v>3</v>
      </c>
      <c r="Q47" s="7" t="n">
        <v>0.35</v>
      </c>
      <c r="R47" s="10" t="n">
        <f aca="false">Q47*L47</f>
        <v>1.4</v>
      </c>
      <c r="S47" s="10" t="n">
        <f aca="false">J47-R47</f>
        <v>-1.4</v>
      </c>
      <c r="T47" s="10" t="n">
        <f aca="false">MIN(138.9,(T46+S47))</f>
        <v>1.25</v>
      </c>
      <c r="U47" s="14" t="s">
        <v>32</v>
      </c>
      <c r="V47" s="7" t="n">
        <v>2186.8</v>
      </c>
      <c r="X47" s="7" t="n">
        <f aca="false">X46+V47</f>
        <v>5694.3</v>
      </c>
      <c r="Z47" s="14" t="s">
        <v>33</v>
      </c>
      <c r="AA47" s="7" t="n">
        <v>12.8212227992249</v>
      </c>
    </row>
    <row r="48" s="7" customFormat="true" ht="15" hidden="false" customHeight="false" outlineLevel="0" collapsed="false">
      <c r="A48" s="12"/>
      <c r="B48" s="13"/>
      <c r="C48" s="8" t="n">
        <v>41894</v>
      </c>
      <c r="D48" s="7" t="n">
        <v>15.9</v>
      </c>
      <c r="E48" s="7" t="n">
        <v>10.8</v>
      </c>
      <c r="F48" s="7" t="n">
        <v>20.9</v>
      </c>
      <c r="G48" s="7" t="n">
        <f aca="false">G47+D48</f>
        <v>66.3</v>
      </c>
      <c r="I48" s="7" t="n">
        <f aca="false">MAX(F45:F126)</f>
        <v>26.9</v>
      </c>
      <c r="J48" s="7" t="n">
        <v>0</v>
      </c>
      <c r="K48" s="7" t="n">
        <f aca="false">K47+J48</f>
        <v>0</v>
      </c>
      <c r="L48" s="7" t="n">
        <v>4</v>
      </c>
      <c r="M48" s="7" t="n">
        <f aca="false">M47+L48</f>
        <v>15</v>
      </c>
      <c r="N48" s="9" t="n">
        <v>-4</v>
      </c>
      <c r="O48" s="7" t="n">
        <v>0</v>
      </c>
      <c r="P48" s="7" t="n">
        <v>4</v>
      </c>
      <c r="Q48" s="7" t="n">
        <v>0.35</v>
      </c>
      <c r="R48" s="10" t="n">
        <f aca="false">Q48*L48</f>
        <v>1.4</v>
      </c>
      <c r="S48" s="10" t="n">
        <f aca="false">J48-R48</f>
        <v>-1.4</v>
      </c>
      <c r="T48" s="10" t="n">
        <v>0</v>
      </c>
      <c r="U48" s="7" t="n">
        <v>8</v>
      </c>
      <c r="V48" s="7" t="n">
        <v>2056.6</v>
      </c>
      <c r="X48" s="7" t="n">
        <f aca="false">X47+V48</f>
        <v>7750.9</v>
      </c>
      <c r="Z48" s="15" t="n">
        <f aca="false">(Z46/100)/I58</f>
        <v>0.566442814145974</v>
      </c>
      <c r="AA48" s="7" t="n">
        <v>12.765148304082</v>
      </c>
    </row>
    <row r="49" s="7" customFormat="true" ht="15" hidden="false" customHeight="false" outlineLevel="0" collapsed="false">
      <c r="A49" s="12"/>
      <c r="B49" s="13"/>
      <c r="C49" s="8" t="n">
        <v>41895</v>
      </c>
      <c r="D49" s="7" t="n">
        <v>17.4</v>
      </c>
      <c r="E49" s="7" t="n">
        <v>11.1</v>
      </c>
      <c r="F49" s="7" t="n">
        <v>22.6</v>
      </c>
      <c r="G49" s="7" t="n">
        <f aca="false">G48+D49</f>
        <v>83.7</v>
      </c>
      <c r="I49" s="14" t="s">
        <v>34</v>
      </c>
      <c r="J49" s="7" t="n">
        <v>0</v>
      </c>
      <c r="K49" s="7" t="n">
        <f aca="false">K48+J49</f>
        <v>0</v>
      </c>
      <c r="L49" s="7" t="n">
        <v>2.2</v>
      </c>
      <c r="M49" s="7" t="n">
        <f aca="false">M48+L49</f>
        <v>17.2</v>
      </c>
      <c r="N49" s="9" t="n">
        <v>-2.2</v>
      </c>
      <c r="O49" s="7" t="n">
        <v>0</v>
      </c>
      <c r="P49" s="7" t="n">
        <v>5</v>
      </c>
      <c r="Q49" s="7" t="n">
        <v>0.35</v>
      </c>
      <c r="R49" s="10" t="n">
        <f aca="false">Q49*L49</f>
        <v>0.77</v>
      </c>
      <c r="S49" s="10" t="n">
        <f aca="false">J49-R49</f>
        <v>-0.77</v>
      </c>
      <c r="T49" s="10" t="n">
        <v>0</v>
      </c>
      <c r="U49" s="14" t="s">
        <v>35</v>
      </c>
      <c r="V49" s="7" t="n">
        <v>1068.7</v>
      </c>
      <c r="X49" s="7" t="n">
        <f aca="false">X48+V49</f>
        <v>8819.6</v>
      </c>
      <c r="Z49" s="14" t="s">
        <v>36</v>
      </c>
      <c r="AA49" s="7" t="n">
        <v>12.7089987335283</v>
      </c>
    </row>
    <row r="50" s="7" customFormat="true" ht="15" hidden="false" customHeight="false" outlineLevel="0" collapsed="false">
      <c r="A50" s="12"/>
      <c r="B50" s="13"/>
      <c r="C50" s="8" t="n">
        <v>41896</v>
      </c>
      <c r="D50" s="7" t="n">
        <v>18.3</v>
      </c>
      <c r="E50" s="7" t="n">
        <v>13.8</v>
      </c>
      <c r="F50" s="7" t="n">
        <v>22.9</v>
      </c>
      <c r="G50" s="7" t="n">
        <f aca="false">G49+D50</f>
        <v>102</v>
      </c>
      <c r="I50" s="7" t="n">
        <f aca="false">AVERAGE(D45:D126)</f>
        <v>12.9658536585366</v>
      </c>
      <c r="J50" s="7" t="n">
        <v>0</v>
      </c>
      <c r="K50" s="7" t="n">
        <f aca="false">K49+J50</f>
        <v>0</v>
      </c>
      <c r="L50" s="7" t="n">
        <v>3.3</v>
      </c>
      <c r="M50" s="7" t="n">
        <f aca="false">M49+L50</f>
        <v>20.5</v>
      </c>
      <c r="N50" s="9" t="n">
        <v>-3.3</v>
      </c>
      <c r="O50" s="7" t="n">
        <v>0</v>
      </c>
      <c r="P50" s="7" t="n">
        <v>6</v>
      </c>
      <c r="Q50" s="7" t="n">
        <v>0.35</v>
      </c>
      <c r="R50" s="10" t="n">
        <f aca="false">Q50*L50</f>
        <v>1.155</v>
      </c>
      <c r="S50" s="10" t="n">
        <f aca="false">J50-R50</f>
        <v>-1.155</v>
      </c>
      <c r="T50" s="10" t="n">
        <v>0</v>
      </c>
      <c r="U50" s="7" t="n">
        <v>21</v>
      </c>
      <c r="V50" s="7" t="n">
        <v>1715.3</v>
      </c>
      <c r="X50" s="7" t="n">
        <f aca="false">X49+V50</f>
        <v>10534.9</v>
      </c>
      <c r="Z50" s="7" t="n">
        <v>57</v>
      </c>
      <c r="AA50" s="7" t="n">
        <v>12.6527801132437</v>
      </c>
    </row>
    <row r="51" s="7" customFormat="true" ht="15" hidden="false" customHeight="false" outlineLevel="0" collapsed="false">
      <c r="A51" s="12"/>
      <c r="B51" s="13"/>
      <c r="C51" s="8" t="n">
        <v>41897</v>
      </c>
      <c r="D51" s="7" t="n">
        <v>18.8</v>
      </c>
      <c r="E51" s="7" t="n">
        <v>13</v>
      </c>
      <c r="F51" s="7" t="n">
        <v>25.2</v>
      </c>
      <c r="G51" s="7" t="n">
        <f aca="false">G50+D51</f>
        <v>120.8</v>
      </c>
      <c r="I51" s="14" t="s">
        <v>37</v>
      </c>
      <c r="J51" s="7" t="n">
        <v>0</v>
      </c>
      <c r="K51" s="7" t="n">
        <f aca="false">K50+J51</f>
        <v>0</v>
      </c>
      <c r="L51" s="7" t="n">
        <v>3.6</v>
      </c>
      <c r="M51" s="7" t="n">
        <f aca="false">M50+L51</f>
        <v>24.1</v>
      </c>
      <c r="N51" s="9" t="n">
        <v>-3.6</v>
      </c>
      <c r="O51" s="7" t="n">
        <v>0</v>
      </c>
      <c r="P51" s="7" t="n">
        <v>7</v>
      </c>
      <c r="Q51" s="7" t="n">
        <v>0.35</v>
      </c>
      <c r="R51" s="10" t="n">
        <f aca="false">Q51*L51</f>
        <v>1.26</v>
      </c>
      <c r="S51" s="10" t="n">
        <f aca="false">J51-R51</f>
        <v>-1.26</v>
      </c>
      <c r="T51" s="10" t="n">
        <v>0</v>
      </c>
      <c r="U51" s="14" t="s">
        <v>38</v>
      </c>
      <c r="V51" s="7" t="n">
        <v>1886.3</v>
      </c>
      <c r="X51" s="7" t="n">
        <f aca="false">X50+V51</f>
        <v>12421.2</v>
      </c>
      <c r="AA51" s="7" t="n">
        <v>12.5964983411</v>
      </c>
    </row>
    <row r="52" s="7" customFormat="true" ht="15" hidden="false" customHeight="false" outlineLevel="0" collapsed="false">
      <c r="A52" s="12"/>
      <c r="B52" s="13"/>
      <c r="C52" s="8" t="n">
        <v>41898</v>
      </c>
      <c r="D52" s="7" t="n">
        <v>19.9</v>
      </c>
      <c r="E52" s="7" t="n">
        <v>12.3</v>
      </c>
      <c r="F52" s="7" t="n">
        <v>26.9</v>
      </c>
      <c r="G52" s="7" t="n">
        <f aca="false">G51+D52</f>
        <v>140.7</v>
      </c>
      <c r="I52" s="7" t="n">
        <v>0</v>
      </c>
      <c r="J52" s="7" t="n">
        <v>0</v>
      </c>
      <c r="K52" s="7" t="n">
        <f aca="false">K51+J52</f>
        <v>0</v>
      </c>
      <c r="L52" s="7" t="n">
        <v>3.5</v>
      </c>
      <c r="M52" s="7" t="n">
        <f aca="false">M51+L52</f>
        <v>27.6</v>
      </c>
      <c r="N52" s="9" t="n">
        <v>-3.5</v>
      </c>
      <c r="O52" s="7" t="n">
        <v>0</v>
      </c>
      <c r="P52" s="7" t="n">
        <v>8</v>
      </c>
      <c r="Q52" s="7" t="n">
        <v>0.35</v>
      </c>
      <c r="R52" s="10" t="n">
        <f aca="false">Q52*L52</f>
        <v>1.225</v>
      </c>
      <c r="S52" s="10" t="n">
        <f aca="false">J52-R52</f>
        <v>-1.225</v>
      </c>
      <c r="T52" s="10" t="n">
        <v>0</v>
      </c>
      <c r="U52" s="10" t="n">
        <v>0</v>
      </c>
      <c r="V52" s="7" t="n">
        <v>1796</v>
      </c>
      <c r="X52" s="7" t="n">
        <f aca="false">X51+V52</f>
        <v>14217.2</v>
      </c>
      <c r="AA52" s="7" t="n">
        <v>12.5401592025527</v>
      </c>
    </row>
    <row r="53" s="7" customFormat="true" ht="15" hidden="false" customHeight="false" outlineLevel="0" collapsed="false">
      <c r="A53" s="12"/>
      <c r="B53" s="13"/>
      <c r="C53" s="8" t="n">
        <v>41899</v>
      </c>
      <c r="D53" s="7" t="n">
        <v>20.1</v>
      </c>
      <c r="E53" s="7" t="n">
        <v>16.2</v>
      </c>
      <c r="F53" s="7" t="n">
        <v>25.2</v>
      </c>
      <c r="G53" s="7" t="n">
        <f aca="false">G52+D53</f>
        <v>160.8</v>
      </c>
      <c r="I53" s="14" t="s">
        <v>39</v>
      </c>
      <c r="J53" s="7" t="n">
        <v>0.1</v>
      </c>
      <c r="K53" s="7" t="n">
        <f aca="false">K52+J53</f>
        <v>0.1</v>
      </c>
      <c r="L53" s="7" t="n">
        <v>1.9</v>
      </c>
      <c r="M53" s="7" t="n">
        <f aca="false">M52+L53</f>
        <v>29.5</v>
      </c>
      <c r="N53" s="9" t="n">
        <v>-1.8</v>
      </c>
      <c r="O53" s="7" t="n">
        <v>0</v>
      </c>
      <c r="P53" s="7" t="n">
        <v>9</v>
      </c>
      <c r="Q53" s="7" t="n">
        <f aca="false">0.35+((P53-8)/74)*(1-0.35)</f>
        <v>0.358783783783784</v>
      </c>
      <c r="R53" s="10" t="n">
        <f aca="false">Q53*L53</f>
        <v>0.681689189189189</v>
      </c>
      <c r="S53" s="10" t="n">
        <f aca="false">J53-R53</f>
        <v>-0.581689189189189</v>
      </c>
      <c r="T53" s="10" t="n">
        <v>0</v>
      </c>
      <c r="U53" s="14" t="s">
        <v>40</v>
      </c>
      <c r="V53" s="7" t="n">
        <v>974.7</v>
      </c>
      <c r="X53" s="7" t="n">
        <f aca="false">X52+V53</f>
        <v>15191.9</v>
      </c>
      <c r="AA53" s="7" t="n">
        <v>12.4837683860955</v>
      </c>
    </row>
    <row r="54" s="7" customFormat="true" ht="15" hidden="false" customHeight="false" outlineLevel="0" collapsed="false">
      <c r="A54" s="12"/>
      <c r="B54" s="13"/>
      <c r="C54" s="8" t="n">
        <v>41900</v>
      </c>
      <c r="D54" s="7" t="n">
        <v>18.6</v>
      </c>
      <c r="E54" s="7" t="n">
        <v>15.3</v>
      </c>
      <c r="F54" s="7" t="n">
        <v>23</v>
      </c>
      <c r="G54" s="7" t="n">
        <f aca="false">G53+D54</f>
        <v>179.4</v>
      </c>
      <c r="I54" s="7" t="n">
        <v>4</v>
      </c>
      <c r="J54" s="7" t="n">
        <v>0.2</v>
      </c>
      <c r="K54" s="7" t="n">
        <f aca="false">K53+J54</f>
        <v>0.3</v>
      </c>
      <c r="L54" s="7" t="n">
        <v>1.2</v>
      </c>
      <c r="M54" s="7" t="n">
        <f aca="false">M53+L54</f>
        <v>30.7</v>
      </c>
      <c r="N54" s="9" t="n">
        <v>-1</v>
      </c>
      <c r="O54" s="7" t="n">
        <v>0</v>
      </c>
      <c r="P54" s="7" t="n">
        <v>10</v>
      </c>
      <c r="Q54" s="7" t="n">
        <f aca="false">0.35+((P54-8)/74)*(1-0.35)</f>
        <v>0.367567567567568</v>
      </c>
      <c r="R54" s="10" t="n">
        <f aca="false">Q54*L54</f>
        <v>0.441081081081081</v>
      </c>
      <c r="S54" s="10" t="n">
        <f aca="false">J54-R54</f>
        <v>-0.241081081081081</v>
      </c>
      <c r="T54" s="10" t="n">
        <v>0</v>
      </c>
      <c r="U54" s="10" t="n">
        <f aca="false">MAX(T45:T126)</f>
        <v>109.971148648649</v>
      </c>
      <c r="V54" s="7" t="n">
        <v>585.6</v>
      </c>
      <c r="X54" s="7" t="n">
        <f aca="false">X53+V54</f>
        <v>15777.5</v>
      </c>
      <c r="AA54" s="7" t="n">
        <v>12.4273314987796</v>
      </c>
    </row>
    <row r="55" s="7" customFormat="true" ht="15" hidden="false" customHeight="false" outlineLevel="0" collapsed="false">
      <c r="A55" s="12"/>
      <c r="B55" s="13"/>
      <c r="C55" s="8" t="n">
        <v>41901</v>
      </c>
      <c r="D55" s="7" t="n">
        <v>16.4</v>
      </c>
      <c r="E55" s="7" t="n">
        <v>12.6</v>
      </c>
      <c r="F55" s="7" t="n">
        <v>19.6</v>
      </c>
      <c r="G55" s="7" t="n">
        <f aca="false">G54+D55</f>
        <v>195.8</v>
      </c>
      <c r="I55" s="14" t="s">
        <v>41</v>
      </c>
      <c r="J55" s="7" t="n">
        <v>1.8</v>
      </c>
      <c r="K55" s="7" t="n">
        <f aca="false">K54+J55</f>
        <v>2.1</v>
      </c>
      <c r="L55" s="7" t="n">
        <v>1.1</v>
      </c>
      <c r="M55" s="7" t="n">
        <f aca="false">M54+L55</f>
        <v>31.8</v>
      </c>
      <c r="N55" s="7" t="n">
        <v>0.7</v>
      </c>
      <c r="O55" s="7" t="n">
        <f aca="false">O54+N55</f>
        <v>0.7</v>
      </c>
      <c r="P55" s="7" t="n">
        <v>11</v>
      </c>
      <c r="Q55" s="7" t="n">
        <f aca="false">0.35+((P55-8)/74)*(1-0.35)</f>
        <v>0.376351351351351</v>
      </c>
      <c r="R55" s="10" t="n">
        <f aca="false">Q55*L55</f>
        <v>0.413986486486487</v>
      </c>
      <c r="S55" s="10" t="n">
        <f aca="false">J55-R55</f>
        <v>1.38601351351351</v>
      </c>
      <c r="T55" s="10" t="n">
        <f aca="false">MIN(138.9,(T54+S55))</f>
        <v>1.38601351351351</v>
      </c>
      <c r="U55" s="14" t="s">
        <v>42</v>
      </c>
      <c r="V55" s="7" t="n">
        <v>540.7</v>
      </c>
      <c r="X55" s="7" t="n">
        <f aca="false">X54+V55</f>
        <v>16318.2</v>
      </c>
      <c r="AA55" s="7" t="n">
        <v>12.3708540817986</v>
      </c>
    </row>
    <row r="56" s="7" customFormat="true" ht="15" hidden="false" customHeight="false" outlineLevel="0" collapsed="false">
      <c r="A56" s="12"/>
      <c r="B56" s="13"/>
      <c r="C56" s="8" t="n">
        <v>41902</v>
      </c>
      <c r="D56" s="7" t="n">
        <v>17.9</v>
      </c>
      <c r="E56" s="7" t="n">
        <v>14.8</v>
      </c>
      <c r="F56" s="7" t="n">
        <v>21.5</v>
      </c>
      <c r="G56" s="7" t="n">
        <f aca="false">G55+D56</f>
        <v>213.7</v>
      </c>
      <c r="I56" s="7" t="n">
        <v>6</v>
      </c>
      <c r="J56" s="7" t="n">
        <v>0.8</v>
      </c>
      <c r="K56" s="7" t="n">
        <f aca="false">K55+J56</f>
        <v>2.9</v>
      </c>
      <c r="L56" s="7" t="n">
        <v>0.8</v>
      </c>
      <c r="M56" s="7" t="n">
        <f aca="false">M55+L56</f>
        <v>32.6</v>
      </c>
      <c r="N56" s="9" t="n">
        <v>0</v>
      </c>
      <c r="O56" s="7" t="n">
        <f aca="false">O55+N56</f>
        <v>0.7</v>
      </c>
      <c r="P56" s="7" t="n">
        <v>12</v>
      </c>
      <c r="Q56" s="7" t="n">
        <f aca="false">0.35+((P56-8)/74)*(1-0.35)</f>
        <v>0.385135135135135</v>
      </c>
      <c r="R56" s="10" t="n">
        <f aca="false">Q56*L56</f>
        <v>0.308108108108108</v>
      </c>
      <c r="S56" s="10" t="n">
        <f aca="false">J56-R56</f>
        <v>0.491891891891892</v>
      </c>
      <c r="T56" s="10" t="n">
        <f aca="false">MIN(138.9,(T55+S56))</f>
        <v>1.87790540540541</v>
      </c>
      <c r="U56" s="15" t="n">
        <f aca="false">AVERAGE(T45:T126)</f>
        <v>52.984108437706</v>
      </c>
      <c r="V56" s="7" t="n">
        <v>483.2</v>
      </c>
      <c r="X56" s="7" t="n">
        <f aca="false">X55+V56</f>
        <v>16801.4</v>
      </c>
      <c r="AA56" s="7" t="n">
        <v>12.3143416261419</v>
      </c>
    </row>
    <row r="57" s="7" customFormat="true" ht="15" hidden="false" customHeight="false" outlineLevel="0" collapsed="false">
      <c r="A57" s="12"/>
      <c r="B57" s="13"/>
      <c r="C57" s="8" t="n">
        <v>41903</v>
      </c>
      <c r="D57" s="7" t="n">
        <v>17</v>
      </c>
      <c r="E57" s="7" t="n">
        <v>14.6</v>
      </c>
      <c r="F57" s="7" t="n">
        <v>21.8</v>
      </c>
      <c r="G57" s="7" t="n">
        <f aca="false">G56+D57</f>
        <v>230.7</v>
      </c>
      <c r="I57" s="14" t="s">
        <v>43</v>
      </c>
      <c r="J57" s="7" t="n">
        <v>6</v>
      </c>
      <c r="K57" s="7" t="n">
        <f aca="false">K56+J57</f>
        <v>8.9</v>
      </c>
      <c r="L57" s="7" t="n">
        <v>1.3</v>
      </c>
      <c r="M57" s="7" t="n">
        <f aca="false">M56+L57</f>
        <v>33.9</v>
      </c>
      <c r="N57" s="7" t="n">
        <v>4.7</v>
      </c>
      <c r="O57" s="7" t="n">
        <f aca="false">O56+N57</f>
        <v>5.4</v>
      </c>
      <c r="P57" s="7" t="n">
        <v>13</v>
      </c>
      <c r="Q57" s="7" t="n">
        <f aca="false">0.35+((P57-8)/74)*(1-0.35)</f>
        <v>0.393918918918919</v>
      </c>
      <c r="R57" s="10" t="n">
        <f aca="false">Q57*L57</f>
        <v>0.512094594594595</v>
      </c>
      <c r="S57" s="10" t="n">
        <f aca="false">J57-R57</f>
        <v>5.48790540540541</v>
      </c>
      <c r="T57" s="10" t="n">
        <f aca="false">MIN(138.9,(T56+S57))</f>
        <v>7.36581081081081</v>
      </c>
      <c r="V57" s="7" t="n">
        <v>677.4</v>
      </c>
      <c r="X57" s="7" t="n">
        <f aca="false">X56+V57</f>
        <v>17478.8</v>
      </c>
      <c r="AA57" s="7" t="n">
        <v>12.2577995883203</v>
      </c>
    </row>
    <row r="58" s="7" customFormat="true" ht="15" hidden="false" customHeight="false" outlineLevel="0" collapsed="false">
      <c r="A58" s="12"/>
      <c r="B58" s="13"/>
      <c r="C58" s="8" t="n">
        <v>41904</v>
      </c>
      <c r="D58" s="7" t="n">
        <v>12.9</v>
      </c>
      <c r="E58" s="7" t="n">
        <v>9.2</v>
      </c>
      <c r="F58" s="7" t="n">
        <v>17.7</v>
      </c>
      <c r="G58" s="7" t="n">
        <f aca="false">G57+D58</f>
        <v>243.6</v>
      </c>
      <c r="I58" s="7" t="n">
        <v>1063.2</v>
      </c>
      <c r="J58" s="7" t="n">
        <v>0</v>
      </c>
      <c r="K58" s="7" t="n">
        <f aca="false">K57+J58</f>
        <v>8.9</v>
      </c>
      <c r="L58" s="7" t="n">
        <v>2.1</v>
      </c>
      <c r="M58" s="7" t="n">
        <f aca="false">M57+L58</f>
        <v>36</v>
      </c>
      <c r="N58" s="9" t="n">
        <v>-2.1</v>
      </c>
      <c r="O58" s="7" t="n">
        <f aca="false">O57+N58</f>
        <v>3.3</v>
      </c>
      <c r="P58" s="7" t="n">
        <v>14</v>
      </c>
      <c r="Q58" s="7" t="n">
        <f aca="false">0.35+((P58-8)/74)*(1-0.35)</f>
        <v>0.402702702702703</v>
      </c>
      <c r="R58" s="10" t="n">
        <f aca="false">Q58*L58</f>
        <v>0.845675675675676</v>
      </c>
      <c r="S58" s="10" t="n">
        <f aca="false">J58-R58</f>
        <v>-0.845675675675676</v>
      </c>
      <c r="T58" s="10" t="n">
        <f aca="false">MIN(138.9,(T57+S58))</f>
        <v>6.52013513513514</v>
      </c>
      <c r="U58" s="10" t="n">
        <f aca="false">(U56*100)/138.9</f>
        <v>38.1455064346335</v>
      </c>
      <c r="V58" s="7" t="n">
        <v>1320.4</v>
      </c>
      <c r="X58" s="7" t="n">
        <f aca="false">X57+V58</f>
        <v>18799.2</v>
      </c>
      <c r="AA58" s="7" t="n">
        <v>12.2012334061661</v>
      </c>
    </row>
    <row r="59" s="7" customFormat="true" ht="15" hidden="false" customHeight="false" outlineLevel="0" collapsed="false">
      <c r="A59" s="12"/>
      <c r="B59" s="13"/>
      <c r="C59" s="8" t="n">
        <v>41905</v>
      </c>
      <c r="D59" s="7" t="n">
        <v>12.5</v>
      </c>
      <c r="E59" s="7" t="n">
        <v>8.6</v>
      </c>
      <c r="F59" s="7" t="n">
        <v>17.1</v>
      </c>
      <c r="G59" s="7" t="n">
        <f aca="false">G58+D59</f>
        <v>256.1</v>
      </c>
      <c r="J59" s="7" t="n">
        <v>0</v>
      </c>
      <c r="K59" s="7" t="n">
        <f aca="false">K58+J59</f>
        <v>8.9</v>
      </c>
      <c r="L59" s="7" t="n">
        <v>2.7</v>
      </c>
      <c r="M59" s="7" t="n">
        <f aca="false">M58+L59</f>
        <v>38.7</v>
      </c>
      <c r="N59" s="9" t="n">
        <v>-2.7</v>
      </c>
      <c r="O59" s="7" t="n">
        <f aca="false">O58+N59</f>
        <v>0.6</v>
      </c>
      <c r="P59" s="7" t="n">
        <v>15</v>
      </c>
      <c r="Q59" s="7" t="n">
        <f aca="false">0.35+((P59-8)/74)*(1-0.35)</f>
        <v>0.411486486486486</v>
      </c>
      <c r="R59" s="10" t="n">
        <f aca="false">Q59*L59</f>
        <v>1.11101351351351</v>
      </c>
      <c r="S59" s="10" t="n">
        <f aca="false">J59-R59</f>
        <v>-1.11101351351351</v>
      </c>
      <c r="T59" s="10" t="n">
        <f aca="false">MIN(138.9,(T58+S59))</f>
        <v>5.40912162162162</v>
      </c>
      <c r="V59" s="7" t="n">
        <v>1587</v>
      </c>
      <c r="X59" s="7" t="n">
        <f aca="false">X58+V59</f>
        <v>20386.2</v>
      </c>
      <c r="AA59" s="7" t="n">
        <v>12.1446485147136</v>
      </c>
    </row>
    <row r="60" s="7" customFormat="true" ht="15" hidden="false" customHeight="false" outlineLevel="0" collapsed="false">
      <c r="A60" s="12"/>
      <c r="B60" s="13"/>
      <c r="C60" s="8" t="n">
        <v>41906</v>
      </c>
      <c r="D60" s="7" t="n">
        <v>11.7</v>
      </c>
      <c r="E60" s="7" t="n">
        <v>5.8</v>
      </c>
      <c r="F60" s="7" t="n">
        <v>18.1</v>
      </c>
      <c r="G60" s="7" t="n">
        <f aca="false">G59+D60</f>
        <v>267.8</v>
      </c>
      <c r="J60" s="7" t="n">
        <v>1.3</v>
      </c>
      <c r="K60" s="7" t="n">
        <f aca="false">K59+J60</f>
        <v>10.2</v>
      </c>
      <c r="L60" s="7" t="n">
        <v>2.4</v>
      </c>
      <c r="M60" s="7" t="n">
        <f aca="false">M59+L60</f>
        <v>41.1</v>
      </c>
      <c r="N60" s="9" t="n">
        <v>-1.1</v>
      </c>
      <c r="O60" s="7" t="n">
        <v>0</v>
      </c>
      <c r="P60" s="7" t="n">
        <v>16</v>
      </c>
      <c r="Q60" s="7" t="n">
        <f aca="false">0.35+((P60-8)/74)*(1-0.35)</f>
        <v>0.42027027027027</v>
      </c>
      <c r="R60" s="10" t="n">
        <f aca="false">Q60*L60</f>
        <v>1.00864864864865</v>
      </c>
      <c r="S60" s="10" t="n">
        <f aca="false">J60-R60</f>
        <v>0.291351351351352</v>
      </c>
      <c r="T60" s="10" t="n">
        <f aca="false">MIN(138.9,(T59+S60))</f>
        <v>5.70047297297297</v>
      </c>
      <c r="V60" s="7" t="n">
        <v>1397.8</v>
      </c>
      <c r="X60" s="7" t="n">
        <f aca="false">X59+V60</f>
        <v>21784</v>
      </c>
      <c r="AA60" s="7" t="n">
        <v>12.0880503621631</v>
      </c>
    </row>
    <row r="61" s="7" customFormat="true" ht="15" hidden="false" customHeight="false" outlineLevel="0" collapsed="false">
      <c r="A61" s="12"/>
      <c r="B61" s="13"/>
      <c r="C61" s="8" t="n">
        <v>41907</v>
      </c>
      <c r="D61" s="7" t="n">
        <v>12.2</v>
      </c>
      <c r="E61" s="7" t="n">
        <v>5.9</v>
      </c>
      <c r="F61" s="7" t="n">
        <v>18.9</v>
      </c>
      <c r="G61" s="7" t="n">
        <f aca="false">G60+D61</f>
        <v>280</v>
      </c>
      <c r="J61" s="7" t="n">
        <v>0.1</v>
      </c>
      <c r="K61" s="7" t="n">
        <f aca="false">K60+J61</f>
        <v>10.3</v>
      </c>
      <c r="L61" s="7" t="n">
        <v>2.1</v>
      </c>
      <c r="M61" s="7" t="n">
        <f aca="false">M60+L61</f>
        <v>43.2</v>
      </c>
      <c r="N61" s="9" t="n">
        <v>-2</v>
      </c>
      <c r="O61" s="7" t="n">
        <v>0</v>
      </c>
      <c r="P61" s="7" t="n">
        <v>17</v>
      </c>
      <c r="Q61" s="7" t="n">
        <f aca="false">0.35+((P61-8)/74)*(1-0.35)</f>
        <v>0.429054054054054</v>
      </c>
      <c r="R61" s="10" t="n">
        <f aca="false">Q61*L61</f>
        <v>0.901013513513514</v>
      </c>
      <c r="S61" s="10" t="n">
        <f aca="false">J61-R61</f>
        <v>-0.801013513513514</v>
      </c>
      <c r="T61" s="10" t="n">
        <f aca="false">MIN(138.9,(T60+S61))</f>
        <v>4.89945945945946</v>
      </c>
      <c r="V61" s="7" t="n">
        <v>1184.8</v>
      </c>
      <c r="X61" s="7" t="n">
        <f aca="false">X60+V61</f>
        <v>22968.8</v>
      </c>
      <c r="AA61" s="7" t="n">
        <v>12.0314444259325</v>
      </c>
    </row>
    <row r="62" s="7" customFormat="true" ht="15" hidden="false" customHeight="false" outlineLevel="0" collapsed="false">
      <c r="A62" s="12"/>
      <c r="B62" s="13"/>
      <c r="C62" s="8" t="n">
        <v>41908</v>
      </c>
      <c r="D62" s="7" t="n">
        <v>13.3</v>
      </c>
      <c r="E62" s="7" t="n">
        <v>5.1</v>
      </c>
      <c r="F62" s="7" t="n">
        <v>21.8</v>
      </c>
      <c r="G62" s="7" t="n">
        <f aca="false">G61+D62</f>
        <v>293.3</v>
      </c>
      <c r="J62" s="7" t="n">
        <v>0</v>
      </c>
      <c r="K62" s="7" t="n">
        <f aca="false">K61+J62</f>
        <v>10.3</v>
      </c>
      <c r="L62" s="7" t="n">
        <v>3.1</v>
      </c>
      <c r="M62" s="7" t="n">
        <f aca="false">M61+L62</f>
        <v>46.3</v>
      </c>
      <c r="N62" s="9" t="n">
        <v>-3.1</v>
      </c>
      <c r="O62" s="7" t="n">
        <v>0</v>
      </c>
      <c r="P62" s="7" t="n">
        <v>18</v>
      </c>
      <c r="Q62" s="7" t="n">
        <f aca="false">0.35+((P62-8)/74)*(1-0.35)</f>
        <v>0.437837837837838</v>
      </c>
      <c r="R62" s="10" t="n">
        <f aca="false">Q62*L62</f>
        <v>1.3572972972973</v>
      </c>
      <c r="S62" s="10" t="n">
        <f aca="false">J62-R62</f>
        <v>-1.3572972972973</v>
      </c>
      <c r="T62" s="10" t="n">
        <f aca="false">MIN(138.9,(T61+S62))</f>
        <v>3.54216216216216</v>
      </c>
      <c r="V62" s="7" t="n">
        <v>1758.2</v>
      </c>
      <c r="X62" s="7" t="n">
        <f aca="false">X61+V62</f>
        <v>24727</v>
      </c>
      <c r="AA62" s="7" t="n">
        <v>11.9748362288019</v>
      </c>
    </row>
    <row r="63" s="7" customFormat="true" ht="15" hidden="false" customHeight="false" outlineLevel="0" collapsed="false">
      <c r="A63" s="12"/>
      <c r="B63" s="13"/>
      <c r="C63" s="8" t="n">
        <v>41909</v>
      </c>
      <c r="D63" s="7" t="n">
        <v>16.1</v>
      </c>
      <c r="E63" s="7" t="n">
        <v>9.5</v>
      </c>
      <c r="F63" s="7" t="n">
        <v>22.8</v>
      </c>
      <c r="G63" s="7" t="n">
        <f aca="false">G62+D63</f>
        <v>309.4</v>
      </c>
      <c r="J63" s="7" t="n">
        <v>0</v>
      </c>
      <c r="K63" s="7" t="n">
        <f aca="false">K62+J63</f>
        <v>10.3</v>
      </c>
      <c r="L63" s="7" t="n">
        <v>3.3</v>
      </c>
      <c r="M63" s="7" t="n">
        <f aca="false">M62+L63</f>
        <v>49.6</v>
      </c>
      <c r="N63" s="9" t="n">
        <v>-3.3</v>
      </c>
      <c r="O63" s="7" t="n">
        <v>0</v>
      </c>
      <c r="P63" s="7" t="n">
        <v>19</v>
      </c>
      <c r="Q63" s="7" t="n">
        <f aca="false">0.35+((P63-8)/74)*(1-0.35)</f>
        <v>0.446621621621622</v>
      </c>
      <c r="R63" s="10" t="n">
        <f aca="false">Q63*L63</f>
        <v>1.47385135135135</v>
      </c>
      <c r="S63" s="10" t="n">
        <f aca="false">J63-R63</f>
        <v>-1.47385135135135</v>
      </c>
      <c r="T63" s="10" t="n">
        <f aca="false">MIN(138.9,(T62+S63))</f>
        <v>2.06831081081081</v>
      </c>
      <c r="V63" s="7" t="n">
        <v>1667.9</v>
      </c>
      <c r="X63" s="7" t="n">
        <f aca="false">X62+V63</f>
        <v>26394.9</v>
      </c>
      <c r="AA63" s="7" t="n">
        <v>11.9182313551541</v>
      </c>
    </row>
    <row r="64" s="7" customFormat="true" ht="15" hidden="false" customHeight="false" outlineLevel="0" collapsed="false">
      <c r="A64" s="12"/>
      <c r="B64" s="13"/>
      <c r="C64" s="8" t="n">
        <v>41910</v>
      </c>
      <c r="D64" s="7" t="n">
        <v>16.5</v>
      </c>
      <c r="E64" s="7" t="n">
        <v>10.1</v>
      </c>
      <c r="F64" s="7" t="n">
        <v>23.3</v>
      </c>
      <c r="G64" s="7" t="n">
        <f aca="false">G63+D64</f>
        <v>325.9</v>
      </c>
      <c r="J64" s="7" t="n">
        <v>1.8</v>
      </c>
      <c r="K64" s="7" t="n">
        <f aca="false">K63+J64</f>
        <v>12.1</v>
      </c>
      <c r="L64" s="7" t="n">
        <v>1.8</v>
      </c>
      <c r="M64" s="7" t="n">
        <f aca="false">M63+L64</f>
        <v>51.4</v>
      </c>
      <c r="N64" s="9" t="n">
        <v>0</v>
      </c>
      <c r="O64" s="7" t="n">
        <f aca="false">O63+N64</f>
        <v>0</v>
      </c>
      <c r="P64" s="7" t="n">
        <v>20</v>
      </c>
      <c r="Q64" s="7" t="n">
        <f aca="false">0.35+((P64-8)/74)*(1-0.35)</f>
        <v>0.455405405405405</v>
      </c>
      <c r="R64" s="10" t="n">
        <f aca="false">Q64*L64</f>
        <v>0.81972972972973</v>
      </c>
      <c r="S64" s="10" t="n">
        <f aca="false">J64-R64</f>
        <v>0.98027027027027</v>
      </c>
      <c r="T64" s="10" t="n">
        <f aca="false">MIN(138.9,(T63+S64))</f>
        <v>3.04858108108108</v>
      </c>
      <c r="V64" s="7" t="n">
        <v>988.2</v>
      </c>
      <c r="X64" s="7" t="n">
        <f aca="false">X63+V64</f>
        <v>27383.1</v>
      </c>
      <c r="AA64" s="7" t="n">
        <v>11.8616354673163</v>
      </c>
    </row>
    <row r="65" s="7" customFormat="true" ht="15" hidden="false" customHeight="false" outlineLevel="0" collapsed="false">
      <c r="A65" s="12"/>
      <c r="B65" s="13"/>
      <c r="C65" s="8" t="n">
        <v>41911</v>
      </c>
      <c r="D65" s="7" t="n">
        <v>16.9</v>
      </c>
      <c r="E65" s="7" t="n">
        <v>16</v>
      </c>
      <c r="F65" s="7" t="n">
        <v>20.2</v>
      </c>
      <c r="G65" s="7" t="n">
        <f aca="false">G64+D65</f>
        <v>342.8</v>
      </c>
      <c r="J65" s="7" t="n">
        <v>0.3</v>
      </c>
      <c r="K65" s="7" t="n">
        <f aca="false">K64+J65</f>
        <v>12.4</v>
      </c>
      <c r="L65" s="7" t="n">
        <v>0.9</v>
      </c>
      <c r="M65" s="7" t="n">
        <f aca="false">M64+L65</f>
        <v>52.3</v>
      </c>
      <c r="N65" s="9" t="n">
        <v>-0.6</v>
      </c>
      <c r="O65" s="7" t="n">
        <v>0</v>
      </c>
      <c r="P65" s="7" t="n">
        <v>21</v>
      </c>
      <c r="Q65" s="7" t="n">
        <f aca="false">0.35+((P65-8)/74)*(1-0.35)</f>
        <v>0.464189189189189</v>
      </c>
      <c r="R65" s="10" t="n">
        <f aca="false">Q65*L65</f>
        <v>0.41777027027027</v>
      </c>
      <c r="S65" s="10" t="n">
        <f aca="false">J65-R65</f>
        <v>-0.11777027027027</v>
      </c>
      <c r="T65" s="10" t="n">
        <f aca="false">MIN(138.9,(T64+S65))</f>
        <v>2.93081081081081</v>
      </c>
      <c r="V65" s="7" t="n">
        <v>305.6</v>
      </c>
      <c r="X65" s="7" t="n">
        <f aca="false">X64+V65</f>
        <v>27688.7</v>
      </c>
      <c r="AA65" s="7" t="n">
        <v>11.8050543220041</v>
      </c>
    </row>
    <row r="66" s="7" customFormat="true" ht="15" hidden="false" customHeight="false" outlineLevel="0" collapsed="false">
      <c r="A66" s="12"/>
      <c r="B66" s="13"/>
      <c r="C66" s="8" t="n">
        <v>41912</v>
      </c>
      <c r="D66" s="7" t="n">
        <v>16.3</v>
      </c>
      <c r="E66" s="7" t="n">
        <v>12.9</v>
      </c>
      <c r="F66" s="7" t="n">
        <v>22</v>
      </c>
      <c r="G66" s="7" t="n">
        <f aca="false">G65+D66</f>
        <v>359.1</v>
      </c>
      <c r="J66" s="7" t="n">
        <v>0.2</v>
      </c>
      <c r="K66" s="7" t="n">
        <f aca="false">K65+J66</f>
        <v>12.6</v>
      </c>
      <c r="L66" s="7" t="n">
        <v>2</v>
      </c>
      <c r="M66" s="7" t="n">
        <f aca="false">M65+L66</f>
        <v>54.3</v>
      </c>
      <c r="N66" s="9" t="n">
        <v>-1.8</v>
      </c>
      <c r="O66" s="7" t="n">
        <v>0</v>
      </c>
      <c r="P66" s="7" t="n">
        <v>22</v>
      </c>
      <c r="Q66" s="7" t="n">
        <f aca="false">0.35+((P66-8)/74)*(1-0.35)</f>
        <v>0.472972972972973</v>
      </c>
      <c r="R66" s="10" t="n">
        <f aca="false">Q66*L66</f>
        <v>0.945945945945946</v>
      </c>
      <c r="S66" s="10" t="n">
        <f aca="false">J66-R66</f>
        <v>-0.745945945945946</v>
      </c>
      <c r="T66" s="10" t="n">
        <f aca="false">MIN(138.9,(T65+S66))</f>
        <v>2.18486486486487</v>
      </c>
      <c r="V66" s="7" t="n">
        <v>1090.3</v>
      </c>
      <c r="X66" s="7" t="n">
        <f aca="false">X65+V66</f>
        <v>28779</v>
      </c>
      <c r="AA66" s="7" t="n">
        <v>11.7484937868727</v>
      </c>
    </row>
    <row r="67" s="7" customFormat="true" ht="15" hidden="false" customHeight="false" outlineLevel="0" collapsed="false">
      <c r="A67" s="12"/>
      <c r="B67" s="13"/>
      <c r="C67" s="8" t="n">
        <v>41913</v>
      </c>
      <c r="D67" s="7" t="n">
        <v>15</v>
      </c>
      <c r="E67" s="7" t="n">
        <v>9.4</v>
      </c>
      <c r="F67" s="7" t="n">
        <v>22.2</v>
      </c>
      <c r="G67" s="7" t="n">
        <f aca="false">G66+D67</f>
        <v>374.1</v>
      </c>
      <c r="J67" s="7" t="n">
        <v>0</v>
      </c>
      <c r="K67" s="7" t="n">
        <f aca="false">K66+J67</f>
        <v>12.6</v>
      </c>
      <c r="L67" s="7" t="n">
        <v>2.3</v>
      </c>
      <c r="M67" s="7" t="n">
        <f aca="false">M66+L67</f>
        <v>56.6</v>
      </c>
      <c r="N67" s="9" t="n">
        <v>-2.3</v>
      </c>
      <c r="O67" s="7" t="n">
        <v>0</v>
      </c>
      <c r="P67" s="7" t="n">
        <v>23</v>
      </c>
      <c r="Q67" s="7" t="n">
        <f aca="false">0.35+((P67-8)/74)*(1-0.35)</f>
        <v>0.481756756756757</v>
      </c>
      <c r="R67" s="10" t="n">
        <f aca="false">Q67*L67</f>
        <v>1.10804054054054</v>
      </c>
      <c r="S67" s="10" t="n">
        <f aca="false">J67-R67</f>
        <v>-1.10804054054054</v>
      </c>
      <c r="T67" s="10" t="n">
        <f aca="false">MIN(138.9,(T66+S67))</f>
        <v>1.07682432432433</v>
      </c>
      <c r="V67" s="7" t="n">
        <v>1238.8</v>
      </c>
      <c r="X67" s="7" t="n">
        <f aca="false">X66+V67</f>
        <v>30017.8</v>
      </c>
      <c r="AA67" s="7" t="n">
        <v>11.6919598571753</v>
      </c>
    </row>
    <row r="68" s="7" customFormat="true" ht="15" hidden="false" customHeight="false" outlineLevel="0" collapsed="false">
      <c r="A68" s="12"/>
      <c r="B68" s="13"/>
      <c r="C68" s="8" t="n">
        <v>41914</v>
      </c>
      <c r="D68" s="7" t="n">
        <v>15.2</v>
      </c>
      <c r="E68" s="7" t="n">
        <v>8.6</v>
      </c>
      <c r="F68" s="7" t="n">
        <v>23.2</v>
      </c>
      <c r="G68" s="7" t="n">
        <f aca="false">G67+D68</f>
        <v>389.3</v>
      </c>
      <c r="J68" s="7" t="n">
        <v>0.1</v>
      </c>
      <c r="K68" s="7" t="n">
        <f aca="false">K67+J68</f>
        <v>12.7</v>
      </c>
      <c r="L68" s="7" t="n">
        <v>2.5</v>
      </c>
      <c r="M68" s="7" t="n">
        <f aca="false">M67+L68</f>
        <v>59.1</v>
      </c>
      <c r="N68" s="9" t="n">
        <v>-2.4</v>
      </c>
      <c r="O68" s="7" t="n">
        <v>0</v>
      </c>
      <c r="P68" s="7" t="n">
        <v>24</v>
      </c>
      <c r="Q68" s="7" t="n">
        <f aca="false">0.35+((P68-8)/74)*(1-0.35)</f>
        <v>0.490540540540541</v>
      </c>
      <c r="R68" s="10" t="n">
        <f aca="false">Q68*L68</f>
        <v>1.22635135135135</v>
      </c>
      <c r="S68" s="10" t="n">
        <f aca="false">J68-R68</f>
        <v>-1.12635135135135</v>
      </c>
      <c r="T68" s="10" t="n">
        <f aca="false">MIN(138.9,(T67+S68))</f>
        <v>-0.0495270270270261</v>
      </c>
      <c r="V68" s="7" t="n">
        <v>1382</v>
      </c>
      <c r="X68" s="7" t="n">
        <f aca="false">X67+V68</f>
        <v>31399.8</v>
      </c>
      <c r="AA68" s="7" t="n">
        <v>11.6354586725309</v>
      </c>
    </row>
    <row r="69" s="7" customFormat="true" ht="15" hidden="false" customHeight="false" outlineLevel="0" collapsed="false">
      <c r="A69" s="12"/>
      <c r="B69" s="13"/>
      <c r="C69" s="8" t="n">
        <v>41915</v>
      </c>
      <c r="D69" s="7" t="n">
        <v>15</v>
      </c>
      <c r="E69" s="7" t="n">
        <v>8.9</v>
      </c>
      <c r="F69" s="7" t="n">
        <v>23.3</v>
      </c>
      <c r="G69" s="7" t="n">
        <f aca="false">G68+D69</f>
        <v>404.3</v>
      </c>
      <c r="J69" s="7" t="n">
        <v>0</v>
      </c>
      <c r="K69" s="7" t="n">
        <f aca="false">K68+J69</f>
        <v>12.7</v>
      </c>
      <c r="L69" s="7" t="n">
        <v>2.9</v>
      </c>
      <c r="M69" s="7" t="n">
        <f aca="false">M68+L69</f>
        <v>62</v>
      </c>
      <c r="N69" s="9" t="n">
        <v>-2.9</v>
      </c>
      <c r="O69" s="7" t="n">
        <v>0</v>
      </c>
      <c r="P69" s="7" t="n">
        <v>25</v>
      </c>
      <c r="Q69" s="7" t="n">
        <f aca="false">0.35+((P69-8)/74)*(1-0.35)</f>
        <v>0.499324324324324</v>
      </c>
      <c r="R69" s="10" t="n">
        <f aca="false">Q69*L69</f>
        <v>1.44804054054054</v>
      </c>
      <c r="S69" s="10" t="n">
        <f aca="false">J69-R69</f>
        <v>-1.44804054054054</v>
      </c>
      <c r="T69" s="10" t="n">
        <v>0</v>
      </c>
      <c r="V69" s="7" t="n">
        <v>1517.1</v>
      </c>
      <c r="X69" s="7" t="n">
        <f aca="false">X68+V69</f>
        <v>32916.9</v>
      </c>
      <c r="AA69" s="7" t="n">
        <v>11.5789965338003</v>
      </c>
    </row>
    <row r="70" s="7" customFormat="true" ht="15" hidden="false" customHeight="false" outlineLevel="0" collapsed="false">
      <c r="A70" s="12"/>
      <c r="B70" s="13"/>
      <c r="C70" s="8" t="n">
        <v>41916</v>
      </c>
      <c r="D70" s="7" t="n">
        <v>15.1</v>
      </c>
      <c r="E70" s="7" t="n">
        <v>8</v>
      </c>
      <c r="F70" s="7" t="n">
        <v>23.9</v>
      </c>
      <c r="G70" s="7" t="n">
        <f aca="false">G69+D70</f>
        <v>419.4</v>
      </c>
      <c r="J70" s="7" t="n">
        <v>8.4</v>
      </c>
      <c r="K70" s="7" t="n">
        <f aca="false">K69+J70</f>
        <v>21.1</v>
      </c>
      <c r="L70" s="7" t="n">
        <v>2.3</v>
      </c>
      <c r="M70" s="7" t="n">
        <f aca="false">M69+L70</f>
        <v>64.3</v>
      </c>
      <c r="N70" s="7" t="n">
        <v>6.1</v>
      </c>
      <c r="O70" s="7" t="n">
        <f aca="false">O69+N70</f>
        <v>6.1</v>
      </c>
      <c r="P70" s="7" t="n">
        <v>26</v>
      </c>
      <c r="Q70" s="7" t="n">
        <f aca="false">0.35+((P70-8)/74)*(1-0.35)</f>
        <v>0.508108108108108</v>
      </c>
      <c r="R70" s="10" t="n">
        <f aca="false">Q70*L70</f>
        <v>1.16864864864865</v>
      </c>
      <c r="S70" s="10" t="n">
        <f aca="false">J70-R70</f>
        <v>7.23135135135135</v>
      </c>
      <c r="T70" s="10" t="n">
        <f aca="false">MIN(138.9,(T69+S70))</f>
        <v>7.23135135135135</v>
      </c>
      <c r="V70" s="7" t="n">
        <v>1120.1</v>
      </c>
      <c r="X70" s="7" t="n">
        <f aca="false">X69+V70</f>
        <v>34037</v>
      </c>
      <c r="AA70" s="7" t="n">
        <v>11.5225799200693</v>
      </c>
    </row>
    <row r="71" s="7" customFormat="true" ht="15" hidden="false" customHeight="false" outlineLevel="0" collapsed="false">
      <c r="A71" s="12"/>
      <c r="B71" s="13"/>
      <c r="C71" s="8" t="n">
        <v>41917</v>
      </c>
      <c r="D71" s="7" t="n">
        <v>11.7</v>
      </c>
      <c r="E71" s="7" t="n">
        <v>10.4</v>
      </c>
      <c r="F71" s="7" t="n">
        <v>13.5</v>
      </c>
      <c r="G71" s="7" t="n">
        <f aca="false">G70+D71</f>
        <v>431.1</v>
      </c>
      <c r="J71" s="7" t="n">
        <v>0</v>
      </c>
      <c r="K71" s="7" t="n">
        <f aca="false">K70+J71</f>
        <v>21.1</v>
      </c>
      <c r="L71" s="7" t="n">
        <v>1.1</v>
      </c>
      <c r="M71" s="7" t="n">
        <f aca="false">M70+L71</f>
        <v>65.4</v>
      </c>
      <c r="N71" s="9" t="n">
        <v>-1.1</v>
      </c>
      <c r="O71" s="7" t="n">
        <f aca="false">O70+N71</f>
        <v>5</v>
      </c>
      <c r="P71" s="7" t="n">
        <v>27</v>
      </c>
      <c r="Q71" s="7" t="n">
        <f aca="false">0.35+((P71-8)/74)*(1-0.35)</f>
        <v>0.516891891891892</v>
      </c>
      <c r="R71" s="10" t="n">
        <f aca="false">Q71*L71</f>
        <v>0.568581081081081</v>
      </c>
      <c r="S71" s="10" t="n">
        <f aca="false">J71-R71</f>
        <v>-0.568581081081081</v>
      </c>
      <c r="T71" s="10" t="n">
        <f aca="false">MIN(138.9,(T70+S71))</f>
        <v>6.66277027027027</v>
      </c>
      <c r="V71" s="7" t="n">
        <v>481.7</v>
      </c>
      <c r="X71" s="7" t="n">
        <f aca="false">X70+V71</f>
        <v>34518.7</v>
      </c>
      <c r="AA71" s="7" t="n">
        <v>11.466215505736</v>
      </c>
    </row>
    <row r="72" s="7" customFormat="true" ht="15" hidden="false" customHeight="false" outlineLevel="0" collapsed="false">
      <c r="A72" s="12"/>
      <c r="B72" s="13"/>
      <c r="C72" s="8" t="n">
        <v>41918</v>
      </c>
      <c r="D72" s="7" t="n">
        <v>11.4</v>
      </c>
      <c r="E72" s="7" t="n">
        <v>6.6</v>
      </c>
      <c r="F72" s="7" t="n">
        <v>13.8</v>
      </c>
      <c r="G72" s="7" t="n">
        <f aca="false">G71+D72</f>
        <v>442.5</v>
      </c>
      <c r="J72" s="7" t="n">
        <v>15.2</v>
      </c>
      <c r="K72" s="7" t="n">
        <f aca="false">K71+J72</f>
        <v>36.3</v>
      </c>
      <c r="L72" s="7" t="n">
        <v>0.5</v>
      </c>
      <c r="M72" s="7" t="n">
        <f aca="false">M71+L72</f>
        <v>65.9</v>
      </c>
      <c r="N72" s="7" t="n">
        <v>14.7</v>
      </c>
      <c r="O72" s="7" t="n">
        <f aca="false">O71+N72</f>
        <v>19.7</v>
      </c>
      <c r="P72" s="7" t="n">
        <v>28</v>
      </c>
      <c r="Q72" s="7" t="n">
        <f aca="false">0.35+((P72-8)/74)*(1-0.35)</f>
        <v>0.525675675675676</v>
      </c>
      <c r="R72" s="10" t="n">
        <f aca="false">Q72*L72</f>
        <v>0.262837837837838</v>
      </c>
      <c r="S72" s="10" t="n">
        <f aca="false">J72-R72</f>
        <v>14.9371621621622</v>
      </c>
      <c r="T72" s="10" t="n">
        <f aca="false">MIN(138.9,(T71+S72))</f>
        <v>21.5999324324324</v>
      </c>
      <c r="V72" s="7" t="n">
        <v>450.1</v>
      </c>
      <c r="X72" s="7" t="n">
        <f aca="false">X71+V72</f>
        <v>34968.8</v>
      </c>
      <c r="AA72" s="7" t="n">
        <v>11.4099101776966</v>
      </c>
    </row>
    <row r="73" s="7" customFormat="true" ht="15" hidden="false" customHeight="false" outlineLevel="0" collapsed="false">
      <c r="A73" s="12"/>
      <c r="B73" s="13"/>
      <c r="C73" s="8" t="n">
        <v>41919</v>
      </c>
      <c r="D73" s="7" t="n">
        <v>13.8</v>
      </c>
      <c r="E73" s="7" t="n">
        <v>13.6</v>
      </c>
      <c r="F73" s="7" t="n">
        <v>14.4</v>
      </c>
      <c r="G73" s="7" t="n">
        <f aca="false">G72+D73</f>
        <v>456.3</v>
      </c>
      <c r="J73" s="7" t="n">
        <v>17</v>
      </c>
      <c r="K73" s="7" t="n">
        <f aca="false">K72+J73</f>
        <v>53.3</v>
      </c>
      <c r="L73" s="7" t="n">
        <v>0.9</v>
      </c>
      <c r="M73" s="7" t="n">
        <f aca="false">M72+L73</f>
        <v>66.8</v>
      </c>
      <c r="N73" s="7" t="n">
        <v>16.1</v>
      </c>
      <c r="O73" s="7" t="n">
        <f aca="false">O72+N73</f>
        <v>35.8</v>
      </c>
      <c r="P73" s="7" t="n">
        <v>29</v>
      </c>
      <c r="Q73" s="7" t="n">
        <f aca="false">0.35+((P73-8)/74)*(1-0.35)</f>
        <v>0.534459459459459</v>
      </c>
      <c r="R73" s="10" t="n">
        <f aca="false">Q73*L73</f>
        <v>0.481013513513513</v>
      </c>
      <c r="S73" s="10" t="n">
        <f aca="false">J73-R73</f>
        <v>16.5189864864865</v>
      </c>
      <c r="T73" s="10" t="n">
        <f aca="false">MIN(138.9,(T72+S73))</f>
        <v>38.1189189189189</v>
      </c>
      <c r="V73" s="7" t="n">
        <v>287.9</v>
      </c>
      <c r="X73" s="7" t="n">
        <f aca="false">X72+V73</f>
        <v>35256.7</v>
      </c>
      <c r="AA73" s="7" t="n">
        <v>11.3536710526251</v>
      </c>
    </row>
    <row r="74" s="7" customFormat="true" ht="15" hidden="false" customHeight="false" outlineLevel="0" collapsed="false">
      <c r="A74" s="12"/>
      <c r="B74" s="13"/>
      <c r="C74" s="8" t="n">
        <v>41920</v>
      </c>
      <c r="D74" s="7" t="n">
        <v>16.3</v>
      </c>
      <c r="E74" s="7" t="n">
        <v>13.2</v>
      </c>
      <c r="F74" s="7" t="n">
        <v>21.1</v>
      </c>
      <c r="G74" s="7" t="n">
        <f aca="false">G73+D74</f>
        <v>472.6</v>
      </c>
      <c r="J74" s="7" t="n">
        <v>21.2</v>
      </c>
      <c r="K74" s="7" t="n">
        <f aca="false">K73+J74</f>
        <v>74.5</v>
      </c>
      <c r="L74" s="7" t="n">
        <v>1.4</v>
      </c>
      <c r="M74" s="7" t="n">
        <f aca="false">M73+L74</f>
        <v>68.2</v>
      </c>
      <c r="N74" s="7" t="n">
        <v>19.8</v>
      </c>
      <c r="O74" s="7" t="n">
        <f aca="false">O73+N74</f>
        <v>55.6</v>
      </c>
      <c r="P74" s="7" t="n">
        <v>30</v>
      </c>
      <c r="Q74" s="7" t="n">
        <f aca="false">0.35+((P74-8)/74)*(1-0.35)</f>
        <v>0.543243243243243</v>
      </c>
      <c r="R74" s="10" t="n">
        <f aca="false">Q74*L74</f>
        <v>0.760540540540541</v>
      </c>
      <c r="S74" s="10" t="n">
        <f aca="false">J74-R74</f>
        <v>20.4394594594595</v>
      </c>
      <c r="T74" s="10" t="n">
        <f aca="false">MIN(138.9,(T73+S74))</f>
        <v>58.5583783783784</v>
      </c>
      <c r="V74" s="7" t="n">
        <v>332.3</v>
      </c>
      <c r="X74" s="7" t="n">
        <f aca="false">X73+V74</f>
        <v>35589</v>
      </c>
      <c r="AA74" s="7" t="n">
        <v>11.2975054943357</v>
      </c>
    </row>
    <row r="75" s="7" customFormat="true" ht="15" hidden="false" customHeight="false" outlineLevel="0" collapsed="false">
      <c r="A75" s="12"/>
      <c r="B75" s="13"/>
      <c r="C75" s="8" t="n">
        <v>41921</v>
      </c>
      <c r="D75" s="7" t="n">
        <v>15.5</v>
      </c>
      <c r="E75" s="7" t="n">
        <v>14.7</v>
      </c>
      <c r="F75" s="7" t="n">
        <v>18.8</v>
      </c>
      <c r="G75" s="7" t="n">
        <f aca="false">G74+D75</f>
        <v>488.1</v>
      </c>
      <c r="J75" s="7" t="n">
        <v>1.4</v>
      </c>
      <c r="K75" s="7" t="n">
        <f aca="false">K74+J75</f>
        <v>75.9</v>
      </c>
      <c r="L75" s="7" t="n">
        <v>1.8</v>
      </c>
      <c r="M75" s="7" t="n">
        <f aca="false">M74+L75</f>
        <v>70</v>
      </c>
      <c r="N75" s="9" t="n">
        <v>-0.4</v>
      </c>
      <c r="O75" s="7" t="n">
        <f aca="false">O74+N75</f>
        <v>55.2</v>
      </c>
      <c r="P75" s="7" t="n">
        <v>31</v>
      </c>
      <c r="Q75" s="7" t="n">
        <f aca="false">0.35+((P75-8)/74)*(1-0.35)</f>
        <v>0.552027027027027</v>
      </c>
      <c r="R75" s="10" t="n">
        <f aca="false">Q75*L75</f>
        <v>0.993648648648649</v>
      </c>
      <c r="S75" s="10" t="n">
        <f aca="false">J75-R75</f>
        <v>0.406351351351351</v>
      </c>
      <c r="T75" s="10" t="n">
        <f aca="false">MIN(138.9,(T74+S75))</f>
        <v>58.9647297297297</v>
      </c>
      <c r="V75" s="7" t="n">
        <v>722.8</v>
      </c>
      <c r="X75" s="7" t="n">
        <f aca="false">X74+V75</f>
        <v>36311.8</v>
      </c>
      <c r="AA75" s="7" t="n">
        <v>11.241421131219</v>
      </c>
    </row>
    <row r="76" s="7" customFormat="true" ht="15" hidden="false" customHeight="false" outlineLevel="0" collapsed="false">
      <c r="A76" s="12"/>
      <c r="B76" s="13"/>
      <c r="C76" s="8" t="n">
        <v>41922</v>
      </c>
      <c r="D76" s="7" t="n">
        <v>14.2</v>
      </c>
      <c r="E76" s="7" t="n">
        <v>12</v>
      </c>
      <c r="F76" s="7" t="n">
        <v>16.9</v>
      </c>
      <c r="G76" s="7" t="n">
        <f aca="false">G75+D76</f>
        <v>502.3</v>
      </c>
      <c r="J76" s="7" t="n">
        <v>0.2</v>
      </c>
      <c r="K76" s="7" t="n">
        <f aca="false">K75+J76</f>
        <v>76.1</v>
      </c>
      <c r="L76" s="7" t="n">
        <v>1.2</v>
      </c>
      <c r="M76" s="7" t="n">
        <f aca="false">M75+L76</f>
        <v>71.2</v>
      </c>
      <c r="N76" s="9" t="n">
        <v>-1</v>
      </c>
      <c r="O76" s="7" t="n">
        <f aca="false">O75+N76</f>
        <v>54.2</v>
      </c>
      <c r="P76" s="7" t="n">
        <v>32</v>
      </c>
      <c r="Q76" s="7" t="n">
        <f aca="false">0.35+((P76-8)/74)*(1-0.35)</f>
        <v>0.560810810810811</v>
      </c>
      <c r="R76" s="10" t="n">
        <f aca="false">Q76*L76</f>
        <v>0.672972972972973</v>
      </c>
      <c r="S76" s="10" t="n">
        <f aca="false">J76-R76</f>
        <v>-0.472972972972973</v>
      </c>
      <c r="T76" s="10" t="n">
        <f aca="false">MIN(138.9,(T75+S76))</f>
        <v>58.4917567567568</v>
      </c>
      <c r="V76" s="7" t="n">
        <v>682.5</v>
      </c>
      <c r="X76" s="7" t="n">
        <f aca="false">X75+V76</f>
        <v>36994.3</v>
      </c>
      <c r="AA76" s="7" t="n">
        <v>11.1854258737377</v>
      </c>
    </row>
    <row r="77" s="7" customFormat="true" ht="15" hidden="false" customHeight="false" outlineLevel="0" collapsed="false">
      <c r="A77" s="12"/>
      <c r="B77" s="13"/>
      <c r="C77" s="8" t="n">
        <v>41923</v>
      </c>
      <c r="D77" s="7" t="n">
        <v>13.8</v>
      </c>
      <c r="E77" s="7" t="n">
        <v>12.3</v>
      </c>
      <c r="F77" s="7" t="n">
        <v>17.4</v>
      </c>
      <c r="G77" s="7" t="n">
        <f aca="false">G76+D77</f>
        <v>516.1</v>
      </c>
      <c r="J77" s="7" t="n">
        <v>0.1</v>
      </c>
      <c r="K77" s="7" t="n">
        <f aca="false">K76+J77</f>
        <v>76.2</v>
      </c>
      <c r="L77" s="7" t="n">
        <v>1.5</v>
      </c>
      <c r="M77" s="7" t="n">
        <f aca="false">M76+L77</f>
        <v>72.7</v>
      </c>
      <c r="N77" s="9" t="n">
        <v>-1.4</v>
      </c>
      <c r="O77" s="7" t="n">
        <f aca="false">O76+N77</f>
        <v>52.8</v>
      </c>
      <c r="P77" s="7" t="n">
        <v>33</v>
      </c>
      <c r="Q77" s="7" t="n">
        <f aca="false">0.35+((P77-8)/74)*(1-0.35)</f>
        <v>0.569594594594595</v>
      </c>
      <c r="R77" s="10" t="n">
        <f aca="false">Q77*L77</f>
        <v>0.854391891891892</v>
      </c>
      <c r="S77" s="10" t="n">
        <f aca="false">J77-R77</f>
        <v>-0.754391891891892</v>
      </c>
      <c r="T77" s="10" t="n">
        <f aca="false">MIN(138.9,(T76+S77))</f>
        <v>57.7373648648649</v>
      </c>
      <c r="V77" s="7" t="n">
        <v>845.2</v>
      </c>
      <c r="X77" s="7" t="n">
        <f aca="false">X76+V77</f>
        <v>37839.5</v>
      </c>
      <c r="AA77" s="7" t="n">
        <v>11.1295279319661</v>
      </c>
    </row>
    <row r="78" s="7" customFormat="true" ht="15" hidden="false" customHeight="false" outlineLevel="0" collapsed="false">
      <c r="A78" s="12"/>
      <c r="B78" s="13"/>
      <c r="C78" s="8" t="n">
        <v>41924</v>
      </c>
      <c r="D78" s="7" t="n">
        <v>13.8</v>
      </c>
      <c r="E78" s="7" t="n">
        <v>10.3</v>
      </c>
      <c r="F78" s="7" t="n">
        <v>16</v>
      </c>
      <c r="G78" s="7" t="n">
        <f aca="false">G77+D78</f>
        <v>529.9</v>
      </c>
      <c r="J78" s="7" t="n">
        <v>6.3</v>
      </c>
      <c r="K78" s="7" t="n">
        <f aca="false">K77+J78</f>
        <v>82.5</v>
      </c>
      <c r="L78" s="7" t="n">
        <v>0.5</v>
      </c>
      <c r="M78" s="7" t="n">
        <f aca="false">M77+L78</f>
        <v>73.2</v>
      </c>
      <c r="N78" s="7" t="n">
        <v>5.8</v>
      </c>
      <c r="O78" s="7" t="n">
        <f aca="false">O77+N78</f>
        <v>58.6</v>
      </c>
      <c r="P78" s="7" t="n">
        <v>34</v>
      </c>
      <c r="Q78" s="7" t="n">
        <f aca="false">0.35+((P78-8)/74)*(1-0.35)</f>
        <v>0.578378378378378</v>
      </c>
      <c r="R78" s="10" t="n">
        <f aca="false">Q78*L78</f>
        <v>0.289189189189189</v>
      </c>
      <c r="S78" s="10" t="n">
        <f aca="false">J78-R78</f>
        <v>6.01081081081081</v>
      </c>
      <c r="T78" s="10" t="n">
        <f aca="false">MIN(138.9,(T77+S78))</f>
        <v>63.7481756756757</v>
      </c>
      <c r="V78" s="7" t="n">
        <v>280.5</v>
      </c>
      <c r="X78" s="7" t="n">
        <f aca="false">X77+V78</f>
        <v>38120</v>
      </c>
      <c r="AA78" s="7" t="n">
        <v>11.0737358331531</v>
      </c>
    </row>
    <row r="79" s="7" customFormat="true" ht="15" hidden="false" customHeight="false" outlineLevel="0" collapsed="false">
      <c r="A79" s="12"/>
      <c r="B79" s="13"/>
      <c r="C79" s="8" t="n">
        <v>41925</v>
      </c>
      <c r="D79" s="7" t="n">
        <v>13.8</v>
      </c>
      <c r="E79" s="7" t="n">
        <v>12</v>
      </c>
      <c r="F79" s="7" t="n">
        <v>18.6</v>
      </c>
      <c r="G79" s="7" t="n">
        <f aca="false">G78+D79</f>
        <v>543.7</v>
      </c>
      <c r="J79" s="7" t="n">
        <v>0</v>
      </c>
      <c r="K79" s="7" t="n">
        <f aca="false">K78+J79</f>
        <v>82.5</v>
      </c>
      <c r="L79" s="7" t="n">
        <v>1.9</v>
      </c>
      <c r="M79" s="7" t="n">
        <f aca="false">M78+L79</f>
        <v>75.1</v>
      </c>
      <c r="N79" s="9" t="n">
        <v>-1.9</v>
      </c>
      <c r="O79" s="7" t="n">
        <f aca="false">O78+N79</f>
        <v>56.7</v>
      </c>
      <c r="P79" s="7" t="n">
        <v>35</v>
      </c>
      <c r="Q79" s="7" t="n">
        <f aca="false">0.35+((P79-8)/74)*(1-0.35)</f>
        <v>0.587162162162162</v>
      </c>
      <c r="R79" s="10" t="n">
        <f aca="false">Q79*L79</f>
        <v>1.11560810810811</v>
      </c>
      <c r="S79" s="10" t="n">
        <f aca="false">J79-R79</f>
        <v>-1.11560810810811</v>
      </c>
      <c r="T79" s="10" t="n">
        <f aca="false">MIN(138.9,(T78+S79))</f>
        <v>62.6325675675676</v>
      </c>
      <c r="V79" s="7" t="n">
        <v>687.1</v>
      </c>
      <c r="X79" s="7" t="n">
        <f aca="false">X78+V79</f>
        <v>38807.1</v>
      </c>
      <c r="AA79" s="7" t="n">
        <v>11.0180584392887</v>
      </c>
    </row>
    <row r="80" s="7" customFormat="true" ht="15" hidden="false" customHeight="false" outlineLevel="0" collapsed="false">
      <c r="A80" s="12"/>
      <c r="B80" s="13"/>
      <c r="C80" s="8" t="n">
        <v>41926</v>
      </c>
      <c r="D80" s="7" t="n">
        <v>11.1</v>
      </c>
      <c r="E80" s="7" t="n">
        <v>6.9</v>
      </c>
      <c r="F80" s="7" t="n">
        <v>16.1</v>
      </c>
      <c r="G80" s="7" t="n">
        <f aca="false">G79+D80</f>
        <v>554.8</v>
      </c>
      <c r="J80" s="7" t="n">
        <v>0.1</v>
      </c>
      <c r="K80" s="7" t="n">
        <f aca="false">K79+J80</f>
        <v>82.6</v>
      </c>
      <c r="L80" s="7" t="n">
        <v>0.8</v>
      </c>
      <c r="M80" s="7" t="n">
        <f aca="false">M79+L80</f>
        <v>75.9</v>
      </c>
      <c r="N80" s="9" t="n">
        <v>-0.7</v>
      </c>
      <c r="O80" s="7" t="n">
        <f aca="false">O79+N80</f>
        <v>56</v>
      </c>
      <c r="P80" s="7" t="n">
        <v>36</v>
      </c>
      <c r="Q80" s="7" t="n">
        <f aca="false">0.35+((P80-8)/74)*(1-0.35)</f>
        <v>0.595945945945946</v>
      </c>
      <c r="R80" s="10" t="n">
        <f aca="false">Q80*L80</f>
        <v>0.476756756756757</v>
      </c>
      <c r="S80" s="10" t="n">
        <f aca="false">J80-R80</f>
        <v>-0.376756756756757</v>
      </c>
      <c r="T80" s="10" t="n">
        <f aca="false">MIN(138.9,(T79+S80))</f>
        <v>62.2558108108108</v>
      </c>
      <c r="V80" s="7" t="n">
        <v>707.7</v>
      </c>
      <c r="X80" s="7" t="n">
        <f aca="false">X79+V80</f>
        <v>39514.8</v>
      </c>
      <c r="AA80" s="7" t="n">
        <v>10.9625049646466</v>
      </c>
    </row>
    <row r="81" s="7" customFormat="true" ht="15" hidden="false" customHeight="false" outlineLevel="0" collapsed="false">
      <c r="A81" s="12"/>
      <c r="B81" s="13"/>
      <c r="C81" s="8" t="n">
        <v>41927</v>
      </c>
      <c r="D81" s="7" t="n">
        <v>14</v>
      </c>
      <c r="E81" s="7" t="n">
        <v>11.1</v>
      </c>
      <c r="F81" s="7" t="n">
        <v>16.1</v>
      </c>
      <c r="G81" s="7" t="n">
        <f aca="false">G80+D81</f>
        <v>568.8</v>
      </c>
      <c r="J81" s="7" t="n">
        <v>1.4</v>
      </c>
      <c r="K81" s="7" t="n">
        <f aca="false">K80+J81</f>
        <v>84</v>
      </c>
      <c r="L81" s="7" t="n">
        <v>0.3</v>
      </c>
      <c r="M81" s="7" t="n">
        <f aca="false">M80+L81</f>
        <v>76.2</v>
      </c>
      <c r="N81" s="7" t="n">
        <v>1.1</v>
      </c>
      <c r="O81" s="7" t="n">
        <f aca="false">O80+N81</f>
        <v>57.1</v>
      </c>
      <c r="P81" s="7" t="n">
        <v>37</v>
      </c>
      <c r="Q81" s="7" t="n">
        <f aca="false">0.35+((P81-8)/74)*(1-0.35)</f>
        <v>0.60472972972973</v>
      </c>
      <c r="R81" s="10" t="n">
        <f aca="false">Q81*L81</f>
        <v>0.181418918918919</v>
      </c>
      <c r="S81" s="10" t="n">
        <f aca="false">J81-R81</f>
        <v>1.21858108108108</v>
      </c>
      <c r="T81" s="10" t="n">
        <f aca="false">MIN(138.9,(T80+S81))</f>
        <v>63.4743918918919</v>
      </c>
      <c r="V81" s="7" t="n">
        <v>231.9</v>
      </c>
      <c r="X81" s="7" t="n">
        <f aca="false">X80+V81</f>
        <v>39746.7</v>
      </c>
      <c r="AA81" s="7" t="n">
        <v>10.9070849932738</v>
      </c>
    </row>
    <row r="82" s="7" customFormat="true" ht="15" hidden="false" customHeight="false" outlineLevel="0" collapsed="false">
      <c r="A82" s="12"/>
      <c r="B82" s="13"/>
      <c r="C82" s="8" t="n">
        <v>41928</v>
      </c>
      <c r="D82" s="7" t="n">
        <v>15.7</v>
      </c>
      <c r="E82" s="7" t="n">
        <v>14.1</v>
      </c>
      <c r="F82" s="7" t="n">
        <v>18.7</v>
      </c>
      <c r="G82" s="7" t="n">
        <f aca="false">G81+D82</f>
        <v>584.5</v>
      </c>
      <c r="J82" s="7" t="n">
        <v>12.7</v>
      </c>
      <c r="K82" s="7" t="n">
        <f aca="false">K81+J82</f>
        <v>96.7</v>
      </c>
      <c r="L82" s="7" t="n">
        <v>0.8</v>
      </c>
      <c r="M82" s="7" t="n">
        <f aca="false">M81+L82</f>
        <v>77</v>
      </c>
      <c r="N82" s="7" t="n">
        <v>11.9</v>
      </c>
      <c r="O82" s="7" t="n">
        <f aca="false">O81+N82</f>
        <v>69</v>
      </c>
      <c r="P82" s="7" t="n">
        <v>38</v>
      </c>
      <c r="Q82" s="7" t="n">
        <f aca="false">0.35+((P82-8)/74)*(1-0.35)</f>
        <v>0.613513513513514</v>
      </c>
      <c r="R82" s="10" t="n">
        <f aca="false">Q82*L82</f>
        <v>0.490810810810811</v>
      </c>
      <c r="S82" s="10" t="n">
        <f aca="false">J82-R82</f>
        <v>12.2091891891892</v>
      </c>
      <c r="T82" s="10" t="n">
        <f aca="false">MIN(138.9,(T81+S82))</f>
        <v>75.6835810810811</v>
      </c>
      <c r="V82" s="7" t="n">
        <v>371.3</v>
      </c>
      <c r="X82" s="7" t="n">
        <f aca="false">X81+V82</f>
        <v>40118</v>
      </c>
      <c r="AA82" s="7" t="n">
        <v>10.8518084963951</v>
      </c>
    </row>
    <row r="83" s="7" customFormat="true" ht="15" hidden="false" customHeight="false" outlineLevel="0" collapsed="false">
      <c r="A83" s="12"/>
      <c r="B83" s="13"/>
      <c r="C83" s="8" t="n">
        <v>41929</v>
      </c>
      <c r="D83" s="7" t="n">
        <v>15.3</v>
      </c>
      <c r="E83" s="7" t="n">
        <v>13.6</v>
      </c>
      <c r="F83" s="7" t="n">
        <v>18</v>
      </c>
      <c r="G83" s="7" t="n">
        <f aca="false">G82+D83</f>
        <v>599.8</v>
      </c>
      <c r="J83" s="7" t="n">
        <v>0.1</v>
      </c>
      <c r="K83" s="7" t="n">
        <f aca="false">K82+J83</f>
        <v>96.8</v>
      </c>
      <c r="L83" s="7" t="n">
        <v>0.6</v>
      </c>
      <c r="M83" s="7" t="n">
        <f aca="false">M82+L83</f>
        <v>77.6</v>
      </c>
      <c r="N83" s="9" t="n">
        <v>-0.5</v>
      </c>
      <c r="O83" s="7" t="n">
        <f aca="false">O82+N83</f>
        <v>68.5</v>
      </c>
      <c r="P83" s="7" t="n">
        <v>39</v>
      </c>
      <c r="Q83" s="7" t="n">
        <f aca="false">0.35+((P83-8)/74)*(1-0.35)</f>
        <v>0.622297297297297</v>
      </c>
      <c r="R83" s="10" t="n">
        <f aca="false">Q83*L83</f>
        <v>0.373378378378378</v>
      </c>
      <c r="S83" s="10" t="n">
        <f aca="false">J83-R83</f>
        <v>-0.273378378378378</v>
      </c>
      <c r="T83" s="10" t="n">
        <f aca="false">MIN(138.9,(T82+S83))</f>
        <v>75.4102027027027</v>
      </c>
      <c r="V83" s="7" t="n">
        <v>304.3</v>
      </c>
      <c r="X83" s="7" t="n">
        <f aca="false">X82+V83</f>
        <v>40422.3</v>
      </c>
      <c r="AA83" s="7" t="n">
        <v>10.7966858496939</v>
      </c>
    </row>
    <row r="84" s="7" customFormat="true" ht="15" hidden="false" customHeight="false" outlineLevel="0" collapsed="false">
      <c r="A84" s="12"/>
      <c r="B84" s="13"/>
      <c r="C84" s="8" t="n">
        <v>41930</v>
      </c>
      <c r="D84" s="7" t="n">
        <v>17.3</v>
      </c>
      <c r="E84" s="7" t="n">
        <v>12.7</v>
      </c>
      <c r="F84" s="7" t="n">
        <v>24.1</v>
      </c>
      <c r="G84" s="7" t="n">
        <f aca="false">G83+D84</f>
        <v>617.1</v>
      </c>
      <c r="J84" s="7" t="n">
        <v>0</v>
      </c>
      <c r="K84" s="7" t="n">
        <f aca="false">K83+J84</f>
        <v>96.8</v>
      </c>
      <c r="L84" s="7" t="n">
        <v>2.8</v>
      </c>
      <c r="M84" s="7" t="n">
        <f aca="false">M83+L84</f>
        <v>80.4</v>
      </c>
      <c r="N84" s="9" t="n">
        <v>-2.8</v>
      </c>
      <c r="O84" s="7" t="n">
        <f aca="false">O83+N84</f>
        <v>65.7</v>
      </c>
      <c r="P84" s="7" t="n">
        <v>40</v>
      </c>
      <c r="Q84" s="7" t="n">
        <f aca="false">0.35+((P84-8)/74)*(1-0.35)</f>
        <v>0.631081081081081</v>
      </c>
      <c r="R84" s="10" t="n">
        <f aca="false">Q84*L84</f>
        <v>1.76702702702703</v>
      </c>
      <c r="S84" s="10" t="n">
        <f aca="false">J84-R84</f>
        <v>-1.76702702702703</v>
      </c>
      <c r="T84" s="10" t="n">
        <f aca="false">MIN(138.9,(T83+S84))</f>
        <v>73.6431756756757</v>
      </c>
      <c r="V84" s="7" t="n">
        <v>1300</v>
      </c>
      <c r="X84" s="7" t="n">
        <f aca="false">X83+V84</f>
        <v>41722.3</v>
      </c>
      <c r="AA84" s="7" t="n">
        <v>10.7417278504287</v>
      </c>
    </row>
    <row r="85" s="7" customFormat="true" ht="15" hidden="false" customHeight="false" outlineLevel="0" collapsed="false">
      <c r="A85" s="12"/>
      <c r="B85" s="13"/>
      <c r="C85" s="8" t="n">
        <v>41931</v>
      </c>
      <c r="D85" s="7" t="n">
        <v>17.1</v>
      </c>
      <c r="E85" s="7" t="n">
        <v>13</v>
      </c>
      <c r="F85" s="7" t="n">
        <v>22.9</v>
      </c>
      <c r="G85" s="7" t="n">
        <f aca="false">G84+D85</f>
        <v>634.2</v>
      </c>
      <c r="J85" s="7" t="n">
        <v>0.4</v>
      </c>
      <c r="K85" s="7" t="n">
        <f aca="false">K84+J85</f>
        <v>97.2</v>
      </c>
      <c r="L85" s="7" t="n">
        <v>2.3</v>
      </c>
      <c r="M85" s="7" t="n">
        <f aca="false">M84+L85</f>
        <v>82.7</v>
      </c>
      <c r="N85" s="9" t="n">
        <v>-1.9</v>
      </c>
      <c r="O85" s="7" t="n">
        <f aca="false">O84+N85</f>
        <v>63.8</v>
      </c>
      <c r="P85" s="7" t="n">
        <v>41</v>
      </c>
      <c r="Q85" s="7" t="n">
        <f aca="false">0.35+((P85-8)/74)*(1-0.35)</f>
        <v>0.639864864864865</v>
      </c>
      <c r="R85" s="10" t="n">
        <f aca="false">Q85*L85</f>
        <v>1.47168918918919</v>
      </c>
      <c r="S85" s="10" t="n">
        <f aca="false">J85-R85</f>
        <v>-1.07168918918919</v>
      </c>
      <c r="T85" s="10" t="n">
        <f aca="false">MIN(138.9,(T84+S85))</f>
        <v>72.5714864864865</v>
      </c>
      <c r="V85" s="7" t="n">
        <v>1239.5</v>
      </c>
      <c r="X85" s="7" t="n">
        <f aca="false">X84+V85</f>
        <v>42961.8</v>
      </c>
      <c r="AA85" s="7" t="n">
        <v>10.6869457343384</v>
      </c>
    </row>
    <row r="86" s="7" customFormat="true" ht="15" hidden="false" customHeight="false" outlineLevel="0" collapsed="false">
      <c r="A86" s="12"/>
      <c r="B86" s="13"/>
      <c r="C86" s="8" t="n">
        <v>41932</v>
      </c>
      <c r="D86" s="7" t="n">
        <v>15</v>
      </c>
      <c r="E86" s="7" t="n">
        <v>12.2</v>
      </c>
      <c r="F86" s="7" t="n">
        <v>19.2</v>
      </c>
      <c r="G86" s="7" t="n">
        <f aca="false">G85+D86</f>
        <v>649.2</v>
      </c>
      <c r="J86" s="7" t="n">
        <v>0.5</v>
      </c>
      <c r="K86" s="7" t="n">
        <f aca="false">K85+J86</f>
        <v>97.7</v>
      </c>
      <c r="L86" s="7" t="n">
        <v>0.9</v>
      </c>
      <c r="M86" s="7" t="n">
        <f aca="false">M85+L86</f>
        <v>83.6</v>
      </c>
      <c r="N86" s="9" t="n">
        <v>-0.4</v>
      </c>
      <c r="O86" s="7" t="n">
        <f aca="false">O85+N86</f>
        <v>63.4</v>
      </c>
      <c r="P86" s="7" t="n">
        <v>42</v>
      </c>
      <c r="Q86" s="7" t="n">
        <f aca="false">0.35+((P86-8)/74)*(1-0.35)</f>
        <v>0.648648648648649</v>
      </c>
      <c r="R86" s="10" t="n">
        <f aca="false">Q86*L86</f>
        <v>0.583783783783784</v>
      </c>
      <c r="S86" s="10" t="n">
        <f aca="false">J86-R86</f>
        <v>-0.0837837837837838</v>
      </c>
      <c r="T86" s="10" t="n">
        <f aca="false">MIN(138.9,(T85+S86))</f>
        <v>72.4877027027027</v>
      </c>
      <c r="V86" s="7" t="n">
        <v>466.5</v>
      </c>
      <c r="X86" s="7" t="n">
        <f aca="false">X85+V86</f>
        <v>43428.3</v>
      </c>
      <c r="AA86" s="7" t="n">
        <v>10.6323511922853</v>
      </c>
    </row>
    <row r="87" s="7" customFormat="true" ht="15" hidden="false" customHeight="false" outlineLevel="0" collapsed="false">
      <c r="A87" s="12"/>
      <c r="B87" s="13"/>
      <c r="C87" s="8" t="n">
        <v>41933</v>
      </c>
      <c r="D87" s="7" t="n">
        <v>13.8</v>
      </c>
      <c r="E87" s="7" t="n">
        <v>11.7</v>
      </c>
      <c r="F87" s="7" t="n">
        <v>18.6</v>
      </c>
      <c r="G87" s="7" t="n">
        <f aca="false">G86+D87</f>
        <v>663</v>
      </c>
      <c r="J87" s="7" t="n">
        <v>0.3</v>
      </c>
      <c r="K87" s="7" t="n">
        <f aca="false">K86+J87</f>
        <v>98</v>
      </c>
      <c r="L87" s="7" t="n">
        <v>1.7</v>
      </c>
      <c r="M87" s="7" t="n">
        <f aca="false">M86+L87</f>
        <v>85.3</v>
      </c>
      <c r="N87" s="9" t="n">
        <v>-1.4</v>
      </c>
      <c r="O87" s="7" t="n">
        <f aca="false">O86+N87</f>
        <v>62</v>
      </c>
      <c r="P87" s="7" t="n">
        <v>43</v>
      </c>
      <c r="Q87" s="7" t="n">
        <f aca="false">0.35+((P87-8)/74)*(1-0.35)</f>
        <v>0.657432432432432</v>
      </c>
      <c r="R87" s="10" t="n">
        <f aca="false">Q87*L87</f>
        <v>1.11763513513514</v>
      </c>
      <c r="S87" s="10" t="n">
        <f aca="false">J87-R87</f>
        <v>-0.817635135135135</v>
      </c>
      <c r="T87" s="10" t="n">
        <f aca="false">MIN(138.9,(T86+S87))</f>
        <v>71.6700675675676</v>
      </c>
      <c r="V87" s="7" t="n">
        <v>328.4</v>
      </c>
      <c r="X87" s="7" t="n">
        <f aca="false">X86+V87</f>
        <v>43756.7</v>
      </c>
      <c r="AA87" s="7" t="n">
        <v>10.5779563865796</v>
      </c>
    </row>
    <row r="88" s="7" customFormat="true" ht="15" hidden="false" customHeight="false" outlineLevel="0" collapsed="false">
      <c r="A88" s="12"/>
      <c r="B88" s="13"/>
      <c r="C88" s="8" t="n">
        <v>41934</v>
      </c>
      <c r="D88" s="7" t="n">
        <v>9.7</v>
      </c>
      <c r="E88" s="7" t="n">
        <v>6.5</v>
      </c>
      <c r="F88" s="7" t="n">
        <v>14</v>
      </c>
      <c r="G88" s="7" t="n">
        <f aca="false">G87+D88</f>
        <v>672.7</v>
      </c>
      <c r="J88" s="7" t="n">
        <v>0</v>
      </c>
      <c r="K88" s="7" t="n">
        <f aca="false">K87+J88</f>
        <v>98</v>
      </c>
      <c r="L88" s="7" t="n">
        <v>1.2</v>
      </c>
      <c r="M88" s="7" t="n">
        <f aca="false">M87+L88</f>
        <v>86.5</v>
      </c>
      <c r="N88" s="9" t="n">
        <v>-1.2</v>
      </c>
      <c r="O88" s="7" t="n">
        <f aca="false">O87+N88</f>
        <v>60.8</v>
      </c>
      <c r="P88" s="7" t="n">
        <v>44</v>
      </c>
      <c r="Q88" s="7" t="n">
        <f aca="false">0.35+((P88-8)/74)*(1-0.35)</f>
        <v>0.666216216216216</v>
      </c>
      <c r="R88" s="10" t="n">
        <f aca="false">Q88*L88</f>
        <v>0.799459459459459</v>
      </c>
      <c r="S88" s="10" t="n">
        <f aca="false">J88-R88</f>
        <v>-0.799459459459459</v>
      </c>
      <c r="T88" s="10" t="n">
        <f aca="false">MIN(138.9,(T87+S88))</f>
        <v>70.8706081081081</v>
      </c>
      <c r="V88" s="7" t="n">
        <v>568.1</v>
      </c>
      <c r="X88" s="7" t="n">
        <f aca="false">X87+V88</f>
        <v>44324.8</v>
      </c>
      <c r="AA88" s="7" t="n">
        <v>10.5237739669244</v>
      </c>
    </row>
    <row r="89" s="7" customFormat="true" ht="15" hidden="false" customHeight="false" outlineLevel="0" collapsed="false">
      <c r="A89" s="12"/>
      <c r="B89" s="13"/>
      <c r="C89" s="8" t="n">
        <v>41935</v>
      </c>
      <c r="D89" s="7" t="n">
        <v>10.6</v>
      </c>
      <c r="E89" s="7" t="n">
        <v>6.2</v>
      </c>
      <c r="F89" s="7" t="n">
        <v>13.8</v>
      </c>
      <c r="G89" s="7" t="n">
        <f aca="false">G88+D89</f>
        <v>683.3</v>
      </c>
      <c r="J89" s="7" t="n">
        <v>0</v>
      </c>
      <c r="K89" s="7" t="n">
        <f aca="false">K88+J89</f>
        <v>98</v>
      </c>
      <c r="L89" s="7" t="n">
        <v>0.7</v>
      </c>
      <c r="M89" s="7" t="n">
        <f aca="false">M88+L89</f>
        <v>87.2</v>
      </c>
      <c r="N89" s="9" t="n">
        <v>-0.7</v>
      </c>
      <c r="O89" s="7" t="n">
        <f aca="false">O88+N89</f>
        <v>60.1</v>
      </c>
      <c r="P89" s="7" t="n">
        <v>45</v>
      </c>
      <c r="Q89" s="7" t="n">
        <f aca="false">0.35+((P89-8)/74)*(1-0.35)</f>
        <v>0.675</v>
      </c>
      <c r="R89" s="10" t="n">
        <f aca="false">Q89*L89</f>
        <v>0.4725</v>
      </c>
      <c r="S89" s="10" t="n">
        <f aca="false">J89-R89</f>
        <v>-0.4725</v>
      </c>
      <c r="T89" s="10" t="n">
        <f aca="false">MIN(138.9,(T88+S89))</f>
        <v>70.3981081081081</v>
      </c>
      <c r="V89" s="7" t="n">
        <v>269.5</v>
      </c>
      <c r="X89" s="7" t="n">
        <f aca="false">X88+V89</f>
        <v>44594.3</v>
      </c>
      <c r="AA89" s="7" t="n">
        <v>10.4698170859131</v>
      </c>
    </row>
    <row r="90" s="7" customFormat="true" ht="15" hidden="false" customHeight="false" outlineLevel="0" collapsed="false">
      <c r="A90" s="12"/>
      <c r="B90" s="13"/>
      <c r="C90" s="8" t="n">
        <v>41936</v>
      </c>
      <c r="D90" s="7" t="n">
        <v>12.5</v>
      </c>
      <c r="E90" s="7" t="n">
        <v>10.8</v>
      </c>
      <c r="F90" s="7" t="n">
        <v>15.9</v>
      </c>
      <c r="G90" s="7" t="n">
        <f aca="false">G89+D90</f>
        <v>695.8</v>
      </c>
      <c r="J90" s="7" t="n">
        <v>0</v>
      </c>
      <c r="K90" s="7" t="n">
        <f aca="false">K89+J90</f>
        <v>98</v>
      </c>
      <c r="L90" s="7" t="n">
        <v>0.9</v>
      </c>
      <c r="M90" s="7" t="n">
        <f aca="false">M89+L90</f>
        <v>88.1</v>
      </c>
      <c r="N90" s="9" t="n">
        <v>-0.9</v>
      </c>
      <c r="O90" s="7" t="n">
        <f aca="false">O89+N90</f>
        <v>59.2</v>
      </c>
      <c r="P90" s="7" t="n">
        <v>46</v>
      </c>
      <c r="Q90" s="7" t="n">
        <f aca="false">0.35+((P90-8)/74)*(1-0.35)</f>
        <v>0.683783783783784</v>
      </c>
      <c r="R90" s="10" t="n">
        <f aca="false">Q90*L90</f>
        <v>0.615405405405405</v>
      </c>
      <c r="S90" s="10" t="n">
        <f aca="false">J90-R90</f>
        <v>-0.615405405405405</v>
      </c>
      <c r="T90" s="10" t="n">
        <f aca="false">MIN(138.9,(T89+S90))</f>
        <v>69.7827027027027</v>
      </c>
      <c r="V90" s="7" t="n">
        <v>163.9</v>
      </c>
      <c r="X90" s="7" t="n">
        <f aca="false">X89+V90</f>
        <v>44758.2</v>
      </c>
      <c r="AA90" s="7" t="n">
        <v>10.4160994140073</v>
      </c>
    </row>
    <row r="91" s="7" customFormat="true" ht="15" hidden="false" customHeight="false" outlineLevel="0" collapsed="false">
      <c r="A91" s="12"/>
      <c r="B91" s="13"/>
      <c r="C91" s="8" t="n">
        <v>41937</v>
      </c>
      <c r="D91" s="7" t="n">
        <v>13.2</v>
      </c>
      <c r="E91" s="7" t="n">
        <v>11.3</v>
      </c>
      <c r="F91" s="7" t="n">
        <v>15.4</v>
      </c>
      <c r="G91" s="7" t="n">
        <f aca="false">G90+D91</f>
        <v>709</v>
      </c>
      <c r="J91" s="7" t="n">
        <v>1.1</v>
      </c>
      <c r="K91" s="7" t="n">
        <f aca="false">K90+J91</f>
        <v>99.1</v>
      </c>
      <c r="L91" s="7" t="n">
        <v>0.3</v>
      </c>
      <c r="M91" s="7" t="n">
        <f aca="false">M90+L91</f>
        <v>88.4</v>
      </c>
      <c r="N91" s="7" t="n">
        <v>0.8</v>
      </c>
      <c r="O91" s="7" t="n">
        <f aca="false">O90+N91</f>
        <v>60</v>
      </c>
      <c r="P91" s="7" t="n">
        <v>47</v>
      </c>
      <c r="Q91" s="7" t="n">
        <f aca="false">0.35+((P91-8)/74)*(1-0.35)</f>
        <v>0.692567567567568</v>
      </c>
      <c r="R91" s="10" t="n">
        <f aca="false">Q91*L91</f>
        <v>0.20777027027027</v>
      </c>
      <c r="S91" s="10" t="n">
        <f aca="false">J91-R91</f>
        <v>0.89222972972973</v>
      </c>
      <c r="T91" s="10" t="n">
        <f aca="false">MIN(138.9,(T90+S91))</f>
        <v>70.6749324324324</v>
      </c>
      <c r="V91" s="7" t="n">
        <v>255.4</v>
      </c>
      <c r="X91" s="7" t="n">
        <f aca="false">X90+V91</f>
        <v>45013.6</v>
      </c>
      <c r="AA91" s="7" t="n">
        <v>10.3626351539167</v>
      </c>
    </row>
    <row r="92" s="7" customFormat="true" ht="15" hidden="false" customHeight="false" outlineLevel="0" collapsed="false">
      <c r="A92" s="12"/>
      <c r="B92" s="13"/>
      <c r="C92" s="8" t="n">
        <v>41938</v>
      </c>
      <c r="D92" s="7" t="n">
        <v>12.8</v>
      </c>
      <c r="E92" s="7" t="n">
        <v>11.7</v>
      </c>
      <c r="F92" s="7" t="n">
        <v>17.3</v>
      </c>
      <c r="G92" s="7" t="n">
        <f aca="false">G91+D92</f>
        <v>721.8</v>
      </c>
      <c r="J92" s="7" t="n">
        <v>0.1</v>
      </c>
      <c r="K92" s="7" t="n">
        <f aca="false">K91+J92</f>
        <v>99.2</v>
      </c>
      <c r="L92" s="7" t="n">
        <v>1.2</v>
      </c>
      <c r="M92" s="7" t="n">
        <f aca="false">M91+L92</f>
        <v>89.6</v>
      </c>
      <c r="N92" s="9" t="n">
        <v>-1.1</v>
      </c>
      <c r="O92" s="7" t="n">
        <f aca="false">O91+N92</f>
        <v>58.9</v>
      </c>
      <c r="P92" s="7" t="n">
        <v>48</v>
      </c>
      <c r="Q92" s="7" t="n">
        <f aca="false">0.35+((P92-8)/74)*(1-0.35)</f>
        <v>0.701351351351351</v>
      </c>
      <c r="R92" s="10" t="n">
        <f aca="false">Q92*L92</f>
        <v>0.841621621621622</v>
      </c>
      <c r="S92" s="10" t="n">
        <f aca="false">J92-R92</f>
        <v>-0.741621621621622</v>
      </c>
      <c r="T92" s="10" t="n">
        <f aca="false">MIN(138.9,(T91+S92))</f>
        <v>69.9333108108108</v>
      </c>
      <c r="V92" s="7" t="n">
        <v>693.8</v>
      </c>
      <c r="X92" s="7" t="n">
        <f aca="false">X91+V92</f>
        <v>45707.4</v>
      </c>
      <c r="AA92" s="7" t="n">
        <v>10.3094390542955</v>
      </c>
    </row>
    <row r="93" s="7" customFormat="true" ht="15" hidden="false" customHeight="false" outlineLevel="0" collapsed="false">
      <c r="A93" s="12"/>
      <c r="B93" s="13"/>
      <c r="C93" s="8" t="n">
        <v>41939</v>
      </c>
      <c r="D93" s="7" t="n">
        <v>10.3</v>
      </c>
      <c r="E93" s="7" t="n">
        <v>6.6</v>
      </c>
      <c r="F93" s="7" t="n">
        <v>13.9</v>
      </c>
      <c r="G93" s="7" t="n">
        <f aca="false">G92+D93</f>
        <v>732.1</v>
      </c>
      <c r="J93" s="7" t="n">
        <v>0.1</v>
      </c>
      <c r="K93" s="7" t="n">
        <f aca="false">K92+J93</f>
        <v>99.3</v>
      </c>
      <c r="L93" s="7" t="n">
        <v>1</v>
      </c>
      <c r="M93" s="7" t="n">
        <f aca="false">M92+L93</f>
        <v>90.6</v>
      </c>
      <c r="N93" s="9" t="n">
        <v>-0.9</v>
      </c>
      <c r="O93" s="7" t="n">
        <f aca="false">O92+N93</f>
        <v>58</v>
      </c>
      <c r="P93" s="7" t="n">
        <v>49</v>
      </c>
      <c r="Q93" s="7" t="n">
        <f aca="false">0.35+((P93-8)/74)*(1-0.35)</f>
        <v>0.710135135135135</v>
      </c>
      <c r="R93" s="10" t="n">
        <f aca="false">Q93*L93</f>
        <v>0.710135135135135</v>
      </c>
      <c r="S93" s="10" t="n">
        <f aca="false">J93-R93</f>
        <v>-0.610135135135135</v>
      </c>
      <c r="T93" s="10" t="n">
        <f aca="false">MIN(138.9,(T92+S93))</f>
        <v>69.3231756756757</v>
      </c>
      <c r="V93" s="7" t="n">
        <v>703.7</v>
      </c>
      <c r="X93" s="7" t="n">
        <f aca="false">X92+V93</f>
        <v>46411.1</v>
      </c>
      <c r="AA93" s="7" t="n">
        <v>10.2565264226662</v>
      </c>
    </row>
    <row r="94" s="7" customFormat="true" ht="15" hidden="false" customHeight="false" outlineLevel="0" collapsed="false">
      <c r="A94" s="12"/>
      <c r="B94" s="13"/>
      <c r="C94" s="8" t="n">
        <v>41940</v>
      </c>
      <c r="D94" s="7" t="n">
        <v>10.7</v>
      </c>
      <c r="E94" s="7" t="n">
        <v>9.7</v>
      </c>
      <c r="F94" s="7" t="n">
        <v>14</v>
      </c>
      <c r="G94" s="7" t="n">
        <f aca="false">G93+D94</f>
        <v>742.8</v>
      </c>
      <c r="J94" s="7" t="n">
        <v>0.2</v>
      </c>
      <c r="K94" s="7" t="n">
        <f aca="false">K93+J94</f>
        <v>99.5</v>
      </c>
      <c r="L94" s="7" t="n">
        <v>1.1</v>
      </c>
      <c r="M94" s="7" t="n">
        <f aca="false">M93+L94</f>
        <v>91.7</v>
      </c>
      <c r="N94" s="9" t="n">
        <v>-0.9</v>
      </c>
      <c r="O94" s="7" t="n">
        <f aca="false">O93+N94</f>
        <v>57.1</v>
      </c>
      <c r="P94" s="7" t="n">
        <v>50</v>
      </c>
      <c r="Q94" s="7" t="n">
        <f aca="false">0.35+((P94-8)/74)*(1-0.35)</f>
        <v>0.718918918918919</v>
      </c>
      <c r="R94" s="10" t="n">
        <f aca="false">Q94*L94</f>
        <v>0.790810810810811</v>
      </c>
      <c r="S94" s="10" t="n">
        <f aca="false">J94-R94</f>
        <v>-0.590810810810811</v>
      </c>
      <c r="T94" s="10" t="n">
        <f aca="false">MIN(138.9,(T93+S94))</f>
        <v>68.7323648648649</v>
      </c>
      <c r="V94" s="7" t="n">
        <v>708.6</v>
      </c>
      <c r="X94" s="7" t="n">
        <f aca="false">X93+V94</f>
        <v>47119.7</v>
      </c>
      <c r="AA94" s="7" t="n">
        <v>10.2039131374726</v>
      </c>
    </row>
    <row r="95" s="7" customFormat="true" ht="15" hidden="false" customHeight="false" outlineLevel="0" collapsed="false">
      <c r="A95" s="12"/>
      <c r="B95" s="13"/>
      <c r="C95" s="8" t="n">
        <v>41941</v>
      </c>
      <c r="D95" s="7" t="n">
        <v>10.9</v>
      </c>
      <c r="E95" s="7" t="n">
        <v>4.2</v>
      </c>
      <c r="F95" s="7" t="n">
        <v>17.8</v>
      </c>
      <c r="G95" s="7" t="n">
        <f aca="false">G94+D95</f>
        <v>753.7</v>
      </c>
      <c r="J95" s="7" t="n">
        <v>0.2</v>
      </c>
      <c r="K95" s="7" t="n">
        <f aca="false">K94+J95</f>
        <v>99.7</v>
      </c>
      <c r="L95" s="7" t="n">
        <v>1.5</v>
      </c>
      <c r="M95" s="7" t="n">
        <f aca="false">M94+L95</f>
        <v>93.2</v>
      </c>
      <c r="N95" s="9" t="n">
        <v>-1.3</v>
      </c>
      <c r="O95" s="7" t="n">
        <f aca="false">O94+N95</f>
        <v>55.8</v>
      </c>
      <c r="P95" s="7" t="n">
        <v>51</v>
      </c>
      <c r="Q95" s="7" t="n">
        <f aca="false">0.35+((P95-8)/74)*(1-0.35)</f>
        <v>0.727702702702703</v>
      </c>
      <c r="R95" s="10" t="n">
        <f aca="false">Q95*L95</f>
        <v>1.09155405405405</v>
      </c>
      <c r="S95" s="10" t="n">
        <f aca="false">J95-R95</f>
        <v>-0.891554054054054</v>
      </c>
      <c r="T95" s="10" t="n">
        <f aca="false">MIN(138.9,(T94+S95))</f>
        <v>67.8408108108108</v>
      </c>
      <c r="V95" s="7" t="n">
        <v>898.3</v>
      </c>
      <c r="X95" s="7" t="n">
        <f aca="false">X94+V95</f>
        <v>48018</v>
      </c>
      <c r="AA95" s="7" t="n">
        <v>10.1516156591596</v>
      </c>
    </row>
    <row r="96" s="7" customFormat="true" ht="15" hidden="false" customHeight="false" outlineLevel="0" collapsed="false">
      <c r="A96" s="12"/>
      <c r="B96" s="13"/>
      <c r="C96" s="8" t="n">
        <v>41942</v>
      </c>
      <c r="D96" s="7" t="n">
        <v>13</v>
      </c>
      <c r="E96" s="7" t="n">
        <v>8.3</v>
      </c>
      <c r="F96" s="7" t="n">
        <v>19</v>
      </c>
      <c r="G96" s="7" t="n">
        <f aca="false">G95+D96</f>
        <v>766.7</v>
      </c>
      <c r="J96" s="7" t="n">
        <v>0.1</v>
      </c>
      <c r="K96" s="7" t="n">
        <f aca="false">K95+J96</f>
        <v>99.8</v>
      </c>
      <c r="L96" s="7" t="n">
        <v>1.2</v>
      </c>
      <c r="M96" s="7" t="n">
        <f aca="false">M95+L96</f>
        <v>94.4</v>
      </c>
      <c r="N96" s="9" t="n">
        <v>-1.1</v>
      </c>
      <c r="O96" s="7" t="n">
        <f aca="false">O95+N96</f>
        <v>54.7</v>
      </c>
      <c r="P96" s="7" t="n">
        <v>52</v>
      </c>
      <c r="Q96" s="7" t="n">
        <f aca="false">0.35+((P96-8)/74)*(1-0.35)</f>
        <v>0.736486486486487</v>
      </c>
      <c r="R96" s="10" t="n">
        <f aca="false">Q96*L96</f>
        <v>0.883783783783784</v>
      </c>
      <c r="S96" s="10" t="n">
        <f aca="false">J96-R96</f>
        <v>-0.783783783783784</v>
      </c>
      <c r="T96" s="10" t="n">
        <f aca="false">MIN(138.9,(T95+S96))</f>
        <v>67.057027027027</v>
      </c>
      <c r="V96" s="7" t="n">
        <v>498.5</v>
      </c>
      <c r="X96" s="7" t="n">
        <f aca="false">X95+V96</f>
        <v>48516.5</v>
      </c>
      <c r="AA96" s="7" t="n">
        <v>10.0996510401721</v>
      </c>
    </row>
    <row r="97" s="7" customFormat="true" ht="15" hidden="false" customHeight="false" outlineLevel="0" collapsed="false">
      <c r="A97" s="12"/>
      <c r="B97" s="13"/>
      <c r="C97" s="8" t="n">
        <v>41943</v>
      </c>
      <c r="D97" s="7" t="n">
        <v>14.2</v>
      </c>
      <c r="E97" s="7" t="n">
        <v>8.4</v>
      </c>
      <c r="F97" s="7" t="n">
        <v>21.9</v>
      </c>
      <c r="G97" s="7" t="n">
        <f aca="false">G96+D97</f>
        <v>780.9</v>
      </c>
      <c r="J97" s="7" t="n">
        <v>0.1</v>
      </c>
      <c r="K97" s="7" t="n">
        <f aca="false">K96+J97</f>
        <v>99.9</v>
      </c>
      <c r="L97" s="7" t="n">
        <v>2.1</v>
      </c>
      <c r="M97" s="7" t="n">
        <f aca="false">M96+L97</f>
        <v>96.5</v>
      </c>
      <c r="N97" s="9" t="n">
        <v>-2</v>
      </c>
      <c r="O97" s="7" t="n">
        <f aca="false">O96+N97</f>
        <v>52.7</v>
      </c>
      <c r="P97" s="7" t="n">
        <v>53</v>
      </c>
      <c r="Q97" s="7" t="n">
        <f aca="false">0.35+((P97-8)/74)*(1-0.35)</f>
        <v>0.74527027027027</v>
      </c>
      <c r="R97" s="10" t="n">
        <f aca="false">Q97*L97</f>
        <v>1.56506756756757</v>
      </c>
      <c r="S97" s="10" t="n">
        <f aca="false">J97-R97</f>
        <v>-1.46506756756757</v>
      </c>
      <c r="T97" s="10" t="n">
        <f aca="false">MIN(138.9,(T96+S97))</f>
        <v>65.5919594594595</v>
      </c>
      <c r="V97" s="7" t="n">
        <v>973.5</v>
      </c>
      <c r="X97" s="7" t="n">
        <f aca="false">X96+V97</f>
        <v>49490</v>
      </c>
      <c r="AA97" s="7" t="n">
        <v>10.0480369337559</v>
      </c>
    </row>
    <row r="98" s="7" customFormat="true" ht="15" hidden="false" customHeight="false" outlineLevel="0" collapsed="false">
      <c r="A98" s="12"/>
      <c r="B98" s="13"/>
      <c r="C98" s="8" t="n">
        <v>41944</v>
      </c>
      <c r="D98" s="7" t="n">
        <v>13.9</v>
      </c>
      <c r="E98" s="7" t="n">
        <v>9.2</v>
      </c>
      <c r="F98" s="7" t="n">
        <v>18.8</v>
      </c>
      <c r="G98" s="7" t="n">
        <f aca="false">G97+D98</f>
        <v>794.8</v>
      </c>
      <c r="J98" s="7" t="n">
        <v>0</v>
      </c>
      <c r="K98" s="7" t="n">
        <f aca="false">K97+J98</f>
        <v>99.9</v>
      </c>
      <c r="L98" s="7" t="n">
        <v>1.7</v>
      </c>
      <c r="M98" s="7" t="n">
        <f aca="false">M97+L98</f>
        <v>98.2</v>
      </c>
      <c r="N98" s="9" t="n">
        <v>-1.7</v>
      </c>
      <c r="O98" s="7" t="n">
        <f aca="false">O97+N98</f>
        <v>51</v>
      </c>
      <c r="P98" s="7" t="n">
        <v>54</v>
      </c>
      <c r="Q98" s="7" t="n">
        <f aca="false">0.35+((P98-8)/74)*(1-0.35)</f>
        <v>0.754054054054054</v>
      </c>
      <c r="R98" s="10" t="n">
        <f aca="false">Q98*L98</f>
        <v>1.28189189189189</v>
      </c>
      <c r="S98" s="10" t="n">
        <f aca="false">J98-R98</f>
        <v>-1.28189189189189</v>
      </c>
      <c r="T98" s="10" t="n">
        <f aca="false">MIN(138.9,(T97+S98))</f>
        <v>64.3100675675676</v>
      </c>
      <c r="V98" s="7" t="n">
        <v>1002.3</v>
      </c>
      <c r="X98" s="7" t="n">
        <f aca="false">X97+V98</f>
        <v>50492.3</v>
      </c>
      <c r="AA98" s="7" t="n">
        <v>9.99679160144174</v>
      </c>
    </row>
    <row r="99" s="7" customFormat="true" ht="15" hidden="false" customHeight="false" outlineLevel="0" collapsed="false">
      <c r="A99" s="12"/>
      <c r="B99" s="13"/>
      <c r="C99" s="8" t="n">
        <v>41945</v>
      </c>
      <c r="D99" s="7" t="n">
        <v>13.9</v>
      </c>
      <c r="E99" s="7" t="n">
        <v>11.5</v>
      </c>
      <c r="F99" s="7" t="n">
        <v>16</v>
      </c>
      <c r="G99" s="7" t="n">
        <f aca="false">G98+D99</f>
        <v>808.7</v>
      </c>
      <c r="J99" s="7" t="n">
        <v>1.6</v>
      </c>
      <c r="K99" s="7" t="n">
        <f aca="false">K98+J99</f>
        <v>101.5</v>
      </c>
      <c r="L99" s="7" t="n">
        <v>0.5</v>
      </c>
      <c r="M99" s="7" t="n">
        <f aca="false">M98+L99</f>
        <v>98.7</v>
      </c>
      <c r="N99" s="7" t="n">
        <v>1.1</v>
      </c>
      <c r="O99" s="7" t="n">
        <f aca="false">O98+N99</f>
        <v>52.1</v>
      </c>
      <c r="P99" s="7" t="n">
        <v>55</v>
      </c>
      <c r="Q99" s="7" t="n">
        <f aca="false">0.35+((P99-8)/74)*(1-0.35)</f>
        <v>0.762837837837838</v>
      </c>
      <c r="R99" s="10" t="n">
        <f aca="false">Q99*L99</f>
        <v>0.381418918918919</v>
      </c>
      <c r="S99" s="10" t="n">
        <f aca="false">J99-R99</f>
        <v>1.21858108108108</v>
      </c>
      <c r="T99" s="10" t="n">
        <f aca="false">MIN(138.9,(T98+S99))</f>
        <v>65.5286486486487</v>
      </c>
      <c r="V99" s="7" t="n">
        <v>348.5</v>
      </c>
      <c r="X99" s="7" t="n">
        <f aca="false">X98+V99</f>
        <v>50840.8</v>
      </c>
      <c r="AA99" s="7" t="n">
        <v>9.94593391908566</v>
      </c>
    </row>
    <row r="100" s="7" customFormat="true" ht="15" hidden="false" customHeight="false" outlineLevel="0" collapsed="false">
      <c r="A100" s="12"/>
      <c r="B100" s="13"/>
      <c r="C100" s="8" t="n">
        <v>41946</v>
      </c>
      <c r="D100" s="7" t="n">
        <v>12.3</v>
      </c>
      <c r="E100" s="7" t="n">
        <v>11.6</v>
      </c>
      <c r="F100" s="7" t="n">
        <v>14.5</v>
      </c>
      <c r="G100" s="7" t="n">
        <f aca="false">G99+D100</f>
        <v>821</v>
      </c>
      <c r="J100" s="7" t="n">
        <v>16.3</v>
      </c>
      <c r="K100" s="7" t="n">
        <f aca="false">K99+J100</f>
        <v>117.8</v>
      </c>
      <c r="L100" s="7" t="n">
        <v>1</v>
      </c>
      <c r="M100" s="7" t="n">
        <f aca="false">M99+L100</f>
        <v>99.7</v>
      </c>
      <c r="N100" s="7" t="n">
        <v>15.3</v>
      </c>
      <c r="O100" s="7" t="n">
        <f aca="false">O99+N100</f>
        <v>67.4</v>
      </c>
      <c r="P100" s="7" t="n">
        <v>56</v>
      </c>
      <c r="Q100" s="7" t="n">
        <f aca="false">0.35+((P100-8)/74)*(1-0.35)</f>
        <v>0.771621621621622</v>
      </c>
      <c r="R100" s="10" t="n">
        <f aca="false">Q100*L100</f>
        <v>0.771621621621622</v>
      </c>
      <c r="S100" s="10" t="n">
        <f aca="false">J100-R100</f>
        <v>15.5283783783784</v>
      </c>
      <c r="T100" s="10" t="n">
        <f aca="false">MIN(138.9,(T99+S100))</f>
        <v>81.057027027027</v>
      </c>
      <c r="V100" s="7" t="n">
        <v>224.5</v>
      </c>
      <c r="X100" s="7" t="n">
        <f aca="false">X99+V100</f>
        <v>51065.3</v>
      </c>
      <c r="AA100" s="7" t="n">
        <v>9.89548338133397</v>
      </c>
    </row>
    <row r="101" s="7" customFormat="true" ht="15" hidden="false" customHeight="false" outlineLevel="0" collapsed="false">
      <c r="A101" s="12"/>
      <c r="B101" s="13"/>
      <c r="C101" s="8" t="n">
        <v>41947</v>
      </c>
      <c r="D101" s="7" t="n">
        <v>8.8</v>
      </c>
      <c r="E101" s="7" t="n">
        <v>8.3</v>
      </c>
      <c r="F101" s="7" t="n">
        <v>11.9</v>
      </c>
      <c r="G101" s="7" t="n">
        <f aca="false">G100+D101</f>
        <v>829.8</v>
      </c>
      <c r="J101" s="7" t="n">
        <v>0.1</v>
      </c>
      <c r="K101" s="7" t="n">
        <f aca="false">K100+J101</f>
        <v>117.9</v>
      </c>
      <c r="L101" s="7" t="n">
        <v>1</v>
      </c>
      <c r="M101" s="7" t="n">
        <f aca="false">M100+L101</f>
        <v>100.7</v>
      </c>
      <c r="N101" s="9" t="n">
        <v>-0.9</v>
      </c>
      <c r="O101" s="7" t="n">
        <f aca="false">O100+N101</f>
        <v>66.5</v>
      </c>
      <c r="P101" s="7" t="n">
        <v>57</v>
      </c>
      <c r="Q101" s="7" t="n">
        <f aca="false">0.35+((P101-8)/74)*(1-0.35)</f>
        <v>0.780405405405406</v>
      </c>
      <c r="R101" s="10" t="n">
        <f aca="false">Q101*L101</f>
        <v>0.780405405405406</v>
      </c>
      <c r="S101" s="10" t="n">
        <f aca="false">J101-R101</f>
        <v>-0.680405405405406</v>
      </c>
      <c r="T101" s="10" t="n">
        <f aca="false">MIN(138.9,(T100+S101))</f>
        <v>80.3766216216216</v>
      </c>
      <c r="V101" s="7" t="n">
        <v>747.5</v>
      </c>
      <c r="X101" s="7" t="n">
        <f aca="false">X100+V101</f>
        <v>51812.8</v>
      </c>
      <c r="AA101" s="7" t="n">
        <v>9.84546010437741</v>
      </c>
    </row>
    <row r="102" s="7" customFormat="true" ht="15" hidden="false" customHeight="false" outlineLevel="0" collapsed="false">
      <c r="A102" s="12"/>
      <c r="B102" s="13"/>
      <c r="C102" s="8" t="n">
        <v>41948</v>
      </c>
      <c r="D102" s="7" t="n">
        <v>5.9</v>
      </c>
      <c r="E102" s="7" t="n">
        <v>2.3</v>
      </c>
      <c r="F102" s="7" t="n">
        <v>10.4</v>
      </c>
      <c r="G102" s="7" t="n">
        <f aca="false">G101+D102</f>
        <v>835.7</v>
      </c>
      <c r="J102" s="7" t="n">
        <v>2</v>
      </c>
      <c r="K102" s="7" t="n">
        <f aca="false">K101+J102</f>
        <v>119.9</v>
      </c>
      <c r="L102" s="7" t="n">
        <v>0.8</v>
      </c>
      <c r="M102" s="7" t="n">
        <f aca="false">M101+L102</f>
        <v>101.5</v>
      </c>
      <c r="N102" s="7" t="n">
        <v>1.2</v>
      </c>
      <c r="O102" s="7" t="n">
        <f aca="false">O101+N102</f>
        <v>67.7</v>
      </c>
      <c r="P102" s="7" t="n">
        <v>58</v>
      </c>
      <c r="Q102" s="7" t="n">
        <f aca="false">0.35+((P102-8)/74)*(1-0.35)</f>
        <v>0.789189189189189</v>
      </c>
      <c r="R102" s="10" t="n">
        <f aca="false">Q102*L102</f>
        <v>0.631351351351351</v>
      </c>
      <c r="S102" s="10" t="n">
        <f aca="false">J102-R102</f>
        <v>1.36864864864865</v>
      </c>
      <c r="T102" s="10" t="n">
        <f aca="false">MIN(138.9,(T101+S102))</f>
        <v>81.7452702702703</v>
      </c>
      <c r="V102" s="7" t="n">
        <v>621.2</v>
      </c>
      <c r="X102" s="7" t="n">
        <f aca="false">X101+V102</f>
        <v>52434</v>
      </c>
      <c r="AA102" s="7" t="n">
        <v>9.79588482685372</v>
      </c>
    </row>
    <row r="103" s="7" customFormat="true" ht="15" hidden="false" customHeight="false" outlineLevel="0" collapsed="false">
      <c r="A103" s="12"/>
      <c r="B103" s="13"/>
      <c r="C103" s="8" t="n">
        <v>41949</v>
      </c>
      <c r="D103" s="7" t="n">
        <v>6</v>
      </c>
      <c r="E103" s="7" t="n">
        <v>0.5</v>
      </c>
      <c r="F103" s="7" t="n">
        <v>10.4</v>
      </c>
      <c r="G103" s="7" t="n">
        <f aca="false">G102+D103</f>
        <v>841.7</v>
      </c>
      <c r="J103" s="7" t="n">
        <v>0.6</v>
      </c>
      <c r="K103" s="7" t="n">
        <f aca="false">K102+J103</f>
        <v>120.5</v>
      </c>
      <c r="L103" s="7" t="n">
        <v>0.5</v>
      </c>
      <c r="M103" s="7" t="n">
        <f aca="false">M102+L103</f>
        <v>102</v>
      </c>
      <c r="N103" s="7" t="n">
        <v>0.1</v>
      </c>
      <c r="O103" s="7" t="n">
        <f aca="false">O102+N103</f>
        <v>67.8</v>
      </c>
      <c r="P103" s="7" t="n">
        <v>59</v>
      </c>
      <c r="Q103" s="7" t="n">
        <f aca="false">0.35+((P103-8)/74)*(1-0.35)</f>
        <v>0.797972972972973</v>
      </c>
      <c r="R103" s="10" t="n">
        <f aca="false">Q103*L103</f>
        <v>0.398986486486487</v>
      </c>
      <c r="S103" s="10" t="n">
        <f aca="false">J103-R103</f>
        <v>0.201013513513514</v>
      </c>
      <c r="T103" s="10" t="n">
        <f aca="false">MIN(138.9,(T102+S103))</f>
        <v>81.9462837837838</v>
      </c>
      <c r="V103" s="7" t="n">
        <v>546.8</v>
      </c>
      <c r="X103" s="7" t="n">
        <f aca="false">X102+V103</f>
        <v>52980.8</v>
      </c>
      <c r="AA103" s="7" t="n">
        <v>9.74677890875502</v>
      </c>
    </row>
    <row r="104" s="7" customFormat="true" ht="15" hidden="false" customHeight="false" outlineLevel="0" collapsed="false">
      <c r="A104" s="12"/>
      <c r="B104" s="13"/>
      <c r="C104" s="8" t="n">
        <v>41950</v>
      </c>
      <c r="D104" s="7" t="n">
        <v>10.1</v>
      </c>
      <c r="E104" s="7" t="n">
        <v>7.5</v>
      </c>
      <c r="F104" s="7" t="n">
        <v>14</v>
      </c>
      <c r="G104" s="7" t="n">
        <f aca="false">G103+D104</f>
        <v>851.8</v>
      </c>
      <c r="J104" s="7" t="n">
        <v>0.5</v>
      </c>
      <c r="K104" s="7" t="n">
        <f aca="false">K103+J104</f>
        <v>121</v>
      </c>
      <c r="L104" s="7" t="n">
        <v>1.3</v>
      </c>
      <c r="M104" s="7" t="n">
        <f aca="false">M103+L104</f>
        <v>103.3</v>
      </c>
      <c r="N104" s="9" t="n">
        <v>-0.8</v>
      </c>
      <c r="O104" s="7" t="n">
        <f aca="false">O103+N104</f>
        <v>67</v>
      </c>
      <c r="P104" s="7" t="n">
        <v>60</v>
      </c>
      <c r="Q104" s="7" t="n">
        <f aca="false">0.35+((P104-8)/74)*(1-0.35)</f>
        <v>0.806756756756757</v>
      </c>
      <c r="R104" s="10" t="n">
        <f aca="false">Q104*L104</f>
        <v>1.04878378378378</v>
      </c>
      <c r="S104" s="10" t="n">
        <f aca="false">J104-R104</f>
        <v>-0.548783783783784</v>
      </c>
      <c r="T104" s="10" t="n">
        <f aca="false">MIN(138.9,(T103+S104))</f>
        <v>81.3975</v>
      </c>
      <c r="V104" s="7" t="n">
        <v>392.3</v>
      </c>
      <c r="X104" s="7" t="n">
        <f aca="false">X103+V104</f>
        <v>53373.1</v>
      </c>
      <c r="AA104" s="7" t="n">
        <v>9.69816432819347</v>
      </c>
    </row>
    <row r="105" s="7" customFormat="true" ht="15" hidden="false" customHeight="false" outlineLevel="0" collapsed="false">
      <c r="A105" s="12"/>
      <c r="B105" s="13"/>
      <c r="C105" s="8" t="n">
        <v>41951</v>
      </c>
      <c r="D105" s="7" t="n">
        <v>10.9</v>
      </c>
      <c r="E105" s="7" t="n">
        <v>8</v>
      </c>
      <c r="F105" s="7" t="n">
        <v>14.3</v>
      </c>
      <c r="G105" s="7" t="n">
        <f aca="false">G104+D105</f>
        <v>862.7</v>
      </c>
      <c r="J105" s="7" t="n">
        <v>0.4</v>
      </c>
      <c r="K105" s="7" t="n">
        <f aca="false">K104+J105</f>
        <v>121.4</v>
      </c>
      <c r="L105" s="7" t="n">
        <v>1</v>
      </c>
      <c r="M105" s="7" t="n">
        <f aca="false">M104+L105</f>
        <v>104.3</v>
      </c>
      <c r="N105" s="9" t="n">
        <v>-0.6</v>
      </c>
      <c r="O105" s="7" t="n">
        <f aca="false">O104+N105</f>
        <v>66.4</v>
      </c>
      <c r="P105" s="7" t="n">
        <v>61</v>
      </c>
      <c r="Q105" s="7" t="n">
        <f aca="false">0.35+((P105-8)/74)*(1-0.35)</f>
        <v>0.815540540540541</v>
      </c>
      <c r="R105" s="10" t="n">
        <f aca="false">Q105*L105</f>
        <v>0.815540540540541</v>
      </c>
      <c r="S105" s="10" t="n">
        <f aca="false">J105-R105</f>
        <v>-0.41554054054054</v>
      </c>
      <c r="T105" s="10" t="n">
        <f aca="false">MIN(138.9,(T104+S105))</f>
        <v>80.9819594594595</v>
      </c>
      <c r="V105" s="7" t="n">
        <v>392.6</v>
      </c>
      <c r="X105" s="7" t="n">
        <f aca="false">X104+V105</f>
        <v>53765.7</v>
      </c>
      <c r="AA105" s="7" t="n">
        <v>9.6500636758767</v>
      </c>
    </row>
    <row r="106" s="7" customFormat="true" ht="15" hidden="false" customHeight="false" outlineLevel="0" collapsed="false">
      <c r="A106" s="12"/>
      <c r="B106" s="13"/>
      <c r="C106" s="8" t="n">
        <v>41952</v>
      </c>
      <c r="D106" s="7" t="n">
        <v>9.4</v>
      </c>
      <c r="E106" s="7" t="n">
        <v>8.8</v>
      </c>
      <c r="F106" s="7" t="n">
        <v>11.9</v>
      </c>
      <c r="G106" s="7" t="n">
        <f aca="false">G105+D106</f>
        <v>872.1</v>
      </c>
      <c r="J106" s="7" t="n">
        <v>0</v>
      </c>
      <c r="K106" s="7" t="n">
        <f aca="false">K105+J106</f>
        <v>121.4</v>
      </c>
      <c r="L106" s="7" t="n">
        <v>0.7</v>
      </c>
      <c r="M106" s="7" t="n">
        <f aca="false">M105+L106</f>
        <v>105</v>
      </c>
      <c r="N106" s="9" t="n">
        <v>-0.7</v>
      </c>
      <c r="O106" s="7" t="n">
        <f aca="false">O105+N106</f>
        <v>65.7</v>
      </c>
      <c r="P106" s="7" t="n">
        <v>62</v>
      </c>
      <c r="Q106" s="7" t="n">
        <f aca="false">0.35+((P106-8)/74)*(1-0.35)</f>
        <v>0.824324324324324</v>
      </c>
      <c r="R106" s="10" t="n">
        <f aca="false">Q106*L106</f>
        <v>0.577027027027027</v>
      </c>
      <c r="S106" s="10" t="n">
        <f aca="false">J106-R106</f>
        <v>-0.577027027027027</v>
      </c>
      <c r="T106" s="10" t="n">
        <f aca="false">MIN(138.9,(T105+S106))</f>
        <v>80.4049324324324</v>
      </c>
      <c r="V106" s="7" t="n">
        <v>262.1</v>
      </c>
      <c r="X106" s="7" t="n">
        <f aca="false">X105+V106</f>
        <v>54027.8</v>
      </c>
      <c r="AA106" s="7" t="n">
        <v>9.60250014714407</v>
      </c>
    </row>
    <row r="107" s="7" customFormat="true" ht="15" hidden="false" customHeight="false" outlineLevel="0" collapsed="false">
      <c r="A107" s="12"/>
      <c r="B107" s="13"/>
      <c r="C107" s="8" t="n">
        <v>41953</v>
      </c>
      <c r="D107" s="7" t="n">
        <v>6.7</v>
      </c>
      <c r="E107" s="7" t="n">
        <v>4</v>
      </c>
      <c r="F107" s="7" t="n">
        <v>9.8</v>
      </c>
      <c r="G107" s="7" t="n">
        <f aca="false">G106+D107</f>
        <v>878.8</v>
      </c>
      <c r="J107" s="7" t="n">
        <v>0.1</v>
      </c>
      <c r="K107" s="7" t="n">
        <f aca="false">K106+J107</f>
        <v>121.5</v>
      </c>
      <c r="L107" s="7" t="n">
        <v>0.4</v>
      </c>
      <c r="M107" s="7" t="n">
        <f aca="false">M106+L107</f>
        <v>105.4</v>
      </c>
      <c r="N107" s="9" t="n">
        <v>-0.3</v>
      </c>
      <c r="O107" s="7" t="n">
        <f aca="false">O106+N107</f>
        <v>65.4</v>
      </c>
      <c r="P107" s="7" t="n">
        <v>63</v>
      </c>
      <c r="Q107" s="7" t="n">
        <f aca="false">0.35+((P107-8)/74)*(1-0.35)</f>
        <v>0.833108108108108</v>
      </c>
      <c r="R107" s="10" t="n">
        <f aca="false">Q107*L107</f>
        <v>0.333243243243243</v>
      </c>
      <c r="S107" s="10" t="n">
        <f aca="false">J107-R107</f>
        <v>-0.233243243243243</v>
      </c>
      <c r="T107" s="10" t="n">
        <f aca="false">MIN(138.9,(T106+S107))</f>
        <v>80.1716891891892</v>
      </c>
      <c r="V107" s="7" t="n">
        <v>272.2</v>
      </c>
      <c r="X107" s="7" t="n">
        <f aca="false">X106+V107</f>
        <v>54300</v>
      </c>
      <c r="AA107" s="7" t="n">
        <v>9.55549753141474</v>
      </c>
    </row>
    <row r="108" s="7" customFormat="true" ht="15" hidden="false" customHeight="false" outlineLevel="0" collapsed="false">
      <c r="A108" s="12"/>
      <c r="B108" s="13"/>
      <c r="C108" s="8" t="n">
        <v>41954</v>
      </c>
      <c r="D108" s="7" t="n">
        <v>9.4</v>
      </c>
      <c r="E108" s="7" t="n">
        <v>4.8</v>
      </c>
      <c r="F108" s="7" t="n">
        <v>13.1</v>
      </c>
      <c r="G108" s="7" t="n">
        <f aca="false">G107+D108</f>
        <v>888.2</v>
      </c>
      <c r="J108" s="7" t="n">
        <v>0.7</v>
      </c>
      <c r="K108" s="7" t="n">
        <f aca="false">K107+J108</f>
        <v>122.2</v>
      </c>
      <c r="L108" s="7" t="n">
        <v>0.7</v>
      </c>
      <c r="M108" s="7" t="n">
        <f aca="false">M107+L108</f>
        <v>106.1</v>
      </c>
      <c r="N108" s="9" t="n">
        <v>0</v>
      </c>
      <c r="O108" s="7" t="n">
        <f aca="false">O107+N108</f>
        <v>65.4</v>
      </c>
      <c r="P108" s="7" t="n">
        <v>64</v>
      </c>
      <c r="Q108" s="7" t="n">
        <f aca="false">0.35+((P108-8)/74)*(1-0.35)</f>
        <v>0.841891891891892</v>
      </c>
      <c r="R108" s="10" t="n">
        <f aca="false">Q108*L108</f>
        <v>0.589324324324324</v>
      </c>
      <c r="S108" s="10" t="n">
        <f aca="false">J108-R108</f>
        <v>0.110675675675676</v>
      </c>
      <c r="T108" s="10" t="n">
        <f aca="false">MIN(138.9,(T107+S108))</f>
        <v>80.2823648648649</v>
      </c>
      <c r="V108" s="7" t="n">
        <v>229.6</v>
      </c>
      <c r="X108" s="7" t="n">
        <f aca="false">X107+V108</f>
        <v>54529.6</v>
      </c>
      <c r="AA108" s="7" t="n">
        <v>9.5090801989007</v>
      </c>
    </row>
    <row r="109" s="7" customFormat="true" ht="15" hidden="false" customHeight="false" outlineLevel="0" collapsed="false">
      <c r="A109" s="12"/>
      <c r="B109" s="13"/>
      <c r="C109" s="8" t="n">
        <v>41955</v>
      </c>
      <c r="D109" s="7" t="n">
        <v>10.4</v>
      </c>
      <c r="E109" s="7" t="n">
        <v>8.9</v>
      </c>
      <c r="F109" s="7" t="n">
        <v>14</v>
      </c>
      <c r="G109" s="7" t="n">
        <f aca="false">G108+D109</f>
        <v>898.6</v>
      </c>
      <c r="J109" s="7" t="n">
        <v>0.2</v>
      </c>
      <c r="K109" s="7" t="n">
        <f aca="false">K108+J109</f>
        <v>122.4</v>
      </c>
      <c r="L109" s="7" t="n">
        <v>1.3</v>
      </c>
      <c r="M109" s="7" t="n">
        <f aca="false">M108+L109</f>
        <v>107.4</v>
      </c>
      <c r="N109" s="9" t="n">
        <v>-1.1</v>
      </c>
      <c r="O109" s="7" t="n">
        <f aca="false">O108+N109</f>
        <v>64.3</v>
      </c>
      <c r="P109" s="7" t="n">
        <v>65</v>
      </c>
      <c r="Q109" s="7" t="n">
        <f aca="false">0.35+((P109-8)/74)*(1-0.35)</f>
        <v>0.850675675675676</v>
      </c>
      <c r="R109" s="10" t="n">
        <f aca="false">Q109*L109</f>
        <v>1.10587837837838</v>
      </c>
      <c r="S109" s="10" t="n">
        <f aca="false">J109-R109</f>
        <v>-0.905878378378379</v>
      </c>
      <c r="T109" s="10" t="n">
        <f aca="false">MIN(138.9,(T108+S109))</f>
        <v>79.3764864864865</v>
      </c>
      <c r="V109" s="7" t="n">
        <v>700</v>
      </c>
      <c r="X109" s="7" t="n">
        <f aca="false">X108+V109</f>
        <v>55229.6</v>
      </c>
      <c r="AA109" s="7" t="n">
        <v>9.46327308444079</v>
      </c>
    </row>
    <row r="110" s="7" customFormat="true" ht="15" hidden="false" customHeight="false" outlineLevel="0" collapsed="false">
      <c r="A110" s="12"/>
      <c r="B110" s="13"/>
      <c r="C110" s="8" t="n">
        <v>41956</v>
      </c>
      <c r="D110" s="7" t="n">
        <v>10</v>
      </c>
      <c r="E110" s="7" t="n">
        <v>6</v>
      </c>
      <c r="F110" s="7" t="n">
        <v>13.4</v>
      </c>
      <c r="G110" s="7" t="n">
        <f aca="false">G109+D110</f>
        <v>908.6</v>
      </c>
      <c r="J110" s="7" t="n">
        <v>0</v>
      </c>
      <c r="K110" s="7" t="n">
        <f aca="false">K109+J110</f>
        <v>122.4</v>
      </c>
      <c r="L110" s="7" t="n">
        <v>0.8</v>
      </c>
      <c r="M110" s="7" t="n">
        <f aca="false">M109+L110</f>
        <v>108.2</v>
      </c>
      <c r="N110" s="9" t="n">
        <v>-0.8</v>
      </c>
      <c r="O110" s="7" t="n">
        <f aca="false">O109+N110</f>
        <v>63.5</v>
      </c>
      <c r="P110" s="7" t="n">
        <v>66</v>
      </c>
      <c r="Q110" s="7" t="n">
        <f aca="false">0.35+((P110-8)/74)*(1-0.35)</f>
        <v>0.85945945945946</v>
      </c>
      <c r="R110" s="10" t="n">
        <f aca="false">Q110*L110</f>
        <v>0.687567567567568</v>
      </c>
      <c r="S110" s="10" t="n">
        <f aca="false">J110-R110</f>
        <v>-0.687567567567568</v>
      </c>
      <c r="T110" s="10" t="n">
        <f aca="false">MIN(138.9,(T109+S110))</f>
        <v>78.6889189189189</v>
      </c>
      <c r="V110" s="7" t="n">
        <v>561.8</v>
      </c>
      <c r="X110" s="7" t="n">
        <f aca="false">X109+V110</f>
        <v>55791.4</v>
      </c>
      <c r="AA110" s="7" t="n">
        <v>9.41810166831688</v>
      </c>
    </row>
    <row r="111" s="7" customFormat="true" ht="15" hidden="false" customHeight="false" outlineLevel="0" collapsed="false">
      <c r="A111" s="12"/>
      <c r="B111" s="13"/>
      <c r="C111" s="8" t="n">
        <v>41957</v>
      </c>
      <c r="D111" s="7" t="n">
        <v>10.4</v>
      </c>
      <c r="E111" s="7" t="n">
        <v>9.7</v>
      </c>
      <c r="F111" s="7" t="n">
        <v>11.6</v>
      </c>
      <c r="G111" s="7" t="n">
        <f aca="false">G110+D111</f>
        <v>919</v>
      </c>
      <c r="J111" s="7" t="n">
        <v>4.5</v>
      </c>
      <c r="K111" s="7" t="n">
        <f aca="false">K110+J111</f>
        <v>126.9</v>
      </c>
      <c r="L111" s="7" t="n">
        <v>0.4</v>
      </c>
      <c r="M111" s="7" t="n">
        <f aca="false">M110+L111</f>
        <v>108.6</v>
      </c>
      <c r="N111" s="7" t="n">
        <v>4.1</v>
      </c>
      <c r="O111" s="7" t="n">
        <f aca="false">O110+N111</f>
        <v>67.6</v>
      </c>
      <c r="P111" s="7" t="n">
        <v>67</v>
      </c>
      <c r="Q111" s="7" t="n">
        <f aca="false">0.35+((P111-8)/74)*(1-0.35)</f>
        <v>0.868243243243243</v>
      </c>
      <c r="R111" s="10" t="n">
        <f aca="false">Q111*L111</f>
        <v>0.347297297297297</v>
      </c>
      <c r="S111" s="10" t="n">
        <f aca="false">J111-R111</f>
        <v>4.1527027027027</v>
      </c>
      <c r="T111" s="10" t="n">
        <f aca="false">MIN(138.9,(T110+S111))</f>
        <v>82.8416216216216</v>
      </c>
      <c r="V111" s="7" t="n">
        <v>203.5</v>
      </c>
      <c r="X111" s="7" t="n">
        <f aca="false">X110+V111</f>
        <v>55994.9</v>
      </c>
      <c r="AA111" s="7" t="n">
        <v>9.37359195391953</v>
      </c>
    </row>
    <row r="112" s="7" customFormat="true" ht="15" hidden="false" customHeight="false" outlineLevel="0" collapsed="false">
      <c r="A112" s="12"/>
      <c r="B112" s="13"/>
      <c r="C112" s="8" t="n">
        <v>41958</v>
      </c>
      <c r="D112" s="7" t="n">
        <v>10</v>
      </c>
      <c r="E112" s="7" t="n">
        <v>9.1</v>
      </c>
      <c r="F112" s="7" t="n">
        <v>12.2</v>
      </c>
      <c r="G112" s="7" t="n">
        <f aca="false">G111+D112</f>
        <v>929</v>
      </c>
      <c r="J112" s="7" t="n">
        <v>1</v>
      </c>
      <c r="K112" s="7" t="n">
        <f aca="false">K111+J112</f>
        <v>127.9</v>
      </c>
      <c r="L112" s="7" t="n">
        <v>0.6</v>
      </c>
      <c r="M112" s="7" t="n">
        <f aca="false">M111+L112</f>
        <v>109.2</v>
      </c>
      <c r="N112" s="7" t="n">
        <v>0.4</v>
      </c>
      <c r="O112" s="7" t="n">
        <f aca="false">O111+N112</f>
        <v>68</v>
      </c>
      <c r="P112" s="7" t="n">
        <v>68</v>
      </c>
      <c r="Q112" s="7" t="n">
        <f aca="false">0.35+((P112-8)/74)*(1-0.35)</f>
        <v>0.877027027027027</v>
      </c>
      <c r="R112" s="10" t="n">
        <f aca="false">Q112*L112</f>
        <v>0.526216216216216</v>
      </c>
      <c r="S112" s="10" t="n">
        <f aca="false">J112-R112</f>
        <v>0.473783783783784</v>
      </c>
      <c r="T112" s="10" t="n">
        <f aca="false">MIN(138.9,(T111+S112))</f>
        <v>83.3154054054054</v>
      </c>
      <c r="V112" s="7" t="n">
        <v>201</v>
      </c>
      <c r="X112" s="7" t="n">
        <f aca="false">X111+V112</f>
        <v>56195.9</v>
      </c>
      <c r="AA112" s="7" t="n">
        <v>9.32977044213943</v>
      </c>
    </row>
    <row r="113" s="7" customFormat="true" ht="15" hidden="false" customHeight="false" outlineLevel="0" collapsed="false">
      <c r="A113" s="12"/>
      <c r="B113" s="13"/>
      <c r="C113" s="8" t="n">
        <v>41959</v>
      </c>
      <c r="D113" s="7" t="n">
        <v>8.9</v>
      </c>
      <c r="E113" s="7" t="n">
        <v>8.1</v>
      </c>
      <c r="F113" s="7" t="n">
        <v>10.3</v>
      </c>
      <c r="G113" s="7" t="n">
        <f aca="false">G112+D113</f>
        <v>937.9</v>
      </c>
      <c r="J113" s="7" t="n">
        <v>7.2</v>
      </c>
      <c r="K113" s="7" t="n">
        <f aca="false">K112+J113</f>
        <v>135.1</v>
      </c>
      <c r="L113" s="7" t="n">
        <v>0.6</v>
      </c>
      <c r="M113" s="7" t="n">
        <f aca="false">M112+L113</f>
        <v>109.8</v>
      </c>
      <c r="N113" s="7" t="n">
        <v>6.6</v>
      </c>
      <c r="O113" s="7" t="n">
        <f aca="false">O112+N113</f>
        <v>74.6</v>
      </c>
      <c r="P113" s="7" t="n">
        <v>69</v>
      </c>
      <c r="Q113" s="7" t="n">
        <f aca="false">0.35+((P113-8)/74)*(1-0.35)</f>
        <v>0.885810810810811</v>
      </c>
      <c r="R113" s="10" t="n">
        <f aca="false">Q113*L113</f>
        <v>0.531486486486486</v>
      </c>
      <c r="S113" s="10" t="n">
        <f aca="false">J113-R113</f>
        <v>6.66851351351351</v>
      </c>
      <c r="T113" s="10" t="n">
        <f aca="false">MIN(138.9,(T112+S113))</f>
        <v>89.9839189189189</v>
      </c>
      <c r="V113" s="7" t="n">
        <v>142.3</v>
      </c>
      <c r="X113" s="7" t="n">
        <f aca="false">X112+V113</f>
        <v>56338.2</v>
      </c>
      <c r="AA113" s="7" t="n">
        <v>9.28666410237122</v>
      </c>
    </row>
    <row r="114" s="7" customFormat="true" ht="15" hidden="false" customHeight="false" outlineLevel="0" collapsed="false">
      <c r="A114" s="12"/>
      <c r="B114" s="13"/>
      <c r="C114" s="8" t="n">
        <v>41960</v>
      </c>
      <c r="D114" s="7" t="n">
        <v>8.6</v>
      </c>
      <c r="E114" s="7" t="n">
        <v>8.2</v>
      </c>
      <c r="F114" s="7" t="n">
        <v>9.7</v>
      </c>
      <c r="G114" s="7" t="n">
        <f aca="false">G113+D114</f>
        <v>946.5</v>
      </c>
      <c r="J114" s="7" t="n">
        <v>6.8</v>
      </c>
      <c r="K114" s="7" t="n">
        <f aca="false">K113+J114</f>
        <v>141.9</v>
      </c>
      <c r="L114" s="7" t="n">
        <v>0.3</v>
      </c>
      <c r="M114" s="7" t="n">
        <f aca="false">M113+L114</f>
        <v>110.1</v>
      </c>
      <c r="N114" s="7" t="n">
        <v>6.5</v>
      </c>
      <c r="O114" s="7" t="n">
        <f aca="false">O113+N114</f>
        <v>81.1</v>
      </c>
      <c r="P114" s="7" t="n">
        <v>70</v>
      </c>
      <c r="Q114" s="7" t="n">
        <f aca="false">0.35+((P114-8)/74)*(1-0.35)</f>
        <v>0.894594594594595</v>
      </c>
      <c r="R114" s="10" t="n">
        <f aca="false">Q114*L114</f>
        <v>0.268378378378378</v>
      </c>
      <c r="S114" s="10" t="n">
        <f aca="false">J114-R114</f>
        <v>6.53162162162162</v>
      </c>
      <c r="T114" s="10" t="n">
        <f aca="false">MIN(138.9,(T113+S114))</f>
        <v>96.5155405405405</v>
      </c>
      <c r="V114" s="7" t="n">
        <v>151.8</v>
      </c>
      <c r="X114" s="7" t="n">
        <f aca="false">X113+V114</f>
        <v>56490</v>
      </c>
      <c r="AA114" s="7" t="n">
        <v>9.24430034002895</v>
      </c>
    </row>
    <row r="115" s="7" customFormat="true" ht="15" hidden="false" customHeight="false" outlineLevel="0" collapsed="false">
      <c r="A115" s="12"/>
      <c r="B115" s="13"/>
      <c r="C115" s="8" t="n">
        <v>41961</v>
      </c>
      <c r="D115" s="7" t="n">
        <v>8.2</v>
      </c>
      <c r="E115" s="7" t="n">
        <v>7.7</v>
      </c>
      <c r="F115" s="7" t="n">
        <v>9.9</v>
      </c>
      <c r="G115" s="7" t="n">
        <f aca="false">G114+D115</f>
        <v>954.7</v>
      </c>
      <c r="J115" s="7" t="n">
        <v>2</v>
      </c>
      <c r="K115" s="7" t="n">
        <f aca="false">K114+J115</f>
        <v>143.9</v>
      </c>
      <c r="L115" s="7" t="n">
        <v>0.3</v>
      </c>
      <c r="M115" s="7" t="n">
        <f aca="false">M114+L115</f>
        <v>110.4</v>
      </c>
      <c r="N115" s="7" t="n">
        <v>1.7</v>
      </c>
      <c r="O115" s="7" t="n">
        <f aca="false">O114+N115</f>
        <v>82.8</v>
      </c>
      <c r="P115" s="7" t="n">
        <v>71</v>
      </c>
      <c r="Q115" s="7" t="n">
        <f aca="false">0.35+((P115-8)/74)*(1-0.35)</f>
        <v>0.903378378378378</v>
      </c>
      <c r="R115" s="10" t="n">
        <f aca="false">Q115*L115</f>
        <v>0.271013513513514</v>
      </c>
      <c r="S115" s="10" t="n">
        <f aca="false">J115-R115</f>
        <v>1.72898648648649</v>
      </c>
      <c r="T115" s="10" t="n">
        <f aca="false">MIN(138.9,(T114+S115))</f>
        <v>98.244527027027</v>
      </c>
      <c r="V115" s="7" t="n">
        <v>124.2</v>
      </c>
      <c r="X115" s="7" t="n">
        <f aca="false">X114+V115</f>
        <v>56614.2</v>
      </c>
      <c r="AA115" s="7" t="n">
        <v>9.20270696048749</v>
      </c>
    </row>
    <row r="116" s="7" customFormat="true" ht="15" hidden="false" customHeight="false" outlineLevel="0" collapsed="false">
      <c r="A116" s="12"/>
      <c r="B116" s="13"/>
      <c r="C116" s="8" t="n">
        <v>41962</v>
      </c>
      <c r="D116" s="7" t="n">
        <v>7.1</v>
      </c>
      <c r="E116" s="7" t="n">
        <v>5.7</v>
      </c>
      <c r="F116" s="7" t="n">
        <v>8.3</v>
      </c>
      <c r="G116" s="7" t="n">
        <f aca="false">G115+D116</f>
        <v>961.8</v>
      </c>
      <c r="J116" s="7" t="n">
        <v>0.2</v>
      </c>
      <c r="K116" s="7" t="n">
        <f aca="false">K115+J116</f>
        <v>144.1</v>
      </c>
      <c r="L116" s="7" t="n">
        <v>0.2</v>
      </c>
      <c r="M116" s="7" t="n">
        <f aca="false">M115+L116</f>
        <v>110.6</v>
      </c>
      <c r="N116" s="9" t="n">
        <v>0</v>
      </c>
      <c r="O116" s="7" t="n">
        <f aca="false">O115+N116</f>
        <v>82.8</v>
      </c>
      <c r="P116" s="7" t="n">
        <v>72</v>
      </c>
      <c r="Q116" s="7" t="n">
        <f aca="false">0.35+((P116-8)/74)*(1-0.35)</f>
        <v>0.912162162162162</v>
      </c>
      <c r="R116" s="10" t="n">
        <f aca="false">Q116*L116</f>
        <v>0.182432432432432</v>
      </c>
      <c r="S116" s="10" t="n">
        <f aca="false">J116-R116</f>
        <v>0.0175675675675676</v>
      </c>
      <c r="T116" s="10" t="n">
        <f aca="false">MIN(138.9,(T115+S116))</f>
        <v>98.2620945945946</v>
      </c>
      <c r="V116" s="7" t="n">
        <v>210.8</v>
      </c>
      <c r="X116" s="7" t="n">
        <f aca="false">X115+V116</f>
        <v>56825</v>
      </c>
      <c r="AA116" s="7" t="n">
        <v>9.16191212938166</v>
      </c>
    </row>
    <row r="117" s="7" customFormat="true" ht="15" hidden="false" customHeight="false" outlineLevel="0" collapsed="false">
      <c r="A117" s="12"/>
      <c r="B117" s="13"/>
      <c r="C117" s="8" t="n">
        <v>41963</v>
      </c>
      <c r="D117" s="7" t="n">
        <v>7.9</v>
      </c>
      <c r="E117" s="7" t="n">
        <v>6.4</v>
      </c>
      <c r="F117" s="7" t="n">
        <v>10</v>
      </c>
      <c r="G117" s="7" t="n">
        <f aca="false">G116+D117</f>
        <v>969.7</v>
      </c>
      <c r="J117" s="7" t="n">
        <v>0.1</v>
      </c>
      <c r="K117" s="7" t="n">
        <f aca="false">K116+J117</f>
        <v>144.2</v>
      </c>
      <c r="L117" s="7" t="n">
        <v>0.3</v>
      </c>
      <c r="M117" s="7" t="n">
        <f aca="false">M116+L117</f>
        <v>110.9</v>
      </c>
      <c r="N117" s="9" t="n">
        <v>-0.2</v>
      </c>
      <c r="O117" s="7" t="n">
        <f aca="false">O116+N117</f>
        <v>82.6</v>
      </c>
      <c r="P117" s="7" t="n">
        <v>73</v>
      </c>
      <c r="Q117" s="7" t="n">
        <f aca="false">0.35+((P117-8)/74)*(1-0.35)</f>
        <v>0.920945945945946</v>
      </c>
      <c r="R117" s="10" t="n">
        <f aca="false">Q117*L117</f>
        <v>0.276283783783784</v>
      </c>
      <c r="S117" s="10" t="n">
        <f aca="false">J117-R117</f>
        <v>-0.176283783783784</v>
      </c>
      <c r="T117" s="10" t="n">
        <f aca="false">MIN(138.9,(T116+S117))</f>
        <v>98.0858108108108</v>
      </c>
      <c r="V117" s="7" t="n">
        <v>241.4</v>
      </c>
      <c r="X117" s="7" t="n">
        <f aca="false">X116+V117</f>
        <v>57066.4</v>
      </c>
      <c r="AA117" s="7" t="n">
        <v>9.12194432921421</v>
      </c>
    </row>
    <row r="118" s="7" customFormat="true" ht="15" hidden="false" customHeight="false" outlineLevel="0" collapsed="false">
      <c r="A118" s="12"/>
      <c r="B118" s="13"/>
      <c r="C118" s="8" t="n">
        <v>41964</v>
      </c>
      <c r="D118" s="7" t="n">
        <v>7.9</v>
      </c>
      <c r="E118" s="7" t="n">
        <v>4.1</v>
      </c>
      <c r="F118" s="7" t="n">
        <v>11.4</v>
      </c>
      <c r="G118" s="7" t="n">
        <f aca="false">G117+D118</f>
        <v>977.6</v>
      </c>
      <c r="J118" s="7" t="n">
        <v>0.3</v>
      </c>
      <c r="K118" s="7" t="n">
        <f aca="false">K117+J118</f>
        <v>144.5</v>
      </c>
      <c r="L118" s="7" t="n">
        <v>0.9</v>
      </c>
      <c r="M118" s="7" t="n">
        <f aca="false">M117+L118</f>
        <v>111.8</v>
      </c>
      <c r="N118" s="9" t="n">
        <v>-0.6</v>
      </c>
      <c r="O118" s="7" t="n">
        <f aca="false">O117+N118</f>
        <v>82</v>
      </c>
      <c r="P118" s="7" t="n">
        <v>74</v>
      </c>
      <c r="Q118" s="7" t="n">
        <f aca="false">0.35+((P118-8)/74)*(1-0.35)</f>
        <v>0.92972972972973</v>
      </c>
      <c r="R118" s="10" t="n">
        <f aca="false">Q118*L118</f>
        <v>0.836756756756757</v>
      </c>
      <c r="S118" s="10" t="n">
        <f aca="false">J118-R118</f>
        <v>-0.536756756756757</v>
      </c>
      <c r="T118" s="10" t="n">
        <f aca="false">MIN(138.9,(T117+S118))</f>
        <v>97.5490540540541</v>
      </c>
      <c r="V118" s="7" t="n">
        <v>569</v>
      </c>
      <c r="X118" s="7" t="n">
        <f aca="false">X117+V118</f>
        <v>57635.4</v>
      </c>
      <c r="AA118" s="7" t="n">
        <v>9.08283231224625</v>
      </c>
    </row>
    <row r="119" s="7" customFormat="true" ht="15" hidden="false" customHeight="false" outlineLevel="0" collapsed="false">
      <c r="A119" s="12"/>
      <c r="B119" s="13"/>
      <c r="C119" s="8" t="n">
        <v>41965</v>
      </c>
      <c r="D119" s="7" t="n">
        <v>10</v>
      </c>
      <c r="E119" s="7" t="n">
        <v>6</v>
      </c>
      <c r="F119" s="7" t="n">
        <v>14.5</v>
      </c>
      <c r="G119" s="7" t="n">
        <f aca="false">G118+D119</f>
        <v>987.6</v>
      </c>
      <c r="J119" s="7" t="n">
        <v>0.2</v>
      </c>
      <c r="K119" s="7" t="n">
        <f aca="false">K118+J119</f>
        <v>144.7</v>
      </c>
      <c r="L119" s="7" t="n">
        <v>0.7</v>
      </c>
      <c r="M119" s="7" t="n">
        <f aca="false">M118+L119</f>
        <v>112.5</v>
      </c>
      <c r="N119" s="9" t="n">
        <v>-0.5</v>
      </c>
      <c r="O119" s="7" t="n">
        <f aca="false">O118+N119</f>
        <v>81.5</v>
      </c>
      <c r="P119" s="7" t="n">
        <v>75</v>
      </c>
      <c r="Q119" s="7" t="n">
        <f aca="false">0.35+((P119-8)/74)*(1-0.35)</f>
        <v>0.938513513513514</v>
      </c>
      <c r="R119" s="10" t="n">
        <f aca="false">Q119*L119</f>
        <v>0.656959459459459</v>
      </c>
      <c r="S119" s="10" t="n">
        <f aca="false">J119-R119</f>
        <v>-0.456959459459459</v>
      </c>
      <c r="T119" s="10" t="n">
        <f aca="false">MIN(138.9,(T118+S119))</f>
        <v>97.0920945945946</v>
      </c>
      <c r="V119" s="7" t="n">
        <v>292.6</v>
      </c>
      <c r="X119" s="7" t="n">
        <f aca="false">X118+V119</f>
        <v>57928</v>
      </c>
      <c r="AA119" s="7" t="n">
        <v>9.0446050496683</v>
      </c>
    </row>
    <row r="120" s="7" customFormat="true" ht="15" hidden="false" customHeight="false" outlineLevel="0" collapsed="false">
      <c r="A120" s="12"/>
      <c r="B120" s="13"/>
      <c r="C120" s="8" t="n">
        <v>41966</v>
      </c>
      <c r="D120" s="7" t="n">
        <v>11.9</v>
      </c>
      <c r="E120" s="7" t="n">
        <v>7.8</v>
      </c>
      <c r="F120" s="7" t="n">
        <v>16.2</v>
      </c>
      <c r="G120" s="7" t="n">
        <f aca="false">G119+D120</f>
        <v>999.5</v>
      </c>
      <c r="J120" s="7" t="n">
        <v>0.2</v>
      </c>
      <c r="K120" s="7" t="n">
        <f aca="false">K119+J120</f>
        <v>144.9</v>
      </c>
      <c r="L120" s="7" t="n">
        <v>0.9</v>
      </c>
      <c r="M120" s="7" t="n">
        <f aca="false">M119+L120</f>
        <v>113.4</v>
      </c>
      <c r="N120" s="9" t="n">
        <v>-0.7</v>
      </c>
      <c r="O120" s="7" t="n">
        <f aca="false">O119+N120</f>
        <v>80.8</v>
      </c>
      <c r="P120" s="7" t="n">
        <v>76</v>
      </c>
      <c r="Q120" s="7" t="n">
        <f aca="false">0.35+((P120-8)/74)*(1-0.35)</f>
        <v>0.947297297297297</v>
      </c>
      <c r="R120" s="10" t="n">
        <f aca="false">Q120*L120</f>
        <v>0.852567567567568</v>
      </c>
      <c r="S120" s="10" t="n">
        <f aca="false">J120-R120</f>
        <v>-0.652567567567568</v>
      </c>
      <c r="T120" s="10" t="n">
        <f aca="false">MIN(138.9,(T119+S120))</f>
        <v>96.439527027027</v>
      </c>
      <c r="V120" s="7" t="n">
        <v>527</v>
      </c>
      <c r="X120" s="7" t="n">
        <f aca="false">X119+V120</f>
        <v>58455</v>
      </c>
      <c r="AA120" s="7" t="n">
        <v>9.0072916770767</v>
      </c>
    </row>
    <row r="121" s="7" customFormat="true" ht="15" hidden="false" customHeight="false" outlineLevel="0" collapsed="false">
      <c r="A121" s="12"/>
      <c r="B121" s="13"/>
      <c r="C121" s="8" t="n">
        <v>41967</v>
      </c>
      <c r="D121" s="7" t="n">
        <v>10.9</v>
      </c>
      <c r="E121" s="7" t="n">
        <v>10.6</v>
      </c>
      <c r="F121" s="7" t="n">
        <v>11.3</v>
      </c>
      <c r="G121" s="7" t="n">
        <f aca="false">G120+D121</f>
        <v>1010.4</v>
      </c>
      <c r="J121" s="7" t="n">
        <v>0.1</v>
      </c>
      <c r="K121" s="7" t="n">
        <f aca="false">K120+J121</f>
        <v>145</v>
      </c>
      <c r="L121" s="7" t="n">
        <v>0.3</v>
      </c>
      <c r="M121" s="7" t="n">
        <f aca="false">M120+L121</f>
        <v>113.7</v>
      </c>
      <c r="N121" s="9" t="n">
        <v>-0.2</v>
      </c>
      <c r="O121" s="7" t="n">
        <f aca="false">O120+N121</f>
        <v>80.6</v>
      </c>
      <c r="P121" s="7" t="n">
        <v>77</v>
      </c>
      <c r="Q121" s="7" t="n">
        <f aca="false">0.35+((P121-8)/74)*(1-0.35)</f>
        <v>0.956081081081081</v>
      </c>
      <c r="R121" s="10" t="n">
        <f aca="false">Q121*L121</f>
        <v>0.286824324324324</v>
      </c>
      <c r="S121" s="10" t="n">
        <f aca="false">J121-R121</f>
        <v>-0.186824324324324</v>
      </c>
      <c r="T121" s="10" t="n">
        <f aca="false">MIN(138.9,(T120+S121))</f>
        <v>96.2527027027027</v>
      </c>
      <c r="V121" s="7" t="n">
        <v>112.1</v>
      </c>
      <c r="X121" s="7" t="n">
        <f aca="false">X120+V121</f>
        <v>58567.1</v>
      </c>
      <c r="AA121" s="7" t="n">
        <v>8.97092143630995</v>
      </c>
    </row>
    <row r="122" s="7" customFormat="true" ht="15" hidden="false" customHeight="false" outlineLevel="0" collapsed="false">
      <c r="A122" s="12"/>
      <c r="B122" s="13"/>
      <c r="C122" s="8" t="n">
        <v>41968</v>
      </c>
      <c r="D122" s="7" t="n">
        <v>10.9</v>
      </c>
      <c r="E122" s="7" t="n">
        <v>10.1</v>
      </c>
      <c r="F122" s="7" t="n">
        <v>11.7</v>
      </c>
      <c r="G122" s="7" t="n">
        <f aca="false">G121+D122</f>
        <v>1021.3</v>
      </c>
      <c r="J122" s="7" t="n">
        <v>14</v>
      </c>
      <c r="K122" s="7" t="n">
        <f aca="false">K121+J122</f>
        <v>159</v>
      </c>
      <c r="L122" s="7" t="n">
        <v>0.3</v>
      </c>
      <c r="M122" s="7" t="n">
        <f aca="false">M121+L122</f>
        <v>114</v>
      </c>
      <c r="N122" s="7" t="n">
        <v>13.7</v>
      </c>
      <c r="O122" s="7" t="n">
        <f aca="false">O121+N122</f>
        <v>94.3</v>
      </c>
      <c r="P122" s="7" t="n">
        <v>78</v>
      </c>
      <c r="Q122" s="7" t="n">
        <f aca="false">0.35+((P122-8)/74)*(1-0.35)</f>
        <v>0.964864864864865</v>
      </c>
      <c r="R122" s="10" t="n">
        <f aca="false">Q122*L122</f>
        <v>0.289459459459459</v>
      </c>
      <c r="S122" s="10" t="n">
        <f aca="false">J122-R122</f>
        <v>13.7105405405405</v>
      </c>
      <c r="T122" s="10" t="n">
        <f aca="false">MIN(138.9,(T121+S122))</f>
        <v>109.963243243243</v>
      </c>
      <c r="V122" s="7" t="n">
        <v>129.2</v>
      </c>
      <c r="X122" s="7" t="n">
        <f aca="false">X121+V122</f>
        <v>58696.3</v>
      </c>
      <c r="AA122" s="7" t="n">
        <v>8.93552361373051</v>
      </c>
    </row>
    <row r="123" s="7" customFormat="true" ht="15" hidden="false" customHeight="false" outlineLevel="0" collapsed="false">
      <c r="A123" s="12"/>
      <c r="B123" s="13"/>
      <c r="C123" s="8" t="n">
        <v>41969</v>
      </c>
      <c r="D123" s="7" t="n">
        <v>11</v>
      </c>
      <c r="E123" s="7" t="n">
        <v>9.9</v>
      </c>
      <c r="F123" s="7" t="n">
        <v>13.1</v>
      </c>
      <c r="G123" s="7" t="n">
        <f aca="false">G122+D123</f>
        <v>1032.3</v>
      </c>
      <c r="J123" s="7" t="n">
        <v>0.3</v>
      </c>
      <c r="K123" s="7" t="n">
        <f aca="false">K122+J123</f>
        <v>159.3</v>
      </c>
      <c r="L123" s="7" t="n">
        <v>0.3</v>
      </c>
      <c r="M123" s="7" t="n">
        <f aca="false">M122+L123</f>
        <v>114.3</v>
      </c>
      <c r="N123" s="9" t="n">
        <v>0</v>
      </c>
      <c r="O123" s="7" t="n">
        <f aca="false">O122+N123</f>
        <v>94.3</v>
      </c>
      <c r="P123" s="7" t="n">
        <v>79</v>
      </c>
      <c r="Q123" s="7" t="n">
        <f aca="false">0.35+((P123-8)/74)*(1-0.35)</f>
        <v>0.973648648648649</v>
      </c>
      <c r="R123" s="10" t="n">
        <f aca="false">Q123*L123</f>
        <v>0.292094594594595</v>
      </c>
      <c r="S123" s="10" t="n">
        <f aca="false">J123-R123</f>
        <v>0.00790540540540541</v>
      </c>
      <c r="T123" s="10" t="n">
        <f aca="false">MIN(138.9,(T122+S123))</f>
        <v>109.971148648649</v>
      </c>
      <c r="V123" s="7" t="n">
        <v>137.7</v>
      </c>
      <c r="X123" s="7" t="n">
        <f aca="false">X122+V123</f>
        <v>58834</v>
      </c>
      <c r="AA123" s="7" t="n">
        <v>8.90112747507117</v>
      </c>
    </row>
    <row r="124" s="7" customFormat="true" ht="15" hidden="false" customHeight="false" outlineLevel="0" collapsed="false">
      <c r="A124" s="12"/>
      <c r="B124" s="13"/>
      <c r="C124" s="8" t="n">
        <v>41970</v>
      </c>
      <c r="D124" s="7" t="n">
        <v>9</v>
      </c>
      <c r="E124" s="7" t="n">
        <v>6.3</v>
      </c>
      <c r="F124" s="7" t="n">
        <v>12.8</v>
      </c>
      <c r="G124" s="7" t="n">
        <f aca="false">G123+D124</f>
        <v>1041.3</v>
      </c>
      <c r="J124" s="7" t="n">
        <v>0.3</v>
      </c>
      <c r="K124" s="7" t="n">
        <f aca="false">K123+J124</f>
        <v>159.6</v>
      </c>
      <c r="L124" s="7" t="n">
        <v>0.5</v>
      </c>
      <c r="M124" s="7" t="n">
        <f aca="false">M123+L124</f>
        <v>114.8</v>
      </c>
      <c r="N124" s="9" t="n">
        <v>-0.2</v>
      </c>
      <c r="O124" s="7" t="n">
        <f aca="false">O123+N124</f>
        <v>94.1</v>
      </c>
      <c r="P124" s="7" t="n">
        <v>80</v>
      </c>
      <c r="Q124" s="7" t="n">
        <f aca="false">0.35+((P124-8)/74)*(1-0.35)</f>
        <v>0.982432432432433</v>
      </c>
      <c r="R124" s="10" t="n">
        <f aca="false">Q124*L124</f>
        <v>0.491216216216216</v>
      </c>
      <c r="S124" s="10" t="n">
        <f aca="false">J124-R124</f>
        <v>-0.191216216216216</v>
      </c>
      <c r="T124" s="10" t="n">
        <f aca="false">MIN(138.9,(T123+S124))</f>
        <v>109.779932432432</v>
      </c>
      <c r="V124" s="7" t="n">
        <v>378.5</v>
      </c>
      <c r="X124" s="7" t="n">
        <f aca="false">X123+V124</f>
        <v>59212.5</v>
      </c>
      <c r="AA124" s="7" t="n">
        <v>8.867762197</v>
      </c>
    </row>
    <row r="125" s="7" customFormat="true" ht="15" hidden="false" customHeight="false" outlineLevel="0" collapsed="false">
      <c r="A125" s="12"/>
      <c r="B125" s="13"/>
      <c r="C125" s="8" t="n">
        <v>41971</v>
      </c>
      <c r="D125" s="7" t="n">
        <v>12.4</v>
      </c>
      <c r="E125" s="7" t="n">
        <v>7.8</v>
      </c>
      <c r="F125" s="7" t="n">
        <v>15.8</v>
      </c>
      <c r="G125" s="7" t="n">
        <f aca="false">G124+D125</f>
        <v>1053.7</v>
      </c>
      <c r="J125" s="7" t="n">
        <v>0.4</v>
      </c>
      <c r="K125" s="7" t="n">
        <f aca="false">K124+J125</f>
        <v>160</v>
      </c>
      <c r="L125" s="7" t="n">
        <v>1.1</v>
      </c>
      <c r="M125" s="7" t="n">
        <f aca="false">M124+L125</f>
        <v>115.9</v>
      </c>
      <c r="N125" s="9" t="n">
        <v>-0.7</v>
      </c>
      <c r="O125" s="7" t="n">
        <f aca="false">O124+N125</f>
        <v>93.4</v>
      </c>
      <c r="P125" s="7" t="n">
        <v>81</v>
      </c>
      <c r="Q125" s="7" t="n">
        <f aca="false">0.35+((P125-8)/74)*(1-0.35)</f>
        <v>0.991216216216216</v>
      </c>
      <c r="R125" s="10" t="n">
        <f aca="false">Q125*L125</f>
        <v>1.09033783783784</v>
      </c>
      <c r="S125" s="10" t="n">
        <f aca="false">J125-R125</f>
        <v>-0.690337837837838</v>
      </c>
      <c r="T125" s="10" t="n">
        <f aca="false">MIN(138.9,(T124+S125))</f>
        <v>109.089594594595</v>
      </c>
      <c r="V125" s="7" t="n">
        <v>501.2</v>
      </c>
      <c r="X125" s="7" t="n">
        <f aca="false">X124+V125</f>
        <v>59713.7</v>
      </c>
      <c r="AA125" s="7" t="n">
        <v>8.83545679559483</v>
      </c>
    </row>
    <row r="126" s="18" customFormat="true" ht="15" hidden="false" customHeight="false" outlineLevel="0" collapsed="false">
      <c r="A126" s="12"/>
      <c r="B126" s="16"/>
      <c r="C126" s="17" t="n">
        <v>41972</v>
      </c>
      <c r="D126" s="18" t="n">
        <v>9.5</v>
      </c>
      <c r="E126" s="18" t="n">
        <v>8.1</v>
      </c>
      <c r="F126" s="18" t="n">
        <v>11.4</v>
      </c>
      <c r="G126" s="18" t="n">
        <f aca="false">G125+D126</f>
        <v>1063.2</v>
      </c>
      <c r="J126" s="18" t="n">
        <v>0</v>
      </c>
      <c r="K126" s="18" t="n">
        <f aca="false">K125+J126</f>
        <v>160</v>
      </c>
      <c r="L126" s="18" t="n">
        <v>1</v>
      </c>
      <c r="M126" s="18" t="n">
        <f aca="false">M125+L126</f>
        <v>116.9</v>
      </c>
      <c r="N126" s="19" t="n">
        <v>-1</v>
      </c>
      <c r="O126" s="18" t="n">
        <f aca="false">O125+N126</f>
        <v>92.4</v>
      </c>
      <c r="P126" s="18" t="n">
        <v>82</v>
      </c>
      <c r="Q126" s="18" t="n">
        <f aca="false">0.35+((P126-8)/74)*(1-0.35)</f>
        <v>1</v>
      </c>
      <c r="R126" s="20" t="n">
        <f aca="false">Q126*L126</f>
        <v>1</v>
      </c>
      <c r="S126" s="20" t="n">
        <f aca="false">J126-R126</f>
        <v>-1</v>
      </c>
      <c r="T126" s="20" t="n">
        <f aca="false">MIN(138.9,(T125+S126))</f>
        <v>108.089594594595</v>
      </c>
      <c r="V126" s="18" t="n">
        <v>510.5</v>
      </c>
      <c r="W126" s="18" t="n">
        <f aca="false">(X126/100)/I58</f>
        <v>0.566442814145974</v>
      </c>
      <c r="X126" s="18" t="n">
        <f aca="false">X125+V126</f>
        <v>60224.2</v>
      </c>
      <c r="AA126" s="18" t="n">
        <v>8.80424005195515</v>
      </c>
    </row>
    <row r="127" s="7" customFormat="true" ht="15" hidden="false" customHeight="false" outlineLevel="0" collapsed="false">
      <c r="A127" s="21" t="s">
        <v>44</v>
      </c>
      <c r="B127" s="22"/>
      <c r="C127" s="8" t="n">
        <v>41973</v>
      </c>
      <c r="D127" s="7" t="n">
        <v>3.8</v>
      </c>
      <c r="E127" s="7" t="n">
        <v>3.5</v>
      </c>
      <c r="F127" s="7" t="n">
        <v>7</v>
      </c>
      <c r="G127" s="7" t="n">
        <f aca="false">G126+D127</f>
        <v>1067</v>
      </c>
      <c r="H127" s="7" t="n">
        <f aca="false">D127</f>
        <v>3.8</v>
      </c>
      <c r="I127" s="23" t="s">
        <v>28</v>
      </c>
      <c r="J127" s="7" t="n">
        <v>1</v>
      </c>
      <c r="K127" s="7" t="n">
        <f aca="false">K126+J127</f>
        <v>161</v>
      </c>
      <c r="L127" s="7" t="n">
        <v>1</v>
      </c>
      <c r="M127" s="7" t="n">
        <f aca="false">M126+L127</f>
        <v>117.9</v>
      </c>
      <c r="N127" s="9" t="n">
        <v>0</v>
      </c>
      <c r="O127" s="7" t="n">
        <f aca="false">O126+N127</f>
        <v>92.4</v>
      </c>
      <c r="P127" s="7" t="n">
        <v>83</v>
      </c>
      <c r="Q127" s="7" t="n">
        <v>1</v>
      </c>
      <c r="R127" s="10" t="n">
        <f aca="false">Q127*L127</f>
        <v>1</v>
      </c>
      <c r="S127" s="10" t="n">
        <f aca="false">J127-R127</f>
        <v>0</v>
      </c>
      <c r="T127" s="10" t="n">
        <f aca="false">MIN(138.9,(T126+S127))</f>
        <v>108.089594594595</v>
      </c>
      <c r="U127" s="23" t="s">
        <v>29</v>
      </c>
      <c r="V127" s="7" t="n">
        <v>233.4</v>
      </c>
      <c r="X127" s="7" t="n">
        <f aca="false">X126+V127</f>
        <v>60457.6</v>
      </c>
      <c r="Y127" s="7" t="n">
        <f aca="false">V127</f>
        <v>233.4</v>
      </c>
      <c r="Z127" s="23" t="s">
        <v>30</v>
      </c>
      <c r="AA127" s="7" t="n">
        <v>8.77414043521817</v>
      </c>
    </row>
    <row r="128" s="7" customFormat="true" ht="15" hidden="false" customHeight="false" outlineLevel="0" collapsed="false">
      <c r="A128" s="21"/>
      <c r="B128" s="22"/>
      <c r="C128" s="8" t="n">
        <v>41974</v>
      </c>
      <c r="D128" s="7" t="n">
        <v>4.2</v>
      </c>
      <c r="E128" s="7" t="n">
        <v>2.9</v>
      </c>
      <c r="F128" s="7" t="n">
        <v>6.4</v>
      </c>
      <c r="G128" s="7" t="n">
        <f aca="false">G127+D128</f>
        <v>1071.2</v>
      </c>
      <c r="H128" s="7" t="n">
        <f aca="false">H127+D128</f>
        <v>8</v>
      </c>
      <c r="I128" s="7" t="n">
        <f aca="false">MIN(E127:E217)</f>
        <v>-5.6</v>
      </c>
      <c r="J128" s="7" t="n">
        <v>0.8</v>
      </c>
      <c r="K128" s="7" t="n">
        <f aca="false">K127+J128</f>
        <v>161.8</v>
      </c>
      <c r="L128" s="7" t="n">
        <v>0.5</v>
      </c>
      <c r="M128" s="7" t="n">
        <f aca="false">M127+L128</f>
        <v>118.4</v>
      </c>
      <c r="N128" s="7" t="n">
        <v>0.3</v>
      </c>
      <c r="O128" s="7" t="n">
        <f aca="false">O127+N128</f>
        <v>92.7</v>
      </c>
      <c r="P128" s="7" t="n">
        <v>84</v>
      </c>
      <c r="Q128" s="7" t="n">
        <v>1</v>
      </c>
      <c r="R128" s="10" t="n">
        <f aca="false">Q128*L128</f>
        <v>0.5</v>
      </c>
      <c r="S128" s="10" t="n">
        <f aca="false">J128-R128</f>
        <v>0.3</v>
      </c>
      <c r="T128" s="10" t="n">
        <f aca="false">MIN(138.9,(T127+S128))</f>
        <v>108.389594594595</v>
      </c>
      <c r="U128" s="7" t="n">
        <v>48</v>
      </c>
      <c r="V128" s="7" t="n">
        <v>85.7</v>
      </c>
      <c r="X128" s="7" t="n">
        <f aca="false">X127+V128</f>
        <v>60543.3</v>
      </c>
      <c r="Y128" s="7" t="n">
        <f aca="false">Y127+V128</f>
        <v>319.1</v>
      </c>
      <c r="Z128" s="7" t="n">
        <v>27777</v>
      </c>
      <c r="AA128" s="7" t="n">
        <v>8.74518602328377</v>
      </c>
    </row>
    <row r="129" s="7" customFormat="true" ht="15" hidden="false" customHeight="false" outlineLevel="0" collapsed="false">
      <c r="A129" s="21"/>
      <c r="B129" s="22"/>
      <c r="C129" s="8" t="n">
        <v>41975</v>
      </c>
      <c r="D129" s="7" t="n">
        <v>3.5</v>
      </c>
      <c r="E129" s="7" t="n">
        <v>2.4</v>
      </c>
      <c r="F129" s="7" t="n">
        <v>4.4</v>
      </c>
      <c r="G129" s="7" t="n">
        <f aca="false">G128+D129</f>
        <v>1074.7</v>
      </c>
      <c r="H129" s="7" t="n">
        <f aca="false">H128+D129</f>
        <v>11.5</v>
      </c>
      <c r="I129" s="23" t="s">
        <v>31</v>
      </c>
      <c r="J129" s="7" t="n">
        <v>1.5</v>
      </c>
      <c r="K129" s="7" t="n">
        <f aca="false">K128+J129</f>
        <v>163.3</v>
      </c>
      <c r="L129" s="7" t="n">
        <v>0.3</v>
      </c>
      <c r="M129" s="7" t="n">
        <f aca="false">M128+L129</f>
        <v>118.7</v>
      </c>
      <c r="N129" s="7" t="n">
        <v>1.2</v>
      </c>
      <c r="O129" s="7" t="n">
        <f aca="false">O128+N129</f>
        <v>93.9</v>
      </c>
      <c r="P129" s="7" t="n">
        <v>85</v>
      </c>
      <c r="Q129" s="7" t="n">
        <v>1</v>
      </c>
      <c r="R129" s="10" t="n">
        <f aca="false">Q129*L129</f>
        <v>0.3</v>
      </c>
      <c r="S129" s="10" t="n">
        <f aca="false">J129-R129</f>
        <v>1.2</v>
      </c>
      <c r="T129" s="10" t="n">
        <f aca="false">MIN(138.9,(T128+S129))</f>
        <v>109.589594594595</v>
      </c>
      <c r="U129" s="23" t="s">
        <v>32</v>
      </c>
      <c r="V129" s="7" t="n">
        <v>98.1</v>
      </c>
      <c r="X129" s="7" t="n">
        <f aca="false">X128+V129</f>
        <v>60641.4</v>
      </c>
      <c r="Y129" s="7" t="n">
        <f aca="false">Y128+V129</f>
        <v>417.2</v>
      </c>
      <c r="Z129" s="23" t="s">
        <v>33</v>
      </c>
      <c r="AA129" s="7" t="n">
        <v>8.71740442159139</v>
      </c>
    </row>
    <row r="130" s="7" customFormat="true" ht="15" hidden="false" customHeight="false" outlineLevel="0" collapsed="false">
      <c r="A130" s="21"/>
      <c r="B130" s="22"/>
      <c r="C130" s="8" t="n">
        <v>41976</v>
      </c>
      <c r="D130" s="7" t="n">
        <v>3.2</v>
      </c>
      <c r="E130" s="7" t="n">
        <v>3.1</v>
      </c>
      <c r="F130" s="7" t="n">
        <v>3.3</v>
      </c>
      <c r="G130" s="7" t="n">
        <f aca="false">G129+D130</f>
        <v>1077.9</v>
      </c>
      <c r="H130" s="7" t="n">
        <f aca="false">H129+D130</f>
        <v>14.7</v>
      </c>
      <c r="I130" s="7" t="n">
        <f aca="false">MAX(F127:F217)</f>
        <v>12.9</v>
      </c>
      <c r="J130" s="7" t="n">
        <v>0.3</v>
      </c>
      <c r="K130" s="7" t="n">
        <f aca="false">K129+J130</f>
        <v>163.6</v>
      </c>
      <c r="L130" s="7" t="n">
        <v>0.3</v>
      </c>
      <c r="M130" s="7" t="n">
        <f aca="false">M129+L130</f>
        <v>119</v>
      </c>
      <c r="N130" s="9" t="n">
        <v>0</v>
      </c>
      <c r="O130" s="7" t="n">
        <f aca="false">O129+N130</f>
        <v>93.9</v>
      </c>
      <c r="P130" s="7" t="n">
        <v>86</v>
      </c>
      <c r="Q130" s="7" t="n">
        <v>1</v>
      </c>
      <c r="R130" s="10" t="n">
        <f aca="false">Q130*L130</f>
        <v>0.3</v>
      </c>
      <c r="S130" s="10" t="n">
        <f aca="false">J130-R130</f>
        <v>0</v>
      </c>
      <c r="T130" s="10" t="n">
        <f aca="false">MIN(138.9,(T129+S130))</f>
        <v>109.589594594595</v>
      </c>
      <c r="U130" s="7" t="n">
        <v>0</v>
      </c>
      <c r="V130" s="7" t="n">
        <v>122.7</v>
      </c>
      <c r="X130" s="7" t="n">
        <f aca="false">X129+V130</f>
        <v>60764.1</v>
      </c>
      <c r="Y130" s="7" t="n">
        <f aca="false">Y129+V130</f>
        <v>539.9</v>
      </c>
      <c r="Z130" s="15" t="n">
        <f aca="false">(Z128/100)/I140</f>
        <v>0.692175429852978</v>
      </c>
      <c r="AA130" s="7" t="n">
        <v>8.69082268032886</v>
      </c>
    </row>
    <row r="131" s="7" customFormat="true" ht="15" hidden="false" customHeight="false" outlineLevel="0" collapsed="false">
      <c r="A131" s="21"/>
      <c r="B131" s="22"/>
      <c r="C131" s="8" t="n">
        <v>41977</v>
      </c>
      <c r="D131" s="7" t="n">
        <v>3.6</v>
      </c>
      <c r="E131" s="7" t="n">
        <v>3</v>
      </c>
      <c r="F131" s="7" t="n">
        <v>4</v>
      </c>
      <c r="G131" s="7" t="n">
        <f aca="false">G130+D131</f>
        <v>1081.5</v>
      </c>
      <c r="H131" s="7" t="n">
        <f aca="false">H130+D131</f>
        <v>18.3</v>
      </c>
      <c r="I131" s="23" t="s">
        <v>34</v>
      </c>
      <c r="J131" s="7" t="n">
        <v>0.4</v>
      </c>
      <c r="K131" s="7" t="n">
        <f aca="false">K130+J131</f>
        <v>164</v>
      </c>
      <c r="L131" s="7" t="n">
        <v>0.1</v>
      </c>
      <c r="M131" s="7" t="n">
        <f aca="false">M130+L131</f>
        <v>119.1</v>
      </c>
      <c r="N131" s="7" t="n">
        <v>0.3</v>
      </c>
      <c r="O131" s="7" t="n">
        <f aca="false">O130+N131</f>
        <v>94.2</v>
      </c>
      <c r="P131" s="7" t="n">
        <v>87</v>
      </c>
      <c r="Q131" s="7" t="n">
        <v>1</v>
      </c>
      <c r="R131" s="10" t="n">
        <f aca="false">Q131*L131</f>
        <v>0.1</v>
      </c>
      <c r="S131" s="10" t="n">
        <f aca="false">J131-R131</f>
        <v>0.3</v>
      </c>
      <c r="T131" s="10" t="n">
        <f aca="false">MIN(138.9,(T130+S131))</f>
        <v>109.889594594595</v>
      </c>
      <c r="U131" s="23" t="s">
        <v>35</v>
      </c>
      <c r="V131" s="7" t="n">
        <v>101.7</v>
      </c>
      <c r="X131" s="7" t="n">
        <f aca="false">X130+V131</f>
        <v>60865.8</v>
      </c>
      <c r="Y131" s="7" t="n">
        <f aca="false">Y130+V131</f>
        <v>641.6</v>
      </c>
      <c r="Z131" s="23" t="s">
        <v>36</v>
      </c>
      <c r="AA131" s="7" t="n">
        <v>8.66546721048909</v>
      </c>
    </row>
    <row r="132" s="7" customFormat="true" ht="15" hidden="false" customHeight="false" outlineLevel="0" collapsed="false">
      <c r="A132" s="21"/>
      <c r="B132" s="22"/>
      <c r="C132" s="8" t="n">
        <v>41978</v>
      </c>
      <c r="D132" s="7" t="n">
        <v>4.1</v>
      </c>
      <c r="E132" s="7" t="n">
        <v>3</v>
      </c>
      <c r="F132" s="7" t="n">
        <v>4.5</v>
      </c>
      <c r="G132" s="7" t="n">
        <f aca="false">G131+D132</f>
        <v>1085.6</v>
      </c>
      <c r="H132" s="7" t="n">
        <f aca="false">H131+D132</f>
        <v>22.4</v>
      </c>
      <c r="I132" s="10" t="n">
        <f aca="false">AVERAGE(D127:D217)</f>
        <v>4.35824175824176</v>
      </c>
      <c r="J132" s="7" t="n">
        <v>0</v>
      </c>
      <c r="K132" s="7" t="n">
        <f aca="false">K131+J132</f>
        <v>164</v>
      </c>
      <c r="L132" s="7" t="n">
        <v>0.1</v>
      </c>
      <c r="M132" s="7" t="n">
        <f aca="false">M131+L132</f>
        <v>119.2</v>
      </c>
      <c r="N132" s="9" t="n">
        <v>-0.1</v>
      </c>
      <c r="O132" s="7" t="n">
        <f aca="false">O131+N132</f>
        <v>94.1</v>
      </c>
      <c r="P132" s="7" t="n">
        <v>88</v>
      </c>
      <c r="Q132" s="7" t="n">
        <v>1</v>
      </c>
      <c r="R132" s="10" t="n">
        <f aca="false">Q132*L132</f>
        <v>0.1</v>
      </c>
      <c r="S132" s="10" t="n">
        <f aca="false">J132-R132</f>
        <v>-0.1</v>
      </c>
      <c r="T132" s="10" t="n">
        <f aca="false">MIN(138.9,(T131+S132))</f>
        <v>109.789594594595</v>
      </c>
      <c r="U132" s="7" t="n">
        <v>0</v>
      </c>
      <c r="V132" s="7" t="n">
        <v>153.6</v>
      </c>
      <c r="X132" s="7" t="n">
        <f aca="false">X131+V132</f>
        <v>61019.4</v>
      </c>
      <c r="Y132" s="7" t="n">
        <f aca="false">Y131+V132</f>
        <v>795.2</v>
      </c>
      <c r="Z132" s="7" t="n">
        <v>89</v>
      </c>
      <c r="AA132" s="7" t="n">
        <v>8.64136369922381</v>
      </c>
    </row>
    <row r="133" s="7" customFormat="true" ht="15" hidden="false" customHeight="false" outlineLevel="0" collapsed="false">
      <c r="A133" s="21"/>
      <c r="B133" s="22"/>
      <c r="C133" s="8" t="n">
        <v>41979</v>
      </c>
      <c r="D133" s="7" t="n">
        <v>3.7</v>
      </c>
      <c r="E133" s="7" t="n">
        <v>3.2</v>
      </c>
      <c r="F133" s="7" t="n">
        <v>6</v>
      </c>
      <c r="G133" s="7" t="n">
        <f aca="false">G132+D133</f>
        <v>1089.3</v>
      </c>
      <c r="H133" s="7" t="n">
        <f aca="false">H132+D133</f>
        <v>26.1</v>
      </c>
      <c r="I133" s="23" t="s">
        <v>37</v>
      </c>
      <c r="J133" s="7" t="n">
        <v>0</v>
      </c>
      <c r="K133" s="7" t="n">
        <f aca="false">K132+J133</f>
        <v>164</v>
      </c>
      <c r="L133" s="7" t="n">
        <v>0.6</v>
      </c>
      <c r="M133" s="7" t="n">
        <f aca="false">M132+L133</f>
        <v>119.8</v>
      </c>
      <c r="N133" s="9" t="n">
        <v>-0.6</v>
      </c>
      <c r="O133" s="7" t="n">
        <f aca="false">O132+N133</f>
        <v>93.5</v>
      </c>
      <c r="P133" s="7" t="n">
        <v>89</v>
      </c>
      <c r="Q133" s="7" t="n">
        <v>1</v>
      </c>
      <c r="R133" s="10" t="n">
        <f aca="false">Q133*L133</f>
        <v>0.6</v>
      </c>
      <c r="S133" s="10" t="n">
        <f aca="false">J133-R133</f>
        <v>-0.6</v>
      </c>
      <c r="T133" s="10" t="n">
        <f aca="false">MIN(138.9,(T132+S133))</f>
        <v>109.189594594595</v>
      </c>
      <c r="U133" s="23" t="s">
        <v>38</v>
      </c>
      <c r="V133" s="7" t="n">
        <v>313.7</v>
      </c>
      <c r="X133" s="7" t="n">
        <f aca="false">X132+V133</f>
        <v>61333.1</v>
      </c>
      <c r="Y133" s="7" t="n">
        <f aca="false">Y132+V133</f>
        <v>1108.9</v>
      </c>
      <c r="AA133" s="7" t="n">
        <v>8.61853702497442</v>
      </c>
    </row>
    <row r="134" s="7" customFormat="true" ht="15" hidden="false" customHeight="false" outlineLevel="0" collapsed="false">
      <c r="A134" s="21"/>
      <c r="B134" s="22"/>
      <c r="C134" s="8" t="n">
        <v>41980</v>
      </c>
      <c r="D134" s="7" t="n">
        <v>2.7</v>
      </c>
      <c r="E134" s="7" t="n">
        <v>-2.9</v>
      </c>
      <c r="F134" s="7" t="n">
        <v>6.2</v>
      </c>
      <c r="G134" s="7" t="n">
        <f aca="false">G133+D134</f>
        <v>1092</v>
      </c>
      <c r="H134" s="7" t="n">
        <f aca="false">H133+D134</f>
        <v>28.8</v>
      </c>
      <c r="I134" s="7" t="n">
        <v>28</v>
      </c>
      <c r="J134" s="7" t="n">
        <v>1.1</v>
      </c>
      <c r="K134" s="7" t="n">
        <f aca="false">K133+J134</f>
        <v>165.1</v>
      </c>
      <c r="L134" s="7" t="n">
        <v>0.1</v>
      </c>
      <c r="M134" s="7" t="n">
        <f aca="false">M133+L134</f>
        <v>119.9</v>
      </c>
      <c r="N134" s="7" t="n">
        <v>1</v>
      </c>
      <c r="O134" s="7" t="n">
        <f aca="false">O133+N134</f>
        <v>94.5</v>
      </c>
      <c r="P134" s="7" t="n">
        <v>90</v>
      </c>
      <c r="Q134" s="7" t="n">
        <v>1</v>
      </c>
      <c r="R134" s="10" t="n">
        <f aca="false">Q134*L134</f>
        <v>0.1</v>
      </c>
      <c r="S134" s="10" t="n">
        <f aca="false">J134-R134</f>
        <v>1</v>
      </c>
      <c r="T134" s="10" t="n">
        <f aca="false">MIN(138.9,(T133+S134))</f>
        <v>110.189594594595</v>
      </c>
      <c r="U134" s="10" t="n">
        <f aca="false">MIN(T127:T217)</f>
        <v>108.089594594595</v>
      </c>
      <c r="V134" s="7" t="n">
        <v>287.6</v>
      </c>
      <c r="X134" s="7" t="n">
        <f aca="false">X133+V134</f>
        <v>61620.7</v>
      </c>
      <c r="Y134" s="7" t="n">
        <f aca="false">Y133+V134</f>
        <v>1396.5</v>
      </c>
      <c r="AA134" s="7" t="n">
        <v>8.59701117288719</v>
      </c>
    </row>
    <row r="135" s="7" customFormat="true" ht="15" hidden="false" customHeight="false" outlineLevel="0" collapsed="false">
      <c r="A135" s="21"/>
      <c r="B135" s="22"/>
      <c r="C135" s="8" t="n">
        <v>41981</v>
      </c>
      <c r="D135" s="7" t="n">
        <v>4.3</v>
      </c>
      <c r="E135" s="7" t="n">
        <v>3.2</v>
      </c>
      <c r="F135" s="7" t="n">
        <v>7</v>
      </c>
      <c r="G135" s="7" t="n">
        <f aca="false">G134+D135</f>
        <v>1096.3</v>
      </c>
      <c r="H135" s="7" t="n">
        <f aca="false">H134+D135</f>
        <v>33.1</v>
      </c>
      <c r="I135" s="23" t="s">
        <v>39</v>
      </c>
      <c r="J135" s="7" t="n">
        <v>1.8</v>
      </c>
      <c r="K135" s="7" t="n">
        <f aca="false">K134+J135</f>
        <v>166.9</v>
      </c>
      <c r="L135" s="7" t="n">
        <v>0.3</v>
      </c>
      <c r="M135" s="7" t="n">
        <f aca="false">M134+L135</f>
        <v>120.2</v>
      </c>
      <c r="N135" s="7" t="n">
        <v>1.5</v>
      </c>
      <c r="O135" s="7" t="n">
        <f aca="false">O134+N135</f>
        <v>96</v>
      </c>
      <c r="P135" s="7" t="n">
        <v>91</v>
      </c>
      <c r="Q135" s="7" t="n">
        <v>1</v>
      </c>
      <c r="R135" s="10" t="n">
        <f aca="false">Q135*L135</f>
        <v>0.3</v>
      </c>
      <c r="S135" s="10" t="n">
        <f aca="false">J135-R135</f>
        <v>1.5</v>
      </c>
      <c r="T135" s="10" t="n">
        <f aca="false">MIN(138.9,(T134+S135))</f>
        <v>111.689594594595</v>
      </c>
      <c r="U135" s="23" t="s">
        <v>40</v>
      </c>
      <c r="V135" s="7" t="n">
        <v>139.9</v>
      </c>
      <c r="X135" s="7" t="n">
        <f aca="false">X134+V135</f>
        <v>61760.6</v>
      </c>
      <c r="Y135" s="7" t="n">
        <f aca="false">Y134+V135</f>
        <v>1536.4</v>
      </c>
      <c r="AA135" s="7" t="n">
        <v>8.5768091510434</v>
      </c>
    </row>
    <row r="136" s="7" customFormat="true" ht="15" hidden="false" customHeight="false" outlineLevel="0" collapsed="false">
      <c r="A136" s="21"/>
      <c r="B136" s="22"/>
      <c r="C136" s="8" t="n">
        <v>41982</v>
      </c>
      <c r="D136" s="7" t="n">
        <v>2.3</v>
      </c>
      <c r="E136" s="7" t="n">
        <v>-0.4</v>
      </c>
      <c r="F136" s="7" t="n">
        <v>6</v>
      </c>
      <c r="G136" s="7" t="n">
        <f aca="false">G135+D136</f>
        <v>1098.6</v>
      </c>
      <c r="H136" s="7" t="n">
        <f aca="false">H135+D136</f>
        <v>35.4</v>
      </c>
      <c r="I136" s="7" t="n">
        <v>0</v>
      </c>
      <c r="J136" s="7" t="n">
        <v>0.1</v>
      </c>
      <c r="K136" s="7" t="n">
        <f aca="false">K135+J136</f>
        <v>167</v>
      </c>
      <c r="L136" s="7" t="n">
        <v>0.5</v>
      </c>
      <c r="M136" s="7" t="n">
        <f aca="false">M135+L136</f>
        <v>120.7</v>
      </c>
      <c r="N136" s="9" t="n">
        <v>-0.4</v>
      </c>
      <c r="O136" s="7" t="n">
        <f aca="false">O135+N136</f>
        <v>95.6</v>
      </c>
      <c r="P136" s="7" t="n">
        <v>92</v>
      </c>
      <c r="Q136" s="7" t="n">
        <v>1</v>
      </c>
      <c r="R136" s="10" t="n">
        <f aca="false">Q136*L136</f>
        <v>0.5</v>
      </c>
      <c r="S136" s="10" t="n">
        <f aca="false">J136-R136</f>
        <v>-0.4</v>
      </c>
      <c r="T136" s="10" t="n">
        <f aca="false">MIN(138.9,(T135+S136))</f>
        <v>111.289594594595</v>
      </c>
      <c r="U136" s="10" t="n">
        <f aca="false">MAX(T127:T217)</f>
        <v>138.9</v>
      </c>
      <c r="V136" s="7" t="n">
        <v>633.2</v>
      </c>
      <c r="X136" s="7" t="n">
        <f aca="false">X135+V136</f>
        <v>62393.8</v>
      </c>
      <c r="Y136" s="7" t="n">
        <f aca="false">Y135+V136</f>
        <v>2169.6</v>
      </c>
      <c r="AA136" s="7" t="n">
        <v>8.55795290805329</v>
      </c>
    </row>
    <row r="137" s="7" customFormat="true" ht="15" hidden="false" customHeight="false" outlineLevel="0" collapsed="false">
      <c r="A137" s="21"/>
      <c r="B137" s="13"/>
      <c r="C137" s="8" t="n">
        <v>41983</v>
      </c>
      <c r="D137" s="7" t="n">
        <v>7.1</v>
      </c>
      <c r="E137" s="7" t="n">
        <v>2</v>
      </c>
      <c r="F137" s="7" t="n">
        <v>9.2</v>
      </c>
      <c r="G137" s="7" t="n">
        <f aca="false">G136+D137</f>
        <v>1105.7</v>
      </c>
      <c r="H137" s="7" t="n">
        <f aca="false">H136+D137</f>
        <v>42.5</v>
      </c>
      <c r="I137" s="23" t="s">
        <v>41</v>
      </c>
      <c r="J137" s="7" t="n">
        <v>2.1</v>
      </c>
      <c r="K137" s="7" t="n">
        <f aca="false">K136+J137</f>
        <v>169.1</v>
      </c>
      <c r="L137" s="7" t="n">
        <v>0</v>
      </c>
      <c r="M137" s="7" t="n">
        <f aca="false">M136+L137</f>
        <v>120.7</v>
      </c>
      <c r="N137" s="7" t="n">
        <v>2.1</v>
      </c>
      <c r="O137" s="7" t="n">
        <f aca="false">O136+N137</f>
        <v>97.7</v>
      </c>
      <c r="P137" s="7" t="n">
        <v>93</v>
      </c>
      <c r="Q137" s="7" t="n">
        <v>1</v>
      </c>
      <c r="R137" s="10" t="n">
        <f aca="false">Q137*L137</f>
        <v>0</v>
      </c>
      <c r="S137" s="10" t="n">
        <f aca="false">J137-R137</f>
        <v>2.1</v>
      </c>
      <c r="T137" s="10" t="n">
        <f aca="false">MIN(138.9,(T136+S137))</f>
        <v>113.389594594595</v>
      </c>
      <c r="U137" s="23" t="s">
        <v>42</v>
      </c>
      <c r="V137" s="7" t="n">
        <v>90</v>
      </c>
      <c r="X137" s="7" t="n">
        <f aca="false">X136+V137</f>
        <v>62483.8</v>
      </c>
      <c r="Y137" s="7" t="n">
        <f aca="false">Y136+V137</f>
        <v>2259.6</v>
      </c>
      <c r="AA137" s="7" t="n">
        <v>8.54046325257587</v>
      </c>
    </row>
    <row r="138" s="7" customFormat="true" ht="15" hidden="false" customHeight="false" outlineLevel="0" collapsed="false">
      <c r="A138" s="21"/>
      <c r="B138" s="13"/>
      <c r="C138" s="8" t="n">
        <v>41984</v>
      </c>
      <c r="D138" s="7" t="n">
        <v>8.1</v>
      </c>
      <c r="E138" s="7" t="n">
        <v>6.2</v>
      </c>
      <c r="F138" s="7" t="n">
        <v>10.4</v>
      </c>
      <c r="G138" s="7" t="n">
        <f aca="false">G137+D138</f>
        <v>1113.8</v>
      </c>
      <c r="H138" s="7" t="n">
        <f aca="false">H137+D138</f>
        <v>50.6</v>
      </c>
      <c r="I138" s="7" t="n">
        <v>46</v>
      </c>
      <c r="J138" s="7" t="n">
        <v>0.6</v>
      </c>
      <c r="K138" s="7" t="n">
        <f aca="false">K137+J138</f>
        <v>169.7</v>
      </c>
      <c r="L138" s="7" t="n">
        <v>1.1</v>
      </c>
      <c r="M138" s="7" t="n">
        <f aca="false">M137+L138</f>
        <v>121.8</v>
      </c>
      <c r="N138" s="9" t="n">
        <v>-0.5</v>
      </c>
      <c r="O138" s="7" t="n">
        <f aca="false">O137+N138</f>
        <v>97.2</v>
      </c>
      <c r="P138" s="7" t="n">
        <v>94</v>
      </c>
      <c r="Q138" s="7" t="n">
        <v>1</v>
      </c>
      <c r="R138" s="10" t="n">
        <f aca="false">Q138*L138</f>
        <v>1.1</v>
      </c>
      <c r="S138" s="10" t="n">
        <f aca="false">J138-R138</f>
        <v>-0.5</v>
      </c>
      <c r="T138" s="10" t="n">
        <f aca="false">MIN(138.9,(T137+S138))</f>
        <v>112.889594594595</v>
      </c>
      <c r="U138" s="15" t="n">
        <f aca="false">AVERAGE(T127:T217)</f>
        <v>131.671364716365</v>
      </c>
      <c r="V138" s="7" t="n">
        <v>290.9</v>
      </c>
      <c r="X138" s="7" t="n">
        <f aca="false">X137+V138</f>
        <v>62774.7</v>
      </c>
      <c r="Y138" s="7" t="n">
        <f aca="false">Y137+V138</f>
        <v>2550.5</v>
      </c>
      <c r="AA138" s="7" t="n">
        <v>8.52435977533436</v>
      </c>
    </row>
    <row r="139" s="7" customFormat="true" ht="15" hidden="false" customHeight="false" outlineLevel="0" collapsed="false">
      <c r="A139" s="21"/>
      <c r="B139" s="13"/>
      <c r="C139" s="8" t="n">
        <v>41985</v>
      </c>
      <c r="D139" s="7" t="n">
        <v>9.5</v>
      </c>
      <c r="E139" s="7" t="n">
        <v>8.1</v>
      </c>
      <c r="F139" s="7" t="n">
        <v>10.3</v>
      </c>
      <c r="G139" s="7" t="n">
        <f aca="false">G138+D139</f>
        <v>1123.3</v>
      </c>
      <c r="H139" s="7" t="n">
        <f aca="false">H138+D139</f>
        <v>60.1</v>
      </c>
      <c r="I139" s="23" t="s">
        <v>43</v>
      </c>
      <c r="J139" s="7" t="n">
        <v>1.8</v>
      </c>
      <c r="K139" s="7" t="n">
        <f aca="false">K138+J139</f>
        <v>171.5</v>
      </c>
      <c r="L139" s="7" t="n">
        <v>0.7</v>
      </c>
      <c r="M139" s="7" t="n">
        <f aca="false">M138+L139</f>
        <v>122.5</v>
      </c>
      <c r="N139" s="7" t="n">
        <v>1.1</v>
      </c>
      <c r="O139" s="7" t="n">
        <f aca="false">O138+N139</f>
        <v>98.3</v>
      </c>
      <c r="P139" s="7" t="n">
        <v>95</v>
      </c>
      <c r="Q139" s="7" t="n">
        <v>1</v>
      </c>
      <c r="R139" s="10" t="n">
        <f aca="false">Q139*L139</f>
        <v>0.7</v>
      </c>
      <c r="S139" s="10" t="n">
        <f aca="false">J139-R139</f>
        <v>1.1</v>
      </c>
      <c r="T139" s="10" t="n">
        <f aca="false">MIN(138.9,(T138+S139))</f>
        <v>113.989594594595</v>
      </c>
      <c r="U139" s="23" t="s">
        <v>45</v>
      </c>
      <c r="V139" s="7" t="n">
        <v>120.9</v>
      </c>
      <c r="X139" s="7" t="n">
        <f aca="false">X138+V139</f>
        <v>62895.6</v>
      </c>
      <c r="Y139" s="7" t="n">
        <f aca="false">Y138+V139</f>
        <v>2671.4</v>
      </c>
      <c r="AA139" s="7" t="n">
        <v>8.50966077419757</v>
      </c>
    </row>
    <row r="140" s="7" customFormat="true" ht="15" hidden="false" customHeight="false" outlineLevel="0" collapsed="false">
      <c r="A140" s="21"/>
      <c r="B140" s="13"/>
      <c r="C140" s="8" t="n">
        <v>41986</v>
      </c>
      <c r="D140" s="7" t="n">
        <v>7</v>
      </c>
      <c r="E140" s="7" t="n">
        <v>5</v>
      </c>
      <c r="F140" s="7" t="n">
        <v>9.2</v>
      </c>
      <c r="G140" s="7" t="n">
        <f aca="false">G139+D140</f>
        <v>1130.3</v>
      </c>
      <c r="H140" s="7" t="n">
        <f aca="false">H139+D140</f>
        <v>67.1</v>
      </c>
      <c r="I140" s="7" t="n">
        <v>401.3</v>
      </c>
      <c r="J140" s="7" t="n">
        <v>4.3</v>
      </c>
      <c r="K140" s="7" t="n">
        <f aca="false">K139+J140</f>
        <v>175.8</v>
      </c>
      <c r="L140" s="7" t="n">
        <v>0.6</v>
      </c>
      <c r="M140" s="7" t="n">
        <f aca="false">M139+L140</f>
        <v>123.1</v>
      </c>
      <c r="N140" s="7" t="n">
        <v>3.7</v>
      </c>
      <c r="O140" s="7" t="n">
        <f aca="false">O139+N140</f>
        <v>102</v>
      </c>
      <c r="P140" s="7" t="n">
        <v>96</v>
      </c>
      <c r="Q140" s="7" t="n">
        <v>1</v>
      </c>
      <c r="R140" s="10" t="n">
        <f aca="false">Q140*L140</f>
        <v>0.6</v>
      </c>
      <c r="S140" s="10" t="n">
        <f aca="false">J140-R140</f>
        <v>3.7</v>
      </c>
      <c r="T140" s="10" t="n">
        <f aca="false">MIN(138.9,(T139+S140))</f>
        <v>117.689594594595</v>
      </c>
      <c r="U140" s="10" t="n">
        <v>23</v>
      </c>
      <c r="V140" s="7" t="n">
        <v>96.2</v>
      </c>
      <c r="X140" s="7" t="n">
        <f aca="false">X139+V140</f>
        <v>62991.8</v>
      </c>
      <c r="Y140" s="7" t="n">
        <f aca="false">Y139+V140</f>
        <v>2767.6</v>
      </c>
      <c r="AA140" s="7" t="n">
        <v>8.49638318289263</v>
      </c>
    </row>
    <row r="141" s="7" customFormat="true" ht="15" hidden="false" customHeight="false" outlineLevel="0" collapsed="false">
      <c r="A141" s="21"/>
      <c r="B141" s="22"/>
      <c r="C141" s="8" t="n">
        <v>41987</v>
      </c>
      <c r="D141" s="7" t="n">
        <v>1.2</v>
      </c>
      <c r="E141" s="7" t="n">
        <v>0.3</v>
      </c>
      <c r="F141" s="7" t="n">
        <v>3</v>
      </c>
      <c r="G141" s="7" t="n">
        <f aca="false">G140+D141</f>
        <v>1131.5</v>
      </c>
      <c r="H141" s="7" t="n">
        <f aca="false">H140+D141</f>
        <v>68.3</v>
      </c>
      <c r="J141" s="7" t="n">
        <v>0</v>
      </c>
      <c r="K141" s="7" t="n">
        <f aca="false">K140+J141</f>
        <v>175.8</v>
      </c>
      <c r="L141" s="7" t="n">
        <v>0.3</v>
      </c>
      <c r="M141" s="7" t="n">
        <f aca="false">M140+L141</f>
        <v>123.4</v>
      </c>
      <c r="N141" s="9" t="n">
        <v>-0.3</v>
      </c>
      <c r="O141" s="7" t="n">
        <f aca="false">O140+N141</f>
        <v>101.7</v>
      </c>
      <c r="P141" s="7" t="n">
        <v>97</v>
      </c>
      <c r="Q141" s="7" t="n">
        <v>1</v>
      </c>
      <c r="R141" s="10" t="n">
        <f aca="false">Q141*L141</f>
        <v>0.3</v>
      </c>
      <c r="S141" s="10" t="n">
        <f aca="false">J141-R141</f>
        <v>-0.3</v>
      </c>
      <c r="T141" s="10" t="n">
        <f aca="false">MIN(138.9,(T140+S141))</f>
        <v>117.389594594595</v>
      </c>
      <c r="V141" s="7" t="n">
        <v>368.2</v>
      </c>
      <c r="X141" s="7" t="n">
        <f aca="false">X140+V141</f>
        <v>63360</v>
      </c>
      <c r="Y141" s="7" t="n">
        <f aca="false">Y140+V141</f>
        <v>3135.8</v>
      </c>
      <c r="AA141" s="7" t="n">
        <v>8.48454250390166</v>
      </c>
    </row>
    <row r="142" s="7" customFormat="true" ht="15" hidden="false" customHeight="false" outlineLevel="0" collapsed="false">
      <c r="A142" s="21"/>
      <c r="B142" s="22"/>
      <c r="C142" s="8" t="n">
        <v>41988</v>
      </c>
      <c r="D142" s="7" t="n">
        <v>3</v>
      </c>
      <c r="E142" s="7" t="n">
        <v>-2</v>
      </c>
      <c r="F142" s="7" t="n">
        <v>6.7</v>
      </c>
      <c r="G142" s="7" t="n">
        <f aca="false">G141+D142</f>
        <v>1134.5</v>
      </c>
      <c r="H142" s="7" t="n">
        <f aca="false">H141+D142</f>
        <v>71.3</v>
      </c>
      <c r="J142" s="7" t="n">
        <v>1.6</v>
      </c>
      <c r="K142" s="7" t="n">
        <f aca="false">K141+J142</f>
        <v>177.4</v>
      </c>
      <c r="L142" s="7" t="n">
        <v>0.1</v>
      </c>
      <c r="M142" s="7" t="n">
        <f aca="false">M141+L142</f>
        <v>123.5</v>
      </c>
      <c r="N142" s="7" t="n">
        <v>1.5</v>
      </c>
      <c r="O142" s="7" t="n">
        <f aca="false">O141+N142</f>
        <v>103.2</v>
      </c>
      <c r="P142" s="7" t="n">
        <v>98</v>
      </c>
      <c r="Q142" s="7" t="n">
        <v>1</v>
      </c>
      <c r="R142" s="10" t="n">
        <f aca="false">Q142*L142</f>
        <v>0.1</v>
      </c>
      <c r="S142" s="10" t="n">
        <f aca="false">J142-R142</f>
        <v>1.5</v>
      </c>
      <c r="T142" s="10" t="n">
        <f aca="false">MIN(138.9,(T141+S142))</f>
        <v>118.889594594595</v>
      </c>
      <c r="U142" s="10" t="n">
        <f aca="false">(U138*100)/138.9</f>
        <v>94.795798931868</v>
      </c>
      <c r="V142" s="7" t="n">
        <v>173.3</v>
      </c>
      <c r="X142" s="7" t="n">
        <f aca="false">X141+V142</f>
        <v>63533.3</v>
      </c>
      <c r="Y142" s="7" t="n">
        <f aca="false">Y141+V142</f>
        <v>3309.1</v>
      </c>
      <c r="AA142" s="7" t="n">
        <v>8.47415274607595</v>
      </c>
    </row>
    <row r="143" s="7" customFormat="true" ht="15" hidden="false" customHeight="false" outlineLevel="0" collapsed="false">
      <c r="A143" s="21"/>
      <c r="B143" s="13"/>
      <c r="C143" s="8" t="n">
        <v>41989</v>
      </c>
      <c r="D143" s="7" t="n">
        <v>6.3</v>
      </c>
      <c r="E143" s="7" t="n">
        <v>4.8</v>
      </c>
      <c r="F143" s="7" t="n">
        <v>8</v>
      </c>
      <c r="G143" s="7" t="n">
        <f aca="false">G142+D143</f>
        <v>1140.8</v>
      </c>
      <c r="H143" s="7" t="n">
        <f aca="false">H142+D143</f>
        <v>77.6</v>
      </c>
      <c r="J143" s="7" t="n">
        <v>5.2</v>
      </c>
      <c r="K143" s="7" t="n">
        <f aca="false">K142+J143</f>
        <v>182.6</v>
      </c>
      <c r="L143" s="7" t="n">
        <v>0.1</v>
      </c>
      <c r="M143" s="7" t="n">
        <f aca="false">M142+L143</f>
        <v>123.6</v>
      </c>
      <c r="N143" s="7" t="n">
        <v>5.1</v>
      </c>
      <c r="O143" s="7" t="n">
        <f aca="false">O142+N143</f>
        <v>108.3</v>
      </c>
      <c r="P143" s="7" t="n">
        <v>99</v>
      </c>
      <c r="Q143" s="7" t="n">
        <v>1</v>
      </c>
      <c r="R143" s="10" t="n">
        <f aca="false">Q143*L143</f>
        <v>0.1</v>
      </c>
      <c r="S143" s="10" t="n">
        <f aca="false">J143-R143</f>
        <v>5.1</v>
      </c>
      <c r="T143" s="10" t="n">
        <f aca="false">MIN(138.9,(T142+S143))</f>
        <v>123.989594594595</v>
      </c>
      <c r="V143" s="7" t="n">
        <v>156.1</v>
      </c>
      <c r="X143" s="7" t="n">
        <f aca="false">X142+V143</f>
        <v>63689.4</v>
      </c>
      <c r="Y143" s="7" t="n">
        <f aca="false">Y142+V143</f>
        <v>3465.2</v>
      </c>
      <c r="AA143" s="7" t="n">
        <v>8.46522636747486</v>
      </c>
    </row>
    <row r="144" s="7" customFormat="true" ht="15" hidden="false" customHeight="false" outlineLevel="0" collapsed="false">
      <c r="A144" s="21"/>
      <c r="B144" s="13"/>
      <c r="C144" s="8" t="n">
        <v>41990</v>
      </c>
      <c r="D144" s="7" t="n">
        <v>9.3</v>
      </c>
      <c r="E144" s="7" t="n">
        <v>4.9</v>
      </c>
      <c r="F144" s="7" t="n">
        <v>12.6</v>
      </c>
      <c r="G144" s="7" t="n">
        <f aca="false">G143+D144</f>
        <v>1150.1</v>
      </c>
      <c r="H144" s="7" t="n">
        <f aca="false">H143+D144</f>
        <v>86.9</v>
      </c>
      <c r="J144" s="7" t="n">
        <v>3</v>
      </c>
      <c r="K144" s="7" t="n">
        <f aca="false">K143+J144</f>
        <v>185.6</v>
      </c>
      <c r="L144" s="7" t="n">
        <v>0.2</v>
      </c>
      <c r="M144" s="7" t="n">
        <f aca="false">M143+L144</f>
        <v>123.8</v>
      </c>
      <c r="N144" s="7" t="n">
        <v>2.8</v>
      </c>
      <c r="O144" s="7" t="n">
        <f aca="false">O143+N144</f>
        <v>111.1</v>
      </c>
      <c r="P144" s="7" t="n">
        <v>100</v>
      </c>
      <c r="Q144" s="7" t="n">
        <v>1</v>
      </c>
      <c r="R144" s="10" t="n">
        <f aca="false">Q144*L144</f>
        <v>0.2</v>
      </c>
      <c r="S144" s="10" t="n">
        <f aca="false">J144-R144</f>
        <v>2.8</v>
      </c>
      <c r="T144" s="10" t="n">
        <f aca="false">MIN(138.9,(T143+S144))</f>
        <v>126.789594594595</v>
      </c>
      <c r="V144" s="7" t="n">
        <v>106.2</v>
      </c>
      <c r="X144" s="7" t="n">
        <f aca="false">X143+V144</f>
        <v>63795.6</v>
      </c>
      <c r="Y144" s="7" t="n">
        <f aca="false">Y143+V144</f>
        <v>3571.4</v>
      </c>
      <c r="AA144" s="7" t="n">
        <v>8.4577742239032</v>
      </c>
    </row>
    <row r="145" s="7" customFormat="true" ht="15" hidden="false" customHeight="false" outlineLevel="0" collapsed="false">
      <c r="A145" s="21"/>
      <c r="B145" s="13"/>
      <c r="C145" s="8" t="n">
        <v>41991</v>
      </c>
      <c r="D145" s="7" t="n">
        <v>11.9</v>
      </c>
      <c r="E145" s="7" t="n">
        <v>11.4</v>
      </c>
      <c r="F145" s="7" t="n">
        <v>12.5</v>
      </c>
      <c r="G145" s="7" t="n">
        <f aca="false">G144+D145</f>
        <v>1162</v>
      </c>
      <c r="H145" s="7" t="n">
        <f aca="false">H144+D145</f>
        <v>98.8</v>
      </c>
      <c r="J145" s="7" t="n">
        <v>0.6</v>
      </c>
      <c r="K145" s="7" t="n">
        <f aca="false">K144+J145</f>
        <v>186.2</v>
      </c>
      <c r="L145" s="7" t="n">
        <v>0.4</v>
      </c>
      <c r="M145" s="7" t="n">
        <f aca="false">M144+L145</f>
        <v>124.2</v>
      </c>
      <c r="N145" s="7" t="n">
        <v>0.2</v>
      </c>
      <c r="O145" s="7" t="n">
        <f aca="false">O144+N145</f>
        <v>111.3</v>
      </c>
      <c r="P145" s="7" t="n">
        <v>101</v>
      </c>
      <c r="Q145" s="7" t="n">
        <v>1</v>
      </c>
      <c r="R145" s="10" t="n">
        <f aca="false">Q145*L145</f>
        <v>0.4</v>
      </c>
      <c r="S145" s="10" t="n">
        <f aca="false">J145-R145</f>
        <v>0.2</v>
      </c>
      <c r="T145" s="10" t="n">
        <f aca="false">MIN(138.9,(T144+S145))</f>
        <v>126.989594594595</v>
      </c>
      <c r="V145" s="7" t="n">
        <v>96.1</v>
      </c>
      <c r="X145" s="7" t="n">
        <f aca="false">X144+V145</f>
        <v>63891.7</v>
      </c>
      <c r="Y145" s="7" t="n">
        <f aca="false">Y144+V145</f>
        <v>3667.5</v>
      </c>
      <c r="AA145" s="7" t="n">
        <v>8.45180552358154</v>
      </c>
    </row>
    <row r="146" s="7" customFormat="true" ht="15" hidden="false" customHeight="false" outlineLevel="0" collapsed="false">
      <c r="A146" s="21"/>
      <c r="B146" s="13"/>
      <c r="C146" s="8" t="n">
        <v>41992</v>
      </c>
      <c r="D146" s="7" t="n">
        <v>10.5</v>
      </c>
      <c r="E146" s="7" t="n">
        <v>10.6</v>
      </c>
      <c r="F146" s="7" t="n">
        <v>12.2</v>
      </c>
      <c r="G146" s="7" t="n">
        <f aca="false">G145+D146</f>
        <v>1172.5</v>
      </c>
      <c r="H146" s="7" t="n">
        <f aca="false">H145+D146</f>
        <v>109.3</v>
      </c>
      <c r="J146" s="7" t="n">
        <v>2.6</v>
      </c>
      <c r="K146" s="7" t="n">
        <f aca="false">K145+J146</f>
        <v>188.8</v>
      </c>
      <c r="L146" s="7" t="n">
        <v>0.7</v>
      </c>
      <c r="M146" s="7" t="n">
        <f aca="false">M145+L146</f>
        <v>124.9</v>
      </c>
      <c r="N146" s="7" t="n">
        <v>1.9</v>
      </c>
      <c r="O146" s="7" t="n">
        <f aca="false">O145+N146</f>
        <v>113.2</v>
      </c>
      <c r="P146" s="7" t="n">
        <v>102</v>
      </c>
      <c r="Q146" s="7" t="n">
        <v>1</v>
      </c>
      <c r="R146" s="10" t="n">
        <f aca="false">Q146*L146</f>
        <v>0.7</v>
      </c>
      <c r="S146" s="10" t="n">
        <f aca="false">J146-R146</f>
        <v>1.9</v>
      </c>
      <c r="T146" s="10" t="n">
        <f aca="false">MIN(138.9,(T145+S146))</f>
        <v>128.889594594595</v>
      </c>
      <c r="V146" s="7" t="n">
        <v>66.4</v>
      </c>
      <c r="X146" s="7" t="n">
        <f aca="false">X145+V146</f>
        <v>63958.1</v>
      </c>
      <c r="Y146" s="7" t="n">
        <f aca="false">Y145+V146</f>
        <v>3733.9</v>
      </c>
      <c r="AA146" s="7" t="n">
        <v>8.4473277883375</v>
      </c>
    </row>
    <row r="147" s="7" customFormat="true" ht="15" hidden="false" customHeight="false" outlineLevel="0" collapsed="false">
      <c r="A147" s="21"/>
      <c r="B147" s="13"/>
      <c r="C147" s="8" t="n">
        <v>41993</v>
      </c>
      <c r="D147" s="7" t="n">
        <v>6.9</v>
      </c>
      <c r="E147" s="7" t="n">
        <v>5</v>
      </c>
      <c r="F147" s="7" t="n">
        <v>8.1</v>
      </c>
      <c r="G147" s="7" t="n">
        <f aca="false">G146+D147</f>
        <v>1179.4</v>
      </c>
      <c r="H147" s="7" t="n">
        <f aca="false">H146+D147</f>
        <v>116.2</v>
      </c>
      <c r="J147" s="7" t="n">
        <v>0</v>
      </c>
      <c r="K147" s="7" t="n">
        <f aca="false">K146+J147</f>
        <v>188.8</v>
      </c>
      <c r="L147" s="7" t="n">
        <v>0.4</v>
      </c>
      <c r="M147" s="7" t="n">
        <f aca="false">M146+L147</f>
        <v>125.3</v>
      </c>
      <c r="N147" s="9" t="n">
        <v>-0.4</v>
      </c>
      <c r="O147" s="7" t="n">
        <f aca="false">O146+N147</f>
        <v>112.8</v>
      </c>
      <c r="P147" s="7" t="n">
        <v>103</v>
      </c>
      <c r="Q147" s="7" t="n">
        <v>1</v>
      </c>
      <c r="R147" s="10" t="n">
        <f aca="false">Q147*L147</f>
        <v>0.4</v>
      </c>
      <c r="S147" s="10" t="n">
        <f aca="false">J147-R147</f>
        <v>-0.4</v>
      </c>
      <c r="T147" s="10" t="n">
        <f aca="false">MIN(138.9,(T146+S147))</f>
        <v>128.489594594595</v>
      </c>
      <c r="V147" s="7" t="n">
        <v>106.3</v>
      </c>
      <c r="X147" s="7" t="n">
        <f aca="false">X146+V147</f>
        <v>64064.4</v>
      </c>
      <c r="Y147" s="7" t="n">
        <f aca="false">Y146+V147</f>
        <v>3840.2</v>
      </c>
      <c r="AA147" s="7" t="n">
        <v>8.44434682165486</v>
      </c>
    </row>
    <row r="148" s="7" customFormat="true" ht="15" hidden="false" customHeight="false" outlineLevel="0" collapsed="false">
      <c r="A148" s="21"/>
      <c r="B148" s="13"/>
      <c r="C148" s="8" t="n">
        <v>41994</v>
      </c>
      <c r="D148" s="7" t="n">
        <v>7.6</v>
      </c>
      <c r="E148" s="7" t="n">
        <v>6.7</v>
      </c>
      <c r="F148" s="7" t="n">
        <v>8.7</v>
      </c>
      <c r="G148" s="7" t="n">
        <f aca="false">G147+D148</f>
        <v>1187</v>
      </c>
      <c r="H148" s="7" t="n">
        <f aca="false">H147+D148</f>
        <v>123.8</v>
      </c>
      <c r="J148" s="7" t="n">
        <v>0</v>
      </c>
      <c r="K148" s="7" t="n">
        <f aca="false">K147+J148</f>
        <v>188.8</v>
      </c>
      <c r="L148" s="7" t="n">
        <v>0.7</v>
      </c>
      <c r="M148" s="7" t="n">
        <f aca="false">M147+L148</f>
        <v>126</v>
      </c>
      <c r="N148" s="9" t="n">
        <v>-0.7</v>
      </c>
      <c r="O148" s="7" t="n">
        <f aca="false">O147+N148</f>
        <v>112.1</v>
      </c>
      <c r="P148" s="7" t="n">
        <v>104</v>
      </c>
      <c r="Q148" s="7" t="n">
        <v>1</v>
      </c>
      <c r="R148" s="10" t="n">
        <f aca="false">Q148*L148</f>
        <v>0.7</v>
      </c>
      <c r="S148" s="10" t="n">
        <f aca="false">J148-R148</f>
        <v>-0.7</v>
      </c>
      <c r="T148" s="10" t="n">
        <f aca="false">MIN(138.9,(T147+S148))</f>
        <v>127.789594594595</v>
      </c>
      <c r="V148" s="7" t="n">
        <v>107.9</v>
      </c>
      <c r="X148" s="7" t="n">
        <f aca="false">X147+V148</f>
        <v>64172.3</v>
      </c>
      <c r="Y148" s="7" t="n">
        <f aca="false">Y147+V148</f>
        <v>3948.1</v>
      </c>
      <c r="AA148" s="7" t="n">
        <v>8.44286668386047</v>
      </c>
    </row>
    <row r="149" s="7" customFormat="true" ht="15" hidden="false" customHeight="false" outlineLevel="0" collapsed="false">
      <c r="A149" s="21"/>
      <c r="B149" s="13"/>
      <c r="C149" s="8" t="n">
        <v>41995</v>
      </c>
      <c r="D149" s="7" t="n">
        <v>8.4</v>
      </c>
      <c r="E149" s="7" t="n">
        <v>7.4</v>
      </c>
      <c r="F149" s="7" t="n">
        <v>9.5</v>
      </c>
      <c r="G149" s="7" t="n">
        <f aca="false">G148+D149</f>
        <v>1195.4</v>
      </c>
      <c r="H149" s="7" t="n">
        <f aca="false">H148+D149</f>
        <v>132.2</v>
      </c>
      <c r="J149" s="7" t="n">
        <v>0</v>
      </c>
      <c r="K149" s="7" t="n">
        <f aca="false">K148+J149</f>
        <v>188.8</v>
      </c>
      <c r="L149" s="7" t="n">
        <v>0.8</v>
      </c>
      <c r="M149" s="7" t="n">
        <f aca="false">M148+L149</f>
        <v>126.8</v>
      </c>
      <c r="N149" s="9" t="n">
        <v>-0.8</v>
      </c>
      <c r="O149" s="7" t="n">
        <f aca="false">O148+N149</f>
        <v>111.3</v>
      </c>
      <c r="P149" s="7" t="n">
        <v>105</v>
      </c>
      <c r="Q149" s="7" t="n">
        <v>1</v>
      </c>
      <c r="R149" s="10" t="n">
        <f aca="false">Q149*L149</f>
        <v>0.8</v>
      </c>
      <c r="S149" s="10" t="n">
        <f aca="false">J149-R149</f>
        <v>-0.8</v>
      </c>
      <c r="T149" s="10" t="n">
        <f aca="false">MIN(138.9,(T148+S149))</f>
        <v>126.989594594595</v>
      </c>
      <c r="V149" s="7" t="n">
        <v>108.3</v>
      </c>
      <c r="X149" s="7" t="n">
        <f aca="false">X148+V149</f>
        <v>64280.6</v>
      </c>
      <c r="Y149" s="7" t="n">
        <f aca="false">Y148+V149</f>
        <v>4056.4</v>
      </c>
      <c r="AA149" s="7" t="n">
        <v>8.44288967466843</v>
      </c>
    </row>
    <row r="150" s="7" customFormat="true" ht="15" hidden="false" customHeight="false" outlineLevel="0" collapsed="false">
      <c r="A150" s="21"/>
      <c r="B150" s="13"/>
      <c r="C150" s="8" t="n">
        <v>41996</v>
      </c>
      <c r="D150" s="7" t="n">
        <v>5.6</v>
      </c>
      <c r="E150" s="7" t="n">
        <v>4.5</v>
      </c>
      <c r="F150" s="7" t="n">
        <v>7.4</v>
      </c>
      <c r="G150" s="7" t="n">
        <f aca="false">G149+D150</f>
        <v>1201</v>
      </c>
      <c r="H150" s="7" t="n">
        <f aca="false">H149+D150</f>
        <v>137.8</v>
      </c>
      <c r="J150" s="7" t="n">
        <v>0</v>
      </c>
      <c r="K150" s="7" t="n">
        <f aca="false">K149+J150</f>
        <v>188.8</v>
      </c>
      <c r="L150" s="7" t="n">
        <v>0.4</v>
      </c>
      <c r="M150" s="7" t="n">
        <f aca="false">M149+L150</f>
        <v>127.2</v>
      </c>
      <c r="N150" s="9" t="n">
        <v>-0.4</v>
      </c>
      <c r="O150" s="7" t="n">
        <f aca="false">O149+N150</f>
        <v>110.9</v>
      </c>
      <c r="P150" s="7" t="n">
        <v>106</v>
      </c>
      <c r="Q150" s="7" t="n">
        <v>1</v>
      </c>
      <c r="R150" s="10" t="n">
        <f aca="false">Q150*L150</f>
        <v>0.4</v>
      </c>
      <c r="S150" s="10" t="n">
        <f aca="false">J150-R150</f>
        <v>-0.4</v>
      </c>
      <c r="T150" s="10" t="n">
        <f aca="false">MIN(138.9,(T149+S150))</f>
        <v>126.589594594595</v>
      </c>
      <c r="V150" s="7" t="n">
        <v>111</v>
      </c>
      <c r="X150" s="7" t="n">
        <f aca="false">X149+V150</f>
        <v>64391.6</v>
      </c>
      <c r="Y150" s="7" t="n">
        <f aca="false">Y149+V150</f>
        <v>4167.4</v>
      </c>
      <c r="AA150" s="7" t="n">
        <v>8.44441632323675</v>
      </c>
    </row>
    <row r="151" s="7" customFormat="true" ht="15" hidden="false" customHeight="false" outlineLevel="0" collapsed="false">
      <c r="A151" s="21"/>
      <c r="B151" s="13"/>
      <c r="C151" s="8" t="n">
        <v>41997</v>
      </c>
      <c r="D151" s="7" t="n">
        <v>7.9</v>
      </c>
      <c r="E151" s="7" t="n">
        <v>4.7</v>
      </c>
      <c r="F151" s="7" t="n">
        <v>8.6</v>
      </c>
      <c r="G151" s="7" t="n">
        <f aca="false">G150+D151</f>
        <v>1208.9</v>
      </c>
      <c r="H151" s="7" t="n">
        <f aca="false">H150+D151</f>
        <v>145.7</v>
      </c>
      <c r="J151" s="7" t="n">
        <v>1.4</v>
      </c>
      <c r="K151" s="7" t="n">
        <f aca="false">K150+J151</f>
        <v>190.2</v>
      </c>
      <c r="L151" s="7" t="n">
        <v>0.1</v>
      </c>
      <c r="M151" s="7" t="n">
        <f aca="false">M150+L151</f>
        <v>127.3</v>
      </c>
      <c r="N151" s="7" t="n">
        <v>1.3</v>
      </c>
      <c r="O151" s="7" t="n">
        <f aca="false">O150+N151</f>
        <v>112.2</v>
      </c>
      <c r="P151" s="7" t="n">
        <v>107</v>
      </c>
      <c r="Q151" s="7" t="n">
        <v>1</v>
      </c>
      <c r="R151" s="10" t="n">
        <f aca="false">Q151*L151</f>
        <v>0.1</v>
      </c>
      <c r="S151" s="10" t="n">
        <f aca="false">J151-R151</f>
        <v>1.3</v>
      </c>
      <c r="T151" s="10" t="n">
        <f aca="false">MIN(138.9,(T150+S151))</f>
        <v>127.889594594595</v>
      </c>
      <c r="V151" s="7" t="n">
        <v>127.1</v>
      </c>
      <c r="X151" s="7" t="n">
        <f aca="false">X150+V151</f>
        <v>64518.7</v>
      </c>
      <c r="Y151" s="7" t="n">
        <f aca="false">Y150+V151</f>
        <v>4294.5</v>
      </c>
      <c r="AA151" s="7" t="n">
        <v>8.4474453858254</v>
      </c>
    </row>
    <row r="152" s="7" customFormat="true" ht="15" hidden="false" customHeight="false" outlineLevel="0" collapsed="false">
      <c r="A152" s="21"/>
      <c r="B152" s="13"/>
      <c r="C152" s="8" t="n">
        <v>41998</v>
      </c>
      <c r="D152" s="7" t="n">
        <v>5.4</v>
      </c>
      <c r="E152" s="7" t="n">
        <v>4</v>
      </c>
      <c r="F152" s="7" t="n">
        <v>8.9</v>
      </c>
      <c r="G152" s="7" t="n">
        <f aca="false">G151+D152</f>
        <v>1214.3</v>
      </c>
      <c r="H152" s="7" t="n">
        <f aca="false">H151+D152</f>
        <v>151.1</v>
      </c>
      <c r="J152" s="7" t="n">
        <v>0</v>
      </c>
      <c r="K152" s="7" t="n">
        <f aca="false">K151+J152</f>
        <v>190.2</v>
      </c>
      <c r="L152" s="7" t="n">
        <v>0.4</v>
      </c>
      <c r="M152" s="7" t="n">
        <f aca="false">M151+L152</f>
        <v>127.7</v>
      </c>
      <c r="N152" s="9" t="n">
        <v>-0.4</v>
      </c>
      <c r="O152" s="7" t="n">
        <f aca="false">O151+N152</f>
        <v>111.8</v>
      </c>
      <c r="P152" s="7" t="n">
        <v>108</v>
      </c>
      <c r="Q152" s="7" t="n">
        <v>1</v>
      </c>
      <c r="R152" s="10" t="n">
        <f aca="false">Q152*L152</f>
        <v>0.4</v>
      </c>
      <c r="S152" s="10" t="n">
        <f aca="false">J152-R152</f>
        <v>-0.4</v>
      </c>
      <c r="T152" s="10" t="n">
        <f aca="false">MIN(138.9,(T151+S152))</f>
        <v>127.489594594595</v>
      </c>
      <c r="V152" s="7" t="n">
        <v>268.9</v>
      </c>
      <c r="X152" s="7" t="n">
        <f aca="false">X151+V152</f>
        <v>64787.6</v>
      </c>
      <c r="Y152" s="7" t="n">
        <f aca="false">Y151+V152</f>
        <v>4563.4</v>
      </c>
      <c r="AA152" s="7" t="n">
        <v>8.45197385107664</v>
      </c>
    </row>
    <row r="153" s="7" customFormat="true" ht="15" hidden="false" customHeight="false" outlineLevel="0" collapsed="false">
      <c r="A153" s="21"/>
      <c r="B153" s="22"/>
      <c r="C153" s="8" t="n">
        <v>41999</v>
      </c>
      <c r="D153" s="7" t="n">
        <v>2.9</v>
      </c>
      <c r="E153" s="7" t="n">
        <v>-1.3</v>
      </c>
      <c r="F153" s="7" t="n">
        <v>8.3</v>
      </c>
      <c r="G153" s="7" t="n">
        <f aca="false">G152+D153</f>
        <v>1217.2</v>
      </c>
      <c r="H153" s="7" t="n">
        <f aca="false">H152+D153</f>
        <v>154</v>
      </c>
      <c r="J153" s="7" t="n">
        <v>9.1</v>
      </c>
      <c r="K153" s="7" t="n">
        <f aca="false">K152+J153</f>
        <v>199.3</v>
      </c>
      <c r="L153" s="7" t="n">
        <v>0.4</v>
      </c>
      <c r="M153" s="7" t="n">
        <f aca="false">M152+L153</f>
        <v>128.1</v>
      </c>
      <c r="N153" s="7" t="n">
        <v>8.7</v>
      </c>
      <c r="O153" s="7" t="n">
        <f aca="false">O152+N153</f>
        <v>120.5</v>
      </c>
      <c r="P153" s="7" t="n">
        <v>109</v>
      </c>
      <c r="Q153" s="7" t="n">
        <v>1</v>
      </c>
      <c r="R153" s="10" t="n">
        <f aca="false">Q153*L153</f>
        <v>0.4</v>
      </c>
      <c r="S153" s="10" t="n">
        <f aca="false">J153-R153</f>
        <v>8.7</v>
      </c>
      <c r="T153" s="10" t="n">
        <f aca="false">MIN(138.9,(T152+S153))</f>
        <v>136.189594594595</v>
      </c>
      <c r="V153" s="7" t="n">
        <v>155.2</v>
      </c>
      <c r="X153" s="7" t="n">
        <f aca="false">X152+V153</f>
        <v>64942.8</v>
      </c>
      <c r="Y153" s="7" t="n">
        <f aca="false">Y152+V153</f>
        <v>4718.6</v>
      </c>
      <c r="AA153" s="7" t="n">
        <v>8.45799695287073</v>
      </c>
    </row>
    <row r="154" s="7" customFormat="true" ht="15" hidden="false" customHeight="false" outlineLevel="0" collapsed="false">
      <c r="A154" s="21"/>
      <c r="B154" s="13"/>
      <c r="C154" s="8" t="n">
        <v>42000</v>
      </c>
      <c r="D154" s="7" t="n">
        <v>5.8</v>
      </c>
      <c r="E154" s="7" t="n">
        <v>4.2</v>
      </c>
      <c r="F154" s="7" t="n">
        <v>8.1</v>
      </c>
      <c r="G154" s="7" t="n">
        <f aca="false">G153+D154</f>
        <v>1223</v>
      </c>
      <c r="H154" s="7" t="n">
        <f aca="false">H153+D154</f>
        <v>159.8</v>
      </c>
      <c r="J154" s="7" t="n">
        <v>0.1</v>
      </c>
      <c r="K154" s="7" t="n">
        <f aca="false">K153+J154</f>
        <v>199.4</v>
      </c>
      <c r="L154" s="7" t="n">
        <v>1.2</v>
      </c>
      <c r="M154" s="7" t="n">
        <f aca="false">M153+L154</f>
        <v>129.3</v>
      </c>
      <c r="N154" s="9" t="n">
        <v>-1.1</v>
      </c>
      <c r="O154" s="7" t="n">
        <f aca="false">O153+N154</f>
        <v>119.4</v>
      </c>
      <c r="P154" s="7" t="n">
        <v>110</v>
      </c>
      <c r="Q154" s="7" t="n">
        <v>1</v>
      </c>
      <c r="R154" s="10" t="n">
        <f aca="false">Q154*L154</f>
        <v>1.2</v>
      </c>
      <c r="S154" s="10" t="n">
        <f aca="false">J154-R154</f>
        <v>-1.1</v>
      </c>
      <c r="T154" s="10" t="n">
        <f aca="false">MIN(138.9,(T153+S154))</f>
        <v>135.089594594595</v>
      </c>
      <c r="V154" s="7" t="n">
        <v>173.5</v>
      </c>
      <c r="X154" s="7" t="n">
        <f aca="false">X153+V154</f>
        <v>65116.3</v>
      </c>
      <c r="Y154" s="7" t="n">
        <f aca="false">Y153+V154</f>
        <v>4892.1</v>
      </c>
      <c r="AA154" s="7" t="n">
        <v>8.46550819064236</v>
      </c>
    </row>
    <row r="155" s="7" customFormat="true" ht="15" hidden="false" customHeight="false" outlineLevel="0" collapsed="false">
      <c r="A155" s="21"/>
      <c r="B155" s="22"/>
      <c r="C155" s="8" t="n">
        <v>42001</v>
      </c>
      <c r="D155" s="7" t="n">
        <v>-0.3</v>
      </c>
      <c r="E155" s="7" t="n">
        <v>-1.5</v>
      </c>
      <c r="F155" s="7" t="n">
        <v>1.3</v>
      </c>
      <c r="G155" s="7" t="n">
        <v>1223</v>
      </c>
      <c r="H155" s="7" t="n">
        <v>159.8</v>
      </c>
      <c r="J155" s="7" t="n">
        <v>0</v>
      </c>
      <c r="K155" s="7" t="n">
        <f aca="false">K154+J155</f>
        <v>199.4</v>
      </c>
      <c r="L155" s="7" t="n">
        <v>0.7</v>
      </c>
      <c r="M155" s="7" t="n">
        <f aca="false">M154+L155</f>
        <v>130</v>
      </c>
      <c r="N155" s="9" t="n">
        <v>-0.7</v>
      </c>
      <c r="O155" s="7" t="n">
        <f aca="false">O154+N155</f>
        <v>118.7</v>
      </c>
      <c r="P155" s="7" t="n">
        <v>111</v>
      </c>
      <c r="Q155" s="7" t="n">
        <v>1</v>
      </c>
      <c r="R155" s="10" t="n">
        <f aca="false">Q155*L155</f>
        <v>0.7</v>
      </c>
      <c r="S155" s="10" t="n">
        <f aca="false">J155-R155</f>
        <v>-0.7</v>
      </c>
      <c r="T155" s="10" t="n">
        <f aca="false">MIN(138.9,(T154+S155))</f>
        <v>134.389594594595</v>
      </c>
      <c r="V155" s="7" t="n">
        <v>203.3</v>
      </c>
      <c r="X155" s="7" t="n">
        <f aca="false">X154+V155</f>
        <v>65319.6</v>
      </c>
      <c r="Y155" s="7" t="n">
        <f aca="false">Y154+V155</f>
        <v>5095.4</v>
      </c>
      <c r="AA155" s="7" t="n">
        <v>8.47449935697771</v>
      </c>
    </row>
    <row r="156" s="7" customFormat="true" ht="15" hidden="false" customHeight="false" outlineLevel="0" collapsed="false">
      <c r="A156" s="21"/>
      <c r="B156" s="22"/>
      <c r="C156" s="8" t="n">
        <v>42002</v>
      </c>
      <c r="D156" s="7" t="n">
        <v>-1.9</v>
      </c>
      <c r="E156" s="7" t="n">
        <v>-5.6</v>
      </c>
      <c r="F156" s="7" t="n">
        <v>1</v>
      </c>
      <c r="G156" s="7" t="n">
        <v>1223</v>
      </c>
      <c r="H156" s="7" t="n">
        <v>159.8</v>
      </c>
      <c r="J156" s="7" t="n">
        <v>0</v>
      </c>
      <c r="K156" s="7" t="n">
        <f aca="false">K155+J156</f>
        <v>199.4</v>
      </c>
      <c r="L156" s="7" t="n">
        <v>0.3</v>
      </c>
      <c r="M156" s="7" t="n">
        <f aca="false">M155+L156</f>
        <v>130.3</v>
      </c>
      <c r="N156" s="9" t="n">
        <v>-0.3</v>
      </c>
      <c r="O156" s="7" t="n">
        <f aca="false">O155+N156</f>
        <v>118.4</v>
      </c>
      <c r="P156" s="7" t="n">
        <v>112</v>
      </c>
      <c r="Q156" s="7" t="n">
        <v>1</v>
      </c>
      <c r="R156" s="10" t="n">
        <f aca="false">Q156*L156</f>
        <v>0.3</v>
      </c>
      <c r="S156" s="10" t="n">
        <f aca="false">J156-R156</f>
        <v>-0.3</v>
      </c>
      <c r="T156" s="10" t="n">
        <f aca="false">MIN(138.9,(T155+S156))</f>
        <v>134.089594594595</v>
      </c>
      <c r="V156" s="7" t="n">
        <v>253</v>
      </c>
      <c r="X156" s="7" t="n">
        <f aca="false">X155+V156</f>
        <v>65572.6</v>
      </c>
      <c r="Y156" s="7" t="n">
        <f aca="false">Y155+V156</f>
        <v>5348.4</v>
      </c>
      <c r="AA156" s="7" t="n">
        <v>8.48496057224903</v>
      </c>
    </row>
    <row r="157" s="7" customFormat="true" ht="15" hidden="false" customHeight="false" outlineLevel="0" collapsed="false">
      <c r="A157" s="21"/>
      <c r="B157" s="22"/>
      <c r="C157" s="8" t="n">
        <v>42003</v>
      </c>
      <c r="D157" s="7" t="n">
        <v>-0.1</v>
      </c>
      <c r="E157" s="7" t="n">
        <v>-1.7</v>
      </c>
      <c r="F157" s="7" t="n">
        <v>1.7</v>
      </c>
      <c r="G157" s="7" t="n">
        <v>1223</v>
      </c>
      <c r="H157" s="7" t="n">
        <v>159.8</v>
      </c>
      <c r="J157" s="7" t="n">
        <v>0.1</v>
      </c>
      <c r="K157" s="7" t="n">
        <f aca="false">K156+J157</f>
        <v>199.5</v>
      </c>
      <c r="L157" s="7" t="n">
        <v>0.2</v>
      </c>
      <c r="M157" s="7" t="n">
        <f aca="false">M156+L157</f>
        <v>130.5</v>
      </c>
      <c r="N157" s="9" t="n">
        <v>-0.1</v>
      </c>
      <c r="O157" s="7" t="n">
        <f aca="false">O156+N157</f>
        <v>118.3</v>
      </c>
      <c r="P157" s="7" t="n">
        <v>113</v>
      </c>
      <c r="Q157" s="7" t="n">
        <v>1</v>
      </c>
      <c r="R157" s="10" t="n">
        <f aca="false">Q157*L157</f>
        <v>0.2</v>
      </c>
      <c r="S157" s="10" t="n">
        <f aca="false">J157-R157</f>
        <v>-0.1</v>
      </c>
      <c r="T157" s="10" t="n">
        <f aca="false">MIN(138.9,(T156+S157))</f>
        <v>133.989594594595</v>
      </c>
      <c r="V157" s="7" t="n">
        <v>159.6</v>
      </c>
      <c r="X157" s="7" t="n">
        <f aca="false">X156+V157</f>
        <v>65732.2</v>
      </c>
      <c r="Y157" s="7" t="n">
        <f aca="false">Y156+V157</f>
        <v>5508</v>
      </c>
      <c r="AA157" s="7" t="n">
        <v>8.49688032598459</v>
      </c>
    </row>
    <row r="158" s="7" customFormat="true" ht="15" hidden="false" customHeight="false" outlineLevel="0" collapsed="false">
      <c r="A158" s="21"/>
      <c r="B158" s="22"/>
      <c r="C158" s="8" t="n">
        <v>42004</v>
      </c>
      <c r="D158" s="7" t="n">
        <v>-0.2</v>
      </c>
      <c r="E158" s="7" t="n">
        <v>-1</v>
      </c>
      <c r="F158" s="7" t="n">
        <v>3.4</v>
      </c>
      <c r="G158" s="7" t="n">
        <v>1223</v>
      </c>
      <c r="H158" s="7" t="n">
        <v>159.8</v>
      </c>
      <c r="J158" s="7" t="n">
        <v>0</v>
      </c>
      <c r="K158" s="7" t="n">
        <f aca="false">K157+J158</f>
        <v>199.5</v>
      </c>
      <c r="L158" s="7" t="n">
        <v>0.5</v>
      </c>
      <c r="M158" s="7" t="n">
        <f aca="false">M157+L158</f>
        <v>131</v>
      </c>
      <c r="N158" s="9" t="n">
        <v>-0.5</v>
      </c>
      <c r="O158" s="7" t="n">
        <f aca="false">O157+N158</f>
        <v>117.8</v>
      </c>
      <c r="P158" s="7" t="n">
        <v>114</v>
      </c>
      <c r="Q158" s="7" t="n">
        <v>1</v>
      </c>
      <c r="R158" s="10" t="n">
        <f aca="false">Q158*L158</f>
        <v>0.5</v>
      </c>
      <c r="S158" s="10" t="n">
        <f aca="false">J158-R158</f>
        <v>-0.5</v>
      </c>
      <c r="T158" s="10" t="n">
        <f aca="false">MIN(138.9,(T157+S158))</f>
        <v>133.489594594595</v>
      </c>
      <c r="V158" s="7" t="n">
        <v>422.5</v>
      </c>
      <c r="X158" s="7" t="n">
        <f aca="false">X157+V158</f>
        <v>66154.7</v>
      </c>
      <c r="Y158" s="7" t="n">
        <f aca="false">Y157+V158</f>
        <v>5930.5</v>
      </c>
      <c r="AA158" s="7" t="n">
        <v>8.51455615222843</v>
      </c>
    </row>
    <row r="159" s="7" customFormat="true" ht="15" hidden="false" customHeight="false" outlineLevel="0" collapsed="false">
      <c r="A159" s="21"/>
      <c r="B159" s="22"/>
      <c r="C159" s="8" t="n">
        <v>42005</v>
      </c>
      <c r="D159" s="7" t="n">
        <v>-0.2</v>
      </c>
      <c r="E159" s="7" t="n">
        <v>-4.5</v>
      </c>
      <c r="F159" s="7" t="n">
        <v>4.7</v>
      </c>
      <c r="G159" s="7" t="n">
        <v>1223</v>
      </c>
      <c r="H159" s="7" t="n">
        <v>159.8</v>
      </c>
      <c r="J159" s="7" t="n">
        <v>0.2</v>
      </c>
      <c r="K159" s="7" t="n">
        <f aca="false">K158+J159</f>
        <v>199.7</v>
      </c>
      <c r="L159" s="7" t="n">
        <v>0.5</v>
      </c>
      <c r="M159" s="7" t="n">
        <f aca="false">M158+L159</f>
        <v>131.5</v>
      </c>
      <c r="N159" s="9" t="n">
        <v>-0.3</v>
      </c>
      <c r="O159" s="7" t="n">
        <f aca="false">O158+N159</f>
        <v>117.5</v>
      </c>
      <c r="P159" s="7" t="n">
        <v>115</v>
      </c>
      <c r="Q159" s="7" t="n">
        <v>1</v>
      </c>
      <c r="R159" s="10" t="n">
        <f aca="false">Q159*L159</f>
        <v>0.5</v>
      </c>
      <c r="S159" s="10" t="n">
        <f aca="false">J159-R159</f>
        <v>-0.3</v>
      </c>
      <c r="T159" s="10" t="n">
        <f aca="false">MIN(138.9,(T158+S159))</f>
        <v>133.189594594595</v>
      </c>
      <c r="V159" s="7" t="n">
        <v>651.1</v>
      </c>
      <c r="X159" s="7" t="n">
        <f aca="false">X158+V159</f>
        <v>66805.8</v>
      </c>
      <c r="Y159" s="7" t="n">
        <f aca="false">Y158+V159</f>
        <v>6581.6</v>
      </c>
      <c r="AA159" s="7" t="n">
        <v>8.52978043303234</v>
      </c>
    </row>
    <row r="160" s="7" customFormat="true" ht="15" hidden="false" customHeight="false" outlineLevel="0" collapsed="false">
      <c r="A160" s="21"/>
      <c r="B160" s="22"/>
      <c r="C160" s="8" t="n">
        <v>42006</v>
      </c>
      <c r="D160" s="7" t="n">
        <v>3.2</v>
      </c>
      <c r="E160" s="7" t="n">
        <v>-0.7</v>
      </c>
      <c r="F160" s="7" t="n">
        <v>5</v>
      </c>
      <c r="G160" s="7" t="n">
        <f aca="false">G159+D160</f>
        <v>1226.2</v>
      </c>
      <c r="H160" s="7" t="n">
        <f aca="false">H159+D160</f>
        <v>163</v>
      </c>
      <c r="J160" s="7" t="n">
        <v>1.6</v>
      </c>
      <c r="K160" s="7" t="n">
        <f aca="false">K159+J160</f>
        <v>201.3</v>
      </c>
      <c r="L160" s="7" t="n">
        <v>0.1</v>
      </c>
      <c r="M160" s="7" t="n">
        <f aca="false">M159+L160</f>
        <v>131.6</v>
      </c>
      <c r="N160" s="7" t="n">
        <v>1.5</v>
      </c>
      <c r="O160" s="7" t="n">
        <f aca="false">O159+N160</f>
        <v>119</v>
      </c>
      <c r="P160" s="7" t="n">
        <v>116</v>
      </c>
      <c r="Q160" s="7" t="n">
        <v>1</v>
      </c>
      <c r="R160" s="10" t="n">
        <f aca="false">Q160*L160</f>
        <v>0.1</v>
      </c>
      <c r="S160" s="10" t="n">
        <f aca="false">J160-R160</f>
        <v>1.5</v>
      </c>
      <c r="T160" s="10" t="n">
        <f aca="false">MIN(138.9,(T159+S160))</f>
        <v>134.689594594595</v>
      </c>
      <c r="V160" s="7" t="n">
        <v>121.4</v>
      </c>
      <c r="X160" s="7" t="n">
        <f aca="false">X159+V160</f>
        <v>66927.2</v>
      </c>
      <c r="Y160" s="7" t="n">
        <f aca="false">Y159+V160</f>
        <v>6703</v>
      </c>
      <c r="AA160" s="7" t="n">
        <v>8.54641431225058</v>
      </c>
    </row>
    <row r="161" s="7" customFormat="true" ht="15" hidden="false" customHeight="false" outlineLevel="0" collapsed="false">
      <c r="A161" s="21"/>
      <c r="B161" s="13"/>
      <c r="C161" s="8" t="n">
        <v>42007</v>
      </c>
      <c r="D161" s="7" t="n">
        <v>9.2</v>
      </c>
      <c r="E161" s="7" t="n">
        <v>3.9</v>
      </c>
      <c r="F161" s="7" t="n">
        <v>12.1</v>
      </c>
      <c r="G161" s="7" t="n">
        <f aca="false">G160+D161</f>
        <v>1235.4</v>
      </c>
      <c r="H161" s="7" t="n">
        <f aca="false">H160+D161</f>
        <v>172.2</v>
      </c>
      <c r="J161" s="7" t="n">
        <v>2.2</v>
      </c>
      <c r="K161" s="7" t="n">
        <f aca="false">K160+J161</f>
        <v>203.5</v>
      </c>
      <c r="L161" s="7" t="n">
        <v>0</v>
      </c>
      <c r="M161" s="7" t="n">
        <f aca="false">M160+L161</f>
        <v>131.6</v>
      </c>
      <c r="N161" s="7" t="n">
        <v>2.2</v>
      </c>
      <c r="O161" s="7" t="n">
        <f aca="false">O160+N161</f>
        <v>121.2</v>
      </c>
      <c r="P161" s="7" t="n">
        <v>117</v>
      </c>
      <c r="Q161" s="7" t="n">
        <v>1</v>
      </c>
      <c r="R161" s="10" t="n">
        <f aca="false">Q161*L161</f>
        <v>0</v>
      </c>
      <c r="S161" s="10" t="n">
        <f aca="false">J161-R161</f>
        <v>2.2</v>
      </c>
      <c r="T161" s="10" t="n">
        <f aca="false">MIN(138.9,(T160+S161))</f>
        <v>136.889594594595</v>
      </c>
      <c r="V161" s="7" t="n">
        <v>62.5</v>
      </c>
      <c r="X161" s="7" t="n">
        <f aca="false">X160+V161</f>
        <v>66989.7</v>
      </c>
      <c r="Y161" s="7" t="n">
        <f aca="false">Y160+V161</f>
        <v>6765.5</v>
      </c>
      <c r="AA161" s="7" t="n">
        <v>8.56443988042291</v>
      </c>
    </row>
    <row r="162" s="7" customFormat="true" ht="15" hidden="false" customHeight="false" outlineLevel="0" collapsed="false">
      <c r="A162" s="21"/>
      <c r="B162" s="13"/>
      <c r="C162" s="8" t="n">
        <v>42008</v>
      </c>
      <c r="D162" s="7" t="n">
        <v>6.3</v>
      </c>
      <c r="E162" s="7" t="n">
        <v>3.8</v>
      </c>
      <c r="F162" s="7" t="n">
        <v>8.7</v>
      </c>
      <c r="G162" s="7" t="n">
        <f aca="false">G161+D162</f>
        <v>1241.7</v>
      </c>
      <c r="H162" s="7" t="n">
        <f aca="false">H161+D162</f>
        <v>178.5</v>
      </c>
      <c r="J162" s="7" t="n">
        <v>0.2</v>
      </c>
      <c r="K162" s="7" t="n">
        <f aca="false">K161+J162</f>
        <v>203.7</v>
      </c>
      <c r="L162" s="7" t="n">
        <v>0.1</v>
      </c>
      <c r="M162" s="7" t="n">
        <f aca="false">M161+L162</f>
        <v>131.7</v>
      </c>
      <c r="N162" s="7" t="n">
        <v>0.1</v>
      </c>
      <c r="O162" s="7" t="n">
        <f aca="false">O161+N162</f>
        <v>121.3</v>
      </c>
      <c r="P162" s="7" t="n">
        <v>118</v>
      </c>
      <c r="Q162" s="7" t="n">
        <v>1</v>
      </c>
      <c r="R162" s="10" t="n">
        <f aca="false">Q162*L162</f>
        <v>0.1</v>
      </c>
      <c r="S162" s="10" t="n">
        <f aca="false">J162-R162</f>
        <v>0.1</v>
      </c>
      <c r="T162" s="10" t="n">
        <f aca="false">MIN(138.9,(T161+S162))</f>
        <v>136.989594594595</v>
      </c>
      <c r="V162" s="7" t="n">
        <v>108</v>
      </c>
      <c r="X162" s="7" t="n">
        <f aca="false">X161+V162</f>
        <v>67097.7</v>
      </c>
      <c r="Y162" s="7" t="n">
        <f aca="false">Y161+V162</f>
        <v>6873.5</v>
      </c>
      <c r="AA162" s="7" t="n">
        <v>8.5838379125656</v>
      </c>
    </row>
    <row r="163" s="7" customFormat="true" ht="15" hidden="false" customHeight="false" outlineLevel="0" collapsed="false">
      <c r="A163" s="21"/>
      <c r="B163" s="22"/>
      <c r="C163" s="8" t="n">
        <v>42009</v>
      </c>
      <c r="D163" s="7" t="n">
        <v>1.9</v>
      </c>
      <c r="E163" s="7" t="n">
        <v>0.7</v>
      </c>
      <c r="F163" s="7" t="n">
        <v>3.2</v>
      </c>
      <c r="G163" s="7" t="n">
        <f aca="false">G162+D163</f>
        <v>1243.6</v>
      </c>
      <c r="H163" s="7" t="n">
        <f aca="false">H162+D163</f>
        <v>180.4</v>
      </c>
      <c r="J163" s="7" t="n">
        <v>0</v>
      </c>
      <c r="K163" s="7" t="n">
        <f aca="false">K162+J163</f>
        <v>203.7</v>
      </c>
      <c r="L163" s="7" t="n">
        <v>0.4</v>
      </c>
      <c r="M163" s="7" t="n">
        <f aca="false">M162+L163</f>
        <v>132.1</v>
      </c>
      <c r="N163" s="9" t="n">
        <v>-0.4</v>
      </c>
      <c r="O163" s="7" t="n">
        <f aca="false">O162+N163</f>
        <v>120.9</v>
      </c>
      <c r="P163" s="7" t="n">
        <v>119</v>
      </c>
      <c r="Q163" s="7" t="n">
        <v>1</v>
      </c>
      <c r="R163" s="10" t="n">
        <f aca="false">Q163*L163</f>
        <v>0.4</v>
      </c>
      <c r="S163" s="10" t="n">
        <f aca="false">J163-R163</f>
        <v>-0.4</v>
      </c>
      <c r="T163" s="10" t="n">
        <f aca="false">MIN(138.9,(T162+S163))</f>
        <v>136.589594594595</v>
      </c>
      <c r="V163" s="7" t="n">
        <v>356.7</v>
      </c>
      <c r="X163" s="7" t="n">
        <f aca="false">X162+V163</f>
        <v>67454.4</v>
      </c>
      <c r="Y163" s="7" t="n">
        <f aca="false">Y162+V163</f>
        <v>7230.2</v>
      </c>
      <c r="AA163" s="7" t="n">
        <v>8.60458794202702</v>
      </c>
    </row>
    <row r="164" s="7" customFormat="true" ht="15" hidden="false" customHeight="false" outlineLevel="0" collapsed="false">
      <c r="A164" s="21"/>
      <c r="B164" s="22"/>
      <c r="C164" s="8" t="n">
        <v>42010</v>
      </c>
      <c r="D164" s="7" t="n">
        <v>2.3</v>
      </c>
      <c r="E164" s="7" t="n">
        <v>-1</v>
      </c>
      <c r="F164" s="7" t="n">
        <v>5.2</v>
      </c>
      <c r="G164" s="7" t="n">
        <f aca="false">G163+D164</f>
        <v>1245.9</v>
      </c>
      <c r="H164" s="7" t="n">
        <f aca="false">H163+D164</f>
        <v>182.7</v>
      </c>
      <c r="J164" s="7" t="n">
        <v>1.3</v>
      </c>
      <c r="K164" s="7" t="n">
        <f aca="false">K163+J164</f>
        <v>205</v>
      </c>
      <c r="L164" s="7" t="n">
        <v>0.2</v>
      </c>
      <c r="M164" s="7" t="n">
        <f aca="false">M163+L164</f>
        <v>132.3</v>
      </c>
      <c r="N164" s="7" t="n">
        <v>1.1</v>
      </c>
      <c r="O164" s="7" t="n">
        <f aca="false">O163+N164</f>
        <v>122</v>
      </c>
      <c r="P164" s="7" t="n">
        <v>120</v>
      </c>
      <c r="Q164" s="7" t="n">
        <v>1</v>
      </c>
      <c r="R164" s="10" t="n">
        <f aca="false">Q164*L164</f>
        <v>0.2</v>
      </c>
      <c r="S164" s="10" t="n">
        <f aca="false">J164-R164</f>
        <v>1.1</v>
      </c>
      <c r="T164" s="10" t="n">
        <f aca="false">MIN(138.9,(T163+S164))</f>
        <v>137.689594594595</v>
      </c>
      <c r="V164" s="7" t="n">
        <v>192.2</v>
      </c>
      <c r="X164" s="7" t="n">
        <f aca="false">X163+V164</f>
        <v>67646.6</v>
      </c>
      <c r="Y164" s="7" t="n">
        <f aca="false">Y163+V164</f>
        <v>7422.4</v>
      </c>
      <c r="AA164" s="7" t="n">
        <v>8.62666833758886</v>
      </c>
    </row>
    <row r="165" s="7" customFormat="true" ht="15" hidden="false" customHeight="false" outlineLevel="0" collapsed="false">
      <c r="A165" s="21"/>
      <c r="B165" s="13"/>
      <c r="C165" s="8" t="n">
        <v>42011</v>
      </c>
      <c r="D165" s="7" t="n">
        <v>5.7</v>
      </c>
      <c r="E165" s="7" t="n">
        <v>4.6</v>
      </c>
      <c r="F165" s="7" t="n">
        <v>9.1</v>
      </c>
      <c r="G165" s="7" t="n">
        <f aca="false">G164+D165</f>
        <v>1251.6</v>
      </c>
      <c r="H165" s="7" t="n">
        <f aca="false">H164+D165</f>
        <v>188.4</v>
      </c>
      <c r="J165" s="7" t="n">
        <v>0</v>
      </c>
      <c r="K165" s="7" t="n">
        <f aca="false">K164+J165</f>
        <v>205</v>
      </c>
      <c r="L165" s="7" t="n">
        <v>0.4</v>
      </c>
      <c r="M165" s="7" t="n">
        <f aca="false">M164+L165</f>
        <v>132.7</v>
      </c>
      <c r="N165" s="9" t="n">
        <v>-0.4</v>
      </c>
      <c r="O165" s="7" t="n">
        <f aca="false">O164+N165</f>
        <v>121.6</v>
      </c>
      <c r="P165" s="7" t="n">
        <v>121</v>
      </c>
      <c r="Q165" s="7" t="n">
        <v>1</v>
      </c>
      <c r="R165" s="10" t="n">
        <f aca="false">Q165*L165</f>
        <v>0.4</v>
      </c>
      <c r="S165" s="10" t="n">
        <f aca="false">J165-R165</f>
        <v>-0.4</v>
      </c>
      <c r="T165" s="10" t="n">
        <f aca="false">MIN(138.9,(T164+S165))</f>
        <v>137.289594594595</v>
      </c>
      <c r="V165" s="7" t="n">
        <v>204.4</v>
      </c>
      <c r="X165" s="7" t="n">
        <f aca="false">X164+V165</f>
        <v>67851</v>
      </c>
      <c r="Y165" s="7" t="n">
        <f aca="false">Y164+V165</f>
        <v>7626.8</v>
      </c>
      <c r="AA165" s="7" t="n">
        <v>8.65005638324334</v>
      </c>
    </row>
    <row r="166" s="7" customFormat="true" ht="15" hidden="false" customHeight="false" outlineLevel="0" collapsed="false">
      <c r="A166" s="21"/>
      <c r="B166" s="13"/>
      <c r="C166" s="8" t="n">
        <v>42012</v>
      </c>
      <c r="D166" s="7" t="n">
        <v>8.2</v>
      </c>
      <c r="E166" s="7" t="n">
        <v>5.5</v>
      </c>
      <c r="F166" s="7" t="n">
        <v>9.6</v>
      </c>
      <c r="G166" s="7" t="n">
        <f aca="false">G165+D166</f>
        <v>1259.8</v>
      </c>
      <c r="H166" s="7" t="n">
        <f aca="false">H165+D166</f>
        <v>196.6</v>
      </c>
      <c r="J166" s="7" t="n">
        <v>2.5</v>
      </c>
      <c r="K166" s="7" t="n">
        <f aca="false">K165+J166</f>
        <v>207.5</v>
      </c>
      <c r="L166" s="7" t="n">
        <v>0.1</v>
      </c>
      <c r="M166" s="7" t="n">
        <f aca="false">M165+L166</f>
        <v>132.8</v>
      </c>
      <c r="N166" s="7" t="n">
        <v>2.4</v>
      </c>
      <c r="O166" s="7" t="n">
        <f aca="false">O165+N166</f>
        <v>124</v>
      </c>
      <c r="P166" s="7" t="n">
        <v>122</v>
      </c>
      <c r="Q166" s="7" t="n">
        <v>1</v>
      </c>
      <c r="R166" s="10" t="n">
        <f aca="false">Q166*L166</f>
        <v>0.1</v>
      </c>
      <c r="S166" s="10" t="n">
        <f aca="false">J166-R166</f>
        <v>2.4</v>
      </c>
      <c r="T166" s="10" t="n">
        <f aca="false">MIN(138.9,(T165+S166))</f>
        <v>138.9</v>
      </c>
      <c r="V166" s="7" t="n">
        <v>107.5</v>
      </c>
      <c r="X166" s="7" t="n">
        <f aca="false">X165+V166</f>
        <v>67958.5</v>
      </c>
      <c r="Y166" s="7" t="n">
        <f aca="false">Y165+V166</f>
        <v>7734.3</v>
      </c>
      <c r="AA166" s="7" t="n">
        <v>8.67472836007596</v>
      </c>
    </row>
    <row r="167" s="7" customFormat="true" ht="15" hidden="false" customHeight="false" outlineLevel="0" collapsed="false">
      <c r="A167" s="21"/>
      <c r="B167" s="13"/>
      <c r="C167" s="8" t="n">
        <v>42013</v>
      </c>
      <c r="D167" s="7" t="n">
        <v>11</v>
      </c>
      <c r="E167" s="7" t="n">
        <v>5.7</v>
      </c>
      <c r="F167" s="7" t="n">
        <v>12.9</v>
      </c>
      <c r="G167" s="7" t="n">
        <f aca="false">G166+D167</f>
        <v>1270.8</v>
      </c>
      <c r="H167" s="7" t="n">
        <f aca="false">H166+D167</f>
        <v>207.6</v>
      </c>
      <c r="J167" s="7" t="n">
        <v>1.8</v>
      </c>
      <c r="K167" s="7" t="n">
        <f aca="false">K166+J167</f>
        <v>209.3</v>
      </c>
      <c r="L167" s="7" t="n">
        <v>0.1</v>
      </c>
      <c r="M167" s="7" t="n">
        <f aca="false">M166+L167</f>
        <v>132.9</v>
      </c>
      <c r="N167" s="7" t="n">
        <v>1.7</v>
      </c>
      <c r="O167" s="7" t="n">
        <f aca="false">O166+N167</f>
        <v>125.7</v>
      </c>
      <c r="P167" s="7" t="n">
        <v>123</v>
      </c>
      <c r="Q167" s="7" t="n">
        <v>1</v>
      </c>
      <c r="R167" s="10" t="n">
        <f aca="false">Q167*L167</f>
        <v>0.1</v>
      </c>
      <c r="S167" s="10" t="n">
        <f aca="false">J167-R167</f>
        <v>1.7</v>
      </c>
      <c r="T167" s="10" t="n">
        <f aca="false">MIN(138.9,(T166+S167))</f>
        <v>138.9</v>
      </c>
      <c r="V167" s="7" t="n">
        <v>129.4</v>
      </c>
      <c r="X167" s="7" t="n">
        <f aca="false">X166+V167</f>
        <v>68087.9</v>
      </c>
      <c r="Y167" s="7" t="n">
        <f aca="false">Y166+V167</f>
        <v>7863.7</v>
      </c>
      <c r="AA167" s="7" t="n">
        <v>8.70065962968845</v>
      </c>
    </row>
    <row r="168" s="7" customFormat="true" ht="15" hidden="false" customHeight="false" outlineLevel="0" collapsed="false">
      <c r="A168" s="21"/>
      <c r="B168" s="13"/>
      <c r="C168" s="8" t="n">
        <v>42014</v>
      </c>
      <c r="D168" s="7" t="n">
        <v>11.2</v>
      </c>
      <c r="E168" s="7" t="n">
        <v>11.4</v>
      </c>
      <c r="F168" s="7" t="n">
        <v>12.3</v>
      </c>
      <c r="G168" s="7" t="n">
        <f aca="false">G167+D168</f>
        <v>1282</v>
      </c>
      <c r="H168" s="7" t="n">
        <f aca="false">H167+D168</f>
        <v>218.8</v>
      </c>
      <c r="J168" s="7" t="n">
        <v>4.7</v>
      </c>
      <c r="K168" s="7" t="n">
        <f aca="false">K167+J168</f>
        <v>214</v>
      </c>
      <c r="L168" s="7" t="n">
        <v>0.6</v>
      </c>
      <c r="M168" s="7" t="n">
        <f aca="false">M167+L168</f>
        <v>133.5</v>
      </c>
      <c r="N168" s="7" t="n">
        <v>4.1</v>
      </c>
      <c r="O168" s="7" t="n">
        <f aca="false">O167+N168</f>
        <v>129.8</v>
      </c>
      <c r="P168" s="7" t="n">
        <v>124</v>
      </c>
      <c r="Q168" s="7" t="n">
        <v>1</v>
      </c>
      <c r="R168" s="10" t="n">
        <f aca="false">Q168*L168</f>
        <v>0.6</v>
      </c>
      <c r="S168" s="10" t="n">
        <f aca="false">J168-R168</f>
        <v>4.1</v>
      </c>
      <c r="T168" s="10" t="n">
        <f aca="false">MIN(138.9,(T167+S168))</f>
        <v>138.9</v>
      </c>
      <c r="V168" s="7" t="n">
        <v>106</v>
      </c>
      <c r="X168" s="7" t="n">
        <f aca="false">X167+V168</f>
        <v>68193.9</v>
      </c>
      <c r="Y168" s="7" t="n">
        <f aca="false">Y167+V168</f>
        <v>7969.7</v>
      </c>
      <c r="AA168" s="7" t="n">
        <v>8.72782471860813</v>
      </c>
    </row>
    <row r="169" s="7" customFormat="true" ht="15" hidden="false" customHeight="false" outlineLevel="0" collapsed="false">
      <c r="A169" s="21"/>
      <c r="B169" s="13"/>
      <c r="C169" s="8" t="n">
        <v>42015</v>
      </c>
      <c r="D169" s="7" t="n">
        <v>6</v>
      </c>
      <c r="E169" s="7" t="n">
        <v>5.2</v>
      </c>
      <c r="F169" s="7" t="n">
        <v>7.8</v>
      </c>
      <c r="G169" s="7" t="n">
        <f aca="false">G168+D169</f>
        <v>1288</v>
      </c>
      <c r="H169" s="7" t="n">
        <f aca="false">H168+D169</f>
        <v>224.8</v>
      </c>
      <c r="J169" s="7" t="n">
        <v>0</v>
      </c>
      <c r="K169" s="7" t="n">
        <f aca="false">K168+J169</f>
        <v>214</v>
      </c>
      <c r="L169" s="7" t="n">
        <v>0.7</v>
      </c>
      <c r="M169" s="7" t="n">
        <f aca="false">M168+L169</f>
        <v>134.2</v>
      </c>
      <c r="N169" s="9" t="n">
        <v>-0.7</v>
      </c>
      <c r="O169" s="7" t="n">
        <f aca="false">O168+N169</f>
        <v>129.1</v>
      </c>
      <c r="P169" s="7" t="n">
        <v>125</v>
      </c>
      <c r="Q169" s="7" t="n">
        <v>1</v>
      </c>
      <c r="R169" s="10" t="n">
        <f aca="false">Q169*L169</f>
        <v>0.7</v>
      </c>
      <c r="S169" s="10" t="n">
        <f aca="false">J169-R169</f>
        <v>-0.7</v>
      </c>
      <c r="T169" s="10" t="n">
        <f aca="false">MIN(138.9,(T168+S169))</f>
        <v>138.2</v>
      </c>
      <c r="V169" s="7" t="n">
        <v>625.1</v>
      </c>
      <c r="X169" s="7" t="n">
        <f aca="false">X168+V169</f>
        <v>68819</v>
      </c>
      <c r="Y169" s="7" t="n">
        <f aca="false">Y168+V169</f>
        <v>8594.8</v>
      </c>
      <c r="AA169" s="7" t="n">
        <v>8.75619740314673</v>
      </c>
    </row>
    <row r="170" s="7" customFormat="true" ht="15" hidden="false" customHeight="false" outlineLevel="0" collapsed="false">
      <c r="A170" s="21"/>
      <c r="B170" s="13"/>
      <c r="C170" s="8" t="n">
        <v>42016</v>
      </c>
      <c r="D170" s="7" t="n">
        <v>6.1</v>
      </c>
      <c r="E170" s="7" t="n">
        <v>4.5</v>
      </c>
      <c r="F170" s="7" t="n">
        <v>7.5</v>
      </c>
      <c r="G170" s="7" t="n">
        <f aca="false">G169+D170</f>
        <v>1294.1</v>
      </c>
      <c r="H170" s="7" t="n">
        <f aca="false">H169+D170</f>
        <v>230.9</v>
      </c>
      <c r="J170" s="7" t="n">
        <v>0</v>
      </c>
      <c r="K170" s="7" t="n">
        <f aca="false">K169+J170</f>
        <v>214</v>
      </c>
      <c r="L170" s="7" t="n">
        <v>0.9</v>
      </c>
      <c r="M170" s="7" t="n">
        <f aca="false">M169+L170</f>
        <v>135.1</v>
      </c>
      <c r="N170" s="9" t="n">
        <v>-0.9</v>
      </c>
      <c r="O170" s="7" t="n">
        <f aca="false">O169+N170</f>
        <v>128.2</v>
      </c>
      <c r="P170" s="7" t="n">
        <v>126</v>
      </c>
      <c r="Q170" s="7" t="n">
        <v>1</v>
      </c>
      <c r="R170" s="10" t="n">
        <f aca="false">Q170*L170</f>
        <v>0.9</v>
      </c>
      <c r="S170" s="10" t="n">
        <f aca="false">J170-R170</f>
        <v>-0.9</v>
      </c>
      <c r="T170" s="10" t="n">
        <f aca="false">MIN(138.9,(T169+S170))</f>
        <v>137.3</v>
      </c>
      <c r="V170" s="7" t="n">
        <v>298.1</v>
      </c>
      <c r="X170" s="7" t="n">
        <f aca="false">X169+V170</f>
        <v>69117.1</v>
      </c>
      <c r="Y170" s="7" t="n">
        <f aca="false">Y169+V170</f>
        <v>8892.9</v>
      </c>
      <c r="AA170" s="7" t="n">
        <v>8.78575079419331</v>
      </c>
    </row>
    <row r="171" s="7" customFormat="true" ht="15" hidden="false" customHeight="false" outlineLevel="0" collapsed="false">
      <c r="A171" s="21"/>
      <c r="B171" s="13"/>
      <c r="C171" s="8" t="n">
        <v>42017</v>
      </c>
      <c r="D171" s="7" t="n">
        <v>8.2</v>
      </c>
      <c r="E171" s="7" t="n">
        <v>6.5</v>
      </c>
      <c r="F171" s="7" t="n">
        <v>9.5</v>
      </c>
      <c r="G171" s="7" t="n">
        <f aca="false">G170+D171</f>
        <v>1302.3</v>
      </c>
      <c r="H171" s="7" t="n">
        <f aca="false">H170+D171</f>
        <v>239.1</v>
      </c>
      <c r="J171" s="7" t="n">
        <v>5.4</v>
      </c>
      <c r="K171" s="7" t="n">
        <f aca="false">K170+J171</f>
        <v>219.4</v>
      </c>
      <c r="L171" s="7" t="n">
        <v>0.8</v>
      </c>
      <c r="M171" s="7" t="n">
        <f aca="false">M170+L171</f>
        <v>135.9</v>
      </c>
      <c r="N171" s="7" t="n">
        <v>4.6</v>
      </c>
      <c r="O171" s="7" t="n">
        <f aca="false">O170+N171</f>
        <v>132.8</v>
      </c>
      <c r="P171" s="7" t="n">
        <v>127</v>
      </c>
      <c r="Q171" s="7" t="n">
        <v>1</v>
      </c>
      <c r="R171" s="10" t="n">
        <f aca="false">Q171*L171</f>
        <v>0.8</v>
      </c>
      <c r="S171" s="10" t="n">
        <f aca="false">J171-R171</f>
        <v>4.6</v>
      </c>
      <c r="T171" s="10" t="n">
        <f aca="false">MIN(138.9,(T170+S171))</f>
        <v>138.9</v>
      </c>
      <c r="V171" s="7" t="n">
        <v>140.8</v>
      </c>
      <c r="X171" s="7" t="n">
        <f aca="false">X170+V171</f>
        <v>69257.9</v>
      </c>
      <c r="Y171" s="7" t="n">
        <f aca="false">Y170+V171</f>
        <v>9033.7</v>
      </c>
      <c r="AA171" s="7" t="n">
        <v>8.81645742145192</v>
      </c>
    </row>
    <row r="172" s="7" customFormat="true" ht="15" hidden="false" customHeight="false" outlineLevel="0" collapsed="false">
      <c r="A172" s="21"/>
      <c r="B172" s="13"/>
      <c r="C172" s="8" t="n">
        <v>42018</v>
      </c>
      <c r="D172" s="7" t="n">
        <v>8.3</v>
      </c>
      <c r="E172" s="7" t="n">
        <v>6.8</v>
      </c>
      <c r="F172" s="7" t="n">
        <v>9.4</v>
      </c>
      <c r="G172" s="7" t="n">
        <f aca="false">G171+D172</f>
        <v>1310.6</v>
      </c>
      <c r="H172" s="7" t="n">
        <f aca="false">H171+D172</f>
        <v>247.4</v>
      </c>
      <c r="J172" s="7" t="n">
        <v>1.7</v>
      </c>
      <c r="K172" s="7" t="n">
        <f aca="false">K171+J172</f>
        <v>221.1</v>
      </c>
      <c r="L172" s="7" t="n">
        <v>1</v>
      </c>
      <c r="M172" s="7" t="n">
        <f aca="false">M171+L172</f>
        <v>136.9</v>
      </c>
      <c r="N172" s="7" t="n">
        <v>0.7</v>
      </c>
      <c r="O172" s="7" t="n">
        <f aca="false">O171+N172</f>
        <v>133.5</v>
      </c>
      <c r="P172" s="7" t="n">
        <v>128</v>
      </c>
      <c r="Q172" s="7" t="n">
        <v>1</v>
      </c>
      <c r="R172" s="10" t="n">
        <f aca="false">Q172*L172</f>
        <v>1</v>
      </c>
      <c r="S172" s="10" t="n">
        <f aca="false">J172-R172</f>
        <v>0.7</v>
      </c>
      <c r="T172" s="10" t="n">
        <f aca="false">MIN(138.9,(T171+S172))</f>
        <v>138.9</v>
      </c>
      <c r="V172" s="7" t="n">
        <v>246.1</v>
      </c>
      <c r="X172" s="7" t="n">
        <f aca="false">X171+V172</f>
        <v>69504</v>
      </c>
      <c r="Y172" s="7" t="n">
        <f aca="false">Y171+V172</f>
        <v>9279.8</v>
      </c>
      <c r="AA172" s="7" t="n">
        <v>8.84828931666447</v>
      </c>
    </row>
    <row r="173" s="7" customFormat="true" ht="15" hidden="false" customHeight="false" outlineLevel="0" collapsed="false">
      <c r="A173" s="21"/>
      <c r="B173" s="13"/>
      <c r="C173" s="8" t="n">
        <v>42019</v>
      </c>
      <c r="D173" s="7" t="n">
        <v>8.8</v>
      </c>
      <c r="E173" s="7" t="n">
        <v>7.9</v>
      </c>
      <c r="F173" s="7" t="n">
        <v>10.6</v>
      </c>
      <c r="G173" s="7" t="n">
        <f aca="false">G172+D173</f>
        <v>1319.4</v>
      </c>
      <c r="H173" s="7" t="n">
        <f aca="false">H172+D173</f>
        <v>256.2</v>
      </c>
      <c r="J173" s="7" t="n">
        <v>4.2</v>
      </c>
      <c r="K173" s="7" t="n">
        <f aca="false">K172+J173</f>
        <v>225.3</v>
      </c>
      <c r="L173" s="7" t="n">
        <v>1.5</v>
      </c>
      <c r="M173" s="7" t="n">
        <f aca="false">M172+L173</f>
        <v>138.4</v>
      </c>
      <c r="N173" s="7" t="n">
        <v>2.7</v>
      </c>
      <c r="O173" s="7" t="n">
        <f aca="false">O172+N173</f>
        <v>136.2</v>
      </c>
      <c r="P173" s="7" t="n">
        <v>129</v>
      </c>
      <c r="Q173" s="7" t="n">
        <v>1</v>
      </c>
      <c r="R173" s="10" t="n">
        <f aca="false">Q173*L173</f>
        <v>1.5</v>
      </c>
      <c r="S173" s="10" t="n">
        <f aca="false">J173-R173</f>
        <v>2.7</v>
      </c>
      <c r="T173" s="10" t="n">
        <f aca="false">MIN(138.9,(T172+S173))</f>
        <v>138.9</v>
      </c>
      <c r="V173" s="7" t="n">
        <v>87</v>
      </c>
      <c r="X173" s="7" t="n">
        <f aca="false">X172+V173</f>
        <v>69591</v>
      </c>
      <c r="Y173" s="7" t="n">
        <f aca="false">Y172+V173</f>
        <v>9366.8</v>
      </c>
      <c r="AA173" s="7" t="n">
        <v>8.88121809539163</v>
      </c>
    </row>
    <row r="174" s="7" customFormat="true" ht="15" hidden="false" customHeight="false" outlineLevel="0" collapsed="false">
      <c r="A174" s="21"/>
      <c r="B174" s="13"/>
      <c r="C174" s="8" t="n">
        <v>42020</v>
      </c>
      <c r="D174" s="7" t="n">
        <v>5.8</v>
      </c>
      <c r="E174" s="7" t="n">
        <v>5.3</v>
      </c>
      <c r="F174" s="7" t="n">
        <v>7.9</v>
      </c>
      <c r="G174" s="7" t="n">
        <f aca="false">G173+D174</f>
        <v>1325.2</v>
      </c>
      <c r="H174" s="7" t="n">
        <f aca="false">H173+D174</f>
        <v>262</v>
      </c>
      <c r="J174" s="7" t="n">
        <v>1.9</v>
      </c>
      <c r="K174" s="7" t="n">
        <f aca="false">K173+J174</f>
        <v>227.2</v>
      </c>
      <c r="L174" s="7" t="n">
        <v>0.5</v>
      </c>
      <c r="M174" s="7" t="n">
        <f aca="false">M173+L174</f>
        <v>138.9</v>
      </c>
      <c r="N174" s="7" t="n">
        <v>1.4</v>
      </c>
      <c r="O174" s="7" t="n">
        <f aca="false">O173+N174</f>
        <v>137.6</v>
      </c>
      <c r="P174" s="7" t="n">
        <v>130</v>
      </c>
      <c r="Q174" s="7" t="n">
        <v>1</v>
      </c>
      <c r="R174" s="10" t="n">
        <f aca="false">Q174*L174</f>
        <v>0.5</v>
      </c>
      <c r="S174" s="10" t="n">
        <f aca="false">J174-R174</f>
        <v>1.4</v>
      </c>
      <c r="T174" s="10" t="n">
        <f aca="false">MIN(138.9,(T173+S174))</f>
        <v>138.9</v>
      </c>
      <c r="V174" s="7" t="n">
        <v>258.7</v>
      </c>
      <c r="X174" s="7" t="n">
        <f aca="false">X173+V174</f>
        <v>69849.7</v>
      </c>
      <c r="Y174" s="7" t="n">
        <f aca="false">Y173+V174</f>
        <v>9625.5</v>
      </c>
      <c r="AA174" s="7" t="n">
        <v>8.91521503695987</v>
      </c>
    </row>
    <row r="175" s="7" customFormat="true" ht="15" hidden="false" customHeight="false" outlineLevel="0" collapsed="false">
      <c r="A175" s="21"/>
      <c r="B175" s="22"/>
      <c r="C175" s="8" t="n">
        <v>42021</v>
      </c>
      <c r="D175" s="7" t="n">
        <v>1.7</v>
      </c>
      <c r="E175" s="7" t="n">
        <v>1.3</v>
      </c>
      <c r="F175" s="7" t="n">
        <v>2.1</v>
      </c>
      <c r="G175" s="7" t="n">
        <f aca="false">G174+D175</f>
        <v>1326.9</v>
      </c>
      <c r="H175" s="7" t="n">
        <f aca="false">H174+D175</f>
        <v>263.7</v>
      </c>
      <c r="J175" s="7" t="n">
        <v>0</v>
      </c>
      <c r="K175" s="7" t="n">
        <f aca="false">K174+J175</f>
        <v>227.2</v>
      </c>
      <c r="L175" s="7" t="n">
        <v>0.2</v>
      </c>
      <c r="M175" s="7" t="n">
        <f aca="false">M174+L175</f>
        <v>139.1</v>
      </c>
      <c r="N175" s="9" t="n">
        <v>-0.2</v>
      </c>
      <c r="O175" s="7" t="n">
        <f aca="false">O174+N175</f>
        <v>137.4</v>
      </c>
      <c r="P175" s="7" t="n">
        <v>131</v>
      </c>
      <c r="Q175" s="7" t="n">
        <v>1</v>
      </c>
      <c r="R175" s="10" t="n">
        <f aca="false">Q175*L175</f>
        <v>0.2</v>
      </c>
      <c r="S175" s="10" t="n">
        <f aca="false">J175-R175</f>
        <v>-0.2</v>
      </c>
      <c r="T175" s="10" t="n">
        <f aca="false">MIN(138.9,(T174+S175))</f>
        <v>138.7</v>
      </c>
      <c r="V175" s="7" t="n">
        <v>301.9</v>
      </c>
      <c r="X175" s="7" t="n">
        <f aca="false">X174+V175</f>
        <v>70151.6</v>
      </c>
      <c r="Y175" s="7" t="n">
        <f aca="false">Y174+V175</f>
        <v>9927.4</v>
      </c>
      <c r="AA175" s="7" t="n">
        <v>8.95025116221914</v>
      </c>
    </row>
    <row r="176" s="7" customFormat="true" ht="15" hidden="false" customHeight="false" outlineLevel="0" collapsed="false">
      <c r="A176" s="21"/>
      <c r="B176" s="22"/>
      <c r="C176" s="8" t="n">
        <v>42022</v>
      </c>
      <c r="D176" s="7" t="n">
        <v>2.9</v>
      </c>
      <c r="E176" s="7" t="n">
        <v>0.4</v>
      </c>
      <c r="F176" s="7" t="n">
        <v>7.2</v>
      </c>
      <c r="G176" s="7" t="n">
        <f aca="false">G175+D176</f>
        <v>1329.8</v>
      </c>
      <c r="H176" s="7" t="n">
        <f aca="false">H175+D176</f>
        <v>266.6</v>
      </c>
      <c r="J176" s="7" t="n">
        <v>0.4</v>
      </c>
      <c r="K176" s="7" t="n">
        <f aca="false">K175+J176</f>
        <v>227.6</v>
      </c>
      <c r="L176" s="7" t="n">
        <v>0.5</v>
      </c>
      <c r="M176" s="7" t="n">
        <f aca="false">M175+L176</f>
        <v>139.6</v>
      </c>
      <c r="N176" s="9" t="n">
        <v>-0.1</v>
      </c>
      <c r="O176" s="7" t="n">
        <f aca="false">O175+N176</f>
        <v>137.3</v>
      </c>
      <c r="P176" s="7" t="n">
        <v>132</v>
      </c>
      <c r="Q176" s="7" t="n">
        <v>1</v>
      </c>
      <c r="R176" s="10" t="n">
        <f aca="false">Q176*L176</f>
        <v>0.5</v>
      </c>
      <c r="S176" s="10" t="n">
        <f aca="false">J176-R176</f>
        <v>-0.1</v>
      </c>
      <c r="T176" s="10" t="n">
        <f aca="false">MIN(138.9,(T175+S176))</f>
        <v>138.6</v>
      </c>
      <c r="V176" s="7" t="n">
        <v>360.1</v>
      </c>
      <c r="X176" s="7" t="n">
        <f aca="false">X175+V176</f>
        <v>70511.7</v>
      </c>
      <c r="Y176" s="7" t="n">
        <f aca="false">Y175+V176</f>
        <v>10287.5</v>
      </c>
      <c r="AA176" s="7" t="n">
        <v>8.98629730879391</v>
      </c>
    </row>
    <row r="177" s="7" customFormat="true" ht="15" hidden="false" customHeight="false" outlineLevel="0" collapsed="false">
      <c r="A177" s="21"/>
      <c r="B177" s="13"/>
      <c r="C177" s="8" t="n">
        <v>42023</v>
      </c>
      <c r="D177" s="7" t="n">
        <v>1.7</v>
      </c>
      <c r="E177" s="7" t="n">
        <v>1.3</v>
      </c>
      <c r="F177" s="7" t="n">
        <v>2.3</v>
      </c>
      <c r="G177" s="7" t="n">
        <f aca="false">G176+D177</f>
        <v>1331.5</v>
      </c>
      <c r="H177" s="7" t="n">
        <f aca="false">H176+D177</f>
        <v>268.3</v>
      </c>
      <c r="J177" s="7" t="n">
        <v>0.2</v>
      </c>
      <c r="K177" s="7" t="n">
        <f aca="false">K176+J177</f>
        <v>227.8</v>
      </c>
      <c r="L177" s="7" t="n">
        <v>0.2</v>
      </c>
      <c r="M177" s="7" t="n">
        <f aca="false">M176+L177</f>
        <v>139.8</v>
      </c>
      <c r="N177" s="9" t="n">
        <v>0</v>
      </c>
      <c r="O177" s="7" t="n">
        <f aca="false">O176+N177</f>
        <v>137.3</v>
      </c>
      <c r="P177" s="7" t="n">
        <v>133</v>
      </c>
      <c r="Q177" s="7" t="n">
        <v>1</v>
      </c>
      <c r="R177" s="10" t="n">
        <f aca="false">Q177*L177</f>
        <v>0.2</v>
      </c>
      <c r="S177" s="10" t="n">
        <f aca="false">J177-R177</f>
        <v>0</v>
      </c>
      <c r="T177" s="10" t="n">
        <f aca="false">MIN(138.9,(T176+S177))</f>
        <v>138.6</v>
      </c>
      <c r="V177" s="7" t="n">
        <v>109.1</v>
      </c>
      <c r="X177" s="7" t="n">
        <f aca="false">X176+V177</f>
        <v>70620.8</v>
      </c>
      <c r="Y177" s="7" t="n">
        <f aca="false">Y176+V177</f>
        <v>10396.6</v>
      </c>
      <c r="AA177" s="7" t="n">
        <v>9.02332420354804</v>
      </c>
    </row>
    <row r="178" s="7" customFormat="true" ht="15" hidden="false" customHeight="false" outlineLevel="0" collapsed="false">
      <c r="A178" s="21"/>
      <c r="B178" s="13"/>
      <c r="C178" s="8" t="n">
        <v>42024</v>
      </c>
      <c r="D178" s="7" t="n">
        <v>-0.1</v>
      </c>
      <c r="E178" s="7" t="n">
        <v>-2.9</v>
      </c>
      <c r="F178" s="7" t="n">
        <v>2.4</v>
      </c>
      <c r="G178" s="7" t="n">
        <v>1331.5</v>
      </c>
      <c r="H178" s="7" t="n">
        <v>268.3</v>
      </c>
      <c r="J178" s="7" t="n">
        <v>0</v>
      </c>
      <c r="K178" s="7" t="n">
        <f aca="false">K177+J178</f>
        <v>227.8</v>
      </c>
      <c r="L178" s="7" t="n">
        <v>0.2</v>
      </c>
      <c r="M178" s="7" t="n">
        <f aca="false">M177+L178</f>
        <v>140</v>
      </c>
      <c r="N178" s="9" t="n">
        <v>-0.2</v>
      </c>
      <c r="O178" s="7" t="n">
        <f aca="false">O177+N178</f>
        <v>137.1</v>
      </c>
      <c r="P178" s="7" t="n">
        <v>134</v>
      </c>
      <c r="Q178" s="7" t="n">
        <v>1</v>
      </c>
      <c r="R178" s="10" t="n">
        <f aca="false">Q178*L178</f>
        <v>0.2</v>
      </c>
      <c r="S178" s="10" t="n">
        <f aca="false">J178-R178</f>
        <v>-0.2</v>
      </c>
      <c r="T178" s="10" t="n">
        <f aca="false">MIN(138.9,(T177+S178))</f>
        <v>138.4</v>
      </c>
      <c r="V178" s="7" t="n">
        <v>388.1</v>
      </c>
      <c r="X178" s="7" t="n">
        <f aca="false">X177+V178</f>
        <v>71008.9</v>
      </c>
      <c r="Y178" s="7" t="n">
        <f aca="false">Y177+V178</f>
        <v>10784.7</v>
      </c>
      <c r="AA178" s="7" t="n">
        <v>9.06130253202287</v>
      </c>
    </row>
    <row r="179" s="7" customFormat="true" ht="15" hidden="false" customHeight="false" outlineLevel="0" collapsed="false">
      <c r="A179" s="21"/>
      <c r="B179" s="13"/>
      <c r="C179" s="8" t="n">
        <v>42025</v>
      </c>
      <c r="D179" s="7" t="n">
        <v>1.3</v>
      </c>
      <c r="E179" s="7" t="n">
        <v>-0.9</v>
      </c>
      <c r="F179" s="7" t="n">
        <v>5.2</v>
      </c>
      <c r="G179" s="7" t="n">
        <f aca="false">G178+D179</f>
        <v>1332.8</v>
      </c>
      <c r="H179" s="7" t="n">
        <f aca="false">H178+D179</f>
        <v>269.6</v>
      </c>
      <c r="J179" s="7" t="n">
        <v>0</v>
      </c>
      <c r="K179" s="7" t="n">
        <f aca="false">K178+J179</f>
        <v>227.8</v>
      </c>
      <c r="L179" s="7" t="n">
        <v>0.6</v>
      </c>
      <c r="M179" s="7" t="n">
        <f aca="false">M178+L179</f>
        <v>140.6</v>
      </c>
      <c r="N179" s="9" t="n">
        <v>-0.6</v>
      </c>
      <c r="O179" s="7" t="n">
        <f aca="false">O178+N179</f>
        <v>136.5</v>
      </c>
      <c r="P179" s="7" t="n">
        <v>135</v>
      </c>
      <c r="Q179" s="7" t="n">
        <v>1</v>
      </c>
      <c r="R179" s="10" t="n">
        <f aca="false">Q179*L179</f>
        <v>0.6</v>
      </c>
      <c r="S179" s="10" t="n">
        <f aca="false">J179-R179</f>
        <v>-0.6</v>
      </c>
      <c r="T179" s="10" t="n">
        <f aca="false">MIN(138.9,(T178+S179))</f>
        <v>137.8</v>
      </c>
      <c r="V179" s="7" t="n">
        <v>289.5</v>
      </c>
      <c r="X179" s="7" t="n">
        <f aca="false">X178+V179</f>
        <v>71298.4</v>
      </c>
      <c r="Y179" s="7" t="n">
        <f aca="false">Y178+V179</f>
        <v>11074.2</v>
      </c>
      <c r="AA179" s="7" t="n">
        <v>9.10020300464512</v>
      </c>
    </row>
    <row r="180" s="7" customFormat="true" ht="15" hidden="false" customHeight="false" outlineLevel="0" collapsed="false">
      <c r="A180" s="21"/>
      <c r="B180" s="13"/>
      <c r="C180" s="8" t="n">
        <v>42026</v>
      </c>
      <c r="D180" s="7" t="n">
        <v>-0.1</v>
      </c>
      <c r="E180" s="7" t="n">
        <v>-1</v>
      </c>
      <c r="F180" s="7" t="n">
        <v>1</v>
      </c>
      <c r="G180" s="7" t="n">
        <v>1332.8</v>
      </c>
      <c r="H180" s="7" t="n">
        <v>269.5</v>
      </c>
      <c r="J180" s="7" t="n">
        <v>0</v>
      </c>
      <c r="K180" s="7" t="n">
        <f aca="false">K179+J180</f>
        <v>227.8</v>
      </c>
      <c r="L180" s="7" t="n">
        <v>0.3</v>
      </c>
      <c r="M180" s="7" t="n">
        <f aca="false">M179+L180</f>
        <v>140.9</v>
      </c>
      <c r="N180" s="9" t="n">
        <v>-0.3</v>
      </c>
      <c r="O180" s="7" t="n">
        <f aca="false">O179+N180</f>
        <v>136.2</v>
      </c>
      <c r="P180" s="7" t="n">
        <v>136</v>
      </c>
      <c r="Q180" s="7" t="n">
        <v>1</v>
      </c>
      <c r="R180" s="10" t="n">
        <f aca="false">Q180*L180</f>
        <v>0.3</v>
      </c>
      <c r="S180" s="10" t="n">
        <f aca="false">J180-R180</f>
        <v>-0.3</v>
      </c>
      <c r="T180" s="10" t="n">
        <f aca="false">MIN(138.9,(T179+S180))</f>
        <v>137.5</v>
      </c>
      <c r="V180" s="7" t="n">
        <v>453.6</v>
      </c>
      <c r="X180" s="7" t="n">
        <f aca="false">X179+V180</f>
        <v>71752</v>
      </c>
      <c r="Y180" s="7" t="n">
        <f aca="false">Y179+V180</f>
        <v>11527.8</v>
      </c>
      <c r="AA180" s="7" t="n">
        <v>9.13999641953861</v>
      </c>
    </row>
    <row r="181" s="7" customFormat="true" ht="15" hidden="false" customHeight="false" outlineLevel="0" collapsed="false">
      <c r="A181" s="21"/>
      <c r="B181" s="13"/>
      <c r="C181" s="8" t="n">
        <v>42027</v>
      </c>
      <c r="D181" s="7" t="n">
        <v>-1</v>
      </c>
      <c r="E181" s="7" t="n">
        <v>-1.9</v>
      </c>
      <c r="F181" s="7" t="n">
        <v>-0.4</v>
      </c>
      <c r="G181" s="7" t="n">
        <v>1338.8</v>
      </c>
      <c r="H181" s="7" t="n">
        <v>269.5</v>
      </c>
      <c r="J181" s="7" t="n">
        <v>0</v>
      </c>
      <c r="K181" s="7" t="n">
        <f aca="false">K180+J181</f>
        <v>227.8</v>
      </c>
      <c r="L181" s="7" t="n">
        <v>0.3</v>
      </c>
      <c r="M181" s="7" t="n">
        <f aca="false">M180+L181</f>
        <v>141.2</v>
      </c>
      <c r="N181" s="9" t="n">
        <v>-0.3</v>
      </c>
      <c r="O181" s="7" t="n">
        <f aca="false">O180+N181</f>
        <v>135.9</v>
      </c>
      <c r="P181" s="7" t="n">
        <v>137</v>
      </c>
      <c r="Q181" s="7" t="n">
        <v>1</v>
      </c>
      <c r="R181" s="10" t="n">
        <f aca="false">Q181*L181</f>
        <v>0.3</v>
      </c>
      <c r="S181" s="10" t="n">
        <f aca="false">J181-R181</f>
        <v>-0.3</v>
      </c>
      <c r="T181" s="10" t="n">
        <f aca="false">MIN(138.9,(T180+S181))</f>
        <v>137.2</v>
      </c>
      <c r="V181" s="7" t="n">
        <v>313.9</v>
      </c>
      <c r="X181" s="7" t="n">
        <f aca="false">X180+V181</f>
        <v>72065.9</v>
      </c>
      <c r="Y181" s="7" t="n">
        <f aca="false">Y180+V181</f>
        <v>11841.7</v>
      </c>
      <c r="AA181" s="7" t="n">
        <v>9.1806537218089</v>
      </c>
    </row>
    <row r="182" s="7" customFormat="true" ht="15" hidden="false" customHeight="false" outlineLevel="0" collapsed="false">
      <c r="A182" s="21"/>
      <c r="B182" s="13"/>
      <c r="C182" s="8" t="n">
        <v>42028</v>
      </c>
      <c r="D182" s="7" t="n">
        <v>1</v>
      </c>
      <c r="E182" s="7" t="n">
        <v>-1.6</v>
      </c>
      <c r="F182" s="7" t="n">
        <v>3.3</v>
      </c>
      <c r="G182" s="7" t="n">
        <f aca="false">G181+D182</f>
        <v>1339.8</v>
      </c>
      <c r="H182" s="7" t="n">
        <f aca="false">H181+D182</f>
        <v>270.5</v>
      </c>
      <c r="J182" s="7" t="n">
        <v>1.1</v>
      </c>
      <c r="K182" s="7" t="n">
        <f aca="false">K181+J182</f>
        <v>228.9</v>
      </c>
      <c r="L182" s="7" t="n">
        <v>0.2</v>
      </c>
      <c r="M182" s="7" t="n">
        <f aca="false">M181+L182</f>
        <v>141.4</v>
      </c>
      <c r="N182" s="7" t="n">
        <v>0.9</v>
      </c>
      <c r="O182" s="7" t="n">
        <f aca="false">O181+N182</f>
        <v>136.8</v>
      </c>
      <c r="P182" s="7" t="n">
        <v>138</v>
      </c>
      <c r="Q182" s="7" t="n">
        <v>1</v>
      </c>
      <c r="R182" s="10" t="n">
        <f aca="false">Q182*L182</f>
        <v>0.2</v>
      </c>
      <c r="S182" s="10" t="n">
        <f aca="false">J182-R182</f>
        <v>0.9</v>
      </c>
      <c r="T182" s="10" t="n">
        <f aca="false">MIN(138.9,(T181+S182))</f>
        <v>138.1</v>
      </c>
      <c r="V182" s="7" t="n">
        <v>295.6</v>
      </c>
      <c r="X182" s="7" t="n">
        <f aca="false">X181+V182</f>
        <v>72361.5</v>
      </c>
      <c r="Y182" s="7" t="n">
        <f aca="false">Y181+V182</f>
        <v>12137.3</v>
      </c>
      <c r="AA182" s="7" t="n">
        <v>9.22214605920423</v>
      </c>
    </row>
    <row r="183" s="7" customFormat="true" ht="15" hidden="false" customHeight="false" outlineLevel="0" collapsed="false">
      <c r="A183" s="21"/>
      <c r="B183" s="13"/>
      <c r="C183" s="8" t="n">
        <v>42029</v>
      </c>
      <c r="D183" s="7" t="n">
        <v>1.3</v>
      </c>
      <c r="E183" s="7" t="n">
        <v>-2.8</v>
      </c>
      <c r="F183" s="7" t="n">
        <v>5.7</v>
      </c>
      <c r="G183" s="7" t="n">
        <f aca="false">G182+D183</f>
        <v>1341.1</v>
      </c>
      <c r="H183" s="7" t="n">
        <f aca="false">H182+D183</f>
        <v>271.8</v>
      </c>
      <c r="J183" s="7" t="n">
        <v>0.2</v>
      </c>
      <c r="K183" s="7" t="n">
        <f aca="false">K182+J183</f>
        <v>229.1</v>
      </c>
      <c r="L183" s="7" t="n">
        <v>0.6</v>
      </c>
      <c r="M183" s="7" t="n">
        <f aca="false">M182+L183</f>
        <v>142</v>
      </c>
      <c r="N183" s="9" t="n">
        <v>-0.4</v>
      </c>
      <c r="O183" s="7" t="n">
        <f aca="false">O182+N183</f>
        <v>136.4</v>
      </c>
      <c r="P183" s="7" t="n">
        <v>139</v>
      </c>
      <c r="Q183" s="7" t="n">
        <v>1</v>
      </c>
      <c r="R183" s="10" t="n">
        <f aca="false">Q183*L183</f>
        <v>0.6</v>
      </c>
      <c r="S183" s="10" t="n">
        <f aca="false">J183-R183</f>
        <v>-0.4</v>
      </c>
      <c r="T183" s="10" t="n">
        <f aca="false">MIN(138.9,(T182+S183))</f>
        <v>137.7</v>
      </c>
      <c r="V183" s="7" t="n">
        <v>689.9</v>
      </c>
      <c r="X183" s="7" t="n">
        <f aca="false">X182+V183</f>
        <v>73051.4</v>
      </c>
      <c r="Y183" s="7" t="n">
        <f aca="false">Y182+V183</f>
        <v>12827.2</v>
      </c>
      <c r="AA183" s="7" t="n">
        <v>9.26444483408796</v>
      </c>
    </row>
    <row r="184" s="7" customFormat="true" ht="15" hidden="false" customHeight="false" outlineLevel="0" collapsed="false">
      <c r="A184" s="21"/>
      <c r="B184" s="13"/>
      <c r="C184" s="8" t="n">
        <v>42030</v>
      </c>
      <c r="D184" s="7" t="n">
        <v>5.2</v>
      </c>
      <c r="E184" s="7" t="n">
        <v>1.6</v>
      </c>
      <c r="F184" s="7" t="n">
        <v>7.8</v>
      </c>
      <c r="G184" s="7" t="n">
        <f aca="false">G183+D184</f>
        <v>1346.3</v>
      </c>
      <c r="H184" s="7" t="n">
        <f aca="false">H183+D184</f>
        <v>277</v>
      </c>
      <c r="J184" s="7" t="n">
        <v>1.5</v>
      </c>
      <c r="K184" s="7" t="n">
        <f aca="false">K183+J184</f>
        <v>230.6</v>
      </c>
      <c r="L184" s="7" t="n">
        <v>0.2</v>
      </c>
      <c r="M184" s="7" t="n">
        <f aca="false">M183+L184</f>
        <v>142.2</v>
      </c>
      <c r="N184" s="7" t="n">
        <v>1.3</v>
      </c>
      <c r="O184" s="7" t="n">
        <f aca="false">O183+N184</f>
        <v>137.7</v>
      </c>
      <c r="P184" s="7" t="n">
        <v>140</v>
      </c>
      <c r="Q184" s="7" t="n">
        <v>1</v>
      </c>
      <c r="R184" s="10" t="n">
        <f aca="false">Q184*L184</f>
        <v>0.2</v>
      </c>
      <c r="S184" s="10" t="n">
        <f aca="false">J184-R184</f>
        <v>1.3</v>
      </c>
      <c r="T184" s="10" t="n">
        <f aca="false">MIN(138.9,(T183+S184))</f>
        <v>138.9</v>
      </c>
      <c r="V184" s="7" t="n">
        <v>107</v>
      </c>
      <c r="X184" s="7" t="n">
        <f aca="false">X183+V184</f>
        <v>73158.4</v>
      </c>
      <c r="Y184" s="7" t="n">
        <f aca="false">Y183+V184</f>
        <v>12934.2</v>
      </c>
      <c r="AA184" s="7" t="n">
        <v>9.30752175168785</v>
      </c>
    </row>
    <row r="185" s="7" customFormat="true" ht="15" hidden="false" customHeight="false" outlineLevel="0" collapsed="false">
      <c r="A185" s="21"/>
      <c r="B185" s="13"/>
      <c r="C185" s="8" t="n">
        <v>42031</v>
      </c>
      <c r="D185" s="7" t="n">
        <v>4.8</v>
      </c>
      <c r="E185" s="7" t="n">
        <v>1.8</v>
      </c>
      <c r="F185" s="7" t="n">
        <v>6.9</v>
      </c>
      <c r="G185" s="7" t="n">
        <f aca="false">G184+D185</f>
        <v>1351.1</v>
      </c>
      <c r="H185" s="7" t="n">
        <f aca="false">H184+D185</f>
        <v>281.8</v>
      </c>
      <c r="J185" s="7" t="n">
        <v>0.1</v>
      </c>
      <c r="K185" s="7" t="n">
        <f aca="false">K184+J185</f>
        <v>230.7</v>
      </c>
      <c r="L185" s="7" t="n">
        <v>0.2</v>
      </c>
      <c r="M185" s="7" t="n">
        <f aca="false">M184+L185</f>
        <v>142.4</v>
      </c>
      <c r="N185" s="9" t="n">
        <v>-0.1</v>
      </c>
      <c r="O185" s="7" t="n">
        <f aca="false">O184+N185</f>
        <v>137.6</v>
      </c>
      <c r="P185" s="7" t="n">
        <v>141</v>
      </c>
      <c r="Q185" s="7" t="n">
        <v>1</v>
      </c>
      <c r="R185" s="10" t="n">
        <f aca="false">Q185*L185</f>
        <v>0.2</v>
      </c>
      <c r="S185" s="10" t="n">
        <f aca="false">J185-R185</f>
        <v>-0.1</v>
      </c>
      <c r="T185" s="10" t="n">
        <f aca="false">MIN(138.9,(T184+S185))</f>
        <v>138.8</v>
      </c>
      <c r="V185" s="7" t="n">
        <v>281.1</v>
      </c>
      <c r="X185" s="7" t="n">
        <f aca="false">X184+V185</f>
        <v>73439.5</v>
      </c>
      <c r="Y185" s="7" t="n">
        <f aca="false">Y184+V185</f>
        <v>13215.3</v>
      </c>
      <c r="AA185" s="7" t="n">
        <v>9.35134886461498</v>
      </c>
    </row>
    <row r="186" s="7" customFormat="true" ht="15" hidden="false" customHeight="false" outlineLevel="0" collapsed="false">
      <c r="A186" s="21"/>
      <c r="B186" s="13"/>
      <c r="C186" s="8" t="n">
        <v>42032</v>
      </c>
      <c r="D186" s="7" t="n">
        <v>6.5</v>
      </c>
      <c r="E186" s="7" t="n">
        <v>4.8</v>
      </c>
      <c r="F186" s="7" t="n">
        <v>9.2</v>
      </c>
      <c r="G186" s="7" t="n">
        <f aca="false">G185+D186</f>
        <v>1357.6</v>
      </c>
      <c r="H186" s="7" t="n">
        <f aca="false">H185+D186</f>
        <v>288.3</v>
      </c>
      <c r="J186" s="7" t="n">
        <v>3.2</v>
      </c>
      <c r="K186" s="7" t="n">
        <f aca="false">K185+J186</f>
        <v>233.9</v>
      </c>
      <c r="L186" s="7" t="n">
        <v>0.6</v>
      </c>
      <c r="M186" s="7" t="n">
        <f aca="false">M185+L186</f>
        <v>143</v>
      </c>
      <c r="N186" s="7" t="n">
        <v>2.6</v>
      </c>
      <c r="O186" s="7" t="n">
        <v>138.9</v>
      </c>
      <c r="P186" s="7" t="n">
        <v>142</v>
      </c>
      <c r="Q186" s="7" t="n">
        <v>1</v>
      </c>
      <c r="R186" s="10" t="n">
        <f aca="false">Q186*L186</f>
        <v>0.6</v>
      </c>
      <c r="S186" s="10" t="n">
        <f aca="false">J186-R186</f>
        <v>2.6</v>
      </c>
      <c r="T186" s="10" t="n">
        <f aca="false">MIN(138.9,(T185+S186))</f>
        <v>138.9</v>
      </c>
      <c r="V186" s="7" t="n">
        <v>307.5</v>
      </c>
      <c r="X186" s="7" t="n">
        <f aca="false">X185+V186</f>
        <v>73747</v>
      </c>
      <c r="Y186" s="7" t="n">
        <f aca="false">Y185+V186</f>
        <v>13522.8</v>
      </c>
      <c r="AA186" s="7" t="n">
        <v>9.39589861367089</v>
      </c>
    </row>
    <row r="187" s="7" customFormat="true" ht="15" hidden="false" customHeight="false" outlineLevel="0" collapsed="false">
      <c r="A187" s="21"/>
      <c r="B187" s="13"/>
      <c r="C187" s="8" t="n">
        <v>42033</v>
      </c>
      <c r="D187" s="7" t="n">
        <v>5.2</v>
      </c>
      <c r="E187" s="7" t="n">
        <v>5.1</v>
      </c>
      <c r="F187" s="7" t="n">
        <v>6.3</v>
      </c>
      <c r="G187" s="7" t="n">
        <f aca="false">G186+D187</f>
        <v>1362.8</v>
      </c>
      <c r="H187" s="7" t="n">
        <f aca="false">H186+D187</f>
        <v>293.5</v>
      </c>
      <c r="J187" s="7" t="n">
        <v>9.1</v>
      </c>
      <c r="K187" s="7" t="n">
        <f aca="false">K186+J187</f>
        <v>243</v>
      </c>
      <c r="L187" s="7" t="n">
        <v>0.7</v>
      </c>
      <c r="M187" s="7" t="n">
        <f aca="false">M186+L187</f>
        <v>143.7</v>
      </c>
      <c r="N187" s="7" t="n">
        <v>8.4</v>
      </c>
      <c r="O187" s="7" t="n">
        <v>138.9</v>
      </c>
      <c r="P187" s="7" t="n">
        <v>143</v>
      </c>
      <c r="Q187" s="7" t="n">
        <v>1</v>
      </c>
      <c r="R187" s="10" t="n">
        <f aca="false">Q187*L187</f>
        <v>0.7</v>
      </c>
      <c r="S187" s="10" t="n">
        <f aca="false">J187-R187</f>
        <v>8.4</v>
      </c>
      <c r="T187" s="10" t="n">
        <f aca="false">MIN(138.9,(T186+S187))</f>
        <v>138.9</v>
      </c>
      <c r="V187" s="7" t="n">
        <v>140.9</v>
      </c>
      <c r="X187" s="7" t="n">
        <f aca="false">X186+V187</f>
        <v>73887.9</v>
      </c>
      <c r="Y187" s="7" t="n">
        <f aca="false">Y186+V187</f>
        <v>13663.7</v>
      </c>
      <c r="AA187" s="7" t="n">
        <v>9.44114386498394</v>
      </c>
    </row>
    <row r="188" s="7" customFormat="true" ht="15" hidden="false" customHeight="false" outlineLevel="0" collapsed="false">
      <c r="A188" s="21"/>
      <c r="B188" s="13"/>
      <c r="C188" s="8" t="n">
        <v>42034</v>
      </c>
      <c r="D188" s="7" t="n">
        <v>2.5</v>
      </c>
      <c r="E188" s="7" t="n">
        <v>1.4</v>
      </c>
      <c r="F188" s="7" t="n">
        <v>5</v>
      </c>
      <c r="G188" s="7" t="n">
        <f aca="false">G187+D188</f>
        <v>1365.3</v>
      </c>
      <c r="H188" s="7" t="n">
        <f aca="false">H187+D188</f>
        <v>296</v>
      </c>
      <c r="J188" s="7" t="n">
        <v>1.1</v>
      </c>
      <c r="K188" s="7" t="n">
        <f aca="false">K187+J188</f>
        <v>244.1</v>
      </c>
      <c r="L188" s="7" t="n">
        <v>0.7</v>
      </c>
      <c r="M188" s="7" t="n">
        <f aca="false">M187+L188</f>
        <v>144.4</v>
      </c>
      <c r="N188" s="7" t="n">
        <v>0.4</v>
      </c>
      <c r="O188" s="7" t="n">
        <v>138.9</v>
      </c>
      <c r="P188" s="7" t="n">
        <v>144</v>
      </c>
      <c r="Q188" s="7" t="n">
        <v>1</v>
      </c>
      <c r="R188" s="10" t="n">
        <f aca="false">Q188*L188</f>
        <v>0.7</v>
      </c>
      <c r="S188" s="10" t="n">
        <f aca="false">J188-R188</f>
        <v>0.4</v>
      </c>
      <c r="T188" s="10" t="n">
        <f aca="false">MIN(138.9,(T187+S188))</f>
        <v>138.9</v>
      </c>
      <c r="V188" s="7" t="n">
        <v>224.8</v>
      </c>
      <c r="X188" s="7" t="n">
        <f aca="false">X187+V188</f>
        <v>74112.7</v>
      </c>
      <c r="Y188" s="7" t="n">
        <f aca="false">Y187+V188</f>
        <v>13888.5</v>
      </c>
      <c r="AA188" s="7" t="n">
        <v>9.48705794353679</v>
      </c>
    </row>
    <row r="189" s="7" customFormat="true" ht="15" hidden="false" customHeight="false" outlineLevel="0" collapsed="false">
      <c r="A189" s="21"/>
      <c r="B189" s="13"/>
      <c r="C189" s="8" t="n">
        <v>42035</v>
      </c>
      <c r="D189" s="7" t="n">
        <v>3.4</v>
      </c>
      <c r="E189" s="7" t="n">
        <v>1.4</v>
      </c>
      <c r="F189" s="7" t="n">
        <v>5.7</v>
      </c>
      <c r="G189" s="7" t="n">
        <f aca="false">G188+D189</f>
        <v>1368.7</v>
      </c>
      <c r="H189" s="7" t="n">
        <f aca="false">H188+D189</f>
        <v>299.4</v>
      </c>
      <c r="J189" s="7" t="n">
        <v>0.8</v>
      </c>
      <c r="K189" s="7" t="n">
        <f aca="false">K188+J189</f>
        <v>244.9</v>
      </c>
      <c r="L189" s="7" t="n">
        <v>0.5</v>
      </c>
      <c r="M189" s="7" t="n">
        <f aca="false">M188+L189</f>
        <v>144.9</v>
      </c>
      <c r="N189" s="7" t="n">
        <v>0.3</v>
      </c>
      <c r="O189" s="7" t="n">
        <v>138.9</v>
      </c>
      <c r="P189" s="7" t="n">
        <v>145</v>
      </c>
      <c r="Q189" s="7" t="n">
        <v>1</v>
      </c>
      <c r="R189" s="10" t="n">
        <f aca="false">Q189*L189</f>
        <v>0.5</v>
      </c>
      <c r="S189" s="10" t="n">
        <f aca="false">J189-R189</f>
        <v>0.3</v>
      </c>
      <c r="T189" s="10" t="n">
        <f aca="false">MIN(138.9,(T188+S189))</f>
        <v>138.9</v>
      </c>
      <c r="V189" s="7" t="n">
        <v>394.5</v>
      </c>
      <c r="X189" s="7" t="n">
        <f aca="false">X188+V189</f>
        <v>74507.2</v>
      </c>
      <c r="Y189" s="7" t="n">
        <f aca="false">Y188+V189</f>
        <v>14283</v>
      </c>
      <c r="AA189" s="7" t="n">
        <v>9.53361466316502</v>
      </c>
    </row>
    <row r="190" s="7" customFormat="true" ht="15" hidden="false" customHeight="false" outlineLevel="0" collapsed="false">
      <c r="A190" s="21"/>
      <c r="B190" s="13"/>
      <c r="C190" s="8" t="n">
        <v>42036</v>
      </c>
      <c r="D190" s="7" t="n">
        <v>2.5</v>
      </c>
      <c r="E190" s="7" t="n">
        <v>1.1</v>
      </c>
      <c r="F190" s="7" t="n">
        <v>3</v>
      </c>
      <c r="G190" s="7" t="n">
        <f aca="false">G189+D190</f>
        <v>1371.2</v>
      </c>
      <c r="H190" s="7" t="n">
        <f aca="false">H189+D190</f>
        <v>301.9</v>
      </c>
      <c r="J190" s="7" t="n">
        <v>1.6</v>
      </c>
      <c r="K190" s="7" t="n">
        <f aca="false">K189+J190</f>
        <v>246.5</v>
      </c>
      <c r="L190" s="7" t="n">
        <v>0.4</v>
      </c>
      <c r="M190" s="7" t="n">
        <f aca="false">M189+L190</f>
        <v>145.3</v>
      </c>
      <c r="N190" s="7" t="n">
        <v>1.2</v>
      </c>
      <c r="O190" s="7" t="n">
        <v>138.9</v>
      </c>
      <c r="P190" s="7" t="n">
        <v>146</v>
      </c>
      <c r="Q190" s="7" t="n">
        <v>1</v>
      </c>
      <c r="R190" s="10" t="n">
        <f aca="false">Q190*L190</f>
        <v>0.4</v>
      </c>
      <c r="S190" s="10" t="n">
        <f aca="false">J190-R190</f>
        <v>1.2</v>
      </c>
      <c r="T190" s="10" t="n">
        <f aca="false">MIN(138.9,(T189+S190))</f>
        <v>138.9</v>
      </c>
      <c r="V190" s="7" t="n">
        <v>234.7</v>
      </c>
      <c r="X190" s="7" t="n">
        <f aca="false">X189+V190</f>
        <v>74741.9</v>
      </c>
      <c r="Y190" s="7" t="n">
        <f aca="false">Y189+V190</f>
        <v>14517.7</v>
      </c>
      <c r="AA190" s="7" t="n">
        <v>9.58078835312233</v>
      </c>
    </row>
    <row r="191" s="7" customFormat="true" ht="15" hidden="false" customHeight="false" outlineLevel="0" collapsed="false">
      <c r="A191" s="21"/>
      <c r="B191" s="13"/>
      <c r="C191" s="8" t="n">
        <v>42037</v>
      </c>
      <c r="D191" s="7" t="n">
        <v>2.1</v>
      </c>
      <c r="E191" s="7" t="n">
        <v>1.7</v>
      </c>
      <c r="F191" s="7" t="n">
        <v>5.1</v>
      </c>
      <c r="G191" s="7" t="n">
        <f aca="false">G190+D191</f>
        <v>1373.3</v>
      </c>
      <c r="H191" s="7" t="n">
        <f aca="false">H190+D191</f>
        <v>304</v>
      </c>
      <c r="J191" s="7" t="n">
        <v>0</v>
      </c>
      <c r="K191" s="7" t="n">
        <f aca="false">K190+J191</f>
        <v>246.5</v>
      </c>
      <c r="L191" s="7" t="n">
        <v>0.6</v>
      </c>
      <c r="M191" s="7" t="n">
        <f aca="false">M190+L191</f>
        <v>145.9</v>
      </c>
      <c r="N191" s="9" t="n">
        <v>-0.6</v>
      </c>
      <c r="O191" s="7" t="n">
        <f aca="false">O190+N191</f>
        <v>138.3</v>
      </c>
      <c r="P191" s="7" t="n">
        <v>147</v>
      </c>
      <c r="Q191" s="7" t="n">
        <v>1</v>
      </c>
      <c r="R191" s="10" t="n">
        <f aca="false">Q191*L191</f>
        <v>0.6</v>
      </c>
      <c r="S191" s="10" t="n">
        <f aca="false">J191-R191</f>
        <v>-0.6</v>
      </c>
      <c r="T191" s="10" t="n">
        <f aca="false">MIN(138.9,(T190+S191))</f>
        <v>138.3</v>
      </c>
      <c r="V191" s="7" t="n">
        <v>533.8</v>
      </c>
      <c r="X191" s="7" t="n">
        <f aca="false">X190+V191</f>
        <v>75275.7</v>
      </c>
      <c r="Y191" s="7" t="n">
        <f aca="false">Y190+V191</f>
        <v>15051.5</v>
      </c>
      <c r="AA191" s="7" t="n">
        <v>9.62855388132157</v>
      </c>
    </row>
    <row r="192" s="7" customFormat="true" ht="15" hidden="false" customHeight="false" outlineLevel="0" collapsed="false">
      <c r="A192" s="21"/>
      <c r="B192" s="13"/>
      <c r="C192" s="8" t="n">
        <v>42038</v>
      </c>
      <c r="D192" s="7" t="n">
        <v>-0.7</v>
      </c>
      <c r="E192" s="7" t="n">
        <v>-2.5</v>
      </c>
      <c r="F192" s="7" t="n">
        <v>0.4</v>
      </c>
      <c r="G192" s="7" t="n">
        <v>1373.3</v>
      </c>
      <c r="H192" s="7" t="n">
        <v>304</v>
      </c>
      <c r="J192" s="7" t="n">
        <v>0.1</v>
      </c>
      <c r="K192" s="7" t="n">
        <f aca="false">K191+J192</f>
        <v>246.6</v>
      </c>
      <c r="L192" s="7" t="n">
        <v>0.2</v>
      </c>
      <c r="M192" s="7" t="n">
        <f aca="false">M191+L192</f>
        <v>146.1</v>
      </c>
      <c r="N192" s="9" t="n">
        <v>-0.1</v>
      </c>
      <c r="O192" s="7" t="n">
        <f aca="false">O191+N192</f>
        <v>138.2</v>
      </c>
      <c r="P192" s="7" t="n">
        <v>148</v>
      </c>
      <c r="Q192" s="7" t="n">
        <v>1</v>
      </c>
      <c r="R192" s="10" t="n">
        <f aca="false">Q192*L192</f>
        <v>0.2</v>
      </c>
      <c r="S192" s="10" t="n">
        <f aca="false">J192-R192</f>
        <v>-0.1</v>
      </c>
      <c r="T192" s="10" t="n">
        <f aca="false">MIN(138.9,(T191+S192))</f>
        <v>138.2</v>
      </c>
      <c r="V192" s="7" t="n">
        <v>138.4</v>
      </c>
      <c r="X192" s="7" t="n">
        <f aca="false">X191+V192</f>
        <v>75414.1</v>
      </c>
      <c r="Y192" s="7" t="n">
        <f aca="false">Y191+V192</f>
        <v>15189.9</v>
      </c>
      <c r="AA192" s="7" t="n">
        <v>9.67688667437189</v>
      </c>
    </row>
    <row r="193" s="7" customFormat="true" ht="15" hidden="false" customHeight="false" outlineLevel="0" collapsed="false">
      <c r="A193" s="21"/>
      <c r="B193" s="13"/>
      <c r="C193" s="8" t="n">
        <v>42039</v>
      </c>
      <c r="D193" s="7" t="n">
        <v>0.8</v>
      </c>
      <c r="E193" s="7" t="n">
        <v>-0.4</v>
      </c>
      <c r="F193" s="7" t="n">
        <v>1.7</v>
      </c>
      <c r="G193" s="7" t="n">
        <f aca="false">G192+D193</f>
        <v>1374.1</v>
      </c>
      <c r="H193" s="7" t="n">
        <f aca="false">H192+D193</f>
        <v>304.8</v>
      </c>
      <c r="J193" s="7" t="n">
        <v>0</v>
      </c>
      <c r="K193" s="7" t="n">
        <f aca="false">K192+J193</f>
        <v>246.6</v>
      </c>
      <c r="L193" s="7" t="n">
        <v>0.6</v>
      </c>
      <c r="M193" s="7" t="n">
        <f aca="false">M192+L193</f>
        <v>146.7</v>
      </c>
      <c r="N193" s="9" t="n">
        <v>-0.6</v>
      </c>
      <c r="O193" s="7" t="n">
        <f aca="false">O192+N193</f>
        <v>137.6</v>
      </c>
      <c r="P193" s="7" t="n">
        <v>149</v>
      </c>
      <c r="Q193" s="7" t="n">
        <v>1</v>
      </c>
      <c r="R193" s="10" t="n">
        <f aca="false">Q193*L193</f>
        <v>0.6</v>
      </c>
      <c r="S193" s="10" t="n">
        <f aca="false">J193-R193</f>
        <v>-0.6</v>
      </c>
      <c r="T193" s="10" t="n">
        <f aca="false">MIN(138.9,(T192+S193))</f>
        <v>137.6</v>
      </c>
      <c r="V193" s="7" t="n">
        <v>427.5</v>
      </c>
      <c r="X193" s="7" t="n">
        <f aca="false">X192+V193</f>
        <v>75841.6</v>
      </c>
      <c r="Y193" s="7" t="n">
        <f aca="false">Y192+V193</f>
        <v>15617.4</v>
      </c>
      <c r="AA193" s="7" t="n">
        <v>9.72576273454168</v>
      </c>
    </row>
    <row r="194" s="7" customFormat="true" ht="15" hidden="false" customHeight="false" outlineLevel="0" collapsed="false">
      <c r="A194" s="21"/>
      <c r="B194" s="13"/>
      <c r="C194" s="8" t="n">
        <v>42040</v>
      </c>
      <c r="D194" s="7" t="n">
        <v>0.8</v>
      </c>
      <c r="E194" s="7" t="n">
        <v>-0.1</v>
      </c>
      <c r="F194" s="7" t="n">
        <v>2.9</v>
      </c>
      <c r="G194" s="7" t="n">
        <f aca="false">G193+D194</f>
        <v>1374.9</v>
      </c>
      <c r="H194" s="7" t="n">
        <f aca="false">H193+D194</f>
        <v>305.6</v>
      </c>
      <c r="J194" s="7" t="n">
        <v>0</v>
      </c>
      <c r="K194" s="7" t="n">
        <f aca="false">K193+J194</f>
        <v>246.6</v>
      </c>
      <c r="L194" s="7" t="n">
        <v>1</v>
      </c>
      <c r="M194" s="7" t="n">
        <f aca="false">M193+L194</f>
        <v>147.7</v>
      </c>
      <c r="N194" s="9" t="n">
        <v>-1</v>
      </c>
      <c r="O194" s="7" t="n">
        <f aca="false">O193+N194</f>
        <v>136.6</v>
      </c>
      <c r="P194" s="7" t="n">
        <v>150</v>
      </c>
      <c r="Q194" s="7" t="n">
        <v>1</v>
      </c>
      <c r="R194" s="10" t="n">
        <f aca="false">Q194*L194</f>
        <v>1</v>
      </c>
      <c r="S194" s="10" t="n">
        <f aca="false">J194-R194</f>
        <v>-1</v>
      </c>
      <c r="T194" s="10" t="n">
        <f aca="false">MIN(138.9,(T193+S194))</f>
        <v>136.6</v>
      </c>
      <c r="V194" s="7" t="n">
        <v>606.7</v>
      </c>
      <c r="X194" s="7" t="n">
        <f aca="false">X193+V194</f>
        <v>76448.3</v>
      </c>
      <c r="Y194" s="7" t="n">
        <f aca="false">Y193+V194</f>
        <v>16224.1</v>
      </c>
      <c r="AA194" s="7" t="n">
        <v>9.7751586537839</v>
      </c>
    </row>
    <row r="195" s="7" customFormat="true" ht="15" hidden="false" customHeight="false" outlineLevel="0" collapsed="false">
      <c r="A195" s="21"/>
      <c r="B195" s="13"/>
      <c r="C195" s="8" t="n">
        <v>42041</v>
      </c>
      <c r="D195" s="7" t="n">
        <v>-0.2</v>
      </c>
      <c r="E195" s="7" t="n">
        <v>-0.9</v>
      </c>
      <c r="F195" s="7" t="n">
        <v>0.8</v>
      </c>
      <c r="G195" s="7" t="n">
        <v>1374.9</v>
      </c>
      <c r="H195" s="7" t="n">
        <v>305.6</v>
      </c>
      <c r="J195" s="7" t="n">
        <v>0</v>
      </c>
      <c r="K195" s="7" t="n">
        <f aca="false">K194+J195</f>
        <v>246.6</v>
      </c>
      <c r="L195" s="7" t="n">
        <v>1.3</v>
      </c>
      <c r="M195" s="7" t="n">
        <f aca="false">M194+L195</f>
        <v>149</v>
      </c>
      <c r="N195" s="9" t="n">
        <v>-1.3</v>
      </c>
      <c r="O195" s="7" t="n">
        <f aca="false">O194+N195</f>
        <v>135.3</v>
      </c>
      <c r="P195" s="7" t="n">
        <v>151</v>
      </c>
      <c r="Q195" s="7" t="n">
        <v>1</v>
      </c>
      <c r="R195" s="10" t="n">
        <f aca="false">Q195*L195</f>
        <v>1.3</v>
      </c>
      <c r="S195" s="10" t="n">
        <f aca="false">J195-R195</f>
        <v>-1.3</v>
      </c>
      <c r="T195" s="10" t="n">
        <f aca="false">MIN(138.9,(T194+S195))</f>
        <v>135.3</v>
      </c>
      <c r="V195" s="7" t="n">
        <v>411.8</v>
      </c>
      <c r="X195" s="7" t="n">
        <f aca="false">X194+V195</f>
        <v>76860.1</v>
      </c>
      <c r="Y195" s="7" t="n">
        <f aca="false">Y194+V195</f>
        <v>16635.9</v>
      </c>
      <c r="AA195" s="7" t="n">
        <v>9.82505162496628</v>
      </c>
    </row>
    <row r="196" s="7" customFormat="true" ht="15" hidden="false" customHeight="false" outlineLevel="0" collapsed="false">
      <c r="A196" s="21"/>
      <c r="B196" s="13"/>
      <c r="C196" s="8" t="n">
        <v>42042</v>
      </c>
      <c r="D196" s="7" t="n">
        <v>0.7</v>
      </c>
      <c r="E196" s="7" t="n">
        <v>-2.5</v>
      </c>
      <c r="F196" s="7" t="n">
        <v>2.7</v>
      </c>
      <c r="G196" s="7" t="n">
        <f aca="false">G195+D196</f>
        <v>1375.6</v>
      </c>
      <c r="H196" s="7" t="n">
        <f aca="false">H195+D196</f>
        <v>306.3</v>
      </c>
      <c r="J196" s="24" t="n">
        <v>0</v>
      </c>
      <c r="K196" s="7" t="n">
        <f aca="false">K195+J196</f>
        <v>246.6</v>
      </c>
      <c r="L196" s="7" t="n">
        <v>1.2</v>
      </c>
      <c r="M196" s="7" t="n">
        <f aca="false">M195+L196</f>
        <v>150.2</v>
      </c>
      <c r="N196" s="9" t="n">
        <v>-1.2</v>
      </c>
      <c r="O196" s="7" t="n">
        <f aca="false">O195+N196</f>
        <v>134.1</v>
      </c>
      <c r="P196" s="7" t="n">
        <v>152</v>
      </c>
      <c r="Q196" s="7" t="n">
        <v>1</v>
      </c>
      <c r="R196" s="10" t="n">
        <f aca="false">Q196*L196</f>
        <v>1.2</v>
      </c>
      <c r="S196" s="10" t="n">
        <f aca="false">J196-R196</f>
        <v>-1.2</v>
      </c>
      <c r="T196" s="10" t="n">
        <f aca="false">MIN(138.9,(T195+S196))</f>
        <v>134.1</v>
      </c>
      <c r="V196" s="7" t="n">
        <v>1118.2</v>
      </c>
      <c r="X196" s="7" t="n">
        <f aca="false">X195+V196</f>
        <v>77978.3</v>
      </c>
      <c r="Y196" s="7" t="n">
        <f aca="false">Y195+V196</f>
        <v>17754.1</v>
      </c>
      <c r="AA196" s="7" t="n">
        <v>9.87541945045206</v>
      </c>
      <c r="AB196" s="25" t="s">
        <v>46</v>
      </c>
    </row>
    <row r="197" s="7" customFormat="true" ht="15" hidden="false" customHeight="false" outlineLevel="0" collapsed="false">
      <c r="A197" s="21"/>
      <c r="B197" s="13"/>
      <c r="C197" s="8" t="n">
        <v>42043</v>
      </c>
      <c r="D197" s="7" t="n">
        <v>3.8</v>
      </c>
      <c r="E197" s="7" t="n">
        <v>1.8</v>
      </c>
      <c r="F197" s="7" t="n">
        <v>6.1</v>
      </c>
      <c r="G197" s="7" t="n">
        <f aca="false">G196+D197</f>
        <v>1379.4</v>
      </c>
      <c r="H197" s="7" t="n">
        <f aca="false">H196+D197</f>
        <v>310.1</v>
      </c>
      <c r="J197" s="24" t="n">
        <v>0</v>
      </c>
      <c r="K197" s="7" t="n">
        <f aca="false">K196+J197</f>
        <v>246.6</v>
      </c>
      <c r="L197" s="7" t="n">
        <v>0.8</v>
      </c>
      <c r="M197" s="7" t="n">
        <f aca="false">M196+L197</f>
        <v>151</v>
      </c>
      <c r="N197" s="9" t="n">
        <v>-0.8</v>
      </c>
      <c r="O197" s="7" t="n">
        <f aca="false">O196+N197</f>
        <v>133.3</v>
      </c>
      <c r="P197" s="7" t="n">
        <v>153</v>
      </c>
      <c r="Q197" s="7" t="n">
        <v>1</v>
      </c>
      <c r="R197" s="10" t="n">
        <f aca="false">Q197*L197</f>
        <v>0.8</v>
      </c>
      <c r="S197" s="10" t="n">
        <f aca="false">J197-R197</f>
        <v>-0.8</v>
      </c>
      <c r="T197" s="10" t="n">
        <f aca="false">MIN(138.9,(T196+S197))</f>
        <v>133.3</v>
      </c>
      <c r="V197" s="7" t="n">
        <v>325.4</v>
      </c>
      <c r="X197" s="7" t="n">
        <f aca="false">X196+V197</f>
        <v>78303.7</v>
      </c>
      <c r="Y197" s="7" t="n">
        <f aca="false">Y196+V197</f>
        <v>18079.5</v>
      </c>
      <c r="AA197" s="7" t="n">
        <v>9.92624054817969</v>
      </c>
      <c r="AB197" s="10" t="n">
        <f aca="false">AVERAGE(T203:T216)</f>
        <v>138.535714285714</v>
      </c>
    </row>
    <row r="198" s="7" customFormat="true" ht="15" hidden="false" customHeight="false" outlineLevel="0" collapsed="false">
      <c r="A198" s="21"/>
      <c r="B198" s="13"/>
      <c r="C198" s="8" t="n">
        <v>42044</v>
      </c>
      <c r="D198" s="7" t="n">
        <v>2.7</v>
      </c>
      <c r="E198" s="7" t="n">
        <v>-2.1</v>
      </c>
      <c r="F198" s="7" t="n">
        <v>6.6</v>
      </c>
      <c r="G198" s="7" t="n">
        <f aca="false">G197+D198</f>
        <v>1382.1</v>
      </c>
      <c r="H198" s="7" t="n">
        <f aca="false">H197+D198</f>
        <v>312.8</v>
      </c>
      <c r="J198" s="24" t="n">
        <v>0</v>
      </c>
      <c r="K198" s="7" t="n">
        <f aca="false">K197+J198</f>
        <v>246.6</v>
      </c>
      <c r="L198" s="7" t="n">
        <v>0.9</v>
      </c>
      <c r="M198" s="7" t="n">
        <f aca="false">M197+L198</f>
        <v>151.9</v>
      </c>
      <c r="N198" s="9" t="n">
        <v>-0.9</v>
      </c>
      <c r="O198" s="7" t="n">
        <f aca="false">O197+N198</f>
        <v>132.4</v>
      </c>
      <c r="P198" s="7" t="n">
        <v>154</v>
      </c>
      <c r="Q198" s="7" t="n">
        <v>1</v>
      </c>
      <c r="R198" s="10" t="n">
        <f aca="false">Q198*L198</f>
        <v>0.9</v>
      </c>
      <c r="S198" s="10" t="n">
        <f aca="false">J198-R198</f>
        <v>-0.9</v>
      </c>
      <c r="T198" s="10" t="n">
        <f aca="false">MIN(138.9,(T197+S198))</f>
        <v>132.4</v>
      </c>
      <c r="V198" s="7" t="n">
        <v>759.8</v>
      </c>
      <c r="X198" s="7" t="n">
        <f aca="false">X197+V198</f>
        <v>79063.5</v>
      </c>
      <c r="Y198" s="7" t="n">
        <f aca="false">Y197+V198</f>
        <v>18839.3</v>
      </c>
      <c r="AA198" s="7" t="n">
        <v>9.97749395539033</v>
      </c>
      <c r="AB198" s="25" t="s">
        <v>47</v>
      </c>
    </row>
    <row r="199" s="7" customFormat="true" ht="15" hidden="false" customHeight="false" outlineLevel="0" collapsed="false">
      <c r="A199" s="21"/>
      <c r="B199" s="13"/>
      <c r="C199" s="8" t="n">
        <v>42045</v>
      </c>
      <c r="D199" s="7" t="n">
        <v>3.6</v>
      </c>
      <c r="E199" s="7" t="n">
        <v>1.6</v>
      </c>
      <c r="F199" s="7" t="n">
        <v>6</v>
      </c>
      <c r="G199" s="7" t="n">
        <f aca="false">G198+D199</f>
        <v>1385.7</v>
      </c>
      <c r="H199" s="7" t="n">
        <f aca="false">H198+D199</f>
        <v>316.4</v>
      </c>
      <c r="J199" s="24" t="n">
        <v>0</v>
      </c>
      <c r="K199" s="7" t="n">
        <f aca="false">K198+J199</f>
        <v>246.6</v>
      </c>
      <c r="L199" s="7" t="n">
        <v>0.9</v>
      </c>
      <c r="M199" s="7" t="n">
        <f aca="false">M198+L199</f>
        <v>152.8</v>
      </c>
      <c r="N199" s="9" t="n">
        <v>-0.9</v>
      </c>
      <c r="O199" s="7" t="n">
        <f aca="false">O198+N199</f>
        <v>131.5</v>
      </c>
      <c r="P199" s="7" t="n">
        <v>155</v>
      </c>
      <c r="Q199" s="7" t="n">
        <v>1</v>
      </c>
      <c r="R199" s="10" t="n">
        <f aca="false">Q199*L199</f>
        <v>0.9</v>
      </c>
      <c r="S199" s="10" t="n">
        <f aca="false">J199-R199</f>
        <v>-0.9</v>
      </c>
      <c r="T199" s="10" t="n">
        <f aca="false">MIN(138.9,(T198+S199))</f>
        <v>131.5</v>
      </c>
      <c r="V199" s="7" t="n">
        <v>531.1</v>
      </c>
      <c r="X199" s="7" t="n">
        <f aca="false">X198+V199</f>
        <v>79594.6</v>
      </c>
      <c r="Y199" s="7" t="n">
        <f aca="false">Y198+V199</f>
        <v>19370.4</v>
      </c>
      <c r="AA199" s="7" t="n">
        <v>10.029159330152</v>
      </c>
      <c r="AB199" s="7" t="n">
        <v>6</v>
      </c>
    </row>
    <row r="200" s="7" customFormat="true" ht="15" hidden="false" customHeight="false" outlineLevel="0" collapsed="false">
      <c r="A200" s="21"/>
      <c r="B200" s="13"/>
      <c r="C200" s="8" t="n">
        <v>42046</v>
      </c>
      <c r="D200" s="7" t="n">
        <v>0.4</v>
      </c>
      <c r="E200" s="7" t="n">
        <v>-1.6</v>
      </c>
      <c r="F200" s="7" t="n">
        <v>3.7</v>
      </c>
      <c r="G200" s="7" t="n">
        <f aca="false">G199+D200</f>
        <v>1386.1</v>
      </c>
      <c r="H200" s="7" t="n">
        <f aca="false">H199+D200</f>
        <v>316.8</v>
      </c>
      <c r="J200" s="24" t="n">
        <v>0</v>
      </c>
      <c r="K200" s="7" t="n">
        <f aca="false">K199+J200</f>
        <v>246.6</v>
      </c>
      <c r="L200" s="7" t="n">
        <v>0.8</v>
      </c>
      <c r="M200" s="7" t="n">
        <f aca="false">M199+L200</f>
        <v>153.6</v>
      </c>
      <c r="N200" s="9" t="n">
        <v>-0.8</v>
      </c>
      <c r="O200" s="7" t="n">
        <f aca="false">O199+N200</f>
        <v>130.7</v>
      </c>
      <c r="P200" s="7" t="n">
        <v>156</v>
      </c>
      <c r="Q200" s="7" t="n">
        <v>1</v>
      </c>
      <c r="R200" s="10" t="n">
        <f aca="false">Q200*L200</f>
        <v>0.8</v>
      </c>
      <c r="S200" s="10" t="n">
        <f aca="false">J200-R200</f>
        <v>-0.8</v>
      </c>
      <c r="T200" s="10" t="n">
        <f aca="false">MIN(138.9,(T199+S200))</f>
        <v>130.7</v>
      </c>
      <c r="V200" s="7" t="n">
        <v>796.2</v>
      </c>
      <c r="X200" s="7" t="n">
        <f aca="false">X199+V200</f>
        <v>80390.8</v>
      </c>
      <c r="Y200" s="7" t="n">
        <f aca="false">Y199+V200</f>
        <v>20166.6</v>
      </c>
      <c r="AA200" s="7" t="n">
        <v>10.0812169508273</v>
      </c>
      <c r="AB200" s="25" t="s">
        <v>48</v>
      </c>
    </row>
    <row r="201" s="7" customFormat="true" ht="15" hidden="false" customHeight="false" outlineLevel="0" collapsed="false">
      <c r="A201" s="21"/>
      <c r="B201" s="13"/>
      <c r="C201" s="8" t="n">
        <v>42047</v>
      </c>
      <c r="D201" s="7" t="n">
        <v>2.5</v>
      </c>
      <c r="E201" s="7" t="n">
        <v>-4.6</v>
      </c>
      <c r="F201" s="7" t="n">
        <v>7.7</v>
      </c>
      <c r="G201" s="7" t="n">
        <f aca="false">G200+D201</f>
        <v>1388.6</v>
      </c>
      <c r="H201" s="7" t="n">
        <f aca="false">H200+D201</f>
        <v>319.3</v>
      </c>
      <c r="J201" s="24" t="n">
        <v>0</v>
      </c>
      <c r="K201" s="7" t="n">
        <f aca="false">K200+J201</f>
        <v>246.6</v>
      </c>
      <c r="L201" s="7" t="n">
        <v>0.9</v>
      </c>
      <c r="M201" s="7" t="n">
        <f aca="false">M200+L201</f>
        <v>154.5</v>
      </c>
      <c r="N201" s="9" t="n">
        <v>-0.9</v>
      </c>
      <c r="O201" s="7" t="n">
        <f aca="false">O200+N201</f>
        <v>129.8</v>
      </c>
      <c r="P201" s="7" t="n">
        <v>157</v>
      </c>
      <c r="Q201" s="7" t="n">
        <v>1</v>
      </c>
      <c r="R201" s="10" t="n">
        <f aca="false">Q201*L201</f>
        <v>0.9</v>
      </c>
      <c r="S201" s="10" t="n">
        <f aca="false">J201-R201</f>
        <v>-0.9</v>
      </c>
      <c r="T201" s="10" t="n">
        <f aca="false">MIN(138.9,(T200+S201))</f>
        <v>129.8</v>
      </c>
      <c r="V201" s="7" t="n">
        <v>997.5</v>
      </c>
      <c r="X201" s="7" t="n">
        <f aca="false">X200+V201</f>
        <v>81388.3</v>
      </c>
      <c r="Y201" s="7" t="n">
        <f aca="false">Y200+V201</f>
        <v>21164.1</v>
      </c>
      <c r="AA201" s="7" t="n">
        <v>10.1336477136298</v>
      </c>
      <c r="AB201" s="7" t="n">
        <v>2</v>
      </c>
    </row>
    <row r="202" s="7" customFormat="true" ht="15" hidden="false" customHeight="false" outlineLevel="0" collapsed="false">
      <c r="A202" s="21"/>
      <c r="B202" s="13"/>
      <c r="C202" s="8" t="n">
        <v>42048</v>
      </c>
      <c r="D202" s="7" t="n">
        <v>7</v>
      </c>
      <c r="E202" s="7" t="n">
        <v>2.8</v>
      </c>
      <c r="F202" s="7" t="n">
        <v>11.4</v>
      </c>
      <c r="G202" s="7" t="n">
        <f aca="false">G201+D202</f>
        <v>1395.6</v>
      </c>
      <c r="H202" s="7" t="n">
        <f aca="false">H201+D202</f>
        <v>326.3</v>
      </c>
      <c r="J202" s="24" t="n">
        <v>11.5</v>
      </c>
      <c r="K202" s="7" t="n">
        <f aca="false">K201+J202</f>
        <v>258.1</v>
      </c>
      <c r="L202" s="7" t="n">
        <v>1.4</v>
      </c>
      <c r="M202" s="7" t="n">
        <f aca="false">M201+L202</f>
        <v>155.9</v>
      </c>
      <c r="N202" s="7" t="n">
        <v>10.1</v>
      </c>
      <c r="O202" s="7" t="n">
        <v>138.9</v>
      </c>
      <c r="P202" s="7" t="n">
        <v>158</v>
      </c>
      <c r="Q202" s="7" t="n">
        <v>1</v>
      </c>
      <c r="R202" s="10" t="n">
        <f aca="false">Q202*L202</f>
        <v>1.4</v>
      </c>
      <c r="S202" s="10" t="n">
        <f aca="false">J202-R202</f>
        <v>10.1</v>
      </c>
      <c r="T202" s="10" t="n">
        <f aca="false">MIN(138.9,(T201+S202))</f>
        <v>138.9</v>
      </c>
      <c r="V202" s="7" t="n">
        <v>787.7</v>
      </c>
      <c r="X202" s="7" t="n">
        <f aca="false">X201+V202</f>
        <v>82176</v>
      </c>
      <c r="Y202" s="7" t="n">
        <f aca="false">Y201+V202</f>
        <v>21951.8</v>
      </c>
      <c r="AA202" s="7" t="n">
        <v>10.1864331284095</v>
      </c>
      <c r="AB202" s="25" t="s">
        <v>49</v>
      </c>
    </row>
    <row r="203" s="7" customFormat="true" ht="15" hidden="false" customHeight="false" outlineLevel="0" collapsed="false">
      <c r="A203" s="21"/>
      <c r="B203" s="13"/>
      <c r="C203" s="8" t="n">
        <v>42049</v>
      </c>
      <c r="D203" s="7" t="n">
        <v>6.5</v>
      </c>
      <c r="E203" s="7" t="n">
        <v>5.7</v>
      </c>
      <c r="F203" s="7" t="n">
        <v>7.8</v>
      </c>
      <c r="G203" s="7" t="n">
        <f aca="false">G202+D203</f>
        <v>1402.1</v>
      </c>
      <c r="H203" s="7" t="n">
        <f aca="false">H202+D203</f>
        <v>332.8</v>
      </c>
      <c r="J203" s="24" t="n">
        <v>6.1</v>
      </c>
      <c r="K203" s="7" t="n">
        <f aca="false">K202+J203</f>
        <v>264.2</v>
      </c>
      <c r="L203" s="7" t="n">
        <v>0.5</v>
      </c>
      <c r="M203" s="7" t="n">
        <f aca="false">M202+L203</f>
        <v>156.4</v>
      </c>
      <c r="N203" s="7" t="n">
        <v>5.6</v>
      </c>
      <c r="O203" s="7" t="n">
        <v>138.9</v>
      </c>
      <c r="P203" s="7" t="n">
        <v>159</v>
      </c>
      <c r="Q203" s="7" t="n">
        <v>1</v>
      </c>
      <c r="R203" s="10" t="n">
        <f aca="false">Q203*L203</f>
        <v>0.5</v>
      </c>
      <c r="S203" s="10" t="n">
        <f aca="false">J203-R203</f>
        <v>5.6</v>
      </c>
      <c r="T203" s="26" t="n">
        <f aca="false">MIN(138.9,(T202+S203))</f>
        <v>138.9</v>
      </c>
      <c r="V203" s="7" t="n">
        <v>128.5</v>
      </c>
      <c r="X203" s="7" t="n">
        <f aca="false">X202+V203</f>
        <v>82304.5</v>
      </c>
      <c r="Y203" s="7" t="n">
        <f aca="false">Y202+V203</f>
        <v>22080.3</v>
      </c>
      <c r="AA203" s="7" t="n">
        <v>10.2395553128072</v>
      </c>
      <c r="AB203" s="7" t="n">
        <v>6</v>
      </c>
    </row>
    <row r="204" s="7" customFormat="true" ht="15" hidden="false" customHeight="false" outlineLevel="0" collapsed="false">
      <c r="A204" s="21"/>
      <c r="B204" s="13"/>
      <c r="C204" s="8" t="n">
        <v>42050</v>
      </c>
      <c r="D204" s="7" t="n">
        <v>5</v>
      </c>
      <c r="E204" s="7" t="n">
        <v>4.1</v>
      </c>
      <c r="F204" s="7" t="n">
        <v>6.6</v>
      </c>
      <c r="G204" s="7" t="n">
        <f aca="false">G203+D204</f>
        <v>1407.1</v>
      </c>
      <c r="H204" s="7" t="n">
        <f aca="false">H203+D204</f>
        <v>337.8</v>
      </c>
      <c r="J204" s="24" t="n">
        <v>0.1</v>
      </c>
      <c r="K204" s="7" t="n">
        <f aca="false">K203+J204</f>
        <v>264.3</v>
      </c>
      <c r="L204" s="7" t="n">
        <v>0.4</v>
      </c>
      <c r="M204" s="7" t="n">
        <f aca="false">M203+L204</f>
        <v>156.8</v>
      </c>
      <c r="N204" s="9" t="n">
        <v>-0.3</v>
      </c>
      <c r="O204" s="7" t="n">
        <f aca="false">O203+N204</f>
        <v>138.6</v>
      </c>
      <c r="P204" s="7" t="n">
        <v>160</v>
      </c>
      <c r="Q204" s="7" t="n">
        <v>1</v>
      </c>
      <c r="R204" s="10" t="n">
        <f aca="false">Q204*L204</f>
        <v>0.4</v>
      </c>
      <c r="S204" s="10" t="n">
        <f aca="false">J204-R204</f>
        <v>-0.3</v>
      </c>
      <c r="T204" s="26" t="n">
        <f aca="false">MIN(138.9,(T203+S204))</f>
        <v>138.6</v>
      </c>
      <c r="V204" s="7" t="n">
        <v>446.7</v>
      </c>
      <c r="X204" s="7" t="n">
        <f aca="false">X203+V204</f>
        <v>82751.2</v>
      </c>
      <c r="Y204" s="7" t="n">
        <f aca="false">Y203+V204</f>
        <v>22527</v>
      </c>
      <c r="AA204" s="7" t="n">
        <v>10.2929969849074</v>
      </c>
      <c r="AB204" s="25" t="s">
        <v>50</v>
      </c>
    </row>
    <row r="205" s="7" customFormat="true" ht="15" hidden="false" customHeight="false" outlineLevel="0" collapsed="false">
      <c r="A205" s="21"/>
      <c r="B205" s="13"/>
      <c r="C205" s="8" t="n">
        <v>42051</v>
      </c>
      <c r="D205" s="7" t="n">
        <v>3.6</v>
      </c>
      <c r="E205" s="7" t="n">
        <v>0.5</v>
      </c>
      <c r="F205" s="7" t="n">
        <v>5.4</v>
      </c>
      <c r="G205" s="7" t="n">
        <f aca="false">G204+D205</f>
        <v>1410.7</v>
      </c>
      <c r="H205" s="7" t="n">
        <f aca="false">H204+D205</f>
        <v>341.4</v>
      </c>
      <c r="J205" s="24" t="n">
        <v>0.7</v>
      </c>
      <c r="K205" s="7" t="n">
        <f aca="false">K204+J205</f>
        <v>265</v>
      </c>
      <c r="L205" s="7" t="n">
        <v>0.2</v>
      </c>
      <c r="M205" s="7" t="n">
        <f aca="false">M204+L205</f>
        <v>157</v>
      </c>
      <c r="N205" s="7" t="n">
        <v>0.5</v>
      </c>
      <c r="O205" s="7" t="n">
        <v>138.9</v>
      </c>
      <c r="P205" s="7" t="n">
        <v>161</v>
      </c>
      <c r="Q205" s="7" t="n">
        <v>1</v>
      </c>
      <c r="R205" s="10" t="n">
        <f aca="false">Q205*L205</f>
        <v>0.2</v>
      </c>
      <c r="S205" s="10" t="n">
        <f aca="false">J205-R205</f>
        <v>0.5</v>
      </c>
      <c r="T205" s="26" t="n">
        <f aca="false">MIN(138.9,(T204+S205))</f>
        <v>138.9</v>
      </c>
      <c r="V205" s="7" t="n">
        <v>302.2</v>
      </c>
      <c r="X205" s="7" t="n">
        <f aca="false">X204+V205</f>
        <v>83053.4</v>
      </c>
      <c r="Y205" s="7" t="n">
        <f aca="false">Y204+V205</f>
        <v>22829.2</v>
      </c>
      <c r="AA205" s="7" t="n">
        <v>10.3467414545208</v>
      </c>
      <c r="AB205" s="7" t="n">
        <f aca="false">SUM(J207:J216)</f>
        <v>21.7</v>
      </c>
    </row>
    <row r="206" s="29" customFormat="true" ht="15" hidden="false" customHeight="false" outlineLevel="0" collapsed="false">
      <c r="A206" s="21"/>
      <c r="B206" s="27" t="s">
        <v>51</v>
      </c>
      <c r="C206" s="28" t="n">
        <v>42052</v>
      </c>
      <c r="D206" s="29" t="n">
        <v>5.8</v>
      </c>
      <c r="E206" s="29" t="n">
        <v>4.1</v>
      </c>
      <c r="F206" s="29" t="n">
        <v>7.1</v>
      </c>
      <c r="G206" s="29" t="n">
        <f aca="false">G205+D206</f>
        <v>1416.5</v>
      </c>
      <c r="H206" s="29" t="n">
        <f aca="false">H205+D206</f>
        <v>347.2</v>
      </c>
      <c r="J206" s="29" t="n">
        <v>0</v>
      </c>
      <c r="K206" s="29" t="n">
        <f aca="false">K205+J206</f>
        <v>265</v>
      </c>
      <c r="L206" s="29" t="n">
        <v>0.6</v>
      </c>
      <c r="M206" s="29" t="n">
        <f aca="false">M205+L206</f>
        <v>157.6</v>
      </c>
      <c r="N206" s="29" t="n">
        <v>-0.6</v>
      </c>
      <c r="O206" s="29" t="n">
        <f aca="false">O205+N206</f>
        <v>138.3</v>
      </c>
      <c r="P206" s="29" t="n">
        <v>162</v>
      </c>
      <c r="Q206" s="29" t="n">
        <v>1</v>
      </c>
      <c r="R206" s="30" t="n">
        <f aca="false">Q206*L206</f>
        <v>0.6</v>
      </c>
      <c r="S206" s="30" t="n">
        <f aca="false">J206-R206</f>
        <v>-0.6</v>
      </c>
      <c r="T206" s="30" t="n">
        <f aca="false">MIN(138.9,(T205+S206))</f>
        <v>138.3</v>
      </c>
      <c r="V206" s="29" t="n">
        <v>331</v>
      </c>
      <c r="X206" s="29" t="n">
        <f aca="false">X205+V206</f>
        <v>83384.4</v>
      </c>
      <c r="Y206" s="29" t="n">
        <f aca="false">Y205+V206</f>
        <v>23160.2</v>
      </c>
      <c r="AA206" s="29" t="n">
        <v>10.400772613217</v>
      </c>
    </row>
    <row r="207" s="7" customFormat="true" ht="15" hidden="false" customHeight="false" outlineLevel="0" collapsed="false">
      <c r="A207" s="21"/>
      <c r="B207" s="13"/>
      <c r="C207" s="8" t="n">
        <v>42053</v>
      </c>
      <c r="D207" s="7" t="n">
        <v>2.9</v>
      </c>
      <c r="E207" s="7" t="n">
        <v>1.7</v>
      </c>
      <c r="F207" s="7" t="n">
        <v>4.6</v>
      </c>
      <c r="G207" s="7" t="n">
        <f aca="false">G206+D207</f>
        <v>1419.4</v>
      </c>
      <c r="H207" s="7" t="n">
        <f aca="false">H206+D207</f>
        <v>350.1</v>
      </c>
      <c r="J207" s="24" t="n">
        <v>0</v>
      </c>
      <c r="K207" s="7" t="n">
        <f aca="false">K206+J207</f>
        <v>265</v>
      </c>
      <c r="L207" s="7" t="n">
        <v>0.6</v>
      </c>
      <c r="M207" s="7" t="n">
        <f aca="false">M206+L207</f>
        <v>158.2</v>
      </c>
      <c r="N207" s="9" t="n">
        <v>-0.6</v>
      </c>
      <c r="O207" s="7" t="n">
        <f aca="false">O206+N207</f>
        <v>137.7</v>
      </c>
      <c r="P207" s="7" t="n">
        <v>163</v>
      </c>
      <c r="Q207" s="7" t="n">
        <v>1</v>
      </c>
      <c r="R207" s="10" t="n">
        <f aca="false">Q207*L207</f>
        <v>0.6</v>
      </c>
      <c r="S207" s="10" t="n">
        <f aca="false">J207-R207</f>
        <v>-0.6</v>
      </c>
      <c r="T207" s="26" t="n">
        <f aca="false">MIN(138.9,(T206+S207))</f>
        <v>137.7</v>
      </c>
      <c r="V207" s="7" t="n">
        <v>434.5</v>
      </c>
      <c r="X207" s="7" t="n">
        <f aca="false">X206+V207</f>
        <v>83818.9</v>
      </c>
      <c r="Y207" s="7" t="n">
        <f aca="false">Y206+V207</f>
        <v>23594.7</v>
      </c>
      <c r="AA207" s="7" t="n">
        <v>10.4550749232247</v>
      </c>
    </row>
    <row r="208" s="7" customFormat="true" ht="15" hidden="false" customHeight="false" outlineLevel="0" collapsed="false">
      <c r="A208" s="21"/>
      <c r="B208" s="13"/>
      <c r="C208" s="8" t="n">
        <v>42054</v>
      </c>
      <c r="D208" s="7" t="n">
        <v>2.2</v>
      </c>
      <c r="E208" s="7" t="n">
        <v>-3.6</v>
      </c>
      <c r="F208" s="7" t="n">
        <v>5.5</v>
      </c>
      <c r="G208" s="7" t="n">
        <f aca="false">G207+D208</f>
        <v>1421.6</v>
      </c>
      <c r="H208" s="7" t="n">
        <f aca="false">H207+D208</f>
        <v>352.3</v>
      </c>
      <c r="J208" s="24" t="n">
        <v>0.2</v>
      </c>
      <c r="K208" s="7" t="n">
        <f aca="false">K207+J208</f>
        <v>265.2</v>
      </c>
      <c r="L208" s="7" t="n">
        <v>0.2</v>
      </c>
      <c r="M208" s="7" t="n">
        <f aca="false">M207+L208</f>
        <v>158.4</v>
      </c>
      <c r="N208" s="9" t="n">
        <v>0</v>
      </c>
      <c r="O208" s="7" t="n">
        <f aca="false">O207+N208</f>
        <v>137.7</v>
      </c>
      <c r="P208" s="7" t="n">
        <v>164</v>
      </c>
      <c r="Q208" s="7" t="n">
        <v>1</v>
      </c>
      <c r="R208" s="10" t="n">
        <f aca="false">Q208*L208</f>
        <v>0.2</v>
      </c>
      <c r="S208" s="10" t="n">
        <f aca="false">J208-R208</f>
        <v>0</v>
      </c>
      <c r="T208" s="26" t="n">
        <f aca="false">MIN(138.9,(T207+S208))</f>
        <v>137.7</v>
      </c>
      <c r="V208" s="7" t="n">
        <v>292.8</v>
      </c>
      <c r="X208" s="7" t="n">
        <f aca="false">X207+V208</f>
        <v>84111.7</v>
      </c>
      <c r="Y208" s="7" t="n">
        <f aca="false">Y207+V208</f>
        <v>23887.5</v>
      </c>
      <c r="AA208" s="7" t="n">
        <v>10.5096334053108</v>
      </c>
    </row>
    <row r="209" s="7" customFormat="true" ht="15" hidden="false" customHeight="false" outlineLevel="0" collapsed="false">
      <c r="A209" s="21"/>
      <c r="B209" s="13"/>
      <c r="C209" s="8" t="n">
        <v>42055</v>
      </c>
      <c r="D209" s="7" t="n">
        <v>6.4</v>
      </c>
      <c r="E209" s="7" t="n">
        <v>4.7</v>
      </c>
      <c r="F209" s="7" t="n">
        <v>8.9</v>
      </c>
      <c r="G209" s="7" t="n">
        <f aca="false">G208+D209</f>
        <v>1428</v>
      </c>
      <c r="H209" s="7" t="n">
        <f aca="false">H208+D209</f>
        <v>358.7</v>
      </c>
      <c r="J209" s="24" t="n">
        <v>6.2</v>
      </c>
      <c r="K209" s="7" t="n">
        <f aca="false">K208+J209</f>
        <v>271.4</v>
      </c>
      <c r="L209" s="7" t="n">
        <v>1</v>
      </c>
      <c r="M209" s="7" t="n">
        <f aca="false">M208+L209</f>
        <v>159.4</v>
      </c>
      <c r="N209" s="7" t="n">
        <v>5.2</v>
      </c>
      <c r="O209" s="7" t="n">
        <v>138.9</v>
      </c>
      <c r="P209" s="7" t="n">
        <v>165</v>
      </c>
      <c r="Q209" s="7" t="n">
        <v>1</v>
      </c>
      <c r="R209" s="10" t="n">
        <f aca="false">Q209*L209</f>
        <v>1</v>
      </c>
      <c r="S209" s="10" t="n">
        <f aca="false">J209-R209</f>
        <v>5.2</v>
      </c>
      <c r="T209" s="26" t="n">
        <f aca="false">MIN(138.9,(T208+S209))</f>
        <v>138.9</v>
      </c>
      <c r="V209" s="7" t="n">
        <v>265.2</v>
      </c>
      <c r="X209" s="7" t="n">
        <f aca="false">X208+V209</f>
        <v>84376.9</v>
      </c>
      <c r="Y209" s="7" t="n">
        <f aca="false">Y208+V209</f>
        <v>24152.7</v>
      </c>
      <c r="AA209" s="7" t="n">
        <v>10.5644336257428</v>
      </c>
    </row>
    <row r="210" s="7" customFormat="true" ht="15" hidden="false" customHeight="false" outlineLevel="0" collapsed="false">
      <c r="A210" s="21"/>
      <c r="B210" s="13"/>
      <c r="C210" s="8" t="n">
        <v>42056</v>
      </c>
      <c r="D210" s="7" t="n">
        <v>3.2</v>
      </c>
      <c r="E210" s="7" t="n">
        <v>2</v>
      </c>
      <c r="F210" s="7" t="n">
        <v>5.6</v>
      </c>
      <c r="G210" s="7" t="n">
        <f aca="false">G209+D210</f>
        <v>1431.2</v>
      </c>
      <c r="H210" s="7" t="n">
        <f aca="false">H209+D210</f>
        <v>361.9</v>
      </c>
      <c r="J210" s="24" t="n">
        <v>2.2</v>
      </c>
      <c r="K210" s="7" t="n">
        <f aca="false">K209+J210</f>
        <v>273.6</v>
      </c>
      <c r="L210" s="7" t="n">
        <v>0.4</v>
      </c>
      <c r="M210" s="7" t="n">
        <f aca="false">M209+L210</f>
        <v>159.8</v>
      </c>
      <c r="N210" s="7" t="n">
        <v>1.8</v>
      </c>
      <c r="O210" s="7" t="n">
        <v>138.9</v>
      </c>
      <c r="P210" s="7" t="n">
        <v>166</v>
      </c>
      <c r="Q210" s="7" t="n">
        <v>1</v>
      </c>
      <c r="R210" s="10" t="n">
        <f aca="false">Q210*L210</f>
        <v>0.4</v>
      </c>
      <c r="S210" s="10" t="n">
        <f aca="false">J210-R210</f>
        <v>1.8</v>
      </c>
      <c r="T210" s="26" t="n">
        <f aca="false">MIN(138.9,(T209+S210))</f>
        <v>138.9</v>
      </c>
      <c r="V210" s="7" t="n">
        <v>286.4</v>
      </c>
      <c r="X210" s="7" t="n">
        <f aca="false">X209+V210</f>
        <v>84663.3</v>
      </c>
      <c r="Y210" s="7" t="n">
        <f aca="false">Y209+V210</f>
        <v>24439.1</v>
      </c>
      <c r="AA210" s="7" t="n">
        <v>10.6194616824329</v>
      </c>
    </row>
    <row r="211" s="7" customFormat="true" ht="15" hidden="false" customHeight="false" outlineLevel="0" collapsed="false">
      <c r="A211" s="21"/>
      <c r="B211" s="13"/>
      <c r="C211" s="8" t="n">
        <v>42057</v>
      </c>
      <c r="D211" s="7" t="n">
        <v>3.3</v>
      </c>
      <c r="E211" s="7" t="n">
        <v>-1.8</v>
      </c>
      <c r="F211" s="7" t="n">
        <v>8.5</v>
      </c>
      <c r="G211" s="7" t="n">
        <f aca="false">G210+D211</f>
        <v>1434.5</v>
      </c>
      <c r="H211" s="7" t="n">
        <f aca="false">H210+D211</f>
        <v>365.2</v>
      </c>
      <c r="J211" s="24" t="n">
        <v>1.7</v>
      </c>
      <c r="K211" s="7" t="n">
        <f aca="false">K210+J211</f>
        <v>275.3</v>
      </c>
      <c r="L211" s="7" t="n">
        <v>0.8</v>
      </c>
      <c r="M211" s="7" t="n">
        <f aca="false">M210+L211</f>
        <v>160.6</v>
      </c>
      <c r="N211" s="7" t="n">
        <v>0.9</v>
      </c>
      <c r="O211" s="7" t="n">
        <v>138.9</v>
      </c>
      <c r="P211" s="7" t="n">
        <v>167</v>
      </c>
      <c r="Q211" s="7" t="n">
        <v>1</v>
      </c>
      <c r="R211" s="10" t="n">
        <f aca="false">Q211*L211</f>
        <v>0.8</v>
      </c>
      <c r="S211" s="10" t="n">
        <f aca="false">J211-R211</f>
        <v>0.9</v>
      </c>
      <c r="T211" s="26" t="n">
        <f aca="false">MIN(138.9,(T210+S211))</f>
        <v>138.9</v>
      </c>
      <c r="V211" s="7" t="n">
        <v>585.6</v>
      </c>
      <c r="X211" s="7" t="n">
        <f aca="false">X210+V211</f>
        <v>85248.9</v>
      </c>
      <c r="Y211" s="7" t="n">
        <f aca="false">Y210+V211</f>
        <v>25024.7</v>
      </c>
      <c r="AA211" s="7" t="n">
        <v>10.6747041903574</v>
      </c>
    </row>
    <row r="212" s="7" customFormat="true" ht="15" hidden="false" customHeight="false" outlineLevel="0" collapsed="false">
      <c r="A212" s="21"/>
      <c r="B212" s="13"/>
      <c r="C212" s="8" t="n">
        <v>42058</v>
      </c>
      <c r="D212" s="7" t="n">
        <v>7.4</v>
      </c>
      <c r="E212" s="7" t="n">
        <v>4.9</v>
      </c>
      <c r="F212" s="7" t="n">
        <v>11.2</v>
      </c>
      <c r="G212" s="7" t="n">
        <f aca="false">G211+D212</f>
        <v>1441.9</v>
      </c>
      <c r="H212" s="7" t="n">
        <f aca="false">H211+D212</f>
        <v>372.6</v>
      </c>
      <c r="J212" s="24" t="n">
        <v>3.3</v>
      </c>
      <c r="K212" s="7" t="n">
        <f aca="false">K211+J212</f>
        <v>278.6</v>
      </c>
      <c r="L212" s="7" t="n">
        <v>1.3</v>
      </c>
      <c r="M212" s="7" t="n">
        <f aca="false">M211+L212</f>
        <v>161.9</v>
      </c>
      <c r="N212" s="7" t="n">
        <v>2</v>
      </c>
      <c r="O212" s="7" t="n">
        <v>138.9</v>
      </c>
      <c r="P212" s="7" t="n">
        <v>168</v>
      </c>
      <c r="Q212" s="7" t="n">
        <v>1</v>
      </c>
      <c r="R212" s="10" t="n">
        <f aca="false">Q212*L212</f>
        <v>1.3</v>
      </c>
      <c r="S212" s="10" t="n">
        <f aca="false">J212-R212</f>
        <v>2</v>
      </c>
      <c r="T212" s="26" t="n">
        <f aca="false">MIN(138.9,(T211+S212))</f>
        <v>138.9</v>
      </c>
      <c r="V212" s="7" t="n">
        <v>587.1</v>
      </c>
      <c r="X212" s="7" t="n">
        <f aca="false">X211+V212</f>
        <v>85836</v>
      </c>
      <c r="Y212" s="7" t="n">
        <f aca="false">Y211+V212</f>
        <v>25611.8</v>
      </c>
      <c r="AA212" s="7" t="n">
        <v>10.7301482663372</v>
      </c>
    </row>
    <row r="213" s="7" customFormat="true" ht="15" hidden="false" customHeight="false" outlineLevel="0" collapsed="false">
      <c r="A213" s="21"/>
      <c r="B213" s="13"/>
      <c r="C213" s="8" t="n">
        <v>42059</v>
      </c>
      <c r="D213" s="7" t="n">
        <v>4.3</v>
      </c>
      <c r="E213" s="7" t="n">
        <v>2.3</v>
      </c>
      <c r="F213" s="7" t="n">
        <v>7.9</v>
      </c>
      <c r="G213" s="7" t="n">
        <f aca="false">G212+D213</f>
        <v>1446.2</v>
      </c>
      <c r="H213" s="7" t="n">
        <f aca="false">H212+D213</f>
        <v>376.9</v>
      </c>
      <c r="J213" s="24" t="n">
        <v>0.3</v>
      </c>
      <c r="K213" s="7" t="n">
        <f aca="false">K212+J213</f>
        <v>278.9</v>
      </c>
      <c r="L213" s="7" t="n">
        <v>0.9</v>
      </c>
      <c r="M213" s="7" t="n">
        <f aca="false">M212+L213</f>
        <v>162.8</v>
      </c>
      <c r="N213" s="9" t="n">
        <v>-0.6</v>
      </c>
      <c r="O213" s="7" t="n">
        <f aca="false">O212+N213</f>
        <v>138.3</v>
      </c>
      <c r="P213" s="7" t="n">
        <v>169</v>
      </c>
      <c r="Q213" s="7" t="n">
        <v>1</v>
      </c>
      <c r="R213" s="10" t="n">
        <f aca="false">Q213*L213</f>
        <v>0.9</v>
      </c>
      <c r="S213" s="10" t="n">
        <f aca="false">J213-R213</f>
        <v>-0.6</v>
      </c>
      <c r="T213" s="26" t="n">
        <f aca="false">MIN(138.9,(T212+S213))</f>
        <v>138.3</v>
      </c>
      <c r="V213" s="7" t="n">
        <v>450.2</v>
      </c>
      <c r="X213" s="7" t="n">
        <f aca="false">X212+V213</f>
        <v>86286.2</v>
      </c>
      <c r="Y213" s="7" t="n">
        <f aca="false">Y212+V213</f>
        <v>26062</v>
      </c>
      <c r="AA213" s="7" t="n">
        <v>10.7857815132604</v>
      </c>
    </row>
    <row r="214" s="7" customFormat="true" ht="15" hidden="false" customHeight="false" outlineLevel="0" collapsed="false">
      <c r="A214" s="21"/>
      <c r="B214" s="13"/>
      <c r="C214" s="8" t="n">
        <v>42060</v>
      </c>
      <c r="D214" s="7" t="n">
        <v>5.8</v>
      </c>
      <c r="E214" s="7" t="n">
        <v>1.2</v>
      </c>
      <c r="F214" s="7" t="n">
        <v>9.1</v>
      </c>
      <c r="G214" s="7" t="n">
        <f aca="false">G213+D214</f>
        <v>1452</v>
      </c>
      <c r="H214" s="7" t="n">
        <f aca="false">H213+D214</f>
        <v>382.7</v>
      </c>
      <c r="J214" s="24" t="n">
        <v>1.6</v>
      </c>
      <c r="K214" s="7" t="n">
        <f aca="false">K213+J214</f>
        <v>280.5</v>
      </c>
      <c r="L214" s="7" t="n">
        <v>0.3</v>
      </c>
      <c r="M214" s="7" t="n">
        <f aca="false">M213+L214</f>
        <v>163.1</v>
      </c>
      <c r="N214" s="7" t="n">
        <v>1.3</v>
      </c>
      <c r="O214" s="7" t="n">
        <v>138.9</v>
      </c>
      <c r="P214" s="7" t="n">
        <v>170</v>
      </c>
      <c r="Q214" s="7" t="n">
        <v>1</v>
      </c>
      <c r="R214" s="10" t="n">
        <f aca="false">Q214*L214</f>
        <v>0.3</v>
      </c>
      <c r="S214" s="10" t="n">
        <f aca="false">J214-R214</f>
        <v>1.3</v>
      </c>
      <c r="T214" s="26" t="n">
        <f aca="false">MIN(138.9,(T213+S214))</f>
        <v>138.9</v>
      </c>
      <c r="V214" s="7" t="n">
        <v>324.2</v>
      </c>
      <c r="X214" s="7" t="n">
        <f aca="false">X213+V214</f>
        <v>86610.4</v>
      </c>
      <c r="Y214" s="7" t="n">
        <f aca="false">Y213+V214</f>
        <v>26386.2</v>
      </c>
      <c r="AA214" s="7" t="n">
        <v>10.8415920038211</v>
      </c>
    </row>
    <row r="215" s="7" customFormat="true" ht="15" hidden="false" customHeight="false" outlineLevel="0" collapsed="false">
      <c r="A215" s="21"/>
      <c r="B215" s="13"/>
      <c r="C215" s="8" t="n">
        <v>42061</v>
      </c>
      <c r="D215" s="7" t="n">
        <v>9.3</v>
      </c>
      <c r="E215" s="7" t="n">
        <v>7.8</v>
      </c>
      <c r="F215" s="7" t="n">
        <v>11</v>
      </c>
      <c r="G215" s="7" t="n">
        <f aca="false">G214+D215</f>
        <v>1461.3</v>
      </c>
      <c r="H215" s="7" t="n">
        <f aca="false">H214+D215</f>
        <v>392</v>
      </c>
      <c r="J215" s="24" t="n">
        <v>6.2</v>
      </c>
      <c r="K215" s="7" t="n">
        <f aca="false">K214+J215</f>
        <v>286.7</v>
      </c>
      <c r="L215" s="7" t="n">
        <v>0.3</v>
      </c>
      <c r="M215" s="7" t="n">
        <f aca="false">M214+L215</f>
        <v>163.4</v>
      </c>
      <c r="N215" s="7" t="n">
        <v>5.9</v>
      </c>
      <c r="O215" s="7" t="n">
        <v>138.9</v>
      </c>
      <c r="P215" s="7" t="n">
        <v>171</v>
      </c>
      <c r="Q215" s="7" t="n">
        <v>1</v>
      </c>
      <c r="R215" s="10" t="n">
        <f aca="false">Q215*L215</f>
        <v>0.3</v>
      </c>
      <c r="S215" s="10" t="n">
        <f aca="false">J215-R215</f>
        <v>5.9</v>
      </c>
      <c r="T215" s="26" t="n">
        <f aca="false">MIN(138.9,(T214+S215))</f>
        <v>138.9</v>
      </c>
      <c r="V215" s="7" t="n">
        <v>239.4</v>
      </c>
      <c r="X215" s="7" t="n">
        <f aca="false">X214+V215</f>
        <v>86849.8</v>
      </c>
      <c r="Y215" s="7" t="n">
        <f aca="false">Y214+V215</f>
        <v>26625.6</v>
      </c>
      <c r="AA215" s="7" t="n">
        <v>10.8975682638437</v>
      </c>
    </row>
    <row r="216" s="29" customFormat="true" ht="15" hidden="false" customHeight="false" outlineLevel="0" collapsed="false">
      <c r="A216" s="21"/>
      <c r="B216" s="27" t="s">
        <v>52</v>
      </c>
      <c r="C216" s="28" t="n">
        <v>42062</v>
      </c>
      <c r="D216" s="29" t="n">
        <v>4.7</v>
      </c>
      <c r="E216" s="29" t="n">
        <v>4</v>
      </c>
      <c r="F216" s="29" t="n">
        <v>7.6</v>
      </c>
      <c r="G216" s="29" t="n">
        <f aca="false">G215+D216</f>
        <v>1466</v>
      </c>
      <c r="H216" s="29" t="n">
        <f aca="false">H215+D216</f>
        <v>396.7</v>
      </c>
      <c r="J216" s="29" t="n">
        <v>0</v>
      </c>
      <c r="K216" s="29" t="n">
        <f aca="false">K215+J216</f>
        <v>286.7</v>
      </c>
      <c r="L216" s="29" t="n">
        <v>1.2</v>
      </c>
      <c r="M216" s="29" t="n">
        <f aca="false">M215+L216</f>
        <v>164.6</v>
      </c>
      <c r="N216" s="29" t="n">
        <v>-1.2</v>
      </c>
      <c r="O216" s="29" t="n">
        <f aca="false">O215+N216</f>
        <v>137.7</v>
      </c>
      <c r="P216" s="29" t="n">
        <v>172</v>
      </c>
      <c r="Q216" s="29" t="n">
        <v>1</v>
      </c>
      <c r="R216" s="30" t="n">
        <f aca="false">Q216*L216</f>
        <v>1.2</v>
      </c>
      <c r="S216" s="30" t="n">
        <f aca="false">J216-R216</f>
        <v>-1.2</v>
      </c>
      <c r="T216" s="30" t="n">
        <f aca="false">MIN(138.9,(T215+S216))</f>
        <v>137.7</v>
      </c>
      <c r="V216" s="29" t="n">
        <v>642.3</v>
      </c>
      <c r="X216" s="29" t="n">
        <f aca="false">X215+V216</f>
        <v>87492.1</v>
      </c>
      <c r="Y216" s="29" t="n">
        <f aca="false">Y215+V216</f>
        <v>27267.9</v>
      </c>
      <c r="AA216" s="29" t="n">
        <v>10.9536992552565</v>
      </c>
    </row>
    <row r="217" s="18" customFormat="true" ht="15" hidden="false" customHeight="false" outlineLevel="0" collapsed="false">
      <c r="A217" s="21"/>
      <c r="B217" s="16"/>
      <c r="C217" s="17" t="n">
        <v>42063</v>
      </c>
      <c r="D217" s="18" t="n">
        <v>4.6</v>
      </c>
      <c r="E217" s="18" t="n">
        <v>-1.7</v>
      </c>
      <c r="F217" s="18" t="n">
        <v>10.8</v>
      </c>
      <c r="G217" s="18" t="n">
        <f aca="false">G216+D217</f>
        <v>1470.6</v>
      </c>
      <c r="H217" s="18" t="n">
        <f aca="false">H216+D217</f>
        <v>401.3</v>
      </c>
      <c r="J217" s="31" t="n">
        <v>4.1</v>
      </c>
      <c r="K217" s="18" t="n">
        <f aca="false">K216+J217</f>
        <v>290.8</v>
      </c>
      <c r="L217" s="18" t="n">
        <v>0.9</v>
      </c>
      <c r="M217" s="18" t="n">
        <f aca="false">M216+L217</f>
        <v>165.5</v>
      </c>
      <c r="N217" s="18" t="n">
        <v>3.2</v>
      </c>
      <c r="O217" s="18" t="n">
        <v>138.9</v>
      </c>
      <c r="P217" s="18" t="n">
        <v>173</v>
      </c>
      <c r="Q217" s="18" t="n">
        <v>1</v>
      </c>
      <c r="R217" s="20" t="n">
        <f aca="false">Q217*L217</f>
        <v>0.9</v>
      </c>
      <c r="S217" s="20" t="n">
        <f aca="false">J217-R217</f>
        <v>3.2</v>
      </c>
      <c r="T217" s="32" t="n">
        <f aca="false">MIN(138.9,(T216+S217))</f>
        <v>138.9</v>
      </c>
      <c r="V217" s="18" t="n">
        <v>509.1</v>
      </c>
      <c r="W217" s="18" t="n">
        <f aca="false">(Y217/100)/I140</f>
        <v>0.692175429852978</v>
      </c>
      <c r="X217" s="18" t="n">
        <f aca="false">X216+V217</f>
        <v>88001.2</v>
      </c>
      <c r="Y217" s="18" t="n">
        <f aca="false">Y216+V217</f>
        <v>27777</v>
      </c>
      <c r="AA217" s="18" t="n">
        <v>11.0099743587711</v>
      </c>
    </row>
    <row r="218" s="7" customFormat="true" ht="15" hidden="false" customHeight="true" outlineLevel="0" collapsed="false">
      <c r="A218" s="33" t="s">
        <v>53</v>
      </c>
      <c r="B218" s="13"/>
      <c r="C218" s="8" t="n">
        <v>42064</v>
      </c>
      <c r="D218" s="7" t="n">
        <v>11.1</v>
      </c>
      <c r="E218" s="7" t="n">
        <v>7.1</v>
      </c>
      <c r="F218" s="7" t="n">
        <v>12.1</v>
      </c>
      <c r="G218" s="7" t="n">
        <f aca="false">G217+D218</f>
        <v>1481.7</v>
      </c>
      <c r="H218" s="7" t="n">
        <v>11.1</v>
      </c>
      <c r="I218" s="34" t="s">
        <v>28</v>
      </c>
      <c r="J218" s="24" t="n">
        <v>1.3</v>
      </c>
      <c r="K218" s="7" t="n">
        <f aca="false">K217+J218</f>
        <v>292.1</v>
      </c>
      <c r="L218" s="7" t="n">
        <v>0.6</v>
      </c>
      <c r="M218" s="7" t="n">
        <f aca="false">M217+L218</f>
        <v>166.1</v>
      </c>
      <c r="N218" s="7" t="n">
        <v>0.7</v>
      </c>
      <c r="O218" s="7" t="n">
        <v>138.9</v>
      </c>
      <c r="P218" s="7" t="n">
        <v>174</v>
      </c>
      <c r="Q218" s="15" t="n">
        <f aca="false">1+((P218-173)/40)*(1.15-1)</f>
        <v>1.00375</v>
      </c>
      <c r="R218" s="10" t="n">
        <f aca="false">Q218*L218</f>
        <v>0.60225</v>
      </c>
      <c r="S218" s="10" t="n">
        <f aca="false">J218-R218</f>
        <v>0.69775</v>
      </c>
      <c r="T218" s="26" t="n">
        <f aca="false">MIN(138.9,(T217+S218))</f>
        <v>138.9</v>
      </c>
      <c r="U218" s="34" t="s">
        <v>29</v>
      </c>
      <c r="V218" s="7" t="n">
        <v>413.9</v>
      </c>
      <c r="X218" s="7" t="n">
        <f aca="false">X217+V218</f>
        <v>88415.1</v>
      </c>
      <c r="Y218" s="7" t="n">
        <f aca="false">V218</f>
        <v>413.9</v>
      </c>
      <c r="Z218" s="34" t="s">
        <v>30</v>
      </c>
      <c r="AA218" s="7" t="n">
        <v>11.0663833563225</v>
      </c>
      <c r="AB218" s="25" t="s">
        <v>46</v>
      </c>
    </row>
    <row r="219" s="7" customFormat="true" ht="15" hidden="false" customHeight="false" outlineLevel="0" collapsed="false">
      <c r="A219" s="33"/>
      <c r="B219" s="13"/>
      <c r="C219" s="8" t="n">
        <v>42065</v>
      </c>
      <c r="D219" s="7" t="n">
        <v>8.1</v>
      </c>
      <c r="E219" s="7" t="n">
        <v>6.4</v>
      </c>
      <c r="F219" s="7" t="n">
        <v>10.8</v>
      </c>
      <c r="G219" s="7" t="n">
        <f aca="false">G218+D219</f>
        <v>1489.8</v>
      </c>
      <c r="H219" s="7" t="n">
        <f aca="false">H218+D219</f>
        <v>19.2</v>
      </c>
      <c r="I219" s="7" t="n">
        <f aca="false">MIN(E218:E257)</f>
        <v>-2.2</v>
      </c>
      <c r="J219" s="24" t="n">
        <v>0</v>
      </c>
      <c r="K219" s="7" t="n">
        <f aca="false">K218+J219</f>
        <v>292.1</v>
      </c>
      <c r="L219" s="7" t="n">
        <v>1.6</v>
      </c>
      <c r="M219" s="7" t="n">
        <f aca="false">M218+L219</f>
        <v>167.7</v>
      </c>
      <c r="N219" s="9" t="n">
        <v>-1.6</v>
      </c>
      <c r="O219" s="7" t="n">
        <f aca="false">O218+N219</f>
        <v>137.3</v>
      </c>
      <c r="P219" s="7" t="n">
        <v>175</v>
      </c>
      <c r="Q219" s="15" t="n">
        <f aca="false">1+((P219-173)/40)*(1.15-1)</f>
        <v>1.0075</v>
      </c>
      <c r="R219" s="10" t="n">
        <f aca="false">Q219*L219</f>
        <v>1.612</v>
      </c>
      <c r="S219" s="10" t="n">
        <f aca="false">J219-R219</f>
        <v>-1.612</v>
      </c>
      <c r="T219" s="26" t="n">
        <f aca="false">MIN(138.9,(T218+S219))</f>
        <v>137.288</v>
      </c>
      <c r="U219" s="7" t="n">
        <v>32</v>
      </c>
      <c r="V219" s="7" t="n">
        <v>613.1</v>
      </c>
      <c r="X219" s="7" t="n">
        <f aca="false">X218+V219</f>
        <v>89028.2</v>
      </c>
      <c r="Y219" s="7" t="n">
        <f aca="false">Y218+V219</f>
        <v>1027</v>
      </c>
      <c r="Z219" s="7" t="n">
        <v>39694.8</v>
      </c>
      <c r="AA219" s="7" t="n">
        <v>11.122916413316</v>
      </c>
      <c r="AB219" s="10" t="n">
        <f aca="false">AVERAGE(T213:T226)</f>
        <v>136.226455357143</v>
      </c>
      <c r="AD219" s="25" t="s">
        <v>46</v>
      </c>
    </row>
    <row r="220" s="7" customFormat="true" ht="15" hidden="false" customHeight="false" outlineLevel="0" collapsed="false">
      <c r="A220" s="33"/>
      <c r="B220" s="13"/>
      <c r="C220" s="8" t="n">
        <v>42066</v>
      </c>
      <c r="D220" s="7" t="n">
        <v>6.4</v>
      </c>
      <c r="E220" s="7" t="n">
        <v>3.7</v>
      </c>
      <c r="F220" s="7" t="n">
        <v>11.2</v>
      </c>
      <c r="G220" s="7" t="n">
        <f aca="false">G219+D220</f>
        <v>1496.2</v>
      </c>
      <c r="H220" s="7" t="n">
        <f aca="false">H219+D220</f>
        <v>25.6</v>
      </c>
      <c r="I220" s="34" t="s">
        <v>31</v>
      </c>
      <c r="J220" s="24" t="n">
        <v>2</v>
      </c>
      <c r="K220" s="7" t="n">
        <f aca="false">K219+J220</f>
        <v>294.1</v>
      </c>
      <c r="L220" s="7" t="n">
        <v>1.2</v>
      </c>
      <c r="M220" s="7" t="n">
        <f aca="false">M219+L220</f>
        <v>168.9</v>
      </c>
      <c r="N220" s="7" t="n">
        <v>0.8</v>
      </c>
      <c r="O220" s="7" t="n">
        <f aca="false">O219+N220</f>
        <v>138.1</v>
      </c>
      <c r="P220" s="7" t="n">
        <v>176</v>
      </c>
      <c r="Q220" s="15" t="n">
        <f aca="false">1+((P220-173)/40)*(1.15-1)</f>
        <v>1.01125</v>
      </c>
      <c r="R220" s="10" t="n">
        <f aca="false">Q220*L220</f>
        <v>1.2135</v>
      </c>
      <c r="S220" s="10" t="n">
        <f aca="false">J220-R220</f>
        <v>0.7865</v>
      </c>
      <c r="T220" s="26" t="n">
        <f aca="false">MIN(138.9,(T219+S220))</f>
        <v>138.0745</v>
      </c>
      <c r="U220" s="34" t="s">
        <v>32</v>
      </c>
      <c r="V220" s="7" t="n">
        <v>411.6</v>
      </c>
      <c r="X220" s="7" t="n">
        <f aca="false">X219+V220</f>
        <v>89439.8</v>
      </c>
      <c r="Y220" s="7" t="n">
        <f aca="false">Y219+V220</f>
        <v>1438.6</v>
      </c>
      <c r="Z220" s="34" t="s">
        <v>33</v>
      </c>
      <c r="AA220" s="7" t="n">
        <v>11.1795640607248</v>
      </c>
      <c r="AB220" s="25" t="s">
        <v>47</v>
      </c>
      <c r="AD220" s="15" t="n">
        <f aca="false">(AB197*(80/160))+(AB219*(50/160))+(AB232*(30/160))</f>
        <v>135.241446986607</v>
      </c>
    </row>
    <row r="221" s="7" customFormat="true" ht="15" hidden="false" customHeight="false" outlineLevel="0" collapsed="false">
      <c r="A221" s="33"/>
      <c r="B221" s="13"/>
      <c r="C221" s="8" t="n">
        <v>42067</v>
      </c>
      <c r="D221" s="7" t="n">
        <v>4.3</v>
      </c>
      <c r="E221" s="7" t="n">
        <v>0.9</v>
      </c>
      <c r="F221" s="7" t="n">
        <v>7.7</v>
      </c>
      <c r="G221" s="7" t="n">
        <f aca="false">G220+D221</f>
        <v>1500.5</v>
      </c>
      <c r="H221" s="7" t="n">
        <f aca="false">H220+D221</f>
        <v>29.9</v>
      </c>
      <c r="I221" s="7" t="n">
        <f aca="false">MAX(F218:F257)</f>
        <v>20.6</v>
      </c>
      <c r="J221" s="24" t="n">
        <v>0.9</v>
      </c>
      <c r="K221" s="7" t="n">
        <f aca="false">K220+J221</f>
        <v>295</v>
      </c>
      <c r="L221" s="7" t="n">
        <v>1</v>
      </c>
      <c r="M221" s="7" t="n">
        <f aca="false">M220+L221</f>
        <v>169.9</v>
      </c>
      <c r="N221" s="9" t="n">
        <v>-0.1</v>
      </c>
      <c r="O221" s="7" t="n">
        <f aca="false">O220+N221</f>
        <v>138</v>
      </c>
      <c r="P221" s="7" t="n">
        <v>177</v>
      </c>
      <c r="Q221" s="15" t="n">
        <f aca="false">1+((P221-173)/40)*(1.15-1)</f>
        <v>1.015</v>
      </c>
      <c r="R221" s="10" t="n">
        <f aca="false">Q221*L221</f>
        <v>1.015</v>
      </c>
      <c r="S221" s="10" t="n">
        <f aca="false">J221-R221</f>
        <v>-0.115</v>
      </c>
      <c r="T221" s="26" t="n">
        <f aca="false">MIN(138.9,(T220+S221))</f>
        <v>137.9595</v>
      </c>
      <c r="U221" s="7" t="n">
        <v>0</v>
      </c>
      <c r="V221" s="7" t="n">
        <v>751.4</v>
      </c>
      <c r="X221" s="7" t="n">
        <f aca="false">X220+V221</f>
        <v>90191.2</v>
      </c>
      <c r="Y221" s="7" t="n">
        <f aca="false">Y220+V221</f>
        <v>2190</v>
      </c>
      <c r="Z221" s="15" t="n">
        <f aca="false">(Z219/100)/I231</f>
        <v>1.2677994251038</v>
      </c>
      <c r="AA221" s="7" t="n">
        <v>11.2363171770773</v>
      </c>
      <c r="AB221" s="7" t="n">
        <v>1</v>
      </c>
      <c r="AD221" s="25" t="s">
        <v>47</v>
      </c>
    </row>
    <row r="222" s="7" customFormat="true" ht="15" hidden="false" customHeight="false" outlineLevel="0" collapsed="false">
      <c r="A222" s="33"/>
      <c r="B222" s="13"/>
      <c r="C222" s="8" t="n">
        <v>42068</v>
      </c>
      <c r="D222" s="7" t="n">
        <v>4.6</v>
      </c>
      <c r="E222" s="7" t="n">
        <v>0.1</v>
      </c>
      <c r="F222" s="7" t="n">
        <v>9.9</v>
      </c>
      <c r="G222" s="7" t="n">
        <f aca="false">G221+D222</f>
        <v>1505.1</v>
      </c>
      <c r="H222" s="7" t="n">
        <f aca="false">H221+D222</f>
        <v>34.5</v>
      </c>
      <c r="I222" s="34" t="s">
        <v>34</v>
      </c>
      <c r="J222" s="24" t="n">
        <v>0</v>
      </c>
      <c r="K222" s="7" t="n">
        <f aca="false">K221+J222</f>
        <v>295</v>
      </c>
      <c r="L222" s="7" t="n">
        <v>1.5</v>
      </c>
      <c r="M222" s="7" t="n">
        <f aca="false">M221+L222</f>
        <v>171.4</v>
      </c>
      <c r="N222" s="9" t="n">
        <v>-1.5</v>
      </c>
      <c r="O222" s="7" t="n">
        <f aca="false">O221+N222</f>
        <v>136.5</v>
      </c>
      <c r="P222" s="7" t="n">
        <v>178</v>
      </c>
      <c r="Q222" s="15" t="n">
        <f aca="false">1+((P222-173)/40)*(1.15-1)</f>
        <v>1.01875</v>
      </c>
      <c r="R222" s="10" t="n">
        <f aca="false">Q222*L222</f>
        <v>1.528125</v>
      </c>
      <c r="S222" s="10" t="n">
        <f aca="false">J222-R222</f>
        <v>-1.528125</v>
      </c>
      <c r="T222" s="26" t="n">
        <f aca="false">MIN(138.9,(T221+S222))</f>
        <v>136.431375</v>
      </c>
      <c r="U222" s="34" t="s">
        <v>35</v>
      </c>
      <c r="V222" s="7" t="n">
        <v>1127.7</v>
      </c>
      <c r="X222" s="7" t="n">
        <f aca="false">X221+V222</f>
        <v>91318.9</v>
      </c>
      <c r="Y222" s="7" t="n">
        <f aca="false">Y221+V222</f>
        <v>3317.7</v>
      </c>
      <c r="Z222" s="34" t="s">
        <v>36</v>
      </c>
      <c r="AA222" s="7" t="n">
        <v>11.2931669703688</v>
      </c>
      <c r="AB222" s="25" t="s">
        <v>48</v>
      </c>
      <c r="AD222" s="10" t="n">
        <f aca="false">(AB199*(80/160))+(AB221*(50/160))+(AB234*(30/160))</f>
        <v>4.25</v>
      </c>
    </row>
    <row r="223" s="7" customFormat="true" ht="15" hidden="false" customHeight="false" outlineLevel="0" collapsed="false">
      <c r="A223" s="33"/>
      <c r="B223" s="13"/>
      <c r="C223" s="8" t="n">
        <v>42069</v>
      </c>
      <c r="D223" s="7" t="n">
        <v>4.6</v>
      </c>
      <c r="E223" s="7" t="n">
        <v>-2.1</v>
      </c>
      <c r="F223" s="7" t="n">
        <v>10.5</v>
      </c>
      <c r="G223" s="7" t="n">
        <f aca="false">G222+D223</f>
        <v>1509.7</v>
      </c>
      <c r="H223" s="7" t="n">
        <f aca="false">H222+D223</f>
        <v>39.1</v>
      </c>
      <c r="I223" s="10" t="n">
        <f aca="false">AVERAGE(D218:D257)</f>
        <v>7.8275</v>
      </c>
      <c r="J223" s="24" t="n">
        <v>0</v>
      </c>
      <c r="K223" s="7" t="n">
        <f aca="false">K222+J223</f>
        <v>295</v>
      </c>
      <c r="L223" s="7" t="n">
        <v>1.8</v>
      </c>
      <c r="M223" s="7" t="n">
        <f aca="false">M222+L223</f>
        <v>173.2</v>
      </c>
      <c r="N223" s="9" t="n">
        <v>-1.8</v>
      </c>
      <c r="O223" s="7" t="n">
        <f aca="false">O222+N223</f>
        <v>134.7</v>
      </c>
      <c r="P223" s="7" t="n">
        <v>179</v>
      </c>
      <c r="Q223" s="15" t="n">
        <f aca="false">1+((P223-173)/40)*(1.15-1)</f>
        <v>1.0225</v>
      </c>
      <c r="R223" s="10" t="n">
        <f aca="false">Q223*L223</f>
        <v>1.8405</v>
      </c>
      <c r="S223" s="10" t="n">
        <f aca="false">J223-R223</f>
        <v>-1.8405</v>
      </c>
      <c r="T223" s="26" t="n">
        <f aca="false">MIN(138.9,(T222+S223))</f>
        <v>134.590875</v>
      </c>
      <c r="U223" s="7" t="n">
        <v>0</v>
      </c>
      <c r="V223" s="7" t="n">
        <v>1490.9</v>
      </c>
      <c r="X223" s="7" t="n">
        <f aca="false">X222+V223</f>
        <v>92809.8</v>
      </c>
      <c r="Y223" s="7" t="n">
        <f aca="false">Y222+V223</f>
        <v>4808.6</v>
      </c>
      <c r="Z223" s="7" t="n">
        <v>21</v>
      </c>
      <c r="AA223" s="7" t="n">
        <v>11.3501049599268</v>
      </c>
      <c r="AB223" s="7" t="n">
        <v>6</v>
      </c>
      <c r="AD223" s="25" t="s">
        <v>48</v>
      </c>
    </row>
    <row r="224" s="7" customFormat="true" ht="15" hidden="false" customHeight="false" outlineLevel="0" collapsed="false">
      <c r="A224" s="33"/>
      <c r="B224" s="13"/>
      <c r="C224" s="8" t="n">
        <v>42070</v>
      </c>
      <c r="D224" s="7" t="n">
        <v>6.4</v>
      </c>
      <c r="E224" s="7" t="n">
        <v>-2.2</v>
      </c>
      <c r="F224" s="7" t="n">
        <v>14.6</v>
      </c>
      <c r="G224" s="7" t="n">
        <f aca="false">G223+D224</f>
        <v>1516.1</v>
      </c>
      <c r="H224" s="7" t="n">
        <f aca="false">H223+D224</f>
        <v>45.5</v>
      </c>
      <c r="I224" s="34" t="s">
        <v>37</v>
      </c>
      <c r="J224" s="24" t="n">
        <v>0</v>
      </c>
      <c r="K224" s="7" t="n">
        <f aca="false">K223+J224</f>
        <v>295</v>
      </c>
      <c r="L224" s="7" t="n">
        <v>2.2</v>
      </c>
      <c r="M224" s="7" t="n">
        <f aca="false">M223+L224</f>
        <v>175.4</v>
      </c>
      <c r="N224" s="9" t="n">
        <v>-2.2</v>
      </c>
      <c r="O224" s="7" t="n">
        <f aca="false">O223+N224</f>
        <v>132.5</v>
      </c>
      <c r="P224" s="7" t="n">
        <v>180</v>
      </c>
      <c r="Q224" s="15" t="n">
        <f aca="false">1+((P224-173)/40)*(1.15-1)</f>
        <v>1.02625</v>
      </c>
      <c r="R224" s="10" t="n">
        <f aca="false">Q224*L224</f>
        <v>2.25775</v>
      </c>
      <c r="S224" s="10" t="n">
        <f aca="false">J224-R224</f>
        <v>-2.25775</v>
      </c>
      <c r="T224" s="26" t="n">
        <f aca="false">MIN(138.9,(T223+S224))</f>
        <v>132.333125</v>
      </c>
      <c r="U224" s="34" t="s">
        <v>38</v>
      </c>
      <c r="V224" s="7" t="n">
        <v>1396.5</v>
      </c>
      <c r="X224" s="7" t="n">
        <f aca="false">X223+V224</f>
        <v>94206.3</v>
      </c>
      <c r="Y224" s="7" t="n">
        <f aca="false">Y223+V224</f>
        <v>6205.1</v>
      </c>
      <c r="AA224" s="7" t="n">
        <v>11.4071229582592</v>
      </c>
      <c r="AB224" s="25" t="s">
        <v>49</v>
      </c>
      <c r="AD224" s="10" t="n">
        <f aca="false">(AB201*(80/160))+(AB223*(50/160))+(AB236*(30/160))</f>
        <v>4.375</v>
      </c>
    </row>
    <row r="225" s="7" customFormat="true" ht="15" hidden="false" customHeight="false" outlineLevel="0" collapsed="false">
      <c r="A225" s="33"/>
      <c r="B225" s="13"/>
      <c r="C225" s="8" t="n">
        <v>42071</v>
      </c>
      <c r="D225" s="7" t="n">
        <v>8</v>
      </c>
      <c r="E225" s="7" t="n">
        <v>-1.8</v>
      </c>
      <c r="F225" s="7" t="n">
        <v>15.5</v>
      </c>
      <c r="G225" s="7" t="n">
        <f aca="false">G224+D225</f>
        <v>1524.1</v>
      </c>
      <c r="H225" s="7" t="n">
        <f aca="false">H224+D225</f>
        <v>53.5</v>
      </c>
      <c r="I225" s="7" t="n">
        <v>6</v>
      </c>
      <c r="J225" s="24" t="n">
        <v>0</v>
      </c>
      <c r="K225" s="7" t="n">
        <f aca="false">K224+J225</f>
        <v>295</v>
      </c>
      <c r="L225" s="7" t="n">
        <v>2.1</v>
      </c>
      <c r="M225" s="7" t="n">
        <f aca="false">M224+L225</f>
        <v>177.5</v>
      </c>
      <c r="N225" s="9" t="n">
        <v>-2.1</v>
      </c>
      <c r="O225" s="7" t="n">
        <f aca="false">O224+N225</f>
        <v>130.4</v>
      </c>
      <c r="P225" s="7" t="n">
        <v>181</v>
      </c>
      <c r="Q225" s="15" t="n">
        <f aca="false">1+((P225-173)/40)*(1.15-1)</f>
        <v>1.03</v>
      </c>
      <c r="R225" s="10" t="n">
        <f aca="false">Q225*L225</f>
        <v>2.163</v>
      </c>
      <c r="S225" s="10" t="n">
        <f aca="false">J225-R225</f>
        <v>-2.163</v>
      </c>
      <c r="T225" s="26" t="n">
        <f aca="false">MIN(138.9,(T224+S225))</f>
        <v>130.170125</v>
      </c>
      <c r="U225" s="10" t="n">
        <f aca="false">MIN(T218:T257)</f>
        <v>105.58825</v>
      </c>
      <c r="V225" s="7" t="n">
        <v>1509.5</v>
      </c>
      <c r="X225" s="7" t="n">
        <f aca="false">X224+V225</f>
        <v>95715.8</v>
      </c>
      <c r="Y225" s="7" t="n">
        <f aca="false">Y224+V225</f>
        <v>7714.6</v>
      </c>
      <c r="AA225" s="7" t="n">
        <v>11.464213052906</v>
      </c>
      <c r="AB225" s="7" t="n">
        <v>2</v>
      </c>
      <c r="AD225" s="25" t="s">
        <v>49</v>
      </c>
    </row>
    <row r="226" s="7" customFormat="true" ht="15" hidden="false" customHeight="false" outlineLevel="0" collapsed="false">
      <c r="A226" s="33"/>
      <c r="B226" s="13"/>
      <c r="C226" s="8" t="n">
        <v>42072</v>
      </c>
      <c r="D226" s="7" t="n">
        <v>8.4</v>
      </c>
      <c r="E226" s="7" t="n">
        <v>6.2</v>
      </c>
      <c r="F226" s="7" t="n">
        <v>11.3</v>
      </c>
      <c r="G226" s="7" t="n">
        <f aca="false">G225+D226</f>
        <v>1532.5</v>
      </c>
      <c r="H226" s="7" t="n">
        <f aca="false">H225+D226</f>
        <v>61.9</v>
      </c>
      <c r="I226" s="34" t="s">
        <v>39</v>
      </c>
      <c r="J226" s="24" t="n">
        <v>0</v>
      </c>
      <c r="K226" s="7" t="n">
        <f aca="false">K225+J226</f>
        <v>295</v>
      </c>
      <c r="L226" s="7" t="n">
        <v>1.4</v>
      </c>
      <c r="M226" s="7" t="n">
        <f aca="false">M225+L226</f>
        <v>178.9</v>
      </c>
      <c r="N226" s="9" t="n">
        <v>-1.4</v>
      </c>
      <c r="O226" s="7" t="n">
        <f aca="false">O225+N226</f>
        <v>129</v>
      </c>
      <c r="P226" s="7" t="n">
        <v>182</v>
      </c>
      <c r="Q226" s="15" t="n">
        <f aca="false">1+((P226-173)/40)*(1.15-1)</f>
        <v>1.03375</v>
      </c>
      <c r="R226" s="10" t="n">
        <f aca="false">Q226*L226</f>
        <v>1.44725</v>
      </c>
      <c r="S226" s="10" t="n">
        <f aca="false">J226-R226</f>
        <v>-1.44725</v>
      </c>
      <c r="T226" s="26" t="n">
        <f aca="false">MIN(138.9,(T225+S226))</f>
        <v>128.722875</v>
      </c>
      <c r="U226" s="34" t="s">
        <v>40</v>
      </c>
      <c r="V226" s="7" t="n">
        <v>1001.7</v>
      </c>
      <c r="X226" s="7" t="n">
        <f aca="false">X225+V226</f>
        <v>96717.5</v>
      </c>
      <c r="Y226" s="7" t="n">
        <f aca="false">Y225+V226</f>
        <v>8716.3</v>
      </c>
      <c r="AA226" s="7" t="n">
        <v>11.521367588318</v>
      </c>
      <c r="AB226" s="25" t="s">
        <v>50</v>
      </c>
      <c r="AD226" s="10" t="n">
        <f aca="false">(AB203*(80/160))+(AB225*(50/160))+(AB238*(30/160))</f>
        <v>3.625</v>
      </c>
    </row>
    <row r="227" s="7" customFormat="true" ht="15" hidden="false" customHeight="false" outlineLevel="0" collapsed="false">
      <c r="A227" s="33"/>
      <c r="B227" s="13"/>
      <c r="C227" s="8" t="n">
        <v>42073</v>
      </c>
      <c r="D227" s="7" t="n">
        <v>9.2</v>
      </c>
      <c r="E227" s="7" t="n">
        <v>4.3</v>
      </c>
      <c r="F227" s="7" t="n">
        <v>13.2</v>
      </c>
      <c r="G227" s="7" t="n">
        <f aca="false">G226+D227</f>
        <v>1541.7</v>
      </c>
      <c r="H227" s="7" t="n">
        <f aca="false">H226+D227</f>
        <v>71.1</v>
      </c>
      <c r="I227" s="7" t="n">
        <v>0</v>
      </c>
      <c r="J227" s="24" t="n">
        <v>1.8</v>
      </c>
      <c r="K227" s="7" t="n">
        <f aca="false">K226+J227</f>
        <v>296.8</v>
      </c>
      <c r="L227" s="7" t="n">
        <v>0.7</v>
      </c>
      <c r="M227" s="7" t="n">
        <f aca="false">M226+L227</f>
        <v>179.6</v>
      </c>
      <c r="N227" s="7" t="n">
        <v>1.1</v>
      </c>
      <c r="O227" s="7" t="n">
        <f aca="false">O226+N227</f>
        <v>130.1</v>
      </c>
      <c r="P227" s="7" t="n">
        <v>183</v>
      </c>
      <c r="Q227" s="15" t="n">
        <f aca="false">1+((P227-173)/40)*(1.15-1)</f>
        <v>1.0375</v>
      </c>
      <c r="R227" s="10" t="n">
        <f aca="false">Q227*L227</f>
        <v>0.72625</v>
      </c>
      <c r="S227" s="10" t="n">
        <f aca="false">J227-R227</f>
        <v>1.07375</v>
      </c>
      <c r="T227" s="26" t="n">
        <f aca="false">MIN(138.9,(T226+S227))</f>
        <v>129.796625</v>
      </c>
      <c r="U227" s="10" t="n">
        <f aca="false">MAX(T218:T257)</f>
        <v>138.9</v>
      </c>
      <c r="V227" s="7" t="n">
        <v>445.1</v>
      </c>
      <c r="X227" s="7" t="n">
        <f aca="false">X226+V227</f>
        <v>97162.6</v>
      </c>
      <c r="Y227" s="7" t="n">
        <f aca="false">Y226+V227</f>
        <v>9161.4</v>
      </c>
      <c r="AA227" s="7" t="n">
        <v>11.5785791477761</v>
      </c>
      <c r="AB227" s="7" t="n">
        <f aca="false">SUM(J217:J226)</f>
        <v>8.3</v>
      </c>
      <c r="AD227" s="25" t="s">
        <v>50</v>
      </c>
    </row>
    <row r="228" s="7" customFormat="true" ht="15" hidden="false" customHeight="false" outlineLevel="0" collapsed="false">
      <c r="A228" s="33"/>
      <c r="B228" s="13"/>
      <c r="C228" s="8" t="n">
        <v>42074</v>
      </c>
      <c r="D228" s="7" t="n">
        <v>10.4</v>
      </c>
      <c r="E228" s="7" t="n">
        <v>8.5</v>
      </c>
      <c r="F228" s="7" t="n">
        <v>12.8</v>
      </c>
      <c r="G228" s="7" t="n">
        <f aca="false">G227+D228</f>
        <v>1552.1</v>
      </c>
      <c r="H228" s="7" t="n">
        <f aca="false">H227+D228</f>
        <v>81.5</v>
      </c>
      <c r="I228" s="34" t="s">
        <v>41</v>
      </c>
      <c r="J228" s="24" t="n">
        <v>0</v>
      </c>
      <c r="K228" s="7" t="n">
        <f aca="false">K227+J228</f>
        <v>296.8</v>
      </c>
      <c r="L228" s="7" t="n">
        <v>0.7</v>
      </c>
      <c r="M228" s="7" t="n">
        <f aca="false">M227+L228</f>
        <v>180.3</v>
      </c>
      <c r="N228" s="9" t="n">
        <v>-0.7</v>
      </c>
      <c r="O228" s="7" t="n">
        <f aca="false">O227+N228</f>
        <v>129.4</v>
      </c>
      <c r="P228" s="7" t="n">
        <v>184</v>
      </c>
      <c r="Q228" s="15" t="n">
        <f aca="false">1+((P228-173)/40)*(1.15-1)</f>
        <v>1.04125</v>
      </c>
      <c r="R228" s="10" t="n">
        <f aca="false">Q228*L228</f>
        <v>0.728875</v>
      </c>
      <c r="S228" s="10" t="n">
        <f aca="false">J228-R228</f>
        <v>-0.728875</v>
      </c>
      <c r="T228" s="26" t="n">
        <f aca="false">MIN(138.9,(T227+S228))</f>
        <v>129.06775</v>
      </c>
      <c r="U228" s="34" t="s">
        <v>42</v>
      </c>
      <c r="V228" s="7" t="n">
        <v>471.3</v>
      </c>
      <c r="X228" s="7" t="n">
        <f aca="false">X227+V228</f>
        <v>97633.9</v>
      </c>
      <c r="Y228" s="7" t="n">
        <f aca="false">Y227+V228</f>
        <v>9632.7</v>
      </c>
      <c r="AA228" s="7" t="n">
        <v>11.6358405353695</v>
      </c>
      <c r="AD228" s="7" t="n">
        <f aca="false">(AB205*(80/160))+(AB227*(50/160))+(AB240*(30/160))</f>
        <v>14.1</v>
      </c>
    </row>
    <row r="229" s="29" customFormat="true" ht="15" hidden="false" customHeight="false" outlineLevel="0" collapsed="false">
      <c r="A229" s="33"/>
      <c r="B229" s="27" t="s">
        <v>54</v>
      </c>
      <c r="C229" s="28" t="n">
        <v>42075</v>
      </c>
      <c r="D229" s="29" t="n">
        <v>8.5</v>
      </c>
      <c r="E229" s="29" t="n">
        <v>1.3</v>
      </c>
      <c r="F229" s="29" t="n">
        <v>14.1</v>
      </c>
      <c r="G229" s="29" t="n">
        <f aca="false">G228+D229</f>
        <v>1560.6</v>
      </c>
      <c r="H229" s="29" t="n">
        <f aca="false">H228+D229</f>
        <v>90</v>
      </c>
      <c r="I229" s="29" t="n">
        <v>21</v>
      </c>
      <c r="J229" s="29" t="n">
        <v>0</v>
      </c>
      <c r="K229" s="29" t="n">
        <f aca="false">K228+J229</f>
        <v>296.8</v>
      </c>
      <c r="L229" s="29" t="n">
        <v>2.2</v>
      </c>
      <c r="M229" s="29" t="n">
        <f aca="false">M228+L229</f>
        <v>182.5</v>
      </c>
      <c r="N229" s="29" t="n">
        <v>-2.2</v>
      </c>
      <c r="O229" s="29" t="n">
        <f aca="false">O228+N229</f>
        <v>127.2</v>
      </c>
      <c r="P229" s="29" t="n">
        <v>185</v>
      </c>
      <c r="Q229" s="35" t="n">
        <f aca="false">1+((P229-173)/40)*(1.15-1)</f>
        <v>1.045</v>
      </c>
      <c r="R229" s="30" t="n">
        <f aca="false">Q229*L229</f>
        <v>2.299</v>
      </c>
      <c r="S229" s="30" t="n">
        <f aca="false">J229-R229</f>
        <v>-2.299</v>
      </c>
      <c r="T229" s="30" t="n">
        <f aca="false">MIN(138.9,(T228+S229))</f>
        <v>126.76875</v>
      </c>
      <c r="U229" s="35" t="n">
        <f aca="false">AVERAGE(T218:T257)</f>
        <v>125.2371625</v>
      </c>
      <c r="V229" s="29" t="n">
        <v>1497.2</v>
      </c>
      <c r="X229" s="29" t="n">
        <f aca="false">X228+V229</f>
        <v>99131.1</v>
      </c>
      <c r="Y229" s="29" t="n">
        <f aca="false">Y228+V229</f>
        <v>11129.9</v>
      </c>
      <c r="AA229" s="29" t="n">
        <v>11.6931447580416</v>
      </c>
    </row>
    <row r="230" s="7" customFormat="true" ht="15" hidden="false" customHeight="false" outlineLevel="0" collapsed="false">
      <c r="A230" s="33"/>
      <c r="B230" s="13"/>
      <c r="C230" s="8" t="n">
        <v>42076</v>
      </c>
      <c r="D230" s="7" t="n">
        <v>6.4</v>
      </c>
      <c r="E230" s="7" t="n">
        <v>2.7</v>
      </c>
      <c r="F230" s="7" t="n">
        <v>10</v>
      </c>
      <c r="G230" s="7" t="n">
        <f aca="false">G229+D230</f>
        <v>1567</v>
      </c>
      <c r="H230" s="7" t="n">
        <f aca="false">H229+D230</f>
        <v>96.4</v>
      </c>
      <c r="I230" s="34" t="s">
        <v>43</v>
      </c>
      <c r="J230" s="24" t="n">
        <v>3.4</v>
      </c>
      <c r="K230" s="7" t="n">
        <f aca="false">K229+J230</f>
        <v>300.2</v>
      </c>
      <c r="L230" s="7" t="n">
        <v>0.7</v>
      </c>
      <c r="M230" s="7" t="n">
        <f aca="false">M229+L230</f>
        <v>183.2</v>
      </c>
      <c r="N230" s="7" t="n">
        <v>2.7</v>
      </c>
      <c r="O230" s="7" t="n">
        <f aca="false">O229+N230</f>
        <v>129.9</v>
      </c>
      <c r="P230" s="7" t="n">
        <v>186</v>
      </c>
      <c r="Q230" s="15" t="n">
        <f aca="false">1+((P230-173)/40)*(1.15-1)</f>
        <v>1.04875</v>
      </c>
      <c r="R230" s="10" t="n">
        <f aca="false">Q230*L230</f>
        <v>0.734125</v>
      </c>
      <c r="S230" s="10" t="n">
        <f aca="false">J230-R230</f>
        <v>2.665875</v>
      </c>
      <c r="T230" s="26" t="n">
        <f aca="false">MIN(138.9,(T229+S230))</f>
        <v>129.434625</v>
      </c>
      <c r="V230" s="7" t="n">
        <v>278</v>
      </c>
      <c r="X230" s="7" t="n">
        <f aca="false">X229+V230</f>
        <v>99409.1</v>
      </c>
      <c r="Y230" s="7" t="n">
        <f aca="false">Y229+V230</f>
        <v>11407.9</v>
      </c>
      <c r="AA230" s="7" t="n">
        <v>11.7504850077155</v>
      </c>
    </row>
    <row r="231" s="7" customFormat="true" ht="15" hidden="false" customHeight="false" outlineLevel="0" collapsed="false">
      <c r="A231" s="33"/>
      <c r="B231" s="13"/>
      <c r="C231" s="8" t="n">
        <v>42077</v>
      </c>
      <c r="D231" s="7" t="n">
        <v>4.3</v>
      </c>
      <c r="E231" s="7" t="n">
        <v>0.5</v>
      </c>
      <c r="F231" s="7" t="n">
        <v>6.7</v>
      </c>
      <c r="G231" s="7" t="n">
        <f aca="false">G230+D231</f>
        <v>1571.3</v>
      </c>
      <c r="H231" s="7" t="n">
        <f aca="false">H230+D231</f>
        <v>100.7</v>
      </c>
      <c r="I231" s="7" t="n">
        <v>313.1</v>
      </c>
      <c r="J231" s="24" t="n">
        <v>0</v>
      </c>
      <c r="K231" s="7" t="n">
        <f aca="false">K230+J231</f>
        <v>300.2</v>
      </c>
      <c r="L231" s="7" t="n">
        <v>1.1</v>
      </c>
      <c r="M231" s="7" t="n">
        <f aca="false">M230+L231</f>
        <v>184.3</v>
      </c>
      <c r="N231" s="9" t="n">
        <v>-1.1</v>
      </c>
      <c r="O231" s="7" t="n">
        <f aca="false">O230+N231</f>
        <v>128.8</v>
      </c>
      <c r="P231" s="7" t="n">
        <v>187</v>
      </c>
      <c r="Q231" s="15" t="n">
        <f aca="false">1+((P231-173)/40)*(1.15-1)</f>
        <v>1.0525</v>
      </c>
      <c r="R231" s="10" t="n">
        <f aca="false">Q231*L231</f>
        <v>1.15775</v>
      </c>
      <c r="S231" s="10" t="n">
        <f aca="false">J231-R231</f>
        <v>-1.15775</v>
      </c>
      <c r="T231" s="26" t="n">
        <f aca="false">MIN(138.9,(T230+S231))</f>
        <v>128.276875</v>
      </c>
      <c r="U231" s="10" t="n">
        <f aca="false">(U229*100)/138.9</f>
        <v>90.1635439164867</v>
      </c>
      <c r="V231" s="7" t="n">
        <v>1068.7</v>
      </c>
      <c r="X231" s="7" t="n">
        <f aca="false">X230+V231</f>
        <v>100477.8</v>
      </c>
      <c r="Y231" s="7" t="n">
        <f aca="false">Y230+V231</f>
        <v>12476.6</v>
      </c>
      <c r="AA231" s="7" t="n">
        <v>11.8078546435056</v>
      </c>
      <c r="AB231" s="25" t="s">
        <v>46</v>
      </c>
    </row>
    <row r="232" s="7" customFormat="true" ht="15" hidden="false" customHeight="false" outlineLevel="0" collapsed="false">
      <c r="A232" s="33"/>
      <c r="B232" s="13"/>
      <c r="C232" s="8" t="n">
        <v>42078</v>
      </c>
      <c r="D232" s="7" t="n">
        <v>5.4</v>
      </c>
      <c r="E232" s="7" t="n">
        <v>3.1</v>
      </c>
      <c r="F232" s="7" t="n">
        <v>7.6</v>
      </c>
      <c r="G232" s="7" t="n">
        <f aca="false">G231+D232</f>
        <v>1576.7</v>
      </c>
      <c r="H232" s="7" t="n">
        <f aca="false">H231+D232</f>
        <v>106.1</v>
      </c>
      <c r="J232" s="24" t="n">
        <v>0</v>
      </c>
      <c r="K232" s="7" t="n">
        <f aca="false">K231+J232</f>
        <v>300.2</v>
      </c>
      <c r="L232" s="7" t="n">
        <v>0.8</v>
      </c>
      <c r="M232" s="7" t="n">
        <f aca="false">M231+L232</f>
        <v>185.1</v>
      </c>
      <c r="N232" s="9" t="n">
        <v>-0.8</v>
      </c>
      <c r="O232" s="7" t="n">
        <f aca="false">O231+N232</f>
        <v>128</v>
      </c>
      <c r="P232" s="7" t="n">
        <v>188</v>
      </c>
      <c r="Q232" s="15" t="n">
        <f aca="false">1+((P232-173)/40)*(1.15-1)</f>
        <v>1.05625</v>
      </c>
      <c r="R232" s="10" t="n">
        <f aca="false">Q232*L232</f>
        <v>0.845</v>
      </c>
      <c r="S232" s="10" t="n">
        <f aca="false">J232-R232</f>
        <v>-0.845</v>
      </c>
      <c r="T232" s="26" t="n">
        <f aca="false">MIN(138.9,(T231+S232))</f>
        <v>127.431875</v>
      </c>
      <c r="V232" s="7" t="n">
        <v>704.4</v>
      </c>
      <c r="X232" s="7" t="n">
        <f aca="false">X231+V232</f>
        <v>101182.2</v>
      </c>
      <c r="Y232" s="7" t="n">
        <f aca="false">Y231+V232</f>
        <v>13181</v>
      </c>
      <c r="AA232" s="7" t="n">
        <v>11.8652471740222</v>
      </c>
      <c r="AB232" s="10" t="n">
        <f aca="false">AVERAGE(T226:T239)</f>
        <v>124.815053571429</v>
      </c>
    </row>
    <row r="233" s="7" customFormat="true" ht="15" hidden="false" customHeight="false" outlineLevel="0" collapsed="false">
      <c r="A233" s="33"/>
      <c r="B233" s="13"/>
      <c r="C233" s="8" t="n">
        <v>42079</v>
      </c>
      <c r="D233" s="7" t="n">
        <v>6.3</v>
      </c>
      <c r="E233" s="7" t="n">
        <v>1.3</v>
      </c>
      <c r="F233" s="7" t="n">
        <v>10.6</v>
      </c>
      <c r="G233" s="7" t="n">
        <f aca="false">G232+D233</f>
        <v>1583</v>
      </c>
      <c r="H233" s="7" t="n">
        <f aca="false">H232+D233</f>
        <v>112.4</v>
      </c>
      <c r="J233" s="24" t="n">
        <v>0</v>
      </c>
      <c r="K233" s="7" t="n">
        <f aca="false">K232+J233</f>
        <v>300.2</v>
      </c>
      <c r="L233" s="7" t="n">
        <v>0.8</v>
      </c>
      <c r="M233" s="7" t="n">
        <f aca="false">M232+L233</f>
        <v>185.9</v>
      </c>
      <c r="N233" s="9" t="n">
        <v>-0.8</v>
      </c>
      <c r="O233" s="7" t="n">
        <f aca="false">O232+N233</f>
        <v>127.2</v>
      </c>
      <c r="P233" s="7" t="n">
        <v>189</v>
      </c>
      <c r="Q233" s="15" t="n">
        <f aca="false">1+((P233-173)/40)*(1.15-1)</f>
        <v>1.06</v>
      </c>
      <c r="R233" s="10" t="n">
        <f aca="false">Q233*L233</f>
        <v>0.848</v>
      </c>
      <c r="S233" s="10" t="n">
        <f aca="false">J233-R233</f>
        <v>-0.848</v>
      </c>
      <c r="T233" s="26" t="n">
        <f aca="false">MIN(138.9,(T232+S233))</f>
        <v>126.583875</v>
      </c>
      <c r="V233" s="7" t="n">
        <v>657.5</v>
      </c>
      <c r="X233" s="7" t="n">
        <f aca="false">X232+V233</f>
        <v>101839.7</v>
      </c>
      <c r="Y233" s="7" t="n">
        <f aca="false">Y232+V233</f>
        <v>13838.5</v>
      </c>
      <c r="AA233" s="7" t="n">
        <v>11.9226562397714</v>
      </c>
      <c r="AB233" s="25" t="s">
        <v>47</v>
      </c>
    </row>
    <row r="234" s="7" customFormat="true" ht="15" hidden="false" customHeight="false" outlineLevel="0" collapsed="false">
      <c r="A234" s="33"/>
      <c r="B234" s="13"/>
      <c r="C234" s="8" t="n">
        <v>42080</v>
      </c>
      <c r="D234" s="7" t="n">
        <v>8.1</v>
      </c>
      <c r="E234" s="7" t="n">
        <v>-0.6</v>
      </c>
      <c r="F234" s="7" t="n">
        <v>14.7</v>
      </c>
      <c r="G234" s="7" t="n">
        <f aca="false">G233+D234</f>
        <v>1591.1</v>
      </c>
      <c r="H234" s="7" t="n">
        <f aca="false">H233+D234</f>
        <v>120.5</v>
      </c>
      <c r="J234" s="24" t="n">
        <v>0</v>
      </c>
      <c r="K234" s="7" t="n">
        <f aca="false">K233+J234</f>
        <v>300.2</v>
      </c>
      <c r="L234" s="7" t="n">
        <v>2.2</v>
      </c>
      <c r="M234" s="7" t="n">
        <f aca="false">M233+L234</f>
        <v>188.1</v>
      </c>
      <c r="N234" s="9" t="n">
        <v>-2.2</v>
      </c>
      <c r="O234" s="7" t="n">
        <f aca="false">O233+N234</f>
        <v>125</v>
      </c>
      <c r="P234" s="7" t="n">
        <v>190</v>
      </c>
      <c r="Q234" s="15" t="n">
        <f aca="false">1+((P234-173)/40)*(1.15-1)</f>
        <v>1.06375</v>
      </c>
      <c r="R234" s="10" t="n">
        <f aca="false">Q234*L234</f>
        <v>2.34025</v>
      </c>
      <c r="S234" s="10" t="n">
        <f aca="false">J234-R234</f>
        <v>-2.34025</v>
      </c>
      <c r="T234" s="26" t="n">
        <f aca="false">MIN(138.9,(T233+S234))</f>
        <v>124.243625</v>
      </c>
      <c r="V234" s="7" t="n">
        <v>1671.7</v>
      </c>
      <c r="X234" s="7" t="n">
        <f aca="false">X233+V234</f>
        <v>103511.4</v>
      </c>
      <c r="Y234" s="7" t="n">
        <f aca="false">Y233+V234</f>
        <v>15510.2</v>
      </c>
      <c r="AA234" s="7" t="n">
        <v>11.9800755956556</v>
      </c>
      <c r="AB234" s="7" t="n">
        <v>5</v>
      </c>
    </row>
    <row r="235" s="7" customFormat="true" ht="15" hidden="false" customHeight="false" outlineLevel="0" collapsed="false">
      <c r="A235" s="33"/>
      <c r="B235" s="13"/>
      <c r="C235" s="8" t="n">
        <v>42081</v>
      </c>
      <c r="D235" s="7" t="n">
        <v>10.6</v>
      </c>
      <c r="E235" s="7" t="n">
        <v>6</v>
      </c>
      <c r="F235" s="7" t="n">
        <v>14.5</v>
      </c>
      <c r="G235" s="7" t="n">
        <f aca="false">G234+D235</f>
        <v>1601.7</v>
      </c>
      <c r="H235" s="7" t="n">
        <f aca="false">H234+D235</f>
        <v>131.1</v>
      </c>
      <c r="J235" s="24" t="n">
        <v>0</v>
      </c>
      <c r="K235" s="7" t="n">
        <f aca="false">K234+J235</f>
        <v>300.2</v>
      </c>
      <c r="L235" s="7" t="n">
        <v>1.9</v>
      </c>
      <c r="M235" s="7" t="n">
        <f aca="false">M234+L235</f>
        <v>190</v>
      </c>
      <c r="N235" s="9" t="n">
        <v>-1.9</v>
      </c>
      <c r="O235" s="7" t="n">
        <f aca="false">O234+N235</f>
        <v>123.1</v>
      </c>
      <c r="P235" s="7" t="n">
        <v>191</v>
      </c>
      <c r="Q235" s="15" t="n">
        <f aca="false">1+((P235-173)/40)*(1.15-1)</f>
        <v>1.0675</v>
      </c>
      <c r="R235" s="10" t="n">
        <f aca="false">Q235*L235</f>
        <v>2.02825</v>
      </c>
      <c r="S235" s="10" t="n">
        <f aca="false">J235-R235</f>
        <v>-2.02825</v>
      </c>
      <c r="T235" s="26" t="n">
        <f aca="false">MIN(138.9,(T234+S235))</f>
        <v>122.215375</v>
      </c>
      <c r="V235" s="7" t="n">
        <v>1156.2</v>
      </c>
      <c r="X235" s="7" t="n">
        <f aca="false">X234+V235</f>
        <v>104667.6</v>
      </c>
      <c r="Y235" s="7" t="n">
        <f aca="false">Y234+V235</f>
        <v>16666.4</v>
      </c>
      <c r="AA235" s="7" t="n">
        <v>12.0374990935739</v>
      </c>
      <c r="AB235" s="25" t="s">
        <v>48</v>
      </c>
    </row>
    <row r="236" s="7" customFormat="true" ht="15" hidden="false" customHeight="false" outlineLevel="0" collapsed="false">
      <c r="A236" s="33"/>
      <c r="B236" s="13"/>
      <c r="C236" s="8" t="n">
        <v>42082</v>
      </c>
      <c r="D236" s="7" t="n">
        <v>6.8</v>
      </c>
      <c r="E236" s="7" t="n">
        <v>4.2</v>
      </c>
      <c r="F236" s="7" t="n">
        <v>8.3</v>
      </c>
      <c r="G236" s="7" t="n">
        <f aca="false">G235+D236</f>
        <v>1608.5</v>
      </c>
      <c r="H236" s="7" t="n">
        <f aca="false">H235+D236</f>
        <v>137.9</v>
      </c>
      <c r="J236" s="24" t="n">
        <v>0</v>
      </c>
      <c r="K236" s="7" t="n">
        <f aca="false">K235+J236</f>
        <v>300.2</v>
      </c>
      <c r="L236" s="7" t="n">
        <v>1.3</v>
      </c>
      <c r="M236" s="7" t="n">
        <f aca="false">M235+L236</f>
        <v>191.3</v>
      </c>
      <c r="N236" s="9" t="n">
        <v>-1.3</v>
      </c>
      <c r="O236" s="7" t="n">
        <f aca="false">O235+N236</f>
        <v>121.8</v>
      </c>
      <c r="P236" s="7" t="n">
        <v>192</v>
      </c>
      <c r="Q236" s="15" t="n">
        <f aca="false">1+((P236-173)/40)*(1.15-1)</f>
        <v>1.07125</v>
      </c>
      <c r="R236" s="10" t="n">
        <f aca="false">Q236*L236</f>
        <v>1.392625</v>
      </c>
      <c r="S236" s="10" t="n">
        <f aca="false">J236-R236</f>
        <v>-1.392625</v>
      </c>
      <c r="T236" s="26" t="n">
        <f aca="false">MIN(138.9,(T235+S236))</f>
        <v>120.82275</v>
      </c>
      <c r="V236" s="7" t="n">
        <v>972.8</v>
      </c>
      <c r="X236" s="7" t="n">
        <f aca="false">X235+V236</f>
        <v>105640.4</v>
      </c>
      <c r="Y236" s="7" t="n">
        <f aca="false">Y235+V236</f>
        <v>17639.2</v>
      </c>
      <c r="AA236" s="7" t="n">
        <v>12.0949206651238</v>
      </c>
      <c r="AB236" s="7" t="n">
        <v>8</v>
      </c>
    </row>
    <row r="237" s="7" customFormat="true" ht="15" hidden="false" customHeight="false" outlineLevel="0" collapsed="false">
      <c r="A237" s="33"/>
      <c r="B237" s="13"/>
      <c r="C237" s="8" t="n">
        <v>42083</v>
      </c>
      <c r="D237" s="7" t="n">
        <v>8</v>
      </c>
      <c r="E237" s="7" t="n">
        <v>6.3</v>
      </c>
      <c r="F237" s="7" t="n">
        <v>11</v>
      </c>
      <c r="G237" s="7" t="n">
        <f aca="false">G236+D237</f>
        <v>1616.5</v>
      </c>
      <c r="H237" s="7" t="n">
        <f aca="false">H236+D237</f>
        <v>145.9</v>
      </c>
      <c r="J237" s="24" t="n">
        <v>0</v>
      </c>
      <c r="K237" s="7" t="n">
        <f aca="false">K236+J237</f>
        <v>300.2</v>
      </c>
      <c r="L237" s="7" t="n">
        <v>1.2</v>
      </c>
      <c r="M237" s="7" t="n">
        <f aca="false">M236+L237</f>
        <v>192.5</v>
      </c>
      <c r="N237" s="9" t="n">
        <v>-1.2</v>
      </c>
      <c r="O237" s="7" t="n">
        <f aca="false">O236+N237</f>
        <v>120.6</v>
      </c>
      <c r="P237" s="7" t="n">
        <v>193</v>
      </c>
      <c r="Q237" s="15" t="n">
        <f aca="false">1+((P237-173)/40)*(1.15-1)</f>
        <v>1.075</v>
      </c>
      <c r="R237" s="10" t="n">
        <f aca="false">Q237*L237</f>
        <v>1.29</v>
      </c>
      <c r="S237" s="10" t="n">
        <f aca="false">J237-R237</f>
        <v>-1.29</v>
      </c>
      <c r="T237" s="26" t="n">
        <f aca="false">MIN(138.9,(T236+S237))</f>
        <v>119.53275</v>
      </c>
      <c r="V237" s="7" t="n">
        <v>548.2</v>
      </c>
      <c r="X237" s="7" t="n">
        <f aca="false">X236+V237</f>
        <v>106188.6</v>
      </c>
      <c r="Y237" s="7" t="n">
        <f aca="false">Y236+V237</f>
        <v>18187.4</v>
      </c>
      <c r="AA237" s="7" t="n">
        <v>12.1523343044034</v>
      </c>
      <c r="AB237" s="25" t="s">
        <v>49</v>
      </c>
    </row>
    <row r="238" s="7" customFormat="true" ht="15" hidden="false" customHeight="false" outlineLevel="0" collapsed="false">
      <c r="A238" s="33"/>
      <c r="B238" s="13"/>
      <c r="C238" s="8" t="n">
        <v>42084</v>
      </c>
      <c r="D238" s="7" t="n">
        <v>6.6</v>
      </c>
      <c r="E238" s="7" t="n">
        <v>4</v>
      </c>
      <c r="F238" s="7" t="n">
        <v>8.4</v>
      </c>
      <c r="G238" s="7" t="n">
        <f aca="false">G237+D238</f>
        <v>1623.1</v>
      </c>
      <c r="H238" s="7" t="n">
        <f aca="false">H237+D238</f>
        <v>152.5</v>
      </c>
      <c r="J238" s="24" t="n">
        <v>0.1</v>
      </c>
      <c r="K238" s="7" t="n">
        <f aca="false">K237+J238</f>
        <v>300.3</v>
      </c>
      <c r="L238" s="7" t="n">
        <v>1.4</v>
      </c>
      <c r="M238" s="7" t="n">
        <f aca="false">M237+L238</f>
        <v>193.9</v>
      </c>
      <c r="N238" s="9" t="n">
        <v>-1.3</v>
      </c>
      <c r="O238" s="7" t="n">
        <f aca="false">O237+N238</f>
        <v>119.3</v>
      </c>
      <c r="P238" s="7" t="n">
        <v>194</v>
      </c>
      <c r="Q238" s="15" t="n">
        <f aca="false">1+((P238-173)/40)*(1.15-1)</f>
        <v>1.07875</v>
      </c>
      <c r="R238" s="10" t="n">
        <f aca="false">Q238*L238</f>
        <v>1.51025</v>
      </c>
      <c r="S238" s="10" t="n">
        <f aca="false">J238-R238</f>
        <v>-1.41025</v>
      </c>
      <c r="T238" s="26" t="n">
        <f aca="false">MIN(138.9,(T237+S238))</f>
        <v>118.1225</v>
      </c>
      <c r="V238" s="7" t="n">
        <v>1144.5</v>
      </c>
      <c r="X238" s="7" t="n">
        <f aca="false">X237+V238</f>
        <v>107333.1</v>
      </c>
      <c r="Y238" s="7" t="n">
        <f aca="false">Y237+V238</f>
        <v>19331.9</v>
      </c>
      <c r="AA238" s="7" t="n">
        <v>12.2097340509134</v>
      </c>
      <c r="AB238" s="7" t="n">
        <v>0</v>
      </c>
    </row>
    <row r="239" s="7" customFormat="true" ht="15" hidden="false" customHeight="false" outlineLevel="0" collapsed="false">
      <c r="A239" s="33"/>
      <c r="B239" s="13"/>
      <c r="C239" s="8" t="n">
        <v>42085</v>
      </c>
      <c r="D239" s="7" t="n">
        <v>6.6</v>
      </c>
      <c r="E239" s="7" t="n">
        <v>5</v>
      </c>
      <c r="F239" s="7" t="n">
        <v>8.9</v>
      </c>
      <c r="G239" s="7" t="n">
        <f aca="false">G238+D239</f>
        <v>1629.7</v>
      </c>
      <c r="H239" s="7" t="n">
        <f aca="false">H238+D239</f>
        <v>159.1</v>
      </c>
      <c r="J239" s="24" t="n">
        <v>0</v>
      </c>
      <c r="K239" s="7" t="n">
        <f aca="false">K238+J239</f>
        <v>300.3</v>
      </c>
      <c r="L239" s="7" t="n">
        <v>1.6</v>
      </c>
      <c r="M239" s="7" t="n">
        <f aca="false">M238+L239</f>
        <v>195.5</v>
      </c>
      <c r="N239" s="9" t="n">
        <v>-1.6</v>
      </c>
      <c r="O239" s="7" t="n">
        <f aca="false">O238+N239</f>
        <v>117.7</v>
      </c>
      <c r="P239" s="7" t="n">
        <v>195</v>
      </c>
      <c r="Q239" s="15" t="n">
        <f aca="false">1+((P239-173)/40)*(1.15-1)</f>
        <v>1.0825</v>
      </c>
      <c r="R239" s="10" t="n">
        <f aca="false">Q239*L239</f>
        <v>1.732</v>
      </c>
      <c r="S239" s="10" t="n">
        <f aca="false">J239-R239</f>
        <v>-1.732</v>
      </c>
      <c r="T239" s="26" t="n">
        <f aca="false">MIN(138.9,(T238+S239))</f>
        <v>116.3905</v>
      </c>
      <c r="V239" s="7" t="n">
        <v>988.2</v>
      </c>
      <c r="X239" s="7" t="n">
        <f aca="false">X238+V239</f>
        <v>108321.3</v>
      </c>
      <c r="Y239" s="7" t="n">
        <f aca="false">Y238+V239</f>
        <v>20320.1</v>
      </c>
      <c r="AA239" s="7" t="n">
        <v>12.2671139725558</v>
      </c>
      <c r="AB239" s="25" t="s">
        <v>50</v>
      </c>
    </row>
    <row r="240" s="7" customFormat="true" ht="15" hidden="false" customHeight="false" outlineLevel="0" collapsed="false">
      <c r="A240" s="33"/>
      <c r="B240" s="13"/>
      <c r="C240" s="8" t="n">
        <v>42086</v>
      </c>
      <c r="D240" s="7" t="n">
        <v>6.9</v>
      </c>
      <c r="E240" s="7" t="n">
        <v>-1.7</v>
      </c>
      <c r="F240" s="7" t="n">
        <v>13</v>
      </c>
      <c r="G240" s="7" t="n">
        <f aca="false">G239+D240</f>
        <v>1636.6</v>
      </c>
      <c r="H240" s="7" t="n">
        <f aca="false">H239+D240</f>
        <v>166</v>
      </c>
      <c r="J240" s="7" t="n">
        <v>1.1</v>
      </c>
      <c r="K240" s="7" t="n">
        <f aca="false">K239+J240</f>
        <v>301.4</v>
      </c>
      <c r="L240" s="7" t="n">
        <v>1.6</v>
      </c>
      <c r="M240" s="7" t="n">
        <f aca="false">M239+L240</f>
        <v>197.1</v>
      </c>
      <c r="N240" s="9" t="n">
        <v>-0.5</v>
      </c>
      <c r="O240" s="7" t="n">
        <f aca="false">O239+N240</f>
        <v>117.2</v>
      </c>
      <c r="P240" s="7" t="n">
        <v>196</v>
      </c>
      <c r="Q240" s="15" t="n">
        <f aca="false">1+((P240-173)/40)*(1.15-1)</f>
        <v>1.08625</v>
      </c>
      <c r="R240" s="10" t="n">
        <f aca="false">Q240*L240</f>
        <v>1.738</v>
      </c>
      <c r="S240" s="10" t="n">
        <f aca="false">J240-R240</f>
        <v>-0.638</v>
      </c>
      <c r="T240" s="10" t="n">
        <f aca="false">MIN(138.9,(T239+S240))</f>
        <v>115.7525</v>
      </c>
      <c r="V240" s="7" t="n">
        <v>1311.8</v>
      </c>
      <c r="X240" s="7" t="n">
        <f aca="false">X239+V240</f>
        <v>109633.1</v>
      </c>
      <c r="Y240" s="7" t="n">
        <f aca="false">Y239+V240</f>
        <v>21631.9</v>
      </c>
      <c r="AA240" s="7" t="n">
        <v>12.3244681487295</v>
      </c>
      <c r="AB240" s="7" t="n">
        <f aca="false">SUM(J230:J239)</f>
        <v>3.5</v>
      </c>
    </row>
    <row r="241" s="7" customFormat="true" ht="15" hidden="false" customHeight="false" outlineLevel="0" collapsed="false">
      <c r="A241" s="33"/>
      <c r="B241" s="13"/>
      <c r="C241" s="8" t="n">
        <v>42087</v>
      </c>
      <c r="D241" s="7" t="n">
        <v>5.2</v>
      </c>
      <c r="E241" s="7" t="n">
        <v>4.5</v>
      </c>
      <c r="F241" s="7" t="n">
        <v>6.3</v>
      </c>
      <c r="G241" s="7" t="n">
        <f aca="false">G240+D241</f>
        <v>1641.8</v>
      </c>
      <c r="H241" s="7" t="n">
        <f aca="false">H240+D241</f>
        <v>171.2</v>
      </c>
      <c r="J241" s="7" t="n">
        <v>9.5</v>
      </c>
      <c r="K241" s="7" t="n">
        <f aca="false">K240+J241</f>
        <v>310.9</v>
      </c>
      <c r="L241" s="7" t="n">
        <v>0.6</v>
      </c>
      <c r="M241" s="7" t="n">
        <f aca="false">M240+L241</f>
        <v>197.7</v>
      </c>
      <c r="N241" s="7" t="n">
        <v>8.9</v>
      </c>
      <c r="O241" s="7" t="n">
        <f aca="false">O240+N241</f>
        <v>126.1</v>
      </c>
      <c r="P241" s="7" t="n">
        <v>197</v>
      </c>
      <c r="Q241" s="15" t="n">
        <f aca="false">1+((P241-173)/40)*(1.15-1)</f>
        <v>1.09</v>
      </c>
      <c r="R241" s="10" t="n">
        <f aca="false">Q241*L241</f>
        <v>0.654</v>
      </c>
      <c r="S241" s="10" t="n">
        <f aca="false">J241-R241</f>
        <v>8.846</v>
      </c>
      <c r="T241" s="10" t="n">
        <f aca="false">MIN(138.9,(T240+S241))</f>
        <v>124.5985</v>
      </c>
      <c r="V241" s="7" t="n">
        <v>317.3</v>
      </c>
      <c r="X241" s="7" t="n">
        <f aca="false">X240+V241</f>
        <v>109950.4</v>
      </c>
      <c r="Y241" s="7" t="n">
        <f aca="false">Y240+V241</f>
        <v>21949.2</v>
      </c>
      <c r="AA241" s="7" t="n">
        <v>12.3817906535172</v>
      </c>
    </row>
    <row r="242" s="7" customFormat="true" ht="15" hidden="false" customHeight="false" outlineLevel="0" collapsed="false">
      <c r="A242" s="33"/>
      <c r="B242" s="13"/>
      <c r="C242" s="8" t="n">
        <v>42088</v>
      </c>
      <c r="D242" s="7" t="n">
        <v>4.1</v>
      </c>
      <c r="E242" s="7" t="n">
        <v>1.2</v>
      </c>
      <c r="F242" s="7" t="n">
        <v>8.4</v>
      </c>
      <c r="G242" s="7" t="n">
        <f aca="false">G241+D242</f>
        <v>1645.9</v>
      </c>
      <c r="H242" s="7" t="n">
        <f aca="false">H241+D242</f>
        <v>175.3</v>
      </c>
      <c r="J242" s="7" t="n">
        <v>0.5</v>
      </c>
      <c r="K242" s="7" t="n">
        <f aca="false">K241+J242</f>
        <v>311.4</v>
      </c>
      <c r="L242" s="7" t="n">
        <v>1</v>
      </c>
      <c r="M242" s="7" t="n">
        <f aca="false">M241+L242</f>
        <v>198.7</v>
      </c>
      <c r="N242" s="9" t="n">
        <v>-0.5</v>
      </c>
      <c r="O242" s="7" t="n">
        <f aca="false">O241+N242</f>
        <v>125.6</v>
      </c>
      <c r="P242" s="7" t="n">
        <v>198</v>
      </c>
      <c r="Q242" s="15" t="n">
        <f aca="false">1+((P242-173)/40)*(1.15-1)</f>
        <v>1.09375</v>
      </c>
      <c r="R242" s="10" t="n">
        <f aca="false">Q242*L242</f>
        <v>1.09375</v>
      </c>
      <c r="S242" s="10" t="n">
        <f aca="false">J242-R242</f>
        <v>-0.59375</v>
      </c>
      <c r="T242" s="10" t="n">
        <f aca="false">MIN(138.9,(T241+S242))</f>
        <v>124.00475</v>
      </c>
      <c r="V242" s="7" t="n">
        <v>834.3</v>
      </c>
      <c r="X242" s="7" t="n">
        <f aca="false">X241+V242</f>
        <v>110784.7</v>
      </c>
      <c r="Y242" s="7" t="n">
        <f aca="false">Y241+V242</f>
        <v>22783.5</v>
      </c>
      <c r="AA242" s="7" t="n">
        <v>12.4390755389645</v>
      </c>
    </row>
    <row r="243" s="7" customFormat="true" ht="15" hidden="false" customHeight="false" outlineLevel="0" collapsed="false">
      <c r="A243" s="33"/>
      <c r="B243" s="13"/>
      <c r="C243" s="8" t="n">
        <v>42089</v>
      </c>
      <c r="D243" s="7" t="n">
        <v>4.4</v>
      </c>
      <c r="E243" s="7" t="n">
        <v>-0.8</v>
      </c>
      <c r="F243" s="7" t="n">
        <v>9.1</v>
      </c>
      <c r="G243" s="7" t="n">
        <f aca="false">G242+D243</f>
        <v>1650.3</v>
      </c>
      <c r="H243" s="7" t="n">
        <f aca="false">H242+D243</f>
        <v>179.7</v>
      </c>
      <c r="J243" s="7" t="n">
        <v>1.5</v>
      </c>
      <c r="K243" s="7" t="n">
        <f aca="false">K242+J243</f>
        <v>312.9</v>
      </c>
      <c r="L243" s="7" t="n">
        <v>0.4</v>
      </c>
      <c r="M243" s="7" t="n">
        <f aca="false">M242+L243</f>
        <v>199.1</v>
      </c>
      <c r="N243" s="9" t="n">
        <v>1.1</v>
      </c>
      <c r="O243" s="7" t="n">
        <f aca="false">O242+N243</f>
        <v>126.7</v>
      </c>
      <c r="P243" s="7" t="n">
        <v>199</v>
      </c>
      <c r="Q243" s="15" t="n">
        <f aca="false">1+((P243-173)/40)*(1.15-1)</f>
        <v>1.0975</v>
      </c>
      <c r="R243" s="10" t="n">
        <f aca="false">Q243*L243</f>
        <v>0.439</v>
      </c>
      <c r="S243" s="10" t="n">
        <f aca="false">J243-R243</f>
        <v>1.061</v>
      </c>
      <c r="T243" s="10" t="n">
        <f aca="false">MIN(138.9,(T242+S243))</f>
        <v>125.06575</v>
      </c>
      <c r="V243" s="7" t="n">
        <v>439.3</v>
      </c>
      <c r="X243" s="7" t="n">
        <f aca="false">X242+V243</f>
        <v>111224</v>
      </c>
      <c r="Y243" s="7" t="n">
        <f aca="false">Y242+V243</f>
        <v>23222.8</v>
      </c>
      <c r="AA243" s="7" t="n">
        <v>12.4963168184469</v>
      </c>
    </row>
    <row r="244" s="7" customFormat="true" ht="15" hidden="false" customHeight="false" outlineLevel="0" collapsed="false">
      <c r="A244" s="33"/>
      <c r="B244" s="13"/>
      <c r="C244" s="8" t="n">
        <v>42090</v>
      </c>
      <c r="D244" s="7" t="n">
        <v>7.3</v>
      </c>
      <c r="E244" s="7" t="n">
        <v>2.5</v>
      </c>
      <c r="F244" s="7" t="n">
        <v>11.2</v>
      </c>
      <c r="G244" s="7" t="n">
        <f aca="false">G243+D244</f>
        <v>1657.6</v>
      </c>
      <c r="H244" s="7" t="n">
        <f aca="false">H243+D244</f>
        <v>187</v>
      </c>
      <c r="J244" s="7" t="n">
        <v>0.7</v>
      </c>
      <c r="K244" s="7" t="n">
        <f aca="false">K243+J244</f>
        <v>313.6</v>
      </c>
      <c r="L244" s="7" t="n">
        <v>1.1</v>
      </c>
      <c r="M244" s="7" t="n">
        <f aca="false">M243+L244</f>
        <v>200.2</v>
      </c>
      <c r="N244" s="9" t="n">
        <v>-0.4</v>
      </c>
      <c r="O244" s="7" t="n">
        <f aca="false">O243+N244</f>
        <v>126.3</v>
      </c>
      <c r="P244" s="7" t="n">
        <v>200</v>
      </c>
      <c r="Q244" s="15" t="n">
        <f aca="false">1+((P244-173)/40)*(1.15-1)</f>
        <v>1.10125</v>
      </c>
      <c r="R244" s="10" t="n">
        <f aca="false">Q244*L244</f>
        <v>1.211375</v>
      </c>
      <c r="S244" s="10" t="n">
        <f aca="false">J244-R244</f>
        <v>-0.511375</v>
      </c>
      <c r="T244" s="10" t="n">
        <f aca="false">MIN(138.9,(T243+S244))</f>
        <v>124.554375</v>
      </c>
      <c r="V244" s="7" t="n">
        <v>762.2</v>
      </c>
      <c r="X244" s="7" t="n">
        <f aca="false">X243+V244</f>
        <v>111986.2</v>
      </c>
      <c r="Y244" s="7" t="n">
        <f aca="false">Y243+V244</f>
        <v>23985</v>
      </c>
      <c r="AA244" s="7" t="n">
        <v>12.5535084501224</v>
      </c>
    </row>
    <row r="245" s="7" customFormat="true" ht="15" hidden="false" customHeight="false" outlineLevel="0" collapsed="false">
      <c r="A245" s="33"/>
      <c r="B245" s="13"/>
      <c r="C245" s="8" t="n">
        <v>42091</v>
      </c>
      <c r="D245" s="7" t="n">
        <v>10.9</v>
      </c>
      <c r="E245" s="7" t="n">
        <v>7.9</v>
      </c>
      <c r="F245" s="7" t="n">
        <v>13.4</v>
      </c>
      <c r="G245" s="7" t="n">
        <f aca="false">G244+D245</f>
        <v>1668.5</v>
      </c>
      <c r="H245" s="7" t="n">
        <f aca="false">H244+D245</f>
        <v>197.9</v>
      </c>
      <c r="J245" s="7" t="n">
        <v>0.1</v>
      </c>
      <c r="K245" s="7" t="n">
        <f aca="false">K244+J245</f>
        <v>313.7</v>
      </c>
      <c r="L245" s="7" t="n">
        <v>0.7</v>
      </c>
      <c r="M245" s="7" t="n">
        <f aca="false">M244+L245</f>
        <v>200.9</v>
      </c>
      <c r="N245" s="9" t="n">
        <v>-0.6</v>
      </c>
      <c r="O245" s="7" t="n">
        <f aca="false">O244+N245</f>
        <v>125.7</v>
      </c>
      <c r="P245" s="7" t="n">
        <v>201</v>
      </c>
      <c r="Q245" s="15" t="n">
        <f aca="false">1+((P245-173)/40)*(1.15-1)</f>
        <v>1.105</v>
      </c>
      <c r="R245" s="10" t="n">
        <f aca="false">Q245*L245</f>
        <v>0.7735</v>
      </c>
      <c r="S245" s="10" t="n">
        <f aca="false">J245-R245</f>
        <v>-0.6735</v>
      </c>
      <c r="T245" s="10" t="n">
        <f aca="false">MIN(138.9,(T244+S245))</f>
        <v>123.880875</v>
      </c>
      <c r="V245" s="7" t="n">
        <v>426</v>
      </c>
      <c r="X245" s="7" t="n">
        <f aca="false">X244+V245</f>
        <v>112412.2</v>
      </c>
      <c r="Y245" s="7" t="n">
        <f aca="false">Y244+V245</f>
        <v>24411</v>
      </c>
      <c r="AA245" s="7" t="n">
        <v>12.6106443204696</v>
      </c>
    </row>
    <row r="246" s="7" customFormat="true" ht="15" hidden="false" customHeight="false" outlineLevel="0" collapsed="false">
      <c r="A246" s="33"/>
      <c r="B246" s="13"/>
      <c r="C246" s="8" t="n">
        <v>42092</v>
      </c>
      <c r="D246" s="7" t="n">
        <v>11.2</v>
      </c>
      <c r="E246" s="7" t="n">
        <v>10.2</v>
      </c>
      <c r="F246" s="7" t="n">
        <v>12.1</v>
      </c>
      <c r="G246" s="7" t="n">
        <f aca="false">G245+D246</f>
        <v>1679.7</v>
      </c>
      <c r="H246" s="7" t="n">
        <f aca="false">H245+D246</f>
        <v>209.1</v>
      </c>
      <c r="J246" s="7" t="n">
        <v>4.9</v>
      </c>
      <c r="K246" s="7" t="n">
        <f aca="false">K245+J246</f>
        <v>318.6</v>
      </c>
      <c r="L246" s="7" t="n">
        <v>0.8</v>
      </c>
      <c r="M246" s="7" t="n">
        <f aca="false">M245+L246</f>
        <v>201.7</v>
      </c>
      <c r="N246" s="7" t="n">
        <v>4.1</v>
      </c>
      <c r="O246" s="7" t="n">
        <f aca="false">O245+N246</f>
        <v>129.8</v>
      </c>
      <c r="P246" s="7" t="n">
        <v>202</v>
      </c>
      <c r="Q246" s="15" t="n">
        <f aca="false">1+((P246-173)/40)*(1.15-1)</f>
        <v>1.10875</v>
      </c>
      <c r="R246" s="10" t="n">
        <f aca="false">Q246*L246</f>
        <v>0.887</v>
      </c>
      <c r="S246" s="10" t="n">
        <f aca="false">J246-R246</f>
        <v>4.013</v>
      </c>
      <c r="T246" s="10" t="n">
        <f aca="false">MIN(138.9,(T245+S246))</f>
        <v>127.893875</v>
      </c>
      <c r="V246" s="7" t="n">
        <v>312.6</v>
      </c>
      <c r="X246" s="7" t="n">
        <f aca="false">X245+V246</f>
        <v>112724.8</v>
      </c>
      <c r="Y246" s="7" t="n">
        <f aca="false">Y245+V246</f>
        <v>24723.6</v>
      </c>
      <c r="AA246" s="7" t="n">
        <v>12.6677182279088</v>
      </c>
    </row>
    <row r="247" s="7" customFormat="true" ht="15" hidden="false" customHeight="false" outlineLevel="0" collapsed="false">
      <c r="A247" s="33"/>
      <c r="B247" s="13"/>
      <c r="C247" s="8" t="n">
        <v>42093</v>
      </c>
      <c r="D247" s="7" t="n">
        <v>12.7</v>
      </c>
      <c r="E247" s="7" t="n">
        <v>11.2</v>
      </c>
      <c r="F247" s="7" t="n">
        <v>14.7</v>
      </c>
      <c r="G247" s="7" t="n">
        <f aca="false">G246+D247</f>
        <v>1692.4</v>
      </c>
      <c r="H247" s="7" t="n">
        <f aca="false">H246+D247</f>
        <v>221.8</v>
      </c>
      <c r="J247" s="7" t="n">
        <v>0.9</v>
      </c>
      <c r="K247" s="7" t="n">
        <f aca="false">K246+J247</f>
        <v>319.5</v>
      </c>
      <c r="L247" s="7" t="n">
        <v>1.6</v>
      </c>
      <c r="M247" s="7" t="n">
        <f aca="false">M246+L247</f>
        <v>203.3</v>
      </c>
      <c r="N247" s="9" t="n">
        <v>-0.7</v>
      </c>
      <c r="O247" s="7" t="n">
        <f aca="false">O246+N247</f>
        <v>129.1</v>
      </c>
      <c r="P247" s="7" t="n">
        <v>203</v>
      </c>
      <c r="Q247" s="15" t="n">
        <f aca="false">1+((P247-173)/40)*(1.15-1)</f>
        <v>1.1125</v>
      </c>
      <c r="R247" s="10" t="n">
        <f aca="false">Q247*L247</f>
        <v>1.78</v>
      </c>
      <c r="S247" s="10" t="n">
        <f aca="false">J247-R247</f>
        <v>-0.88</v>
      </c>
      <c r="T247" s="10" t="n">
        <f aca="false">MIN(138.9,(T246+S247))</f>
        <v>127.013875</v>
      </c>
      <c r="V247" s="7" t="n">
        <v>653</v>
      </c>
      <c r="X247" s="7" t="n">
        <f aca="false">X246+V247</f>
        <v>113377.8</v>
      </c>
      <c r="Y247" s="7" t="n">
        <f aca="false">Y246+V247</f>
        <v>25376.6</v>
      </c>
      <c r="AA247" s="7" t="n">
        <v>12.7247238665067</v>
      </c>
    </row>
    <row r="248" s="7" customFormat="true" ht="15" hidden="false" customHeight="false" outlineLevel="0" collapsed="false">
      <c r="A248" s="33"/>
      <c r="B248" s="13"/>
      <c r="C248" s="8" t="n">
        <v>42094</v>
      </c>
      <c r="D248" s="7" t="n">
        <v>10.7</v>
      </c>
      <c r="E248" s="7" t="n">
        <v>10.6</v>
      </c>
      <c r="F248" s="7" t="n">
        <v>12.9</v>
      </c>
      <c r="G248" s="7" t="n">
        <f aca="false">G247+D248</f>
        <v>1703.1</v>
      </c>
      <c r="H248" s="7" t="n">
        <f aca="false">H247+D248</f>
        <v>232.5</v>
      </c>
      <c r="J248" s="7" t="n">
        <v>0.1</v>
      </c>
      <c r="K248" s="7" t="n">
        <f aca="false">K247+J248</f>
        <v>319.6</v>
      </c>
      <c r="L248" s="7" t="n">
        <v>2.4</v>
      </c>
      <c r="M248" s="7" t="n">
        <f aca="false">M247+L248</f>
        <v>205.7</v>
      </c>
      <c r="N248" s="9" t="n">
        <v>-2.3</v>
      </c>
      <c r="O248" s="7" t="n">
        <f aca="false">O247+N248</f>
        <v>126.8</v>
      </c>
      <c r="P248" s="7" t="n">
        <v>204</v>
      </c>
      <c r="Q248" s="15" t="n">
        <f aca="false">1+((P248-173)/40)*(1.15-1)</f>
        <v>1.11625</v>
      </c>
      <c r="R248" s="10" t="n">
        <f aca="false">Q248*L248</f>
        <v>2.679</v>
      </c>
      <c r="S248" s="10" t="n">
        <f aca="false">J248-R248</f>
        <v>-2.579</v>
      </c>
      <c r="T248" s="10" t="n">
        <f aca="false">MIN(138.9,(T247+S248))</f>
        <v>124.434875</v>
      </c>
      <c r="V248" s="7" t="n">
        <v>858.8</v>
      </c>
      <c r="X248" s="7" t="n">
        <f aca="false">X247+V248</f>
        <v>114236.6</v>
      </c>
      <c r="Y248" s="7" t="n">
        <f aca="false">Y247+V248</f>
        <v>26235.4</v>
      </c>
      <c r="AA248" s="7" t="n">
        <v>12.7816548097634</v>
      </c>
    </row>
    <row r="249" s="7" customFormat="true" ht="15" hidden="false" customHeight="false" outlineLevel="0" collapsed="false">
      <c r="A249" s="33"/>
      <c r="B249" s="13"/>
      <c r="C249" s="8" t="n">
        <v>42095</v>
      </c>
      <c r="D249" s="7" t="n">
        <v>7.7</v>
      </c>
      <c r="E249" s="7" t="n">
        <v>4.4</v>
      </c>
      <c r="F249" s="7" t="n">
        <v>11.1</v>
      </c>
      <c r="G249" s="7" t="n">
        <f aca="false">G248+D249</f>
        <v>1710.8</v>
      </c>
      <c r="H249" s="7" t="n">
        <f aca="false">H248+D249</f>
        <v>240.2</v>
      </c>
      <c r="J249" s="7" t="n">
        <v>0</v>
      </c>
      <c r="K249" s="7" t="n">
        <f aca="false">K248+J249</f>
        <v>319.6</v>
      </c>
      <c r="L249" s="7" t="n">
        <v>2.4</v>
      </c>
      <c r="M249" s="7" t="n">
        <f aca="false">M248+L249</f>
        <v>208.1</v>
      </c>
      <c r="N249" s="9" t="n">
        <v>-2.4</v>
      </c>
      <c r="O249" s="7" t="n">
        <f aca="false">O248+N249</f>
        <v>124.4</v>
      </c>
      <c r="P249" s="7" t="n">
        <v>205</v>
      </c>
      <c r="Q249" s="15" t="n">
        <f aca="false">1+((P249-173)/40)*(1.15-1)</f>
        <v>1.12</v>
      </c>
      <c r="R249" s="10" t="n">
        <f aca="false">Q249*L249</f>
        <v>2.688</v>
      </c>
      <c r="S249" s="10" t="n">
        <f aca="false">J249-R249</f>
        <v>-2.688</v>
      </c>
      <c r="T249" s="10" t="n">
        <f aca="false">MIN(138.9,(T248+S249))</f>
        <v>121.746875</v>
      </c>
      <c r="V249" s="7" t="n">
        <v>1455.9</v>
      </c>
      <c r="X249" s="7" t="n">
        <f aca="false">X248+V249</f>
        <v>115692.5</v>
      </c>
      <c r="Y249" s="7" t="n">
        <f aca="false">Y248+V249</f>
        <v>27691.3</v>
      </c>
      <c r="AA249" s="7" t="n">
        <v>12.8385044944861</v>
      </c>
    </row>
    <row r="250" s="7" customFormat="true" ht="15" hidden="false" customHeight="false" outlineLevel="0" collapsed="false">
      <c r="A250" s="33"/>
      <c r="B250" s="13"/>
      <c r="C250" s="8" t="n">
        <v>42096</v>
      </c>
      <c r="D250" s="7" t="n">
        <v>9.9</v>
      </c>
      <c r="E250" s="7" t="n">
        <v>6.3</v>
      </c>
      <c r="F250" s="7" t="n">
        <v>12.7</v>
      </c>
      <c r="G250" s="7" t="n">
        <f aca="false">G249+D250</f>
        <v>1720.7</v>
      </c>
      <c r="H250" s="7" t="n">
        <f aca="false">H249+D250</f>
        <v>250.1</v>
      </c>
      <c r="J250" s="7" t="n">
        <v>0</v>
      </c>
      <c r="K250" s="7" t="n">
        <f aca="false">K249+J250</f>
        <v>319.6</v>
      </c>
      <c r="L250" s="7" t="n">
        <v>0.9</v>
      </c>
      <c r="M250" s="7" t="n">
        <f aca="false">M249+L250</f>
        <v>209</v>
      </c>
      <c r="N250" s="9" t="n">
        <v>-0.9</v>
      </c>
      <c r="O250" s="7" t="n">
        <f aca="false">O249+N250</f>
        <v>123.5</v>
      </c>
      <c r="P250" s="7" t="n">
        <v>206</v>
      </c>
      <c r="Q250" s="15" t="n">
        <f aca="false">1+((P250-173)/40)*(1.15-1)</f>
        <v>1.12375</v>
      </c>
      <c r="R250" s="10" t="n">
        <f aca="false">Q250*L250</f>
        <v>1.011375</v>
      </c>
      <c r="S250" s="10" t="n">
        <f aca="false">J250-R250</f>
        <v>-1.011375</v>
      </c>
      <c r="T250" s="10" t="n">
        <f aca="false">MIN(138.9,(T249+S250))</f>
        <v>120.7355</v>
      </c>
      <c r="V250" s="7" t="n">
        <v>608</v>
      </c>
      <c r="X250" s="7" t="n">
        <f aca="false">X249+V250</f>
        <v>116300.5</v>
      </c>
      <c r="Y250" s="7" t="n">
        <f aca="false">Y249+V250</f>
        <v>28299.3</v>
      </c>
      <c r="AA250" s="7" t="n">
        <v>12.8952662047489</v>
      </c>
    </row>
    <row r="251" s="7" customFormat="true" ht="15" hidden="false" customHeight="false" outlineLevel="0" collapsed="false">
      <c r="A251" s="33"/>
      <c r="B251" s="13"/>
      <c r="C251" s="8" t="n">
        <v>42097</v>
      </c>
      <c r="D251" s="7" t="n">
        <v>9.8</v>
      </c>
      <c r="E251" s="7" t="n">
        <v>8.7</v>
      </c>
      <c r="F251" s="7" t="n">
        <v>11.1</v>
      </c>
      <c r="G251" s="7" t="n">
        <f aca="false">G250+D251</f>
        <v>1730.5</v>
      </c>
      <c r="H251" s="7" t="n">
        <f aca="false">H250+D251</f>
        <v>259.9</v>
      </c>
      <c r="J251" s="7" t="n">
        <v>4.4</v>
      </c>
      <c r="K251" s="7" t="n">
        <f aca="false">K250+J251</f>
        <v>324</v>
      </c>
      <c r="L251" s="7" t="n">
        <v>0.8</v>
      </c>
      <c r="M251" s="7" t="n">
        <f aca="false">M250+L251</f>
        <v>209.8</v>
      </c>
      <c r="N251" s="7" t="n">
        <v>3.6</v>
      </c>
      <c r="O251" s="7" t="n">
        <f aca="false">O250+N251</f>
        <v>127.1</v>
      </c>
      <c r="P251" s="7" t="n">
        <v>207</v>
      </c>
      <c r="Q251" s="15" t="n">
        <f aca="false">1+((P251-173)/40)*(1.15-1)</f>
        <v>1.1275</v>
      </c>
      <c r="R251" s="10" t="n">
        <f aca="false">Q251*L251</f>
        <v>0.902</v>
      </c>
      <c r="S251" s="10" t="n">
        <f aca="false">J251-R251</f>
        <v>3.498</v>
      </c>
      <c r="T251" s="10" t="n">
        <f aca="false">MIN(138.9,(T250+S251))</f>
        <v>124.2335</v>
      </c>
      <c r="V251" s="7" t="n">
        <v>479.6</v>
      </c>
      <c r="X251" s="7" t="n">
        <f aca="false">X250+V251</f>
        <v>116780.1</v>
      </c>
      <c r="Y251" s="7" t="n">
        <f aca="false">Y250+V251</f>
        <v>28778.9</v>
      </c>
      <c r="AA251" s="7" t="n">
        <v>12.9519330559445</v>
      </c>
    </row>
    <row r="252" s="7" customFormat="true" ht="15" hidden="false" customHeight="false" outlineLevel="0" collapsed="false">
      <c r="A252" s="33"/>
      <c r="B252" s="13"/>
      <c r="C252" s="8" t="n">
        <v>42098</v>
      </c>
      <c r="D252" s="7" t="n">
        <v>8.8</v>
      </c>
      <c r="E252" s="7" t="n">
        <v>8.2</v>
      </c>
      <c r="F252" s="7" t="n">
        <v>11.1</v>
      </c>
      <c r="G252" s="7" t="n">
        <f aca="false">G251+D252</f>
        <v>1739.3</v>
      </c>
      <c r="H252" s="7" t="n">
        <f aca="false">H251+D252</f>
        <v>268.7</v>
      </c>
      <c r="J252" s="7" t="n">
        <v>0.1</v>
      </c>
      <c r="K252" s="7" t="n">
        <f aca="false">K251+J252</f>
        <v>324.1</v>
      </c>
      <c r="L252" s="7" t="n">
        <v>0.8</v>
      </c>
      <c r="M252" s="7" t="n">
        <f aca="false">M251+L252</f>
        <v>210.6</v>
      </c>
      <c r="N252" s="9" t="n">
        <v>-0.7</v>
      </c>
      <c r="O252" s="7" t="n">
        <f aca="false">O251+N252</f>
        <v>126.4</v>
      </c>
      <c r="P252" s="7" t="n">
        <v>208</v>
      </c>
      <c r="Q252" s="15" t="n">
        <f aca="false">1+((P252-173)/40)*(1.15-1)</f>
        <v>1.13125</v>
      </c>
      <c r="R252" s="10" t="n">
        <f aca="false">Q252*L252</f>
        <v>0.905</v>
      </c>
      <c r="S252" s="10" t="n">
        <f aca="false">J252-R252</f>
        <v>-0.805</v>
      </c>
      <c r="T252" s="10" t="n">
        <f aca="false">MIN(138.9,(T251+S252))</f>
        <v>123.4285</v>
      </c>
      <c r="V252" s="7" t="n">
        <v>465.6</v>
      </c>
      <c r="W252" s="36"/>
      <c r="X252" s="36" t="n">
        <f aca="false">X251+V252</f>
        <v>117245.7</v>
      </c>
      <c r="Y252" s="7" t="n">
        <f aca="false">Y251+V252</f>
        <v>29244.5</v>
      </c>
      <c r="AA252" s="7" t="n">
        <v>13.0084979789333</v>
      </c>
    </row>
    <row r="253" s="7" customFormat="true" ht="15" hidden="false" customHeight="true" outlineLevel="0" collapsed="false">
      <c r="A253" s="33"/>
      <c r="B253" s="13"/>
      <c r="C253" s="8" t="n">
        <v>42099</v>
      </c>
      <c r="D253" s="7" t="n">
        <v>5.8</v>
      </c>
      <c r="E253" s="7" t="n">
        <v>1.4</v>
      </c>
      <c r="F253" s="7" t="n">
        <v>9.1</v>
      </c>
      <c r="G253" s="7" t="n">
        <f aca="false">G252+D253</f>
        <v>1745.1</v>
      </c>
      <c r="H253" s="7" t="n">
        <f aca="false">H252+D253</f>
        <v>274.5</v>
      </c>
      <c r="J253" s="7" t="n">
        <v>0</v>
      </c>
      <c r="K253" s="7" t="n">
        <f aca="false">K252+J253</f>
        <v>324.1</v>
      </c>
      <c r="L253" s="7" t="n">
        <v>1.8</v>
      </c>
      <c r="M253" s="7" t="n">
        <f aca="false">M252+L253</f>
        <v>212.4</v>
      </c>
      <c r="N253" s="9" t="n">
        <v>-1.8</v>
      </c>
      <c r="O253" s="7" t="n">
        <f aca="false">O252+N253</f>
        <v>124.6</v>
      </c>
      <c r="P253" s="7" t="n">
        <v>209</v>
      </c>
      <c r="Q253" s="15" t="n">
        <f aca="false">1+((P253-173)/40)*(1.15-1)</f>
        <v>1.135</v>
      </c>
      <c r="R253" s="10" t="n">
        <f aca="false">Q253*L253</f>
        <v>2.043</v>
      </c>
      <c r="S253" s="10" t="n">
        <f aca="false">J253-R253</f>
        <v>-2.043</v>
      </c>
      <c r="T253" s="10" t="n">
        <f aca="false">MIN(138.9,(T252+S253))</f>
        <v>121.3855</v>
      </c>
      <c r="U253" s="37"/>
      <c r="V253" s="7" t="n">
        <v>1352.6</v>
      </c>
      <c r="X253" s="7" t="n">
        <f aca="false">X252+V253</f>
        <v>118598.3</v>
      </c>
      <c r="Y253" s="7" t="n">
        <f aca="false">Y252+V253</f>
        <v>30597.1</v>
      </c>
      <c r="AA253" s="7" t="n">
        <v>13.064953704295</v>
      </c>
    </row>
    <row r="254" s="7" customFormat="true" ht="15" hidden="false" customHeight="false" outlineLevel="0" collapsed="false">
      <c r="A254" s="33"/>
      <c r="B254" s="13"/>
      <c r="C254" s="8" t="n">
        <v>42100</v>
      </c>
      <c r="D254" s="7" t="n">
        <v>7.4</v>
      </c>
      <c r="E254" s="7" t="n">
        <v>0.5</v>
      </c>
      <c r="F254" s="7" t="n">
        <v>12.3</v>
      </c>
      <c r="G254" s="7" t="n">
        <f aca="false">G253+D254</f>
        <v>1752.5</v>
      </c>
      <c r="H254" s="7" t="n">
        <f aca="false">H253+D254</f>
        <v>281.9</v>
      </c>
      <c r="J254" s="7" t="n">
        <v>0</v>
      </c>
      <c r="K254" s="7" t="n">
        <f aca="false">K253+J254</f>
        <v>324.1</v>
      </c>
      <c r="L254" s="7" t="n">
        <v>2.9</v>
      </c>
      <c r="M254" s="7" t="n">
        <f aca="false">M253+L254</f>
        <v>215.3</v>
      </c>
      <c r="N254" s="9" t="n">
        <v>-2.9</v>
      </c>
      <c r="O254" s="7" t="n">
        <f aca="false">O253+N254</f>
        <v>121.7</v>
      </c>
      <c r="P254" s="7" t="n">
        <v>210</v>
      </c>
      <c r="Q254" s="15" t="n">
        <f aca="false">1+((P254-173)/40)*(1.15-1)</f>
        <v>1.13875</v>
      </c>
      <c r="R254" s="10" t="n">
        <f aca="false">Q254*L254</f>
        <v>3.302375</v>
      </c>
      <c r="S254" s="10" t="n">
        <f aca="false">J254-R254</f>
        <v>-3.302375</v>
      </c>
      <c r="T254" s="10" t="n">
        <f aca="false">MIN(138.9,(T253+S254))</f>
        <v>118.083125</v>
      </c>
      <c r="V254" s="7" t="n">
        <v>2223.2</v>
      </c>
      <c r="X254" s="7" t="n">
        <f aca="false">X253+V254</f>
        <v>120821.5</v>
      </c>
      <c r="Y254" s="7" t="n">
        <f aca="false">Y253+V254</f>
        <v>32820.3</v>
      </c>
      <c r="AA254" s="7" t="n">
        <v>13.1212927466938</v>
      </c>
    </row>
    <row r="255" s="7" customFormat="true" ht="15" hidden="false" customHeight="false" outlineLevel="0" collapsed="false">
      <c r="A255" s="33"/>
      <c r="B255" s="13"/>
      <c r="C255" s="8" t="n">
        <v>42101</v>
      </c>
      <c r="D255" s="7" t="n">
        <v>9.1</v>
      </c>
      <c r="E255" s="7" t="n">
        <v>1.5</v>
      </c>
      <c r="F255" s="7" t="n">
        <v>14.6</v>
      </c>
      <c r="G255" s="7" t="n">
        <f aca="false">G254+D255</f>
        <v>1761.6</v>
      </c>
      <c r="H255" s="7" t="n">
        <f aca="false">H254+D255</f>
        <v>291</v>
      </c>
      <c r="J255" s="7" t="n">
        <v>0</v>
      </c>
      <c r="K255" s="7" t="n">
        <f aca="false">K254+J255</f>
        <v>324.1</v>
      </c>
      <c r="L255" s="7" t="n">
        <v>3.5</v>
      </c>
      <c r="M255" s="7" t="n">
        <f aca="false">M254+L255</f>
        <v>218.8</v>
      </c>
      <c r="N255" s="9" t="n">
        <v>-3.5</v>
      </c>
      <c r="O255" s="7" t="n">
        <f aca="false">O254+N255</f>
        <v>118.2</v>
      </c>
      <c r="P255" s="7" t="n">
        <v>211</v>
      </c>
      <c r="Q255" s="15" t="n">
        <f aca="false">1+((P255-173)/40)*(1.15-1)</f>
        <v>1.1425</v>
      </c>
      <c r="R255" s="10" t="n">
        <f aca="false">Q255*L255</f>
        <v>3.99875</v>
      </c>
      <c r="S255" s="10" t="n">
        <f aca="false">J255-R255</f>
        <v>-3.99875</v>
      </c>
      <c r="T255" s="10" t="n">
        <f aca="false">MIN(138.9,(T254+S255))</f>
        <v>114.084375</v>
      </c>
      <c r="V255" s="7" t="n">
        <v>2273</v>
      </c>
      <c r="X255" s="7" t="n">
        <f aca="false">X254+V255</f>
        <v>123094.5</v>
      </c>
      <c r="Y255" s="7" t="n">
        <f aca="false">Y254+V255</f>
        <v>35093.3</v>
      </c>
      <c r="AA255" s="7" t="n">
        <v>13.1775073893659</v>
      </c>
    </row>
    <row r="256" s="7" customFormat="true" ht="15" hidden="false" customHeight="false" outlineLevel="0" collapsed="false">
      <c r="A256" s="33"/>
      <c r="B256" s="13"/>
      <c r="C256" s="8" t="n">
        <v>42102</v>
      </c>
      <c r="D256" s="7" t="n">
        <v>10.2</v>
      </c>
      <c r="E256" s="7" t="n">
        <v>0.3</v>
      </c>
      <c r="F256" s="7" t="n">
        <v>16.8</v>
      </c>
      <c r="G256" s="7" t="n">
        <f aca="false">G255+D256</f>
        <v>1771.8</v>
      </c>
      <c r="H256" s="7" t="n">
        <f aca="false">H255+D256</f>
        <v>301.2</v>
      </c>
      <c r="J256" s="7" t="n">
        <v>0</v>
      </c>
      <c r="K256" s="7" t="n">
        <f aca="false">K255+J256</f>
        <v>324.1</v>
      </c>
      <c r="L256" s="7" t="n">
        <v>3.7</v>
      </c>
      <c r="M256" s="7" t="n">
        <f aca="false">M255+L256</f>
        <v>222.5</v>
      </c>
      <c r="N256" s="9" t="n">
        <v>-3.7</v>
      </c>
      <c r="O256" s="7" t="n">
        <f aca="false">O255+N256</f>
        <v>114.5</v>
      </c>
      <c r="P256" s="7" t="n">
        <v>212</v>
      </c>
      <c r="Q256" s="15" t="n">
        <f aca="false">1+((P256-173)/40)*(1.15-1)</f>
        <v>1.14625</v>
      </c>
      <c r="R256" s="10" t="n">
        <f aca="false">Q256*L256</f>
        <v>4.241125</v>
      </c>
      <c r="S256" s="10" t="n">
        <f aca="false">J256-R256</f>
        <v>-4.241125</v>
      </c>
      <c r="T256" s="10" t="n">
        <f aca="false">MIN(138.9,(T255+S256))</f>
        <v>109.84325</v>
      </c>
      <c r="V256" s="7" t="n">
        <v>2336.2</v>
      </c>
      <c r="X256" s="7" t="n">
        <f aca="false">X255+V256</f>
        <v>125430.7</v>
      </c>
      <c r="Y256" s="7" t="n">
        <f aca="false">Y255+V256</f>
        <v>37429.5</v>
      </c>
      <c r="AA256" s="7" t="n">
        <v>13.2335896687428</v>
      </c>
    </row>
    <row r="257" s="18" customFormat="true" ht="15" hidden="false" customHeight="false" outlineLevel="0" collapsed="false">
      <c r="A257" s="33"/>
      <c r="B257" s="16"/>
      <c r="C257" s="17" t="n">
        <v>42103</v>
      </c>
      <c r="D257" s="18" t="n">
        <v>11.9</v>
      </c>
      <c r="E257" s="18" t="n">
        <v>1.5</v>
      </c>
      <c r="F257" s="18" t="n">
        <v>20.6</v>
      </c>
      <c r="G257" s="18" t="n">
        <f aca="false">G256+D257</f>
        <v>1783.7</v>
      </c>
      <c r="H257" s="18" t="n">
        <f aca="false">H256+D257</f>
        <v>313.1</v>
      </c>
      <c r="J257" s="18" t="n">
        <v>0</v>
      </c>
      <c r="K257" s="18" t="n">
        <f aca="false">K256+J257</f>
        <v>324.1</v>
      </c>
      <c r="L257" s="18" t="n">
        <v>3.7</v>
      </c>
      <c r="M257" s="18" t="n">
        <f aca="false">M256+L257</f>
        <v>226.2</v>
      </c>
      <c r="N257" s="19" t="n">
        <v>-3.7</v>
      </c>
      <c r="O257" s="18" t="n">
        <f aca="false">O256+N257</f>
        <v>110.8</v>
      </c>
      <c r="P257" s="18" t="n">
        <v>213</v>
      </c>
      <c r="Q257" s="38" t="n">
        <f aca="false">1+((P257-173)/40)*(1.15-1)</f>
        <v>1.15</v>
      </c>
      <c r="R257" s="20" t="n">
        <f aca="false">Q257*L257</f>
        <v>4.255</v>
      </c>
      <c r="S257" s="20" t="n">
        <f aca="false">J257-R257</f>
        <v>-4.255</v>
      </c>
      <c r="T257" s="20" t="n">
        <f aca="false">MIN(138.9,(T256+S257))</f>
        <v>105.58825</v>
      </c>
      <c r="V257" s="18" t="n">
        <v>2265.3</v>
      </c>
      <c r="X257" s="18" t="n">
        <f aca="false">X256+V257</f>
        <v>127696</v>
      </c>
      <c r="Y257" s="18" t="n">
        <f aca="false">Y256+V257</f>
        <v>39694.8</v>
      </c>
      <c r="AA257" s="18" t="n">
        <v>13.2895313592252</v>
      </c>
    </row>
    <row r="258" s="7" customFormat="true" ht="15" hidden="false" customHeight="false" outlineLevel="0" collapsed="false">
      <c r="A258" s="39" t="s">
        <v>55</v>
      </c>
      <c r="C258" s="8" t="n">
        <v>42104</v>
      </c>
      <c r="D258" s="7" t="n">
        <v>12.4</v>
      </c>
      <c r="E258" s="7" t="n">
        <v>5.3</v>
      </c>
      <c r="F258" s="7" t="n">
        <v>19</v>
      </c>
      <c r="G258" s="7" t="n">
        <f aca="false">G257+D258</f>
        <v>1796.1</v>
      </c>
      <c r="H258" s="7" t="n">
        <v>12.4</v>
      </c>
      <c r="I258" s="40" t="s">
        <v>28</v>
      </c>
      <c r="J258" s="7" t="n">
        <v>0.7</v>
      </c>
      <c r="K258" s="7" t="n">
        <f aca="false">K257+J258</f>
        <v>324.8</v>
      </c>
      <c r="L258" s="7" t="n">
        <v>3</v>
      </c>
      <c r="M258" s="7" t="n">
        <f aca="false">M257+L258</f>
        <v>229.2</v>
      </c>
      <c r="N258" s="9" t="n">
        <v>-2.3</v>
      </c>
      <c r="O258" s="7" t="n">
        <f aca="false">O257+N258</f>
        <v>108.5</v>
      </c>
      <c r="P258" s="7" t="n">
        <v>214</v>
      </c>
      <c r="Q258" s="7" t="n">
        <v>1.15</v>
      </c>
      <c r="R258" s="10" t="n">
        <f aca="false">Q258*L258</f>
        <v>3.45</v>
      </c>
      <c r="S258" s="10" t="n">
        <f aca="false">J258-R258</f>
        <v>-2.75</v>
      </c>
      <c r="T258" s="10" t="n">
        <f aca="false">MIN(138.9,(T257+S258))</f>
        <v>102.83825</v>
      </c>
      <c r="U258" s="40" t="s">
        <v>29</v>
      </c>
      <c r="V258" s="7" t="n">
        <v>1740.8</v>
      </c>
      <c r="X258" s="7" t="n">
        <f aca="false">X257+V258</f>
        <v>129436.8</v>
      </c>
      <c r="Y258" s="7" t="n">
        <v>1740.8</v>
      </c>
      <c r="Z258" s="40" t="s">
        <v>30</v>
      </c>
      <c r="AA258" s="7" t="n">
        <v>13.3453239581242</v>
      </c>
    </row>
    <row r="259" s="7" customFormat="true" ht="15" hidden="false" customHeight="false" outlineLevel="0" collapsed="false">
      <c r="A259" s="39"/>
      <c r="C259" s="8" t="n">
        <v>42105</v>
      </c>
      <c r="D259" s="7" t="n">
        <v>12.3</v>
      </c>
      <c r="E259" s="7" t="n">
        <v>10.3</v>
      </c>
      <c r="F259" s="7" t="n">
        <v>14.5</v>
      </c>
      <c r="G259" s="7" t="n">
        <f aca="false">G258+D259</f>
        <v>1808.4</v>
      </c>
      <c r="H259" s="7" t="n">
        <f aca="false">H258+D259</f>
        <v>24.7</v>
      </c>
      <c r="I259" s="7" t="n">
        <f aca="false">MIN(E258:E278)</f>
        <v>3</v>
      </c>
      <c r="J259" s="7" t="n">
        <v>0.2</v>
      </c>
      <c r="K259" s="7" t="n">
        <f aca="false">K258+J259</f>
        <v>325</v>
      </c>
      <c r="L259" s="7" t="n">
        <v>1.1</v>
      </c>
      <c r="M259" s="7" t="n">
        <f aca="false">M258+L259</f>
        <v>230.3</v>
      </c>
      <c r="N259" s="9" t="n">
        <v>-0.9</v>
      </c>
      <c r="O259" s="7" t="n">
        <f aca="false">O258+N259</f>
        <v>107.6</v>
      </c>
      <c r="P259" s="7" t="n">
        <v>215</v>
      </c>
      <c r="Q259" s="7" t="n">
        <v>1.15</v>
      </c>
      <c r="R259" s="10" t="n">
        <f aca="false">Q259*L259</f>
        <v>1.265</v>
      </c>
      <c r="S259" s="10" t="n">
        <f aca="false">J259-R259</f>
        <v>-1.065</v>
      </c>
      <c r="T259" s="10" t="n">
        <f aca="false">MIN(138.9,(T258+S259))</f>
        <v>101.77325</v>
      </c>
      <c r="U259" s="7" t="n">
        <v>17</v>
      </c>
      <c r="V259" s="7" t="n">
        <v>552.4</v>
      </c>
      <c r="X259" s="7" t="n">
        <f aca="false">X258+V259</f>
        <v>129989.2</v>
      </c>
      <c r="Y259" s="7" t="n">
        <f aca="false">Y258+V259</f>
        <v>2293.2</v>
      </c>
      <c r="Z259" s="7" t="n">
        <v>34049</v>
      </c>
      <c r="AA259" s="7" t="n">
        <v>13.4009586707903</v>
      </c>
    </row>
    <row r="260" s="7" customFormat="true" ht="15" hidden="false" customHeight="false" outlineLevel="0" collapsed="false">
      <c r="A260" s="39" t="s">
        <v>56</v>
      </c>
      <c r="C260" s="8" t="n">
        <v>42106</v>
      </c>
      <c r="D260" s="7" t="n">
        <v>13.1</v>
      </c>
      <c r="E260" s="7" t="n">
        <v>8</v>
      </c>
      <c r="F260" s="7" t="n">
        <v>18.2</v>
      </c>
      <c r="G260" s="7" t="n">
        <f aca="false">G259+D260</f>
        <v>1821.5</v>
      </c>
      <c r="H260" s="7" t="n">
        <f aca="false">H259+D260</f>
        <v>37.8</v>
      </c>
      <c r="I260" s="40" t="s">
        <v>31</v>
      </c>
      <c r="J260" s="7" t="n">
        <v>0</v>
      </c>
      <c r="K260" s="7" t="n">
        <f aca="false">K259+J260</f>
        <v>325</v>
      </c>
      <c r="L260" s="7" t="n">
        <v>2.9</v>
      </c>
      <c r="M260" s="7" t="n">
        <f aca="false">M259+L260</f>
        <v>233.2</v>
      </c>
      <c r="N260" s="9" t="n">
        <v>-2.9</v>
      </c>
      <c r="O260" s="7" t="n">
        <f aca="false">O259+N260</f>
        <v>104.7</v>
      </c>
      <c r="P260" s="7" t="n">
        <v>216</v>
      </c>
      <c r="Q260" s="7" t="n">
        <v>1.15</v>
      </c>
      <c r="R260" s="10" t="n">
        <f aca="false">Q260*L260</f>
        <v>3.335</v>
      </c>
      <c r="S260" s="10" t="n">
        <f aca="false">J260-R260</f>
        <v>-3.335</v>
      </c>
      <c r="T260" s="10" t="n">
        <f aca="false">MIN(138.9,(T259+S260))</f>
        <v>98.43825</v>
      </c>
      <c r="U260" s="40" t="s">
        <v>32</v>
      </c>
      <c r="V260" s="7" t="n">
        <v>1692.8</v>
      </c>
      <c r="X260" s="7" t="n">
        <f aca="false">X259+V260</f>
        <v>131682</v>
      </c>
      <c r="Y260" s="7" t="n">
        <f aca="false">Y259+V260</f>
        <v>3986</v>
      </c>
      <c r="Z260" s="40" t="s">
        <v>33</v>
      </c>
      <c r="AA260" s="7" t="n">
        <v>13.456426395952</v>
      </c>
    </row>
    <row r="261" s="7" customFormat="true" ht="15" hidden="false" customHeight="false" outlineLevel="0" collapsed="false">
      <c r="A261" s="39"/>
      <c r="C261" s="8" t="n">
        <v>42107</v>
      </c>
      <c r="D261" s="7" t="n">
        <v>13.1</v>
      </c>
      <c r="E261" s="7" t="n">
        <v>4.8</v>
      </c>
      <c r="F261" s="7" t="n">
        <v>20.2</v>
      </c>
      <c r="G261" s="7" t="n">
        <f aca="false">G260+D261</f>
        <v>1834.6</v>
      </c>
      <c r="H261" s="7" t="n">
        <f aca="false">H260+D261</f>
        <v>50.9</v>
      </c>
      <c r="I261" s="7" t="n">
        <f aca="false">MAX(F258:F278)</f>
        <v>25.5</v>
      </c>
      <c r="J261" s="7" t="n">
        <v>0</v>
      </c>
      <c r="K261" s="7" t="n">
        <f aca="false">K260+J261</f>
        <v>325</v>
      </c>
      <c r="L261" s="7" t="n">
        <v>3.6</v>
      </c>
      <c r="M261" s="7" t="n">
        <f aca="false">M260+L261</f>
        <v>236.8</v>
      </c>
      <c r="N261" s="9" t="n">
        <v>-3.6</v>
      </c>
      <c r="O261" s="7" t="n">
        <f aca="false">O260+N261</f>
        <v>101.1</v>
      </c>
      <c r="P261" s="7" t="n">
        <v>217</v>
      </c>
      <c r="Q261" s="7" t="n">
        <v>1.15</v>
      </c>
      <c r="R261" s="10" t="n">
        <f aca="false">Q261*L261</f>
        <v>4.14</v>
      </c>
      <c r="S261" s="10" t="n">
        <f aca="false">J261-R261</f>
        <v>-4.14</v>
      </c>
      <c r="T261" s="10" t="n">
        <f aca="false">MIN(138.9,(T260+S261))</f>
        <v>94.29825</v>
      </c>
      <c r="U261" s="7" t="n">
        <v>0</v>
      </c>
      <c r="V261" s="7" t="n">
        <v>2154.7</v>
      </c>
      <c r="X261" s="7" t="n">
        <f aca="false">X260+V261</f>
        <v>133836.7</v>
      </c>
      <c r="Y261" s="7" t="n">
        <f aca="false">Y260+V261</f>
        <v>6140.7</v>
      </c>
      <c r="Z261" s="15" t="n">
        <f aca="false">(Z259/100)/I271</f>
        <v>1.26811918063315</v>
      </c>
      <c r="AA261" s="7" t="n">
        <v>13.5117177112891</v>
      </c>
    </row>
    <row r="262" s="7" customFormat="true" ht="15" hidden="false" customHeight="false" outlineLevel="0" collapsed="false">
      <c r="A262" s="39"/>
      <c r="C262" s="8" t="n">
        <v>42108</v>
      </c>
      <c r="D262" s="7" t="n">
        <v>15.3</v>
      </c>
      <c r="E262" s="7" t="n">
        <v>5.8</v>
      </c>
      <c r="F262" s="7" t="n">
        <v>24</v>
      </c>
      <c r="G262" s="7" t="n">
        <f aca="false">G261+D262</f>
        <v>1849.9</v>
      </c>
      <c r="H262" s="7" t="n">
        <f aca="false">H261+D262</f>
        <v>66.2</v>
      </c>
      <c r="I262" s="40" t="s">
        <v>34</v>
      </c>
      <c r="J262" s="7" t="n">
        <v>0</v>
      </c>
      <c r="K262" s="7" t="n">
        <f aca="false">K261+J262</f>
        <v>325</v>
      </c>
      <c r="L262" s="7" t="n">
        <v>4.5</v>
      </c>
      <c r="M262" s="7" t="n">
        <f aca="false">M261+L262</f>
        <v>241.3</v>
      </c>
      <c r="N262" s="9" t="n">
        <v>-4.5</v>
      </c>
      <c r="O262" s="7" t="n">
        <f aca="false">O261+N262</f>
        <v>96.6</v>
      </c>
      <c r="P262" s="7" t="n">
        <v>218</v>
      </c>
      <c r="Q262" s="7" t="n">
        <v>1.15</v>
      </c>
      <c r="R262" s="10" t="n">
        <f aca="false">Q262*L262</f>
        <v>5.175</v>
      </c>
      <c r="S262" s="10" t="n">
        <f aca="false">J262-R262</f>
        <v>-5.175</v>
      </c>
      <c r="T262" s="10" t="n">
        <f aca="false">MIN(138.9,(T261+S262))</f>
        <v>89.12325</v>
      </c>
      <c r="U262" s="40" t="s">
        <v>35</v>
      </c>
      <c r="V262" s="7" t="n">
        <v>2254.8</v>
      </c>
      <c r="X262" s="7" t="n">
        <f aca="false">X261+V262</f>
        <v>136091.5</v>
      </c>
      <c r="Y262" s="7" t="n">
        <f aca="false">Y261+V262</f>
        <v>8395.5</v>
      </c>
      <c r="Z262" s="40" t="s">
        <v>36</v>
      </c>
      <c r="AA262" s="7" t="n">
        <v>13.5668228592686</v>
      </c>
    </row>
    <row r="263" s="7" customFormat="true" ht="15" hidden="false" customHeight="false" outlineLevel="0" collapsed="false">
      <c r="A263" s="39"/>
      <c r="C263" s="8" t="n">
        <v>42109</v>
      </c>
      <c r="D263" s="7" t="n">
        <v>16.8</v>
      </c>
      <c r="E263" s="7" t="n">
        <v>6.9</v>
      </c>
      <c r="F263" s="7" t="n">
        <v>25.5</v>
      </c>
      <c r="G263" s="7" t="n">
        <f aca="false">G262+D263</f>
        <v>1866.7</v>
      </c>
      <c r="H263" s="7" t="n">
        <f aca="false">H262+D263</f>
        <v>83</v>
      </c>
      <c r="I263" s="15" t="n">
        <f aca="false">AVERAGE(D258:D278)</f>
        <v>12.7857142857143</v>
      </c>
      <c r="J263" s="7" t="n">
        <v>0</v>
      </c>
      <c r="K263" s="7" t="n">
        <f aca="false">K262+J263</f>
        <v>325</v>
      </c>
      <c r="L263" s="7" t="n">
        <v>4.1</v>
      </c>
      <c r="M263" s="7" t="n">
        <f aca="false">M262+L263</f>
        <v>245.4</v>
      </c>
      <c r="N263" s="9" t="n">
        <v>-4.1</v>
      </c>
      <c r="O263" s="7" t="n">
        <f aca="false">O262+N263</f>
        <v>92.5</v>
      </c>
      <c r="P263" s="7" t="n">
        <v>219</v>
      </c>
      <c r="Q263" s="7" t="n">
        <v>1.15</v>
      </c>
      <c r="R263" s="10" t="n">
        <f aca="false">Q263*L263</f>
        <v>4.715</v>
      </c>
      <c r="S263" s="10" t="n">
        <f aca="false">J263-R263</f>
        <v>-4.715</v>
      </c>
      <c r="T263" s="10" t="n">
        <f aca="false">MIN(138.9,(T262+S263))</f>
        <v>84.40825</v>
      </c>
      <c r="U263" s="7" t="n">
        <v>0</v>
      </c>
      <c r="V263" s="7" t="n">
        <v>2161.6</v>
      </c>
      <c r="X263" s="7" t="n">
        <f aca="false">X262+V263</f>
        <v>138253.1</v>
      </c>
      <c r="Y263" s="7" t="n">
        <f aca="false">Y262+V263</f>
        <v>10557.1</v>
      </c>
      <c r="Z263" s="7" t="n">
        <v>5</v>
      </c>
      <c r="AA263" s="7" t="n">
        <v>13.6217317332759</v>
      </c>
    </row>
    <row r="264" s="7" customFormat="true" ht="15" hidden="false" customHeight="false" outlineLevel="0" collapsed="false">
      <c r="A264" s="39"/>
      <c r="C264" s="8" t="n">
        <v>42110</v>
      </c>
      <c r="D264" s="7" t="n">
        <v>13.8</v>
      </c>
      <c r="E264" s="7" t="n">
        <v>9</v>
      </c>
      <c r="F264" s="7" t="n">
        <v>19.9</v>
      </c>
      <c r="G264" s="7" t="n">
        <f aca="false">G263+D264</f>
        <v>1880.5</v>
      </c>
      <c r="H264" s="7" t="n">
        <f aca="false">H263+D264</f>
        <v>96.8</v>
      </c>
      <c r="I264" s="40" t="s">
        <v>37</v>
      </c>
      <c r="J264" s="7" t="n">
        <v>0</v>
      </c>
      <c r="K264" s="7" t="n">
        <f aca="false">K263+J264</f>
        <v>325</v>
      </c>
      <c r="L264" s="7" t="n">
        <v>2.2</v>
      </c>
      <c r="M264" s="7" t="n">
        <f aca="false">M263+L264</f>
        <v>247.6</v>
      </c>
      <c r="N264" s="9" t="n">
        <v>-2.2</v>
      </c>
      <c r="O264" s="7" t="n">
        <f aca="false">O263+N264</f>
        <v>90.3</v>
      </c>
      <c r="P264" s="7" t="n">
        <v>220</v>
      </c>
      <c r="Q264" s="7" t="n">
        <v>1.15</v>
      </c>
      <c r="R264" s="10" t="n">
        <f aca="false">Q264*L264</f>
        <v>2.53</v>
      </c>
      <c r="S264" s="10" t="n">
        <f aca="false">J264-R264</f>
        <v>-2.53</v>
      </c>
      <c r="T264" s="10" t="n">
        <f aca="false">MIN(138.9,(T263+S264))</f>
        <v>81.87825</v>
      </c>
      <c r="U264" s="40" t="s">
        <v>38</v>
      </c>
      <c r="V264" s="7" t="n">
        <v>1016.8</v>
      </c>
      <c r="X264" s="7" t="n">
        <f aca="false">X263+V264</f>
        <v>139269.9</v>
      </c>
      <c r="Y264" s="7" t="n">
        <f aca="false">Y263+V264</f>
        <v>11573.9</v>
      </c>
      <c r="AA264" s="7" t="n">
        <v>13.6764338640728</v>
      </c>
    </row>
    <row r="265" s="7" customFormat="true" ht="15" hidden="false" customHeight="false" outlineLevel="0" collapsed="false">
      <c r="A265" s="39"/>
      <c r="C265" s="8" t="n">
        <v>42111</v>
      </c>
      <c r="D265" s="7" t="n">
        <v>13.2</v>
      </c>
      <c r="E265" s="7" t="n">
        <v>10.5</v>
      </c>
      <c r="F265" s="7" t="n">
        <v>15.5</v>
      </c>
      <c r="G265" s="7" t="n">
        <f aca="false">G264+D265</f>
        <v>1893.7</v>
      </c>
      <c r="H265" s="7" t="n">
        <f aca="false">H264+D265</f>
        <v>110</v>
      </c>
      <c r="I265" s="7" t="n">
        <v>0</v>
      </c>
      <c r="J265" s="7" t="n">
        <v>4.2</v>
      </c>
      <c r="K265" s="7" t="n">
        <f aca="false">K264+J265</f>
        <v>329.2</v>
      </c>
      <c r="L265" s="7" t="n">
        <v>1.3</v>
      </c>
      <c r="M265" s="7" t="n">
        <f aca="false">M264+L265</f>
        <v>248.9</v>
      </c>
      <c r="N265" s="7" t="n">
        <v>2.9</v>
      </c>
      <c r="O265" s="7" t="n">
        <f aca="false">O264+N265</f>
        <v>93.2</v>
      </c>
      <c r="P265" s="7" t="n">
        <v>221</v>
      </c>
      <c r="Q265" s="7" t="n">
        <v>1.15</v>
      </c>
      <c r="R265" s="10" t="n">
        <f aca="false">Q265*L265</f>
        <v>1.495</v>
      </c>
      <c r="S265" s="10" t="n">
        <f aca="false">J265-R265</f>
        <v>2.705</v>
      </c>
      <c r="T265" s="10" t="n">
        <f aca="false">MIN(138.9,(T264+S265))</f>
        <v>84.58325</v>
      </c>
      <c r="U265" s="10" t="n">
        <f aca="false">MIN(T258:T278)</f>
        <v>54.90825</v>
      </c>
      <c r="V265" s="7" t="n">
        <v>670.7</v>
      </c>
      <c r="X265" s="7" t="n">
        <f aca="false">X264+V265</f>
        <v>139940.6</v>
      </c>
      <c r="Y265" s="7" t="n">
        <f aca="false">Y264+V265</f>
        <v>12244.6</v>
      </c>
      <c r="AA265" s="7" t="n">
        <v>13.7309184066232</v>
      </c>
    </row>
    <row r="266" s="7" customFormat="true" ht="15" hidden="false" customHeight="false" outlineLevel="0" collapsed="false">
      <c r="A266" s="39"/>
      <c r="C266" s="8" t="n">
        <v>42112</v>
      </c>
      <c r="D266" s="7" t="n">
        <v>11.9</v>
      </c>
      <c r="E266" s="7" t="n">
        <v>8.4</v>
      </c>
      <c r="F266" s="7" t="n">
        <v>15.7</v>
      </c>
      <c r="G266" s="7" t="n">
        <f aca="false">G265+D266</f>
        <v>1905.6</v>
      </c>
      <c r="H266" s="7" t="n">
        <f aca="false">H265+D266</f>
        <v>121.9</v>
      </c>
      <c r="I266" s="40" t="s">
        <v>39</v>
      </c>
      <c r="J266" s="7" t="n">
        <v>0</v>
      </c>
      <c r="K266" s="7" t="n">
        <f aca="false">K265+J266</f>
        <v>329.2</v>
      </c>
      <c r="L266" s="7" t="n">
        <v>3.7</v>
      </c>
      <c r="M266" s="7" t="n">
        <f aca="false">M265+L266</f>
        <v>252.6</v>
      </c>
      <c r="N266" s="9" t="n">
        <v>-3.7</v>
      </c>
      <c r="O266" s="7" t="n">
        <f aca="false">O265+N266</f>
        <v>89.5</v>
      </c>
      <c r="P266" s="7" t="n">
        <v>222</v>
      </c>
      <c r="Q266" s="7" t="n">
        <v>1.15</v>
      </c>
      <c r="R266" s="10" t="n">
        <f aca="false">Q266*L266</f>
        <v>4.255</v>
      </c>
      <c r="S266" s="10" t="n">
        <f aca="false">J266-R266</f>
        <v>-4.255</v>
      </c>
      <c r="T266" s="10" t="n">
        <f aca="false">MIN(138.9,(T265+S266))</f>
        <v>80.32825</v>
      </c>
      <c r="U266" s="40" t="s">
        <v>40</v>
      </c>
      <c r="V266" s="7" t="n">
        <v>2002.4</v>
      </c>
      <c r="X266" s="7" t="n">
        <f aca="false">X265+V266</f>
        <v>141943</v>
      </c>
      <c r="Y266" s="7" t="n">
        <f aca="false">Y265+V266</f>
        <v>14247</v>
      </c>
      <c r="AA266" s="7" t="n">
        <v>13.7851741273252</v>
      </c>
    </row>
    <row r="267" s="7" customFormat="true" ht="15" hidden="false" customHeight="false" outlineLevel="0" collapsed="false">
      <c r="A267" s="39"/>
      <c r="C267" s="8" t="n">
        <v>42113</v>
      </c>
      <c r="D267" s="7" t="n">
        <v>11.2</v>
      </c>
      <c r="E267" s="7" t="n">
        <v>4.3</v>
      </c>
      <c r="F267" s="7" t="n">
        <v>16.4</v>
      </c>
      <c r="G267" s="7" t="n">
        <f aca="false">G266+D267</f>
        <v>1916.8</v>
      </c>
      <c r="H267" s="7" t="n">
        <f aca="false">H266+D267</f>
        <v>133.1</v>
      </c>
      <c r="I267" s="7" t="n">
        <v>1</v>
      </c>
      <c r="J267" s="7" t="n">
        <v>0</v>
      </c>
      <c r="K267" s="7" t="n">
        <f aca="false">K266+J267</f>
        <v>329.2</v>
      </c>
      <c r="L267" s="7" t="n">
        <v>4</v>
      </c>
      <c r="M267" s="7" t="n">
        <f aca="false">M266+L267</f>
        <v>256.6</v>
      </c>
      <c r="N267" s="9" t="n">
        <v>-4</v>
      </c>
      <c r="O267" s="7" t="n">
        <f aca="false">O266+N267</f>
        <v>85.5</v>
      </c>
      <c r="P267" s="7" t="n">
        <v>223</v>
      </c>
      <c r="Q267" s="7" t="n">
        <v>1.15</v>
      </c>
      <c r="R267" s="10" t="n">
        <f aca="false">Q267*L267</f>
        <v>4.6</v>
      </c>
      <c r="S267" s="10" t="n">
        <f aca="false">J267-R267</f>
        <v>-4.6</v>
      </c>
      <c r="T267" s="10" t="n">
        <f aca="false">MIN(138.9,(T266+S267))</f>
        <v>75.72825</v>
      </c>
      <c r="U267" s="10" t="n">
        <f aca="false">MAX(T258:T278)</f>
        <v>107.68325</v>
      </c>
      <c r="V267" s="7" t="n">
        <v>2497.4</v>
      </c>
      <c r="X267" s="7" t="n">
        <f aca="false">X266+V267</f>
        <v>144440.4</v>
      </c>
      <c r="Y267" s="7" t="n">
        <f aca="false">Y266+V267</f>
        <v>16744.4</v>
      </c>
      <c r="AA267" s="7" t="n">
        <v>13.8391893916956</v>
      </c>
    </row>
    <row r="268" s="7" customFormat="true" ht="15" hidden="false" customHeight="false" outlineLevel="0" collapsed="false">
      <c r="A268" s="39"/>
      <c r="C268" s="8" t="n">
        <v>42114</v>
      </c>
      <c r="D268" s="7" t="n">
        <v>13.1</v>
      </c>
      <c r="E268" s="7" t="n">
        <v>5.6</v>
      </c>
      <c r="F268" s="7" t="n">
        <v>19.7</v>
      </c>
      <c r="G268" s="7" t="n">
        <f aca="false">G267+D268</f>
        <v>1929.9</v>
      </c>
      <c r="H268" s="7" t="n">
        <f aca="false">H267+D268</f>
        <v>146.2</v>
      </c>
      <c r="I268" s="40" t="s">
        <v>41</v>
      </c>
      <c r="J268" s="7" t="n">
        <v>0</v>
      </c>
      <c r="K268" s="7" t="n">
        <f aca="false">K267+J268</f>
        <v>329.2</v>
      </c>
      <c r="L268" s="7" t="n">
        <v>3.4</v>
      </c>
      <c r="M268" s="7" t="n">
        <f aca="false">M267+L268</f>
        <v>260</v>
      </c>
      <c r="N268" s="9" t="n">
        <v>-3.4</v>
      </c>
      <c r="O268" s="7" t="n">
        <f aca="false">O267+N268</f>
        <v>82.1</v>
      </c>
      <c r="P268" s="7" t="n">
        <v>224</v>
      </c>
      <c r="Q268" s="7" t="n">
        <v>1.15</v>
      </c>
      <c r="R268" s="10" t="n">
        <f aca="false">Q268*L268</f>
        <v>3.91</v>
      </c>
      <c r="S268" s="10" t="n">
        <f aca="false">J268-R268</f>
        <v>-3.91</v>
      </c>
      <c r="T268" s="10" t="n">
        <f aca="false">MIN(138.9,(T267+S268))</f>
        <v>71.81825</v>
      </c>
      <c r="U268" s="40" t="s">
        <v>42</v>
      </c>
      <c r="V268" s="7" t="n">
        <v>1984.9</v>
      </c>
      <c r="X268" s="7" t="n">
        <f aca="false">X267+V268</f>
        <v>146425.3</v>
      </c>
      <c r="Y268" s="7" t="n">
        <f aca="false">Y267+V268</f>
        <v>18729.3</v>
      </c>
      <c r="AA268" s="7" t="n">
        <v>13.8929521525551</v>
      </c>
    </row>
    <row r="269" s="7" customFormat="true" ht="15" hidden="false" customHeight="false" outlineLevel="0" collapsed="false">
      <c r="A269" s="39"/>
      <c r="C269" s="8" t="n">
        <v>42115</v>
      </c>
      <c r="D269" s="7" t="n">
        <v>14.7</v>
      </c>
      <c r="E269" s="7" t="n">
        <v>6.8</v>
      </c>
      <c r="F269" s="7" t="n">
        <v>21.5</v>
      </c>
      <c r="G269" s="7" t="n">
        <f aca="false">G268+D269</f>
        <v>1944.6</v>
      </c>
      <c r="H269" s="7" t="n">
        <f aca="false">H268+D269</f>
        <v>160.9</v>
      </c>
      <c r="I269" s="7" t="n">
        <v>4</v>
      </c>
      <c r="J269" s="7" t="n">
        <v>0</v>
      </c>
      <c r="K269" s="7" t="n">
        <f aca="false">K268+J269</f>
        <v>329.2</v>
      </c>
      <c r="L269" s="7" t="n">
        <v>4.9</v>
      </c>
      <c r="M269" s="7" t="n">
        <f aca="false">M268+L269</f>
        <v>264.9</v>
      </c>
      <c r="N269" s="9" t="n">
        <v>-4.9</v>
      </c>
      <c r="O269" s="7" t="n">
        <f aca="false">O268+N269</f>
        <v>77.2</v>
      </c>
      <c r="P269" s="7" t="n">
        <v>225</v>
      </c>
      <c r="Q269" s="7" t="n">
        <v>1.15</v>
      </c>
      <c r="R269" s="10" t="n">
        <f aca="false">Q269*L269</f>
        <v>5.635</v>
      </c>
      <c r="S269" s="10" t="n">
        <f aca="false">J269-R269</f>
        <v>-5.635</v>
      </c>
      <c r="T269" s="10" t="n">
        <f aca="false">MIN(138.9,(T268+S269))</f>
        <v>66.18325</v>
      </c>
      <c r="U269" s="15" t="n">
        <f aca="false">AVERAGE(T258:T278)</f>
        <v>79.7120595238095</v>
      </c>
      <c r="V269" s="7" t="n">
        <v>2665.8</v>
      </c>
      <c r="X269" s="7" t="n">
        <f aca="false">X268+V269</f>
        <v>149091.1</v>
      </c>
      <c r="Y269" s="7" t="n">
        <f aca="false">Y268+V269</f>
        <v>21395.1</v>
      </c>
      <c r="AA269" s="7" t="n">
        <v>13.9464499387654</v>
      </c>
    </row>
    <row r="270" s="7" customFormat="true" ht="15" hidden="false" customHeight="false" outlineLevel="0" collapsed="false">
      <c r="A270" s="39"/>
      <c r="C270" s="8" t="n">
        <v>42116</v>
      </c>
      <c r="D270" s="7" t="n">
        <v>15.9</v>
      </c>
      <c r="E270" s="7" t="n">
        <v>9.2</v>
      </c>
      <c r="F270" s="7" t="n">
        <v>22</v>
      </c>
      <c r="G270" s="7" t="n">
        <f aca="false">G269+D270</f>
        <v>1960.5</v>
      </c>
      <c r="H270" s="7" t="n">
        <f aca="false">H269+D270</f>
        <v>176.8</v>
      </c>
      <c r="I270" s="40" t="s">
        <v>43</v>
      </c>
      <c r="J270" s="7" t="n">
        <v>0</v>
      </c>
      <c r="K270" s="7" t="n">
        <f aca="false">K269+J270</f>
        <v>329.2</v>
      </c>
      <c r="L270" s="7" t="n">
        <v>5</v>
      </c>
      <c r="M270" s="7" t="n">
        <f aca="false">M269+L270</f>
        <v>269.9</v>
      </c>
      <c r="N270" s="9" t="n">
        <v>-5</v>
      </c>
      <c r="O270" s="7" t="n">
        <f aca="false">O269+N270</f>
        <v>72.2</v>
      </c>
      <c r="P270" s="7" t="n">
        <v>226</v>
      </c>
      <c r="Q270" s="7" t="n">
        <v>1.15</v>
      </c>
      <c r="R270" s="10" t="n">
        <f aca="false">Q270*L270</f>
        <v>5.75</v>
      </c>
      <c r="S270" s="10" t="n">
        <f aca="false">J270-R270</f>
        <v>-5.75</v>
      </c>
      <c r="T270" s="10" t="n">
        <f aca="false">MIN(138.9,(T269+S270))</f>
        <v>60.43325</v>
      </c>
      <c r="V270" s="7" t="n">
        <v>2549.3</v>
      </c>
      <c r="W270" s="36"/>
      <c r="X270" s="36" t="n">
        <f aca="false">X269+V270</f>
        <v>151640.4</v>
      </c>
      <c r="Y270" s="7" t="n">
        <f aca="false">Y269+V270</f>
        <v>23944.4</v>
      </c>
      <c r="AA270" s="7" t="n">
        <v>13.9996698445753</v>
      </c>
    </row>
    <row r="271" s="7" customFormat="true" ht="15" hidden="false" customHeight="true" outlineLevel="0" collapsed="false">
      <c r="A271" s="39"/>
      <c r="C271" s="8" t="n">
        <v>42117</v>
      </c>
      <c r="D271" s="7" t="n">
        <v>14.8</v>
      </c>
      <c r="E271" s="7" t="n">
        <v>7.9</v>
      </c>
      <c r="F271" s="7" t="n">
        <v>20.9</v>
      </c>
      <c r="G271" s="7" t="n">
        <f aca="false">G270+D271</f>
        <v>1975.3</v>
      </c>
      <c r="H271" s="7" t="n">
        <f aca="false">H270+D271</f>
        <v>191.6</v>
      </c>
      <c r="I271" s="7" t="n">
        <v>268.5</v>
      </c>
      <c r="J271" s="7" t="n">
        <v>0</v>
      </c>
      <c r="K271" s="7" t="n">
        <f aca="false">K270+J271</f>
        <v>329.2</v>
      </c>
      <c r="L271" s="7" t="n">
        <v>4.6</v>
      </c>
      <c r="M271" s="7" t="n">
        <f aca="false">M270+L271</f>
        <v>274.5</v>
      </c>
      <c r="N271" s="9" t="n">
        <v>-4.6</v>
      </c>
      <c r="O271" s="7" t="n">
        <f aca="false">O270+N271</f>
        <v>67.6</v>
      </c>
      <c r="P271" s="7" t="n">
        <v>227</v>
      </c>
      <c r="Q271" s="7" t="n">
        <v>1.15</v>
      </c>
      <c r="R271" s="10" t="n">
        <f aca="false">Q271*L271</f>
        <v>5.29</v>
      </c>
      <c r="S271" s="10" t="n">
        <f aca="false">J271-R271</f>
        <v>-5.29</v>
      </c>
      <c r="T271" s="10" t="n">
        <f aca="false">MIN(138.9,(T270+S271))</f>
        <v>55.14325</v>
      </c>
      <c r="U271" s="10" t="n">
        <f aca="false">(U269*100)/138.9</f>
        <v>57.3880918097981</v>
      </c>
      <c r="V271" s="7" t="n">
        <v>2636.8</v>
      </c>
      <c r="X271" s="7" t="n">
        <f aca="false">X270+V271</f>
        <v>154277.2</v>
      </c>
      <c r="Y271" s="7" t="n">
        <f aca="false">Y270+V271</f>
        <v>26581.2</v>
      </c>
      <c r="AA271" s="7" t="n">
        <v>14.052598519635</v>
      </c>
    </row>
    <row r="272" s="7" customFormat="true" ht="15" hidden="false" customHeight="false" outlineLevel="0" collapsed="false">
      <c r="A272" s="39"/>
      <c r="C272" s="8" t="n">
        <v>42118</v>
      </c>
      <c r="D272" s="7" t="n">
        <v>12.9</v>
      </c>
      <c r="E272" s="7" t="n">
        <v>8.5</v>
      </c>
      <c r="F272" s="7" t="n">
        <v>16.1</v>
      </c>
      <c r="G272" s="7" t="n">
        <f aca="false">G271+D272</f>
        <v>1988.2</v>
      </c>
      <c r="H272" s="7" t="n">
        <f aca="false">H271+D272</f>
        <v>204.5</v>
      </c>
      <c r="J272" s="7" t="n">
        <v>1.9</v>
      </c>
      <c r="K272" s="7" t="n">
        <f aca="false">K271+J272</f>
        <v>331.1</v>
      </c>
      <c r="L272" s="7" t="n">
        <v>0.8</v>
      </c>
      <c r="M272" s="7" t="n">
        <f aca="false">M271+L272</f>
        <v>275.3</v>
      </c>
      <c r="N272" s="9" t="n">
        <v>1.1</v>
      </c>
      <c r="O272" s="7" t="n">
        <f aca="false">O271+N272</f>
        <v>68.7</v>
      </c>
      <c r="P272" s="7" t="n">
        <v>228</v>
      </c>
      <c r="Q272" s="7" t="n">
        <v>1.15</v>
      </c>
      <c r="R272" s="10" t="n">
        <f aca="false">Q272*L272</f>
        <v>0.92</v>
      </c>
      <c r="S272" s="10" t="n">
        <f aca="false">J272-R272</f>
        <v>0.98</v>
      </c>
      <c r="T272" s="10" t="n">
        <f aca="false">MIN(138.9,(T271+S272))</f>
        <v>56.12325</v>
      </c>
      <c r="V272" s="7" t="n">
        <v>728.4</v>
      </c>
      <c r="X272" s="7" t="n">
        <f aca="false">X271+V272</f>
        <v>155005.6</v>
      </c>
      <c r="Y272" s="7" t="n">
        <f aca="false">Y271+V272</f>
        <v>27309.6</v>
      </c>
      <c r="AA272" s="7" t="n">
        <v>14.1052221597412</v>
      </c>
    </row>
    <row r="273" s="7" customFormat="true" ht="15" hidden="false" customHeight="false" outlineLevel="0" collapsed="false">
      <c r="A273" s="39"/>
      <c r="C273" s="8" t="n">
        <v>42119</v>
      </c>
      <c r="D273" s="7" t="n">
        <v>14.5</v>
      </c>
      <c r="E273" s="7" t="n">
        <v>12</v>
      </c>
      <c r="F273" s="7" t="n">
        <v>18.8</v>
      </c>
      <c r="G273" s="7" t="n">
        <f aca="false">G272+D273</f>
        <v>2002.7</v>
      </c>
      <c r="H273" s="7" t="n">
        <f aca="false">H272+D273</f>
        <v>219</v>
      </c>
      <c r="J273" s="7" t="n">
        <v>1.2</v>
      </c>
      <c r="K273" s="7" t="n">
        <f aca="false">K272+J273</f>
        <v>332.3</v>
      </c>
      <c r="L273" s="7" t="n">
        <v>2.1</v>
      </c>
      <c r="M273" s="7" t="n">
        <f aca="false">M272+L273</f>
        <v>277.4</v>
      </c>
      <c r="N273" s="9" t="n">
        <v>-0.9</v>
      </c>
      <c r="O273" s="7" t="n">
        <f aca="false">O272+N273</f>
        <v>67.8</v>
      </c>
      <c r="P273" s="7" t="n">
        <v>229</v>
      </c>
      <c r="Q273" s="7" t="n">
        <v>1.15</v>
      </c>
      <c r="R273" s="10" t="n">
        <f aca="false">Q273*L273</f>
        <v>2.415</v>
      </c>
      <c r="S273" s="10" t="n">
        <f aca="false">J273-R273</f>
        <v>-1.215</v>
      </c>
      <c r="T273" s="10" t="n">
        <f aca="false">MIN(138.9,(T272+S273))</f>
        <v>54.90825</v>
      </c>
      <c r="V273" s="7" t="n">
        <v>1295</v>
      </c>
      <c r="X273" s="7" t="n">
        <f aca="false">X272+V273</f>
        <v>156300.6</v>
      </c>
      <c r="Y273" s="7" t="n">
        <f aca="false">Y272+V273</f>
        <v>28604.6</v>
      </c>
      <c r="AA273" s="7" t="n">
        <v>14.1575264983821</v>
      </c>
    </row>
    <row r="274" s="7" customFormat="true" ht="15" hidden="false" customHeight="false" outlineLevel="0" collapsed="false">
      <c r="A274" s="39"/>
      <c r="C274" s="8" t="n">
        <v>42120</v>
      </c>
      <c r="D274" s="7" t="n">
        <v>12</v>
      </c>
      <c r="E274" s="7" t="n">
        <v>8.6</v>
      </c>
      <c r="F274" s="7" t="n">
        <v>14.6</v>
      </c>
      <c r="G274" s="7" t="n">
        <f aca="false">G273+D274</f>
        <v>2014.7</v>
      </c>
      <c r="H274" s="7" t="n">
        <f aca="false">H273+D274</f>
        <v>231</v>
      </c>
      <c r="J274" s="7" t="n">
        <v>26.7</v>
      </c>
      <c r="K274" s="7" t="n">
        <f aca="false">K273+J274</f>
        <v>359</v>
      </c>
      <c r="L274" s="7" t="n">
        <v>0.9</v>
      </c>
      <c r="M274" s="7" t="n">
        <f aca="false">M273+L274</f>
        <v>278.3</v>
      </c>
      <c r="N274" s="7" t="n">
        <v>25.8</v>
      </c>
      <c r="O274" s="7" t="n">
        <f aca="false">O273+N274</f>
        <v>93.6</v>
      </c>
      <c r="P274" s="7" t="n">
        <v>230</v>
      </c>
      <c r="Q274" s="7" t="n">
        <v>1.15</v>
      </c>
      <c r="R274" s="10" t="n">
        <f aca="false">Q274*L274</f>
        <v>1.035</v>
      </c>
      <c r="S274" s="10" t="n">
        <f aca="false">J274-R274</f>
        <v>25.665</v>
      </c>
      <c r="T274" s="10" t="n">
        <f aca="false">MIN(138.9,(T273+S274))</f>
        <v>80.57325</v>
      </c>
      <c r="V274" s="7" t="n">
        <v>528.5</v>
      </c>
      <c r="X274" s="7" t="n">
        <f aca="false">X273+V274</f>
        <v>156829.1</v>
      </c>
      <c r="Y274" s="7" t="n">
        <f aca="false">Y273+V274</f>
        <v>29133.1</v>
      </c>
      <c r="AA274" s="7" t="n">
        <v>14.209496799152</v>
      </c>
    </row>
    <row r="275" s="7" customFormat="true" ht="15" hidden="false" customHeight="false" outlineLevel="0" collapsed="false">
      <c r="A275" s="39"/>
      <c r="C275" s="8" t="n">
        <v>42121</v>
      </c>
      <c r="D275" s="7" t="n">
        <v>11</v>
      </c>
      <c r="E275" s="7" t="n">
        <v>10.2</v>
      </c>
      <c r="F275" s="7" t="n">
        <v>13.6</v>
      </c>
      <c r="G275" s="7" t="n">
        <f aca="false">G274+D275</f>
        <v>2025.7</v>
      </c>
      <c r="H275" s="7" t="n">
        <f aca="false">H274+D275</f>
        <v>242</v>
      </c>
      <c r="J275" s="7" t="n">
        <v>0</v>
      </c>
      <c r="K275" s="7" t="n">
        <f aca="false">K274+J275</f>
        <v>359</v>
      </c>
      <c r="L275" s="7" t="n">
        <v>2</v>
      </c>
      <c r="M275" s="7" t="n">
        <f aca="false">M274+L275</f>
        <v>280.3</v>
      </c>
      <c r="N275" s="9" t="n">
        <v>-2</v>
      </c>
      <c r="O275" s="7" t="n">
        <f aca="false">O274+N275</f>
        <v>91.6</v>
      </c>
      <c r="P275" s="7" t="n">
        <v>231</v>
      </c>
      <c r="Q275" s="7" t="n">
        <v>1.15</v>
      </c>
      <c r="R275" s="10" t="n">
        <f aca="false">Q275*L275</f>
        <v>2.3</v>
      </c>
      <c r="S275" s="10" t="n">
        <f aca="false">J275-R275</f>
        <v>-2.3</v>
      </c>
      <c r="T275" s="10" t="n">
        <f aca="false">MIN(138.9,(T274+S275))</f>
        <v>78.27325</v>
      </c>
      <c r="V275" s="7" t="n">
        <v>1260.8</v>
      </c>
      <c r="X275" s="7" t="n">
        <f aca="false">X274+V275</f>
        <v>158089.9</v>
      </c>
      <c r="Y275" s="7" t="n">
        <f aca="false">Y274+V275</f>
        <v>30393.9</v>
      </c>
      <c r="AA275" s="7" t="n">
        <v>14.2611178491108</v>
      </c>
    </row>
    <row r="276" s="7" customFormat="true" ht="15" hidden="false" customHeight="false" outlineLevel="0" collapsed="false">
      <c r="A276" s="39"/>
      <c r="C276" s="8" t="n">
        <v>42122</v>
      </c>
      <c r="D276" s="7" t="n">
        <v>7.8</v>
      </c>
      <c r="E276" s="7" t="n">
        <v>3.6</v>
      </c>
      <c r="F276" s="7" t="n">
        <v>12.4</v>
      </c>
      <c r="G276" s="7" t="n">
        <f aca="false">G275+D276</f>
        <v>2033.5</v>
      </c>
      <c r="H276" s="7" t="n">
        <f aca="false">H275+D276</f>
        <v>249.8</v>
      </c>
      <c r="J276" s="7" t="n">
        <v>0</v>
      </c>
      <c r="K276" s="7" t="n">
        <f aca="false">K275+J276</f>
        <v>359</v>
      </c>
      <c r="L276" s="7" t="n">
        <v>2.4</v>
      </c>
      <c r="M276" s="7" t="n">
        <f aca="false">M275+L276</f>
        <v>282.7</v>
      </c>
      <c r="N276" s="9" t="n">
        <v>-2.4</v>
      </c>
      <c r="O276" s="7" t="n">
        <f aca="false">O275+N276</f>
        <v>89.2</v>
      </c>
      <c r="P276" s="7" t="n">
        <v>232</v>
      </c>
      <c r="Q276" s="7" t="n">
        <v>1.15</v>
      </c>
      <c r="R276" s="10" t="n">
        <f aca="false">Q276*L276</f>
        <v>2.76</v>
      </c>
      <c r="S276" s="10" t="n">
        <f aca="false">J276-R276</f>
        <v>-2.76</v>
      </c>
      <c r="T276" s="10" t="n">
        <f aca="false">MIN(138.9,(T275+S276))</f>
        <v>75.51325</v>
      </c>
      <c r="V276" s="7" t="n">
        <v>2076</v>
      </c>
      <c r="X276" s="7" t="n">
        <f aca="false">X275+V276</f>
        <v>160165.9</v>
      </c>
      <c r="Y276" s="7" t="n">
        <f aca="false">Y275+V276</f>
        <v>32469.9</v>
      </c>
      <c r="AA276" s="7" t="n">
        <v>14.3123739531664</v>
      </c>
    </row>
    <row r="277" s="7" customFormat="true" ht="15" hidden="false" customHeight="false" outlineLevel="0" collapsed="false">
      <c r="A277" s="39"/>
      <c r="C277" s="8" t="n">
        <v>42123</v>
      </c>
      <c r="D277" s="7" t="n">
        <v>9</v>
      </c>
      <c r="E277" s="7" t="n">
        <v>3</v>
      </c>
      <c r="F277" s="7" t="n">
        <v>14.1</v>
      </c>
      <c r="G277" s="7" t="n">
        <f aca="false">G276+D277</f>
        <v>2042.5</v>
      </c>
      <c r="H277" s="7" t="n">
        <f aca="false">H276+D277</f>
        <v>258.8</v>
      </c>
      <c r="J277" s="7" t="n">
        <v>0</v>
      </c>
      <c r="K277" s="7" t="n">
        <f aca="false">K276+J277</f>
        <v>359</v>
      </c>
      <c r="L277" s="7" t="n">
        <v>1.4</v>
      </c>
      <c r="M277" s="7" t="n">
        <f aca="false">M276+L277</f>
        <v>284.1</v>
      </c>
      <c r="N277" s="9" t="n">
        <v>-1.4</v>
      </c>
      <c r="O277" s="7" t="n">
        <f aca="false">O276+N277</f>
        <v>87.8</v>
      </c>
      <c r="P277" s="7" t="n">
        <v>233</v>
      </c>
      <c r="Q277" s="7" t="n">
        <v>1.15</v>
      </c>
      <c r="R277" s="10" t="n">
        <f aca="false">Q277*L277</f>
        <v>1.61</v>
      </c>
      <c r="S277" s="10" t="n">
        <f aca="false">J277-R277</f>
        <v>-1.61</v>
      </c>
      <c r="T277" s="10" t="n">
        <f aca="false">MIN(138.9,(T276+S277))</f>
        <v>73.90325</v>
      </c>
      <c r="V277" s="7" t="n">
        <v>988.3</v>
      </c>
      <c r="X277" s="7" t="n">
        <f aca="false">X276+V277</f>
        <v>161154.2</v>
      </c>
      <c r="Y277" s="7" t="n">
        <f aca="false">Y276+V277</f>
        <v>33458.2</v>
      </c>
      <c r="AA277" s="7" t="n">
        <v>14.3632489295623</v>
      </c>
    </row>
    <row r="278" s="18" customFormat="true" ht="15" hidden="false" customHeight="false" outlineLevel="0" collapsed="false">
      <c r="A278" s="41" t="s">
        <v>57</v>
      </c>
      <c r="C278" s="17" t="n">
        <v>42124</v>
      </c>
      <c r="D278" s="18" t="n">
        <v>9.7</v>
      </c>
      <c r="E278" s="18" t="n">
        <v>6.2</v>
      </c>
      <c r="F278" s="18" t="n">
        <v>12.2</v>
      </c>
      <c r="G278" s="18" t="n">
        <f aca="false">G277+D278</f>
        <v>2052.2</v>
      </c>
      <c r="H278" s="18" t="n">
        <f aca="false">H277+D278</f>
        <v>268.5</v>
      </c>
      <c r="J278" s="18" t="n">
        <v>34.7</v>
      </c>
      <c r="K278" s="18" t="n">
        <f aca="false">K277+J278</f>
        <v>393.7</v>
      </c>
      <c r="L278" s="18" t="n">
        <v>0.8</v>
      </c>
      <c r="M278" s="18" t="n">
        <f aca="false">M277+L278</f>
        <v>284.9</v>
      </c>
      <c r="N278" s="18" t="n">
        <v>33.9</v>
      </c>
      <c r="O278" s="18" t="n">
        <f aca="false">O277+N278</f>
        <v>121.7</v>
      </c>
      <c r="P278" s="18" t="n">
        <v>234</v>
      </c>
      <c r="Q278" s="18" t="n">
        <v>1.15</v>
      </c>
      <c r="R278" s="20" t="n">
        <f aca="false">Q278*L278</f>
        <v>0.92</v>
      </c>
      <c r="S278" s="20" t="n">
        <f aca="false">J278-R278</f>
        <v>33.78</v>
      </c>
      <c r="T278" s="20" t="n">
        <f aca="false">MIN(138.9,(T277+S278))</f>
        <v>107.68325</v>
      </c>
      <c r="V278" s="18" t="n">
        <v>590.8</v>
      </c>
      <c r="X278" s="18" t="n">
        <f aca="false">X277+V278</f>
        <v>161745</v>
      </c>
      <c r="Y278" s="18" t="n">
        <f aca="false">Y277+V278</f>
        <v>34049</v>
      </c>
      <c r="AA278" s="18" t="n">
        <v>14.4137261065545</v>
      </c>
    </row>
    <row r="279" s="7" customFormat="true" ht="15" hidden="false" customHeight="false" outlineLevel="0" collapsed="false">
      <c r="A279" s="42" t="n">
        <v>300</v>
      </c>
      <c r="B279" s="13"/>
      <c r="C279" s="8" t="n">
        <v>42125</v>
      </c>
      <c r="D279" s="7" t="n">
        <v>13.3</v>
      </c>
      <c r="E279" s="7" t="n">
        <v>11.1</v>
      </c>
      <c r="F279" s="7" t="n">
        <v>15.2</v>
      </c>
      <c r="G279" s="7" t="n">
        <f aca="false">G278+D279</f>
        <v>2065.5</v>
      </c>
      <c r="H279" s="7" t="n">
        <v>13.3</v>
      </c>
      <c r="I279" s="43" t="s">
        <v>28</v>
      </c>
      <c r="J279" s="7" t="n">
        <v>16.5</v>
      </c>
      <c r="K279" s="7" t="n">
        <f aca="false">K278+J279</f>
        <v>410.2</v>
      </c>
      <c r="L279" s="7" t="n">
        <v>0.8</v>
      </c>
      <c r="M279" s="7" t="n">
        <f aca="false">M278+L279</f>
        <v>285.7</v>
      </c>
      <c r="N279" s="7" t="n">
        <v>15.7</v>
      </c>
      <c r="O279" s="7" t="n">
        <f aca="false">O278+N279</f>
        <v>137.4</v>
      </c>
      <c r="P279" s="7" t="n">
        <v>235</v>
      </c>
      <c r="Q279" s="7" t="n">
        <v>1.15</v>
      </c>
      <c r="R279" s="10" t="n">
        <f aca="false">Q279*L279</f>
        <v>0.92</v>
      </c>
      <c r="S279" s="10" t="n">
        <f aca="false">J279-R279</f>
        <v>15.58</v>
      </c>
      <c r="T279" s="10" t="n">
        <f aca="false">MIN(138.9,(T278+S279))</f>
        <v>123.26325</v>
      </c>
      <c r="U279" s="43" t="s">
        <v>29</v>
      </c>
      <c r="V279" s="7" t="n">
        <v>474.1</v>
      </c>
      <c r="X279" s="7" t="n">
        <f aca="false">X278+V279</f>
        <v>162219.1</v>
      </c>
      <c r="Y279" s="7" t="n">
        <v>474.1</v>
      </c>
      <c r="Z279" s="43" t="s">
        <v>30</v>
      </c>
      <c r="AA279" s="7" t="n">
        <v>14.4637883203654</v>
      </c>
    </row>
    <row r="280" s="7" customFormat="true" ht="15" hidden="false" customHeight="false" outlineLevel="0" collapsed="false">
      <c r="A280" s="42"/>
      <c r="B280" s="13"/>
      <c r="C280" s="8" t="n">
        <v>42126</v>
      </c>
      <c r="D280" s="7" t="n">
        <v>13.1</v>
      </c>
      <c r="E280" s="7" t="n">
        <v>12.2</v>
      </c>
      <c r="F280" s="7" t="n">
        <v>14</v>
      </c>
      <c r="G280" s="7" t="n">
        <f aca="false">G279+D280</f>
        <v>2078.6</v>
      </c>
      <c r="H280" s="7" t="n">
        <f aca="false">H279+D280</f>
        <v>26.4</v>
      </c>
      <c r="I280" s="7" t="n">
        <f aca="false">MIN(E279:E301)</f>
        <v>4.4</v>
      </c>
      <c r="J280" s="7" t="n">
        <v>17.1</v>
      </c>
      <c r="K280" s="7" t="n">
        <f aca="false">K279+J280</f>
        <v>427.3</v>
      </c>
      <c r="L280" s="7" t="n">
        <v>0.6</v>
      </c>
      <c r="M280" s="7" t="n">
        <f aca="false">M279+L280</f>
        <v>286.3</v>
      </c>
      <c r="N280" s="7" t="n">
        <v>16.5</v>
      </c>
      <c r="O280" s="7" t="n">
        <v>138.9</v>
      </c>
      <c r="P280" s="7" t="n">
        <v>236</v>
      </c>
      <c r="Q280" s="7" t="n">
        <v>1.15</v>
      </c>
      <c r="R280" s="10" t="n">
        <f aca="false">Q280*L280</f>
        <v>0.69</v>
      </c>
      <c r="S280" s="10" t="n">
        <f aca="false">J280-R280</f>
        <v>16.41</v>
      </c>
      <c r="T280" s="10" t="n">
        <f aca="false">MIN(138.9,(T279+S280))</f>
        <v>138.9</v>
      </c>
      <c r="U280" s="7" t="n">
        <v>17</v>
      </c>
      <c r="V280" s="7" t="n">
        <v>500.4</v>
      </c>
      <c r="X280" s="7" t="n">
        <f aca="false">X279+V280</f>
        <v>162719.5</v>
      </c>
      <c r="Y280" s="7" t="n">
        <f aca="false">Y279+V280</f>
        <v>974.5</v>
      </c>
      <c r="Z280" s="7" t="n">
        <v>35738.4</v>
      </c>
      <c r="AA280" s="7" t="n">
        <v>14.5134179145061</v>
      </c>
    </row>
    <row r="281" s="7" customFormat="true" ht="15" hidden="false" customHeight="false" outlineLevel="0" collapsed="false">
      <c r="A281" s="42"/>
      <c r="B281" s="13"/>
      <c r="C281" s="8" t="n">
        <v>42127</v>
      </c>
      <c r="D281" s="7" t="n">
        <v>15</v>
      </c>
      <c r="E281" s="7" t="n">
        <v>13.1</v>
      </c>
      <c r="F281" s="7" t="n">
        <v>18.2</v>
      </c>
      <c r="G281" s="7" t="n">
        <f aca="false">G280+D281</f>
        <v>2093.6</v>
      </c>
      <c r="H281" s="7" t="n">
        <f aca="false">H280+D281</f>
        <v>41.4</v>
      </c>
      <c r="I281" s="43" t="s">
        <v>31</v>
      </c>
      <c r="J281" s="7" t="n">
        <v>4.4</v>
      </c>
      <c r="K281" s="7" t="n">
        <f aca="false">K280+J281</f>
        <v>431.7</v>
      </c>
      <c r="L281" s="7" t="n">
        <v>1.2</v>
      </c>
      <c r="M281" s="7" t="n">
        <f aca="false">M280+L281</f>
        <v>287.5</v>
      </c>
      <c r="N281" s="7" t="n">
        <v>3.2</v>
      </c>
      <c r="O281" s="7" t="n">
        <v>138.9</v>
      </c>
      <c r="P281" s="7" t="n">
        <v>237</v>
      </c>
      <c r="Q281" s="7" t="n">
        <v>1.15</v>
      </c>
      <c r="R281" s="10" t="n">
        <f aca="false">Q281*L281</f>
        <v>1.38</v>
      </c>
      <c r="S281" s="10" t="n">
        <f aca="false">J281-R281</f>
        <v>3.02</v>
      </c>
      <c r="T281" s="10" t="n">
        <f aca="false">MIN(138.9,(T280+S281))</f>
        <v>138.9</v>
      </c>
      <c r="U281" s="43" t="s">
        <v>32</v>
      </c>
      <c r="V281" s="7" t="n">
        <v>585.9</v>
      </c>
      <c r="X281" s="7" t="n">
        <f aca="false">X280+V281</f>
        <v>163305.4</v>
      </c>
      <c r="Y281" s="7" t="n">
        <f aca="false">Y280+V281</f>
        <v>1560.4</v>
      </c>
      <c r="Z281" s="43" t="s">
        <v>33</v>
      </c>
      <c r="AA281" s="7" t="n">
        <v>14.562596740558</v>
      </c>
    </row>
    <row r="282" s="7" customFormat="true" ht="15" hidden="false" customHeight="false" outlineLevel="0" collapsed="false">
      <c r="A282" s="42"/>
      <c r="B282" s="13"/>
      <c r="C282" s="8" t="n">
        <v>42128</v>
      </c>
      <c r="D282" s="7" t="n">
        <v>15.1</v>
      </c>
      <c r="E282" s="7" t="n">
        <v>9.2</v>
      </c>
      <c r="F282" s="7" t="n">
        <v>19.1</v>
      </c>
      <c r="G282" s="7" t="n">
        <f aca="false">G281+D282</f>
        <v>2108.7</v>
      </c>
      <c r="H282" s="7" t="n">
        <f aca="false">H281+D282</f>
        <v>56.5</v>
      </c>
      <c r="I282" s="7" t="n">
        <f aca="false">MAX(F279:F301)</f>
        <v>26.1</v>
      </c>
      <c r="J282" s="7" t="n">
        <v>8.6</v>
      </c>
      <c r="K282" s="7" t="n">
        <f aca="false">K281+J282</f>
        <v>440.3</v>
      </c>
      <c r="L282" s="7" t="n">
        <v>1</v>
      </c>
      <c r="M282" s="7" t="n">
        <f aca="false">M281+L282</f>
        <v>288.5</v>
      </c>
      <c r="N282" s="7" t="n">
        <v>7.6</v>
      </c>
      <c r="O282" s="7" t="n">
        <v>138.9</v>
      </c>
      <c r="P282" s="7" t="n">
        <v>238</v>
      </c>
      <c r="Q282" s="7" t="n">
        <v>1.15</v>
      </c>
      <c r="R282" s="10" t="n">
        <f aca="false">Q282*L282</f>
        <v>1.15</v>
      </c>
      <c r="S282" s="10" t="n">
        <f aca="false">J282-R282</f>
        <v>7.45</v>
      </c>
      <c r="T282" s="10" t="n">
        <f aca="false">MIN(138.9,(T281+S282))</f>
        <v>138.9</v>
      </c>
      <c r="U282" s="7" t="n">
        <v>0</v>
      </c>
      <c r="V282" s="7" t="n">
        <v>776.6</v>
      </c>
      <c r="X282" s="7" t="n">
        <f aca="false">X281+V282</f>
        <v>164082</v>
      </c>
      <c r="Y282" s="7" t="n">
        <f aca="false">Y281+V282</f>
        <v>2337</v>
      </c>
      <c r="Z282" s="15" t="n">
        <f aca="false">(Z280/100)/I292</f>
        <v>1.14107279693487</v>
      </c>
      <c r="AA282" s="7" t="n">
        <v>14.6113061605088</v>
      </c>
    </row>
    <row r="283" s="7" customFormat="true" ht="15" hidden="false" customHeight="false" outlineLevel="0" collapsed="false">
      <c r="A283" s="42"/>
      <c r="B283" s="13"/>
      <c r="C283" s="8" t="n">
        <v>42129</v>
      </c>
      <c r="D283" s="7" t="n">
        <v>14.7</v>
      </c>
      <c r="E283" s="7" t="n">
        <v>15.1</v>
      </c>
      <c r="F283" s="7" t="n">
        <v>16.2</v>
      </c>
      <c r="G283" s="7" t="n">
        <f aca="false">G282+D283</f>
        <v>2123.4</v>
      </c>
      <c r="H283" s="7" t="n">
        <f aca="false">H282+D283</f>
        <v>71.2</v>
      </c>
      <c r="I283" s="43" t="s">
        <v>34</v>
      </c>
      <c r="J283" s="7" t="n">
        <v>0</v>
      </c>
      <c r="K283" s="7" t="n">
        <f aca="false">K282+J283</f>
        <v>440.3</v>
      </c>
      <c r="L283" s="7" t="n">
        <v>3.7</v>
      </c>
      <c r="M283" s="7" t="n">
        <f aca="false">M282+L283</f>
        <v>292.2</v>
      </c>
      <c r="N283" s="9" t="n">
        <v>-3.7</v>
      </c>
      <c r="O283" s="7" t="n">
        <f aca="false">O282+N283</f>
        <v>135.2</v>
      </c>
      <c r="P283" s="7" t="n">
        <v>239</v>
      </c>
      <c r="Q283" s="7" t="n">
        <v>1.15</v>
      </c>
      <c r="R283" s="10" t="n">
        <f aca="false">Q283*L283</f>
        <v>4.255</v>
      </c>
      <c r="S283" s="10" t="n">
        <f aca="false">J283-R283</f>
        <v>-4.255</v>
      </c>
      <c r="T283" s="10" t="n">
        <f aca="false">MIN(138.9,(T282+S283))</f>
        <v>134.645</v>
      </c>
      <c r="U283" s="43" t="s">
        <v>35</v>
      </c>
      <c r="V283" s="7" t="n">
        <v>1952.8</v>
      </c>
      <c r="X283" s="7" t="n">
        <f aca="false">X282+V283</f>
        <v>166034.8</v>
      </c>
      <c r="Y283" s="7" t="n">
        <f aca="false">Y282+V283</f>
        <v>4289.8</v>
      </c>
      <c r="Z283" s="43" t="s">
        <v>36</v>
      </c>
      <c r="AA283" s="7" t="n">
        <v>14.659527050738</v>
      </c>
    </row>
    <row r="284" s="7" customFormat="true" ht="15" hidden="false" customHeight="false" outlineLevel="0" collapsed="false">
      <c r="A284" s="42"/>
      <c r="B284" s="13"/>
      <c r="C284" s="8" t="n">
        <v>42130</v>
      </c>
      <c r="D284" s="7" t="n">
        <v>11.9</v>
      </c>
      <c r="E284" s="7" t="n">
        <v>7.8</v>
      </c>
      <c r="F284" s="7" t="n">
        <v>15.1</v>
      </c>
      <c r="G284" s="7" t="n">
        <f aca="false">G283+D284</f>
        <v>2135.3</v>
      </c>
      <c r="H284" s="7" t="n">
        <f aca="false">H283+D284</f>
        <v>83.1</v>
      </c>
      <c r="I284" s="7" t="n">
        <f aca="false">AVERAGE(D279:D301)</f>
        <v>13.6173913043478</v>
      </c>
      <c r="J284" s="7" t="n">
        <v>1.2</v>
      </c>
      <c r="K284" s="7" t="n">
        <f aca="false">K283+J284</f>
        <v>441.5</v>
      </c>
      <c r="L284" s="7" t="n">
        <v>2.7</v>
      </c>
      <c r="M284" s="7" t="n">
        <f aca="false">M283+L284</f>
        <v>294.9</v>
      </c>
      <c r="N284" s="9" t="n">
        <v>-1.5</v>
      </c>
      <c r="O284" s="7" t="n">
        <f aca="false">O283+N284</f>
        <v>133.7</v>
      </c>
      <c r="P284" s="7" t="n">
        <v>240</v>
      </c>
      <c r="Q284" s="7" t="n">
        <v>1.15</v>
      </c>
      <c r="R284" s="10" t="n">
        <f aca="false">Q284*L284</f>
        <v>3.105</v>
      </c>
      <c r="S284" s="10" t="n">
        <f aca="false">J284-R284</f>
        <v>-1.905</v>
      </c>
      <c r="T284" s="10" t="n">
        <f aca="false">MIN(138.9,(T283+S284))</f>
        <v>132.74</v>
      </c>
      <c r="U284" s="7" t="n">
        <v>0</v>
      </c>
      <c r="V284" s="7" t="n">
        <v>1788.9</v>
      </c>
      <c r="X284" s="7" t="n">
        <f aca="false">X283+V284</f>
        <v>167823.7</v>
      </c>
      <c r="Y284" s="7" t="n">
        <f aca="false">Y283+V284</f>
        <v>6078.7</v>
      </c>
      <c r="Z284" s="7" t="n">
        <v>5</v>
      </c>
      <c r="AA284" s="7" t="n">
        <v>14.7072398077474</v>
      </c>
    </row>
    <row r="285" s="7" customFormat="true" ht="15" hidden="false" customHeight="false" outlineLevel="0" collapsed="false">
      <c r="A285" s="42"/>
      <c r="B285" s="13"/>
      <c r="C285" s="8" t="n">
        <v>42131</v>
      </c>
      <c r="D285" s="7" t="n">
        <v>11.3</v>
      </c>
      <c r="E285" s="7" t="n">
        <v>6.8</v>
      </c>
      <c r="F285" s="7" t="n">
        <v>15.5</v>
      </c>
      <c r="G285" s="7" t="n">
        <f aca="false">G284+D285</f>
        <v>2146.6</v>
      </c>
      <c r="H285" s="7" t="n">
        <f aca="false">H284+D285</f>
        <v>94.4</v>
      </c>
      <c r="I285" s="43" t="s">
        <v>37</v>
      </c>
      <c r="J285" s="7" t="n">
        <v>0.4</v>
      </c>
      <c r="K285" s="7" t="n">
        <f aca="false">K284+J285</f>
        <v>441.9</v>
      </c>
      <c r="L285" s="7" t="n">
        <v>3.1</v>
      </c>
      <c r="M285" s="7" t="n">
        <f aca="false">M284+L285</f>
        <v>298</v>
      </c>
      <c r="N285" s="9" t="n">
        <v>-2.7</v>
      </c>
      <c r="O285" s="7" t="n">
        <f aca="false">O284+N285</f>
        <v>131</v>
      </c>
      <c r="P285" s="7" t="n">
        <v>241</v>
      </c>
      <c r="Q285" s="7" t="n">
        <v>1.15</v>
      </c>
      <c r="R285" s="10" t="n">
        <f aca="false">Q285*L285</f>
        <v>3.565</v>
      </c>
      <c r="S285" s="10" t="n">
        <f aca="false">J285-R285</f>
        <v>-3.165</v>
      </c>
      <c r="T285" s="10" t="n">
        <f aca="false">MIN(138.9,(T284+S285))</f>
        <v>129.575</v>
      </c>
      <c r="U285" s="43" t="s">
        <v>38</v>
      </c>
      <c r="V285" s="7" t="n">
        <v>2159.7</v>
      </c>
      <c r="X285" s="7" t="n">
        <f aca="false">X284+V285</f>
        <v>169983.4</v>
      </c>
      <c r="Y285" s="7" t="n">
        <f aca="false">Y284+V285</f>
        <v>8238.4</v>
      </c>
      <c r="AA285" s="7" t="n">
        <v>14.7544243557327</v>
      </c>
    </row>
    <row r="286" s="7" customFormat="true" ht="15" hidden="false" customHeight="false" outlineLevel="0" collapsed="false">
      <c r="A286" s="42"/>
      <c r="B286" s="13"/>
      <c r="C286" s="8" t="n">
        <v>42132</v>
      </c>
      <c r="D286" s="7" t="n">
        <v>13.9</v>
      </c>
      <c r="E286" s="7" t="n">
        <v>8</v>
      </c>
      <c r="F286" s="7" t="n">
        <v>18.2</v>
      </c>
      <c r="G286" s="7" t="n">
        <f aca="false">G285+D286</f>
        <v>2160.5</v>
      </c>
      <c r="H286" s="7" t="n">
        <f aca="false">H285+D286</f>
        <v>108.3</v>
      </c>
      <c r="I286" s="7" t="n">
        <v>0</v>
      </c>
      <c r="J286" s="7" t="n">
        <v>0.4</v>
      </c>
      <c r="K286" s="7" t="n">
        <f aca="false">K285+J286</f>
        <v>442.3</v>
      </c>
      <c r="L286" s="7" t="n">
        <v>1.2</v>
      </c>
      <c r="M286" s="7" t="n">
        <f aca="false">M285+L286</f>
        <v>299.2</v>
      </c>
      <c r="N286" s="9" t="n">
        <v>-0.8</v>
      </c>
      <c r="O286" s="7" t="n">
        <f aca="false">O285+N286</f>
        <v>130.2</v>
      </c>
      <c r="P286" s="7" t="n">
        <v>242</v>
      </c>
      <c r="Q286" s="7" t="n">
        <v>1.15</v>
      </c>
      <c r="R286" s="10" t="n">
        <f aca="false">Q286*L286</f>
        <v>1.38</v>
      </c>
      <c r="S286" s="10" t="n">
        <f aca="false">J286-R286</f>
        <v>-0.98</v>
      </c>
      <c r="T286" s="10" t="n">
        <f aca="false">MIN(138.9,(T285+S286))</f>
        <v>128.595</v>
      </c>
      <c r="U286" s="10" t="n">
        <f aca="false">MIN(T279:T301)</f>
        <v>84.765</v>
      </c>
      <c r="V286" s="7" t="n">
        <v>863.6</v>
      </c>
      <c r="X286" s="7" t="n">
        <f aca="false">X285+V286</f>
        <v>170847</v>
      </c>
      <c r="Y286" s="7" t="n">
        <f aca="false">Y285+V286</f>
        <v>9102</v>
      </c>
      <c r="AA286" s="7" t="n">
        <v>14.8010601560915</v>
      </c>
    </row>
    <row r="287" s="7" customFormat="true" ht="15" hidden="false" customHeight="false" outlineLevel="0" collapsed="false">
      <c r="A287" s="42"/>
      <c r="B287" s="13"/>
      <c r="C287" s="8" t="n">
        <v>42133</v>
      </c>
      <c r="D287" s="7" t="n">
        <v>15.5</v>
      </c>
      <c r="E287" s="7" t="n">
        <v>13.4</v>
      </c>
      <c r="F287" s="7" t="n">
        <v>18.8</v>
      </c>
      <c r="G287" s="7" t="n">
        <f aca="false">G286+D287</f>
        <v>2176</v>
      </c>
      <c r="H287" s="7" t="n">
        <f aca="false">H286+D287</f>
        <v>123.8</v>
      </c>
      <c r="I287" s="43" t="s">
        <v>39</v>
      </c>
      <c r="J287" s="7" t="n">
        <v>0</v>
      </c>
      <c r="K287" s="7" t="n">
        <f aca="false">K286+J287</f>
        <v>442.3</v>
      </c>
      <c r="L287" s="7" t="n">
        <v>4</v>
      </c>
      <c r="M287" s="7" t="n">
        <f aca="false">M286+L287</f>
        <v>303.2</v>
      </c>
      <c r="N287" s="9" t="n">
        <v>-4</v>
      </c>
      <c r="O287" s="7" t="n">
        <f aca="false">O286+N287</f>
        <v>126.2</v>
      </c>
      <c r="P287" s="7" t="n">
        <v>243</v>
      </c>
      <c r="Q287" s="7" t="n">
        <v>1.15</v>
      </c>
      <c r="R287" s="10" t="n">
        <f aca="false">Q287*L287</f>
        <v>4.6</v>
      </c>
      <c r="S287" s="10" t="n">
        <f aca="false">J287-R287</f>
        <v>-4.6</v>
      </c>
      <c r="T287" s="10" t="n">
        <f aca="false">MIN(138.9,(T286+S287))</f>
        <v>123.995</v>
      </c>
      <c r="U287" s="43" t="s">
        <v>40</v>
      </c>
      <c r="V287" s="7" t="n">
        <v>2368.9</v>
      </c>
      <c r="X287" s="7" t="n">
        <f aca="false">X286+V287</f>
        <v>173215.9</v>
      </c>
      <c r="Y287" s="7" t="n">
        <f aca="false">Y286+V287</f>
        <v>11470.9</v>
      </c>
      <c r="AA287" s="7" t="n">
        <v>14.8471262189599</v>
      </c>
    </row>
    <row r="288" s="7" customFormat="true" ht="15" hidden="false" customHeight="false" outlineLevel="0" collapsed="false">
      <c r="A288" s="42"/>
      <c r="B288" s="13"/>
      <c r="C288" s="8" t="n">
        <v>42134</v>
      </c>
      <c r="D288" s="7" t="n">
        <v>15.5</v>
      </c>
      <c r="E288" s="7" t="n">
        <v>9.3</v>
      </c>
      <c r="F288" s="7" t="n">
        <v>21.8</v>
      </c>
      <c r="G288" s="7" t="n">
        <f aca="false">G287+D288</f>
        <v>2191.5</v>
      </c>
      <c r="H288" s="7" t="n">
        <f aca="false">H287+D288</f>
        <v>139.3</v>
      </c>
      <c r="I288" s="7" t="n">
        <v>1</v>
      </c>
      <c r="J288" s="7" t="n">
        <v>0</v>
      </c>
      <c r="K288" s="7" t="n">
        <f aca="false">K287+J288</f>
        <v>442.3</v>
      </c>
      <c r="L288" s="7" t="n">
        <v>4.1</v>
      </c>
      <c r="M288" s="7" t="n">
        <f aca="false">M287+L288</f>
        <v>307.3</v>
      </c>
      <c r="N288" s="9" t="n">
        <v>-4.1</v>
      </c>
      <c r="O288" s="7" t="n">
        <f aca="false">O287+N288</f>
        <v>122.1</v>
      </c>
      <c r="P288" s="7" t="n">
        <v>244</v>
      </c>
      <c r="Q288" s="7" t="n">
        <v>1.15</v>
      </c>
      <c r="R288" s="10" t="n">
        <f aca="false">Q288*L288</f>
        <v>4.715</v>
      </c>
      <c r="S288" s="10" t="n">
        <f aca="false">J288-R288</f>
        <v>-4.715</v>
      </c>
      <c r="T288" s="10" t="n">
        <f aca="false">MIN(138.9,(T287+S288))</f>
        <v>119.28</v>
      </c>
      <c r="U288" s="10" t="n">
        <f aca="false">MAX(T279:T301)</f>
        <v>138.9</v>
      </c>
      <c r="V288" s="7" t="n">
        <v>2525.4</v>
      </c>
      <c r="X288" s="7" t="n">
        <f aca="false">X287+V288</f>
        <v>175741.3</v>
      </c>
      <c r="Y288" s="7" t="n">
        <f aca="false">Y287+V288</f>
        <v>13996.3</v>
      </c>
      <c r="AA288" s="7" t="n">
        <v>14.8926011168689</v>
      </c>
    </row>
    <row r="289" s="7" customFormat="true" ht="15" hidden="false" customHeight="false" outlineLevel="0" collapsed="false">
      <c r="A289" s="42"/>
      <c r="B289" s="13"/>
      <c r="C289" s="8" t="n">
        <v>42135</v>
      </c>
      <c r="D289" s="7" t="n">
        <v>18.8</v>
      </c>
      <c r="E289" s="7" t="n">
        <v>10.4</v>
      </c>
      <c r="F289" s="7" t="n">
        <v>26.1</v>
      </c>
      <c r="G289" s="7" t="n">
        <f aca="false">G288+D289</f>
        <v>2210.3</v>
      </c>
      <c r="H289" s="7" t="n">
        <f aca="false">H288+D289</f>
        <v>158.1</v>
      </c>
      <c r="I289" s="43" t="s">
        <v>41</v>
      </c>
      <c r="J289" s="7" t="n">
        <v>0</v>
      </c>
      <c r="K289" s="7" t="n">
        <f aca="false">K288+J289</f>
        <v>442.3</v>
      </c>
      <c r="L289" s="7" t="n">
        <v>4.2</v>
      </c>
      <c r="M289" s="7" t="n">
        <f aca="false">M288+L289</f>
        <v>311.5</v>
      </c>
      <c r="N289" s="9" t="n">
        <v>-4.2</v>
      </c>
      <c r="O289" s="7" t="n">
        <f aca="false">O288+N289</f>
        <v>117.9</v>
      </c>
      <c r="P289" s="7" t="n">
        <v>245</v>
      </c>
      <c r="Q289" s="7" t="n">
        <v>1.15</v>
      </c>
      <c r="R289" s="10" t="n">
        <f aca="false">Q289*L289</f>
        <v>4.83</v>
      </c>
      <c r="S289" s="10" t="n">
        <f aca="false">J289-R289</f>
        <v>-4.83</v>
      </c>
      <c r="T289" s="10" t="n">
        <f aca="false">MIN(138.9,(T288+S289))</f>
        <v>114.45</v>
      </c>
      <c r="U289" s="43" t="s">
        <v>42</v>
      </c>
      <c r="V289" s="7" t="n">
        <v>2321.4</v>
      </c>
      <c r="X289" s="7" t="n">
        <f aca="false">X288+V289</f>
        <v>178062.7</v>
      </c>
      <c r="Y289" s="7" t="n">
        <f aca="false">Y288+V289</f>
        <v>16317.7</v>
      </c>
      <c r="AA289" s="7" t="n">
        <v>14.9374630006078</v>
      </c>
    </row>
    <row r="290" s="7" customFormat="true" ht="15" hidden="false" customHeight="false" outlineLevel="0" collapsed="false">
      <c r="A290" s="42"/>
      <c r="B290" s="13"/>
      <c r="C290" s="8" t="n">
        <v>42136</v>
      </c>
      <c r="D290" s="7" t="n">
        <v>17.4</v>
      </c>
      <c r="E290" s="7" t="n">
        <v>16</v>
      </c>
      <c r="F290" s="7" t="n">
        <v>22.2</v>
      </c>
      <c r="G290" s="7" t="n">
        <f aca="false">G289+D290</f>
        <v>2227.7</v>
      </c>
      <c r="H290" s="7" t="n">
        <f aca="false">H289+D290</f>
        <v>175.5</v>
      </c>
      <c r="I290" s="7" t="n">
        <v>1</v>
      </c>
      <c r="J290" s="7" t="n">
        <v>0</v>
      </c>
      <c r="K290" s="7" t="n">
        <f aca="false">K289+J290</f>
        <v>442.3</v>
      </c>
      <c r="L290" s="7" t="n">
        <v>2.4</v>
      </c>
      <c r="M290" s="7" t="n">
        <f aca="false">M289+L290</f>
        <v>313.9</v>
      </c>
      <c r="N290" s="9" t="n">
        <v>-2.4</v>
      </c>
      <c r="O290" s="7" t="n">
        <f aca="false">O289+N290</f>
        <v>115.5</v>
      </c>
      <c r="P290" s="7" t="n">
        <v>246</v>
      </c>
      <c r="Q290" s="7" t="n">
        <v>1.15</v>
      </c>
      <c r="R290" s="10" t="n">
        <f aca="false">Q290*L290</f>
        <v>2.76</v>
      </c>
      <c r="S290" s="10" t="n">
        <f aca="false">J290-R290</f>
        <v>-2.76</v>
      </c>
      <c r="T290" s="10" t="n">
        <f aca="false">MIN(138.9,(T289+S290))</f>
        <v>111.69</v>
      </c>
      <c r="U290" s="15" t="n">
        <f aca="false">AVERAGE(T279:T301)</f>
        <v>113.48427173913</v>
      </c>
      <c r="V290" s="7" t="n">
        <v>1208.2</v>
      </c>
      <c r="X290" s="7" t="n">
        <f aca="false">X289+V290</f>
        <v>179270.9</v>
      </c>
      <c r="Y290" s="7" t="n">
        <f aca="false">Y289+V290</f>
        <v>17525.9</v>
      </c>
      <c r="AA290" s="7" t="n">
        <v>14.9816896173754</v>
      </c>
    </row>
    <row r="291" s="7" customFormat="true" ht="15" hidden="false" customHeight="false" outlineLevel="0" collapsed="false">
      <c r="A291" s="42"/>
      <c r="B291" s="13"/>
      <c r="C291" s="8" t="n">
        <v>42137</v>
      </c>
      <c r="D291" s="7" t="n">
        <v>16.8</v>
      </c>
      <c r="E291" s="7" t="n">
        <v>9.9</v>
      </c>
      <c r="F291" s="7" t="n">
        <v>23.8</v>
      </c>
      <c r="G291" s="7" t="n">
        <f aca="false">G290+D291</f>
        <v>2244.5</v>
      </c>
      <c r="H291" s="7" t="n">
        <f aca="false">H290+D291</f>
        <v>192.3</v>
      </c>
      <c r="I291" s="43" t="s">
        <v>43</v>
      </c>
      <c r="J291" s="7" t="n">
        <v>0</v>
      </c>
      <c r="K291" s="7" t="n">
        <f aca="false">K290+J291</f>
        <v>442.3</v>
      </c>
      <c r="L291" s="7" t="n">
        <v>3.2</v>
      </c>
      <c r="M291" s="7" t="n">
        <f aca="false">M290+L291</f>
        <v>317.1</v>
      </c>
      <c r="N291" s="9" t="n">
        <v>-3.2</v>
      </c>
      <c r="O291" s="7" t="n">
        <f aca="false">O290+N291</f>
        <v>112.3</v>
      </c>
      <c r="P291" s="7" t="n">
        <v>247</v>
      </c>
      <c r="Q291" s="7" t="n">
        <v>1.15</v>
      </c>
      <c r="R291" s="10" t="n">
        <f aca="false">Q291*L291</f>
        <v>3.68</v>
      </c>
      <c r="S291" s="10" t="n">
        <f aca="false">J291-R291</f>
        <v>-3.68</v>
      </c>
      <c r="T291" s="10" t="n">
        <f aca="false">MIN(138.9,(T290+S291))</f>
        <v>108.01</v>
      </c>
      <c r="V291" s="7" t="n">
        <v>1948</v>
      </c>
      <c r="X291" s="7" t="n">
        <f aca="false">X290+V291</f>
        <v>181218.9</v>
      </c>
      <c r="Y291" s="7" t="n">
        <f aca="false">Y290+V291</f>
        <v>19473.9</v>
      </c>
      <c r="AA291" s="7" t="n">
        <v>15.025258331298</v>
      </c>
    </row>
    <row r="292" s="7" customFormat="true" ht="15" hidden="false" customHeight="false" outlineLevel="0" collapsed="false">
      <c r="A292" s="42"/>
      <c r="B292" s="13"/>
      <c r="C292" s="8" t="n">
        <v>42138</v>
      </c>
      <c r="D292" s="7" t="n">
        <v>12.6</v>
      </c>
      <c r="E292" s="7" t="n">
        <v>12</v>
      </c>
      <c r="F292" s="7" t="n">
        <v>15</v>
      </c>
      <c r="G292" s="7" t="n">
        <f aca="false">G291+D292</f>
        <v>2257.1</v>
      </c>
      <c r="H292" s="7" t="n">
        <f aca="false">H291+D292</f>
        <v>204.9</v>
      </c>
      <c r="I292" s="7" t="n">
        <v>313.2</v>
      </c>
      <c r="J292" s="7" t="n">
        <v>3.1</v>
      </c>
      <c r="K292" s="7" t="n">
        <f aca="false">K291+J292</f>
        <v>445.4</v>
      </c>
      <c r="L292" s="7" t="n">
        <v>1.6</v>
      </c>
      <c r="M292" s="7" t="n">
        <f aca="false">M291+L292</f>
        <v>318.7</v>
      </c>
      <c r="N292" s="7" t="n">
        <v>1.5</v>
      </c>
      <c r="O292" s="7" t="n">
        <f aca="false">O291+N292</f>
        <v>113.8</v>
      </c>
      <c r="P292" s="7" t="n">
        <v>248</v>
      </c>
      <c r="Q292" s="7" t="n">
        <v>1.15</v>
      </c>
      <c r="R292" s="10" t="n">
        <f aca="false">Q292*L292</f>
        <v>1.84</v>
      </c>
      <c r="S292" s="10" t="n">
        <f aca="false">J292-R292</f>
        <v>1.26</v>
      </c>
      <c r="T292" s="10" t="n">
        <f aca="false">MIN(138.9,(T291+S292))</f>
        <v>109.27</v>
      </c>
      <c r="U292" s="10" t="n">
        <f aca="false">(U290*100)/138.9</f>
        <v>81.7021394810154</v>
      </c>
      <c r="V292" s="7" t="n">
        <v>929.6</v>
      </c>
      <c r="X292" s="7" t="n">
        <f aca="false">X291+V292</f>
        <v>182148.5</v>
      </c>
      <c r="Y292" s="7" t="n">
        <f aca="false">Y291+V292</f>
        <v>20403.5</v>
      </c>
      <c r="AA292" s="7" t="n">
        <v>15.06814614638</v>
      </c>
    </row>
    <row r="293" s="7" customFormat="true" ht="15" hidden="false" customHeight="false" outlineLevel="0" collapsed="false">
      <c r="A293" s="42"/>
      <c r="B293" s="13"/>
      <c r="C293" s="8" t="n">
        <v>42139</v>
      </c>
      <c r="D293" s="7" t="n">
        <v>11.6</v>
      </c>
      <c r="E293" s="7" t="n">
        <v>7.3</v>
      </c>
      <c r="F293" s="7" t="n">
        <v>16.1</v>
      </c>
      <c r="G293" s="7" t="n">
        <f aca="false">G292+D293</f>
        <v>2268.7</v>
      </c>
      <c r="H293" s="7" t="n">
        <f aca="false">H292+D293</f>
        <v>216.5</v>
      </c>
      <c r="J293" s="7" t="n">
        <v>0</v>
      </c>
      <c r="K293" s="7" t="n">
        <f aca="false">K292+J293</f>
        <v>445.4</v>
      </c>
      <c r="L293" s="7" t="n">
        <v>2.3</v>
      </c>
      <c r="M293" s="7" t="n">
        <f aca="false">M292+L293</f>
        <v>321</v>
      </c>
      <c r="N293" s="9" t="n">
        <v>-2.3</v>
      </c>
      <c r="O293" s="7" t="n">
        <f aca="false">O292+N293</f>
        <v>111.5</v>
      </c>
      <c r="P293" s="7" t="n">
        <v>249</v>
      </c>
      <c r="Q293" s="7" t="n">
        <v>1.15</v>
      </c>
      <c r="R293" s="10" t="n">
        <f aca="false">Q293*L293</f>
        <v>2.645</v>
      </c>
      <c r="S293" s="10" t="n">
        <f aca="false">J293-R293</f>
        <v>-2.645</v>
      </c>
      <c r="T293" s="10" t="n">
        <f aca="false">MIN(138.9,(T292+S293))</f>
        <v>106.625</v>
      </c>
      <c r="V293" s="7" t="n">
        <v>1477.1</v>
      </c>
      <c r="W293" s="36"/>
      <c r="X293" s="36" t="n">
        <f aca="false">X292+V293</f>
        <v>183625.6</v>
      </c>
      <c r="Y293" s="7" t="n">
        <f aca="false">Y292+V293</f>
        <v>21880.6</v>
      </c>
      <c r="AA293" s="7" t="n">
        <v>15.1103297319513</v>
      </c>
    </row>
    <row r="294" s="7" customFormat="true" ht="15" hidden="false" customHeight="true" outlineLevel="0" collapsed="false">
      <c r="A294" s="42"/>
      <c r="B294" s="13"/>
      <c r="C294" s="8" t="n">
        <v>42140</v>
      </c>
      <c r="D294" s="7" t="n">
        <v>12.3</v>
      </c>
      <c r="E294" s="7" t="n">
        <v>8.2</v>
      </c>
      <c r="F294" s="7" t="n">
        <v>16.8</v>
      </c>
      <c r="G294" s="7" t="n">
        <f aca="false">G293+D294</f>
        <v>2281</v>
      </c>
      <c r="H294" s="7" t="n">
        <f aca="false">H293+D294</f>
        <v>228.8</v>
      </c>
      <c r="J294" s="7" t="n">
        <v>0</v>
      </c>
      <c r="K294" s="7" t="n">
        <f aca="false">K293+J294</f>
        <v>445.4</v>
      </c>
      <c r="L294" s="7" t="n">
        <v>1.8</v>
      </c>
      <c r="M294" s="7" t="n">
        <f aca="false">M293+L294</f>
        <v>322.8</v>
      </c>
      <c r="N294" s="9" t="n">
        <v>-1.8</v>
      </c>
      <c r="O294" s="7" t="n">
        <f aca="false">O293+N294</f>
        <v>109.7</v>
      </c>
      <c r="P294" s="7" t="n">
        <v>250</v>
      </c>
      <c r="Q294" s="7" t="n">
        <v>1.15</v>
      </c>
      <c r="R294" s="10" t="n">
        <f aca="false">Q294*L294</f>
        <v>2.07</v>
      </c>
      <c r="S294" s="10" t="n">
        <f aca="false">J294-R294</f>
        <v>-2.07</v>
      </c>
      <c r="T294" s="10" t="n">
        <f aca="false">MIN(138.9,(T293+S294))</f>
        <v>104.555</v>
      </c>
      <c r="U294" s="37"/>
      <c r="V294" s="7" t="n">
        <v>1099.2</v>
      </c>
      <c r="X294" s="7" t="n">
        <f aca="false">X293+V294</f>
        <v>184724.8</v>
      </c>
      <c r="Y294" s="7" t="n">
        <f aca="false">Y293+V294</f>
        <v>22979.8</v>
      </c>
      <c r="AA294" s="7" t="n">
        <v>15.1517854506599</v>
      </c>
    </row>
    <row r="295" s="7" customFormat="true" ht="15" hidden="false" customHeight="false" outlineLevel="0" collapsed="false">
      <c r="A295" s="42"/>
      <c r="B295" s="13"/>
      <c r="C295" s="8" t="n">
        <v>42141</v>
      </c>
      <c r="D295" s="7" t="n">
        <v>13</v>
      </c>
      <c r="E295" s="7" t="n">
        <v>8.1</v>
      </c>
      <c r="F295" s="7" t="n">
        <v>18.8</v>
      </c>
      <c r="G295" s="7" t="n">
        <f aca="false">G294+D295</f>
        <v>2294</v>
      </c>
      <c r="H295" s="7" t="n">
        <f aca="false">H294+D295</f>
        <v>241.8</v>
      </c>
      <c r="J295" s="7" t="n">
        <v>0</v>
      </c>
      <c r="K295" s="7" t="n">
        <f aca="false">K294+J295</f>
        <v>445.4</v>
      </c>
      <c r="L295" s="7" t="n">
        <v>4.3</v>
      </c>
      <c r="M295" s="7" t="n">
        <f aca="false">M294+L295</f>
        <v>327.1</v>
      </c>
      <c r="N295" s="9" t="n">
        <v>-4.3</v>
      </c>
      <c r="O295" s="7" t="n">
        <f aca="false">O294+N295</f>
        <v>105.4</v>
      </c>
      <c r="P295" s="7" t="n">
        <v>251</v>
      </c>
      <c r="Q295" s="7" t="n">
        <v>1.15</v>
      </c>
      <c r="R295" s="10" t="n">
        <f aca="false">Q295*L295</f>
        <v>4.945</v>
      </c>
      <c r="S295" s="10" t="n">
        <f aca="false">J295-R295</f>
        <v>-4.945</v>
      </c>
      <c r="T295" s="10" t="n">
        <f aca="false">MIN(138.9,(T294+S295))</f>
        <v>99.61</v>
      </c>
      <c r="V295" s="7" t="n">
        <v>2601.7</v>
      </c>
      <c r="X295" s="7" t="n">
        <f aca="false">X294+V295</f>
        <v>187326.5</v>
      </c>
      <c r="Y295" s="7" t="n">
        <f aca="false">Y294+V295</f>
        <v>25581.5</v>
      </c>
      <c r="AA295" s="7" t="n">
        <v>15.1924893890517</v>
      </c>
    </row>
    <row r="296" s="7" customFormat="true" ht="15" hidden="false" customHeight="false" outlineLevel="0" collapsed="false">
      <c r="A296" s="42"/>
      <c r="B296" s="13"/>
      <c r="C296" s="8" t="n">
        <v>42142</v>
      </c>
      <c r="D296" s="7" t="n">
        <v>13.4</v>
      </c>
      <c r="E296" s="7" t="n">
        <v>6.8</v>
      </c>
      <c r="F296" s="7" t="n">
        <v>20.3</v>
      </c>
      <c r="G296" s="7" t="n">
        <f aca="false">G295+D296</f>
        <v>2307.4</v>
      </c>
      <c r="H296" s="7" t="n">
        <f aca="false">H295+D296</f>
        <v>255.2</v>
      </c>
      <c r="J296" s="7" t="n">
        <v>0.3</v>
      </c>
      <c r="K296" s="7" t="n">
        <f aca="false">K295+J296</f>
        <v>445.7</v>
      </c>
      <c r="L296" s="7" t="n">
        <v>3.3</v>
      </c>
      <c r="M296" s="7" t="n">
        <f aca="false">M295+L296</f>
        <v>330.4</v>
      </c>
      <c r="N296" s="9" t="n">
        <v>-3</v>
      </c>
      <c r="O296" s="7" t="n">
        <f aca="false">O295+N296</f>
        <v>102.4</v>
      </c>
      <c r="P296" s="7" t="n">
        <v>252</v>
      </c>
      <c r="Q296" s="7" t="n">
        <v>1.15</v>
      </c>
      <c r="R296" s="10" t="n">
        <f aca="false">Q296*L296</f>
        <v>3.795</v>
      </c>
      <c r="S296" s="10" t="n">
        <f aca="false">J296-R296</f>
        <v>-3.495</v>
      </c>
      <c r="T296" s="10" t="n">
        <f aca="false">MIN(138.9,(T295+S296))</f>
        <v>96.115</v>
      </c>
      <c r="V296" s="7" t="n">
        <v>1899.7</v>
      </c>
      <c r="X296" s="7" t="n">
        <f aca="false">X295+V296</f>
        <v>189226.2</v>
      </c>
      <c r="Y296" s="7" t="n">
        <f aca="false">Y295+V296</f>
        <v>27481.2</v>
      </c>
      <c r="AA296" s="7" t="n">
        <v>15.2324173907634</v>
      </c>
    </row>
    <row r="297" s="7" customFormat="true" ht="15" hidden="false" customHeight="false" outlineLevel="0" collapsed="false">
      <c r="A297" s="42"/>
      <c r="B297" s="13"/>
      <c r="C297" s="8" t="n">
        <v>42143</v>
      </c>
      <c r="D297" s="7" t="n">
        <v>10</v>
      </c>
      <c r="E297" s="7" t="n">
        <v>8.4</v>
      </c>
      <c r="F297" s="7" t="n">
        <v>14.7</v>
      </c>
      <c r="G297" s="7" t="n">
        <f aca="false">G296+D297</f>
        <v>2317.4</v>
      </c>
      <c r="H297" s="7" t="n">
        <f aca="false">H296+D297</f>
        <v>265.2</v>
      </c>
      <c r="J297" s="7" t="n">
        <v>1.7</v>
      </c>
      <c r="K297" s="7" t="n">
        <f aca="false">K296+J297</f>
        <v>447.4</v>
      </c>
      <c r="L297" s="7" t="n">
        <v>3.4</v>
      </c>
      <c r="M297" s="7" t="n">
        <f aca="false">M296+L297</f>
        <v>333.8</v>
      </c>
      <c r="N297" s="9" t="n">
        <v>-1.7</v>
      </c>
      <c r="O297" s="7" t="n">
        <f aca="false">O296+N297</f>
        <v>100.7</v>
      </c>
      <c r="P297" s="7" t="n">
        <v>253</v>
      </c>
      <c r="Q297" s="7" t="n">
        <v>1.15</v>
      </c>
      <c r="R297" s="10" t="n">
        <f aca="false">Q297*L297</f>
        <v>3.91</v>
      </c>
      <c r="S297" s="10" t="n">
        <f aca="false">J297-R297</f>
        <v>-2.21</v>
      </c>
      <c r="T297" s="10" t="n">
        <f aca="false">MIN(138.9,(T296+S297))</f>
        <v>93.905</v>
      </c>
      <c r="V297" s="7" t="n">
        <v>2031.2</v>
      </c>
      <c r="X297" s="7" t="n">
        <f aca="false">X296+V297</f>
        <v>191257.4</v>
      </c>
      <c r="Y297" s="7" t="n">
        <f aca="false">Y296+V297</f>
        <v>29512.4</v>
      </c>
      <c r="AA297" s="7" t="n">
        <v>15.2715450923428</v>
      </c>
    </row>
    <row r="298" s="7" customFormat="true" ht="15" hidden="false" customHeight="false" outlineLevel="0" collapsed="false">
      <c r="A298" s="42"/>
      <c r="B298" s="13"/>
      <c r="C298" s="8" t="n">
        <v>42144</v>
      </c>
      <c r="D298" s="7" t="n">
        <v>8.7</v>
      </c>
      <c r="E298" s="7" t="n">
        <v>5.4</v>
      </c>
      <c r="F298" s="7" t="n">
        <v>12.7</v>
      </c>
      <c r="G298" s="7" t="n">
        <f aca="false">G297+D298</f>
        <v>2326.1</v>
      </c>
      <c r="H298" s="7" t="n">
        <f aca="false">H297+D298</f>
        <v>273.9</v>
      </c>
      <c r="J298" s="7" t="n">
        <v>1.9</v>
      </c>
      <c r="K298" s="7" t="n">
        <f aca="false">K297+J298</f>
        <v>449.3</v>
      </c>
      <c r="L298" s="7" t="n">
        <v>1.6</v>
      </c>
      <c r="M298" s="7" t="n">
        <f aca="false">M297+L298</f>
        <v>335.4</v>
      </c>
      <c r="N298" s="7" t="n">
        <v>0.3</v>
      </c>
      <c r="O298" s="7" t="n">
        <f aca="false">O297+N298</f>
        <v>101</v>
      </c>
      <c r="P298" s="7" t="n">
        <v>254</v>
      </c>
      <c r="Q298" s="7" t="n">
        <v>1.15</v>
      </c>
      <c r="R298" s="10" t="n">
        <f aca="false">Q298*L298</f>
        <v>1.84</v>
      </c>
      <c r="S298" s="10" t="n">
        <f aca="false">J298-R298</f>
        <v>0.0600000000000001</v>
      </c>
      <c r="T298" s="10" t="n">
        <f aca="false">MIN(138.9,(T297+S298))</f>
        <v>93.9650000000001</v>
      </c>
      <c r="V298" s="7" t="n">
        <v>1147.4</v>
      </c>
      <c r="X298" s="7" t="n">
        <f aca="false">X297+V298</f>
        <v>192404.8</v>
      </c>
      <c r="Y298" s="7" t="n">
        <f aca="false">Y297+V298</f>
        <v>30659.8</v>
      </c>
      <c r="AA298" s="7" t="n">
        <v>15.3098479616944</v>
      </c>
    </row>
    <row r="299" s="7" customFormat="true" ht="15" hidden="false" customHeight="false" outlineLevel="0" collapsed="false">
      <c r="A299" s="42"/>
      <c r="B299" s="13"/>
      <c r="C299" s="8" t="n">
        <v>42145</v>
      </c>
      <c r="D299" s="7" t="n">
        <v>11</v>
      </c>
      <c r="E299" s="7" t="n">
        <v>4.4</v>
      </c>
      <c r="F299" s="7" t="n">
        <v>17.2</v>
      </c>
      <c r="G299" s="7" t="n">
        <f aca="false">G298+D299</f>
        <v>2337.1</v>
      </c>
      <c r="H299" s="7" t="n">
        <f aca="false">H298+D299</f>
        <v>284.9</v>
      </c>
      <c r="J299" s="7" t="n">
        <v>0</v>
      </c>
      <c r="K299" s="7" t="n">
        <f aca="false">K298+J299</f>
        <v>449.3</v>
      </c>
      <c r="L299" s="7" t="n">
        <v>2.8</v>
      </c>
      <c r="M299" s="7" t="n">
        <f aca="false">M298+L299</f>
        <v>338.2</v>
      </c>
      <c r="N299" s="9" t="n">
        <v>-2.8</v>
      </c>
      <c r="O299" s="7" t="n">
        <f aca="false">O298+N299</f>
        <v>98.2</v>
      </c>
      <c r="P299" s="7" t="n">
        <v>255</v>
      </c>
      <c r="Q299" s="7" t="n">
        <v>1.15</v>
      </c>
      <c r="R299" s="10" t="n">
        <f aca="false">Q299*L299</f>
        <v>3.22</v>
      </c>
      <c r="S299" s="10" t="n">
        <f aca="false">J299-R299</f>
        <v>-3.22</v>
      </c>
      <c r="T299" s="10" t="n">
        <f aca="false">MIN(138.9,(T298+S299))</f>
        <v>90.7450000000001</v>
      </c>
      <c r="V299" s="7" t="n">
        <v>1882.5</v>
      </c>
      <c r="X299" s="7" t="n">
        <f aca="false">X298+V299</f>
        <v>194287.3</v>
      </c>
      <c r="Y299" s="7" t="n">
        <f aca="false">Y298+V299</f>
        <v>32542.3</v>
      </c>
      <c r="AA299" s="7" t="n">
        <v>15.347301339131</v>
      </c>
    </row>
    <row r="300" s="7" customFormat="true" ht="15" hidden="false" customHeight="false" outlineLevel="0" collapsed="false">
      <c r="A300" s="42"/>
      <c r="B300" s="13"/>
      <c r="C300" s="8" t="n">
        <v>42146</v>
      </c>
      <c r="D300" s="7" t="n">
        <v>13</v>
      </c>
      <c r="E300" s="7" t="n">
        <v>5.8</v>
      </c>
      <c r="F300" s="7" t="n">
        <v>18.6</v>
      </c>
      <c r="G300" s="7" t="n">
        <f aca="false">G299+D300</f>
        <v>2350.1</v>
      </c>
      <c r="H300" s="7" t="n">
        <f aca="false">H299+D300</f>
        <v>297.9</v>
      </c>
      <c r="J300" s="7" t="n">
        <v>0</v>
      </c>
      <c r="K300" s="7" t="n">
        <f aca="false">K299+J300</f>
        <v>449.3</v>
      </c>
      <c r="L300" s="7" t="n">
        <v>2.7</v>
      </c>
      <c r="M300" s="7" t="n">
        <f aca="false">M299+L300</f>
        <v>340.9</v>
      </c>
      <c r="N300" s="9" t="n">
        <v>-2.7</v>
      </c>
      <c r="O300" s="7" t="n">
        <f aca="false">O299+N300</f>
        <v>95.5</v>
      </c>
      <c r="P300" s="7" t="n">
        <v>256</v>
      </c>
      <c r="Q300" s="7" t="n">
        <v>1.15</v>
      </c>
      <c r="R300" s="10" t="n">
        <f aca="false">Q300*L300</f>
        <v>3.105</v>
      </c>
      <c r="S300" s="10" t="n">
        <f aca="false">J300-R300</f>
        <v>-3.105</v>
      </c>
      <c r="T300" s="10" t="n">
        <f aca="false">MIN(138.9,(T299+S300))</f>
        <v>87.64</v>
      </c>
      <c r="V300" s="7" t="n">
        <v>1747.5</v>
      </c>
      <c r="X300" s="7" t="n">
        <f aca="false">X299+V300</f>
        <v>196034.8</v>
      </c>
      <c r="Y300" s="7" t="n">
        <f aca="false">Y299+V300</f>
        <v>34289.8</v>
      </c>
      <c r="AA300" s="7" t="n">
        <v>15.3838804809943</v>
      </c>
    </row>
    <row r="301" s="18" customFormat="true" ht="15" hidden="false" customHeight="false" outlineLevel="0" collapsed="false">
      <c r="A301" s="42"/>
      <c r="B301" s="16" t="n">
        <v>300</v>
      </c>
      <c r="C301" s="17" t="n">
        <v>42147</v>
      </c>
      <c r="D301" s="18" t="n">
        <v>15.3</v>
      </c>
      <c r="E301" s="18" t="n">
        <v>9.4</v>
      </c>
      <c r="F301" s="18" t="n">
        <v>19.9</v>
      </c>
      <c r="G301" s="18" t="n">
        <f aca="false">G300+D301</f>
        <v>2365.4</v>
      </c>
      <c r="H301" s="18" t="n">
        <f aca="false">H300+D301</f>
        <v>313.2</v>
      </c>
      <c r="J301" s="18" t="n">
        <v>0</v>
      </c>
      <c r="K301" s="18" t="n">
        <f aca="false">K300+J301</f>
        <v>449.3</v>
      </c>
      <c r="L301" s="18" t="n">
        <v>2.5</v>
      </c>
      <c r="M301" s="18" t="n">
        <f aca="false">M300+L301</f>
        <v>343.4</v>
      </c>
      <c r="N301" s="19" t="n">
        <v>-2.5</v>
      </c>
      <c r="O301" s="18" t="n">
        <f aca="false">O300+N301</f>
        <v>93</v>
      </c>
      <c r="P301" s="18" t="n">
        <v>257</v>
      </c>
      <c r="Q301" s="18" t="n">
        <v>1.15</v>
      </c>
      <c r="R301" s="20" t="n">
        <f aca="false">Q301*L301</f>
        <v>2.875</v>
      </c>
      <c r="S301" s="20" t="n">
        <f aca="false">J301-R301</f>
        <v>-2.875</v>
      </c>
      <c r="T301" s="20" t="n">
        <f aca="false">MIN(138.9,(T300+S301))</f>
        <v>84.765</v>
      </c>
      <c r="V301" s="18" t="n">
        <v>1448.6</v>
      </c>
      <c r="X301" s="18" t="n">
        <f aca="false">X300+V301</f>
        <v>197483.4</v>
      </c>
      <c r="Y301" s="18" t="n">
        <f aca="false">Y300+V301</f>
        <v>35738.4</v>
      </c>
      <c r="AA301" s="18" t="n">
        <v>15.4195606057882</v>
      </c>
    </row>
    <row r="302" s="7" customFormat="true" ht="15" hidden="false" customHeight="false" outlineLevel="0" collapsed="false">
      <c r="A302" s="44" t="n">
        <v>600</v>
      </c>
      <c r="B302" s="13"/>
      <c r="C302" s="8" t="n">
        <v>42148</v>
      </c>
      <c r="D302" s="7" t="n">
        <v>16.1</v>
      </c>
      <c r="E302" s="7" t="n">
        <v>11.5</v>
      </c>
      <c r="F302" s="7" t="n">
        <v>20.1</v>
      </c>
      <c r="G302" s="7" t="n">
        <f aca="false">G301+D302</f>
        <v>2381.5</v>
      </c>
      <c r="H302" s="7" t="n">
        <v>16.1</v>
      </c>
      <c r="I302" s="45" t="s">
        <v>28</v>
      </c>
      <c r="J302" s="7" t="n">
        <v>0.2</v>
      </c>
      <c r="K302" s="7" t="n">
        <f aca="false">K301+J302</f>
        <v>449.5</v>
      </c>
      <c r="L302" s="7" t="n">
        <v>3.1</v>
      </c>
      <c r="M302" s="7" t="n">
        <f aca="false">M301+L302</f>
        <v>346.5</v>
      </c>
      <c r="N302" s="9" t="n">
        <v>-2.9</v>
      </c>
      <c r="O302" s="7" t="n">
        <f aca="false">O301+N302</f>
        <v>90.1</v>
      </c>
      <c r="P302" s="7" t="n">
        <v>258</v>
      </c>
      <c r="Q302" s="15" t="n">
        <f aca="false">1.15+((P302-257)/44)*(0.35-1.15)</f>
        <v>1.13181818181818</v>
      </c>
      <c r="R302" s="10" t="n">
        <f aca="false">Q302*L302</f>
        <v>3.50863636363636</v>
      </c>
      <c r="S302" s="10" t="n">
        <f aca="false">J302-R302</f>
        <v>-3.30863636363636</v>
      </c>
      <c r="T302" s="10" t="n">
        <f aca="false">MIN(138.9,(T301+S302))</f>
        <v>81.4563636363637</v>
      </c>
      <c r="U302" s="45" t="s">
        <v>29</v>
      </c>
      <c r="V302" s="7" t="n">
        <v>1781.7</v>
      </c>
      <c r="X302" s="7" t="n">
        <f aca="false">X301+V302</f>
        <v>199265.1</v>
      </c>
      <c r="Y302" s="7" t="n">
        <v>1781.7</v>
      </c>
      <c r="Z302" s="45" t="s">
        <v>30</v>
      </c>
      <c r="AA302" s="7" t="n">
        <v>15.4543169427477</v>
      </c>
    </row>
    <row r="303" s="7" customFormat="true" ht="15" hidden="false" customHeight="false" outlineLevel="0" collapsed="false">
      <c r="A303" s="44"/>
      <c r="B303" s="13"/>
      <c r="C303" s="8" t="n">
        <v>42149</v>
      </c>
      <c r="D303" s="7" t="n">
        <v>15.6</v>
      </c>
      <c r="E303" s="7" t="n">
        <v>13.8</v>
      </c>
      <c r="F303" s="7" t="n">
        <v>18.8</v>
      </c>
      <c r="G303" s="7" t="n">
        <f aca="false">G302+D303</f>
        <v>2397.1</v>
      </c>
      <c r="H303" s="7" t="n">
        <f aca="false">H302+D303</f>
        <v>31.7</v>
      </c>
      <c r="I303" s="7" t="n">
        <f aca="false">MIN(E302:E320)</f>
        <v>7.1</v>
      </c>
      <c r="J303" s="7" t="n">
        <v>0</v>
      </c>
      <c r="K303" s="7" t="n">
        <f aca="false">K302+J303</f>
        <v>449.5</v>
      </c>
      <c r="L303" s="7" t="n">
        <v>2.5</v>
      </c>
      <c r="M303" s="7" t="n">
        <f aca="false">M302+L303</f>
        <v>349</v>
      </c>
      <c r="N303" s="9" t="n">
        <v>-2.5</v>
      </c>
      <c r="O303" s="7" t="n">
        <f aca="false">O302+N303</f>
        <v>87.6</v>
      </c>
      <c r="P303" s="7" t="n">
        <v>259</v>
      </c>
      <c r="Q303" s="15" t="n">
        <f aca="false">1.15+((P303-257)/44)*(0.35-1.15)</f>
        <v>1.11363636363636</v>
      </c>
      <c r="R303" s="10" t="n">
        <f aca="false">Q303*L303</f>
        <v>2.78409090909091</v>
      </c>
      <c r="S303" s="10" t="n">
        <f aca="false">J303-R303</f>
        <v>-2.78409090909091</v>
      </c>
      <c r="T303" s="10" t="n">
        <f aca="false">MIN(138.9,(T302+S303))</f>
        <v>78.6722727272728</v>
      </c>
      <c r="U303" s="7" t="n">
        <v>17</v>
      </c>
      <c r="V303" s="7" t="n">
        <v>1330.7</v>
      </c>
      <c r="X303" s="7" t="n">
        <f aca="false">X302+V303</f>
        <v>200595.8</v>
      </c>
      <c r="Y303" s="7" t="n">
        <f aca="false">Y302+V303</f>
        <v>3112.4</v>
      </c>
      <c r="Z303" s="7" t="n">
        <v>34956.1</v>
      </c>
      <c r="AA303" s="7" t="n">
        <v>15.4881247827429</v>
      </c>
    </row>
    <row r="304" s="7" customFormat="true" ht="15" hidden="false" customHeight="false" outlineLevel="0" collapsed="false">
      <c r="A304" s="44"/>
      <c r="B304" s="13"/>
      <c r="C304" s="8" t="n">
        <v>42150</v>
      </c>
      <c r="D304" s="7" t="n">
        <v>13.1</v>
      </c>
      <c r="E304" s="7" t="n">
        <v>10.1</v>
      </c>
      <c r="F304" s="7" t="n">
        <v>16.7</v>
      </c>
      <c r="G304" s="7" t="n">
        <f aca="false">G303+D304</f>
        <v>2410.2</v>
      </c>
      <c r="H304" s="7" t="n">
        <f aca="false">H303+D304</f>
        <v>44.8</v>
      </c>
      <c r="I304" s="45" t="s">
        <v>31</v>
      </c>
      <c r="J304" s="7" t="n">
        <v>0</v>
      </c>
      <c r="K304" s="7" t="n">
        <f aca="false">K303+J304</f>
        <v>449.5</v>
      </c>
      <c r="L304" s="7" t="n">
        <v>3.1</v>
      </c>
      <c r="M304" s="7" t="n">
        <f aca="false">M303+L304</f>
        <v>352.1</v>
      </c>
      <c r="N304" s="9" t="n">
        <v>-3.1</v>
      </c>
      <c r="O304" s="7" t="n">
        <f aca="false">O303+N304</f>
        <v>84.5</v>
      </c>
      <c r="P304" s="7" t="n">
        <v>260</v>
      </c>
      <c r="Q304" s="15" t="n">
        <f aca="false">1.15+((P304-257)/44)*(0.35-1.15)</f>
        <v>1.09545454545455</v>
      </c>
      <c r="R304" s="10" t="n">
        <f aca="false">Q304*L304</f>
        <v>3.39590909090909</v>
      </c>
      <c r="S304" s="10" t="n">
        <f aca="false">J304-R304</f>
        <v>-3.39590909090909</v>
      </c>
      <c r="T304" s="10" t="n">
        <f aca="false">MIN(138.9,(T303+S304))</f>
        <v>75.2763636363637</v>
      </c>
      <c r="U304" s="45" t="s">
        <v>32</v>
      </c>
      <c r="V304" s="7" t="n">
        <v>1947.7</v>
      </c>
      <c r="X304" s="7" t="n">
        <f aca="false">X303+V304</f>
        <v>202543.5</v>
      </c>
      <c r="Y304" s="7" t="n">
        <f aca="false">Y303+V304</f>
        <v>5060.1</v>
      </c>
      <c r="Z304" s="45" t="s">
        <v>33</v>
      </c>
      <c r="AA304" s="7" t="n">
        <v>15.5209595313988</v>
      </c>
    </row>
    <row r="305" s="7" customFormat="true" ht="15" hidden="false" customHeight="false" outlineLevel="0" collapsed="false">
      <c r="A305" s="44"/>
      <c r="B305" s="13"/>
      <c r="C305" s="8" t="n">
        <v>42151</v>
      </c>
      <c r="D305" s="7" t="n">
        <v>14.8</v>
      </c>
      <c r="E305" s="7" t="n">
        <v>7.1</v>
      </c>
      <c r="F305" s="7" t="n">
        <v>21.4</v>
      </c>
      <c r="G305" s="7" t="n">
        <f aca="false">G304+D305</f>
        <v>2425</v>
      </c>
      <c r="H305" s="7" t="n">
        <f aca="false">H304+D305</f>
        <v>59.6</v>
      </c>
      <c r="I305" s="7" t="n">
        <f aca="false">MAX(F302:F320)</f>
        <v>31.6</v>
      </c>
      <c r="J305" s="7" t="n">
        <v>0</v>
      </c>
      <c r="K305" s="7" t="n">
        <f aca="false">K304+J305</f>
        <v>449.5</v>
      </c>
      <c r="L305" s="7" t="n">
        <v>2.5</v>
      </c>
      <c r="M305" s="7" t="n">
        <f aca="false">M304+L305</f>
        <v>354.6</v>
      </c>
      <c r="N305" s="9" t="n">
        <v>-2.5</v>
      </c>
      <c r="O305" s="7" t="n">
        <f aca="false">O304+N305</f>
        <v>82</v>
      </c>
      <c r="P305" s="7" t="n">
        <v>261</v>
      </c>
      <c r="Q305" s="15" t="n">
        <f aca="false">1.15+((P305-257)/44)*(0.35-1.15)</f>
        <v>1.07727272727273</v>
      </c>
      <c r="R305" s="10" t="n">
        <f aca="false">Q305*L305</f>
        <v>2.69318181818182</v>
      </c>
      <c r="S305" s="10" t="n">
        <f aca="false">J305-R305</f>
        <v>-2.69318181818182</v>
      </c>
      <c r="T305" s="10" t="n">
        <f aca="false">MIN(138.9,(T304+S305))</f>
        <v>72.5831818181819</v>
      </c>
      <c r="U305" s="7" t="n">
        <v>0</v>
      </c>
      <c r="V305" s="7" t="n">
        <v>1588.4</v>
      </c>
      <c r="X305" s="7" t="n">
        <f aca="false">X304+V305</f>
        <v>204131.9</v>
      </c>
      <c r="Y305" s="7" t="n">
        <f aca="false">Y304+V305</f>
        <v>6648.5</v>
      </c>
      <c r="Z305" s="15" t="n">
        <f aca="false">(Z303/100)/I315</f>
        <v>1.0869434079602</v>
      </c>
      <c r="AA305" s="7" t="n">
        <v>15.5527967642831</v>
      </c>
    </row>
    <row r="306" s="7" customFormat="true" ht="15" hidden="false" customHeight="false" outlineLevel="0" collapsed="false">
      <c r="A306" s="44"/>
      <c r="B306" s="13"/>
      <c r="C306" s="8" t="n">
        <v>42152</v>
      </c>
      <c r="D306" s="7" t="n">
        <v>15</v>
      </c>
      <c r="E306" s="7" t="n">
        <v>9</v>
      </c>
      <c r="F306" s="7" t="n">
        <v>20.1</v>
      </c>
      <c r="G306" s="7" t="n">
        <f aca="false">G305+D306</f>
        <v>2440</v>
      </c>
      <c r="H306" s="7" t="n">
        <f aca="false">H305+D306</f>
        <v>74.6</v>
      </c>
      <c r="I306" s="45" t="s">
        <v>34</v>
      </c>
      <c r="J306" s="7" t="n">
        <v>0.4</v>
      </c>
      <c r="K306" s="7" t="n">
        <f aca="false">K305+J306</f>
        <v>449.9</v>
      </c>
      <c r="L306" s="7" t="n">
        <v>3.8</v>
      </c>
      <c r="M306" s="7" t="n">
        <f aca="false">M305+L306</f>
        <v>358.4</v>
      </c>
      <c r="N306" s="9" t="n">
        <v>-3.4</v>
      </c>
      <c r="O306" s="7" t="n">
        <f aca="false">O305+N306</f>
        <v>78.6</v>
      </c>
      <c r="P306" s="7" t="n">
        <v>262</v>
      </c>
      <c r="Q306" s="15" t="n">
        <f aca="false">1.15+((P306-257)/44)*(0.35-1.15)</f>
        <v>1.05909090909091</v>
      </c>
      <c r="R306" s="10" t="n">
        <f aca="false">Q306*L306</f>
        <v>4.02454545454545</v>
      </c>
      <c r="S306" s="10" t="n">
        <f aca="false">J306-R306</f>
        <v>-3.62454545454545</v>
      </c>
      <c r="T306" s="10" t="n">
        <f aca="false">MIN(138.9,(T305+S306))</f>
        <v>68.9586363636364</v>
      </c>
      <c r="U306" s="45" t="s">
        <v>35</v>
      </c>
      <c r="V306" s="7" t="n">
        <v>2241.7</v>
      </c>
      <c r="X306" s="7" t="n">
        <f aca="false">X305+V306</f>
        <v>206373.6</v>
      </c>
      <c r="Y306" s="7" t="n">
        <f aca="false">Y305+V306</f>
        <v>8890.2</v>
      </c>
      <c r="Z306" s="45" t="s">
        <v>36</v>
      </c>
      <c r="AA306" s="7" t="n">
        <v>15.5836122839953</v>
      </c>
    </row>
    <row r="307" s="7" customFormat="true" ht="15" hidden="false" customHeight="false" outlineLevel="0" collapsed="false">
      <c r="A307" s="44"/>
      <c r="B307" s="13"/>
      <c r="C307" s="8" t="n">
        <v>42153</v>
      </c>
      <c r="D307" s="7" t="n">
        <v>15.6</v>
      </c>
      <c r="E307" s="7" t="n">
        <v>11.7</v>
      </c>
      <c r="F307" s="7" t="n">
        <v>19.1</v>
      </c>
      <c r="G307" s="7" t="n">
        <f aca="false">G306+D307</f>
        <v>2455.6</v>
      </c>
      <c r="H307" s="7" t="n">
        <f aca="false">H306+D307</f>
        <v>90.2</v>
      </c>
      <c r="I307" s="10" t="n">
        <f aca="false">AVERAGE(D302:D320)</f>
        <v>16.9263157894737</v>
      </c>
      <c r="J307" s="7" t="n">
        <v>0</v>
      </c>
      <c r="K307" s="7" t="n">
        <f aca="false">K306+J307</f>
        <v>449.9</v>
      </c>
      <c r="L307" s="7" t="n">
        <v>4.4</v>
      </c>
      <c r="M307" s="7" t="n">
        <f aca="false">M306+L307</f>
        <v>362.8</v>
      </c>
      <c r="N307" s="9" t="n">
        <v>-4.4</v>
      </c>
      <c r="O307" s="7" t="n">
        <f aca="false">O306+N307</f>
        <v>74.2</v>
      </c>
      <c r="P307" s="7" t="n">
        <v>263</v>
      </c>
      <c r="Q307" s="15" t="n">
        <f aca="false">1.15+((P307-257)/44)*(0.35-1.15)</f>
        <v>1.04090909090909</v>
      </c>
      <c r="R307" s="10" t="n">
        <f aca="false">Q307*L307</f>
        <v>4.58</v>
      </c>
      <c r="S307" s="10" t="n">
        <f aca="false">J307-R307</f>
        <v>-4.58</v>
      </c>
      <c r="T307" s="10" t="n">
        <f aca="false">MIN(138.9,(T306+S307))</f>
        <v>64.3786363636364</v>
      </c>
      <c r="U307" s="7" t="n">
        <v>7</v>
      </c>
      <c r="V307" s="7" t="n">
        <v>2266.4</v>
      </c>
      <c r="X307" s="7" t="n">
        <f aca="false">X306+V307</f>
        <v>208640</v>
      </c>
      <c r="Y307" s="7" t="n">
        <f aca="false">Y306+V307</f>
        <v>11156.6</v>
      </c>
      <c r="Z307" s="7" t="n">
        <v>2</v>
      </c>
      <c r="AA307" s="7" t="n">
        <v>15.6133821789622</v>
      </c>
    </row>
    <row r="308" s="7" customFormat="true" ht="15" hidden="false" customHeight="false" outlineLevel="0" collapsed="false">
      <c r="A308" s="44"/>
      <c r="B308" s="13"/>
      <c r="C308" s="8" t="n">
        <v>42154</v>
      </c>
      <c r="D308" s="7" t="n">
        <v>15.7</v>
      </c>
      <c r="E308" s="7" t="n">
        <v>13.2</v>
      </c>
      <c r="F308" s="7" t="n">
        <v>19.3</v>
      </c>
      <c r="G308" s="7" t="n">
        <f aca="false">G307+D308</f>
        <v>2471.3</v>
      </c>
      <c r="H308" s="7" t="n">
        <f aca="false">H307+D308</f>
        <v>105.9</v>
      </c>
      <c r="I308" s="45" t="s">
        <v>37</v>
      </c>
      <c r="J308" s="7" t="n">
        <v>0</v>
      </c>
      <c r="K308" s="7" t="n">
        <f aca="false">K307+J308</f>
        <v>449.9</v>
      </c>
      <c r="L308" s="7" t="n">
        <v>3.2</v>
      </c>
      <c r="M308" s="7" t="n">
        <f aca="false">M307+L308</f>
        <v>366</v>
      </c>
      <c r="N308" s="9" t="n">
        <v>-3.2</v>
      </c>
      <c r="O308" s="7" t="n">
        <f aca="false">O307+N308</f>
        <v>71</v>
      </c>
      <c r="P308" s="7" t="n">
        <v>264</v>
      </c>
      <c r="Q308" s="15" t="n">
        <f aca="false">1.15+((P308-257)/44)*(0.35-1.15)</f>
        <v>1.02272727272727</v>
      </c>
      <c r="R308" s="10" t="n">
        <f aca="false">Q308*L308</f>
        <v>3.27272727272727</v>
      </c>
      <c r="S308" s="10" t="n">
        <f aca="false">J308-R308</f>
        <v>-3.27272727272727</v>
      </c>
      <c r="T308" s="10" t="n">
        <f aca="false">MIN(138.9,(T307+S308))</f>
        <v>61.1059090909091</v>
      </c>
      <c r="U308" s="45" t="s">
        <v>38</v>
      </c>
      <c r="V308" s="7" t="n">
        <v>1711.6</v>
      </c>
      <c r="X308" s="7" t="n">
        <f aca="false">X307+V308</f>
        <v>210351.6</v>
      </c>
      <c r="Y308" s="7" t="n">
        <f aca="false">Y307+V308</f>
        <v>12868.2</v>
      </c>
      <c r="AA308" s="7" t="n">
        <v>15.6420828837236</v>
      </c>
    </row>
    <row r="309" s="7" customFormat="true" ht="15" hidden="false" customHeight="false" outlineLevel="0" collapsed="false">
      <c r="A309" s="44"/>
      <c r="B309" s="13"/>
      <c r="C309" s="8" t="n">
        <v>42155</v>
      </c>
      <c r="D309" s="7" t="n">
        <v>15</v>
      </c>
      <c r="E309" s="7" t="n">
        <v>11.4</v>
      </c>
      <c r="F309" s="7" t="n">
        <v>17.9</v>
      </c>
      <c r="G309" s="7" t="n">
        <f aca="false">G308+D309</f>
        <v>2486.3</v>
      </c>
      <c r="H309" s="7" t="n">
        <f aca="false">H308+D309</f>
        <v>120.9</v>
      </c>
      <c r="I309" s="7" t="n">
        <v>0</v>
      </c>
      <c r="J309" s="7" t="n">
        <v>1.7</v>
      </c>
      <c r="K309" s="7" t="n">
        <f aca="false">K308+J309</f>
        <v>451.6</v>
      </c>
      <c r="L309" s="7" t="n">
        <v>1.3</v>
      </c>
      <c r="M309" s="7" t="n">
        <f aca="false">M308+L309</f>
        <v>367.3</v>
      </c>
      <c r="N309" s="7" t="n">
        <v>0.4</v>
      </c>
      <c r="O309" s="7" t="n">
        <f aca="false">O308+N309</f>
        <v>71.4</v>
      </c>
      <c r="P309" s="7" t="n">
        <v>265</v>
      </c>
      <c r="Q309" s="15" t="n">
        <f aca="false">1.15+((P309-257)/44)*(0.35-1.15)</f>
        <v>1.00454545454545</v>
      </c>
      <c r="R309" s="10" t="n">
        <f aca="false">Q309*L309</f>
        <v>1.30590909090909</v>
      </c>
      <c r="S309" s="10" t="n">
        <f aca="false">J309-R309</f>
        <v>0.394090909090909</v>
      </c>
      <c r="T309" s="10" t="n">
        <f aca="false">MIN(138.9,(T308+S309))</f>
        <v>61.5000000000001</v>
      </c>
      <c r="U309" s="10" t="n">
        <f aca="false">MIN(T302:T320)</f>
        <v>23.8463636363637</v>
      </c>
      <c r="V309" s="7" t="n">
        <v>657.1</v>
      </c>
      <c r="X309" s="7" t="n">
        <f aca="false">X308+V309</f>
        <v>211008.7</v>
      </c>
      <c r="Y309" s="7" t="n">
        <f aca="false">Y308+V309</f>
        <v>13525.3</v>
      </c>
      <c r="AA309" s="7" t="n">
        <v>15.6696912404673</v>
      </c>
    </row>
    <row r="310" s="7" customFormat="true" ht="15" hidden="false" customHeight="false" outlineLevel="0" collapsed="false">
      <c r="A310" s="44"/>
      <c r="B310" s="13"/>
      <c r="C310" s="8" t="n">
        <v>42156</v>
      </c>
      <c r="D310" s="7" t="n">
        <v>13.9</v>
      </c>
      <c r="E310" s="7" t="n">
        <v>10.1</v>
      </c>
      <c r="F310" s="7" t="n">
        <v>18.6</v>
      </c>
      <c r="G310" s="7" t="n">
        <f aca="false">G309+D310</f>
        <v>2500.2</v>
      </c>
      <c r="H310" s="7" t="n">
        <f aca="false">H309+D310</f>
        <v>134.8</v>
      </c>
      <c r="I310" s="45" t="s">
        <v>39</v>
      </c>
      <c r="J310" s="7" t="n">
        <v>0</v>
      </c>
      <c r="K310" s="7" t="n">
        <f aca="false">K309+J310</f>
        <v>451.6</v>
      </c>
      <c r="L310" s="7" t="n">
        <v>2.6</v>
      </c>
      <c r="M310" s="7" t="n">
        <f aca="false">M309+L310</f>
        <v>369.9</v>
      </c>
      <c r="N310" s="9" t="n">
        <v>-2.6</v>
      </c>
      <c r="O310" s="7" t="n">
        <f aca="false">O309+N310</f>
        <v>68.8</v>
      </c>
      <c r="P310" s="7" t="n">
        <v>266</v>
      </c>
      <c r="Q310" s="15" t="n">
        <f aca="false">1.15+((P310-257)/44)*(0.35-1.15)</f>
        <v>0.986363636363636</v>
      </c>
      <c r="R310" s="10" t="n">
        <f aca="false">Q310*L310</f>
        <v>2.56454545454545</v>
      </c>
      <c r="S310" s="10" t="n">
        <f aca="false">J310-R310</f>
        <v>-2.56454545454545</v>
      </c>
      <c r="T310" s="10" t="n">
        <f aca="false">MIN(138.9,(T309+S310))</f>
        <v>58.9354545454546</v>
      </c>
      <c r="U310" s="45" t="s">
        <v>40</v>
      </c>
      <c r="V310" s="7" t="n">
        <v>1464.9</v>
      </c>
      <c r="X310" s="7" t="n">
        <f aca="false">X309+V310</f>
        <v>212473.6</v>
      </c>
      <c r="Y310" s="7" t="n">
        <f aca="false">Y309+V310</f>
        <v>14990.2</v>
      </c>
      <c r="AA310" s="7" t="n">
        <v>15.6961845615482</v>
      </c>
    </row>
    <row r="311" s="7" customFormat="true" ht="15" hidden="false" customHeight="false" outlineLevel="0" collapsed="false">
      <c r="A311" s="44"/>
      <c r="B311" s="13"/>
      <c r="C311" s="8" t="n">
        <v>42157</v>
      </c>
      <c r="D311" s="7" t="n">
        <v>17.9</v>
      </c>
      <c r="E311" s="7" t="n">
        <v>12.3</v>
      </c>
      <c r="F311" s="7" t="n">
        <v>22.6</v>
      </c>
      <c r="G311" s="7" t="n">
        <f aca="false">G310+D311</f>
        <v>2518.1</v>
      </c>
      <c r="H311" s="7" t="n">
        <f aca="false">H310+D311</f>
        <v>152.7</v>
      </c>
      <c r="I311" s="7" t="n">
        <v>3</v>
      </c>
      <c r="J311" s="7" t="n">
        <v>0</v>
      </c>
      <c r="K311" s="7" t="n">
        <f aca="false">K310+J311</f>
        <v>451.6</v>
      </c>
      <c r="L311" s="7" t="n">
        <v>4.9</v>
      </c>
      <c r="M311" s="7" t="n">
        <f aca="false">M310+L311</f>
        <v>374.8</v>
      </c>
      <c r="N311" s="9" t="n">
        <v>-4.9</v>
      </c>
      <c r="O311" s="7" t="n">
        <f aca="false">O310+N311</f>
        <v>63.9</v>
      </c>
      <c r="P311" s="7" t="n">
        <v>267</v>
      </c>
      <c r="Q311" s="15" t="n">
        <f aca="false">1.15+((P311-257)/44)*(0.35-1.15)</f>
        <v>0.968181818181818</v>
      </c>
      <c r="R311" s="10" t="n">
        <f aca="false">Q311*L311</f>
        <v>4.74409090909091</v>
      </c>
      <c r="S311" s="10" t="n">
        <f aca="false">J311-R311</f>
        <v>-4.74409090909091</v>
      </c>
      <c r="T311" s="10" t="n">
        <f aca="false">MIN(138.9,(T310+S311))</f>
        <v>54.1913636363637</v>
      </c>
      <c r="U311" s="10" t="n">
        <f aca="false">MAX(T302:T320)</f>
        <v>81.4563636363637</v>
      </c>
      <c r="V311" s="7" t="n">
        <v>2199.1</v>
      </c>
      <c r="X311" s="7" t="n">
        <f aca="false">X310+V311</f>
        <v>214672.7</v>
      </c>
      <c r="Y311" s="7" t="n">
        <f aca="false">Y310+V311</f>
        <v>17189.3</v>
      </c>
      <c r="AA311" s="7" t="n">
        <v>15.7215406927068</v>
      </c>
    </row>
    <row r="312" s="7" customFormat="true" ht="15" hidden="false" customHeight="false" outlineLevel="0" collapsed="false">
      <c r="A312" s="44"/>
      <c r="B312" s="13"/>
      <c r="C312" s="8" t="n">
        <v>42158</v>
      </c>
      <c r="D312" s="7" t="n">
        <v>18.1</v>
      </c>
      <c r="E312" s="7" t="n">
        <v>15.3</v>
      </c>
      <c r="F312" s="7" t="n">
        <v>23</v>
      </c>
      <c r="G312" s="7" t="n">
        <f aca="false">G311+D312</f>
        <v>2536.2</v>
      </c>
      <c r="H312" s="7" t="n">
        <f aca="false">H311+D312</f>
        <v>170.8</v>
      </c>
      <c r="I312" s="45" t="s">
        <v>41</v>
      </c>
      <c r="J312" s="7" t="n">
        <v>0</v>
      </c>
      <c r="K312" s="7" t="n">
        <f aca="false">K311+J312</f>
        <v>451.6</v>
      </c>
      <c r="L312" s="7" t="n">
        <v>1.8</v>
      </c>
      <c r="M312" s="7" t="n">
        <f aca="false">M311+L312</f>
        <v>376.6</v>
      </c>
      <c r="N312" s="9" t="n">
        <v>-1.8</v>
      </c>
      <c r="O312" s="7" t="n">
        <f aca="false">O311+N312</f>
        <v>62.1</v>
      </c>
      <c r="P312" s="7" t="n">
        <v>268</v>
      </c>
      <c r="Q312" s="15" t="n">
        <f aca="false">1.15+((P312-257)/44)*(0.35-1.15)</f>
        <v>0.95</v>
      </c>
      <c r="R312" s="10" t="n">
        <f aca="false">Q312*L312</f>
        <v>1.71</v>
      </c>
      <c r="S312" s="10" t="n">
        <f aca="false">J312-R312</f>
        <v>-1.71</v>
      </c>
      <c r="T312" s="10" t="n">
        <f aca="false">MIN(138.9,(T311+S312))</f>
        <v>52.4813636363637</v>
      </c>
      <c r="U312" s="45" t="s">
        <v>42</v>
      </c>
      <c r="V312" s="7" t="n">
        <v>909.1</v>
      </c>
      <c r="X312" s="7" t="n">
        <f aca="false">X311+V312</f>
        <v>215581.8</v>
      </c>
      <c r="Y312" s="7" t="n">
        <f aca="false">Y311+V312</f>
        <v>18098.4</v>
      </c>
      <c r="AA312" s="7" t="n">
        <v>15.7457380766795</v>
      </c>
    </row>
    <row r="313" s="7" customFormat="true" ht="15" hidden="false" customHeight="false" outlineLevel="0" collapsed="false">
      <c r="A313" s="44"/>
      <c r="B313" s="13"/>
      <c r="C313" s="8" t="n">
        <v>42159</v>
      </c>
      <c r="D313" s="7" t="n">
        <v>21.4</v>
      </c>
      <c r="E313" s="7" t="n">
        <v>12.5</v>
      </c>
      <c r="F313" s="7" t="n">
        <v>30.1</v>
      </c>
      <c r="G313" s="7" t="n">
        <f aca="false">G312+D313</f>
        <v>2557.6</v>
      </c>
      <c r="H313" s="7" t="n">
        <f aca="false">H312+D313</f>
        <v>192.2</v>
      </c>
      <c r="I313" s="7" t="n">
        <v>0</v>
      </c>
      <c r="J313" s="7" t="n">
        <v>0</v>
      </c>
      <c r="K313" s="7" t="n">
        <f aca="false">K312+J313</f>
        <v>451.6</v>
      </c>
      <c r="L313" s="7" t="n">
        <v>5.9</v>
      </c>
      <c r="M313" s="7" t="n">
        <f aca="false">M312+L313</f>
        <v>382.5</v>
      </c>
      <c r="N313" s="9" t="n">
        <v>-5.9</v>
      </c>
      <c r="O313" s="7" t="n">
        <f aca="false">O312+N313</f>
        <v>56.2</v>
      </c>
      <c r="P313" s="7" t="n">
        <v>269</v>
      </c>
      <c r="Q313" s="15" t="n">
        <f aca="false">1.15+((P313-257)/44)*(0.35-1.15)</f>
        <v>0.931818181818182</v>
      </c>
      <c r="R313" s="10" t="n">
        <f aca="false">Q313*L313</f>
        <v>5.49772727272727</v>
      </c>
      <c r="S313" s="10" t="n">
        <f aca="false">J313-R313</f>
        <v>-5.49772727272727</v>
      </c>
      <c r="T313" s="10" t="n">
        <f aca="false">MIN(138.9,(T312+S313))</f>
        <v>46.9836363636364</v>
      </c>
      <c r="U313" s="15" t="n">
        <f aca="false">AVERAGE(T302:T320)</f>
        <v>52.5403827751197</v>
      </c>
      <c r="V313" s="7" t="n">
        <v>2999.1</v>
      </c>
      <c r="X313" s="7" t="n">
        <f aca="false">X312+V313</f>
        <v>218580.9</v>
      </c>
      <c r="Y313" s="7" t="n">
        <f aca="false">Y312+V313</f>
        <v>21097.5</v>
      </c>
      <c r="AA313" s="7" t="n">
        <v>15.7687558168754</v>
      </c>
    </row>
    <row r="314" s="7" customFormat="true" ht="15" hidden="false" customHeight="false" outlineLevel="0" collapsed="false">
      <c r="A314" s="44"/>
      <c r="B314" s="13"/>
      <c r="C314" s="8" t="n">
        <v>42160</v>
      </c>
      <c r="D314" s="7" t="n">
        <v>23.9</v>
      </c>
      <c r="E314" s="7" t="n">
        <v>16.6</v>
      </c>
      <c r="F314" s="7" t="n">
        <v>31.6</v>
      </c>
      <c r="G314" s="7" t="n">
        <f aca="false">G313+D314</f>
        <v>2581.5</v>
      </c>
      <c r="H314" s="7" t="n">
        <f aca="false">H313+D314</f>
        <v>216.1</v>
      </c>
      <c r="I314" s="45" t="s">
        <v>43</v>
      </c>
      <c r="J314" s="7" t="n">
        <v>0</v>
      </c>
      <c r="K314" s="7" t="n">
        <f aca="false">K313+J314</f>
        <v>451.6</v>
      </c>
      <c r="L314" s="7" t="n">
        <v>5.6</v>
      </c>
      <c r="M314" s="7" t="n">
        <f aca="false">M313+L314</f>
        <v>388.1</v>
      </c>
      <c r="N314" s="9" t="n">
        <v>-5.6</v>
      </c>
      <c r="O314" s="7" t="n">
        <f aca="false">O313+N314</f>
        <v>50.6</v>
      </c>
      <c r="P314" s="7" t="n">
        <v>270</v>
      </c>
      <c r="Q314" s="15" t="n">
        <f aca="false">1.15+((P314-257)/44)*(0.35-1.15)</f>
        <v>0.913636363636364</v>
      </c>
      <c r="R314" s="10" t="n">
        <f aca="false">Q314*L314</f>
        <v>5.11636363636364</v>
      </c>
      <c r="S314" s="10" t="n">
        <f aca="false">J314-R314</f>
        <v>-5.11636363636364</v>
      </c>
      <c r="T314" s="10" t="n">
        <f aca="false">MIN(138.9,(T313+S314))</f>
        <v>41.8672727272728</v>
      </c>
      <c r="V314" s="7" t="n">
        <v>2280.6</v>
      </c>
      <c r="W314" s="36" t="n">
        <f aca="false">(Y314/100)/I315</f>
        <v>0.726930970149254</v>
      </c>
      <c r="X314" s="36" t="n">
        <f aca="false">X313+V314</f>
        <v>220861.5</v>
      </c>
      <c r="Y314" s="7" t="n">
        <f aca="false">Y313+V314</f>
        <v>23378.1</v>
      </c>
      <c r="AA314" s="7" t="n">
        <v>15.7905737407762</v>
      </c>
    </row>
    <row r="315" s="7" customFormat="true" ht="15" hidden="false" customHeight="true" outlineLevel="0" collapsed="false">
      <c r="A315" s="44"/>
      <c r="B315" s="13"/>
      <c r="C315" s="8" t="n">
        <v>42161</v>
      </c>
      <c r="D315" s="7" t="n">
        <v>17.9</v>
      </c>
      <c r="E315" s="7" t="n">
        <v>14.6</v>
      </c>
      <c r="F315" s="7" t="n">
        <v>22.1</v>
      </c>
      <c r="G315" s="7" t="n">
        <f aca="false">G314+D315</f>
        <v>2599.4</v>
      </c>
      <c r="H315" s="7" t="n">
        <f aca="false">H314+D315</f>
        <v>234</v>
      </c>
      <c r="I315" s="7" t="n">
        <v>321.6</v>
      </c>
      <c r="J315" s="7" t="n">
        <v>0</v>
      </c>
      <c r="K315" s="7" t="n">
        <f aca="false">K314+J315</f>
        <v>451.6</v>
      </c>
      <c r="L315" s="7" t="n">
        <v>3.9</v>
      </c>
      <c r="M315" s="7" t="n">
        <f aca="false">M314+L315</f>
        <v>392</v>
      </c>
      <c r="N315" s="9" t="n">
        <v>-3.9</v>
      </c>
      <c r="O315" s="7" t="n">
        <f aca="false">O314+N315</f>
        <v>46.7</v>
      </c>
      <c r="P315" s="7" t="n">
        <v>271</v>
      </c>
      <c r="Q315" s="15" t="n">
        <f aca="false">1.15+((P315-257)/44)*(0.35-1.15)</f>
        <v>0.895454545454545</v>
      </c>
      <c r="R315" s="10" t="n">
        <f aca="false">Q315*L315</f>
        <v>3.49227272727273</v>
      </c>
      <c r="S315" s="10" t="n">
        <f aca="false">J315-R315</f>
        <v>-3.49227272727273</v>
      </c>
      <c r="T315" s="10" t="n">
        <f aca="false">MIN(138.9,(T314+S315))</f>
        <v>38.3750000000001</v>
      </c>
      <c r="U315" s="10" t="n">
        <f aca="false">(U313*100)/138.9</f>
        <v>37.826049514125</v>
      </c>
      <c r="V315" s="7" t="n">
        <v>1668.4</v>
      </c>
      <c r="X315" s="7" t="n">
        <f aca="false">X314+V315</f>
        <v>222529.9</v>
      </c>
      <c r="Y315" s="7" t="n">
        <f aca="false">Y314+V315</f>
        <v>25046.5</v>
      </c>
      <c r="AA315" s="7" t="n">
        <v>15.8111724627038</v>
      </c>
    </row>
    <row r="316" s="7" customFormat="true" ht="15" hidden="false" customHeight="false" outlineLevel="0" collapsed="false">
      <c r="A316" s="44"/>
      <c r="B316" s="13"/>
      <c r="C316" s="8" t="n">
        <v>42162</v>
      </c>
      <c r="D316" s="7" t="n">
        <v>17</v>
      </c>
      <c r="E316" s="7" t="n">
        <v>12.2</v>
      </c>
      <c r="F316" s="7" t="n">
        <v>21.6</v>
      </c>
      <c r="G316" s="7" t="n">
        <f aca="false">G315+D316</f>
        <v>2616.4</v>
      </c>
      <c r="H316" s="7" t="n">
        <f aca="false">H315+D316</f>
        <v>251</v>
      </c>
      <c r="J316" s="7" t="n">
        <v>0</v>
      </c>
      <c r="K316" s="7" t="n">
        <f aca="false">K315+J316</f>
        <v>451.6</v>
      </c>
      <c r="L316" s="7" t="n">
        <v>4.6</v>
      </c>
      <c r="M316" s="7" t="n">
        <f aca="false">M315+L316</f>
        <v>396.6</v>
      </c>
      <c r="N316" s="9" t="n">
        <v>-4.6</v>
      </c>
      <c r="O316" s="7" t="n">
        <f aca="false">O315+N316</f>
        <v>42.1</v>
      </c>
      <c r="P316" s="7" t="n">
        <v>272</v>
      </c>
      <c r="Q316" s="15" t="n">
        <f aca="false">1.15+((P316-257)/44)*(0.35-1.15)</f>
        <v>0.877272727272727</v>
      </c>
      <c r="R316" s="10" t="n">
        <f aca="false">Q316*L316</f>
        <v>4.03545454545455</v>
      </c>
      <c r="S316" s="10" t="n">
        <f aca="false">J316-R316</f>
        <v>-4.03545454545455</v>
      </c>
      <c r="T316" s="10" t="n">
        <f aca="false">MIN(138.9,(T315+S316))</f>
        <v>34.3395454545455</v>
      </c>
      <c r="V316" s="7" t="n">
        <v>1898.7</v>
      </c>
      <c r="X316" s="7" t="n">
        <f aca="false">X315+V316</f>
        <v>224428.6</v>
      </c>
      <c r="Y316" s="7" t="n">
        <f aca="false">Y315+V316</f>
        <v>26945.2</v>
      </c>
      <c r="AA316" s="7" t="n">
        <v>15.8305334455867</v>
      </c>
    </row>
    <row r="317" s="7" customFormat="true" ht="15" hidden="false" customHeight="false" outlineLevel="0" collapsed="false">
      <c r="A317" s="44"/>
      <c r="B317" s="13"/>
      <c r="C317" s="8" t="n">
        <v>42163</v>
      </c>
      <c r="D317" s="7" t="n">
        <v>16.4</v>
      </c>
      <c r="E317" s="7" t="n">
        <v>11.7</v>
      </c>
      <c r="F317" s="7" t="n">
        <v>21.4</v>
      </c>
      <c r="G317" s="7" t="n">
        <f aca="false">G316+D317</f>
        <v>2632.8</v>
      </c>
      <c r="H317" s="7" t="n">
        <f aca="false">H316+D317</f>
        <v>267.4</v>
      </c>
      <c r="J317" s="7" t="n">
        <v>0</v>
      </c>
      <c r="K317" s="7" t="n">
        <f aca="false">K316+J317</f>
        <v>451.6</v>
      </c>
      <c r="L317" s="7" t="n">
        <v>6.3</v>
      </c>
      <c r="M317" s="7" t="n">
        <f aca="false">M316+L317</f>
        <v>402.9</v>
      </c>
      <c r="N317" s="9" t="n">
        <v>-6.3</v>
      </c>
      <c r="O317" s="7" t="n">
        <f aca="false">O316+N317</f>
        <v>35.8</v>
      </c>
      <c r="P317" s="7" t="n">
        <v>273</v>
      </c>
      <c r="Q317" s="15" t="n">
        <f aca="false">1.15+((P317-257)/44)*(0.35-1.15)</f>
        <v>0.859090909090909</v>
      </c>
      <c r="R317" s="10" t="n">
        <f aca="false">Q317*L317</f>
        <v>5.41227272727273</v>
      </c>
      <c r="S317" s="10" t="n">
        <f aca="false">J317-R317</f>
        <v>-5.41227272727273</v>
      </c>
      <c r="T317" s="10" t="n">
        <f aca="false">MIN(138.9,(T316+S317))</f>
        <v>28.9272727272728</v>
      </c>
      <c r="V317" s="7" t="n">
        <v>3083.2</v>
      </c>
      <c r="X317" s="7" t="n">
        <f aca="false">X316+V317</f>
        <v>227511.8</v>
      </c>
      <c r="Y317" s="7" t="n">
        <f aca="false">Y316+V317</f>
        <v>30028.4</v>
      </c>
      <c r="AA317" s="7" t="n">
        <v>15.8486390613483</v>
      </c>
    </row>
    <row r="318" s="7" customFormat="true" ht="15" hidden="false" customHeight="false" outlineLevel="0" collapsed="false">
      <c r="A318" s="44"/>
      <c r="B318" s="13"/>
      <c r="C318" s="8" t="n">
        <v>42164</v>
      </c>
      <c r="D318" s="7" t="n">
        <v>15.7</v>
      </c>
      <c r="E318" s="7" t="n">
        <v>11.4</v>
      </c>
      <c r="F318" s="7" t="n">
        <v>19.8</v>
      </c>
      <c r="G318" s="7" t="n">
        <f aca="false">G317+D318</f>
        <v>2648.5</v>
      </c>
      <c r="H318" s="7" t="n">
        <f aca="false">H317+D318</f>
        <v>283.1</v>
      </c>
      <c r="J318" s="7" t="n">
        <v>0</v>
      </c>
      <c r="K318" s="7" t="n">
        <f aca="false">K317+J318</f>
        <v>451.6</v>
      </c>
      <c r="L318" s="7" t="n">
        <v>5.1</v>
      </c>
      <c r="M318" s="7" t="n">
        <f aca="false">M317+L318</f>
        <v>408</v>
      </c>
      <c r="N318" s="9" t="n">
        <v>-5.1</v>
      </c>
      <c r="O318" s="7" t="n">
        <f aca="false">O317+N318</f>
        <v>30.7</v>
      </c>
      <c r="P318" s="7" t="n">
        <v>274</v>
      </c>
      <c r="Q318" s="15" t="n">
        <f aca="false">1.15+((P318-257)/44)*(0.35-1.15)</f>
        <v>0.840909090909091</v>
      </c>
      <c r="R318" s="10" t="n">
        <f aca="false">Q318*L318</f>
        <v>4.28863636363636</v>
      </c>
      <c r="S318" s="10" t="n">
        <f aca="false">J318-R318</f>
        <v>-4.28863636363636</v>
      </c>
      <c r="T318" s="10" t="n">
        <f aca="false">MIN(138.9,(T317+S318))</f>
        <v>24.6386363636364</v>
      </c>
      <c r="V318" s="7" t="n">
        <v>2487.7</v>
      </c>
      <c r="X318" s="7" t="n">
        <f aca="false">X317+V318</f>
        <v>229999.5</v>
      </c>
      <c r="Y318" s="7" t="n">
        <f aca="false">Y317+V318</f>
        <v>32516.1</v>
      </c>
      <c r="AA318" s="7" t="n">
        <v>15.8654726495367</v>
      </c>
    </row>
    <row r="319" s="7" customFormat="true" ht="15" hidden="false" customHeight="false" outlineLevel="0" collapsed="false">
      <c r="A319" s="44"/>
      <c r="B319" s="13"/>
      <c r="C319" s="8" t="n">
        <v>42165</v>
      </c>
      <c r="D319" s="7" t="n">
        <v>16.7</v>
      </c>
      <c r="E319" s="7" t="n">
        <v>12.7</v>
      </c>
      <c r="F319" s="7" t="n">
        <v>20</v>
      </c>
      <c r="G319" s="7" t="n">
        <f aca="false">G318+D319</f>
        <v>2665.2</v>
      </c>
      <c r="H319" s="7" t="n">
        <f aca="false">H318+D319</f>
        <v>299.8</v>
      </c>
      <c r="J319" s="7" t="n">
        <v>1.1</v>
      </c>
      <c r="K319" s="7" t="n">
        <f aca="false">K318+J319</f>
        <v>452.7</v>
      </c>
      <c r="L319" s="7" t="n">
        <v>2.3</v>
      </c>
      <c r="M319" s="7" t="n">
        <f aca="false">M318+L319</f>
        <v>410.3</v>
      </c>
      <c r="N319" s="9" t="n">
        <v>-1.2</v>
      </c>
      <c r="O319" s="7" t="n">
        <f aca="false">O318+N319</f>
        <v>29.5</v>
      </c>
      <c r="P319" s="7" t="n">
        <v>275</v>
      </c>
      <c r="Q319" s="15" t="n">
        <f aca="false">1.15+((P319-257)/44)*(0.35-1.15)</f>
        <v>0.822727272727273</v>
      </c>
      <c r="R319" s="10" t="n">
        <f aca="false">Q319*L319</f>
        <v>1.89227272727273</v>
      </c>
      <c r="S319" s="10" t="n">
        <f aca="false">J319-R319</f>
        <v>-0.792272727272727</v>
      </c>
      <c r="T319" s="10" t="n">
        <f aca="false">MIN(138.9,(T318+S319))</f>
        <v>23.8463636363637</v>
      </c>
      <c r="V319" s="7" t="n">
        <v>774.7</v>
      </c>
      <c r="X319" s="7" t="n">
        <f aca="false">X318+V319</f>
        <v>230774.2</v>
      </c>
      <c r="Y319" s="7" t="n">
        <f aca="false">Y318+V319</f>
        <v>33290.8</v>
      </c>
      <c r="AA319" s="7" t="n">
        <v>15.8810185738131</v>
      </c>
    </row>
    <row r="320" s="18" customFormat="true" ht="15" hidden="false" customHeight="false" outlineLevel="0" collapsed="false">
      <c r="A320" s="44"/>
      <c r="B320" s="16" t="n">
        <v>600</v>
      </c>
      <c r="C320" s="17" t="n">
        <v>42166</v>
      </c>
      <c r="D320" s="18" t="n">
        <v>21.8</v>
      </c>
      <c r="E320" s="18" t="n">
        <v>15.8</v>
      </c>
      <c r="F320" s="18" t="n">
        <v>28.5</v>
      </c>
      <c r="G320" s="18" t="n">
        <f aca="false">G319+D320</f>
        <v>2687</v>
      </c>
      <c r="H320" s="18" t="n">
        <f aca="false">H319+D320</f>
        <v>321.6</v>
      </c>
      <c r="J320" s="18" t="n">
        <v>8.8</v>
      </c>
      <c r="K320" s="18" t="n">
        <f aca="false">K319+J320</f>
        <v>461.5</v>
      </c>
      <c r="L320" s="18" t="n">
        <v>3.6</v>
      </c>
      <c r="M320" s="18" t="n">
        <f aca="false">M319+L320</f>
        <v>413.9</v>
      </c>
      <c r="N320" s="18" t="n">
        <v>5.2</v>
      </c>
      <c r="O320" s="18" t="n">
        <f aca="false">O319+N320</f>
        <v>34.7</v>
      </c>
      <c r="P320" s="18" t="n">
        <v>276</v>
      </c>
      <c r="Q320" s="38" t="n">
        <f aca="false">1.15+((P320-257)/44)*(0.35-1.15)</f>
        <v>0.804545454545455</v>
      </c>
      <c r="R320" s="20" t="n">
        <f aca="false">Q320*L320</f>
        <v>2.89636363636364</v>
      </c>
      <c r="S320" s="20" t="n">
        <f aca="false">J320-R320</f>
        <v>5.90363636363636</v>
      </c>
      <c r="T320" s="20" t="n">
        <f aca="false">MIN(138.9,(T319+S320))</f>
        <v>29.7500000000001</v>
      </c>
      <c r="V320" s="18" t="n">
        <v>1665.3</v>
      </c>
      <c r="X320" s="18" t="n">
        <f aca="false">X319+V320</f>
        <v>232439.5</v>
      </c>
      <c r="Y320" s="18" t="n">
        <f aca="false">Y319+V320</f>
        <v>34956.1</v>
      </c>
      <c r="AA320" s="18" t="n">
        <v>15.8952622759194</v>
      </c>
    </row>
    <row r="321" s="7" customFormat="true" ht="15" hidden="false" customHeight="false" outlineLevel="0" collapsed="false">
      <c r="A321" s="46" t="n">
        <v>1000</v>
      </c>
      <c r="B321" s="13"/>
      <c r="C321" s="8" t="n">
        <v>42167</v>
      </c>
      <c r="D321" s="7" t="n">
        <v>19.2</v>
      </c>
      <c r="E321" s="7" t="n">
        <v>17.2</v>
      </c>
      <c r="F321" s="7" t="n">
        <v>22.8</v>
      </c>
      <c r="G321" s="7" t="n">
        <f aca="false">G320+D321</f>
        <v>2706.2</v>
      </c>
      <c r="H321" s="7" t="n">
        <v>19.2</v>
      </c>
      <c r="I321" s="47" t="s">
        <v>28</v>
      </c>
      <c r="J321" s="7" t="n">
        <v>0.3</v>
      </c>
      <c r="K321" s="7" t="n">
        <f aca="false">K320+J321</f>
        <v>461.8</v>
      </c>
      <c r="L321" s="7" t="n">
        <v>2.4</v>
      </c>
      <c r="M321" s="7" t="n">
        <f aca="false">M320+L321</f>
        <v>416.3</v>
      </c>
      <c r="N321" s="9" t="n">
        <v>-2.1</v>
      </c>
      <c r="O321" s="7" t="n">
        <f aca="false">O320+N321</f>
        <v>32.6</v>
      </c>
      <c r="P321" s="7" t="n">
        <v>277</v>
      </c>
      <c r="Q321" s="15" t="n">
        <f aca="false">1.15+((P321-257)/44)*(0.35-1.15)</f>
        <v>0.786363636363636</v>
      </c>
      <c r="R321" s="10" t="n">
        <f aca="false">Q321*L321</f>
        <v>1.88727272727273</v>
      </c>
      <c r="S321" s="10" t="n">
        <f aca="false">J321-R321</f>
        <v>-1.58727272727273</v>
      </c>
      <c r="T321" s="10" t="n">
        <f aca="false">MIN(138.9,(T320+S321))</f>
        <v>28.1627272727273</v>
      </c>
      <c r="U321" s="47" t="s">
        <v>29</v>
      </c>
      <c r="V321" s="7" t="n">
        <v>1045.1</v>
      </c>
      <c r="X321" s="7" t="n">
        <f aca="false">X320+V321</f>
        <v>233484.6</v>
      </c>
      <c r="Y321" s="7" t="n">
        <v>1045.1</v>
      </c>
      <c r="Z321" s="47" t="s">
        <v>30</v>
      </c>
      <c r="AA321" s="7" t="n">
        <v>15.9081903267537</v>
      </c>
    </row>
    <row r="322" s="7" customFormat="true" ht="15" hidden="false" customHeight="false" outlineLevel="0" collapsed="false">
      <c r="A322" s="46"/>
      <c r="B322" s="13"/>
      <c r="C322" s="8" t="n">
        <v>42168</v>
      </c>
      <c r="D322" s="7" t="n">
        <v>19.1</v>
      </c>
      <c r="E322" s="7" t="n">
        <v>14.4</v>
      </c>
      <c r="F322" s="7" t="n">
        <v>24.3</v>
      </c>
      <c r="G322" s="7" t="n">
        <f aca="false">G321+D322</f>
        <v>2725.3</v>
      </c>
      <c r="H322" s="7" t="n">
        <f aca="false">H321+D322</f>
        <v>38.3</v>
      </c>
      <c r="I322" s="7" t="n">
        <f aca="false">MIN(E321:E341)</f>
        <v>8.9</v>
      </c>
      <c r="J322" s="7" t="n">
        <v>0.1</v>
      </c>
      <c r="K322" s="7" t="n">
        <f aca="false">K321+J322</f>
        <v>461.9</v>
      </c>
      <c r="L322" s="7" t="n">
        <v>3.9</v>
      </c>
      <c r="M322" s="7" t="n">
        <f aca="false">M321+L322</f>
        <v>420.2</v>
      </c>
      <c r="N322" s="9" t="n">
        <v>-3.8</v>
      </c>
      <c r="O322" s="7" t="n">
        <f aca="false">O321+N322</f>
        <v>28.8</v>
      </c>
      <c r="P322" s="7" t="n">
        <v>278</v>
      </c>
      <c r="Q322" s="15" t="n">
        <f aca="false">1.15+((P322-257)/44)*(0.35-1.15)</f>
        <v>0.768181818181818</v>
      </c>
      <c r="R322" s="10" t="n">
        <f aca="false">Q322*L322</f>
        <v>2.99590909090909</v>
      </c>
      <c r="S322" s="10" t="n">
        <f aca="false">J322-R322</f>
        <v>-2.89590909090909</v>
      </c>
      <c r="T322" s="10" t="n">
        <f aca="false">MIN(138.9,(T321+S322))</f>
        <v>25.2668181818182</v>
      </c>
      <c r="U322" s="7" t="n">
        <v>21</v>
      </c>
      <c r="V322" s="7" t="n">
        <v>2014.2</v>
      </c>
      <c r="X322" s="7" t="n">
        <f aca="false">X321+V322</f>
        <v>235498.8</v>
      </c>
      <c r="Y322" s="7" t="n">
        <f aca="false">Y321+V322</f>
        <v>3059.3</v>
      </c>
      <c r="Z322" s="7" t="n">
        <v>43766.7</v>
      </c>
      <c r="AA322" s="7" t="n">
        <v>15.9197904741906</v>
      </c>
    </row>
    <row r="323" s="7" customFormat="true" ht="15" hidden="false" customHeight="false" outlineLevel="0" collapsed="false">
      <c r="A323" s="46"/>
      <c r="B323" s="13"/>
      <c r="C323" s="8" t="n">
        <v>42169</v>
      </c>
      <c r="D323" s="7" t="n">
        <v>16.8</v>
      </c>
      <c r="E323" s="7" t="n">
        <v>14.8</v>
      </c>
      <c r="F323" s="7" t="n">
        <v>18.3</v>
      </c>
      <c r="G323" s="7" t="n">
        <f aca="false">G322+D323</f>
        <v>2742.1</v>
      </c>
      <c r="H323" s="7" t="n">
        <f aca="false">H322+D323</f>
        <v>55.1</v>
      </c>
      <c r="I323" s="47" t="s">
        <v>31</v>
      </c>
      <c r="J323" s="7" t="n">
        <v>1.1</v>
      </c>
      <c r="K323" s="7" t="n">
        <f aca="false">K322+J323</f>
        <v>463</v>
      </c>
      <c r="L323" s="7" t="n">
        <v>2.2</v>
      </c>
      <c r="M323" s="7" t="n">
        <f aca="false">M322+L323</f>
        <v>422.4</v>
      </c>
      <c r="N323" s="9" t="n">
        <v>-1.1</v>
      </c>
      <c r="O323" s="7" t="n">
        <f aca="false">O322+N323</f>
        <v>27.7</v>
      </c>
      <c r="P323" s="7" t="n">
        <v>279</v>
      </c>
      <c r="Q323" s="15" t="n">
        <f aca="false">1.15+((P323-257)/44)*(0.35-1.15)</f>
        <v>0.75</v>
      </c>
      <c r="R323" s="10" t="n">
        <f aca="false">Q323*L323</f>
        <v>1.65</v>
      </c>
      <c r="S323" s="10" t="n">
        <f aca="false">J323-R323</f>
        <v>-0.55</v>
      </c>
      <c r="T323" s="10" t="n">
        <f aca="false">MIN(138.9,(T322+S323))</f>
        <v>24.7168181818182</v>
      </c>
      <c r="U323" s="47" t="s">
        <v>32</v>
      </c>
      <c r="V323" s="7" t="n">
        <v>1129.1</v>
      </c>
      <c r="X323" s="7" t="n">
        <f aca="false">X322+V323</f>
        <v>236627.9</v>
      </c>
      <c r="Y323" s="7" t="n">
        <f aca="false">Y322+V323</f>
        <v>4188.4</v>
      </c>
      <c r="Z323" s="47" t="s">
        <v>33</v>
      </c>
      <c r="AA323" s="7" t="n">
        <v>15.9300516873031</v>
      </c>
    </row>
    <row r="324" s="7" customFormat="true" ht="15" hidden="false" customHeight="false" outlineLevel="0" collapsed="false">
      <c r="A324" s="46"/>
      <c r="B324" s="13"/>
      <c r="C324" s="8" t="n">
        <v>42170</v>
      </c>
      <c r="D324" s="7" t="n">
        <v>16.9</v>
      </c>
      <c r="E324" s="7" t="n">
        <v>13.9</v>
      </c>
      <c r="F324" s="7" t="n">
        <v>19.4</v>
      </c>
      <c r="G324" s="7" t="n">
        <f aca="false">G323+D324</f>
        <v>2759</v>
      </c>
      <c r="H324" s="7" t="n">
        <f aca="false">H323+D324</f>
        <v>72</v>
      </c>
      <c r="I324" s="7" t="n">
        <f aca="false">MAX(F321:F341)</f>
        <v>36</v>
      </c>
      <c r="J324" s="7" t="n">
        <v>0.2</v>
      </c>
      <c r="K324" s="7" t="n">
        <f aca="false">K323+J324</f>
        <v>463.2</v>
      </c>
      <c r="L324" s="7" t="n">
        <v>1</v>
      </c>
      <c r="M324" s="7" t="n">
        <f aca="false">M323+L324</f>
        <v>423.4</v>
      </c>
      <c r="N324" s="9" t="n">
        <v>-0.8</v>
      </c>
      <c r="O324" s="7" t="n">
        <f aca="false">O323+N324</f>
        <v>26.9</v>
      </c>
      <c r="P324" s="7" t="n">
        <v>280</v>
      </c>
      <c r="Q324" s="15" t="n">
        <f aca="false">1.15+((P324-257)/44)*(0.35-1.15)</f>
        <v>0.731818181818182</v>
      </c>
      <c r="R324" s="10" t="n">
        <f aca="false">Q324*L324</f>
        <v>0.731818181818182</v>
      </c>
      <c r="S324" s="10" t="n">
        <f aca="false">J324-R324</f>
        <v>-0.531818181818182</v>
      </c>
      <c r="T324" s="10" t="n">
        <f aca="false">MIN(138.9,(T323+S324))</f>
        <v>24.1850000000001</v>
      </c>
      <c r="U324" s="7" t="n">
        <v>8</v>
      </c>
      <c r="V324" s="7" t="n">
        <v>681.1</v>
      </c>
      <c r="X324" s="7" t="n">
        <f aca="false">X323+V324</f>
        <v>237309</v>
      </c>
      <c r="Y324" s="7" t="n">
        <f aca="false">Y323+V324</f>
        <v>4869.5</v>
      </c>
      <c r="Z324" s="15" t="n">
        <f aca="false">(Z322/100)/I334</f>
        <v>1.04956115107914</v>
      </c>
      <c r="AA324" s="7" t="n">
        <v>15.9389641966573</v>
      </c>
    </row>
    <row r="325" s="7" customFormat="true" ht="15" hidden="false" customHeight="false" outlineLevel="0" collapsed="false">
      <c r="A325" s="46"/>
      <c r="B325" s="13"/>
      <c r="C325" s="8" t="n">
        <v>42171</v>
      </c>
      <c r="D325" s="7" t="n">
        <v>17.1</v>
      </c>
      <c r="E325" s="7" t="n">
        <v>13</v>
      </c>
      <c r="F325" s="7" t="n">
        <v>21.7</v>
      </c>
      <c r="G325" s="7" t="n">
        <f aca="false">G324+D325</f>
        <v>2776.1</v>
      </c>
      <c r="H325" s="7" t="n">
        <f aca="false">H324+D325</f>
        <v>89.1</v>
      </c>
      <c r="I325" s="47" t="s">
        <v>34</v>
      </c>
      <c r="J325" s="7" t="n">
        <v>0</v>
      </c>
      <c r="K325" s="7" t="n">
        <f aca="false">K324+J325</f>
        <v>463.2</v>
      </c>
      <c r="L325" s="7" t="n">
        <v>4.6</v>
      </c>
      <c r="M325" s="7" t="n">
        <f aca="false">M324+L325</f>
        <v>428</v>
      </c>
      <c r="N325" s="9" t="n">
        <v>-4.6</v>
      </c>
      <c r="O325" s="7" t="n">
        <f aca="false">O324+N325</f>
        <v>22.3</v>
      </c>
      <c r="P325" s="7" t="n">
        <v>281</v>
      </c>
      <c r="Q325" s="15" t="n">
        <f aca="false">1.15+((P325-257)/44)*(0.35-1.15)</f>
        <v>0.713636363636364</v>
      </c>
      <c r="R325" s="10" t="n">
        <f aca="false">Q325*L325</f>
        <v>3.28272727272727</v>
      </c>
      <c r="S325" s="10" t="n">
        <f aca="false">J325-R325</f>
        <v>-3.28272727272727</v>
      </c>
      <c r="T325" s="10" t="n">
        <f aca="false">MIN(138.9,(T324+S325))</f>
        <v>20.9022727272728</v>
      </c>
      <c r="U325" s="47" t="s">
        <v>35</v>
      </c>
      <c r="V325" s="7" t="n">
        <v>2300.3</v>
      </c>
      <c r="X325" s="7" t="n">
        <f aca="false">X324+V325</f>
        <v>239609.3</v>
      </c>
      <c r="Y325" s="7" t="n">
        <f aca="false">Y324+V325</f>
        <v>7169.8</v>
      </c>
      <c r="Z325" s="47" t="s">
        <v>36</v>
      </c>
      <c r="AA325" s="7" t="n">
        <v>15.9465195303799</v>
      </c>
    </row>
    <row r="326" s="7" customFormat="true" ht="15" hidden="false" customHeight="false" outlineLevel="0" collapsed="false">
      <c r="A326" s="46"/>
      <c r="B326" s="13"/>
      <c r="C326" s="8" t="n">
        <v>42172</v>
      </c>
      <c r="D326" s="7" t="n">
        <v>17.7</v>
      </c>
      <c r="E326" s="7" t="n">
        <v>10.4</v>
      </c>
      <c r="F326" s="7" t="n">
        <v>24.1</v>
      </c>
      <c r="G326" s="7" t="n">
        <f aca="false">G325+D326</f>
        <v>2793.8</v>
      </c>
      <c r="H326" s="7" t="n">
        <f aca="false">H325+D326</f>
        <v>106.8</v>
      </c>
      <c r="I326" s="10" t="n">
        <f aca="false">AVERAGE(D321:D341)</f>
        <v>19.8571428571429</v>
      </c>
      <c r="J326" s="7" t="n">
        <v>0</v>
      </c>
      <c r="K326" s="7" t="n">
        <f aca="false">K325+J326</f>
        <v>463.2</v>
      </c>
      <c r="L326" s="7" t="n">
        <v>4.7</v>
      </c>
      <c r="M326" s="7" t="n">
        <f aca="false">M325+L326</f>
        <v>432.7</v>
      </c>
      <c r="N326" s="9" t="n">
        <v>-4.7</v>
      </c>
      <c r="O326" s="7" t="n">
        <f aca="false">O325+N326</f>
        <v>17.6</v>
      </c>
      <c r="P326" s="7" t="n">
        <v>282</v>
      </c>
      <c r="Q326" s="15" t="n">
        <f aca="false">1.15+((P326-257)/44)*(0.35-1.15)</f>
        <v>0.695454545454545</v>
      </c>
      <c r="R326" s="10" t="n">
        <f aca="false">Q326*L326</f>
        <v>3.26863636363636</v>
      </c>
      <c r="S326" s="10" t="n">
        <f aca="false">J326-R326</f>
        <v>-3.26863636363636</v>
      </c>
      <c r="T326" s="10" t="n">
        <f aca="false">MIN(138.9,(T325+S326))</f>
        <v>17.6336363636364</v>
      </c>
      <c r="U326" s="7" t="n">
        <v>13</v>
      </c>
      <c r="V326" s="7" t="n">
        <v>2422.4</v>
      </c>
      <c r="X326" s="7" t="n">
        <f aca="false">X325+V326</f>
        <v>242031.7</v>
      </c>
      <c r="Y326" s="7" t="n">
        <f aca="false">Y325+V326</f>
        <v>9592.2</v>
      </c>
      <c r="Z326" s="7" t="n">
        <v>1</v>
      </c>
      <c r="AA326" s="7" t="n">
        <v>15.9527105457221</v>
      </c>
    </row>
    <row r="327" s="7" customFormat="true" ht="15" hidden="false" customHeight="false" outlineLevel="0" collapsed="false">
      <c r="A327" s="46"/>
      <c r="B327" s="13"/>
      <c r="C327" s="8" t="n">
        <v>42173</v>
      </c>
      <c r="D327" s="7" t="n">
        <v>17.8</v>
      </c>
      <c r="E327" s="7" t="n">
        <v>14.1</v>
      </c>
      <c r="F327" s="7" t="n">
        <v>21.5</v>
      </c>
      <c r="G327" s="7" t="n">
        <f aca="false">G326+D327</f>
        <v>2811.6</v>
      </c>
      <c r="H327" s="7" t="n">
        <f aca="false">H326+D327</f>
        <v>124.6</v>
      </c>
      <c r="I327" s="47" t="s">
        <v>37</v>
      </c>
      <c r="J327" s="7" t="n">
        <v>0.8</v>
      </c>
      <c r="K327" s="7" t="n">
        <f aca="false">K326+J327</f>
        <v>464</v>
      </c>
      <c r="L327" s="7" t="n">
        <v>2</v>
      </c>
      <c r="M327" s="7" t="n">
        <f aca="false">M326+L327</f>
        <v>434.7</v>
      </c>
      <c r="N327" s="9" t="n">
        <v>-1.2</v>
      </c>
      <c r="O327" s="7" t="n">
        <f aca="false">O326+N327</f>
        <v>16.4</v>
      </c>
      <c r="P327" s="7" t="n">
        <v>283</v>
      </c>
      <c r="Q327" s="15" t="n">
        <f aca="false">1.15+((P327-257)/44)*(0.35-1.15)</f>
        <v>0.677272727272727</v>
      </c>
      <c r="R327" s="10" t="n">
        <f aca="false">Q327*L327</f>
        <v>1.35454545454545</v>
      </c>
      <c r="S327" s="10" t="n">
        <f aca="false">J327-R327</f>
        <v>-0.554545454545455</v>
      </c>
      <c r="T327" s="10" t="n">
        <f aca="false">MIN(138.9,(T326+S327))</f>
        <v>17.079090909091</v>
      </c>
      <c r="U327" s="47" t="s">
        <v>38</v>
      </c>
      <c r="V327" s="7" t="n">
        <v>919.8</v>
      </c>
      <c r="X327" s="7" t="n">
        <f aca="false">X326+V327</f>
        <v>242951.5</v>
      </c>
      <c r="Y327" s="7" t="n">
        <f aca="false">Y326+V327</f>
        <v>10512</v>
      </c>
      <c r="AA327" s="7" t="n">
        <v>15.9575314558762</v>
      </c>
    </row>
    <row r="328" s="7" customFormat="true" ht="15" hidden="false" customHeight="false" outlineLevel="0" collapsed="false">
      <c r="A328" s="46"/>
      <c r="B328" s="13"/>
      <c r="C328" s="8" t="n">
        <v>42174</v>
      </c>
      <c r="D328" s="7" t="n">
        <v>17.2</v>
      </c>
      <c r="E328" s="7" t="n">
        <v>12.3</v>
      </c>
      <c r="F328" s="7" t="n">
        <v>22.4</v>
      </c>
      <c r="G328" s="7" t="n">
        <f aca="false">G327+D328</f>
        <v>2828.8</v>
      </c>
      <c r="H328" s="7" t="n">
        <f aca="false">H327+D328</f>
        <v>141.8</v>
      </c>
      <c r="I328" s="7" t="n">
        <v>0</v>
      </c>
      <c r="J328" s="7" t="n">
        <v>0</v>
      </c>
      <c r="K328" s="7" t="n">
        <f aca="false">K327+J328</f>
        <v>464</v>
      </c>
      <c r="L328" s="7" t="n">
        <v>4.8</v>
      </c>
      <c r="M328" s="7" t="n">
        <f aca="false">M327+L328</f>
        <v>439.5</v>
      </c>
      <c r="N328" s="9" t="n">
        <v>-4.8</v>
      </c>
      <c r="O328" s="7" t="n">
        <f aca="false">O327+N328</f>
        <v>11.6</v>
      </c>
      <c r="P328" s="7" t="n">
        <v>284</v>
      </c>
      <c r="Q328" s="15" t="n">
        <f aca="false">1.15+((P328-257)/44)*(0.35-1.15)</f>
        <v>0.659090909090909</v>
      </c>
      <c r="R328" s="10" t="n">
        <f aca="false">Q328*L328</f>
        <v>3.16363636363636</v>
      </c>
      <c r="S328" s="10" t="n">
        <f aca="false">J328-R328</f>
        <v>-3.16363636363636</v>
      </c>
      <c r="T328" s="10" t="n">
        <f aca="false">MIN(138.9,(T327+S328))</f>
        <v>13.9154545454546</v>
      </c>
      <c r="U328" s="10" t="n">
        <f aca="false">MIN(T321:T341)</f>
        <v>0</v>
      </c>
      <c r="V328" s="7" t="n">
        <v>2545.7</v>
      </c>
      <c r="X328" s="7" t="n">
        <f aca="false">X327+V328</f>
        <v>245497.2</v>
      </c>
      <c r="Y328" s="7" t="n">
        <f aca="false">Y327+V328</f>
        <v>13057.7</v>
      </c>
      <c r="AA328" s="7" t="n">
        <v>15.9609778518367</v>
      </c>
    </row>
    <row r="329" s="7" customFormat="true" ht="15" hidden="false" customHeight="false" outlineLevel="0" collapsed="false">
      <c r="A329" s="46"/>
      <c r="B329" s="13"/>
      <c r="C329" s="8" t="n">
        <v>42175</v>
      </c>
      <c r="D329" s="7" t="n">
        <v>17.5</v>
      </c>
      <c r="E329" s="7" t="n">
        <v>10.7</v>
      </c>
      <c r="F329" s="7" t="n">
        <v>22.3</v>
      </c>
      <c r="G329" s="7" t="n">
        <f aca="false">G328+D329</f>
        <v>2846.3</v>
      </c>
      <c r="H329" s="7" t="n">
        <f aca="false">H328+D329</f>
        <v>159.3</v>
      </c>
      <c r="I329" s="47" t="s">
        <v>39</v>
      </c>
      <c r="J329" s="7" t="n">
        <v>0</v>
      </c>
      <c r="K329" s="7" t="n">
        <f aca="false">K328+J329</f>
        <v>464</v>
      </c>
      <c r="L329" s="7" t="n">
        <v>3.6</v>
      </c>
      <c r="M329" s="7" t="n">
        <f aca="false">M328+L329</f>
        <v>443.1</v>
      </c>
      <c r="N329" s="9" t="n">
        <v>-3.6</v>
      </c>
      <c r="O329" s="7" t="n">
        <f aca="false">O328+N329</f>
        <v>8.00000000000001</v>
      </c>
      <c r="P329" s="7" t="n">
        <v>285</v>
      </c>
      <c r="Q329" s="15" t="n">
        <f aca="false">1.15+((P329-257)/44)*(0.35-1.15)</f>
        <v>0.640909090909091</v>
      </c>
      <c r="R329" s="10" t="n">
        <f aca="false">Q329*L329</f>
        <v>2.30727272727273</v>
      </c>
      <c r="S329" s="10" t="n">
        <f aca="false">J329-R329</f>
        <v>-2.30727272727273</v>
      </c>
      <c r="T329" s="10" t="n">
        <f aca="false">MIN(138.9,(T328+S329))</f>
        <v>11.6081818181819</v>
      </c>
      <c r="U329" s="47" t="s">
        <v>40</v>
      </c>
      <c r="V329" s="7" t="n">
        <v>2035.4</v>
      </c>
      <c r="X329" s="7" t="n">
        <f aca="false">X328+V329</f>
        <v>247532.6</v>
      </c>
      <c r="Y329" s="7" t="n">
        <f aca="false">Y328+V329</f>
        <v>15093.1</v>
      </c>
      <c r="AA329" s="7" t="n">
        <v>15.9630467191309</v>
      </c>
    </row>
    <row r="330" s="7" customFormat="true" ht="15" hidden="false" customHeight="false" outlineLevel="0" collapsed="false">
      <c r="A330" s="46"/>
      <c r="B330" s="13"/>
      <c r="C330" s="8" t="n">
        <v>42176</v>
      </c>
      <c r="D330" s="7" t="n">
        <v>19.1</v>
      </c>
      <c r="E330" s="7" t="n">
        <v>15.4</v>
      </c>
      <c r="F330" s="7" t="n">
        <v>23.4</v>
      </c>
      <c r="G330" s="7" t="n">
        <f aca="false">G329+D330</f>
        <v>2865.4</v>
      </c>
      <c r="H330" s="7" t="n">
        <f aca="false">H329+D330</f>
        <v>178.4</v>
      </c>
      <c r="I330" s="7" t="n">
        <v>9</v>
      </c>
      <c r="J330" s="7" t="n">
        <v>0</v>
      </c>
      <c r="K330" s="7" t="n">
        <f aca="false">K329+J330</f>
        <v>464</v>
      </c>
      <c r="L330" s="7" t="n">
        <v>4.2</v>
      </c>
      <c r="M330" s="7" t="n">
        <f aca="false">M329+L330</f>
        <v>447.3</v>
      </c>
      <c r="N330" s="9" t="n">
        <v>-4.2</v>
      </c>
      <c r="O330" s="7" t="n">
        <f aca="false">O329+N330</f>
        <v>3.80000000000001</v>
      </c>
      <c r="P330" s="7" t="n">
        <v>286</v>
      </c>
      <c r="Q330" s="15" t="n">
        <f aca="false">1.15+((P330-257)/44)*(0.35-1.15)</f>
        <v>0.622727272727273</v>
      </c>
      <c r="R330" s="10" t="n">
        <f aca="false">Q330*L330</f>
        <v>2.61545454545455</v>
      </c>
      <c r="S330" s="10" t="n">
        <f aca="false">J330-R330</f>
        <v>-2.61545454545455</v>
      </c>
      <c r="T330" s="10" t="n">
        <f aca="false">MIN(138.9,(T329+S330))</f>
        <v>8.99272727272733</v>
      </c>
      <c r="U330" s="10" t="n">
        <f aca="false">MAX(T321:T341)</f>
        <v>28.1627272727273</v>
      </c>
      <c r="V330" s="7" t="n">
        <v>2211.9</v>
      </c>
      <c r="X330" s="7" t="n">
        <f aca="false">X329+V330</f>
        <v>249744.5</v>
      </c>
      <c r="Y330" s="7" t="n">
        <f aca="false">Y329+V330</f>
        <v>17305</v>
      </c>
      <c r="AA330" s="7" t="n">
        <v>15.963736449289</v>
      </c>
    </row>
    <row r="331" s="7" customFormat="true" ht="15" hidden="false" customHeight="false" outlineLevel="0" collapsed="false">
      <c r="A331" s="46"/>
      <c r="B331" s="13"/>
      <c r="C331" s="8" t="n">
        <v>42177</v>
      </c>
      <c r="D331" s="7" t="n">
        <v>16.1</v>
      </c>
      <c r="E331" s="7" t="n">
        <v>11.3</v>
      </c>
      <c r="F331" s="7" t="n">
        <v>23.6</v>
      </c>
      <c r="G331" s="7" t="n">
        <f aca="false">G330+D331</f>
        <v>2881.5</v>
      </c>
      <c r="H331" s="7" t="n">
        <f aca="false">H330+D331</f>
        <v>194.5</v>
      </c>
      <c r="I331" s="47" t="s">
        <v>41</v>
      </c>
      <c r="J331" s="7" t="n">
        <v>0.3</v>
      </c>
      <c r="K331" s="7" t="n">
        <f aca="false">K330+J331</f>
        <v>464.3</v>
      </c>
      <c r="L331" s="7" t="n">
        <v>3</v>
      </c>
      <c r="M331" s="7" t="n">
        <f aca="false">M330+L331</f>
        <v>450.3</v>
      </c>
      <c r="N331" s="9" t="n">
        <v>-2.7</v>
      </c>
      <c r="O331" s="7" t="n">
        <f aca="false">O330+N331</f>
        <v>1.10000000000001</v>
      </c>
      <c r="P331" s="7" t="n">
        <v>287</v>
      </c>
      <c r="Q331" s="15" t="n">
        <f aca="false">1.15+((P331-257)/44)*(0.35-1.15)</f>
        <v>0.604545454545455</v>
      </c>
      <c r="R331" s="10" t="n">
        <f aca="false">Q331*L331</f>
        <v>1.81363636363636</v>
      </c>
      <c r="S331" s="10" t="n">
        <f aca="false">J331-R331</f>
        <v>-1.51363636363636</v>
      </c>
      <c r="T331" s="10" t="n">
        <f aca="false">MIN(138.9,(T330+S331))</f>
        <v>7.47909090909096</v>
      </c>
      <c r="U331" s="47" t="s">
        <v>42</v>
      </c>
      <c r="V331" s="7" t="n">
        <v>1437.5</v>
      </c>
      <c r="X331" s="7" t="n">
        <f aca="false">X330+V331</f>
        <v>251182</v>
      </c>
      <c r="Y331" s="7" t="n">
        <f aca="false">Y330+V331</f>
        <v>18742.5</v>
      </c>
      <c r="AA331" s="7" t="n">
        <v>15.9630468459601</v>
      </c>
    </row>
    <row r="332" s="7" customFormat="true" ht="15" hidden="false" customHeight="false" outlineLevel="0" collapsed="false">
      <c r="A332" s="46"/>
      <c r="B332" s="13"/>
      <c r="C332" s="8" t="n">
        <v>42178</v>
      </c>
      <c r="D332" s="7" t="n">
        <v>14.8</v>
      </c>
      <c r="E332" s="7" t="n">
        <v>10.3</v>
      </c>
      <c r="F332" s="7" t="n">
        <v>19.6</v>
      </c>
      <c r="G332" s="7" t="n">
        <f aca="false">G331+D332</f>
        <v>2896.3</v>
      </c>
      <c r="H332" s="7" t="n">
        <f aca="false">H331+D332</f>
        <v>209.3</v>
      </c>
      <c r="I332" s="7" t="n">
        <v>0</v>
      </c>
      <c r="J332" s="7" t="n">
        <v>0</v>
      </c>
      <c r="K332" s="7" t="n">
        <f aca="false">K331+J332</f>
        <v>464.3</v>
      </c>
      <c r="L332" s="7" t="n">
        <v>3.6</v>
      </c>
      <c r="M332" s="7" t="n">
        <f aca="false">M331+L332</f>
        <v>453.9</v>
      </c>
      <c r="N332" s="9" t="n">
        <v>-3.6</v>
      </c>
      <c r="O332" s="7" t="n">
        <v>0</v>
      </c>
      <c r="P332" s="7" t="n">
        <v>288</v>
      </c>
      <c r="Q332" s="15" t="n">
        <f aca="false">1.15+((P332-257)/44)*(0.35-1.15)</f>
        <v>0.586363636363636</v>
      </c>
      <c r="R332" s="10" t="n">
        <f aca="false">Q332*L332</f>
        <v>2.11090909090909</v>
      </c>
      <c r="S332" s="10" t="n">
        <f aca="false">J332-R332</f>
        <v>-2.11090909090909</v>
      </c>
      <c r="T332" s="10" t="n">
        <f aca="false">MIN(138.9,(T331+S332))</f>
        <v>5.36818181818187</v>
      </c>
      <c r="U332" s="15" t="n">
        <f aca="false">AVERAGE(T321:T341)</f>
        <v>9.9051298701299</v>
      </c>
      <c r="V332" s="7" t="n">
        <v>1966.7</v>
      </c>
      <c r="X332" s="7" t="n">
        <f aca="false">X331+V332</f>
        <v>253148.7</v>
      </c>
      <c r="Y332" s="7" t="n">
        <f aca="false">Y331+V332</f>
        <v>20709.2</v>
      </c>
      <c r="AA332" s="7" t="n">
        <v>15.9609791256254</v>
      </c>
    </row>
    <row r="333" s="7" customFormat="true" ht="15" hidden="false" customHeight="false" outlineLevel="0" collapsed="false">
      <c r="A333" s="46"/>
      <c r="B333" s="13"/>
      <c r="C333" s="8" t="n">
        <v>42179</v>
      </c>
      <c r="D333" s="7" t="n">
        <v>17.4</v>
      </c>
      <c r="E333" s="7" t="n">
        <v>8.9</v>
      </c>
      <c r="F333" s="7" t="n">
        <v>25.1</v>
      </c>
      <c r="G333" s="7" t="n">
        <f aca="false">G332+D333</f>
        <v>2913.7</v>
      </c>
      <c r="H333" s="7" t="n">
        <f aca="false">H332+D333</f>
        <v>226.7</v>
      </c>
      <c r="I333" s="47" t="s">
        <v>43</v>
      </c>
      <c r="J333" s="7" t="n">
        <v>0</v>
      </c>
      <c r="K333" s="7" t="n">
        <f aca="false">K332+J333</f>
        <v>464.3</v>
      </c>
      <c r="L333" s="7" t="n">
        <v>4.7</v>
      </c>
      <c r="M333" s="7" t="n">
        <f aca="false">M332+L333</f>
        <v>458.6</v>
      </c>
      <c r="N333" s="9" t="n">
        <v>-4.7</v>
      </c>
      <c r="O333" s="7" t="n">
        <v>0</v>
      </c>
      <c r="P333" s="7" t="n">
        <v>289</v>
      </c>
      <c r="Q333" s="15" t="n">
        <f aca="false">1.15+((P333-257)/44)*(0.35-1.15)</f>
        <v>0.568181818181818</v>
      </c>
      <c r="R333" s="10" t="n">
        <f aca="false">Q333*L333</f>
        <v>2.67045454545455</v>
      </c>
      <c r="S333" s="10" t="n">
        <f aca="false">J333-R333</f>
        <v>-2.67045454545455</v>
      </c>
      <c r="T333" s="10" t="n">
        <f aca="false">MIN(138.9,(T332+S333))</f>
        <v>2.69772727272733</v>
      </c>
      <c r="V333" s="7" t="n">
        <v>2618.9</v>
      </c>
      <c r="X333" s="7" t="n">
        <f aca="false">X332+V333</f>
        <v>255767.6</v>
      </c>
      <c r="Y333" s="7" t="n">
        <f aca="false">Y332+V333</f>
        <v>23328.1</v>
      </c>
      <c r="AA333" s="7" t="n">
        <v>15.9575359129031</v>
      </c>
    </row>
    <row r="334" s="7" customFormat="true" ht="15" hidden="false" customHeight="false" outlineLevel="0" collapsed="false">
      <c r="A334" s="46"/>
      <c r="B334" s="13"/>
      <c r="C334" s="8" t="n">
        <v>42180</v>
      </c>
      <c r="D334" s="7" t="n">
        <v>20.6</v>
      </c>
      <c r="E334" s="7" t="n">
        <v>12.1</v>
      </c>
      <c r="F334" s="7" t="n">
        <v>27.9</v>
      </c>
      <c r="G334" s="7" t="n">
        <f aca="false">G333+D334</f>
        <v>2934.3</v>
      </c>
      <c r="H334" s="7" t="n">
        <f aca="false">H333+D334</f>
        <v>247.3</v>
      </c>
      <c r="I334" s="7" t="n">
        <v>417</v>
      </c>
      <c r="J334" s="7" t="n">
        <v>0</v>
      </c>
      <c r="K334" s="7" t="n">
        <f aca="false">K333+J334</f>
        <v>464.3</v>
      </c>
      <c r="L334" s="7" t="n">
        <v>5</v>
      </c>
      <c r="M334" s="7" t="n">
        <f aca="false">M333+L334</f>
        <v>463.6</v>
      </c>
      <c r="N334" s="9" t="n">
        <v>-5</v>
      </c>
      <c r="O334" s="7" t="n">
        <v>0</v>
      </c>
      <c r="P334" s="7" t="n">
        <v>290</v>
      </c>
      <c r="Q334" s="15" t="n">
        <f aca="false">1.15+((P334-257)/44)*(0.35-1.15)</f>
        <v>0.55</v>
      </c>
      <c r="R334" s="10" t="n">
        <f aca="false">Q334*L334</f>
        <v>2.75</v>
      </c>
      <c r="S334" s="10" t="n">
        <f aca="false">J334-R334</f>
        <v>-2.75</v>
      </c>
      <c r="T334" s="10" t="n">
        <v>0</v>
      </c>
      <c r="U334" s="10" t="n">
        <f aca="false">(U332*100)/138.9</f>
        <v>7.1311230166522</v>
      </c>
      <c r="V334" s="7" t="n">
        <v>2590.9</v>
      </c>
      <c r="X334" s="7" t="n">
        <f aca="false">X333+V334</f>
        <v>258358.5</v>
      </c>
      <c r="Y334" s="7" t="n">
        <f aca="false">Y333+V334</f>
        <v>25919</v>
      </c>
      <c r="AA334" s="7" t="n">
        <v>15.9527212304833</v>
      </c>
    </row>
    <row r="335" s="7" customFormat="true" ht="15" hidden="false" customHeight="false" outlineLevel="0" collapsed="false">
      <c r="A335" s="46"/>
      <c r="B335" s="13"/>
      <c r="C335" s="8" t="n">
        <v>42181</v>
      </c>
      <c r="D335" s="7" t="n">
        <v>23.2</v>
      </c>
      <c r="E335" s="7" t="n">
        <v>14.5</v>
      </c>
      <c r="F335" s="7" t="n">
        <v>30.1</v>
      </c>
      <c r="G335" s="7" t="n">
        <f aca="false">G334+D335</f>
        <v>2957.5</v>
      </c>
      <c r="H335" s="7" t="n">
        <f aca="false">H334+D335</f>
        <v>270.5</v>
      </c>
      <c r="J335" s="7" t="n">
        <v>0</v>
      </c>
      <c r="K335" s="7" t="n">
        <f aca="false">K334+J335</f>
        <v>464.3</v>
      </c>
      <c r="L335" s="7" t="n">
        <v>5.7</v>
      </c>
      <c r="M335" s="7" t="n">
        <f aca="false">M334+L335</f>
        <v>469.3</v>
      </c>
      <c r="N335" s="9" t="n">
        <v>-5.7</v>
      </c>
      <c r="O335" s="7" t="n">
        <v>0</v>
      </c>
      <c r="P335" s="7" t="n">
        <v>291</v>
      </c>
      <c r="Q335" s="15" t="n">
        <f aca="false">1.15+((P335-257)/44)*(0.35-1.15)</f>
        <v>0.531818181818182</v>
      </c>
      <c r="R335" s="10" t="n">
        <f aca="false">Q335*L335</f>
        <v>3.03136363636364</v>
      </c>
      <c r="S335" s="10" t="n">
        <f aca="false">J335-R335</f>
        <v>-3.03136363636364</v>
      </c>
      <c r="T335" s="10" t="n">
        <v>0</v>
      </c>
      <c r="V335" s="7" t="n">
        <v>2487.7</v>
      </c>
      <c r="X335" s="7" t="n">
        <f aca="false">X334+V335</f>
        <v>260846.2</v>
      </c>
      <c r="Y335" s="7" t="n">
        <f aca="false">Y334+V335</f>
        <v>28406.7</v>
      </c>
      <c r="AA335" s="7" t="n">
        <v>15.9465404837706</v>
      </c>
    </row>
    <row r="336" s="7" customFormat="true" ht="15" hidden="false" customHeight="false" outlineLevel="0" collapsed="false">
      <c r="A336" s="46"/>
      <c r="B336" s="13"/>
      <c r="C336" s="8" t="n">
        <v>42182</v>
      </c>
      <c r="D336" s="7" t="n">
        <v>21.2</v>
      </c>
      <c r="E336" s="7" t="n">
        <v>17.3</v>
      </c>
      <c r="F336" s="7" t="n">
        <v>26</v>
      </c>
      <c r="G336" s="7" t="n">
        <f aca="false">G335+D336</f>
        <v>2978.7</v>
      </c>
      <c r="H336" s="7" t="n">
        <f aca="false">H335+D336</f>
        <v>291.7</v>
      </c>
      <c r="J336" s="7" t="n">
        <v>0</v>
      </c>
      <c r="K336" s="7" t="n">
        <f aca="false">K335+J336</f>
        <v>464.3</v>
      </c>
      <c r="L336" s="7" t="n">
        <v>4.7</v>
      </c>
      <c r="M336" s="7" t="n">
        <f aca="false">M335+L336</f>
        <v>474</v>
      </c>
      <c r="N336" s="9" t="n">
        <v>-4.7</v>
      </c>
      <c r="O336" s="7" t="n">
        <v>0</v>
      </c>
      <c r="P336" s="7" t="n">
        <v>292</v>
      </c>
      <c r="Q336" s="15" t="n">
        <f aca="false">1.15+((P336-257)/44)*(0.35-1.15)</f>
        <v>0.513636363636364</v>
      </c>
      <c r="R336" s="10" t="n">
        <f aca="false">Q336*L336</f>
        <v>2.41409090909091</v>
      </c>
      <c r="S336" s="10" t="n">
        <f aca="false">J336-R336</f>
        <v>-2.41409090909091</v>
      </c>
      <c r="T336" s="10" t="n">
        <v>0</v>
      </c>
      <c r="V336" s="7" t="n">
        <v>2039.4</v>
      </c>
      <c r="X336" s="7" t="n">
        <f aca="false">X335+V336</f>
        <v>262885.6</v>
      </c>
      <c r="Y336" s="7" t="n">
        <f aca="false">Y335+V336</f>
        <v>30446.1</v>
      </c>
      <c r="AA336" s="7" t="n">
        <v>15.9390004403604</v>
      </c>
    </row>
    <row r="337" s="7" customFormat="true" ht="15" hidden="false" customHeight="false" outlineLevel="0" collapsed="false">
      <c r="A337" s="46"/>
      <c r="B337" s="13"/>
      <c r="C337" s="8" t="n">
        <v>42183</v>
      </c>
      <c r="D337" s="7" t="n">
        <v>22.4</v>
      </c>
      <c r="E337" s="7" t="n">
        <v>14.5</v>
      </c>
      <c r="F337" s="7" t="n">
        <v>29.2</v>
      </c>
      <c r="G337" s="7" t="n">
        <f aca="false">G336+D337</f>
        <v>3001.1</v>
      </c>
      <c r="H337" s="7" t="n">
        <f aca="false">H336+D337</f>
        <v>314.1</v>
      </c>
      <c r="J337" s="7" t="n">
        <v>0</v>
      </c>
      <c r="K337" s="7" t="n">
        <f aca="false">K336+J337</f>
        <v>464.3</v>
      </c>
      <c r="L337" s="7" t="n">
        <v>6.5</v>
      </c>
      <c r="M337" s="7" t="n">
        <f aca="false">M336+L337</f>
        <v>480.5</v>
      </c>
      <c r="N337" s="9" t="n">
        <v>-6.5</v>
      </c>
      <c r="O337" s="7" t="n">
        <v>0</v>
      </c>
      <c r="P337" s="7" t="n">
        <v>293</v>
      </c>
      <c r="Q337" s="15" t="n">
        <f aca="false">1.15+((P337-257)/44)*(0.35-1.15)</f>
        <v>0.495454545454545</v>
      </c>
      <c r="R337" s="10" t="n">
        <f aca="false">Q337*L337</f>
        <v>3.22045454545455</v>
      </c>
      <c r="S337" s="10" t="n">
        <f aca="false">J337-R337</f>
        <v>-3.22045454545455</v>
      </c>
      <c r="T337" s="10" t="n">
        <v>0</v>
      </c>
      <c r="V337" s="7" t="n">
        <v>2979.5</v>
      </c>
      <c r="W337" s="36"/>
      <c r="X337" s="36" t="n">
        <f aca="false">X336+V337</f>
        <v>265865.1</v>
      </c>
      <c r="Y337" s="7" t="n">
        <f aca="false">Y336+V337</f>
        <v>33425.6</v>
      </c>
      <c r="AA337" s="7" t="n">
        <v>15.9301092045072</v>
      </c>
    </row>
    <row r="338" s="7" customFormat="true" ht="15" hidden="false" customHeight="true" outlineLevel="0" collapsed="false">
      <c r="A338" s="46"/>
      <c r="B338" s="48"/>
      <c r="C338" s="8" t="n">
        <v>42184</v>
      </c>
      <c r="D338" s="7" t="n">
        <v>22.9</v>
      </c>
      <c r="E338" s="7" t="n">
        <v>16.7</v>
      </c>
      <c r="F338" s="7" t="n">
        <v>29.1</v>
      </c>
      <c r="G338" s="7" t="n">
        <f aca="false">G337+D338</f>
        <v>3024</v>
      </c>
      <c r="H338" s="7" t="n">
        <f aca="false">H337+D338</f>
        <v>337</v>
      </c>
      <c r="J338" s="7" t="n">
        <v>0</v>
      </c>
      <c r="K338" s="7" t="n">
        <f aca="false">K337+J338</f>
        <v>464.3</v>
      </c>
      <c r="L338" s="7" t="n">
        <v>6</v>
      </c>
      <c r="M338" s="7" t="n">
        <f aca="false">M337+L338</f>
        <v>486.5</v>
      </c>
      <c r="N338" s="9" t="n">
        <v>-6</v>
      </c>
      <c r="O338" s="7" t="n">
        <v>0</v>
      </c>
      <c r="P338" s="7" t="n">
        <v>294</v>
      </c>
      <c r="Q338" s="15" t="n">
        <f aca="false">1.15+((P338-257)/44)*(0.35-1.15)</f>
        <v>0.477272727272727</v>
      </c>
      <c r="R338" s="10" t="n">
        <f aca="false">Q338*L338</f>
        <v>2.86363636363636</v>
      </c>
      <c r="S338" s="10" t="n">
        <f aca="false">J338-R338</f>
        <v>-2.86363636363636</v>
      </c>
      <c r="T338" s="10" t="n">
        <v>0</v>
      </c>
      <c r="V338" s="7" t="n">
        <v>2793.2</v>
      </c>
      <c r="X338" s="7" t="n">
        <f aca="false">X337+V338</f>
        <v>268658.3</v>
      </c>
      <c r="Y338" s="7" t="n">
        <f aca="false">Y337+V338</f>
        <v>36218.8</v>
      </c>
      <c r="AA338" s="7" t="n">
        <v>15.9198761867869</v>
      </c>
    </row>
    <row r="339" s="7" customFormat="true" ht="15" hidden="false" customHeight="false" outlineLevel="0" collapsed="false">
      <c r="A339" s="46"/>
      <c r="B339" s="48"/>
      <c r="C339" s="8" t="n">
        <v>42185</v>
      </c>
      <c r="D339" s="7" t="n">
        <v>26.2</v>
      </c>
      <c r="E339" s="7" t="n">
        <v>18.3</v>
      </c>
      <c r="F339" s="7" t="n">
        <v>34.7</v>
      </c>
      <c r="G339" s="7" t="n">
        <f aca="false">G338+D339</f>
        <v>3050.2</v>
      </c>
      <c r="H339" s="7" t="n">
        <f aca="false">H338+D339</f>
        <v>363.2</v>
      </c>
      <c r="J339" s="7" t="n">
        <v>0</v>
      </c>
      <c r="K339" s="7" t="n">
        <f aca="false">K338+J339</f>
        <v>464.3</v>
      </c>
      <c r="L339" s="7" t="n">
        <v>8.8</v>
      </c>
      <c r="M339" s="7" t="n">
        <f aca="false">M338+L339</f>
        <v>495.3</v>
      </c>
      <c r="N339" s="9" t="n">
        <v>-8.8</v>
      </c>
      <c r="O339" s="7" t="n">
        <v>0</v>
      </c>
      <c r="P339" s="7" t="n">
        <v>295</v>
      </c>
      <c r="Q339" s="15" t="n">
        <f aca="false">1.15+((P339-257)/44)*(0.35-1.15)</f>
        <v>0.459090909090909</v>
      </c>
      <c r="R339" s="10" t="n">
        <f aca="false">Q339*L339</f>
        <v>4.04</v>
      </c>
      <c r="S339" s="10" t="n">
        <f aca="false">J339-R339</f>
        <v>-4.04</v>
      </c>
      <c r="T339" s="10" t="n">
        <v>0</v>
      </c>
      <c r="V339" s="7" t="n">
        <v>3171.8</v>
      </c>
      <c r="X339" s="7" t="n">
        <f aca="false">X338+V339</f>
        <v>271830.1</v>
      </c>
      <c r="Y339" s="7" t="n">
        <f aca="false">Y338+V339</f>
        <v>39390.6</v>
      </c>
      <c r="AA339" s="7" t="n">
        <v>15.9083120691885</v>
      </c>
    </row>
    <row r="340" s="7" customFormat="true" ht="15" hidden="false" customHeight="false" outlineLevel="0" collapsed="false">
      <c r="A340" s="46"/>
      <c r="B340" s="48"/>
      <c r="C340" s="8" t="n">
        <v>42186</v>
      </c>
      <c r="D340" s="7" t="n">
        <v>28.3</v>
      </c>
      <c r="E340" s="7" t="n">
        <v>18.1</v>
      </c>
      <c r="F340" s="7" t="n">
        <v>36</v>
      </c>
      <c r="G340" s="7" t="n">
        <f aca="false">G339+D340</f>
        <v>3078.5</v>
      </c>
      <c r="H340" s="7" t="n">
        <f aca="false">H339+D340</f>
        <v>391.5</v>
      </c>
      <c r="J340" s="7" t="n">
        <v>0.1</v>
      </c>
      <c r="K340" s="7" t="n">
        <f aca="false">K339+J340</f>
        <v>464.4</v>
      </c>
      <c r="L340" s="7" t="n">
        <v>6.8</v>
      </c>
      <c r="M340" s="7" t="n">
        <f aca="false">M339+L340</f>
        <v>502.1</v>
      </c>
      <c r="N340" s="9" t="n">
        <v>-6.7</v>
      </c>
      <c r="O340" s="7" t="n">
        <v>0</v>
      </c>
      <c r="P340" s="7" t="n">
        <v>296</v>
      </c>
      <c r="Q340" s="15" t="n">
        <f aca="false">1.15+((P340-257)/44)*(0.35-1.15)</f>
        <v>0.440909090909091</v>
      </c>
      <c r="R340" s="10" t="n">
        <f aca="false">Q340*L340</f>
        <v>2.99818181818182</v>
      </c>
      <c r="S340" s="10" t="n">
        <f aca="false">J340-R340</f>
        <v>-2.89818181818182</v>
      </c>
      <c r="T340" s="10" t="n">
        <v>0</v>
      </c>
      <c r="V340" s="7" t="n">
        <v>2373.5</v>
      </c>
      <c r="X340" s="7" t="n">
        <f aca="false">X339+V340</f>
        <v>274203.6</v>
      </c>
      <c r="Y340" s="7" t="n">
        <f aca="false">Y339+V340</f>
        <v>41764.1</v>
      </c>
      <c r="AA340" s="7" t="n">
        <v>15.8954287659003</v>
      </c>
    </row>
    <row r="341" s="18" customFormat="true" ht="15" hidden="false" customHeight="false" outlineLevel="0" collapsed="false">
      <c r="A341" s="46"/>
      <c r="B341" s="49" t="n">
        <v>1000</v>
      </c>
      <c r="C341" s="17" t="n">
        <v>42187</v>
      </c>
      <c r="D341" s="18" t="n">
        <v>25.5</v>
      </c>
      <c r="E341" s="18" t="n">
        <v>19.2</v>
      </c>
      <c r="F341" s="18" t="n">
        <v>32.1</v>
      </c>
      <c r="G341" s="18" t="n">
        <f aca="false">G340+D341</f>
        <v>3104</v>
      </c>
      <c r="H341" s="18" t="n">
        <f aca="false">H340+D341</f>
        <v>417</v>
      </c>
      <c r="J341" s="18" t="n">
        <v>0</v>
      </c>
      <c r="K341" s="18" t="n">
        <f aca="false">K340+J341</f>
        <v>464.4</v>
      </c>
      <c r="L341" s="18" t="n">
        <v>5.1</v>
      </c>
      <c r="M341" s="18" t="n">
        <f aca="false">M340+L341</f>
        <v>507.2</v>
      </c>
      <c r="N341" s="19" t="n">
        <v>-5.1</v>
      </c>
      <c r="O341" s="18" t="n">
        <v>0</v>
      </c>
      <c r="P341" s="18" t="n">
        <v>297</v>
      </c>
      <c r="Q341" s="38" t="n">
        <f aca="false">1.15+((P341-257)/44)*(0.35-1.15)</f>
        <v>0.422727272727273</v>
      </c>
      <c r="R341" s="20" t="n">
        <f aca="false">Q341*L341</f>
        <v>2.15590909090909</v>
      </c>
      <c r="S341" s="20" t="n">
        <f aca="false">J341-R341</f>
        <v>-2.15590909090909</v>
      </c>
      <c r="T341" s="20" t="n">
        <v>0</v>
      </c>
      <c r="V341" s="18" t="n">
        <v>2002.6</v>
      </c>
      <c r="X341" s="18" t="n">
        <f aca="false">X340+V341</f>
        <v>276206.2</v>
      </c>
      <c r="Y341" s="18" t="n">
        <f aca="false">Y340+V341</f>
        <v>43766.7</v>
      </c>
      <c r="AA341" s="18" t="n">
        <v>15.8812393800885</v>
      </c>
    </row>
    <row r="342" s="7" customFormat="true" ht="15" hidden="false" customHeight="false" outlineLevel="0" collapsed="false">
      <c r="A342" s="50"/>
      <c r="B342" s="48"/>
      <c r="C342" s="8" t="n">
        <v>42188</v>
      </c>
      <c r="D342" s="7" t="n">
        <v>26.5</v>
      </c>
      <c r="E342" s="7" t="n">
        <v>19.8</v>
      </c>
      <c r="F342" s="7" t="n">
        <v>35.1</v>
      </c>
      <c r="G342" s="7" t="n">
        <f aca="false">G341+D342</f>
        <v>3130.5</v>
      </c>
      <c r="H342" s="7" t="n">
        <v>26.5</v>
      </c>
      <c r="J342" s="7" t="n">
        <v>0</v>
      </c>
      <c r="K342" s="7" t="n">
        <f aca="false">K341+J342</f>
        <v>464.4</v>
      </c>
      <c r="L342" s="7" t="n">
        <v>6.3</v>
      </c>
      <c r="M342" s="7" t="n">
        <f aca="false">M341+L342</f>
        <v>513.5</v>
      </c>
      <c r="N342" s="9" t="n">
        <v>-6.3</v>
      </c>
      <c r="O342" s="7" t="n">
        <v>0</v>
      </c>
      <c r="P342" s="7" t="n">
        <v>298</v>
      </c>
      <c r="Q342" s="15" t="n">
        <f aca="false">1.15+((P342-257)/44)*(0.35-1.15)</f>
        <v>0.404545454545455</v>
      </c>
      <c r="R342" s="10" t="n">
        <f aca="false">Q342*L342</f>
        <v>2.54863636363636</v>
      </c>
      <c r="S342" s="10" t="n">
        <f aca="false">J342-R342</f>
        <v>-2.54863636363636</v>
      </c>
      <c r="T342" s="10" t="n">
        <v>0</v>
      </c>
      <c r="V342" s="7" t="n">
        <v>2291.6</v>
      </c>
      <c r="X342" s="7" t="n">
        <f aca="false">X341+V342</f>
        <v>278497.8</v>
      </c>
      <c r="Y342" s="7" t="n">
        <f aca="false">Y341+V342</f>
        <v>46058.3</v>
      </c>
      <c r="AA342" s="7" t="n">
        <v>15.8657581569863</v>
      </c>
    </row>
    <row r="343" s="7" customFormat="true" ht="15" hidden="false" customHeight="false" outlineLevel="0" collapsed="false">
      <c r="A343" s="50"/>
      <c r="B343" s="48"/>
      <c r="C343" s="8" t="n">
        <v>42189</v>
      </c>
      <c r="D343" s="7" t="n">
        <v>24.9</v>
      </c>
      <c r="E343" s="7" t="n">
        <v>20.9</v>
      </c>
      <c r="F343" s="7" t="n">
        <v>29.9</v>
      </c>
      <c r="G343" s="7" t="n">
        <f aca="false">G342+D343</f>
        <v>3155.4</v>
      </c>
      <c r="H343" s="7" t="n">
        <f aca="false">H342+D343</f>
        <v>51.4</v>
      </c>
      <c r="J343" s="7" t="n">
        <v>1.8</v>
      </c>
      <c r="K343" s="7" t="n">
        <f aca="false">K342+J343</f>
        <v>466.2</v>
      </c>
      <c r="L343" s="7" t="n">
        <v>3.6</v>
      </c>
      <c r="M343" s="7" t="n">
        <f aca="false">M342+L343</f>
        <v>517.1</v>
      </c>
      <c r="N343" s="9" t="n">
        <v>-1.8</v>
      </c>
      <c r="O343" s="7" t="n">
        <v>0</v>
      </c>
      <c r="P343" s="7" t="n">
        <v>299</v>
      </c>
      <c r="Q343" s="15" t="n">
        <f aca="false">1.15+((P343-257)/44)*(0.35-1.15)</f>
        <v>0.386363636363636</v>
      </c>
      <c r="R343" s="10" t="n">
        <f aca="false">Q343*L343</f>
        <v>1.39090909090909</v>
      </c>
      <c r="S343" s="10" t="n">
        <f aca="false">J343-R343</f>
        <v>0.409090909090909</v>
      </c>
      <c r="T343" s="10" t="n">
        <f aca="false">MIN(138.9,(T342+S343))</f>
        <v>0.409090909090909</v>
      </c>
      <c r="V343" s="7" t="n">
        <v>1593.2</v>
      </c>
      <c r="X343" s="7" t="n">
        <f aca="false">X342+V343</f>
        <v>280091</v>
      </c>
      <c r="Y343" s="7" t="n">
        <f aca="false">Y342+V343</f>
        <v>47651.5</v>
      </c>
      <c r="AA343" s="7" t="n">
        <v>15.8490004336365</v>
      </c>
    </row>
    <row r="344" s="7" customFormat="true" ht="15" hidden="false" customHeight="false" outlineLevel="0" collapsed="false">
      <c r="A344" s="50"/>
      <c r="B344" s="48"/>
      <c r="C344" s="8" t="n">
        <v>42190</v>
      </c>
      <c r="D344" s="7" t="n">
        <v>21.4</v>
      </c>
      <c r="E344" s="7" t="n">
        <v>17.9</v>
      </c>
      <c r="F344" s="7" t="n">
        <v>25.7</v>
      </c>
      <c r="G344" s="7" t="n">
        <f aca="false">G343+D344</f>
        <v>3176.8</v>
      </c>
      <c r="H344" s="7" t="n">
        <f aca="false">H343+D344</f>
        <v>72.8</v>
      </c>
      <c r="J344" s="7" t="n">
        <v>0.1</v>
      </c>
      <c r="K344" s="7" t="n">
        <f aca="false">K343+J344</f>
        <v>466.3</v>
      </c>
      <c r="L344" s="7" t="n">
        <v>3.8</v>
      </c>
      <c r="M344" s="7" t="n">
        <f aca="false">M343+L344</f>
        <v>520.9</v>
      </c>
      <c r="N344" s="9" t="n">
        <v>-3.7</v>
      </c>
      <c r="O344" s="7" t="n">
        <v>0</v>
      </c>
      <c r="P344" s="7" t="n">
        <v>300</v>
      </c>
      <c r="Q344" s="15" t="n">
        <f aca="false">1.15+((P344-257)/44)*(0.35-1.15)</f>
        <v>0.368181818181818</v>
      </c>
      <c r="R344" s="10" t="n">
        <f aca="false">Q344*L344</f>
        <v>1.39909090909091</v>
      </c>
      <c r="S344" s="10" t="n">
        <f aca="false">J344-R344</f>
        <v>-1.29909090909091</v>
      </c>
      <c r="T344" s="10" t="n">
        <v>0</v>
      </c>
      <c r="V344" s="7" t="n">
        <v>1614.4</v>
      </c>
      <c r="X344" s="7" t="n">
        <f aca="false">X343+V344</f>
        <v>281705.4</v>
      </c>
      <c r="Y344" s="7" t="n">
        <f aca="false">Y343+V344</f>
        <v>49265.9</v>
      </c>
      <c r="AA344" s="7" t="n">
        <v>15.8309825856438</v>
      </c>
    </row>
    <row r="345" s="7" customFormat="true" ht="15" hidden="false" customHeight="false" outlineLevel="0" collapsed="false">
      <c r="A345" s="50"/>
      <c r="B345" s="48"/>
      <c r="C345" s="8" t="n">
        <v>42191</v>
      </c>
      <c r="D345" s="7" t="n">
        <v>23.2</v>
      </c>
      <c r="E345" s="7" t="n">
        <v>15</v>
      </c>
      <c r="F345" s="7" t="n">
        <v>31.6</v>
      </c>
      <c r="G345" s="7" t="n">
        <f aca="false">G344+D345</f>
        <v>3200</v>
      </c>
      <c r="H345" s="7" t="n">
        <f aca="false">H344+D345</f>
        <v>96</v>
      </c>
      <c r="J345" s="7" t="n">
        <v>0</v>
      </c>
      <c r="K345" s="7" t="n">
        <f aca="false">K344+J345</f>
        <v>466.3</v>
      </c>
      <c r="L345" s="7" t="n">
        <v>6.6</v>
      </c>
      <c r="M345" s="7" t="n">
        <f aca="false">M344+L345</f>
        <v>527.5</v>
      </c>
      <c r="N345" s="9" t="n">
        <v>-6.6</v>
      </c>
      <c r="O345" s="7" t="n">
        <v>0</v>
      </c>
      <c r="P345" s="7" t="n">
        <v>301</v>
      </c>
      <c r="Q345" s="15" t="n">
        <f aca="false">1.15+((P345-257)/44)*(0.35-1.15)</f>
        <v>0.35</v>
      </c>
      <c r="R345" s="10" t="n">
        <f aca="false">Q345*L345</f>
        <v>2.31</v>
      </c>
      <c r="S345" s="10" t="n">
        <f aca="false">J345-R345</f>
        <v>-2.31</v>
      </c>
      <c r="T345" s="10" t="n">
        <v>0</v>
      </c>
      <c r="V345" s="7" t="n">
        <v>3001.6</v>
      </c>
      <c r="X345" s="7" t="n">
        <f aca="false">X344+V345</f>
        <v>284707</v>
      </c>
      <c r="Y345" s="7" t="n">
        <f aca="false">Y344+V345</f>
        <v>52267.5</v>
      </c>
      <c r="AA345" s="7" t="n">
        <v>15.8117219713073</v>
      </c>
    </row>
    <row r="346" s="7" customFormat="true" ht="15" hidden="false" customHeight="false" outlineLevel="0" collapsed="false">
      <c r="A346" s="51" t="s">
        <v>58</v>
      </c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7" t="n">
        <v>15.7912368735119</v>
      </c>
    </row>
  </sheetData>
  <mergeCells count="14">
    <mergeCell ref="D1:I2"/>
    <mergeCell ref="J1:U2"/>
    <mergeCell ref="V1:Z2"/>
    <mergeCell ref="P3:T3"/>
    <mergeCell ref="G4:H4"/>
    <mergeCell ref="X4:Y4"/>
    <mergeCell ref="A44:Z44"/>
    <mergeCell ref="A45:A126"/>
    <mergeCell ref="A127:A217"/>
    <mergeCell ref="A218:A257"/>
    <mergeCell ref="A279:A301"/>
    <mergeCell ref="A302:A320"/>
    <mergeCell ref="A321:A341"/>
    <mergeCell ref="A346:Z346"/>
  </mergeCells>
  <conditionalFormatting sqref="T5:T346">
    <cfRule type="cellIs" priority="2" operator="equal" aboveAverage="0" equalAverage="0" bottom="0" percent="0" rank="0" text="" dxfId="0">
      <formula>0</formula>
    </cfRule>
    <cfRule type="cellIs" priority="3" operator="lessThanOrEqual" aboveAverage="0" equalAverage="0" bottom="0" percent="0" rank="0" text="" dxfId="1">
      <formula>46.3</formula>
    </cfRule>
  </conditionalFormatting>
  <conditionalFormatting sqref="S45:S345">
    <cfRule type="cellIs" priority="4" operator="lessThanOrEqual" aboveAverage="0" equalAverage="0" bottom="0" percent="0" rank="0" text="" dxfId="2">
      <formula>0</formula>
    </cfRule>
  </conditionalFormatting>
  <conditionalFormatting sqref="V45:V345">
    <cfRule type="cellIs" priority="5" operator="lessThan" aboveAverage="0" equalAverage="0" bottom="0" percent="0" rank="0" text="" dxfId="3">
      <formula>900</formula>
    </cfRule>
    <cfRule type="cellIs" priority="6" operator="greaterThan" aboveAverage="0" equalAverage="0" bottom="0" percent="0" rank="0" text="" dxfId="4">
      <formula>900</formula>
    </cfRule>
  </conditionalFormatting>
  <conditionalFormatting sqref="D5:F43 D45:F345 I52 I54 I56 I58 I140 I136 I134 I138 I231 I225 I227 I229 I265 I267 I269 I271 I286 I288 I290 I292 I309 I311 I313 I315 I328 I330 I332 I334">
    <cfRule type="cellIs" priority="7" operator="between" aboveAverage="0" equalAverage="0" bottom="0" percent="0" rank="0" text="" dxfId="5">
      <formula>0</formula>
      <formula>5</formula>
    </cfRule>
    <cfRule type="cellIs" priority="8" operator="between" aboveAverage="0" equalAverage="0" bottom="0" percent="0" rank="0" text="" dxfId="6">
      <formula>-40</formula>
      <formula>0</formula>
    </cfRule>
    <cfRule type="cellIs" priority="9" operator="between" aboveAverage="0" equalAverage="0" bottom="0" percent="0" rank="0" text="" dxfId="7">
      <formula>25</formula>
      <formula>40</formula>
    </cfRule>
  </conditionalFormatting>
  <conditionalFormatting sqref="T1:T4">
    <cfRule type="cellIs" priority="10" operator="equal" aboveAverage="0" equalAverage="0" bottom="0" percent="0" rank="0" text="" dxfId="8">
      <formula>0</formula>
    </cfRule>
    <cfRule type="cellIs" priority="11" operator="lessThanOrEqual" aboveAverage="0" equalAverage="0" bottom="0" percent="0" rank="0" text="" dxfId="9">
      <formula>46.3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4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3" ySplit="4" topLeftCell="D201" activePane="bottomRight" state="frozen"/>
      <selection pane="topLeft" activeCell="A1" activeCellId="0" sqref="A1"/>
      <selection pane="topRight" activeCell="D1" activeCellId="0" sqref="D1"/>
      <selection pane="bottomLeft" activeCell="A201" activeCellId="0" sqref="A201"/>
      <selection pane="bottomRight" activeCell="AD234" activeCellId="0" sqref="AD234"/>
    </sheetView>
  </sheetViews>
  <sheetFormatPr defaultColWidth="10.54296875" defaultRowHeight="15" customHeight="true" zeroHeight="false" outlineLevelRow="0" outlineLevelCol="0"/>
  <sheetData>
    <row r="1" customFormat="false" ht="15" hidden="false" customHeight="false" outlineLevel="0" collapsed="false">
      <c r="B1" s="1"/>
      <c r="C1" s="2"/>
      <c r="D1" s="3" t="s">
        <v>0</v>
      </c>
      <c r="E1" s="3"/>
      <c r="F1" s="3"/>
      <c r="G1" s="3"/>
      <c r="H1" s="3"/>
      <c r="I1" s="3"/>
      <c r="J1" s="3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 t="s">
        <v>2</v>
      </c>
      <c r="W1" s="3"/>
      <c r="X1" s="3"/>
      <c r="Y1" s="3"/>
      <c r="Z1" s="3"/>
    </row>
    <row r="2" customFormat="false" ht="15" hidden="false" customHeight="false" outlineLevel="0" collapsed="false"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B3" s="1"/>
      <c r="C3" s="2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 t="s">
        <v>3</v>
      </c>
      <c r="Q3" s="3"/>
      <c r="R3" s="3"/>
      <c r="S3" s="3"/>
      <c r="T3" s="3"/>
      <c r="U3" s="4"/>
      <c r="V3" s="4"/>
      <c r="W3" s="4"/>
      <c r="X3" s="4"/>
      <c r="Y3" s="4"/>
      <c r="Z3" s="4"/>
    </row>
    <row r="4" customFormat="false" ht="15" hidden="false" customHeight="false" outlineLevel="0" collapsed="false">
      <c r="A4" s="1" t="s">
        <v>4</v>
      </c>
      <c r="B4" s="1" t="n">
        <v>5</v>
      </c>
      <c r="C4" s="1" t="s">
        <v>5</v>
      </c>
      <c r="D4" s="1" t="s">
        <v>6</v>
      </c>
      <c r="E4" s="1" t="s">
        <v>7</v>
      </c>
      <c r="F4" s="1" t="s">
        <v>8</v>
      </c>
      <c r="G4" s="5" t="s">
        <v>9</v>
      </c>
      <c r="H4" s="5"/>
      <c r="I4" s="1" t="s">
        <v>10</v>
      </c>
      <c r="J4" s="1" t="s">
        <v>59</v>
      </c>
      <c r="K4" s="1" t="s">
        <v>12</v>
      </c>
      <c r="L4" s="1" t="s">
        <v>60</v>
      </c>
      <c r="M4" s="1" t="s">
        <v>14</v>
      </c>
      <c r="N4" s="1" t="s">
        <v>15</v>
      </c>
      <c r="O4" s="1" t="s">
        <v>61</v>
      </c>
      <c r="P4" s="1" t="s">
        <v>17</v>
      </c>
      <c r="Q4" s="1" t="s">
        <v>18</v>
      </c>
      <c r="R4" s="1" t="s">
        <v>19</v>
      </c>
      <c r="S4" s="1" t="s">
        <v>20</v>
      </c>
      <c r="T4" s="6" t="s">
        <v>21</v>
      </c>
      <c r="U4" s="1" t="s">
        <v>10</v>
      </c>
      <c r="V4" s="1" t="s">
        <v>22</v>
      </c>
      <c r="W4" s="1" t="s">
        <v>23</v>
      </c>
      <c r="X4" s="5" t="s">
        <v>24</v>
      </c>
      <c r="Y4" s="5"/>
      <c r="Z4" s="1" t="s">
        <v>10</v>
      </c>
    </row>
    <row r="5" s="7" customFormat="true" ht="15" hidden="false" customHeight="false" outlineLevel="0" collapsed="false">
      <c r="C5" s="8" t="n">
        <v>41852</v>
      </c>
      <c r="D5" s="7" t="n">
        <v>21.6</v>
      </c>
      <c r="E5" s="7" t="n">
        <v>16.1</v>
      </c>
      <c r="F5" s="7" t="n">
        <v>27.7</v>
      </c>
      <c r="J5" s="7" t="n">
        <v>0</v>
      </c>
      <c r="L5" s="7" t="n">
        <v>3.2</v>
      </c>
      <c r="N5" s="9" t="n">
        <v>-3.2</v>
      </c>
      <c r="O5" s="7" t="n">
        <v>0</v>
      </c>
      <c r="T5" s="10"/>
      <c r="V5" s="7" t="n">
        <v>1426.3</v>
      </c>
    </row>
    <row r="6" s="7" customFormat="true" ht="15" hidden="false" customHeight="false" outlineLevel="0" collapsed="false">
      <c r="C6" s="8" t="n">
        <v>41853</v>
      </c>
      <c r="D6" s="7" t="n">
        <v>19.2</v>
      </c>
      <c r="E6" s="7" t="n">
        <v>15.2</v>
      </c>
      <c r="F6" s="7" t="n">
        <v>23.7</v>
      </c>
      <c r="J6" s="7" t="n">
        <v>2.5</v>
      </c>
      <c r="L6" s="7" t="n">
        <v>3.1</v>
      </c>
      <c r="N6" s="9" t="n">
        <v>-0.6</v>
      </c>
      <c r="O6" s="7" t="n">
        <v>0</v>
      </c>
      <c r="T6" s="10"/>
      <c r="V6" s="7" t="n">
        <v>1436.5</v>
      </c>
    </row>
    <row r="7" s="7" customFormat="true" ht="15" hidden="false" customHeight="false" outlineLevel="0" collapsed="false">
      <c r="C7" s="8" t="n">
        <v>41854</v>
      </c>
      <c r="D7" s="7" t="n">
        <v>19.7</v>
      </c>
      <c r="E7" s="7" t="n">
        <v>15.4</v>
      </c>
      <c r="F7" s="7" t="n">
        <v>24.3</v>
      </c>
      <c r="J7" s="7" t="n">
        <v>0</v>
      </c>
      <c r="L7" s="7" t="n">
        <v>2.8</v>
      </c>
      <c r="N7" s="9" t="n">
        <v>-2.8</v>
      </c>
      <c r="O7" s="7" t="n">
        <v>0</v>
      </c>
      <c r="T7" s="10"/>
      <c r="V7" s="7" t="n">
        <v>1351.4</v>
      </c>
    </row>
    <row r="8" s="7" customFormat="true" ht="15" hidden="false" customHeight="false" outlineLevel="0" collapsed="false">
      <c r="C8" s="8" t="n">
        <v>41855</v>
      </c>
      <c r="D8" s="7" t="n">
        <v>19</v>
      </c>
      <c r="E8" s="7" t="n">
        <v>14.4</v>
      </c>
      <c r="F8" s="7" t="n">
        <v>23.8</v>
      </c>
      <c r="J8" s="7" t="n">
        <v>0</v>
      </c>
      <c r="L8" s="7" t="n">
        <v>3.5</v>
      </c>
      <c r="N8" s="9" t="n">
        <v>-3.5</v>
      </c>
      <c r="O8" s="7" t="n">
        <v>0</v>
      </c>
      <c r="T8" s="10"/>
      <c r="V8" s="7" t="n">
        <v>1590.9</v>
      </c>
    </row>
    <row r="9" s="7" customFormat="true" ht="15" hidden="false" customHeight="false" outlineLevel="0" collapsed="false">
      <c r="C9" s="8" t="n">
        <v>41856</v>
      </c>
      <c r="D9" s="7" t="n">
        <v>19.6</v>
      </c>
      <c r="E9" s="7" t="n">
        <v>13.7</v>
      </c>
      <c r="F9" s="7" t="n">
        <v>25</v>
      </c>
      <c r="J9" s="7" t="n">
        <v>0</v>
      </c>
      <c r="L9" s="7" t="n">
        <v>4.3</v>
      </c>
      <c r="N9" s="9" t="n">
        <v>-4.3</v>
      </c>
      <c r="O9" s="7" t="n">
        <v>0</v>
      </c>
      <c r="T9" s="10"/>
      <c r="V9" s="7" t="n">
        <v>2214</v>
      </c>
    </row>
    <row r="10" s="7" customFormat="true" ht="15" hidden="false" customHeight="false" outlineLevel="0" collapsed="false">
      <c r="C10" s="8" t="n">
        <v>41857</v>
      </c>
      <c r="D10" s="7" t="n">
        <v>18.5</v>
      </c>
      <c r="E10" s="7" t="n">
        <v>15.9</v>
      </c>
      <c r="F10" s="7" t="n">
        <v>21.8</v>
      </c>
      <c r="J10" s="7" t="n">
        <v>9.7</v>
      </c>
      <c r="L10" s="7" t="n">
        <v>1.2</v>
      </c>
      <c r="N10" s="7" t="n">
        <v>8.5</v>
      </c>
      <c r="O10" s="7" t="n">
        <f aca="false">O9+N10</f>
        <v>8.5</v>
      </c>
      <c r="T10" s="10"/>
      <c r="V10" s="7" t="n">
        <v>652.1</v>
      </c>
    </row>
    <row r="11" s="7" customFormat="true" ht="15" hidden="false" customHeight="false" outlineLevel="0" collapsed="false">
      <c r="C11" s="8" t="n">
        <v>41858</v>
      </c>
      <c r="D11" s="7" t="n">
        <v>21</v>
      </c>
      <c r="E11" s="7" t="n">
        <v>17.8</v>
      </c>
      <c r="F11" s="7" t="n">
        <v>24.3</v>
      </c>
      <c r="J11" s="7" t="n">
        <v>1.1</v>
      </c>
      <c r="L11" s="7" t="n">
        <v>2.7</v>
      </c>
      <c r="N11" s="9" t="n">
        <v>-1.6</v>
      </c>
      <c r="O11" s="7" t="n">
        <f aca="false">O10+N11</f>
        <v>6.9</v>
      </c>
      <c r="T11" s="10"/>
      <c r="V11" s="7" t="n">
        <v>1262.4</v>
      </c>
    </row>
    <row r="12" s="7" customFormat="true" ht="15" hidden="false" customHeight="false" outlineLevel="0" collapsed="false">
      <c r="C12" s="8" t="n">
        <v>41859</v>
      </c>
      <c r="D12" s="7" t="n">
        <v>19.6</v>
      </c>
      <c r="E12" s="7" t="n">
        <v>17.8</v>
      </c>
      <c r="F12" s="7" t="n">
        <v>23.8</v>
      </c>
      <c r="J12" s="7" t="n">
        <v>18.6</v>
      </c>
      <c r="L12" s="7" t="n">
        <v>2.3</v>
      </c>
      <c r="N12" s="7" t="n">
        <v>16.3</v>
      </c>
      <c r="O12" s="7" t="n">
        <f aca="false">O11+N12</f>
        <v>23.2</v>
      </c>
      <c r="T12" s="10"/>
      <c r="V12" s="7" t="n">
        <v>767.5</v>
      </c>
    </row>
    <row r="13" s="7" customFormat="true" ht="15" hidden="false" customHeight="false" outlineLevel="0" collapsed="false">
      <c r="C13" s="8" t="n">
        <v>41860</v>
      </c>
      <c r="D13" s="7" t="n">
        <v>19.1</v>
      </c>
      <c r="E13" s="7" t="n">
        <v>15.1</v>
      </c>
      <c r="F13" s="7" t="n">
        <v>22.2</v>
      </c>
      <c r="J13" s="7" t="n">
        <v>0.8</v>
      </c>
      <c r="L13" s="7" t="n">
        <v>2.8</v>
      </c>
      <c r="N13" s="9" t="n">
        <v>-2</v>
      </c>
      <c r="O13" s="7" t="n">
        <f aca="false">O12+N13</f>
        <v>21.2</v>
      </c>
      <c r="T13" s="10"/>
      <c r="V13" s="7" t="n">
        <v>1603.1</v>
      </c>
    </row>
    <row r="14" s="7" customFormat="true" ht="15" hidden="false" customHeight="false" outlineLevel="0" collapsed="false">
      <c r="C14" s="8" t="n">
        <v>41861</v>
      </c>
      <c r="D14" s="7" t="n">
        <v>20.2</v>
      </c>
      <c r="E14" s="7" t="n">
        <v>17.4</v>
      </c>
      <c r="F14" s="7" t="n">
        <v>26.4</v>
      </c>
      <c r="J14" s="7" t="n">
        <v>7.2</v>
      </c>
      <c r="L14" s="7" t="n">
        <v>3.4</v>
      </c>
      <c r="N14" s="7" t="n">
        <v>3.8</v>
      </c>
      <c r="O14" s="7" t="n">
        <f aca="false">O13+N14</f>
        <v>25</v>
      </c>
      <c r="T14" s="10"/>
      <c r="V14" s="7" t="n">
        <v>1184.8</v>
      </c>
    </row>
    <row r="15" s="7" customFormat="true" ht="15" hidden="false" customHeight="false" outlineLevel="0" collapsed="false">
      <c r="C15" s="8" t="n">
        <v>41862</v>
      </c>
      <c r="D15" s="7" t="n">
        <v>17</v>
      </c>
      <c r="E15" s="7" t="n">
        <v>13.2</v>
      </c>
      <c r="F15" s="7" t="n">
        <v>21.6</v>
      </c>
      <c r="J15" s="7" t="n">
        <v>0</v>
      </c>
      <c r="L15" s="7" t="n">
        <v>3.4</v>
      </c>
      <c r="N15" s="9" t="n">
        <v>-3.4</v>
      </c>
      <c r="O15" s="7" t="n">
        <f aca="false">O14+N15</f>
        <v>21.6</v>
      </c>
      <c r="T15" s="10"/>
      <c r="V15" s="7" t="n">
        <v>1541.1</v>
      </c>
    </row>
    <row r="16" s="7" customFormat="true" ht="15" hidden="false" customHeight="false" outlineLevel="0" collapsed="false">
      <c r="C16" s="8" t="n">
        <v>41863</v>
      </c>
      <c r="D16" s="7" t="n">
        <v>16</v>
      </c>
      <c r="E16" s="7" t="n">
        <v>13</v>
      </c>
      <c r="F16" s="7" t="n">
        <v>18.8</v>
      </c>
      <c r="J16" s="7" t="n">
        <v>21.9</v>
      </c>
      <c r="L16" s="7" t="n">
        <v>1.8</v>
      </c>
      <c r="N16" s="7" t="n">
        <v>20.1</v>
      </c>
      <c r="O16" s="7" t="n">
        <f aca="false">O15+N16</f>
        <v>41.7</v>
      </c>
      <c r="T16" s="10"/>
      <c r="V16" s="7" t="n">
        <v>997.6</v>
      </c>
    </row>
    <row r="17" s="7" customFormat="true" ht="15" hidden="false" customHeight="false" outlineLevel="0" collapsed="false">
      <c r="C17" s="8" t="n">
        <v>41864</v>
      </c>
      <c r="D17" s="7" t="n">
        <v>16.3</v>
      </c>
      <c r="E17" s="7" t="n">
        <v>13.4</v>
      </c>
      <c r="F17" s="7" t="n">
        <v>18.9</v>
      </c>
      <c r="J17" s="7" t="n">
        <v>10.7</v>
      </c>
      <c r="L17" s="7" t="n">
        <v>2</v>
      </c>
      <c r="N17" s="7" t="n">
        <v>8.7</v>
      </c>
      <c r="O17" s="7" t="n">
        <f aca="false">O16+N17</f>
        <v>50.4</v>
      </c>
      <c r="T17" s="10"/>
      <c r="V17" s="7" t="n">
        <v>1029.7</v>
      </c>
    </row>
    <row r="18" s="7" customFormat="true" ht="15" hidden="false" customHeight="false" outlineLevel="0" collapsed="false">
      <c r="C18" s="8" t="n">
        <v>41865</v>
      </c>
      <c r="D18" s="7" t="n">
        <v>16.8</v>
      </c>
      <c r="E18" s="7" t="n">
        <v>14.1</v>
      </c>
      <c r="F18" s="7" t="n">
        <v>20.6</v>
      </c>
      <c r="J18" s="7" t="n">
        <v>1.6</v>
      </c>
      <c r="L18" s="7" t="n">
        <v>3</v>
      </c>
      <c r="N18" s="9" t="n">
        <v>-1.4</v>
      </c>
      <c r="O18" s="7" t="n">
        <f aca="false">O17+N18</f>
        <v>49</v>
      </c>
      <c r="T18" s="10"/>
      <c r="V18" s="7" t="n">
        <v>1381</v>
      </c>
    </row>
    <row r="19" s="7" customFormat="true" ht="15" hidden="false" customHeight="false" outlineLevel="0" collapsed="false">
      <c r="C19" s="8" t="n">
        <v>41866</v>
      </c>
      <c r="D19" s="7" t="n">
        <v>15</v>
      </c>
      <c r="E19" s="7" t="n">
        <v>12.2</v>
      </c>
      <c r="F19" s="7" t="n">
        <v>18.7</v>
      </c>
      <c r="J19" s="7" t="n">
        <v>2.1</v>
      </c>
      <c r="L19" s="7" t="n">
        <v>2.2</v>
      </c>
      <c r="N19" s="9" t="n">
        <v>-0.1</v>
      </c>
      <c r="O19" s="7" t="n">
        <f aca="false">O18+N19</f>
        <v>48.9</v>
      </c>
      <c r="T19" s="10"/>
      <c r="V19" s="7" t="n">
        <v>1176.2</v>
      </c>
    </row>
    <row r="20" s="7" customFormat="true" ht="15" hidden="false" customHeight="false" outlineLevel="0" collapsed="false">
      <c r="C20" s="8" t="n">
        <v>41867</v>
      </c>
      <c r="D20" s="7" t="n">
        <v>15.8</v>
      </c>
      <c r="E20" s="7" t="n">
        <v>10.8</v>
      </c>
      <c r="F20" s="7" t="n">
        <v>20.6</v>
      </c>
      <c r="J20" s="7" t="n">
        <v>0</v>
      </c>
      <c r="L20" s="7" t="n">
        <v>3.2</v>
      </c>
      <c r="N20" s="9" t="n">
        <v>-3.2</v>
      </c>
      <c r="O20" s="7" t="n">
        <f aca="false">O19+N20</f>
        <v>45.7</v>
      </c>
      <c r="T20" s="10"/>
      <c r="V20" s="7" t="n">
        <v>1811.1</v>
      </c>
    </row>
    <row r="21" s="7" customFormat="true" ht="15" hidden="false" customHeight="false" outlineLevel="0" collapsed="false">
      <c r="C21" s="8" t="n">
        <v>41868</v>
      </c>
      <c r="D21" s="7" t="n">
        <v>15.8</v>
      </c>
      <c r="E21" s="7" t="n">
        <v>10</v>
      </c>
      <c r="F21" s="7" t="n">
        <v>20.6</v>
      </c>
      <c r="J21" s="7" t="n">
        <v>0</v>
      </c>
      <c r="L21" s="7" t="n">
        <v>1.9</v>
      </c>
      <c r="N21" s="9" t="n">
        <v>-1.9</v>
      </c>
      <c r="O21" s="7" t="n">
        <f aca="false">O20+N21</f>
        <v>43.8</v>
      </c>
      <c r="T21" s="10"/>
      <c r="V21" s="7" t="n">
        <v>992.5</v>
      </c>
    </row>
    <row r="22" s="7" customFormat="true" ht="15" hidden="false" customHeight="false" outlineLevel="0" collapsed="false">
      <c r="C22" s="8" t="n">
        <v>41869</v>
      </c>
      <c r="D22" s="7" t="n">
        <v>16</v>
      </c>
      <c r="E22" s="7" t="n">
        <v>14.6</v>
      </c>
      <c r="F22" s="7" t="n">
        <v>19.1</v>
      </c>
      <c r="J22" s="7" t="n">
        <v>0.1</v>
      </c>
      <c r="L22" s="7" t="n">
        <v>1.6</v>
      </c>
      <c r="N22" s="9" t="n">
        <v>-1.5</v>
      </c>
      <c r="O22" s="7" t="n">
        <f aca="false">O21+N22</f>
        <v>42.3</v>
      </c>
      <c r="T22" s="10"/>
      <c r="V22" s="7" t="n">
        <v>841.7</v>
      </c>
    </row>
    <row r="23" s="7" customFormat="true" ht="15" hidden="false" customHeight="false" outlineLevel="0" collapsed="false">
      <c r="C23" s="8" t="n">
        <v>41870</v>
      </c>
      <c r="D23" s="7" t="n">
        <v>14.4</v>
      </c>
      <c r="E23" s="7" t="n">
        <v>9.2</v>
      </c>
      <c r="F23" s="7" t="n">
        <v>18.8</v>
      </c>
      <c r="J23" s="7" t="n">
        <v>0</v>
      </c>
      <c r="L23" s="7" t="n">
        <v>2.8</v>
      </c>
      <c r="N23" s="9" t="n">
        <v>-2.8</v>
      </c>
      <c r="O23" s="7" t="n">
        <f aca="false">O22+N23</f>
        <v>39.5</v>
      </c>
      <c r="T23" s="10"/>
      <c r="V23" s="7" t="n">
        <v>1689.1</v>
      </c>
    </row>
    <row r="24" s="7" customFormat="true" ht="15" hidden="false" customHeight="false" outlineLevel="0" collapsed="false">
      <c r="C24" s="8" t="n">
        <v>41871</v>
      </c>
      <c r="D24" s="7" t="n">
        <v>14.6</v>
      </c>
      <c r="E24" s="7" t="n">
        <v>12.6</v>
      </c>
      <c r="F24" s="7" t="n">
        <v>19</v>
      </c>
      <c r="J24" s="7" t="n">
        <v>0</v>
      </c>
      <c r="L24" s="7" t="n">
        <v>3</v>
      </c>
      <c r="N24" s="9" t="n">
        <v>-3</v>
      </c>
      <c r="O24" s="7" t="n">
        <f aca="false">O23+N24</f>
        <v>36.5</v>
      </c>
      <c r="T24" s="10"/>
      <c r="V24" s="7" t="n">
        <v>1661.4</v>
      </c>
    </row>
    <row r="25" s="7" customFormat="true" ht="15" hidden="false" customHeight="false" outlineLevel="0" collapsed="false">
      <c r="C25" s="8" t="n">
        <v>41872</v>
      </c>
      <c r="D25" s="7" t="n">
        <v>13.9</v>
      </c>
      <c r="E25" s="7" t="n">
        <v>7.1</v>
      </c>
      <c r="F25" s="7" t="n">
        <v>20.3</v>
      </c>
      <c r="J25" s="7" t="n">
        <v>0</v>
      </c>
      <c r="L25" s="7" t="n">
        <v>1.6</v>
      </c>
      <c r="N25" s="9" t="n">
        <v>-1.6</v>
      </c>
      <c r="O25" s="7" t="n">
        <f aca="false">O24+N25</f>
        <v>34.9</v>
      </c>
      <c r="T25" s="10"/>
      <c r="V25" s="7" t="n">
        <v>1008.9</v>
      </c>
    </row>
    <row r="26" s="7" customFormat="true" ht="15" hidden="false" customHeight="false" outlineLevel="0" collapsed="false">
      <c r="C26" s="8" t="n">
        <v>41873</v>
      </c>
      <c r="D26" s="7" t="n">
        <v>15.1</v>
      </c>
      <c r="E26" s="7" t="n">
        <v>9.3</v>
      </c>
      <c r="F26" s="7" t="n">
        <v>20.6</v>
      </c>
      <c r="J26" s="7" t="n">
        <v>0</v>
      </c>
      <c r="L26" s="7" t="n">
        <v>3</v>
      </c>
      <c r="N26" s="9" t="n">
        <v>-3</v>
      </c>
      <c r="O26" s="7" t="n">
        <f aca="false">O25+N26</f>
        <v>31.9</v>
      </c>
      <c r="T26" s="10"/>
      <c r="V26" s="7" t="n">
        <v>1580.8</v>
      </c>
    </row>
    <row r="27" s="7" customFormat="true" ht="15" hidden="false" customHeight="false" outlineLevel="0" collapsed="false">
      <c r="C27" s="8" t="n">
        <v>41874</v>
      </c>
      <c r="D27" s="7" t="n">
        <v>14.4</v>
      </c>
      <c r="E27" s="7" t="n">
        <v>11.9</v>
      </c>
      <c r="F27" s="7" t="n">
        <v>18.3</v>
      </c>
      <c r="J27" s="7" t="n">
        <v>0</v>
      </c>
      <c r="L27" s="7" t="n">
        <v>1.9</v>
      </c>
      <c r="N27" s="9" t="n">
        <v>-1.9</v>
      </c>
      <c r="O27" s="7" t="n">
        <f aca="false">O26+N27</f>
        <v>30</v>
      </c>
      <c r="T27" s="10"/>
      <c r="V27" s="7" t="n">
        <v>985.7</v>
      </c>
    </row>
    <row r="28" s="7" customFormat="true" ht="15" hidden="false" customHeight="false" outlineLevel="0" collapsed="false">
      <c r="C28" s="8" t="n">
        <v>41875</v>
      </c>
      <c r="D28" s="7" t="n">
        <v>14.5</v>
      </c>
      <c r="E28" s="7" t="n">
        <v>7.7</v>
      </c>
      <c r="F28" s="7" t="n">
        <v>19.9</v>
      </c>
      <c r="J28" s="7" t="n">
        <v>1.3</v>
      </c>
      <c r="L28" s="7" t="n">
        <v>2.1</v>
      </c>
      <c r="N28" s="9" t="n">
        <v>-0.8</v>
      </c>
      <c r="O28" s="7" t="n">
        <f aca="false">O27+N28</f>
        <v>29.2</v>
      </c>
      <c r="T28" s="10"/>
      <c r="V28" s="7" t="n">
        <v>1232</v>
      </c>
    </row>
    <row r="29" s="7" customFormat="true" ht="15" hidden="false" customHeight="false" outlineLevel="0" collapsed="false">
      <c r="C29" s="8" t="n">
        <v>41876</v>
      </c>
      <c r="D29" s="7" t="n">
        <v>17</v>
      </c>
      <c r="E29" s="7" t="n">
        <v>12.3</v>
      </c>
      <c r="F29" s="7" t="n">
        <v>20.5</v>
      </c>
      <c r="J29" s="7" t="n">
        <v>13.1</v>
      </c>
      <c r="L29" s="7" t="n">
        <v>0.8</v>
      </c>
      <c r="N29" s="7" t="n">
        <v>12.3</v>
      </c>
      <c r="O29" s="7" t="n">
        <f aca="false">O28+N29</f>
        <v>41.5</v>
      </c>
      <c r="T29" s="10"/>
      <c r="V29" s="7" t="n">
        <v>434.9</v>
      </c>
    </row>
    <row r="30" s="7" customFormat="true" ht="15" hidden="false" customHeight="false" outlineLevel="0" collapsed="false">
      <c r="C30" s="8" t="n">
        <v>41877</v>
      </c>
      <c r="D30" s="7" t="n">
        <v>18</v>
      </c>
      <c r="E30" s="7" t="n">
        <v>16.4</v>
      </c>
      <c r="F30" s="7" t="n">
        <v>21</v>
      </c>
      <c r="J30" s="7" t="n">
        <v>1.1</v>
      </c>
      <c r="L30" s="7" t="n">
        <v>2.9</v>
      </c>
      <c r="N30" s="9" t="n">
        <v>-1.8</v>
      </c>
      <c r="O30" s="7" t="n">
        <f aca="false">O29+N30</f>
        <v>39.7</v>
      </c>
      <c r="T30" s="10"/>
      <c r="V30" s="7" t="n">
        <v>1409.1</v>
      </c>
    </row>
    <row r="31" s="7" customFormat="true" ht="15" hidden="false" customHeight="false" outlineLevel="0" collapsed="false">
      <c r="C31" s="8" t="n">
        <v>41878</v>
      </c>
      <c r="D31" s="7" t="n">
        <v>17.7</v>
      </c>
      <c r="E31" s="7" t="n">
        <v>13.6</v>
      </c>
      <c r="F31" s="7" t="n">
        <v>20.4</v>
      </c>
      <c r="J31" s="7" t="n">
        <v>0.1</v>
      </c>
      <c r="L31" s="7" t="n">
        <v>1.7</v>
      </c>
      <c r="N31" s="9" t="n">
        <v>-1.6</v>
      </c>
      <c r="O31" s="7" t="n">
        <f aca="false">O30+N31</f>
        <v>38.1</v>
      </c>
      <c r="T31" s="10"/>
      <c r="V31" s="7" t="n">
        <v>1030.8</v>
      </c>
    </row>
    <row r="32" s="7" customFormat="true" ht="15" hidden="false" customHeight="false" outlineLevel="0" collapsed="false">
      <c r="C32" s="8" t="n">
        <v>41879</v>
      </c>
      <c r="D32" s="7" t="n">
        <v>19.8</v>
      </c>
      <c r="E32" s="7" t="n">
        <v>16.7</v>
      </c>
      <c r="F32" s="7" t="n">
        <v>23.7</v>
      </c>
      <c r="J32" s="7" t="n">
        <v>0</v>
      </c>
      <c r="L32" s="7" t="n">
        <v>2.3</v>
      </c>
      <c r="N32" s="9" t="n">
        <v>-2.3</v>
      </c>
      <c r="O32" s="7" t="n">
        <f aca="false">O31+N32</f>
        <v>35.8</v>
      </c>
      <c r="T32" s="10"/>
      <c r="V32" s="7" t="n">
        <v>1106.8</v>
      </c>
    </row>
    <row r="33" s="7" customFormat="true" ht="15" hidden="false" customHeight="false" outlineLevel="0" collapsed="false">
      <c r="C33" s="8" t="n">
        <v>41880</v>
      </c>
      <c r="D33" s="7" t="n">
        <v>17.5</v>
      </c>
      <c r="E33" s="7" t="n">
        <v>14.3</v>
      </c>
      <c r="F33" s="7" t="n">
        <v>21.7</v>
      </c>
      <c r="J33" s="7" t="n">
        <v>0.1</v>
      </c>
      <c r="L33" s="7" t="n">
        <v>2</v>
      </c>
      <c r="N33" s="9" t="n">
        <v>-1.9</v>
      </c>
      <c r="O33" s="7" t="n">
        <f aca="false">O32+N33</f>
        <v>33.9</v>
      </c>
      <c r="T33" s="10"/>
      <c r="V33" s="7" t="n">
        <v>992.6</v>
      </c>
    </row>
    <row r="34" s="7" customFormat="true" ht="15" hidden="false" customHeight="false" outlineLevel="0" collapsed="false">
      <c r="C34" s="8" t="n">
        <v>41881</v>
      </c>
      <c r="D34" s="7" t="n">
        <v>16.6</v>
      </c>
      <c r="E34" s="7" t="n">
        <v>11.8</v>
      </c>
      <c r="F34" s="7" t="n">
        <v>21.5</v>
      </c>
      <c r="J34" s="7" t="n">
        <v>0</v>
      </c>
      <c r="L34" s="7" t="n">
        <v>1.7</v>
      </c>
      <c r="N34" s="9" t="n">
        <v>-1.7</v>
      </c>
      <c r="O34" s="7" t="n">
        <f aca="false">O33+N34</f>
        <v>32.2</v>
      </c>
      <c r="T34" s="10"/>
      <c r="V34" s="7" t="n">
        <v>1016.1</v>
      </c>
    </row>
    <row r="35" s="7" customFormat="true" ht="15" hidden="false" customHeight="false" outlineLevel="0" collapsed="false">
      <c r="C35" s="8" t="n">
        <v>41882</v>
      </c>
      <c r="D35" s="7" t="n">
        <v>16.8</v>
      </c>
      <c r="E35" s="7" t="n">
        <v>14.5</v>
      </c>
      <c r="F35" s="7" t="n">
        <v>20.2</v>
      </c>
      <c r="J35" s="7" t="n">
        <v>0</v>
      </c>
      <c r="L35" s="7" t="n">
        <v>2.4</v>
      </c>
      <c r="N35" s="9" t="n">
        <v>-2.4</v>
      </c>
      <c r="O35" s="7" t="n">
        <f aca="false">O34+N35</f>
        <v>29.8</v>
      </c>
      <c r="T35" s="10"/>
      <c r="V35" s="7" t="n">
        <v>995.5</v>
      </c>
    </row>
    <row r="36" s="7" customFormat="true" ht="15" hidden="false" customHeight="false" outlineLevel="0" collapsed="false">
      <c r="C36" s="8" t="n">
        <v>41883</v>
      </c>
      <c r="D36" s="7" t="n">
        <v>15.9</v>
      </c>
      <c r="E36" s="7" t="n">
        <v>10.1</v>
      </c>
      <c r="F36" s="7" t="n">
        <v>21.3</v>
      </c>
      <c r="J36" s="7" t="n">
        <v>0</v>
      </c>
      <c r="L36" s="7" t="n">
        <v>3.3</v>
      </c>
      <c r="N36" s="9" t="n">
        <v>-3.3</v>
      </c>
      <c r="O36" s="7" t="n">
        <f aca="false">O35+N36</f>
        <v>26.5</v>
      </c>
      <c r="T36" s="10"/>
      <c r="V36" s="7" t="n">
        <v>1868.7</v>
      </c>
    </row>
    <row r="37" s="7" customFormat="true" ht="15" hidden="false" customHeight="false" outlineLevel="0" collapsed="false">
      <c r="C37" s="8" t="n">
        <v>41884</v>
      </c>
      <c r="D37" s="7" t="n">
        <v>17.4</v>
      </c>
      <c r="E37" s="7" t="n">
        <v>11.7</v>
      </c>
      <c r="F37" s="7" t="n">
        <v>23.4</v>
      </c>
      <c r="J37" s="7" t="n">
        <v>0</v>
      </c>
      <c r="L37" s="7" t="n">
        <v>2.6</v>
      </c>
      <c r="N37" s="9" t="n">
        <v>-2.6</v>
      </c>
      <c r="O37" s="7" t="n">
        <f aca="false">O36+N37</f>
        <v>23.9</v>
      </c>
      <c r="T37" s="10"/>
      <c r="V37" s="7" t="n">
        <v>1275.8</v>
      </c>
    </row>
    <row r="38" s="7" customFormat="true" ht="15" hidden="false" customHeight="false" outlineLevel="0" collapsed="false">
      <c r="C38" s="8" t="n">
        <v>41885</v>
      </c>
      <c r="D38" s="7" t="n">
        <v>18.2</v>
      </c>
      <c r="E38" s="7" t="n">
        <v>12.8</v>
      </c>
      <c r="F38" s="7" t="n">
        <v>23.6</v>
      </c>
      <c r="J38" s="7" t="n">
        <v>0</v>
      </c>
      <c r="L38" s="7" t="n">
        <v>4.4</v>
      </c>
      <c r="N38" s="9" t="n">
        <v>-4.4</v>
      </c>
      <c r="O38" s="7" t="n">
        <f aca="false">O37+N38</f>
        <v>19.5</v>
      </c>
      <c r="T38" s="10"/>
      <c r="V38" s="7" t="n">
        <v>2289.6</v>
      </c>
    </row>
    <row r="39" s="7" customFormat="true" ht="15" hidden="false" customHeight="false" outlineLevel="0" collapsed="false">
      <c r="C39" s="8" t="n">
        <v>41886</v>
      </c>
      <c r="D39" s="7" t="n">
        <v>17.3</v>
      </c>
      <c r="E39" s="7" t="n">
        <v>12.1</v>
      </c>
      <c r="F39" s="7" t="n">
        <v>22.3</v>
      </c>
      <c r="J39" s="7" t="n">
        <v>0</v>
      </c>
      <c r="L39" s="7" t="n">
        <v>2.8</v>
      </c>
      <c r="N39" s="9" t="n">
        <v>-2.8</v>
      </c>
      <c r="O39" s="7" t="n">
        <f aca="false">O38+N39</f>
        <v>16.7</v>
      </c>
      <c r="T39" s="10"/>
      <c r="V39" s="7" t="n">
        <v>1620.4</v>
      </c>
      <c r="AA39" s="7" t="n">
        <v>13.2663387096298</v>
      </c>
    </row>
    <row r="40" s="7" customFormat="true" ht="15" hidden="false" customHeight="false" outlineLevel="0" collapsed="false">
      <c r="C40" s="8" t="n">
        <v>41887</v>
      </c>
      <c r="D40" s="7" t="n">
        <v>17.8</v>
      </c>
      <c r="E40" s="7" t="n">
        <v>11</v>
      </c>
      <c r="F40" s="7" t="n">
        <v>23.5</v>
      </c>
      <c r="J40" s="7" t="n">
        <v>0</v>
      </c>
      <c r="L40" s="7" t="n">
        <v>2.4</v>
      </c>
      <c r="N40" s="9" t="n">
        <v>-2.4</v>
      </c>
      <c r="O40" s="7" t="n">
        <f aca="false">O39+N40</f>
        <v>14.3</v>
      </c>
      <c r="T40" s="10"/>
      <c r="V40" s="7" t="n">
        <v>1255.6</v>
      </c>
      <c r="AA40" s="7" t="n">
        <v>13.2111021060954</v>
      </c>
    </row>
    <row r="41" s="7" customFormat="true" ht="15" hidden="false" customHeight="false" outlineLevel="0" collapsed="false">
      <c r="C41" s="8" t="n">
        <v>41888</v>
      </c>
      <c r="D41" s="7" t="n">
        <v>20.3</v>
      </c>
      <c r="E41" s="7" t="n">
        <v>17.1</v>
      </c>
      <c r="F41" s="7" t="n">
        <v>24.7</v>
      </c>
      <c r="J41" s="7" t="n">
        <v>0</v>
      </c>
      <c r="L41" s="7" t="n">
        <v>1.2</v>
      </c>
      <c r="N41" s="9" t="n">
        <v>-1.2</v>
      </c>
      <c r="O41" s="7" t="n">
        <f aca="false">O40+N41</f>
        <v>13.1</v>
      </c>
      <c r="T41" s="10"/>
      <c r="V41" s="7" t="n">
        <v>801.6</v>
      </c>
      <c r="AA41" s="7" t="n">
        <v>13.1557357957287</v>
      </c>
    </row>
    <row r="42" s="7" customFormat="true" ht="15" hidden="false" customHeight="false" outlineLevel="0" collapsed="false">
      <c r="C42" s="8" t="n">
        <v>41889</v>
      </c>
      <c r="D42" s="7" t="n">
        <v>19.8</v>
      </c>
      <c r="E42" s="7" t="n">
        <v>12.8</v>
      </c>
      <c r="F42" s="7" t="n">
        <v>26.4</v>
      </c>
      <c r="J42" s="7" t="n">
        <v>0</v>
      </c>
      <c r="L42" s="7" t="n">
        <v>3.8</v>
      </c>
      <c r="N42" s="9" t="n">
        <v>-3.8</v>
      </c>
      <c r="O42" s="7" t="n">
        <f aca="false">O41+N42</f>
        <v>9.30000000000001</v>
      </c>
      <c r="T42" s="10"/>
      <c r="V42" s="7" t="n">
        <v>2056.5</v>
      </c>
      <c r="AA42" s="7" t="n">
        <v>13.1002473725603</v>
      </c>
    </row>
    <row r="43" s="7" customFormat="true" ht="15" hidden="false" customHeight="false" outlineLevel="0" collapsed="false">
      <c r="C43" s="8" t="n">
        <v>41890</v>
      </c>
      <c r="D43" s="7" t="n">
        <v>20.2</v>
      </c>
      <c r="E43" s="7" t="n">
        <v>13.6</v>
      </c>
      <c r="F43" s="7" t="n">
        <v>26.8</v>
      </c>
      <c r="J43" s="7" t="n">
        <v>0</v>
      </c>
      <c r="L43" s="7" t="n">
        <v>4.2</v>
      </c>
      <c r="N43" s="9" t="n">
        <v>-4.2</v>
      </c>
      <c r="O43" s="7" t="n">
        <f aca="false">O42+N43</f>
        <v>5.10000000000001</v>
      </c>
      <c r="T43" s="10" t="n">
        <v>5.1</v>
      </c>
      <c r="V43" s="7" t="n">
        <v>1962</v>
      </c>
      <c r="AA43" s="7" t="n">
        <v>13.0446441822443</v>
      </c>
    </row>
    <row r="44" s="7" customFormat="true" ht="15" hidden="false" customHeight="false" outlineLevel="0" collapsed="false">
      <c r="A44" s="11" t="s">
        <v>26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7" t="n">
        <v>12.9889333368254</v>
      </c>
    </row>
    <row r="45" s="7" customFormat="true" ht="15" hidden="false" customHeight="false" outlineLevel="0" collapsed="false">
      <c r="A45" s="12" t="s">
        <v>27</v>
      </c>
      <c r="B45" s="13"/>
      <c r="C45" s="8" t="n">
        <v>41891</v>
      </c>
      <c r="D45" s="7" t="n">
        <v>18.8</v>
      </c>
      <c r="E45" s="7" t="n">
        <v>14.5</v>
      </c>
      <c r="F45" s="7" t="n">
        <v>25.3</v>
      </c>
      <c r="G45" s="7" t="n">
        <f aca="false">D45</f>
        <v>18.8</v>
      </c>
      <c r="I45" s="14" t="s">
        <v>28</v>
      </c>
      <c r="J45" s="7" t="n">
        <v>0</v>
      </c>
      <c r="K45" s="7" t="n">
        <f aca="false">J45</f>
        <v>0</v>
      </c>
      <c r="L45" s="7" t="n">
        <v>3.3</v>
      </c>
      <c r="M45" s="7" t="n">
        <f aca="false">L45</f>
        <v>3.3</v>
      </c>
      <c r="N45" s="9" t="n">
        <v>-3.3</v>
      </c>
      <c r="O45" s="7" t="n">
        <f aca="false">O43+N45</f>
        <v>1.80000000000001</v>
      </c>
      <c r="P45" s="7" t="n">
        <v>1</v>
      </c>
      <c r="Q45" s="7" t="n">
        <v>0.35</v>
      </c>
      <c r="R45" s="10" t="n">
        <f aca="false">Q45*L45</f>
        <v>1.155</v>
      </c>
      <c r="S45" s="10" t="n">
        <f aca="false">J45-R45</f>
        <v>-1.155</v>
      </c>
      <c r="T45" s="10" t="n">
        <f aca="false">T43+S45</f>
        <v>3.945</v>
      </c>
      <c r="U45" s="14" t="s">
        <v>29</v>
      </c>
      <c r="V45" s="7" t="n">
        <v>1354.1</v>
      </c>
      <c r="X45" s="7" t="n">
        <f aca="false">V45</f>
        <v>1354.1</v>
      </c>
      <c r="Z45" s="14" t="s">
        <v>30</v>
      </c>
      <c r="AA45" s="7" t="n">
        <v>12.933121729612</v>
      </c>
    </row>
    <row r="46" s="7" customFormat="true" ht="15" hidden="false" customHeight="false" outlineLevel="0" collapsed="false">
      <c r="A46" s="12"/>
      <c r="B46" s="13"/>
      <c r="C46" s="8" t="n">
        <v>41892</v>
      </c>
      <c r="D46" s="7" t="n">
        <v>16.4</v>
      </c>
      <c r="E46" s="7" t="n">
        <v>10.3</v>
      </c>
      <c r="F46" s="7" t="n">
        <v>21.7</v>
      </c>
      <c r="G46" s="7" t="n">
        <f aca="false">G45+D46</f>
        <v>35.2</v>
      </c>
      <c r="I46" s="7" t="n">
        <f aca="false">MIN(E45:E126)</f>
        <v>0.5</v>
      </c>
      <c r="J46" s="7" t="n">
        <v>0</v>
      </c>
      <c r="K46" s="7" t="n">
        <f aca="false">K45+J46</f>
        <v>0</v>
      </c>
      <c r="L46" s="7" t="n">
        <v>3.7</v>
      </c>
      <c r="M46" s="7" t="n">
        <f aca="false">M45+L46</f>
        <v>7</v>
      </c>
      <c r="N46" s="9" t="n">
        <v>-3.7</v>
      </c>
      <c r="O46" s="7" t="n">
        <v>0</v>
      </c>
      <c r="P46" s="7" t="n">
        <v>2</v>
      </c>
      <c r="Q46" s="7" t="n">
        <v>0.35</v>
      </c>
      <c r="R46" s="10" t="n">
        <f aca="false">Q46*L46</f>
        <v>1.295</v>
      </c>
      <c r="S46" s="10" t="n">
        <f aca="false">J46-R46</f>
        <v>-1.295</v>
      </c>
      <c r="T46" s="10" t="n">
        <f aca="false">MIN(138.9,(T45+S46))</f>
        <v>2.65</v>
      </c>
      <c r="U46" s="7" t="n">
        <v>55</v>
      </c>
      <c r="V46" s="7" t="n">
        <v>2153.4</v>
      </c>
      <c r="X46" s="7" t="n">
        <f aca="false">X45+V46</f>
        <v>3507.5</v>
      </c>
      <c r="Z46" s="7" t="n">
        <v>60224.2</v>
      </c>
      <c r="AA46" s="7" t="n">
        <v>12.8772160501405</v>
      </c>
    </row>
    <row r="47" s="7" customFormat="true" ht="15" hidden="false" customHeight="false" outlineLevel="0" collapsed="false">
      <c r="A47" s="12"/>
      <c r="B47" s="13"/>
      <c r="C47" s="8" t="n">
        <v>41893</v>
      </c>
      <c r="D47" s="7" t="n">
        <v>15.2</v>
      </c>
      <c r="E47" s="7" t="n">
        <v>9.7</v>
      </c>
      <c r="F47" s="7" t="n">
        <v>20.6</v>
      </c>
      <c r="G47" s="7" t="n">
        <f aca="false">G46+D47</f>
        <v>50.4</v>
      </c>
      <c r="I47" s="14" t="s">
        <v>31</v>
      </c>
      <c r="J47" s="7" t="n">
        <v>0</v>
      </c>
      <c r="K47" s="7" t="n">
        <f aca="false">K46+J47</f>
        <v>0</v>
      </c>
      <c r="L47" s="7" t="n">
        <v>4</v>
      </c>
      <c r="M47" s="7" t="n">
        <f aca="false">M46+L47</f>
        <v>11</v>
      </c>
      <c r="N47" s="9" t="n">
        <v>-4</v>
      </c>
      <c r="O47" s="7" t="n">
        <v>0</v>
      </c>
      <c r="P47" s="7" t="n">
        <v>3</v>
      </c>
      <c r="Q47" s="7" t="n">
        <v>0.35</v>
      </c>
      <c r="R47" s="10" t="n">
        <f aca="false">Q47*L47</f>
        <v>1.4</v>
      </c>
      <c r="S47" s="10" t="n">
        <f aca="false">J47-R47</f>
        <v>-1.4</v>
      </c>
      <c r="T47" s="10" t="n">
        <f aca="false">MIN(138.9,(T46+S47))</f>
        <v>1.25</v>
      </c>
      <c r="U47" s="14" t="s">
        <v>32</v>
      </c>
      <c r="V47" s="7" t="n">
        <v>2186.8</v>
      </c>
      <c r="X47" s="7" t="n">
        <f aca="false">X46+V47</f>
        <v>5694.3</v>
      </c>
      <c r="Z47" s="14" t="s">
        <v>33</v>
      </c>
      <c r="AA47" s="7" t="n">
        <v>12.8212227992249</v>
      </c>
    </row>
    <row r="48" s="7" customFormat="true" ht="15" hidden="false" customHeight="false" outlineLevel="0" collapsed="false">
      <c r="A48" s="12"/>
      <c r="B48" s="13"/>
      <c r="C48" s="8" t="n">
        <v>41894</v>
      </c>
      <c r="D48" s="7" t="n">
        <v>15.9</v>
      </c>
      <c r="E48" s="7" t="n">
        <v>10.8</v>
      </c>
      <c r="F48" s="7" t="n">
        <v>20.9</v>
      </c>
      <c r="G48" s="7" t="n">
        <f aca="false">G47+D48</f>
        <v>66.3</v>
      </c>
      <c r="I48" s="7" t="n">
        <f aca="false">MAX(F45:F126)</f>
        <v>26.9</v>
      </c>
      <c r="J48" s="7" t="n">
        <v>0</v>
      </c>
      <c r="K48" s="7" t="n">
        <f aca="false">K47+J48</f>
        <v>0</v>
      </c>
      <c r="L48" s="7" t="n">
        <v>4</v>
      </c>
      <c r="M48" s="7" t="n">
        <f aca="false">M47+L48</f>
        <v>15</v>
      </c>
      <c r="N48" s="9" t="n">
        <v>-4</v>
      </c>
      <c r="O48" s="7" t="n">
        <v>0</v>
      </c>
      <c r="P48" s="7" t="n">
        <v>4</v>
      </c>
      <c r="Q48" s="7" t="n">
        <v>0.35</v>
      </c>
      <c r="R48" s="10" t="n">
        <f aca="false">Q48*L48</f>
        <v>1.4</v>
      </c>
      <c r="S48" s="10" t="n">
        <f aca="false">J48-R48</f>
        <v>-1.4</v>
      </c>
      <c r="T48" s="10" t="n">
        <v>0</v>
      </c>
      <c r="U48" s="7" t="n">
        <v>8</v>
      </c>
      <c r="V48" s="7" t="n">
        <v>2056.6</v>
      </c>
      <c r="X48" s="7" t="n">
        <f aca="false">X47+V48</f>
        <v>7750.9</v>
      </c>
      <c r="Z48" s="15" t="n">
        <f aca="false">(Z46/100)/I58</f>
        <v>0.566442814145974</v>
      </c>
      <c r="AA48" s="7" t="n">
        <v>12.765148304082</v>
      </c>
    </row>
    <row r="49" s="7" customFormat="true" ht="15" hidden="false" customHeight="false" outlineLevel="0" collapsed="false">
      <c r="A49" s="12"/>
      <c r="B49" s="13"/>
      <c r="C49" s="8" t="n">
        <v>41895</v>
      </c>
      <c r="D49" s="7" t="n">
        <v>17.4</v>
      </c>
      <c r="E49" s="7" t="n">
        <v>11.1</v>
      </c>
      <c r="F49" s="7" t="n">
        <v>22.6</v>
      </c>
      <c r="G49" s="7" t="n">
        <f aca="false">G48+D49</f>
        <v>83.7</v>
      </c>
      <c r="I49" s="14" t="s">
        <v>34</v>
      </c>
      <c r="J49" s="7" t="n">
        <v>0</v>
      </c>
      <c r="K49" s="7" t="n">
        <f aca="false">K48+J49</f>
        <v>0</v>
      </c>
      <c r="L49" s="7" t="n">
        <v>2.2</v>
      </c>
      <c r="M49" s="7" t="n">
        <f aca="false">M48+L49</f>
        <v>17.2</v>
      </c>
      <c r="N49" s="9" t="n">
        <v>-2.2</v>
      </c>
      <c r="O49" s="7" t="n">
        <v>0</v>
      </c>
      <c r="P49" s="7" t="n">
        <v>5</v>
      </c>
      <c r="Q49" s="7" t="n">
        <v>0.35</v>
      </c>
      <c r="R49" s="10" t="n">
        <f aca="false">Q49*L49</f>
        <v>0.77</v>
      </c>
      <c r="S49" s="10" t="n">
        <f aca="false">J49-R49</f>
        <v>-0.77</v>
      </c>
      <c r="T49" s="10" t="n">
        <v>0</v>
      </c>
      <c r="U49" s="14" t="s">
        <v>35</v>
      </c>
      <c r="V49" s="7" t="n">
        <v>1068.7</v>
      </c>
      <c r="X49" s="7" t="n">
        <f aca="false">X48+V49</f>
        <v>8819.6</v>
      </c>
      <c r="Z49" s="14" t="s">
        <v>36</v>
      </c>
      <c r="AA49" s="7" t="n">
        <v>12.7089987335283</v>
      </c>
    </row>
    <row r="50" s="7" customFormat="true" ht="15" hidden="false" customHeight="false" outlineLevel="0" collapsed="false">
      <c r="A50" s="12"/>
      <c r="B50" s="13"/>
      <c r="C50" s="8" t="n">
        <v>41896</v>
      </c>
      <c r="D50" s="7" t="n">
        <v>18.3</v>
      </c>
      <c r="E50" s="7" t="n">
        <v>13.8</v>
      </c>
      <c r="F50" s="7" t="n">
        <v>22.9</v>
      </c>
      <c r="G50" s="7" t="n">
        <f aca="false">G49+D50</f>
        <v>102</v>
      </c>
      <c r="I50" s="10" t="n">
        <f aca="false">AVERAGE(D45:D126)</f>
        <v>12.9658536585366</v>
      </c>
      <c r="J50" s="7" t="n">
        <v>0</v>
      </c>
      <c r="K50" s="7" t="n">
        <f aca="false">K49+J50</f>
        <v>0</v>
      </c>
      <c r="L50" s="7" t="n">
        <v>3.3</v>
      </c>
      <c r="M50" s="7" t="n">
        <f aca="false">M49+L50</f>
        <v>20.5</v>
      </c>
      <c r="N50" s="9" t="n">
        <v>-3.3</v>
      </c>
      <c r="O50" s="7" t="n">
        <v>0</v>
      </c>
      <c r="P50" s="7" t="n">
        <v>6</v>
      </c>
      <c r="Q50" s="7" t="n">
        <v>0.35</v>
      </c>
      <c r="R50" s="10" t="n">
        <f aca="false">Q50*L50</f>
        <v>1.155</v>
      </c>
      <c r="S50" s="10" t="n">
        <f aca="false">J50-R50</f>
        <v>-1.155</v>
      </c>
      <c r="T50" s="10" t="n">
        <v>0</v>
      </c>
      <c r="U50" s="7" t="n">
        <v>21</v>
      </c>
      <c r="V50" s="7" t="n">
        <v>1715.3</v>
      </c>
      <c r="X50" s="7" t="n">
        <f aca="false">X49+V50</f>
        <v>10534.9</v>
      </c>
      <c r="Z50" s="7" t="n">
        <v>57</v>
      </c>
      <c r="AA50" s="7" t="n">
        <v>12.6527801132437</v>
      </c>
    </row>
    <row r="51" s="7" customFormat="true" ht="15" hidden="false" customHeight="false" outlineLevel="0" collapsed="false">
      <c r="A51" s="12"/>
      <c r="B51" s="13"/>
      <c r="C51" s="8" t="n">
        <v>41897</v>
      </c>
      <c r="D51" s="7" t="n">
        <v>18.8</v>
      </c>
      <c r="E51" s="7" t="n">
        <v>13</v>
      </c>
      <c r="F51" s="7" t="n">
        <v>25.2</v>
      </c>
      <c r="G51" s="7" t="n">
        <f aca="false">G50+D51</f>
        <v>120.8</v>
      </c>
      <c r="I51" s="14" t="s">
        <v>37</v>
      </c>
      <c r="J51" s="7" t="n">
        <v>0</v>
      </c>
      <c r="K51" s="7" t="n">
        <f aca="false">K50+J51</f>
        <v>0</v>
      </c>
      <c r="L51" s="7" t="n">
        <v>3.6</v>
      </c>
      <c r="M51" s="7" t="n">
        <f aca="false">M50+L51</f>
        <v>24.1</v>
      </c>
      <c r="N51" s="9" t="n">
        <v>-3.6</v>
      </c>
      <c r="O51" s="7" t="n">
        <v>0</v>
      </c>
      <c r="P51" s="7" t="n">
        <v>7</v>
      </c>
      <c r="Q51" s="7" t="n">
        <v>0.35</v>
      </c>
      <c r="R51" s="10" t="n">
        <f aca="false">Q51*L51</f>
        <v>1.26</v>
      </c>
      <c r="S51" s="10" t="n">
        <f aca="false">J51-R51</f>
        <v>-1.26</v>
      </c>
      <c r="T51" s="10" t="n">
        <v>0</v>
      </c>
      <c r="U51" s="14" t="s">
        <v>38</v>
      </c>
      <c r="V51" s="7" t="n">
        <v>1886.3</v>
      </c>
      <c r="X51" s="7" t="n">
        <f aca="false">X50+V51</f>
        <v>12421.2</v>
      </c>
      <c r="AA51" s="7" t="n">
        <v>12.5964983411</v>
      </c>
    </row>
    <row r="52" s="7" customFormat="true" ht="15" hidden="false" customHeight="false" outlineLevel="0" collapsed="false">
      <c r="A52" s="12"/>
      <c r="B52" s="13"/>
      <c r="C52" s="8" t="n">
        <v>41898</v>
      </c>
      <c r="D52" s="7" t="n">
        <v>19.9</v>
      </c>
      <c r="E52" s="7" t="n">
        <v>12.3</v>
      </c>
      <c r="F52" s="7" t="n">
        <v>26.9</v>
      </c>
      <c r="G52" s="7" t="n">
        <f aca="false">G51+D52</f>
        <v>140.7</v>
      </c>
      <c r="I52" s="7" t="n">
        <v>0</v>
      </c>
      <c r="J52" s="7" t="n">
        <v>0</v>
      </c>
      <c r="K52" s="7" t="n">
        <f aca="false">K51+J52</f>
        <v>0</v>
      </c>
      <c r="L52" s="7" t="n">
        <v>3.5</v>
      </c>
      <c r="M52" s="7" t="n">
        <f aca="false">M51+L52</f>
        <v>27.6</v>
      </c>
      <c r="N52" s="9" t="n">
        <v>-3.5</v>
      </c>
      <c r="O52" s="7" t="n">
        <v>0</v>
      </c>
      <c r="P52" s="7" t="n">
        <v>8</v>
      </c>
      <c r="Q52" s="7" t="n">
        <v>0.35</v>
      </c>
      <c r="R52" s="10" t="n">
        <f aca="false">Q52*L52</f>
        <v>1.225</v>
      </c>
      <c r="S52" s="10" t="n">
        <f aca="false">J52-R52</f>
        <v>-1.225</v>
      </c>
      <c r="T52" s="10" t="n">
        <v>0</v>
      </c>
      <c r="U52" s="10" t="n">
        <v>0</v>
      </c>
      <c r="V52" s="7" t="n">
        <v>1796</v>
      </c>
      <c r="X52" s="7" t="n">
        <f aca="false">X51+V52</f>
        <v>14217.2</v>
      </c>
      <c r="AA52" s="7" t="n">
        <v>12.5401592025527</v>
      </c>
    </row>
    <row r="53" s="7" customFormat="true" ht="15" hidden="false" customHeight="false" outlineLevel="0" collapsed="false">
      <c r="A53" s="12"/>
      <c r="B53" s="13"/>
      <c r="C53" s="8" t="n">
        <v>41899</v>
      </c>
      <c r="D53" s="7" t="n">
        <v>20.1</v>
      </c>
      <c r="E53" s="7" t="n">
        <v>16.2</v>
      </c>
      <c r="F53" s="7" t="n">
        <v>25.2</v>
      </c>
      <c r="G53" s="7" t="n">
        <f aca="false">G52+D53</f>
        <v>160.8</v>
      </c>
      <c r="I53" s="14" t="s">
        <v>39</v>
      </c>
      <c r="J53" s="7" t="n">
        <v>0.1</v>
      </c>
      <c r="K53" s="7" t="n">
        <f aca="false">K52+J53</f>
        <v>0.1</v>
      </c>
      <c r="L53" s="7" t="n">
        <v>1.9</v>
      </c>
      <c r="M53" s="7" t="n">
        <f aca="false">M52+L53</f>
        <v>29.5</v>
      </c>
      <c r="N53" s="9" t="n">
        <v>-1.8</v>
      </c>
      <c r="O53" s="7" t="n">
        <v>0</v>
      </c>
      <c r="P53" s="7" t="n">
        <v>9</v>
      </c>
      <c r="Q53" s="7" t="n">
        <f aca="false">0.35+((P53-8)/74)*(1-0.35)</f>
        <v>0.358783783783784</v>
      </c>
      <c r="R53" s="10" t="n">
        <f aca="false">Q53*L53</f>
        <v>0.681689189189189</v>
      </c>
      <c r="S53" s="10" t="n">
        <f aca="false">J53-R53</f>
        <v>-0.581689189189189</v>
      </c>
      <c r="T53" s="10" t="n">
        <v>0</v>
      </c>
      <c r="U53" s="14" t="s">
        <v>40</v>
      </c>
      <c r="V53" s="7" t="n">
        <v>974.7</v>
      </c>
      <c r="X53" s="7" t="n">
        <f aca="false">X52+V53</f>
        <v>15191.9</v>
      </c>
      <c r="AA53" s="7" t="n">
        <v>12.4837683860955</v>
      </c>
    </row>
    <row r="54" s="7" customFormat="true" ht="15" hidden="false" customHeight="false" outlineLevel="0" collapsed="false">
      <c r="A54" s="12"/>
      <c r="B54" s="13"/>
      <c r="C54" s="8" t="n">
        <v>41900</v>
      </c>
      <c r="D54" s="7" t="n">
        <v>18.6</v>
      </c>
      <c r="E54" s="7" t="n">
        <v>15.3</v>
      </c>
      <c r="F54" s="7" t="n">
        <v>23</v>
      </c>
      <c r="G54" s="7" t="n">
        <f aca="false">G53+D54</f>
        <v>179.4</v>
      </c>
      <c r="I54" s="7" t="n">
        <v>4</v>
      </c>
      <c r="J54" s="7" t="n">
        <v>0.2</v>
      </c>
      <c r="K54" s="7" t="n">
        <f aca="false">K53+J54</f>
        <v>0.3</v>
      </c>
      <c r="L54" s="7" t="n">
        <v>1.2</v>
      </c>
      <c r="M54" s="7" t="n">
        <f aca="false">M53+L54</f>
        <v>30.7</v>
      </c>
      <c r="N54" s="9" t="n">
        <v>-1</v>
      </c>
      <c r="O54" s="7" t="n">
        <v>0</v>
      </c>
      <c r="P54" s="7" t="n">
        <v>10</v>
      </c>
      <c r="Q54" s="7" t="n">
        <f aca="false">0.35+((P54-8)/74)*(1-0.35)</f>
        <v>0.367567567567568</v>
      </c>
      <c r="R54" s="10" t="n">
        <f aca="false">Q54*L54</f>
        <v>0.441081081081081</v>
      </c>
      <c r="S54" s="10" t="n">
        <f aca="false">J54-R54</f>
        <v>-0.241081081081081</v>
      </c>
      <c r="T54" s="10" t="n">
        <v>0</v>
      </c>
      <c r="U54" s="10" t="n">
        <f aca="false">MAX(T45:T126)</f>
        <v>109.971148648649</v>
      </c>
      <c r="V54" s="7" t="n">
        <v>585.6</v>
      </c>
      <c r="X54" s="7" t="n">
        <f aca="false">X53+V54</f>
        <v>15777.5</v>
      </c>
      <c r="AA54" s="7" t="n">
        <v>12.4273314987796</v>
      </c>
    </row>
    <row r="55" s="7" customFormat="true" ht="15" hidden="false" customHeight="false" outlineLevel="0" collapsed="false">
      <c r="A55" s="12"/>
      <c r="B55" s="13"/>
      <c r="C55" s="8" t="n">
        <v>41901</v>
      </c>
      <c r="D55" s="7" t="n">
        <v>16.4</v>
      </c>
      <c r="E55" s="7" t="n">
        <v>12.6</v>
      </c>
      <c r="F55" s="7" t="n">
        <v>19.6</v>
      </c>
      <c r="G55" s="7" t="n">
        <f aca="false">G54+D55</f>
        <v>195.8</v>
      </c>
      <c r="I55" s="14" t="s">
        <v>41</v>
      </c>
      <c r="J55" s="7" t="n">
        <v>1.8</v>
      </c>
      <c r="K55" s="7" t="n">
        <f aca="false">K54+J55</f>
        <v>2.1</v>
      </c>
      <c r="L55" s="7" t="n">
        <v>1.1</v>
      </c>
      <c r="M55" s="7" t="n">
        <f aca="false">M54+L55</f>
        <v>31.8</v>
      </c>
      <c r="N55" s="7" t="n">
        <v>0.7</v>
      </c>
      <c r="O55" s="7" t="n">
        <f aca="false">O54+N55</f>
        <v>0.7</v>
      </c>
      <c r="P55" s="7" t="n">
        <v>11</v>
      </c>
      <c r="Q55" s="7" t="n">
        <f aca="false">0.35+((P55-8)/74)*(1-0.35)</f>
        <v>0.376351351351351</v>
      </c>
      <c r="R55" s="10" t="n">
        <f aca="false">Q55*L55</f>
        <v>0.413986486486487</v>
      </c>
      <c r="S55" s="10" t="n">
        <f aca="false">J55-R55</f>
        <v>1.38601351351351</v>
      </c>
      <c r="T55" s="10" t="n">
        <f aca="false">MIN(138.9,(T54+S55))</f>
        <v>1.38601351351351</v>
      </c>
      <c r="U55" s="14" t="s">
        <v>42</v>
      </c>
      <c r="V55" s="7" t="n">
        <v>540.7</v>
      </c>
      <c r="X55" s="7" t="n">
        <f aca="false">X54+V55</f>
        <v>16318.2</v>
      </c>
      <c r="AA55" s="7" t="n">
        <v>12.3708540817986</v>
      </c>
    </row>
    <row r="56" s="7" customFormat="true" ht="15" hidden="false" customHeight="false" outlineLevel="0" collapsed="false">
      <c r="A56" s="12"/>
      <c r="B56" s="13"/>
      <c r="C56" s="8" t="n">
        <v>41902</v>
      </c>
      <c r="D56" s="7" t="n">
        <v>17.9</v>
      </c>
      <c r="E56" s="7" t="n">
        <v>14.8</v>
      </c>
      <c r="F56" s="7" t="n">
        <v>21.5</v>
      </c>
      <c r="G56" s="7" t="n">
        <f aca="false">G55+D56</f>
        <v>213.7</v>
      </c>
      <c r="I56" s="7" t="n">
        <v>6</v>
      </c>
      <c r="J56" s="7" t="n">
        <v>0.8</v>
      </c>
      <c r="K56" s="7" t="n">
        <f aca="false">K55+J56</f>
        <v>2.9</v>
      </c>
      <c r="L56" s="7" t="n">
        <v>0.8</v>
      </c>
      <c r="M56" s="7" t="n">
        <f aca="false">M55+L56</f>
        <v>32.6</v>
      </c>
      <c r="N56" s="9" t="n">
        <v>0</v>
      </c>
      <c r="O56" s="7" t="n">
        <f aca="false">O55+N56</f>
        <v>0.7</v>
      </c>
      <c r="P56" s="7" t="n">
        <v>12</v>
      </c>
      <c r="Q56" s="7" t="n">
        <f aca="false">0.35+((P56-8)/74)*(1-0.35)</f>
        <v>0.385135135135135</v>
      </c>
      <c r="R56" s="10" t="n">
        <f aca="false">Q56*L56</f>
        <v>0.308108108108108</v>
      </c>
      <c r="S56" s="10" t="n">
        <f aca="false">J56-R56</f>
        <v>0.491891891891892</v>
      </c>
      <c r="T56" s="10" t="n">
        <f aca="false">MIN(138.9,(T55+S56))</f>
        <v>1.87790540540541</v>
      </c>
      <c r="U56" s="15" t="n">
        <f aca="false">AVERAGE(T45:T126)</f>
        <v>52.984108437706</v>
      </c>
      <c r="V56" s="7" t="n">
        <v>483.2</v>
      </c>
      <c r="X56" s="7" t="n">
        <f aca="false">X55+V56</f>
        <v>16801.4</v>
      </c>
      <c r="AA56" s="7" t="n">
        <v>12.3143416261419</v>
      </c>
    </row>
    <row r="57" s="7" customFormat="true" ht="15" hidden="false" customHeight="false" outlineLevel="0" collapsed="false">
      <c r="A57" s="12"/>
      <c r="B57" s="13"/>
      <c r="C57" s="8" t="n">
        <v>41903</v>
      </c>
      <c r="D57" s="7" t="n">
        <v>17</v>
      </c>
      <c r="E57" s="7" t="n">
        <v>14.6</v>
      </c>
      <c r="F57" s="7" t="n">
        <v>21.8</v>
      </c>
      <c r="G57" s="7" t="n">
        <f aca="false">G56+D57</f>
        <v>230.7</v>
      </c>
      <c r="I57" s="14" t="s">
        <v>43</v>
      </c>
      <c r="J57" s="7" t="n">
        <v>6</v>
      </c>
      <c r="K57" s="7" t="n">
        <f aca="false">K56+J57</f>
        <v>8.9</v>
      </c>
      <c r="L57" s="7" t="n">
        <v>1.3</v>
      </c>
      <c r="M57" s="7" t="n">
        <f aca="false">M56+L57</f>
        <v>33.9</v>
      </c>
      <c r="N57" s="7" t="n">
        <v>4.7</v>
      </c>
      <c r="O57" s="7" t="n">
        <f aca="false">O56+N57</f>
        <v>5.4</v>
      </c>
      <c r="P57" s="7" t="n">
        <v>13</v>
      </c>
      <c r="Q57" s="7" t="n">
        <f aca="false">0.35+((P57-8)/74)*(1-0.35)</f>
        <v>0.393918918918919</v>
      </c>
      <c r="R57" s="10" t="n">
        <f aca="false">Q57*L57</f>
        <v>0.512094594594595</v>
      </c>
      <c r="S57" s="10" t="n">
        <f aca="false">J57-R57</f>
        <v>5.48790540540541</v>
      </c>
      <c r="T57" s="10" t="n">
        <f aca="false">MIN(138.9,(T56+S57))</f>
        <v>7.36581081081081</v>
      </c>
      <c r="V57" s="7" t="n">
        <v>677.4</v>
      </c>
      <c r="X57" s="7" t="n">
        <f aca="false">X56+V57</f>
        <v>17478.8</v>
      </c>
      <c r="AA57" s="7" t="n">
        <v>12.2577995883203</v>
      </c>
    </row>
    <row r="58" s="7" customFormat="true" ht="15" hidden="false" customHeight="false" outlineLevel="0" collapsed="false">
      <c r="A58" s="12"/>
      <c r="B58" s="13"/>
      <c r="C58" s="8" t="n">
        <v>41904</v>
      </c>
      <c r="D58" s="7" t="n">
        <v>12.9</v>
      </c>
      <c r="E58" s="7" t="n">
        <v>9.2</v>
      </c>
      <c r="F58" s="7" t="n">
        <v>17.7</v>
      </c>
      <c r="G58" s="7" t="n">
        <f aca="false">G57+D58</f>
        <v>243.6</v>
      </c>
      <c r="I58" s="7" t="n">
        <v>1063.2</v>
      </c>
      <c r="J58" s="7" t="n">
        <v>0</v>
      </c>
      <c r="K58" s="7" t="n">
        <f aca="false">K57+J58</f>
        <v>8.9</v>
      </c>
      <c r="L58" s="7" t="n">
        <v>2.1</v>
      </c>
      <c r="M58" s="7" t="n">
        <f aca="false">M57+L58</f>
        <v>36</v>
      </c>
      <c r="N58" s="9" t="n">
        <v>-2.1</v>
      </c>
      <c r="O58" s="7" t="n">
        <f aca="false">O57+N58</f>
        <v>3.3</v>
      </c>
      <c r="P58" s="7" t="n">
        <v>14</v>
      </c>
      <c r="Q58" s="7" t="n">
        <f aca="false">0.35+((P58-8)/74)*(1-0.35)</f>
        <v>0.402702702702703</v>
      </c>
      <c r="R58" s="10" t="n">
        <f aca="false">Q58*L58</f>
        <v>0.845675675675676</v>
      </c>
      <c r="S58" s="10" t="n">
        <f aca="false">J58-R58</f>
        <v>-0.845675675675676</v>
      </c>
      <c r="T58" s="10" t="n">
        <f aca="false">MIN(138.9,(T57+S58))</f>
        <v>6.52013513513514</v>
      </c>
      <c r="U58" s="10" t="n">
        <f aca="false">(U56*100)/138.9</f>
        <v>38.1455064346335</v>
      </c>
      <c r="V58" s="7" t="n">
        <v>1320.4</v>
      </c>
      <c r="X58" s="7" t="n">
        <f aca="false">X57+V58</f>
        <v>18799.2</v>
      </c>
      <c r="AA58" s="7" t="n">
        <v>12.2012334061661</v>
      </c>
    </row>
    <row r="59" s="7" customFormat="true" ht="15" hidden="false" customHeight="false" outlineLevel="0" collapsed="false">
      <c r="A59" s="12"/>
      <c r="B59" s="13"/>
      <c r="C59" s="8" t="n">
        <v>41905</v>
      </c>
      <c r="D59" s="7" t="n">
        <v>12.5</v>
      </c>
      <c r="E59" s="7" t="n">
        <v>8.6</v>
      </c>
      <c r="F59" s="7" t="n">
        <v>17.1</v>
      </c>
      <c r="G59" s="7" t="n">
        <f aca="false">G58+D59</f>
        <v>256.1</v>
      </c>
      <c r="J59" s="7" t="n">
        <v>0</v>
      </c>
      <c r="K59" s="7" t="n">
        <f aca="false">K58+J59</f>
        <v>8.9</v>
      </c>
      <c r="L59" s="7" t="n">
        <v>2.7</v>
      </c>
      <c r="M59" s="7" t="n">
        <f aca="false">M58+L59</f>
        <v>38.7</v>
      </c>
      <c r="N59" s="9" t="n">
        <v>-2.7</v>
      </c>
      <c r="O59" s="7" t="n">
        <f aca="false">O58+N59</f>
        <v>0.6</v>
      </c>
      <c r="P59" s="7" t="n">
        <v>15</v>
      </c>
      <c r="Q59" s="7" t="n">
        <f aca="false">0.35+((P59-8)/74)*(1-0.35)</f>
        <v>0.411486486486486</v>
      </c>
      <c r="R59" s="10" t="n">
        <f aca="false">Q59*L59</f>
        <v>1.11101351351351</v>
      </c>
      <c r="S59" s="10" t="n">
        <f aca="false">J59-R59</f>
        <v>-1.11101351351351</v>
      </c>
      <c r="T59" s="10" t="n">
        <f aca="false">MIN(138.9,(T58+S59))</f>
        <v>5.40912162162162</v>
      </c>
      <c r="V59" s="7" t="n">
        <v>1587</v>
      </c>
      <c r="X59" s="7" t="n">
        <f aca="false">X58+V59</f>
        <v>20386.2</v>
      </c>
      <c r="AA59" s="7" t="n">
        <v>12.1446485147136</v>
      </c>
    </row>
    <row r="60" s="7" customFormat="true" ht="15" hidden="false" customHeight="false" outlineLevel="0" collapsed="false">
      <c r="A60" s="12"/>
      <c r="B60" s="13"/>
      <c r="C60" s="8" t="n">
        <v>41906</v>
      </c>
      <c r="D60" s="7" t="n">
        <v>11.7</v>
      </c>
      <c r="E60" s="7" t="n">
        <v>5.8</v>
      </c>
      <c r="F60" s="7" t="n">
        <v>18.1</v>
      </c>
      <c r="G60" s="7" t="n">
        <f aca="false">G59+D60</f>
        <v>267.8</v>
      </c>
      <c r="J60" s="7" t="n">
        <v>1.3</v>
      </c>
      <c r="K60" s="7" t="n">
        <f aca="false">K59+J60</f>
        <v>10.2</v>
      </c>
      <c r="L60" s="7" t="n">
        <v>2.4</v>
      </c>
      <c r="M60" s="7" t="n">
        <f aca="false">M59+L60</f>
        <v>41.1</v>
      </c>
      <c r="N60" s="9" t="n">
        <v>-1.1</v>
      </c>
      <c r="O60" s="7" t="n">
        <v>0</v>
      </c>
      <c r="P60" s="7" t="n">
        <v>16</v>
      </c>
      <c r="Q60" s="7" t="n">
        <f aca="false">0.35+((P60-8)/74)*(1-0.35)</f>
        <v>0.42027027027027</v>
      </c>
      <c r="R60" s="10" t="n">
        <f aca="false">Q60*L60</f>
        <v>1.00864864864865</v>
      </c>
      <c r="S60" s="10" t="n">
        <f aca="false">J60-R60</f>
        <v>0.291351351351352</v>
      </c>
      <c r="T60" s="10" t="n">
        <f aca="false">MIN(138.9,(T59+S60))</f>
        <v>5.70047297297297</v>
      </c>
      <c r="V60" s="7" t="n">
        <v>1397.8</v>
      </c>
      <c r="X60" s="7" t="n">
        <f aca="false">X59+V60</f>
        <v>21784</v>
      </c>
      <c r="AA60" s="7" t="n">
        <v>12.0880503621631</v>
      </c>
    </row>
    <row r="61" s="7" customFormat="true" ht="15" hidden="false" customHeight="false" outlineLevel="0" collapsed="false">
      <c r="A61" s="12"/>
      <c r="B61" s="13"/>
      <c r="C61" s="8" t="n">
        <v>41907</v>
      </c>
      <c r="D61" s="7" t="n">
        <v>12.2</v>
      </c>
      <c r="E61" s="7" t="n">
        <v>5.9</v>
      </c>
      <c r="F61" s="7" t="n">
        <v>18.9</v>
      </c>
      <c r="G61" s="7" t="n">
        <f aca="false">G60+D61</f>
        <v>280</v>
      </c>
      <c r="J61" s="7" t="n">
        <v>0.1</v>
      </c>
      <c r="K61" s="7" t="n">
        <f aca="false">K60+J61</f>
        <v>10.3</v>
      </c>
      <c r="L61" s="7" t="n">
        <v>2.1</v>
      </c>
      <c r="M61" s="7" t="n">
        <f aca="false">M60+L61</f>
        <v>43.2</v>
      </c>
      <c r="N61" s="9" t="n">
        <v>-2</v>
      </c>
      <c r="O61" s="7" t="n">
        <v>0</v>
      </c>
      <c r="P61" s="7" t="n">
        <v>17</v>
      </c>
      <c r="Q61" s="7" t="n">
        <f aca="false">0.35+((P61-8)/74)*(1-0.35)</f>
        <v>0.429054054054054</v>
      </c>
      <c r="R61" s="10" t="n">
        <f aca="false">Q61*L61</f>
        <v>0.901013513513514</v>
      </c>
      <c r="S61" s="10" t="n">
        <f aca="false">J61-R61</f>
        <v>-0.801013513513514</v>
      </c>
      <c r="T61" s="10" t="n">
        <f aca="false">MIN(138.9,(T60+S61))</f>
        <v>4.89945945945946</v>
      </c>
      <c r="V61" s="7" t="n">
        <v>1184.8</v>
      </c>
      <c r="X61" s="7" t="n">
        <f aca="false">X60+V61</f>
        <v>22968.8</v>
      </c>
      <c r="AA61" s="7" t="n">
        <v>12.0314444259325</v>
      </c>
    </row>
    <row r="62" s="7" customFormat="true" ht="15" hidden="false" customHeight="false" outlineLevel="0" collapsed="false">
      <c r="A62" s="12"/>
      <c r="B62" s="13"/>
      <c r="C62" s="8" t="n">
        <v>41908</v>
      </c>
      <c r="D62" s="7" t="n">
        <v>13.3</v>
      </c>
      <c r="E62" s="7" t="n">
        <v>5.1</v>
      </c>
      <c r="F62" s="7" t="n">
        <v>21.8</v>
      </c>
      <c r="G62" s="7" t="n">
        <f aca="false">G61+D62</f>
        <v>293.3</v>
      </c>
      <c r="J62" s="7" t="n">
        <v>0</v>
      </c>
      <c r="K62" s="7" t="n">
        <f aca="false">K61+J62</f>
        <v>10.3</v>
      </c>
      <c r="L62" s="7" t="n">
        <v>3.1</v>
      </c>
      <c r="M62" s="7" t="n">
        <f aca="false">M61+L62</f>
        <v>46.3</v>
      </c>
      <c r="N62" s="9" t="n">
        <v>-3.1</v>
      </c>
      <c r="O62" s="7" t="n">
        <v>0</v>
      </c>
      <c r="P62" s="7" t="n">
        <v>18</v>
      </c>
      <c r="Q62" s="7" t="n">
        <f aca="false">0.35+((P62-8)/74)*(1-0.35)</f>
        <v>0.437837837837838</v>
      </c>
      <c r="R62" s="10" t="n">
        <f aca="false">Q62*L62</f>
        <v>1.3572972972973</v>
      </c>
      <c r="S62" s="10" t="n">
        <f aca="false">J62-R62</f>
        <v>-1.3572972972973</v>
      </c>
      <c r="T62" s="10" t="n">
        <f aca="false">MIN(138.9,(T61+S62))</f>
        <v>3.54216216216216</v>
      </c>
      <c r="V62" s="7" t="n">
        <v>1758.2</v>
      </c>
      <c r="X62" s="7" t="n">
        <f aca="false">X61+V62</f>
        <v>24727</v>
      </c>
      <c r="AA62" s="7" t="n">
        <v>11.9748362288019</v>
      </c>
    </row>
    <row r="63" s="7" customFormat="true" ht="15" hidden="false" customHeight="false" outlineLevel="0" collapsed="false">
      <c r="A63" s="12"/>
      <c r="B63" s="13"/>
      <c r="C63" s="8" t="n">
        <v>41909</v>
      </c>
      <c r="D63" s="7" t="n">
        <v>16.1</v>
      </c>
      <c r="E63" s="7" t="n">
        <v>9.5</v>
      </c>
      <c r="F63" s="7" t="n">
        <v>22.8</v>
      </c>
      <c r="G63" s="7" t="n">
        <f aca="false">G62+D63</f>
        <v>309.4</v>
      </c>
      <c r="J63" s="7" t="n">
        <v>0</v>
      </c>
      <c r="K63" s="7" t="n">
        <f aca="false">K62+J63</f>
        <v>10.3</v>
      </c>
      <c r="L63" s="7" t="n">
        <v>3.3</v>
      </c>
      <c r="M63" s="7" t="n">
        <f aca="false">M62+L63</f>
        <v>49.6</v>
      </c>
      <c r="N63" s="9" t="n">
        <v>-3.3</v>
      </c>
      <c r="O63" s="7" t="n">
        <v>0</v>
      </c>
      <c r="P63" s="7" t="n">
        <v>19</v>
      </c>
      <c r="Q63" s="7" t="n">
        <f aca="false">0.35+((P63-8)/74)*(1-0.35)</f>
        <v>0.446621621621622</v>
      </c>
      <c r="R63" s="10" t="n">
        <f aca="false">Q63*L63</f>
        <v>1.47385135135135</v>
      </c>
      <c r="S63" s="10" t="n">
        <f aca="false">J63-R63</f>
        <v>-1.47385135135135</v>
      </c>
      <c r="T63" s="10" t="n">
        <f aca="false">MIN(138.9,(T62+S63))</f>
        <v>2.06831081081081</v>
      </c>
      <c r="V63" s="7" t="n">
        <v>1667.9</v>
      </c>
      <c r="X63" s="7" t="n">
        <f aca="false">X62+V63</f>
        <v>26394.9</v>
      </c>
      <c r="AA63" s="7" t="n">
        <v>11.9182313551541</v>
      </c>
    </row>
    <row r="64" s="7" customFormat="true" ht="15" hidden="false" customHeight="false" outlineLevel="0" collapsed="false">
      <c r="A64" s="12"/>
      <c r="B64" s="13"/>
      <c r="C64" s="8" t="n">
        <v>41910</v>
      </c>
      <c r="D64" s="7" t="n">
        <v>16.5</v>
      </c>
      <c r="E64" s="7" t="n">
        <v>10.1</v>
      </c>
      <c r="F64" s="7" t="n">
        <v>23.3</v>
      </c>
      <c r="G64" s="7" t="n">
        <f aca="false">G63+D64</f>
        <v>325.9</v>
      </c>
      <c r="J64" s="7" t="n">
        <v>1.8</v>
      </c>
      <c r="K64" s="7" t="n">
        <f aca="false">K63+J64</f>
        <v>12.1</v>
      </c>
      <c r="L64" s="7" t="n">
        <v>1.8</v>
      </c>
      <c r="M64" s="7" t="n">
        <f aca="false">M63+L64</f>
        <v>51.4</v>
      </c>
      <c r="N64" s="9" t="n">
        <v>0</v>
      </c>
      <c r="O64" s="7" t="n">
        <f aca="false">O63+N64</f>
        <v>0</v>
      </c>
      <c r="P64" s="7" t="n">
        <v>20</v>
      </c>
      <c r="Q64" s="7" t="n">
        <f aca="false">0.35+((P64-8)/74)*(1-0.35)</f>
        <v>0.455405405405405</v>
      </c>
      <c r="R64" s="10" t="n">
        <f aca="false">Q64*L64</f>
        <v>0.81972972972973</v>
      </c>
      <c r="S64" s="10" t="n">
        <f aca="false">J64-R64</f>
        <v>0.98027027027027</v>
      </c>
      <c r="T64" s="10" t="n">
        <f aca="false">MIN(138.9,(T63+S64))</f>
        <v>3.04858108108108</v>
      </c>
      <c r="V64" s="7" t="n">
        <v>988.2</v>
      </c>
      <c r="X64" s="7" t="n">
        <f aca="false">X63+V64</f>
        <v>27383.1</v>
      </c>
      <c r="AA64" s="7" t="n">
        <v>11.8616354673163</v>
      </c>
    </row>
    <row r="65" s="7" customFormat="true" ht="15" hidden="false" customHeight="false" outlineLevel="0" collapsed="false">
      <c r="A65" s="12"/>
      <c r="B65" s="13"/>
      <c r="C65" s="8" t="n">
        <v>41911</v>
      </c>
      <c r="D65" s="7" t="n">
        <v>16.9</v>
      </c>
      <c r="E65" s="7" t="n">
        <v>16</v>
      </c>
      <c r="F65" s="7" t="n">
        <v>20.2</v>
      </c>
      <c r="G65" s="7" t="n">
        <f aca="false">G64+D65</f>
        <v>342.8</v>
      </c>
      <c r="J65" s="7" t="n">
        <v>0.3</v>
      </c>
      <c r="K65" s="7" t="n">
        <f aca="false">K64+J65</f>
        <v>12.4</v>
      </c>
      <c r="L65" s="7" t="n">
        <v>0.9</v>
      </c>
      <c r="M65" s="7" t="n">
        <f aca="false">M64+L65</f>
        <v>52.3</v>
      </c>
      <c r="N65" s="9" t="n">
        <v>-0.6</v>
      </c>
      <c r="O65" s="7" t="n">
        <v>0</v>
      </c>
      <c r="P65" s="7" t="n">
        <v>21</v>
      </c>
      <c r="Q65" s="7" t="n">
        <f aca="false">0.35+((P65-8)/74)*(1-0.35)</f>
        <v>0.464189189189189</v>
      </c>
      <c r="R65" s="10" t="n">
        <f aca="false">Q65*L65</f>
        <v>0.41777027027027</v>
      </c>
      <c r="S65" s="10" t="n">
        <f aca="false">J65-R65</f>
        <v>-0.11777027027027</v>
      </c>
      <c r="T65" s="10" t="n">
        <f aca="false">MIN(138.9,(T64+S65))</f>
        <v>2.93081081081081</v>
      </c>
      <c r="V65" s="7" t="n">
        <v>305.6</v>
      </c>
      <c r="X65" s="7" t="n">
        <f aca="false">X64+V65</f>
        <v>27688.7</v>
      </c>
      <c r="AA65" s="7" t="n">
        <v>11.8050543220041</v>
      </c>
    </row>
    <row r="66" s="7" customFormat="true" ht="15" hidden="false" customHeight="false" outlineLevel="0" collapsed="false">
      <c r="A66" s="12"/>
      <c r="B66" s="13"/>
      <c r="C66" s="8" t="n">
        <v>41912</v>
      </c>
      <c r="D66" s="7" t="n">
        <v>16.3</v>
      </c>
      <c r="E66" s="7" t="n">
        <v>12.9</v>
      </c>
      <c r="F66" s="7" t="n">
        <v>22</v>
      </c>
      <c r="G66" s="7" t="n">
        <f aca="false">G65+D66</f>
        <v>359.1</v>
      </c>
      <c r="J66" s="7" t="n">
        <v>0.2</v>
      </c>
      <c r="K66" s="7" t="n">
        <f aca="false">K65+J66</f>
        <v>12.6</v>
      </c>
      <c r="L66" s="7" t="n">
        <v>2</v>
      </c>
      <c r="M66" s="7" t="n">
        <f aca="false">M65+L66</f>
        <v>54.3</v>
      </c>
      <c r="N66" s="9" t="n">
        <v>-1.8</v>
      </c>
      <c r="O66" s="7" t="n">
        <v>0</v>
      </c>
      <c r="P66" s="7" t="n">
        <v>22</v>
      </c>
      <c r="Q66" s="7" t="n">
        <f aca="false">0.35+((P66-8)/74)*(1-0.35)</f>
        <v>0.472972972972973</v>
      </c>
      <c r="R66" s="10" t="n">
        <f aca="false">Q66*L66</f>
        <v>0.945945945945946</v>
      </c>
      <c r="S66" s="10" t="n">
        <f aca="false">J66-R66</f>
        <v>-0.745945945945946</v>
      </c>
      <c r="T66" s="10" t="n">
        <f aca="false">MIN(138.9,(T65+S66))</f>
        <v>2.18486486486487</v>
      </c>
      <c r="V66" s="7" t="n">
        <v>1090.3</v>
      </c>
      <c r="X66" s="7" t="n">
        <f aca="false">X65+V66</f>
        <v>28779</v>
      </c>
      <c r="AA66" s="7" t="n">
        <v>11.7484937868727</v>
      </c>
    </row>
    <row r="67" s="7" customFormat="true" ht="15" hidden="false" customHeight="false" outlineLevel="0" collapsed="false">
      <c r="A67" s="12"/>
      <c r="B67" s="13"/>
      <c r="C67" s="8" t="n">
        <v>41913</v>
      </c>
      <c r="D67" s="7" t="n">
        <v>15</v>
      </c>
      <c r="E67" s="7" t="n">
        <v>9.4</v>
      </c>
      <c r="F67" s="7" t="n">
        <v>22.2</v>
      </c>
      <c r="G67" s="7" t="n">
        <f aca="false">G66+D67</f>
        <v>374.1</v>
      </c>
      <c r="J67" s="7" t="n">
        <v>0</v>
      </c>
      <c r="K67" s="7" t="n">
        <f aca="false">K66+J67</f>
        <v>12.6</v>
      </c>
      <c r="L67" s="7" t="n">
        <v>2.3</v>
      </c>
      <c r="M67" s="7" t="n">
        <f aca="false">M66+L67</f>
        <v>56.6</v>
      </c>
      <c r="N67" s="9" t="n">
        <v>-2.3</v>
      </c>
      <c r="O67" s="7" t="n">
        <v>0</v>
      </c>
      <c r="P67" s="7" t="n">
        <v>23</v>
      </c>
      <c r="Q67" s="7" t="n">
        <f aca="false">0.35+((P67-8)/74)*(1-0.35)</f>
        <v>0.481756756756757</v>
      </c>
      <c r="R67" s="10" t="n">
        <f aca="false">Q67*L67</f>
        <v>1.10804054054054</v>
      </c>
      <c r="S67" s="10" t="n">
        <f aca="false">J67-R67</f>
        <v>-1.10804054054054</v>
      </c>
      <c r="T67" s="10" t="n">
        <f aca="false">MIN(138.9,(T66+S67))</f>
        <v>1.07682432432433</v>
      </c>
      <c r="V67" s="7" t="n">
        <v>1238.8</v>
      </c>
      <c r="X67" s="7" t="n">
        <f aca="false">X66+V67</f>
        <v>30017.8</v>
      </c>
      <c r="AA67" s="7" t="n">
        <v>11.6919598571753</v>
      </c>
    </row>
    <row r="68" s="7" customFormat="true" ht="15" hidden="false" customHeight="false" outlineLevel="0" collapsed="false">
      <c r="A68" s="12"/>
      <c r="B68" s="13"/>
      <c r="C68" s="8" t="n">
        <v>41914</v>
      </c>
      <c r="D68" s="7" t="n">
        <v>15.2</v>
      </c>
      <c r="E68" s="7" t="n">
        <v>8.6</v>
      </c>
      <c r="F68" s="7" t="n">
        <v>23.2</v>
      </c>
      <c r="G68" s="7" t="n">
        <f aca="false">G67+D68</f>
        <v>389.3</v>
      </c>
      <c r="J68" s="7" t="n">
        <v>0.1</v>
      </c>
      <c r="K68" s="7" t="n">
        <f aca="false">K67+J68</f>
        <v>12.7</v>
      </c>
      <c r="L68" s="7" t="n">
        <v>2.5</v>
      </c>
      <c r="M68" s="7" t="n">
        <f aca="false">M67+L68</f>
        <v>59.1</v>
      </c>
      <c r="N68" s="9" t="n">
        <v>-2.4</v>
      </c>
      <c r="O68" s="7" t="n">
        <v>0</v>
      </c>
      <c r="P68" s="7" t="n">
        <v>24</v>
      </c>
      <c r="Q68" s="7" t="n">
        <f aca="false">0.35+((P68-8)/74)*(1-0.35)</f>
        <v>0.490540540540541</v>
      </c>
      <c r="R68" s="10" t="n">
        <f aca="false">Q68*L68</f>
        <v>1.22635135135135</v>
      </c>
      <c r="S68" s="10" t="n">
        <f aca="false">J68-R68</f>
        <v>-1.12635135135135</v>
      </c>
      <c r="T68" s="10" t="n">
        <f aca="false">MIN(138.9,(T67+S68))</f>
        <v>-0.0495270270270261</v>
      </c>
      <c r="V68" s="7" t="n">
        <v>1382</v>
      </c>
      <c r="X68" s="7" t="n">
        <f aca="false">X67+V68</f>
        <v>31399.8</v>
      </c>
      <c r="AA68" s="7" t="n">
        <v>11.6354586725309</v>
      </c>
    </row>
    <row r="69" s="7" customFormat="true" ht="15" hidden="false" customHeight="false" outlineLevel="0" collapsed="false">
      <c r="A69" s="12"/>
      <c r="B69" s="13"/>
      <c r="C69" s="8" t="n">
        <v>41915</v>
      </c>
      <c r="D69" s="7" t="n">
        <v>15</v>
      </c>
      <c r="E69" s="7" t="n">
        <v>8.9</v>
      </c>
      <c r="F69" s="7" t="n">
        <v>23.3</v>
      </c>
      <c r="G69" s="7" t="n">
        <f aca="false">G68+D69</f>
        <v>404.3</v>
      </c>
      <c r="J69" s="7" t="n">
        <v>0</v>
      </c>
      <c r="K69" s="7" t="n">
        <f aca="false">K68+J69</f>
        <v>12.7</v>
      </c>
      <c r="L69" s="7" t="n">
        <v>2.9</v>
      </c>
      <c r="M69" s="7" t="n">
        <f aca="false">M68+L69</f>
        <v>62</v>
      </c>
      <c r="N69" s="9" t="n">
        <v>-2.9</v>
      </c>
      <c r="O69" s="7" t="n">
        <v>0</v>
      </c>
      <c r="P69" s="7" t="n">
        <v>25</v>
      </c>
      <c r="Q69" s="7" t="n">
        <f aca="false">0.35+((P69-8)/74)*(1-0.35)</f>
        <v>0.499324324324324</v>
      </c>
      <c r="R69" s="10" t="n">
        <f aca="false">Q69*L69</f>
        <v>1.44804054054054</v>
      </c>
      <c r="S69" s="10" t="n">
        <f aca="false">J69-R69</f>
        <v>-1.44804054054054</v>
      </c>
      <c r="T69" s="10" t="n">
        <v>0</v>
      </c>
      <c r="V69" s="7" t="n">
        <v>1517.1</v>
      </c>
      <c r="X69" s="7" t="n">
        <f aca="false">X68+V69</f>
        <v>32916.9</v>
      </c>
      <c r="AA69" s="7" t="n">
        <v>11.5789965338003</v>
      </c>
    </row>
    <row r="70" s="7" customFormat="true" ht="15" hidden="false" customHeight="false" outlineLevel="0" collapsed="false">
      <c r="A70" s="12"/>
      <c r="B70" s="13"/>
      <c r="C70" s="8" t="n">
        <v>41916</v>
      </c>
      <c r="D70" s="7" t="n">
        <v>15.1</v>
      </c>
      <c r="E70" s="7" t="n">
        <v>8</v>
      </c>
      <c r="F70" s="7" t="n">
        <v>23.9</v>
      </c>
      <c r="G70" s="7" t="n">
        <f aca="false">G69+D70</f>
        <v>419.4</v>
      </c>
      <c r="J70" s="7" t="n">
        <v>8.4</v>
      </c>
      <c r="K70" s="7" t="n">
        <f aca="false">K69+J70</f>
        <v>21.1</v>
      </c>
      <c r="L70" s="7" t="n">
        <v>2.3</v>
      </c>
      <c r="M70" s="7" t="n">
        <f aca="false">M69+L70</f>
        <v>64.3</v>
      </c>
      <c r="N70" s="7" t="n">
        <v>6.1</v>
      </c>
      <c r="O70" s="7" t="n">
        <f aca="false">O69+N70</f>
        <v>6.1</v>
      </c>
      <c r="P70" s="7" t="n">
        <v>26</v>
      </c>
      <c r="Q70" s="7" t="n">
        <f aca="false">0.35+((P70-8)/74)*(1-0.35)</f>
        <v>0.508108108108108</v>
      </c>
      <c r="R70" s="10" t="n">
        <f aca="false">Q70*L70</f>
        <v>1.16864864864865</v>
      </c>
      <c r="S70" s="10" t="n">
        <f aca="false">J70-R70</f>
        <v>7.23135135135135</v>
      </c>
      <c r="T70" s="10" t="n">
        <f aca="false">MIN(138.9,(T69+S70))</f>
        <v>7.23135135135135</v>
      </c>
      <c r="V70" s="7" t="n">
        <v>1120.1</v>
      </c>
      <c r="X70" s="7" t="n">
        <f aca="false">X69+V70</f>
        <v>34037</v>
      </c>
      <c r="AA70" s="7" t="n">
        <v>11.5225799200693</v>
      </c>
    </row>
    <row r="71" s="7" customFormat="true" ht="15" hidden="false" customHeight="false" outlineLevel="0" collapsed="false">
      <c r="A71" s="12"/>
      <c r="B71" s="13"/>
      <c r="C71" s="8" t="n">
        <v>41917</v>
      </c>
      <c r="D71" s="7" t="n">
        <v>11.7</v>
      </c>
      <c r="E71" s="7" t="n">
        <v>10.4</v>
      </c>
      <c r="F71" s="7" t="n">
        <v>13.5</v>
      </c>
      <c r="G71" s="7" t="n">
        <f aca="false">G70+D71</f>
        <v>431.1</v>
      </c>
      <c r="J71" s="7" t="n">
        <v>0</v>
      </c>
      <c r="K71" s="7" t="n">
        <f aca="false">K70+J71</f>
        <v>21.1</v>
      </c>
      <c r="L71" s="7" t="n">
        <v>1.1</v>
      </c>
      <c r="M71" s="7" t="n">
        <f aca="false">M70+L71</f>
        <v>65.4</v>
      </c>
      <c r="N71" s="9" t="n">
        <v>-1.1</v>
      </c>
      <c r="O71" s="7" t="n">
        <f aca="false">O70+N71</f>
        <v>5</v>
      </c>
      <c r="P71" s="7" t="n">
        <v>27</v>
      </c>
      <c r="Q71" s="7" t="n">
        <f aca="false">0.35+((P71-8)/74)*(1-0.35)</f>
        <v>0.516891891891892</v>
      </c>
      <c r="R71" s="10" t="n">
        <f aca="false">Q71*L71</f>
        <v>0.568581081081081</v>
      </c>
      <c r="S71" s="10" t="n">
        <f aca="false">J71-R71</f>
        <v>-0.568581081081081</v>
      </c>
      <c r="T71" s="10" t="n">
        <f aca="false">MIN(138.9,(T70+S71))</f>
        <v>6.66277027027027</v>
      </c>
      <c r="V71" s="7" t="n">
        <v>481.7</v>
      </c>
      <c r="X71" s="7" t="n">
        <f aca="false">X70+V71</f>
        <v>34518.7</v>
      </c>
      <c r="AA71" s="7" t="n">
        <v>11.466215505736</v>
      </c>
    </row>
    <row r="72" s="7" customFormat="true" ht="15" hidden="false" customHeight="false" outlineLevel="0" collapsed="false">
      <c r="A72" s="12"/>
      <c r="B72" s="13"/>
      <c r="C72" s="8" t="n">
        <v>41918</v>
      </c>
      <c r="D72" s="7" t="n">
        <v>11.4</v>
      </c>
      <c r="E72" s="7" t="n">
        <v>6.6</v>
      </c>
      <c r="F72" s="7" t="n">
        <v>13.8</v>
      </c>
      <c r="G72" s="7" t="n">
        <f aca="false">G71+D72</f>
        <v>442.5</v>
      </c>
      <c r="J72" s="7" t="n">
        <v>15.2</v>
      </c>
      <c r="K72" s="7" t="n">
        <f aca="false">K71+J72</f>
        <v>36.3</v>
      </c>
      <c r="L72" s="7" t="n">
        <v>0.5</v>
      </c>
      <c r="M72" s="7" t="n">
        <f aca="false">M71+L72</f>
        <v>65.9</v>
      </c>
      <c r="N72" s="7" t="n">
        <v>14.7</v>
      </c>
      <c r="O72" s="7" t="n">
        <f aca="false">O71+N72</f>
        <v>19.7</v>
      </c>
      <c r="P72" s="7" t="n">
        <v>28</v>
      </c>
      <c r="Q72" s="7" t="n">
        <f aca="false">0.35+((P72-8)/74)*(1-0.35)</f>
        <v>0.525675675675676</v>
      </c>
      <c r="R72" s="10" t="n">
        <f aca="false">Q72*L72</f>
        <v>0.262837837837838</v>
      </c>
      <c r="S72" s="10" t="n">
        <f aca="false">J72-R72</f>
        <v>14.9371621621622</v>
      </c>
      <c r="T72" s="10" t="n">
        <f aca="false">MIN(138.9,(T71+S72))</f>
        <v>21.5999324324324</v>
      </c>
      <c r="V72" s="7" t="n">
        <v>450.1</v>
      </c>
      <c r="X72" s="7" t="n">
        <f aca="false">X71+V72</f>
        <v>34968.8</v>
      </c>
      <c r="AA72" s="7" t="n">
        <v>11.4099101776966</v>
      </c>
    </row>
    <row r="73" s="7" customFormat="true" ht="15" hidden="false" customHeight="false" outlineLevel="0" collapsed="false">
      <c r="A73" s="12"/>
      <c r="B73" s="13"/>
      <c r="C73" s="8" t="n">
        <v>41919</v>
      </c>
      <c r="D73" s="7" t="n">
        <v>13.8</v>
      </c>
      <c r="E73" s="7" t="n">
        <v>13.6</v>
      </c>
      <c r="F73" s="7" t="n">
        <v>14.4</v>
      </c>
      <c r="G73" s="7" t="n">
        <f aca="false">G72+D73</f>
        <v>456.3</v>
      </c>
      <c r="J73" s="7" t="n">
        <v>17</v>
      </c>
      <c r="K73" s="7" t="n">
        <f aca="false">K72+J73</f>
        <v>53.3</v>
      </c>
      <c r="L73" s="7" t="n">
        <v>0.9</v>
      </c>
      <c r="M73" s="7" t="n">
        <f aca="false">M72+L73</f>
        <v>66.8</v>
      </c>
      <c r="N73" s="7" t="n">
        <v>16.1</v>
      </c>
      <c r="O73" s="7" t="n">
        <f aca="false">O72+N73</f>
        <v>35.8</v>
      </c>
      <c r="P73" s="7" t="n">
        <v>29</v>
      </c>
      <c r="Q73" s="7" t="n">
        <f aca="false">0.35+((P73-8)/74)*(1-0.35)</f>
        <v>0.534459459459459</v>
      </c>
      <c r="R73" s="10" t="n">
        <f aca="false">Q73*L73</f>
        <v>0.481013513513513</v>
      </c>
      <c r="S73" s="10" t="n">
        <f aca="false">J73-R73</f>
        <v>16.5189864864865</v>
      </c>
      <c r="T73" s="10" t="n">
        <f aca="false">MIN(138.9,(T72+S73))</f>
        <v>38.1189189189189</v>
      </c>
      <c r="V73" s="7" t="n">
        <v>287.9</v>
      </c>
      <c r="X73" s="7" t="n">
        <f aca="false">X72+V73</f>
        <v>35256.7</v>
      </c>
      <c r="AA73" s="7" t="n">
        <v>11.3536710526251</v>
      </c>
    </row>
    <row r="74" s="7" customFormat="true" ht="15" hidden="false" customHeight="false" outlineLevel="0" collapsed="false">
      <c r="A74" s="12"/>
      <c r="B74" s="13"/>
      <c r="C74" s="8" t="n">
        <v>41920</v>
      </c>
      <c r="D74" s="7" t="n">
        <v>16.3</v>
      </c>
      <c r="E74" s="7" t="n">
        <v>13.2</v>
      </c>
      <c r="F74" s="7" t="n">
        <v>21.1</v>
      </c>
      <c r="G74" s="7" t="n">
        <f aca="false">G73+D74</f>
        <v>472.6</v>
      </c>
      <c r="J74" s="7" t="n">
        <v>21.2</v>
      </c>
      <c r="K74" s="7" t="n">
        <f aca="false">K73+J74</f>
        <v>74.5</v>
      </c>
      <c r="L74" s="7" t="n">
        <v>1.4</v>
      </c>
      <c r="M74" s="7" t="n">
        <f aca="false">M73+L74</f>
        <v>68.2</v>
      </c>
      <c r="N74" s="7" t="n">
        <v>19.8</v>
      </c>
      <c r="O74" s="7" t="n">
        <f aca="false">O73+N74</f>
        <v>55.6</v>
      </c>
      <c r="P74" s="7" t="n">
        <v>30</v>
      </c>
      <c r="Q74" s="7" t="n">
        <f aca="false">0.35+((P74-8)/74)*(1-0.35)</f>
        <v>0.543243243243243</v>
      </c>
      <c r="R74" s="10" t="n">
        <f aca="false">Q74*L74</f>
        <v>0.760540540540541</v>
      </c>
      <c r="S74" s="10" t="n">
        <f aca="false">J74-R74</f>
        <v>20.4394594594595</v>
      </c>
      <c r="T74" s="10" t="n">
        <f aca="false">MIN(138.9,(T73+S74))</f>
        <v>58.5583783783784</v>
      </c>
      <c r="V74" s="7" t="n">
        <v>332.3</v>
      </c>
      <c r="X74" s="7" t="n">
        <f aca="false">X73+V74</f>
        <v>35589</v>
      </c>
      <c r="AA74" s="7" t="n">
        <v>11.2975054943357</v>
      </c>
    </row>
    <row r="75" s="7" customFormat="true" ht="15" hidden="false" customHeight="false" outlineLevel="0" collapsed="false">
      <c r="A75" s="12"/>
      <c r="B75" s="13"/>
      <c r="C75" s="8" t="n">
        <v>41921</v>
      </c>
      <c r="D75" s="7" t="n">
        <v>15.5</v>
      </c>
      <c r="E75" s="7" t="n">
        <v>14.7</v>
      </c>
      <c r="F75" s="7" t="n">
        <v>18.8</v>
      </c>
      <c r="G75" s="7" t="n">
        <f aca="false">G74+D75</f>
        <v>488.1</v>
      </c>
      <c r="J75" s="7" t="n">
        <v>1.4</v>
      </c>
      <c r="K75" s="7" t="n">
        <f aca="false">K74+J75</f>
        <v>75.9</v>
      </c>
      <c r="L75" s="7" t="n">
        <v>1.8</v>
      </c>
      <c r="M75" s="7" t="n">
        <f aca="false">M74+L75</f>
        <v>70</v>
      </c>
      <c r="N75" s="9" t="n">
        <v>-0.4</v>
      </c>
      <c r="O75" s="7" t="n">
        <f aca="false">O74+N75</f>
        <v>55.2</v>
      </c>
      <c r="P75" s="7" t="n">
        <v>31</v>
      </c>
      <c r="Q75" s="7" t="n">
        <f aca="false">0.35+((P75-8)/74)*(1-0.35)</f>
        <v>0.552027027027027</v>
      </c>
      <c r="R75" s="10" t="n">
        <f aca="false">Q75*L75</f>
        <v>0.993648648648649</v>
      </c>
      <c r="S75" s="10" t="n">
        <f aca="false">J75-R75</f>
        <v>0.406351351351351</v>
      </c>
      <c r="T75" s="10" t="n">
        <f aca="false">MIN(138.9,(T74+S75))</f>
        <v>58.9647297297297</v>
      </c>
      <c r="V75" s="7" t="n">
        <v>722.8</v>
      </c>
      <c r="X75" s="7" t="n">
        <f aca="false">X74+V75</f>
        <v>36311.8</v>
      </c>
      <c r="AA75" s="7" t="n">
        <v>11.241421131219</v>
      </c>
    </row>
    <row r="76" s="7" customFormat="true" ht="15" hidden="false" customHeight="false" outlineLevel="0" collapsed="false">
      <c r="A76" s="12"/>
      <c r="B76" s="13"/>
      <c r="C76" s="8" t="n">
        <v>41922</v>
      </c>
      <c r="D76" s="7" t="n">
        <v>14.2</v>
      </c>
      <c r="E76" s="7" t="n">
        <v>12</v>
      </c>
      <c r="F76" s="7" t="n">
        <v>16.9</v>
      </c>
      <c r="G76" s="7" t="n">
        <f aca="false">G75+D76</f>
        <v>502.3</v>
      </c>
      <c r="J76" s="7" t="n">
        <v>0.2</v>
      </c>
      <c r="K76" s="7" t="n">
        <f aca="false">K75+J76</f>
        <v>76.1</v>
      </c>
      <c r="L76" s="7" t="n">
        <v>1.2</v>
      </c>
      <c r="M76" s="7" t="n">
        <f aca="false">M75+L76</f>
        <v>71.2</v>
      </c>
      <c r="N76" s="9" t="n">
        <v>-1</v>
      </c>
      <c r="O76" s="7" t="n">
        <f aca="false">O75+N76</f>
        <v>54.2</v>
      </c>
      <c r="P76" s="7" t="n">
        <v>32</v>
      </c>
      <c r="Q76" s="7" t="n">
        <f aca="false">0.35+((P76-8)/74)*(1-0.35)</f>
        <v>0.560810810810811</v>
      </c>
      <c r="R76" s="10" t="n">
        <f aca="false">Q76*L76</f>
        <v>0.672972972972973</v>
      </c>
      <c r="S76" s="10" t="n">
        <f aca="false">J76-R76</f>
        <v>-0.472972972972973</v>
      </c>
      <c r="T76" s="10" t="n">
        <f aca="false">MIN(138.9,(T75+S76))</f>
        <v>58.4917567567568</v>
      </c>
      <c r="V76" s="7" t="n">
        <v>682.5</v>
      </c>
      <c r="X76" s="7" t="n">
        <f aca="false">X75+V76</f>
        <v>36994.3</v>
      </c>
      <c r="AA76" s="7" t="n">
        <v>11.1854258737377</v>
      </c>
    </row>
    <row r="77" s="7" customFormat="true" ht="15" hidden="false" customHeight="false" outlineLevel="0" collapsed="false">
      <c r="A77" s="12"/>
      <c r="B77" s="13"/>
      <c r="C77" s="8" t="n">
        <v>41923</v>
      </c>
      <c r="D77" s="7" t="n">
        <v>13.8</v>
      </c>
      <c r="E77" s="7" t="n">
        <v>12.3</v>
      </c>
      <c r="F77" s="7" t="n">
        <v>17.4</v>
      </c>
      <c r="G77" s="7" t="n">
        <f aca="false">G76+D77</f>
        <v>516.1</v>
      </c>
      <c r="J77" s="7" t="n">
        <v>0.1</v>
      </c>
      <c r="K77" s="7" t="n">
        <f aca="false">K76+J77</f>
        <v>76.2</v>
      </c>
      <c r="L77" s="7" t="n">
        <v>1.5</v>
      </c>
      <c r="M77" s="7" t="n">
        <f aca="false">M76+L77</f>
        <v>72.7</v>
      </c>
      <c r="N77" s="9" t="n">
        <v>-1.4</v>
      </c>
      <c r="O77" s="7" t="n">
        <f aca="false">O76+N77</f>
        <v>52.8</v>
      </c>
      <c r="P77" s="7" t="n">
        <v>33</v>
      </c>
      <c r="Q77" s="7" t="n">
        <f aca="false">0.35+((P77-8)/74)*(1-0.35)</f>
        <v>0.569594594594595</v>
      </c>
      <c r="R77" s="10" t="n">
        <f aca="false">Q77*L77</f>
        <v>0.854391891891892</v>
      </c>
      <c r="S77" s="10" t="n">
        <f aca="false">J77-R77</f>
        <v>-0.754391891891892</v>
      </c>
      <c r="T77" s="10" t="n">
        <f aca="false">MIN(138.9,(T76+S77))</f>
        <v>57.7373648648649</v>
      </c>
      <c r="V77" s="7" t="n">
        <v>845.2</v>
      </c>
      <c r="X77" s="7" t="n">
        <f aca="false">X76+V77</f>
        <v>37839.5</v>
      </c>
      <c r="AA77" s="7" t="n">
        <v>11.1295279319661</v>
      </c>
    </row>
    <row r="78" s="7" customFormat="true" ht="15" hidden="false" customHeight="false" outlineLevel="0" collapsed="false">
      <c r="A78" s="12"/>
      <c r="B78" s="13"/>
      <c r="C78" s="8" t="n">
        <v>41924</v>
      </c>
      <c r="D78" s="7" t="n">
        <v>13.8</v>
      </c>
      <c r="E78" s="7" t="n">
        <v>10.3</v>
      </c>
      <c r="F78" s="7" t="n">
        <v>16</v>
      </c>
      <c r="G78" s="7" t="n">
        <f aca="false">G77+D78</f>
        <v>529.9</v>
      </c>
      <c r="J78" s="7" t="n">
        <v>6.3</v>
      </c>
      <c r="K78" s="7" t="n">
        <f aca="false">K77+J78</f>
        <v>82.5</v>
      </c>
      <c r="L78" s="7" t="n">
        <v>0.5</v>
      </c>
      <c r="M78" s="7" t="n">
        <f aca="false">M77+L78</f>
        <v>73.2</v>
      </c>
      <c r="N78" s="7" t="n">
        <v>5.8</v>
      </c>
      <c r="O78" s="7" t="n">
        <f aca="false">O77+N78</f>
        <v>58.6</v>
      </c>
      <c r="P78" s="7" t="n">
        <v>34</v>
      </c>
      <c r="Q78" s="7" t="n">
        <f aca="false">0.35+((P78-8)/74)*(1-0.35)</f>
        <v>0.578378378378378</v>
      </c>
      <c r="R78" s="10" t="n">
        <f aca="false">Q78*L78</f>
        <v>0.289189189189189</v>
      </c>
      <c r="S78" s="10" t="n">
        <f aca="false">J78-R78</f>
        <v>6.01081081081081</v>
      </c>
      <c r="T78" s="10" t="n">
        <f aca="false">MIN(138.9,(T77+S78))</f>
        <v>63.7481756756757</v>
      </c>
      <c r="V78" s="7" t="n">
        <v>280.5</v>
      </c>
      <c r="X78" s="7" t="n">
        <f aca="false">X77+V78</f>
        <v>38120</v>
      </c>
      <c r="AA78" s="7" t="n">
        <v>11.0737358331531</v>
      </c>
    </row>
    <row r="79" s="7" customFormat="true" ht="15" hidden="false" customHeight="false" outlineLevel="0" collapsed="false">
      <c r="A79" s="12"/>
      <c r="B79" s="13"/>
      <c r="C79" s="8" t="n">
        <v>41925</v>
      </c>
      <c r="D79" s="7" t="n">
        <v>13.8</v>
      </c>
      <c r="E79" s="7" t="n">
        <v>12</v>
      </c>
      <c r="F79" s="7" t="n">
        <v>18.6</v>
      </c>
      <c r="G79" s="7" t="n">
        <f aca="false">G78+D79</f>
        <v>543.7</v>
      </c>
      <c r="J79" s="7" t="n">
        <v>0</v>
      </c>
      <c r="K79" s="7" t="n">
        <f aca="false">K78+J79</f>
        <v>82.5</v>
      </c>
      <c r="L79" s="7" t="n">
        <v>1.9</v>
      </c>
      <c r="M79" s="7" t="n">
        <f aca="false">M78+L79</f>
        <v>75.1</v>
      </c>
      <c r="N79" s="9" t="n">
        <v>-1.9</v>
      </c>
      <c r="O79" s="7" t="n">
        <f aca="false">O78+N79</f>
        <v>56.7</v>
      </c>
      <c r="P79" s="7" t="n">
        <v>35</v>
      </c>
      <c r="Q79" s="7" t="n">
        <f aca="false">0.35+((P79-8)/74)*(1-0.35)</f>
        <v>0.587162162162162</v>
      </c>
      <c r="R79" s="10" t="n">
        <f aca="false">Q79*L79</f>
        <v>1.11560810810811</v>
      </c>
      <c r="S79" s="10" t="n">
        <f aca="false">J79-R79</f>
        <v>-1.11560810810811</v>
      </c>
      <c r="T79" s="10" t="n">
        <f aca="false">MIN(138.9,(T78+S79))</f>
        <v>62.6325675675676</v>
      </c>
      <c r="V79" s="7" t="n">
        <v>687.1</v>
      </c>
      <c r="X79" s="7" t="n">
        <f aca="false">X78+V79</f>
        <v>38807.1</v>
      </c>
      <c r="AA79" s="7" t="n">
        <v>11.0180584392887</v>
      </c>
    </row>
    <row r="80" s="7" customFormat="true" ht="15" hidden="false" customHeight="false" outlineLevel="0" collapsed="false">
      <c r="A80" s="12"/>
      <c r="B80" s="13"/>
      <c r="C80" s="8" t="n">
        <v>41926</v>
      </c>
      <c r="D80" s="7" t="n">
        <v>11.1</v>
      </c>
      <c r="E80" s="7" t="n">
        <v>6.9</v>
      </c>
      <c r="F80" s="7" t="n">
        <v>16.1</v>
      </c>
      <c r="G80" s="7" t="n">
        <f aca="false">G79+D80</f>
        <v>554.8</v>
      </c>
      <c r="J80" s="7" t="n">
        <v>0.1</v>
      </c>
      <c r="K80" s="7" t="n">
        <f aca="false">K79+J80</f>
        <v>82.6</v>
      </c>
      <c r="L80" s="7" t="n">
        <v>0.8</v>
      </c>
      <c r="M80" s="7" t="n">
        <f aca="false">M79+L80</f>
        <v>75.9</v>
      </c>
      <c r="N80" s="9" t="n">
        <v>-0.7</v>
      </c>
      <c r="O80" s="7" t="n">
        <f aca="false">O79+N80</f>
        <v>56</v>
      </c>
      <c r="P80" s="7" t="n">
        <v>36</v>
      </c>
      <c r="Q80" s="7" t="n">
        <f aca="false">0.35+((P80-8)/74)*(1-0.35)</f>
        <v>0.595945945945946</v>
      </c>
      <c r="R80" s="10" t="n">
        <f aca="false">Q80*L80</f>
        <v>0.476756756756757</v>
      </c>
      <c r="S80" s="10" t="n">
        <f aca="false">J80-R80</f>
        <v>-0.376756756756757</v>
      </c>
      <c r="T80" s="10" t="n">
        <f aca="false">MIN(138.9,(T79+S80))</f>
        <v>62.2558108108108</v>
      </c>
      <c r="V80" s="7" t="n">
        <v>707.7</v>
      </c>
      <c r="X80" s="7" t="n">
        <f aca="false">X79+V80</f>
        <v>39514.8</v>
      </c>
      <c r="AA80" s="7" t="n">
        <v>10.9625049646466</v>
      </c>
    </row>
    <row r="81" s="7" customFormat="true" ht="15" hidden="false" customHeight="false" outlineLevel="0" collapsed="false">
      <c r="A81" s="12"/>
      <c r="B81" s="13"/>
      <c r="C81" s="8" t="n">
        <v>41927</v>
      </c>
      <c r="D81" s="7" t="n">
        <v>14</v>
      </c>
      <c r="E81" s="7" t="n">
        <v>11.1</v>
      </c>
      <c r="F81" s="7" t="n">
        <v>16.1</v>
      </c>
      <c r="G81" s="7" t="n">
        <f aca="false">G80+D81</f>
        <v>568.8</v>
      </c>
      <c r="J81" s="7" t="n">
        <v>1.4</v>
      </c>
      <c r="K81" s="7" t="n">
        <f aca="false">K80+J81</f>
        <v>84</v>
      </c>
      <c r="L81" s="7" t="n">
        <v>0.3</v>
      </c>
      <c r="M81" s="7" t="n">
        <f aca="false">M80+L81</f>
        <v>76.2</v>
      </c>
      <c r="N81" s="7" t="n">
        <v>1.1</v>
      </c>
      <c r="O81" s="7" t="n">
        <f aca="false">O80+N81</f>
        <v>57.1</v>
      </c>
      <c r="P81" s="7" t="n">
        <v>37</v>
      </c>
      <c r="Q81" s="7" t="n">
        <f aca="false">0.35+((P81-8)/74)*(1-0.35)</f>
        <v>0.60472972972973</v>
      </c>
      <c r="R81" s="10" t="n">
        <f aca="false">Q81*L81</f>
        <v>0.181418918918919</v>
      </c>
      <c r="S81" s="10" t="n">
        <f aca="false">J81-R81</f>
        <v>1.21858108108108</v>
      </c>
      <c r="T81" s="10" t="n">
        <f aca="false">MIN(138.9,(T80+S81))</f>
        <v>63.4743918918919</v>
      </c>
      <c r="V81" s="7" t="n">
        <v>231.9</v>
      </c>
      <c r="X81" s="7" t="n">
        <f aca="false">X80+V81</f>
        <v>39746.7</v>
      </c>
      <c r="AA81" s="7" t="n">
        <v>10.9070849932738</v>
      </c>
    </row>
    <row r="82" s="7" customFormat="true" ht="15" hidden="false" customHeight="false" outlineLevel="0" collapsed="false">
      <c r="A82" s="12"/>
      <c r="B82" s="13"/>
      <c r="C82" s="8" t="n">
        <v>41928</v>
      </c>
      <c r="D82" s="7" t="n">
        <v>15.7</v>
      </c>
      <c r="E82" s="7" t="n">
        <v>14.1</v>
      </c>
      <c r="F82" s="7" t="n">
        <v>18.7</v>
      </c>
      <c r="G82" s="7" t="n">
        <f aca="false">G81+D82</f>
        <v>584.5</v>
      </c>
      <c r="J82" s="7" t="n">
        <v>12.7</v>
      </c>
      <c r="K82" s="7" t="n">
        <f aca="false">K81+J82</f>
        <v>96.7</v>
      </c>
      <c r="L82" s="7" t="n">
        <v>0.8</v>
      </c>
      <c r="M82" s="7" t="n">
        <f aca="false">M81+L82</f>
        <v>77</v>
      </c>
      <c r="N82" s="7" t="n">
        <v>11.9</v>
      </c>
      <c r="O82" s="7" t="n">
        <f aca="false">O81+N82</f>
        <v>69</v>
      </c>
      <c r="P82" s="7" t="n">
        <v>38</v>
      </c>
      <c r="Q82" s="7" t="n">
        <f aca="false">0.35+((P82-8)/74)*(1-0.35)</f>
        <v>0.613513513513514</v>
      </c>
      <c r="R82" s="10" t="n">
        <f aca="false">Q82*L82</f>
        <v>0.490810810810811</v>
      </c>
      <c r="S82" s="10" t="n">
        <f aca="false">J82-R82</f>
        <v>12.2091891891892</v>
      </c>
      <c r="T82" s="10" t="n">
        <f aca="false">MIN(138.9,(T81+S82))</f>
        <v>75.6835810810811</v>
      </c>
      <c r="V82" s="7" t="n">
        <v>371.3</v>
      </c>
      <c r="X82" s="7" t="n">
        <f aca="false">X81+V82</f>
        <v>40118</v>
      </c>
      <c r="AA82" s="7" t="n">
        <v>10.8518084963951</v>
      </c>
    </row>
    <row r="83" s="7" customFormat="true" ht="15" hidden="false" customHeight="false" outlineLevel="0" collapsed="false">
      <c r="A83" s="12"/>
      <c r="B83" s="13"/>
      <c r="C83" s="8" t="n">
        <v>41929</v>
      </c>
      <c r="D83" s="7" t="n">
        <v>15.3</v>
      </c>
      <c r="E83" s="7" t="n">
        <v>13.6</v>
      </c>
      <c r="F83" s="7" t="n">
        <v>18</v>
      </c>
      <c r="G83" s="7" t="n">
        <f aca="false">G82+D83</f>
        <v>599.8</v>
      </c>
      <c r="J83" s="7" t="n">
        <v>0.1</v>
      </c>
      <c r="K83" s="7" t="n">
        <f aca="false">K82+J83</f>
        <v>96.8</v>
      </c>
      <c r="L83" s="7" t="n">
        <v>0.6</v>
      </c>
      <c r="M83" s="7" t="n">
        <f aca="false">M82+L83</f>
        <v>77.6</v>
      </c>
      <c r="N83" s="9" t="n">
        <v>-0.5</v>
      </c>
      <c r="O83" s="7" t="n">
        <f aca="false">O82+N83</f>
        <v>68.5</v>
      </c>
      <c r="P83" s="7" t="n">
        <v>39</v>
      </c>
      <c r="Q83" s="7" t="n">
        <f aca="false">0.35+((P83-8)/74)*(1-0.35)</f>
        <v>0.622297297297297</v>
      </c>
      <c r="R83" s="10" t="n">
        <f aca="false">Q83*L83</f>
        <v>0.373378378378378</v>
      </c>
      <c r="S83" s="10" t="n">
        <f aca="false">J83-R83</f>
        <v>-0.273378378378378</v>
      </c>
      <c r="T83" s="10" t="n">
        <f aca="false">MIN(138.9,(T82+S83))</f>
        <v>75.4102027027027</v>
      </c>
      <c r="V83" s="7" t="n">
        <v>304.3</v>
      </c>
      <c r="X83" s="7" t="n">
        <f aca="false">X82+V83</f>
        <v>40422.3</v>
      </c>
      <c r="AA83" s="7" t="n">
        <v>10.7966858496939</v>
      </c>
    </row>
    <row r="84" s="7" customFormat="true" ht="15" hidden="false" customHeight="false" outlineLevel="0" collapsed="false">
      <c r="A84" s="12"/>
      <c r="B84" s="13"/>
      <c r="C84" s="8" t="n">
        <v>41930</v>
      </c>
      <c r="D84" s="7" t="n">
        <v>17.3</v>
      </c>
      <c r="E84" s="7" t="n">
        <v>12.7</v>
      </c>
      <c r="F84" s="7" t="n">
        <v>24.1</v>
      </c>
      <c r="G84" s="7" t="n">
        <f aca="false">G83+D84</f>
        <v>617.1</v>
      </c>
      <c r="J84" s="7" t="n">
        <v>0</v>
      </c>
      <c r="K84" s="7" t="n">
        <f aca="false">K83+J84</f>
        <v>96.8</v>
      </c>
      <c r="L84" s="7" t="n">
        <v>2.8</v>
      </c>
      <c r="M84" s="7" t="n">
        <f aca="false">M83+L84</f>
        <v>80.4</v>
      </c>
      <c r="N84" s="9" t="n">
        <v>-2.8</v>
      </c>
      <c r="O84" s="7" t="n">
        <f aca="false">O83+N84</f>
        <v>65.7</v>
      </c>
      <c r="P84" s="7" t="n">
        <v>40</v>
      </c>
      <c r="Q84" s="7" t="n">
        <f aca="false">0.35+((P84-8)/74)*(1-0.35)</f>
        <v>0.631081081081081</v>
      </c>
      <c r="R84" s="10" t="n">
        <f aca="false">Q84*L84</f>
        <v>1.76702702702703</v>
      </c>
      <c r="S84" s="10" t="n">
        <f aca="false">J84-R84</f>
        <v>-1.76702702702703</v>
      </c>
      <c r="T84" s="10" t="n">
        <f aca="false">MIN(138.9,(T83+S84))</f>
        <v>73.6431756756757</v>
      </c>
      <c r="V84" s="7" t="n">
        <v>1300</v>
      </c>
      <c r="X84" s="7" t="n">
        <f aca="false">X83+V84</f>
        <v>41722.3</v>
      </c>
      <c r="AA84" s="7" t="n">
        <v>10.7417278504287</v>
      </c>
    </row>
    <row r="85" s="7" customFormat="true" ht="15" hidden="false" customHeight="false" outlineLevel="0" collapsed="false">
      <c r="A85" s="12"/>
      <c r="B85" s="13"/>
      <c r="C85" s="8" t="n">
        <v>41931</v>
      </c>
      <c r="D85" s="7" t="n">
        <v>17.1</v>
      </c>
      <c r="E85" s="7" t="n">
        <v>13</v>
      </c>
      <c r="F85" s="7" t="n">
        <v>22.9</v>
      </c>
      <c r="G85" s="7" t="n">
        <f aca="false">G84+D85</f>
        <v>634.2</v>
      </c>
      <c r="J85" s="7" t="n">
        <v>0.4</v>
      </c>
      <c r="K85" s="7" t="n">
        <f aca="false">K84+J85</f>
        <v>97.2</v>
      </c>
      <c r="L85" s="7" t="n">
        <v>2.3</v>
      </c>
      <c r="M85" s="7" t="n">
        <f aca="false">M84+L85</f>
        <v>82.7</v>
      </c>
      <c r="N85" s="9" t="n">
        <v>-1.9</v>
      </c>
      <c r="O85" s="7" t="n">
        <f aca="false">O84+N85</f>
        <v>63.8</v>
      </c>
      <c r="P85" s="7" t="n">
        <v>41</v>
      </c>
      <c r="Q85" s="7" t="n">
        <f aca="false">0.35+((P85-8)/74)*(1-0.35)</f>
        <v>0.639864864864865</v>
      </c>
      <c r="R85" s="10" t="n">
        <f aca="false">Q85*L85</f>
        <v>1.47168918918919</v>
      </c>
      <c r="S85" s="10" t="n">
        <f aca="false">J85-R85</f>
        <v>-1.07168918918919</v>
      </c>
      <c r="T85" s="10" t="n">
        <f aca="false">MIN(138.9,(T84+S85))</f>
        <v>72.5714864864865</v>
      </c>
      <c r="V85" s="7" t="n">
        <v>1239.5</v>
      </c>
      <c r="X85" s="7" t="n">
        <f aca="false">X84+V85</f>
        <v>42961.8</v>
      </c>
      <c r="AA85" s="7" t="n">
        <v>10.6869457343384</v>
      </c>
    </row>
    <row r="86" s="7" customFormat="true" ht="15" hidden="false" customHeight="false" outlineLevel="0" collapsed="false">
      <c r="A86" s="12"/>
      <c r="B86" s="13"/>
      <c r="C86" s="8" t="n">
        <v>41932</v>
      </c>
      <c r="D86" s="7" t="n">
        <v>15</v>
      </c>
      <c r="E86" s="7" t="n">
        <v>12.2</v>
      </c>
      <c r="F86" s="7" t="n">
        <v>19.2</v>
      </c>
      <c r="G86" s="7" t="n">
        <f aca="false">G85+D86</f>
        <v>649.2</v>
      </c>
      <c r="J86" s="7" t="n">
        <v>0.5</v>
      </c>
      <c r="K86" s="7" t="n">
        <f aca="false">K85+J86</f>
        <v>97.7</v>
      </c>
      <c r="L86" s="7" t="n">
        <v>0.9</v>
      </c>
      <c r="M86" s="7" t="n">
        <f aca="false">M85+L86</f>
        <v>83.6</v>
      </c>
      <c r="N86" s="9" t="n">
        <v>-0.4</v>
      </c>
      <c r="O86" s="7" t="n">
        <f aca="false">O85+N86</f>
        <v>63.4</v>
      </c>
      <c r="P86" s="7" t="n">
        <v>42</v>
      </c>
      <c r="Q86" s="7" t="n">
        <f aca="false">0.35+((P86-8)/74)*(1-0.35)</f>
        <v>0.648648648648649</v>
      </c>
      <c r="R86" s="10" t="n">
        <f aca="false">Q86*L86</f>
        <v>0.583783783783784</v>
      </c>
      <c r="S86" s="10" t="n">
        <f aca="false">J86-R86</f>
        <v>-0.0837837837837838</v>
      </c>
      <c r="T86" s="10" t="n">
        <f aca="false">MIN(138.9,(T85+S86))</f>
        <v>72.4877027027027</v>
      </c>
      <c r="V86" s="7" t="n">
        <v>466.5</v>
      </c>
      <c r="X86" s="7" t="n">
        <f aca="false">X85+V86</f>
        <v>43428.3</v>
      </c>
      <c r="AA86" s="7" t="n">
        <v>10.6323511922853</v>
      </c>
    </row>
    <row r="87" s="7" customFormat="true" ht="15" hidden="false" customHeight="false" outlineLevel="0" collapsed="false">
      <c r="A87" s="12"/>
      <c r="B87" s="13"/>
      <c r="C87" s="8" t="n">
        <v>41933</v>
      </c>
      <c r="D87" s="7" t="n">
        <v>13.8</v>
      </c>
      <c r="E87" s="7" t="n">
        <v>11.7</v>
      </c>
      <c r="F87" s="7" t="n">
        <v>18.6</v>
      </c>
      <c r="G87" s="7" t="n">
        <f aca="false">G86+D87</f>
        <v>663</v>
      </c>
      <c r="J87" s="7" t="n">
        <v>0.3</v>
      </c>
      <c r="K87" s="7" t="n">
        <f aca="false">K86+J87</f>
        <v>98</v>
      </c>
      <c r="L87" s="7" t="n">
        <v>1.7</v>
      </c>
      <c r="M87" s="7" t="n">
        <f aca="false">M86+L87</f>
        <v>85.3</v>
      </c>
      <c r="N87" s="9" t="n">
        <v>-1.4</v>
      </c>
      <c r="O87" s="7" t="n">
        <f aca="false">O86+N87</f>
        <v>62</v>
      </c>
      <c r="P87" s="7" t="n">
        <v>43</v>
      </c>
      <c r="Q87" s="7" t="n">
        <f aca="false">0.35+((P87-8)/74)*(1-0.35)</f>
        <v>0.657432432432432</v>
      </c>
      <c r="R87" s="10" t="n">
        <f aca="false">Q87*L87</f>
        <v>1.11763513513514</v>
      </c>
      <c r="S87" s="10" t="n">
        <f aca="false">J87-R87</f>
        <v>-0.817635135135135</v>
      </c>
      <c r="T87" s="10" t="n">
        <f aca="false">MIN(138.9,(T86+S87))</f>
        <v>71.6700675675676</v>
      </c>
      <c r="V87" s="7" t="n">
        <v>328.4</v>
      </c>
      <c r="X87" s="7" t="n">
        <f aca="false">X86+V87</f>
        <v>43756.7</v>
      </c>
      <c r="AA87" s="7" t="n">
        <v>10.5779563865796</v>
      </c>
    </row>
    <row r="88" s="7" customFormat="true" ht="15" hidden="false" customHeight="false" outlineLevel="0" collapsed="false">
      <c r="A88" s="12"/>
      <c r="B88" s="13"/>
      <c r="C88" s="8" t="n">
        <v>41934</v>
      </c>
      <c r="D88" s="7" t="n">
        <v>9.7</v>
      </c>
      <c r="E88" s="7" t="n">
        <v>6.5</v>
      </c>
      <c r="F88" s="7" t="n">
        <v>14</v>
      </c>
      <c r="G88" s="7" t="n">
        <f aca="false">G87+D88</f>
        <v>672.7</v>
      </c>
      <c r="J88" s="7" t="n">
        <v>0</v>
      </c>
      <c r="K88" s="7" t="n">
        <f aca="false">K87+J88</f>
        <v>98</v>
      </c>
      <c r="L88" s="7" t="n">
        <v>1.2</v>
      </c>
      <c r="M88" s="7" t="n">
        <f aca="false">M87+L88</f>
        <v>86.5</v>
      </c>
      <c r="N88" s="9" t="n">
        <v>-1.2</v>
      </c>
      <c r="O88" s="7" t="n">
        <f aca="false">O87+N88</f>
        <v>60.8</v>
      </c>
      <c r="P88" s="7" t="n">
        <v>44</v>
      </c>
      <c r="Q88" s="7" t="n">
        <f aca="false">0.35+((P88-8)/74)*(1-0.35)</f>
        <v>0.666216216216216</v>
      </c>
      <c r="R88" s="10" t="n">
        <f aca="false">Q88*L88</f>
        <v>0.799459459459459</v>
      </c>
      <c r="S88" s="10" t="n">
        <f aca="false">J88-R88</f>
        <v>-0.799459459459459</v>
      </c>
      <c r="T88" s="10" t="n">
        <f aca="false">MIN(138.9,(T87+S88))</f>
        <v>70.8706081081081</v>
      </c>
      <c r="V88" s="7" t="n">
        <v>568.1</v>
      </c>
      <c r="X88" s="7" t="n">
        <f aca="false">X87+V88</f>
        <v>44324.8</v>
      </c>
      <c r="AA88" s="7" t="n">
        <v>10.5237739669244</v>
      </c>
    </row>
    <row r="89" s="7" customFormat="true" ht="15" hidden="false" customHeight="false" outlineLevel="0" collapsed="false">
      <c r="A89" s="12"/>
      <c r="B89" s="13"/>
      <c r="C89" s="8" t="n">
        <v>41935</v>
      </c>
      <c r="D89" s="7" t="n">
        <v>10.6</v>
      </c>
      <c r="E89" s="7" t="n">
        <v>6.2</v>
      </c>
      <c r="F89" s="7" t="n">
        <v>13.8</v>
      </c>
      <c r="G89" s="7" t="n">
        <f aca="false">G88+D89</f>
        <v>683.3</v>
      </c>
      <c r="J89" s="7" t="n">
        <v>0</v>
      </c>
      <c r="K89" s="7" t="n">
        <f aca="false">K88+J89</f>
        <v>98</v>
      </c>
      <c r="L89" s="7" t="n">
        <v>0.7</v>
      </c>
      <c r="M89" s="7" t="n">
        <f aca="false">M88+L89</f>
        <v>87.2</v>
      </c>
      <c r="N89" s="9" t="n">
        <v>-0.7</v>
      </c>
      <c r="O89" s="7" t="n">
        <f aca="false">O88+N89</f>
        <v>60.1</v>
      </c>
      <c r="P89" s="7" t="n">
        <v>45</v>
      </c>
      <c r="Q89" s="7" t="n">
        <f aca="false">0.35+((P89-8)/74)*(1-0.35)</f>
        <v>0.675</v>
      </c>
      <c r="R89" s="10" t="n">
        <f aca="false">Q89*L89</f>
        <v>0.4725</v>
      </c>
      <c r="S89" s="10" t="n">
        <f aca="false">J89-R89</f>
        <v>-0.4725</v>
      </c>
      <c r="T89" s="10" t="n">
        <f aca="false">MIN(138.9,(T88+S89))</f>
        <v>70.3981081081081</v>
      </c>
      <c r="V89" s="7" t="n">
        <v>269.5</v>
      </c>
      <c r="X89" s="7" t="n">
        <f aca="false">X88+V89</f>
        <v>44594.3</v>
      </c>
      <c r="AA89" s="7" t="n">
        <v>10.4698170859131</v>
      </c>
    </row>
    <row r="90" s="7" customFormat="true" ht="15" hidden="false" customHeight="false" outlineLevel="0" collapsed="false">
      <c r="A90" s="12"/>
      <c r="B90" s="13"/>
      <c r="C90" s="8" t="n">
        <v>41936</v>
      </c>
      <c r="D90" s="7" t="n">
        <v>12.5</v>
      </c>
      <c r="E90" s="7" t="n">
        <v>10.8</v>
      </c>
      <c r="F90" s="7" t="n">
        <v>15.9</v>
      </c>
      <c r="G90" s="7" t="n">
        <f aca="false">G89+D90</f>
        <v>695.8</v>
      </c>
      <c r="J90" s="7" t="n">
        <v>0</v>
      </c>
      <c r="K90" s="7" t="n">
        <f aca="false">K89+J90</f>
        <v>98</v>
      </c>
      <c r="L90" s="7" t="n">
        <v>0.9</v>
      </c>
      <c r="M90" s="7" t="n">
        <f aca="false">M89+L90</f>
        <v>88.1</v>
      </c>
      <c r="N90" s="9" t="n">
        <v>-0.9</v>
      </c>
      <c r="O90" s="7" t="n">
        <f aca="false">O89+N90</f>
        <v>59.2</v>
      </c>
      <c r="P90" s="7" t="n">
        <v>46</v>
      </c>
      <c r="Q90" s="7" t="n">
        <f aca="false">0.35+((P90-8)/74)*(1-0.35)</f>
        <v>0.683783783783784</v>
      </c>
      <c r="R90" s="10" t="n">
        <f aca="false">Q90*L90</f>
        <v>0.615405405405405</v>
      </c>
      <c r="S90" s="10" t="n">
        <f aca="false">J90-R90</f>
        <v>-0.615405405405405</v>
      </c>
      <c r="T90" s="10" t="n">
        <f aca="false">MIN(138.9,(T89+S90))</f>
        <v>69.7827027027027</v>
      </c>
      <c r="V90" s="7" t="n">
        <v>163.9</v>
      </c>
      <c r="X90" s="7" t="n">
        <f aca="false">X89+V90</f>
        <v>44758.2</v>
      </c>
      <c r="AA90" s="7" t="n">
        <v>10.4160994140073</v>
      </c>
    </row>
    <row r="91" s="7" customFormat="true" ht="15" hidden="false" customHeight="false" outlineLevel="0" collapsed="false">
      <c r="A91" s="12"/>
      <c r="B91" s="13"/>
      <c r="C91" s="8" t="n">
        <v>41937</v>
      </c>
      <c r="D91" s="7" t="n">
        <v>13.2</v>
      </c>
      <c r="E91" s="7" t="n">
        <v>11.3</v>
      </c>
      <c r="F91" s="7" t="n">
        <v>15.4</v>
      </c>
      <c r="G91" s="7" t="n">
        <f aca="false">G90+D91</f>
        <v>709</v>
      </c>
      <c r="J91" s="7" t="n">
        <v>1.1</v>
      </c>
      <c r="K91" s="7" t="n">
        <f aca="false">K90+J91</f>
        <v>99.1</v>
      </c>
      <c r="L91" s="7" t="n">
        <v>0.3</v>
      </c>
      <c r="M91" s="7" t="n">
        <f aca="false">M90+L91</f>
        <v>88.4</v>
      </c>
      <c r="N91" s="7" t="n">
        <v>0.8</v>
      </c>
      <c r="O91" s="7" t="n">
        <f aca="false">O90+N91</f>
        <v>60</v>
      </c>
      <c r="P91" s="7" t="n">
        <v>47</v>
      </c>
      <c r="Q91" s="7" t="n">
        <f aca="false">0.35+((P91-8)/74)*(1-0.35)</f>
        <v>0.692567567567568</v>
      </c>
      <c r="R91" s="10" t="n">
        <f aca="false">Q91*L91</f>
        <v>0.20777027027027</v>
      </c>
      <c r="S91" s="10" t="n">
        <f aca="false">J91-R91</f>
        <v>0.89222972972973</v>
      </c>
      <c r="T91" s="10" t="n">
        <f aca="false">MIN(138.9,(T90+S91))</f>
        <v>70.6749324324324</v>
      </c>
      <c r="V91" s="7" t="n">
        <v>255.4</v>
      </c>
      <c r="X91" s="7" t="n">
        <f aca="false">X90+V91</f>
        <v>45013.6</v>
      </c>
      <c r="AA91" s="7" t="n">
        <v>10.3626351539167</v>
      </c>
    </row>
    <row r="92" s="7" customFormat="true" ht="15" hidden="false" customHeight="false" outlineLevel="0" collapsed="false">
      <c r="A92" s="12"/>
      <c r="B92" s="13"/>
      <c r="C92" s="8" t="n">
        <v>41938</v>
      </c>
      <c r="D92" s="7" t="n">
        <v>12.8</v>
      </c>
      <c r="E92" s="7" t="n">
        <v>11.7</v>
      </c>
      <c r="F92" s="7" t="n">
        <v>17.3</v>
      </c>
      <c r="G92" s="7" t="n">
        <f aca="false">G91+D92</f>
        <v>721.8</v>
      </c>
      <c r="J92" s="7" t="n">
        <v>0.1</v>
      </c>
      <c r="K92" s="7" t="n">
        <f aca="false">K91+J92</f>
        <v>99.2</v>
      </c>
      <c r="L92" s="7" t="n">
        <v>1.2</v>
      </c>
      <c r="M92" s="7" t="n">
        <f aca="false">M91+L92</f>
        <v>89.6</v>
      </c>
      <c r="N92" s="9" t="n">
        <v>-1.1</v>
      </c>
      <c r="O92" s="7" t="n">
        <f aca="false">O91+N92</f>
        <v>58.9</v>
      </c>
      <c r="P92" s="7" t="n">
        <v>48</v>
      </c>
      <c r="Q92" s="7" t="n">
        <f aca="false">0.35+((P92-8)/74)*(1-0.35)</f>
        <v>0.701351351351351</v>
      </c>
      <c r="R92" s="10" t="n">
        <f aca="false">Q92*L92</f>
        <v>0.841621621621622</v>
      </c>
      <c r="S92" s="10" t="n">
        <f aca="false">J92-R92</f>
        <v>-0.741621621621622</v>
      </c>
      <c r="T92" s="10" t="n">
        <f aca="false">MIN(138.9,(T91+S92))</f>
        <v>69.9333108108108</v>
      </c>
      <c r="V92" s="7" t="n">
        <v>693.8</v>
      </c>
      <c r="X92" s="7" t="n">
        <f aca="false">X91+V92</f>
        <v>45707.4</v>
      </c>
      <c r="AA92" s="7" t="n">
        <v>10.3094390542955</v>
      </c>
    </row>
    <row r="93" s="7" customFormat="true" ht="15" hidden="false" customHeight="false" outlineLevel="0" collapsed="false">
      <c r="A93" s="12"/>
      <c r="B93" s="13"/>
      <c r="C93" s="8" t="n">
        <v>41939</v>
      </c>
      <c r="D93" s="7" t="n">
        <v>10.3</v>
      </c>
      <c r="E93" s="7" t="n">
        <v>6.6</v>
      </c>
      <c r="F93" s="7" t="n">
        <v>13.9</v>
      </c>
      <c r="G93" s="7" t="n">
        <f aca="false">G92+D93</f>
        <v>732.1</v>
      </c>
      <c r="J93" s="7" t="n">
        <v>0.1</v>
      </c>
      <c r="K93" s="7" t="n">
        <f aca="false">K92+J93</f>
        <v>99.3</v>
      </c>
      <c r="L93" s="7" t="n">
        <v>1</v>
      </c>
      <c r="M93" s="7" t="n">
        <f aca="false">M92+L93</f>
        <v>90.6</v>
      </c>
      <c r="N93" s="9" t="n">
        <v>-0.9</v>
      </c>
      <c r="O93" s="7" t="n">
        <f aca="false">O92+N93</f>
        <v>58</v>
      </c>
      <c r="P93" s="7" t="n">
        <v>49</v>
      </c>
      <c r="Q93" s="7" t="n">
        <f aca="false">0.35+((P93-8)/74)*(1-0.35)</f>
        <v>0.710135135135135</v>
      </c>
      <c r="R93" s="10" t="n">
        <f aca="false">Q93*L93</f>
        <v>0.710135135135135</v>
      </c>
      <c r="S93" s="10" t="n">
        <f aca="false">J93-R93</f>
        <v>-0.610135135135135</v>
      </c>
      <c r="T93" s="10" t="n">
        <f aca="false">MIN(138.9,(T92+S93))</f>
        <v>69.3231756756757</v>
      </c>
      <c r="V93" s="7" t="n">
        <v>703.7</v>
      </c>
      <c r="X93" s="7" t="n">
        <f aca="false">X92+V93</f>
        <v>46411.1</v>
      </c>
      <c r="AA93" s="7" t="n">
        <v>10.2565264226662</v>
      </c>
    </row>
    <row r="94" s="7" customFormat="true" ht="15" hidden="false" customHeight="false" outlineLevel="0" collapsed="false">
      <c r="A94" s="12"/>
      <c r="B94" s="13"/>
      <c r="C94" s="8" t="n">
        <v>41940</v>
      </c>
      <c r="D94" s="7" t="n">
        <v>10.7</v>
      </c>
      <c r="E94" s="7" t="n">
        <v>9.7</v>
      </c>
      <c r="F94" s="7" t="n">
        <v>14</v>
      </c>
      <c r="G94" s="7" t="n">
        <f aca="false">G93+D94</f>
        <v>742.8</v>
      </c>
      <c r="J94" s="7" t="n">
        <v>0.2</v>
      </c>
      <c r="K94" s="7" t="n">
        <f aca="false">K93+J94</f>
        <v>99.5</v>
      </c>
      <c r="L94" s="7" t="n">
        <v>1.1</v>
      </c>
      <c r="M94" s="7" t="n">
        <f aca="false">M93+L94</f>
        <v>91.7</v>
      </c>
      <c r="N94" s="9" t="n">
        <v>-0.9</v>
      </c>
      <c r="O94" s="7" t="n">
        <f aca="false">O93+N94</f>
        <v>57.1</v>
      </c>
      <c r="P94" s="7" t="n">
        <v>50</v>
      </c>
      <c r="Q94" s="7" t="n">
        <f aca="false">0.35+((P94-8)/74)*(1-0.35)</f>
        <v>0.718918918918919</v>
      </c>
      <c r="R94" s="10" t="n">
        <f aca="false">Q94*L94</f>
        <v>0.790810810810811</v>
      </c>
      <c r="S94" s="10" t="n">
        <f aca="false">J94-R94</f>
        <v>-0.590810810810811</v>
      </c>
      <c r="T94" s="10" t="n">
        <f aca="false">MIN(138.9,(T93+S94))</f>
        <v>68.7323648648649</v>
      </c>
      <c r="V94" s="7" t="n">
        <v>708.6</v>
      </c>
      <c r="X94" s="7" t="n">
        <f aca="false">X93+V94</f>
        <v>47119.7</v>
      </c>
      <c r="AA94" s="7" t="n">
        <v>10.2039131374726</v>
      </c>
    </row>
    <row r="95" s="7" customFormat="true" ht="15" hidden="false" customHeight="false" outlineLevel="0" collapsed="false">
      <c r="A95" s="12"/>
      <c r="B95" s="13"/>
      <c r="C95" s="8" t="n">
        <v>41941</v>
      </c>
      <c r="D95" s="7" t="n">
        <v>10.9</v>
      </c>
      <c r="E95" s="7" t="n">
        <v>4.2</v>
      </c>
      <c r="F95" s="7" t="n">
        <v>17.8</v>
      </c>
      <c r="G95" s="7" t="n">
        <f aca="false">G94+D95</f>
        <v>753.7</v>
      </c>
      <c r="J95" s="7" t="n">
        <v>0.2</v>
      </c>
      <c r="K95" s="7" t="n">
        <f aca="false">K94+J95</f>
        <v>99.7</v>
      </c>
      <c r="L95" s="7" t="n">
        <v>1.5</v>
      </c>
      <c r="M95" s="7" t="n">
        <f aca="false">M94+L95</f>
        <v>93.2</v>
      </c>
      <c r="N95" s="9" t="n">
        <v>-1.3</v>
      </c>
      <c r="O95" s="7" t="n">
        <f aca="false">O94+N95</f>
        <v>55.8</v>
      </c>
      <c r="P95" s="7" t="n">
        <v>51</v>
      </c>
      <c r="Q95" s="7" t="n">
        <f aca="false">0.35+((P95-8)/74)*(1-0.35)</f>
        <v>0.727702702702703</v>
      </c>
      <c r="R95" s="10" t="n">
        <f aca="false">Q95*L95</f>
        <v>1.09155405405405</v>
      </c>
      <c r="S95" s="10" t="n">
        <f aca="false">J95-R95</f>
        <v>-0.891554054054054</v>
      </c>
      <c r="T95" s="10" t="n">
        <f aca="false">MIN(138.9,(T94+S95))</f>
        <v>67.8408108108108</v>
      </c>
      <c r="V95" s="7" t="n">
        <v>898.3</v>
      </c>
      <c r="X95" s="7" t="n">
        <f aca="false">X94+V95</f>
        <v>48018</v>
      </c>
      <c r="AA95" s="7" t="n">
        <v>10.1516156591596</v>
      </c>
    </row>
    <row r="96" s="7" customFormat="true" ht="15" hidden="false" customHeight="false" outlineLevel="0" collapsed="false">
      <c r="A96" s="12"/>
      <c r="B96" s="13"/>
      <c r="C96" s="8" t="n">
        <v>41942</v>
      </c>
      <c r="D96" s="7" t="n">
        <v>13</v>
      </c>
      <c r="E96" s="7" t="n">
        <v>8.3</v>
      </c>
      <c r="F96" s="7" t="n">
        <v>19</v>
      </c>
      <c r="G96" s="7" t="n">
        <f aca="false">G95+D96</f>
        <v>766.7</v>
      </c>
      <c r="J96" s="7" t="n">
        <v>0.1</v>
      </c>
      <c r="K96" s="7" t="n">
        <f aca="false">K95+J96</f>
        <v>99.8</v>
      </c>
      <c r="L96" s="7" t="n">
        <v>1.2</v>
      </c>
      <c r="M96" s="7" t="n">
        <f aca="false">M95+L96</f>
        <v>94.4</v>
      </c>
      <c r="N96" s="9" t="n">
        <v>-1.1</v>
      </c>
      <c r="O96" s="7" t="n">
        <f aca="false">O95+N96</f>
        <v>54.7</v>
      </c>
      <c r="P96" s="7" t="n">
        <v>52</v>
      </c>
      <c r="Q96" s="7" t="n">
        <f aca="false">0.35+((P96-8)/74)*(1-0.35)</f>
        <v>0.736486486486487</v>
      </c>
      <c r="R96" s="10" t="n">
        <f aca="false">Q96*L96</f>
        <v>0.883783783783784</v>
      </c>
      <c r="S96" s="10" t="n">
        <f aca="false">J96-R96</f>
        <v>-0.783783783783784</v>
      </c>
      <c r="T96" s="10" t="n">
        <f aca="false">MIN(138.9,(T95+S96))</f>
        <v>67.057027027027</v>
      </c>
      <c r="V96" s="7" t="n">
        <v>498.5</v>
      </c>
      <c r="X96" s="7" t="n">
        <f aca="false">X95+V96</f>
        <v>48516.5</v>
      </c>
      <c r="AA96" s="7" t="n">
        <v>10.0996510401721</v>
      </c>
    </row>
    <row r="97" s="7" customFormat="true" ht="15" hidden="false" customHeight="false" outlineLevel="0" collapsed="false">
      <c r="A97" s="12"/>
      <c r="B97" s="13"/>
      <c r="C97" s="8" t="n">
        <v>41943</v>
      </c>
      <c r="D97" s="7" t="n">
        <v>14.2</v>
      </c>
      <c r="E97" s="7" t="n">
        <v>8.4</v>
      </c>
      <c r="F97" s="7" t="n">
        <v>21.9</v>
      </c>
      <c r="G97" s="7" t="n">
        <f aca="false">G96+D97</f>
        <v>780.9</v>
      </c>
      <c r="J97" s="7" t="n">
        <v>0.1</v>
      </c>
      <c r="K97" s="7" t="n">
        <f aca="false">K96+J97</f>
        <v>99.9</v>
      </c>
      <c r="L97" s="7" t="n">
        <v>2.1</v>
      </c>
      <c r="M97" s="7" t="n">
        <f aca="false">M96+L97</f>
        <v>96.5</v>
      </c>
      <c r="N97" s="9" t="n">
        <v>-2</v>
      </c>
      <c r="O97" s="7" t="n">
        <f aca="false">O96+N97</f>
        <v>52.7</v>
      </c>
      <c r="P97" s="7" t="n">
        <v>53</v>
      </c>
      <c r="Q97" s="7" t="n">
        <f aca="false">0.35+((P97-8)/74)*(1-0.35)</f>
        <v>0.74527027027027</v>
      </c>
      <c r="R97" s="10" t="n">
        <f aca="false">Q97*L97</f>
        <v>1.56506756756757</v>
      </c>
      <c r="S97" s="10" t="n">
        <f aca="false">J97-R97</f>
        <v>-1.46506756756757</v>
      </c>
      <c r="T97" s="10" t="n">
        <f aca="false">MIN(138.9,(T96+S97))</f>
        <v>65.5919594594595</v>
      </c>
      <c r="V97" s="7" t="n">
        <v>973.5</v>
      </c>
      <c r="X97" s="7" t="n">
        <f aca="false">X96+V97</f>
        <v>49490</v>
      </c>
      <c r="AA97" s="7" t="n">
        <v>10.0480369337559</v>
      </c>
    </row>
    <row r="98" s="7" customFormat="true" ht="15" hidden="false" customHeight="false" outlineLevel="0" collapsed="false">
      <c r="A98" s="12"/>
      <c r="B98" s="13"/>
      <c r="C98" s="8" t="n">
        <v>41944</v>
      </c>
      <c r="D98" s="7" t="n">
        <v>13.9</v>
      </c>
      <c r="E98" s="7" t="n">
        <v>9.2</v>
      </c>
      <c r="F98" s="7" t="n">
        <v>18.8</v>
      </c>
      <c r="G98" s="7" t="n">
        <f aca="false">G97+D98</f>
        <v>794.8</v>
      </c>
      <c r="J98" s="7" t="n">
        <v>0</v>
      </c>
      <c r="K98" s="7" t="n">
        <f aca="false">K97+J98</f>
        <v>99.9</v>
      </c>
      <c r="L98" s="7" t="n">
        <v>1.7</v>
      </c>
      <c r="M98" s="7" t="n">
        <f aca="false">M97+L98</f>
        <v>98.2</v>
      </c>
      <c r="N98" s="9" t="n">
        <v>-1.7</v>
      </c>
      <c r="O98" s="7" t="n">
        <f aca="false">O97+N98</f>
        <v>51</v>
      </c>
      <c r="P98" s="7" t="n">
        <v>54</v>
      </c>
      <c r="Q98" s="7" t="n">
        <f aca="false">0.35+((P98-8)/74)*(1-0.35)</f>
        <v>0.754054054054054</v>
      </c>
      <c r="R98" s="10" t="n">
        <f aca="false">Q98*L98</f>
        <v>1.28189189189189</v>
      </c>
      <c r="S98" s="10" t="n">
        <f aca="false">J98-R98</f>
        <v>-1.28189189189189</v>
      </c>
      <c r="T98" s="10" t="n">
        <f aca="false">MIN(138.9,(T97+S98))</f>
        <v>64.3100675675676</v>
      </c>
      <c r="V98" s="7" t="n">
        <v>1002.3</v>
      </c>
      <c r="X98" s="7" t="n">
        <f aca="false">X97+V98</f>
        <v>50492.3</v>
      </c>
      <c r="AA98" s="7" t="n">
        <v>9.99679160144174</v>
      </c>
    </row>
    <row r="99" s="7" customFormat="true" ht="15" hidden="false" customHeight="false" outlineLevel="0" collapsed="false">
      <c r="A99" s="12"/>
      <c r="B99" s="13"/>
      <c r="C99" s="8" t="n">
        <v>41945</v>
      </c>
      <c r="D99" s="7" t="n">
        <v>13.9</v>
      </c>
      <c r="E99" s="7" t="n">
        <v>11.5</v>
      </c>
      <c r="F99" s="7" t="n">
        <v>16</v>
      </c>
      <c r="G99" s="7" t="n">
        <f aca="false">G98+D99</f>
        <v>808.7</v>
      </c>
      <c r="J99" s="7" t="n">
        <v>1.6</v>
      </c>
      <c r="K99" s="7" t="n">
        <f aca="false">K98+J99</f>
        <v>101.5</v>
      </c>
      <c r="L99" s="7" t="n">
        <v>0.5</v>
      </c>
      <c r="M99" s="7" t="n">
        <f aca="false">M98+L99</f>
        <v>98.7</v>
      </c>
      <c r="N99" s="7" t="n">
        <v>1.1</v>
      </c>
      <c r="O99" s="7" t="n">
        <f aca="false">O98+N99</f>
        <v>52.1</v>
      </c>
      <c r="P99" s="7" t="n">
        <v>55</v>
      </c>
      <c r="Q99" s="7" t="n">
        <f aca="false">0.35+((P99-8)/74)*(1-0.35)</f>
        <v>0.762837837837838</v>
      </c>
      <c r="R99" s="10" t="n">
        <f aca="false">Q99*L99</f>
        <v>0.381418918918919</v>
      </c>
      <c r="S99" s="10" t="n">
        <f aca="false">J99-R99</f>
        <v>1.21858108108108</v>
      </c>
      <c r="T99" s="10" t="n">
        <f aca="false">MIN(138.9,(T98+S99))</f>
        <v>65.5286486486487</v>
      </c>
      <c r="V99" s="7" t="n">
        <v>348.5</v>
      </c>
      <c r="X99" s="7" t="n">
        <f aca="false">X98+V99</f>
        <v>50840.8</v>
      </c>
      <c r="AA99" s="7" t="n">
        <v>9.94593391908566</v>
      </c>
    </row>
    <row r="100" s="7" customFormat="true" ht="15" hidden="false" customHeight="false" outlineLevel="0" collapsed="false">
      <c r="A100" s="12"/>
      <c r="B100" s="13"/>
      <c r="C100" s="8" t="n">
        <v>41946</v>
      </c>
      <c r="D100" s="7" t="n">
        <v>12.3</v>
      </c>
      <c r="E100" s="7" t="n">
        <v>11.6</v>
      </c>
      <c r="F100" s="7" t="n">
        <v>14.5</v>
      </c>
      <c r="G100" s="7" t="n">
        <f aca="false">G99+D100</f>
        <v>821</v>
      </c>
      <c r="J100" s="7" t="n">
        <v>16.3</v>
      </c>
      <c r="K100" s="7" t="n">
        <f aca="false">K99+J100</f>
        <v>117.8</v>
      </c>
      <c r="L100" s="7" t="n">
        <v>1</v>
      </c>
      <c r="M100" s="7" t="n">
        <f aca="false">M99+L100</f>
        <v>99.7</v>
      </c>
      <c r="N100" s="7" t="n">
        <v>15.3</v>
      </c>
      <c r="O100" s="7" t="n">
        <f aca="false">O99+N100</f>
        <v>67.4</v>
      </c>
      <c r="P100" s="7" t="n">
        <v>56</v>
      </c>
      <c r="Q100" s="7" t="n">
        <f aca="false">0.35+((P100-8)/74)*(1-0.35)</f>
        <v>0.771621621621622</v>
      </c>
      <c r="R100" s="10" t="n">
        <f aca="false">Q100*L100</f>
        <v>0.771621621621622</v>
      </c>
      <c r="S100" s="10" t="n">
        <f aca="false">J100-R100</f>
        <v>15.5283783783784</v>
      </c>
      <c r="T100" s="10" t="n">
        <f aca="false">MIN(138.9,(T99+S100))</f>
        <v>81.057027027027</v>
      </c>
      <c r="V100" s="7" t="n">
        <v>224.5</v>
      </c>
      <c r="X100" s="7" t="n">
        <f aca="false">X99+V100</f>
        <v>51065.3</v>
      </c>
      <c r="AA100" s="7" t="n">
        <v>9.89548338133397</v>
      </c>
    </row>
    <row r="101" s="7" customFormat="true" ht="15" hidden="false" customHeight="false" outlineLevel="0" collapsed="false">
      <c r="A101" s="12"/>
      <c r="B101" s="13"/>
      <c r="C101" s="8" t="n">
        <v>41947</v>
      </c>
      <c r="D101" s="7" t="n">
        <v>8.8</v>
      </c>
      <c r="E101" s="7" t="n">
        <v>8.3</v>
      </c>
      <c r="F101" s="7" t="n">
        <v>11.9</v>
      </c>
      <c r="G101" s="7" t="n">
        <f aca="false">G100+D101</f>
        <v>829.8</v>
      </c>
      <c r="J101" s="7" t="n">
        <v>0.1</v>
      </c>
      <c r="K101" s="7" t="n">
        <f aca="false">K100+J101</f>
        <v>117.9</v>
      </c>
      <c r="L101" s="7" t="n">
        <v>1</v>
      </c>
      <c r="M101" s="7" t="n">
        <f aca="false">M100+L101</f>
        <v>100.7</v>
      </c>
      <c r="N101" s="9" t="n">
        <v>-0.9</v>
      </c>
      <c r="O101" s="7" t="n">
        <f aca="false">O100+N101</f>
        <v>66.5</v>
      </c>
      <c r="P101" s="7" t="n">
        <v>57</v>
      </c>
      <c r="Q101" s="7" t="n">
        <f aca="false">0.35+((P101-8)/74)*(1-0.35)</f>
        <v>0.780405405405406</v>
      </c>
      <c r="R101" s="10" t="n">
        <f aca="false">Q101*L101</f>
        <v>0.780405405405406</v>
      </c>
      <c r="S101" s="10" t="n">
        <f aca="false">J101-R101</f>
        <v>-0.680405405405406</v>
      </c>
      <c r="T101" s="10" t="n">
        <f aca="false">MIN(138.9,(T100+S101))</f>
        <v>80.3766216216216</v>
      </c>
      <c r="V101" s="7" t="n">
        <v>747.5</v>
      </c>
      <c r="X101" s="7" t="n">
        <f aca="false">X100+V101</f>
        <v>51812.8</v>
      </c>
      <c r="AA101" s="7" t="n">
        <v>9.84546010437741</v>
      </c>
    </row>
    <row r="102" s="7" customFormat="true" ht="15" hidden="false" customHeight="false" outlineLevel="0" collapsed="false">
      <c r="A102" s="12"/>
      <c r="B102" s="13"/>
      <c r="C102" s="8" t="n">
        <v>41948</v>
      </c>
      <c r="D102" s="7" t="n">
        <v>5.9</v>
      </c>
      <c r="E102" s="7" t="n">
        <v>2.3</v>
      </c>
      <c r="F102" s="7" t="n">
        <v>10.4</v>
      </c>
      <c r="G102" s="7" t="n">
        <f aca="false">G101+D102</f>
        <v>835.7</v>
      </c>
      <c r="J102" s="7" t="n">
        <v>2</v>
      </c>
      <c r="K102" s="7" t="n">
        <f aca="false">K101+J102</f>
        <v>119.9</v>
      </c>
      <c r="L102" s="7" t="n">
        <v>0.8</v>
      </c>
      <c r="M102" s="7" t="n">
        <f aca="false">M101+L102</f>
        <v>101.5</v>
      </c>
      <c r="N102" s="7" t="n">
        <v>1.2</v>
      </c>
      <c r="O102" s="7" t="n">
        <f aca="false">O101+N102</f>
        <v>67.7</v>
      </c>
      <c r="P102" s="7" t="n">
        <v>58</v>
      </c>
      <c r="Q102" s="7" t="n">
        <f aca="false">0.35+((P102-8)/74)*(1-0.35)</f>
        <v>0.789189189189189</v>
      </c>
      <c r="R102" s="10" t="n">
        <f aca="false">Q102*L102</f>
        <v>0.631351351351351</v>
      </c>
      <c r="S102" s="10" t="n">
        <f aca="false">J102-R102</f>
        <v>1.36864864864865</v>
      </c>
      <c r="T102" s="10" t="n">
        <f aca="false">MIN(138.9,(T101+S102))</f>
        <v>81.7452702702703</v>
      </c>
      <c r="V102" s="7" t="n">
        <v>621.2</v>
      </c>
      <c r="X102" s="7" t="n">
        <f aca="false">X101+V102</f>
        <v>52434</v>
      </c>
      <c r="AA102" s="7" t="n">
        <v>9.79588482685372</v>
      </c>
    </row>
    <row r="103" s="7" customFormat="true" ht="15" hidden="false" customHeight="false" outlineLevel="0" collapsed="false">
      <c r="A103" s="12"/>
      <c r="B103" s="13"/>
      <c r="C103" s="8" t="n">
        <v>41949</v>
      </c>
      <c r="D103" s="7" t="n">
        <v>6</v>
      </c>
      <c r="E103" s="7" t="n">
        <v>0.5</v>
      </c>
      <c r="F103" s="7" t="n">
        <v>10.4</v>
      </c>
      <c r="G103" s="7" t="n">
        <f aca="false">G102+D103</f>
        <v>841.7</v>
      </c>
      <c r="J103" s="7" t="n">
        <v>0.6</v>
      </c>
      <c r="K103" s="7" t="n">
        <f aca="false">K102+J103</f>
        <v>120.5</v>
      </c>
      <c r="L103" s="7" t="n">
        <v>0.5</v>
      </c>
      <c r="M103" s="7" t="n">
        <f aca="false">M102+L103</f>
        <v>102</v>
      </c>
      <c r="N103" s="7" t="n">
        <v>0.1</v>
      </c>
      <c r="O103" s="7" t="n">
        <f aca="false">O102+N103</f>
        <v>67.8</v>
      </c>
      <c r="P103" s="7" t="n">
        <v>59</v>
      </c>
      <c r="Q103" s="7" t="n">
        <f aca="false">0.35+((P103-8)/74)*(1-0.35)</f>
        <v>0.797972972972973</v>
      </c>
      <c r="R103" s="10" t="n">
        <f aca="false">Q103*L103</f>
        <v>0.398986486486487</v>
      </c>
      <c r="S103" s="10" t="n">
        <f aca="false">J103-R103</f>
        <v>0.201013513513514</v>
      </c>
      <c r="T103" s="10" t="n">
        <f aca="false">MIN(138.9,(T102+S103))</f>
        <v>81.9462837837838</v>
      </c>
      <c r="V103" s="7" t="n">
        <v>546.8</v>
      </c>
      <c r="X103" s="7" t="n">
        <f aca="false">X102+V103</f>
        <v>52980.8</v>
      </c>
      <c r="AA103" s="7" t="n">
        <v>9.74677890875502</v>
      </c>
    </row>
    <row r="104" s="7" customFormat="true" ht="15" hidden="false" customHeight="false" outlineLevel="0" collapsed="false">
      <c r="A104" s="12"/>
      <c r="B104" s="13"/>
      <c r="C104" s="8" t="n">
        <v>41950</v>
      </c>
      <c r="D104" s="7" t="n">
        <v>10.1</v>
      </c>
      <c r="E104" s="7" t="n">
        <v>7.5</v>
      </c>
      <c r="F104" s="7" t="n">
        <v>14</v>
      </c>
      <c r="G104" s="7" t="n">
        <f aca="false">G103+D104</f>
        <v>851.8</v>
      </c>
      <c r="J104" s="7" t="n">
        <v>0.5</v>
      </c>
      <c r="K104" s="7" t="n">
        <f aca="false">K103+J104</f>
        <v>121</v>
      </c>
      <c r="L104" s="7" t="n">
        <v>1.3</v>
      </c>
      <c r="M104" s="7" t="n">
        <f aca="false">M103+L104</f>
        <v>103.3</v>
      </c>
      <c r="N104" s="9" t="n">
        <v>-0.8</v>
      </c>
      <c r="O104" s="7" t="n">
        <f aca="false">O103+N104</f>
        <v>67</v>
      </c>
      <c r="P104" s="7" t="n">
        <v>60</v>
      </c>
      <c r="Q104" s="7" t="n">
        <f aca="false">0.35+((P104-8)/74)*(1-0.35)</f>
        <v>0.806756756756757</v>
      </c>
      <c r="R104" s="10" t="n">
        <f aca="false">Q104*L104</f>
        <v>1.04878378378378</v>
      </c>
      <c r="S104" s="10" t="n">
        <f aca="false">J104-R104</f>
        <v>-0.548783783783784</v>
      </c>
      <c r="T104" s="10" t="n">
        <f aca="false">MIN(138.9,(T103+S104))</f>
        <v>81.3975</v>
      </c>
      <c r="V104" s="7" t="n">
        <v>392.3</v>
      </c>
      <c r="X104" s="7" t="n">
        <f aca="false">X103+V104</f>
        <v>53373.1</v>
      </c>
      <c r="AA104" s="7" t="n">
        <v>9.69816432819347</v>
      </c>
    </row>
    <row r="105" s="7" customFormat="true" ht="15" hidden="false" customHeight="false" outlineLevel="0" collapsed="false">
      <c r="A105" s="12"/>
      <c r="B105" s="13"/>
      <c r="C105" s="8" t="n">
        <v>41951</v>
      </c>
      <c r="D105" s="7" t="n">
        <v>10.9</v>
      </c>
      <c r="E105" s="7" t="n">
        <v>8</v>
      </c>
      <c r="F105" s="7" t="n">
        <v>14.3</v>
      </c>
      <c r="G105" s="7" t="n">
        <f aca="false">G104+D105</f>
        <v>862.7</v>
      </c>
      <c r="J105" s="7" t="n">
        <v>0.4</v>
      </c>
      <c r="K105" s="7" t="n">
        <f aca="false">K104+J105</f>
        <v>121.4</v>
      </c>
      <c r="L105" s="7" t="n">
        <v>1</v>
      </c>
      <c r="M105" s="7" t="n">
        <f aca="false">M104+L105</f>
        <v>104.3</v>
      </c>
      <c r="N105" s="9" t="n">
        <v>-0.6</v>
      </c>
      <c r="O105" s="7" t="n">
        <f aca="false">O104+N105</f>
        <v>66.4</v>
      </c>
      <c r="P105" s="7" t="n">
        <v>61</v>
      </c>
      <c r="Q105" s="7" t="n">
        <f aca="false">0.35+((P105-8)/74)*(1-0.35)</f>
        <v>0.815540540540541</v>
      </c>
      <c r="R105" s="10" t="n">
        <f aca="false">Q105*L105</f>
        <v>0.815540540540541</v>
      </c>
      <c r="S105" s="10" t="n">
        <f aca="false">J105-R105</f>
        <v>-0.41554054054054</v>
      </c>
      <c r="T105" s="10" t="n">
        <f aca="false">MIN(138.9,(T104+S105))</f>
        <v>80.9819594594595</v>
      </c>
      <c r="V105" s="7" t="n">
        <v>392.6</v>
      </c>
      <c r="X105" s="7" t="n">
        <f aca="false">X104+V105</f>
        <v>53765.7</v>
      </c>
      <c r="AA105" s="7" t="n">
        <v>9.6500636758767</v>
      </c>
    </row>
    <row r="106" s="7" customFormat="true" ht="15" hidden="false" customHeight="false" outlineLevel="0" collapsed="false">
      <c r="A106" s="12"/>
      <c r="B106" s="13"/>
      <c r="C106" s="8" t="n">
        <v>41952</v>
      </c>
      <c r="D106" s="7" t="n">
        <v>9.4</v>
      </c>
      <c r="E106" s="7" t="n">
        <v>8.8</v>
      </c>
      <c r="F106" s="7" t="n">
        <v>11.9</v>
      </c>
      <c r="G106" s="7" t="n">
        <f aca="false">G105+D106</f>
        <v>872.1</v>
      </c>
      <c r="J106" s="7" t="n">
        <v>0</v>
      </c>
      <c r="K106" s="7" t="n">
        <f aca="false">K105+J106</f>
        <v>121.4</v>
      </c>
      <c r="L106" s="7" t="n">
        <v>0.7</v>
      </c>
      <c r="M106" s="7" t="n">
        <f aca="false">M105+L106</f>
        <v>105</v>
      </c>
      <c r="N106" s="9" t="n">
        <v>-0.7</v>
      </c>
      <c r="O106" s="7" t="n">
        <f aca="false">O105+N106</f>
        <v>65.7</v>
      </c>
      <c r="P106" s="7" t="n">
        <v>62</v>
      </c>
      <c r="Q106" s="7" t="n">
        <f aca="false">0.35+((P106-8)/74)*(1-0.35)</f>
        <v>0.824324324324324</v>
      </c>
      <c r="R106" s="10" t="n">
        <f aca="false">Q106*L106</f>
        <v>0.577027027027027</v>
      </c>
      <c r="S106" s="10" t="n">
        <f aca="false">J106-R106</f>
        <v>-0.577027027027027</v>
      </c>
      <c r="T106" s="10" t="n">
        <f aca="false">MIN(138.9,(T105+S106))</f>
        <v>80.4049324324324</v>
      </c>
      <c r="V106" s="7" t="n">
        <v>262.1</v>
      </c>
      <c r="X106" s="7" t="n">
        <f aca="false">X105+V106</f>
        <v>54027.8</v>
      </c>
      <c r="AA106" s="7" t="n">
        <v>9.60250014714407</v>
      </c>
    </row>
    <row r="107" s="7" customFormat="true" ht="15" hidden="false" customHeight="false" outlineLevel="0" collapsed="false">
      <c r="A107" s="12"/>
      <c r="B107" s="13"/>
      <c r="C107" s="8" t="n">
        <v>41953</v>
      </c>
      <c r="D107" s="7" t="n">
        <v>6.7</v>
      </c>
      <c r="E107" s="7" t="n">
        <v>4</v>
      </c>
      <c r="F107" s="7" t="n">
        <v>9.8</v>
      </c>
      <c r="G107" s="7" t="n">
        <f aca="false">G106+D107</f>
        <v>878.8</v>
      </c>
      <c r="J107" s="7" t="n">
        <v>0.1</v>
      </c>
      <c r="K107" s="7" t="n">
        <f aca="false">K106+J107</f>
        <v>121.5</v>
      </c>
      <c r="L107" s="7" t="n">
        <v>0.4</v>
      </c>
      <c r="M107" s="7" t="n">
        <f aca="false">M106+L107</f>
        <v>105.4</v>
      </c>
      <c r="N107" s="9" t="n">
        <v>-0.3</v>
      </c>
      <c r="O107" s="7" t="n">
        <f aca="false">O106+N107</f>
        <v>65.4</v>
      </c>
      <c r="P107" s="7" t="n">
        <v>63</v>
      </c>
      <c r="Q107" s="7" t="n">
        <f aca="false">0.35+((P107-8)/74)*(1-0.35)</f>
        <v>0.833108108108108</v>
      </c>
      <c r="R107" s="10" t="n">
        <f aca="false">Q107*L107</f>
        <v>0.333243243243243</v>
      </c>
      <c r="S107" s="10" t="n">
        <f aca="false">J107-R107</f>
        <v>-0.233243243243243</v>
      </c>
      <c r="T107" s="10" t="n">
        <f aca="false">MIN(138.9,(T106+S107))</f>
        <v>80.1716891891892</v>
      </c>
      <c r="V107" s="7" t="n">
        <v>272.2</v>
      </c>
      <c r="X107" s="7" t="n">
        <f aca="false">X106+V107</f>
        <v>54300</v>
      </c>
      <c r="AA107" s="7" t="n">
        <v>9.55549753141474</v>
      </c>
    </row>
    <row r="108" s="7" customFormat="true" ht="15" hidden="false" customHeight="false" outlineLevel="0" collapsed="false">
      <c r="A108" s="12"/>
      <c r="B108" s="13"/>
      <c r="C108" s="8" t="n">
        <v>41954</v>
      </c>
      <c r="D108" s="7" t="n">
        <v>9.4</v>
      </c>
      <c r="E108" s="7" t="n">
        <v>4.8</v>
      </c>
      <c r="F108" s="7" t="n">
        <v>13.1</v>
      </c>
      <c r="G108" s="7" t="n">
        <f aca="false">G107+D108</f>
        <v>888.2</v>
      </c>
      <c r="J108" s="7" t="n">
        <v>0.7</v>
      </c>
      <c r="K108" s="7" t="n">
        <f aca="false">K107+J108</f>
        <v>122.2</v>
      </c>
      <c r="L108" s="7" t="n">
        <v>0.7</v>
      </c>
      <c r="M108" s="7" t="n">
        <f aca="false">M107+L108</f>
        <v>106.1</v>
      </c>
      <c r="N108" s="9" t="n">
        <v>0</v>
      </c>
      <c r="O108" s="7" t="n">
        <f aca="false">O107+N108</f>
        <v>65.4</v>
      </c>
      <c r="P108" s="7" t="n">
        <v>64</v>
      </c>
      <c r="Q108" s="7" t="n">
        <f aca="false">0.35+((P108-8)/74)*(1-0.35)</f>
        <v>0.841891891891892</v>
      </c>
      <c r="R108" s="10" t="n">
        <f aca="false">Q108*L108</f>
        <v>0.589324324324324</v>
      </c>
      <c r="S108" s="10" t="n">
        <f aca="false">J108-R108</f>
        <v>0.110675675675676</v>
      </c>
      <c r="T108" s="10" t="n">
        <f aca="false">MIN(138.9,(T107+S108))</f>
        <v>80.2823648648649</v>
      </c>
      <c r="V108" s="7" t="n">
        <v>229.6</v>
      </c>
      <c r="X108" s="7" t="n">
        <f aca="false">X107+V108</f>
        <v>54529.6</v>
      </c>
      <c r="AA108" s="7" t="n">
        <v>9.5090801989007</v>
      </c>
    </row>
    <row r="109" s="7" customFormat="true" ht="15" hidden="false" customHeight="false" outlineLevel="0" collapsed="false">
      <c r="A109" s="12"/>
      <c r="B109" s="13"/>
      <c r="C109" s="8" t="n">
        <v>41955</v>
      </c>
      <c r="D109" s="7" t="n">
        <v>10.4</v>
      </c>
      <c r="E109" s="7" t="n">
        <v>8.9</v>
      </c>
      <c r="F109" s="7" t="n">
        <v>14</v>
      </c>
      <c r="G109" s="7" t="n">
        <f aca="false">G108+D109</f>
        <v>898.6</v>
      </c>
      <c r="J109" s="7" t="n">
        <v>0.2</v>
      </c>
      <c r="K109" s="7" t="n">
        <f aca="false">K108+J109</f>
        <v>122.4</v>
      </c>
      <c r="L109" s="7" t="n">
        <v>1.3</v>
      </c>
      <c r="M109" s="7" t="n">
        <f aca="false">M108+L109</f>
        <v>107.4</v>
      </c>
      <c r="N109" s="9" t="n">
        <v>-1.1</v>
      </c>
      <c r="O109" s="7" t="n">
        <f aca="false">O108+N109</f>
        <v>64.3</v>
      </c>
      <c r="P109" s="7" t="n">
        <v>65</v>
      </c>
      <c r="Q109" s="7" t="n">
        <f aca="false">0.35+((P109-8)/74)*(1-0.35)</f>
        <v>0.850675675675676</v>
      </c>
      <c r="R109" s="10" t="n">
        <f aca="false">Q109*L109</f>
        <v>1.10587837837838</v>
      </c>
      <c r="S109" s="10" t="n">
        <f aca="false">J109-R109</f>
        <v>-0.905878378378379</v>
      </c>
      <c r="T109" s="10" t="n">
        <f aca="false">MIN(138.9,(T108+S109))</f>
        <v>79.3764864864865</v>
      </c>
      <c r="V109" s="7" t="n">
        <v>700</v>
      </c>
      <c r="X109" s="7" t="n">
        <f aca="false">X108+V109</f>
        <v>55229.6</v>
      </c>
      <c r="AA109" s="7" t="n">
        <v>9.46327308444079</v>
      </c>
    </row>
    <row r="110" s="7" customFormat="true" ht="15" hidden="false" customHeight="false" outlineLevel="0" collapsed="false">
      <c r="A110" s="12"/>
      <c r="B110" s="13"/>
      <c r="C110" s="8" t="n">
        <v>41956</v>
      </c>
      <c r="D110" s="7" t="n">
        <v>10</v>
      </c>
      <c r="E110" s="7" t="n">
        <v>6</v>
      </c>
      <c r="F110" s="7" t="n">
        <v>13.4</v>
      </c>
      <c r="G110" s="7" t="n">
        <f aca="false">G109+D110</f>
        <v>908.6</v>
      </c>
      <c r="J110" s="7" t="n">
        <v>0</v>
      </c>
      <c r="K110" s="7" t="n">
        <f aca="false">K109+J110</f>
        <v>122.4</v>
      </c>
      <c r="L110" s="7" t="n">
        <v>0.8</v>
      </c>
      <c r="M110" s="7" t="n">
        <f aca="false">M109+L110</f>
        <v>108.2</v>
      </c>
      <c r="N110" s="9" t="n">
        <v>-0.8</v>
      </c>
      <c r="O110" s="7" t="n">
        <f aca="false">O109+N110</f>
        <v>63.5</v>
      </c>
      <c r="P110" s="7" t="n">
        <v>66</v>
      </c>
      <c r="Q110" s="7" t="n">
        <f aca="false">0.35+((P110-8)/74)*(1-0.35)</f>
        <v>0.85945945945946</v>
      </c>
      <c r="R110" s="10" t="n">
        <f aca="false">Q110*L110</f>
        <v>0.687567567567568</v>
      </c>
      <c r="S110" s="10" t="n">
        <f aca="false">J110-R110</f>
        <v>-0.687567567567568</v>
      </c>
      <c r="T110" s="10" t="n">
        <f aca="false">MIN(138.9,(T109+S110))</f>
        <v>78.6889189189189</v>
      </c>
      <c r="V110" s="7" t="n">
        <v>561.8</v>
      </c>
      <c r="X110" s="7" t="n">
        <f aca="false">X109+V110</f>
        <v>55791.4</v>
      </c>
      <c r="AA110" s="7" t="n">
        <v>9.41810166831688</v>
      </c>
    </row>
    <row r="111" s="7" customFormat="true" ht="15" hidden="false" customHeight="false" outlineLevel="0" collapsed="false">
      <c r="A111" s="12"/>
      <c r="B111" s="13"/>
      <c r="C111" s="8" t="n">
        <v>41957</v>
      </c>
      <c r="D111" s="7" t="n">
        <v>10.4</v>
      </c>
      <c r="E111" s="7" t="n">
        <v>9.7</v>
      </c>
      <c r="F111" s="7" t="n">
        <v>11.6</v>
      </c>
      <c r="G111" s="7" t="n">
        <f aca="false">G110+D111</f>
        <v>919</v>
      </c>
      <c r="J111" s="7" t="n">
        <v>4.5</v>
      </c>
      <c r="K111" s="7" t="n">
        <f aca="false">K110+J111</f>
        <v>126.9</v>
      </c>
      <c r="L111" s="7" t="n">
        <v>0.4</v>
      </c>
      <c r="M111" s="7" t="n">
        <f aca="false">M110+L111</f>
        <v>108.6</v>
      </c>
      <c r="N111" s="7" t="n">
        <v>4.1</v>
      </c>
      <c r="O111" s="7" t="n">
        <f aca="false">O110+N111</f>
        <v>67.6</v>
      </c>
      <c r="P111" s="7" t="n">
        <v>67</v>
      </c>
      <c r="Q111" s="7" t="n">
        <f aca="false">0.35+((P111-8)/74)*(1-0.35)</f>
        <v>0.868243243243243</v>
      </c>
      <c r="R111" s="10" t="n">
        <f aca="false">Q111*L111</f>
        <v>0.347297297297297</v>
      </c>
      <c r="S111" s="10" t="n">
        <f aca="false">J111-R111</f>
        <v>4.1527027027027</v>
      </c>
      <c r="T111" s="10" t="n">
        <f aca="false">MIN(138.9,(T110+S111))</f>
        <v>82.8416216216216</v>
      </c>
      <c r="V111" s="7" t="n">
        <v>203.5</v>
      </c>
      <c r="X111" s="7" t="n">
        <f aca="false">X110+V111</f>
        <v>55994.9</v>
      </c>
      <c r="AA111" s="7" t="n">
        <v>9.37359195391953</v>
      </c>
    </row>
    <row r="112" s="7" customFormat="true" ht="15" hidden="false" customHeight="false" outlineLevel="0" collapsed="false">
      <c r="A112" s="12"/>
      <c r="B112" s="13"/>
      <c r="C112" s="8" t="n">
        <v>41958</v>
      </c>
      <c r="D112" s="7" t="n">
        <v>10</v>
      </c>
      <c r="E112" s="7" t="n">
        <v>9.1</v>
      </c>
      <c r="F112" s="7" t="n">
        <v>12.2</v>
      </c>
      <c r="G112" s="7" t="n">
        <f aca="false">G111+D112</f>
        <v>929</v>
      </c>
      <c r="J112" s="7" t="n">
        <v>1</v>
      </c>
      <c r="K112" s="7" t="n">
        <f aca="false">K111+J112</f>
        <v>127.9</v>
      </c>
      <c r="L112" s="7" t="n">
        <v>0.6</v>
      </c>
      <c r="M112" s="7" t="n">
        <f aca="false">M111+L112</f>
        <v>109.2</v>
      </c>
      <c r="N112" s="7" t="n">
        <v>0.4</v>
      </c>
      <c r="O112" s="7" t="n">
        <f aca="false">O111+N112</f>
        <v>68</v>
      </c>
      <c r="P112" s="7" t="n">
        <v>68</v>
      </c>
      <c r="Q112" s="7" t="n">
        <f aca="false">0.35+((P112-8)/74)*(1-0.35)</f>
        <v>0.877027027027027</v>
      </c>
      <c r="R112" s="10" t="n">
        <f aca="false">Q112*L112</f>
        <v>0.526216216216216</v>
      </c>
      <c r="S112" s="10" t="n">
        <f aca="false">J112-R112</f>
        <v>0.473783783783784</v>
      </c>
      <c r="T112" s="10" t="n">
        <f aca="false">MIN(138.9,(T111+S112))</f>
        <v>83.3154054054054</v>
      </c>
      <c r="V112" s="7" t="n">
        <v>201</v>
      </c>
      <c r="X112" s="7" t="n">
        <f aca="false">X111+V112</f>
        <v>56195.9</v>
      </c>
      <c r="AA112" s="7" t="n">
        <v>9.32977044213943</v>
      </c>
    </row>
    <row r="113" s="7" customFormat="true" ht="15" hidden="false" customHeight="false" outlineLevel="0" collapsed="false">
      <c r="A113" s="12"/>
      <c r="B113" s="13"/>
      <c r="C113" s="8" t="n">
        <v>41959</v>
      </c>
      <c r="D113" s="7" t="n">
        <v>8.9</v>
      </c>
      <c r="E113" s="7" t="n">
        <v>8.1</v>
      </c>
      <c r="F113" s="7" t="n">
        <v>10.3</v>
      </c>
      <c r="G113" s="7" t="n">
        <f aca="false">G112+D113</f>
        <v>937.9</v>
      </c>
      <c r="J113" s="7" t="n">
        <v>7.2</v>
      </c>
      <c r="K113" s="7" t="n">
        <f aca="false">K112+J113</f>
        <v>135.1</v>
      </c>
      <c r="L113" s="7" t="n">
        <v>0.6</v>
      </c>
      <c r="M113" s="7" t="n">
        <f aca="false">M112+L113</f>
        <v>109.8</v>
      </c>
      <c r="N113" s="7" t="n">
        <v>6.6</v>
      </c>
      <c r="O113" s="7" t="n">
        <f aca="false">O112+N113</f>
        <v>74.6</v>
      </c>
      <c r="P113" s="7" t="n">
        <v>69</v>
      </c>
      <c r="Q113" s="7" t="n">
        <f aca="false">0.35+((P113-8)/74)*(1-0.35)</f>
        <v>0.885810810810811</v>
      </c>
      <c r="R113" s="10" t="n">
        <f aca="false">Q113*L113</f>
        <v>0.531486486486486</v>
      </c>
      <c r="S113" s="10" t="n">
        <f aca="false">J113-R113</f>
        <v>6.66851351351351</v>
      </c>
      <c r="T113" s="10" t="n">
        <f aca="false">MIN(138.9,(T112+S113))</f>
        <v>89.9839189189189</v>
      </c>
      <c r="V113" s="7" t="n">
        <v>142.3</v>
      </c>
      <c r="X113" s="7" t="n">
        <f aca="false">X112+V113</f>
        <v>56338.2</v>
      </c>
      <c r="AA113" s="7" t="n">
        <v>9.28666410237122</v>
      </c>
    </row>
    <row r="114" s="7" customFormat="true" ht="15" hidden="false" customHeight="false" outlineLevel="0" collapsed="false">
      <c r="A114" s="12"/>
      <c r="B114" s="13"/>
      <c r="C114" s="8" t="n">
        <v>41960</v>
      </c>
      <c r="D114" s="7" t="n">
        <v>8.6</v>
      </c>
      <c r="E114" s="7" t="n">
        <v>8.2</v>
      </c>
      <c r="F114" s="7" t="n">
        <v>9.7</v>
      </c>
      <c r="G114" s="7" t="n">
        <f aca="false">G113+D114</f>
        <v>946.5</v>
      </c>
      <c r="J114" s="7" t="n">
        <v>6.8</v>
      </c>
      <c r="K114" s="7" t="n">
        <f aca="false">K113+J114</f>
        <v>141.9</v>
      </c>
      <c r="L114" s="7" t="n">
        <v>0.3</v>
      </c>
      <c r="M114" s="7" t="n">
        <f aca="false">M113+L114</f>
        <v>110.1</v>
      </c>
      <c r="N114" s="7" t="n">
        <v>6.5</v>
      </c>
      <c r="O114" s="7" t="n">
        <f aca="false">O113+N114</f>
        <v>81.1</v>
      </c>
      <c r="P114" s="7" t="n">
        <v>70</v>
      </c>
      <c r="Q114" s="7" t="n">
        <f aca="false">0.35+((P114-8)/74)*(1-0.35)</f>
        <v>0.894594594594595</v>
      </c>
      <c r="R114" s="10" t="n">
        <f aca="false">Q114*L114</f>
        <v>0.268378378378378</v>
      </c>
      <c r="S114" s="10" t="n">
        <f aca="false">J114-R114</f>
        <v>6.53162162162162</v>
      </c>
      <c r="T114" s="10" t="n">
        <f aca="false">MIN(138.9,(T113+S114))</f>
        <v>96.5155405405405</v>
      </c>
      <c r="V114" s="7" t="n">
        <v>151.8</v>
      </c>
      <c r="X114" s="7" t="n">
        <f aca="false">X113+V114</f>
        <v>56490</v>
      </c>
      <c r="AA114" s="7" t="n">
        <v>9.24430034002895</v>
      </c>
    </row>
    <row r="115" s="7" customFormat="true" ht="15" hidden="false" customHeight="false" outlineLevel="0" collapsed="false">
      <c r="A115" s="12"/>
      <c r="B115" s="13"/>
      <c r="C115" s="8" t="n">
        <v>41961</v>
      </c>
      <c r="D115" s="7" t="n">
        <v>8.2</v>
      </c>
      <c r="E115" s="7" t="n">
        <v>7.7</v>
      </c>
      <c r="F115" s="7" t="n">
        <v>9.9</v>
      </c>
      <c r="G115" s="7" t="n">
        <f aca="false">G114+D115</f>
        <v>954.7</v>
      </c>
      <c r="J115" s="7" t="n">
        <v>2</v>
      </c>
      <c r="K115" s="7" t="n">
        <f aca="false">K114+J115</f>
        <v>143.9</v>
      </c>
      <c r="L115" s="7" t="n">
        <v>0.3</v>
      </c>
      <c r="M115" s="7" t="n">
        <f aca="false">M114+L115</f>
        <v>110.4</v>
      </c>
      <c r="N115" s="7" t="n">
        <v>1.7</v>
      </c>
      <c r="O115" s="7" t="n">
        <f aca="false">O114+N115</f>
        <v>82.8</v>
      </c>
      <c r="P115" s="7" t="n">
        <v>71</v>
      </c>
      <c r="Q115" s="7" t="n">
        <f aca="false">0.35+((P115-8)/74)*(1-0.35)</f>
        <v>0.903378378378378</v>
      </c>
      <c r="R115" s="10" t="n">
        <f aca="false">Q115*L115</f>
        <v>0.271013513513514</v>
      </c>
      <c r="S115" s="10" t="n">
        <f aca="false">J115-R115</f>
        <v>1.72898648648649</v>
      </c>
      <c r="T115" s="10" t="n">
        <f aca="false">MIN(138.9,(T114+S115))</f>
        <v>98.244527027027</v>
      </c>
      <c r="V115" s="7" t="n">
        <v>124.2</v>
      </c>
      <c r="X115" s="7" t="n">
        <f aca="false">X114+V115</f>
        <v>56614.2</v>
      </c>
      <c r="AA115" s="7" t="n">
        <v>9.20270696048749</v>
      </c>
    </row>
    <row r="116" s="7" customFormat="true" ht="15" hidden="false" customHeight="false" outlineLevel="0" collapsed="false">
      <c r="A116" s="12"/>
      <c r="B116" s="13"/>
      <c r="C116" s="8" t="n">
        <v>41962</v>
      </c>
      <c r="D116" s="7" t="n">
        <v>7.1</v>
      </c>
      <c r="E116" s="7" t="n">
        <v>5.7</v>
      </c>
      <c r="F116" s="7" t="n">
        <v>8.3</v>
      </c>
      <c r="G116" s="7" t="n">
        <f aca="false">G115+D116</f>
        <v>961.8</v>
      </c>
      <c r="J116" s="7" t="n">
        <v>0.2</v>
      </c>
      <c r="K116" s="7" t="n">
        <f aca="false">K115+J116</f>
        <v>144.1</v>
      </c>
      <c r="L116" s="7" t="n">
        <v>0.2</v>
      </c>
      <c r="M116" s="7" t="n">
        <f aca="false">M115+L116</f>
        <v>110.6</v>
      </c>
      <c r="N116" s="9" t="n">
        <v>0</v>
      </c>
      <c r="O116" s="7" t="n">
        <f aca="false">O115+N116</f>
        <v>82.8</v>
      </c>
      <c r="P116" s="7" t="n">
        <v>72</v>
      </c>
      <c r="Q116" s="7" t="n">
        <f aca="false">0.35+((P116-8)/74)*(1-0.35)</f>
        <v>0.912162162162162</v>
      </c>
      <c r="R116" s="10" t="n">
        <f aca="false">Q116*L116</f>
        <v>0.182432432432432</v>
      </c>
      <c r="S116" s="10" t="n">
        <f aca="false">J116-R116</f>
        <v>0.0175675675675676</v>
      </c>
      <c r="T116" s="10" t="n">
        <f aca="false">MIN(138.9,(T115+S116))</f>
        <v>98.2620945945946</v>
      </c>
      <c r="V116" s="7" t="n">
        <v>210.8</v>
      </c>
      <c r="X116" s="7" t="n">
        <f aca="false">X115+V116</f>
        <v>56825</v>
      </c>
      <c r="AA116" s="7" t="n">
        <v>9.16191212938166</v>
      </c>
    </row>
    <row r="117" s="7" customFormat="true" ht="15" hidden="false" customHeight="false" outlineLevel="0" collapsed="false">
      <c r="A117" s="12"/>
      <c r="B117" s="13"/>
      <c r="C117" s="8" t="n">
        <v>41963</v>
      </c>
      <c r="D117" s="7" t="n">
        <v>7.9</v>
      </c>
      <c r="E117" s="7" t="n">
        <v>6.4</v>
      </c>
      <c r="F117" s="7" t="n">
        <v>10</v>
      </c>
      <c r="G117" s="7" t="n">
        <f aca="false">G116+D117</f>
        <v>969.7</v>
      </c>
      <c r="J117" s="7" t="n">
        <v>0.1</v>
      </c>
      <c r="K117" s="7" t="n">
        <f aca="false">K116+J117</f>
        <v>144.2</v>
      </c>
      <c r="L117" s="7" t="n">
        <v>0.3</v>
      </c>
      <c r="M117" s="7" t="n">
        <f aca="false">M116+L117</f>
        <v>110.9</v>
      </c>
      <c r="N117" s="9" t="n">
        <v>-0.2</v>
      </c>
      <c r="O117" s="7" t="n">
        <f aca="false">O116+N117</f>
        <v>82.6</v>
      </c>
      <c r="P117" s="7" t="n">
        <v>73</v>
      </c>
      <c r="Q117" s="7" t="n">
        <f aca="false">0.35+((P117-8)/74)*(1-0.35)</f>
        <v>0.920945945945946</v>
      </c>
      <c r="R117" s="10" t="n">
        <f aca="false">Q117*L117</f>
        <v>0.276283783783784</v>
      </c>
      <c r="S117" s="10" t="n">
        <f aca="false">J117-R117</f>
        <v>-0.176283783783784</v>
      </c>
      <c r="T117" s="10" t="n">
        <f aca="false">MIN(138.9,(T116+S117))</f>
        <v>98.0858108108108</v>
      </c>
      <c r="V117" s="7" t="n">
        <v>241.4</v>
      </c>
      <c r="X117" s="7" t="n">
        <f aca="false">X116+V117</f>
        <v>57066.4</v>
      </c>
      <c r="AA117" s="7" t="n">
        <v>9.12194432921421</v>
      </c>
    </row>
    <row r="118" s="7" customFormat="true" ht="15" hidden="false" customHeight="false" outlineLevel="0" collapsed="false">
      <c r="A118" s="12"/>
      <c r="B118" s="13"/>
      <c r="C118" s="8" t="n">
        <v>41964</v>
      </c>
      <c r="D118" s="7" t="n">
        <v>7.9</v>
      </c>
      <c r="E118" s="7" t="n">
        <v>4.1</v>
      </c>
      <c r="F118" s="7" t="n">
        <v>11.4</v>
      </c>
      <c r="G118" s="7" t="n">
        <f aca="false">G117+D118</f>
        <v>977.6</v>
      </c>
      <c r="J118" s="7" t="n">
        <v>0.3</v>
      </c>
      <c r="K118" s="7" t="n">
        <f aca="false">K117+J118</f>
        <v>144.5</v>
      </c>
      <c r="L118" s="7" t="n">
        <v>0.9</v>
      </c>
      <c r="M118" s="7" t="n">
        <f aca="false">M117+L118</f>
        <v>111.8</v>
      </c>
      <c r="N118" s="9" t="n">
        <v>-0.6</v>
      </c>
      <c r="O118" s="7" t="n">
        <f aca="false">O117+N118</f>
        <v>82</v>
      </c>
      <c r="P118" s="7" t="n">
        <v>74</v>
      </c>
      <c r="Q118" s="7" t="n">
        <f aca="false">0.35+((P118-8)/74)*(1-0.35)</f>
        <v>0.92972972972973</v>
      </c>
      <c r="R118" s="10" t="n">
        <f aca="false">Q118*L118</f>
        <v>0.836756756756757</v>
      </c>
      <c r="S118" s="10" t="n">
        <f aca="false">J118-R118</f>
        <v>-0.536756756756757</v>
      </c>
      <c r="T118" s="10" t="n">
        <f aca="false">MIN(138.9,(T117+S118))</f>
        <v>97.5490540540541</v>
      </c>
      <c r="V118" s="7" t="n">
        <v>569</v>
      </c>
      <c r="X118" s="7" t="n">
        <f aca="false">X117+V118</f>
        <v>57635.4</v>
      </c>
      <c r="AA118" s="7" t="n">
        <v>9.08283231224625</v>
      </c>
    </row>
    <row r="119" s="7" customFormat="true" ht="15" hidden="false" customHeight="false" outlineLevel="0" collapsed="false">
      <c r="A119" s="12"/>
      <c r="B119" s="13"/>
      <c r="C119" s="8" t="n">
        <v>41965</v>
      </c>
      <c r="D119" s="7" t="n">
        <v>10</v>
      </c>
      <c r="E119" s="7" t="n">
        <v>6</v>
      </c>
      <c r="F119" s="7" t="n">
        <v>14.5</v>
      </c>
      <c r="G119" s="7" t="n">
        <f aca="false">G118+D119</f>
        <v>987.6</v>
      </c>
      <c r="J119" s="7" t="n">
        <v>0.2</v>
      </c>
      <c r="K119" s="7" t="n">
        <f aca="false">K118+J119</f>
        <v>144.7</v>
      </c>
      <c r="L119" s="7" t="n">
        <v>0.7</v>
      </c>
      <c r="M119" s="7" t="n">
        <f aca="false">M118+L119</f>
        <v>112.5</v>
      </c>
      <c r="N119" s="9" t="n">
        <v>-0.5</v>
      </c>
      <c r="O119" s="7" t="n">
        <f aca="false">O118+N119</f>
        <v>81.5</v>
      </c>
      <c r="P119" s="7" t="n">
        <v>75</v>
      </c>
      <c r="Q119" s="7" t="n">
        <f aca="false">0.35+((P119-8)/74)*(1-0.35)</f>
        <v>0.938513513513514</v>
      </c>
      <c r="R119" s="10" t="n">
        <f aca="false">Q119*L119</f>
        <v>0.656959459459459</v>
      </c>
      <c r="S119" s="10" t="n">
        <f aca="false">J119-R119</f>
        <v>-0.456959459459459</v>
      </c>
      <c r="T119" s="10" t="n">
        <f aca="false">MIN(138.9,(T118+S119))</f>
        <v>97.0920945945946</v>
      </c>
      <c r="V119" s="7" t="n">
        <v>292.6</v>
      </c>
      <c r="X119" s="7" t="n">
        <f aca="false">X118+V119</f>
        <v>57928</v>
      </c>
      <c r="AA119" s="7" t="n">
        <v>9.0446050496683</v>
      </c>
    </row>
    <row r="120" s="7" customFormat="true" ht="15" hidden="false" customHeight="false" outlineLevel="0" collapsed="false">
      <c r="A120" s="12"/>
      <c r="B120" s="13"/>
      <c r="C120" s="8" t="n">
        <v>41966</v>
      </c>
      <c r="D120" s="7" t="n">
        <v>11.9</v>
      </c>
      <c r="E120" s="7" t="n">
        <v>7.8</v>
      </c>
      <c r="F120" s="7" t="n">
        <v>16.2</v>
      </c>
      <c r="G120" s="7" t="n">
        <f aca="false">G119+D120</f>
        <v>999.5</v>
      </c>
      <c r="J120" s="7" t="n">
        <v>0.2</v>
      </c>
      <c r="K120" s="7" t="n">
        <f aca="false">K119+J120</f>
        <v>144.9</v>
      </c>
      <c r="L120" s="7" t="n">
        <v>0.9</v>
      </c>
      <c r="M120" s="7" t="n">
        <f aca="false">M119+L120</f>
        <v>113.4</v>
      </c>
      <c r="N120" s="9" t="n">
        <v>-0.7</v>
      </c>
      <c r="O120" s="7" t="n">
        <f aca="false">O119+N120</f>
        <v>80.8</v>
      </c>
      <c r="P120" s="7" t="n">
        <v>76</v>
      </c>
      <c r="Q120" s="7" t="n">
        <f aca="false">0.35+((P120-8)/74)*(1-0.35)</f>
        <v>0.947297297297297</v>
      </c>
      <c r="R120" s="10" t="n">
        <f aca="false">Q120*L120</f>
        <v>0.852567567567568</v>
      </c>
      <c r="S120" s="10" t="n">
        <f aca="false">J120-R120</f>
        <v>-0.652567567567568</v>
      </c>
      <c r="T120" s="10" t="n">
        <f aca="false">MIN(138.9,(T119+S120))</f>
        <v>96.439527027027</v>
      </c>
      <c r="V120" s="7" t="n">
        <v>527</v>
      </c>
      <c r="X120" s="7" t="n">
        <f aca="false">X119+V120</f>
        <v>58455</v>
      </c>
      <c r="AA120" s="7" t="n">
        <v>9.0072916770767</v>
      </c>
    </row>
    <row r="121" s="7" customFormat="true" ht="15" hidden="false" customHeight="false" outlineLevel="0" collapsed="false">
      <c r="A121" s="12"/>
      <c r="B121" s="13"/>
      <c r="C121" s="8" t="n">
        <v>41967</v>
      </c>
      <c r="D121" s="7" t="n">
        <v>10.9</v>
      </c>
      <c r="E121" s="7" t="n">
        <v>10.6</v>
      </c>
      <c r="F121" s="7" t="n">
        <v>11.3</v>
      </c>
      <c r="G121" s="7" t="n">
        <f aca="false">G120+D121</f>
        <v>1010.4</v>
      </c>
      <c r="J121" s="7" t="n">
        <v>0.1</v>
      </c>
      <c r="K121" s="7" t="n">
        <f aca="false">K120+J121</f>
        <v>145</v>
      </c>
      <c r="L121" s="7" t="n">
        <v>0.3</v>
      </c>
      <c r="M121" s="7" t="n">
        <f aca="false">M120+L121</f>
        <v>113.7</v>
      </c>
      <c r="N121" s="9" t="n">
        <v>-0.2</v>
      </c>
      <c r="O121" s="7" t="n">
        <f aca="false">O120+N121</f>
        <v>80.6</v>
      </c>
      <c r="P121" s="7" t="n">
        <v>77</v>
      </c>
      <c r="Q121" s="7" t="n">
        <f aca="false">0.35+((P121-8)/74)*(1-0.35)</f>
        <v>0.956081081081081</v>
      </c>
      <c r="R121" s="10" t="n">
        <f aca="false">Q121*L121</f>
        <v>0.286824324324324</v>
      </c>
      <c r="S121" s="10" t="n">
        <f aca="false">J121-R121</f>
        <v>-0.186824324324324</v>
      </c>
      <c r="T121" s="10" t="n">
        <f aca="false">MIN(138.9,(T120+S121))</f>
        <v>96.2527027027027</v>
      </c>
      <c r="V121" s="7" t="n">
        <v>112.1</v>
      </c>
      <c r="X121" s="7" t="n">
        <f aca="false">X120+V121</f>
        <v>58567.1</v>
      </c>
      <c r="AA121" s="7" t="n">
        <v>8.97092143630995</v>
      </c>
    </row>
    <row r="122" s="7" customFormat="true" ht="15" hidden="false" customHeight="false" outlineLevel="0" collapsed="false">
      <c r="A122" s="12"/>
      <c r="B122" s="13"/>
      <c r="C122" s="8" t="n">
        <v>41968</v>
      </c>
      <c r="D122" s="7" t="n">
        <v>10.9</v>
      </c>
      <c r="E122" s="7" t="n">
        <v>10.1</v>
      </c>
      <c r="F122" s="7" t="n">
        <v>11.7</v>
      </c>
      <c r="G122" s="7" t="n">
        <f aca="false">G121+D122</f>
        <v>1021.3</v>
      </c>
      <c r="J122" s="7" t="n">
        <v>14</v>
      </c>
      <c r="K122" s="7" t="n">
        <f aca="false">K121+J122</f>
        <v>159</v>
      </c>
      <c r="L122" s="7" t="n">
        <v>0.3</v>
      </c>
      <c r="M122" s="7" t="n">
        <f aca="false">M121+L122</f>
        <v>114</v>
      </c>
      <c r="N122" s="7" t="n">
        <v>13.7</v>
      </c>
      <c r="O122" s="7" t="n">
        <f aca="false">O121+N122</f>
        <v>94.3</v>
      </c>
      <c r="P122" s="7" t="n">
        <v>78</v>
      </c>
      <c r="Q122" s="7" t="n">
        <f aca="false">0.35+((P122-8)/74)*(1-0.35)</f>
        <v>0.964864864864865</v>
      </c>
      <c r="R122" s="10" t="n">
        <f aca="false">Q122*L122</f>
        <v>0.289459459459459</v>
      </c>
      <c r="S122" s="10" t="n">
        <f aca="false">J122-R122</f>
        <v>13.7105405405405</v>
      </c>
      <c r="T122" s="10" t="n">
        <f aca="false">MIN(138.9,(T121+S122))</f>
        <v>109.963243243243</v>
      </c>
      <c r="V122" s="7" t="n">
        <v>129.2</v>
      </c>
      <c r="X122" s="7" t="n">
        <f aca="false">X121+V122</f>
        <v>58696.3</v>
      </c>
      <c r="AA122" s="7" t="n">
        <v>8.93552361373051</v>
      </c>
    </row>
    <row r="123" s="7" customFormat="true" ht="15" hidden="false" customHeight="false" outlineLevel="0" collapsed="false">
      <c r="A123" s="12"/>
      <c r="B123" s="13"/>
      <c r="C123" s="8" t="n">
        <v>41969</v>
      </c>
      <c r="D123" s="7" t="n">
        <v>11</v>
      </c>
      <c r="E123" s="7" t="n">
        <v>9.9</v>
      </c>
      <c r="F123" s="7" t="n">
        <v>13.1</v>
      </c>
      <c r="G123" s="7" t="n">
        <f aca="false">G122+D123</f>
        <v>1032.3</v>
      </c>
      <c r="J123" s="7" t="n">
        <v>0.3</v>
      </c>
      <c r="K123" s="7" t="n">
        <f aca="false">K122+J123</f>
        <v>159.3</v>
      </c>
      <c r="L123" s="7" t="n">
        <v>0.3</v>
      </c>
      <c r="M123" s="7" t="n">
        <f aca="false">M122+L123</f>
        <v>114.3</v>
      </c>
      <c r="N123" s="9" t="n">
        <v>0</v>
      </c>
      <c r="O123" s="7" t="n">
        <f aca="false">O122+N123</f>
        <v>94.3</v>
      </c>
      <c r="P123" s="7" t="n">
        <v>79</v>
      </c>
      <c r="Q123" s="7" t="n">
        <f aca="false">0.35+((P123-8)/74)*(1-0.35)</f>
        <v>0.973648648648649</v>
      </c>
      <c r="R123" s="10" t="n">
        <f aca="false">Q123*L123</f>
        <v>0.292094594594595</v>
      </c>
      <c r="S123" s="10" t="n">
        <f aca="false">J123-R123</f>
        <v>0.00790540540540541</v>
      </c>
      <c r="T123" s="10" t="n">
        <f aca="false">MIN(138.9,(T122+S123))</f>
        <v>109.971148648649</v>
      </c>
      <c r="V123" s="7" t="n">
        <v>137.7</v>
      </c>
      <c r="X123" s="7" t="n">
        <f aca="false">X122+V123</f>
        <v>58834</v>
      </c>
      <c r="AA123" s="7" t="n">
        <v>8.90112747507117</v>
      </c>
    </row>
    <row r="124" s="7" customFormat="true" ht="15" hidden="false" customHeight="false" outlineLevel="0" collapsed="false">
      <c r="A124" s="12"/>
      <c r="B124" s="13"/>
      <c r="C124" s="8" t="n">
        <v>41970</v>
      </c>
      <c r="D124" s="7" t="n">
        <v>9</v>
      </c>
      <c r="E124" s="7" t="n">
        <v>6.3</v>
      </c>
      <c r="F124" s="7" t="n">
        <v>12.8</v>
      </c>
      <c r="G124" s="7" t="n">
        <f aca="false">G123+D124</f>
        <v>1041.3</v>
      </c>
      <c r="J124" s="7" t="n">
        <v>0.3</v>
      </c>
      <c r="K124" s="7" t="n">
        <f aca="false">K123+J124</f>
        <v>159.6</v>
      </c>
      <c r="L124" s="7" t="n">
        <v>0.5</v>
      </c>
      <c r="M124" s="7" t="n">
        <f aca="false">M123+L124</f>
        <v>114.8</v>
      </c>
      <c r="N124" s="9" t="n">
        <v>-0.2</v>
      </c>
      <c r="O124" s="7" t="n">
        <f aca="false">O123+N124</f>
        <v>94.1</v>
      </c>
      <c r="P124" s="7" t="n">
        <v>80</v>
      </c>
      <c r="Q124" s="7" t="n">
        <f aca="false">0.35+((P124-8)/74)*(1-0.35)</f>
        <v>0.982432432432433</v>
      </c>
      <c r="R124" s="10" t="n">
        <f aca="false">Q124*L124</f>
        <v>0.491216216216216</v>
      </c>
      <c r="S124" s="10" t="n">
        <f aca="false">J124-R124</f>
        <v>-0.191216216216216</v>
      </c>
      <c r="T124" s="10" t="n">
        <f aca="false">MIN(138.9,(T123+S124))</f>
        <v>109.779932432432</v>
      </c>
      <c r="V124" s="7" t="n">
        <v>378.5</v>
      </c>
      <c r="X124" s="7" t="n">
        <f aca="false">X123+V124</f>
        <v>59212.5</v>
      </c>
      <c r="AA124" s="7" t="n">
        <v>8.867762197</v>
      </c>
    </row>
    <row r="125" s="7" customFormat="true" ht="15" hidden="false" customHeight="false" outlineLevel="0" collapsed="false">
      <c r="A125" s="12"/>
      <c r="B125" s="13"/>
      <c r="C125" s="8" t="n">
        <v>41971</v>
      </c>
      <c r="D125" s="7" t="n">
        <v>12.4</v>
      </c>
      <c r="E125" s="7" t="n">
        <v>7.8</v>
      </c>
      <c r="F125" s="7" t="n">
        <v>15.8</v>
      </c>
      <c r="G125" s="7" t="n">
        <f aca="false">G124+D125</f>
        <v>1053.7</v>
      </c>
      <c r="J125" s="7" t="n">
        <v>0.4</v>
      </c>
      <c r="K125" s="7" t="n">
        <f aca="false">K124+J125</f>
        <v>160</v>
      </c>
      <c r="L125" s="7" t="n">
        <v>1.1</v>
      </c>
      <c r="M125" s="7" t="n">
        <f aca="false">M124+L125</f>
        <v>115.9</v>
      </c>
      <c r="N125" s="9" t="n">
        <v>-0.7</v>
      </c>
      <c r="O125" s="7" t="n">
        <f aca="false">O124+N125</f>
        <v>93.4</v>
      </c>
      <c r="P125" s="7" t="n">
        <v>81</v>
      </c>
      <c r="Q125" s="7" t="n">
        <f aca="false">0.35+((P125-8)/74)*(1-0.35)</f>
        <v>0.991216216216216</v>
      </c>
      <c r="R125" s="10" t="n">
        <f aca="false">Q125*L125</f>
        <v>1.09033783783784</v>
      </c>
      <c r="S125" s="10" t="n">
        <f aca="false">J125-R125</f>
        <v>-0.690337837837838</v>
      </c>
      <c r="T125" s="10" t="n">
        <f aca="false">MIN(138.9,(T124+S125))</f>
        <v>109.089594594595</v>
      </c>
      <c r="V125" s="7" t="n">
        <v>501.2</v>
      </c>
      <c r="X125" s="7" t="n">
        <f aca="false">X124+V125</f>
        <v>59713.7</v>
      </c>
      <c r="AA125" s="7" t="n">
        <v>8.83545679559483</v>
      </c>
    </row>
    <row r="126" s="18" customFormat="true" ht="15" hidden="false" customHeight="false" outlineLevel="0" collapsed="false">
      <c r="A126" s="12"/>
      <c r="B126" s="16"/>
      <c r="C126" s="17" t="n">
        <v>41972</v>
      </c>
      <c r="D126" s="18" t="n">
        <v>9.5</v>
      </c>
      <c r="E126" s="18" t="n">
        <v>8.1</v>
      </c>
      <c r="F126" s="18" t="n">
        <v>11.4</v>
      </c>
      <c r="G126" s="18" t="n">
        <f aca="false">G125+D126</f>
        <v>1063.2</v>
      </c>
      <c r="J126" s="18" t="n">
        <v>0</v>
      </c>
      <c r="K126" s="18" t="n">
        <f aca="false">K125+J126</f>
        <v>160</v>
      </c>
      <c r="L126" s="18" t="n">
        <v>1</v>
      </c>
      <c r="M126" s="18" t="n">
        <f aca="false">M125+L126</f>
        <v>116.9</v>
      </c>
      <c r="N126" s="19" t="n">
        <v>-1</v>
      </c>
      <c r="O126" s="18" t="n">
        <f aca="false">O125+N126</f>
        <v>92.4</v>
      </c>
      <c r="P126" s="18" t="n">
        <v>82</v>
      </c>
      <c r="Q126" s="18" t="n">
        <f aca="false">0.35+((P126-8)/74)*(1-0.35)</f>
        <v>1</v>
      </c>
      <c r="R126" s="20" t="n">
        <f aca="false">Q126*L126</f>
        <v>1</v>
      </c>
      <c r="S126" s="20" t="n">
        <f aca="false">J126-R126</f>
        <v>-1</v>
      </c>
      <c r="T126" s="20" t="n">
        <f aca="false">MIN(138.9,(T125+S126))</f>
        <v>108.089594594595</v>
      </c>
      <c r="V126" s="18" t="n">
        <v>510.5</v>
      </c>
      <c r="W126" s="18" t="n">
        <f aca="false">(X126/100)/I58</f>
        <v>0.566442814145974</v>
      </c>
      <c r="X126" s="18" t="n">
        <f aca="false">X125+V126</f>
        <v>60224.2</v>
      </c>
      <c r="AA126" s="18" t="n">
        <v>8.80424005195515</v>
      </c>
    </row>
    <row r="127" s="7" customFormat="true" ht="15" hidden="false" customHeight="false" outlineLevel="0" collapsed="false">
      <c r="A127" s="21" t="s">
        <v>44</v>
      </c>
      <c r="B127" s="22"/>
      <c r="C127" s="8" t="n">
        <v>41973</v>
      </c>
      <c r="D127" s="7" t="n">
        <v>3.8</v>
      </c>
      <c r="E127" s="7" t="n">
        <v>3.5</v>
      </c>
      <c r="F127" s="7" t="n">
        <v>7</v>
      </c>
      <c r="G127" s="7" t="n">
        <f aca="false">G126+D127</f>
        <v>1067</v>
      </c>
      <c r="H127" s="7" t="n">
        <f aca="false">D127</f>
        <v>3.8</v>
      </c>
      <c r="I127" s="23" t="s">
        <v>28</v>
      </c>
      <c r="J127" s="7" t="n">
        <v>1</v>
      </c>
      <c r="K127" s="7" t="n">
        <f aca="false">K126+J127</f>
        <v>161</v>
      </c>
      <c r="L127" s="7" t="n">
        <v>1</v>
      </c>
      <c r="M127" s="7" t="n">
        <f aca="false">M126+L127</f>
        <v>117.9</v>
      </c>
      <c r="N127" s="9" t="n">
        <v>0</v>
      </c>
      <c r="O127" s="7" t="n">
        <f aca="false">O126+N127</f>
        <v>92.4</v>
      </c>
      <c r="P127" s="7" t="n">
        <v>83</v>
      </c>
      <c r="Q127" s="7" t="n">
        <v>1</v>
      </c>
      <c r="R127" s="10" t="n">
        <f aca="false">Q127*L127</f>
        <v>1</v>
      </c>
      <c r="S127" s="10" t="n">
        <f aca="false">J127-R127</f>
        <v>0</v>
      </c>
      <c r="T127" s="10" t="n">
        <f aca="false">MIN(138.9,(T126+S127))</f>
        <v>108.089594594595</v>
      </c>
      <c r="U127" s="23" t="s">
        <v>29</v>
      </c>
      <c r="V127" s="7" t="n">
        <v>233.4</v>
      </c>
      <c r="X127" s="7" t="n">
        <f aca="false">X126+V127</f>
        <v>60457.6</v>
      </c>
      <c r="Y127" s="7" t="n">
        <f aca="false">V127</f>
        <v>233.4</v>
      </c>
      <c r="Z127" s="23" t="s">
        <v>30</v>
      </c>
      <c r="AA127" s="7" t="n">
        <v>8.77414043521817</v>
      </c>
    </row>
    <row r="128" s="7" customFormat="true" ht="15" hidden="false" customHeight="false" outlineLevel="0" collapsed="false">
      <c r="A128" s="21"/>
      <c r="B128" s="22"/>
      <c r="C128" s="8" t="n">
        <v>41974</v>
      </c>
      <c r="D128" s="7" t="n">
        <v>4.2</v>
      </c>
      <c r="E128" s="7" t="n">
        <v>2.9</v>
      </c>
      <c r="F128" s="7" t="n">
        <v>6.4</v>
      </c>
      <c r="G128" s="7" t="n">
        <f aca="false">G127+D128</f>
        <v>1071.2</v>
      </c>
      <c r="H128" s="7" t="n">
        <f aca="false">H127+D128</f>
        <v>8</v>
      </c>
      <c r="I128" s="7" t="n">
        <f aca="false">MIN(E127:E217)</f>
        <v>-5.6</v>
      </c>
      <c r="J128" s="7" t="n">
        <v>0.8</v>
      </c>
      <c r="K128" s="7" t="n">
        <f aca="false">K127+J128</f>
        <v>161.8</v>
      </c>
      <c r="L128" s="7" t="n">
        <v>0.5</v>
      </c>
      <c r="M128" s="7" t="n">
        <f aca="false">M127+L128</f>
        <v>118.4</v>
      </c>
      <c r="N128" s="7" t="n">
        <v>0.3</v>
      </c>
      <c r="O128" s="7" t="n">
        <f aca="false">O127+N128</f>
        <v>92.7</v>
      </c>
      <c r="P128" s="7" t="n">
        <v>84</v>
      </c>
      <c r="Q128" s="7" t="n">
        <v>1</v>
      </c>
      <c r="R128" s="10" t="n">
        <f aca="false">Q128*L128</f>
        <v>0.5</v>
      </c>
      <c r="S128" s="10" t="n">
        <f aca="false">J128-R128</f>
        <v>0.3</v>
      </c>
      <c r="T128" s="10" t="n">
        <f aca="false">MIN(138.9,(T127+S128))</f>
        <v>108.389594594595</v>
      </c>
      <c r="U128" s="7" t="n">
        <v>48</v>
      </c>
      <c r="V128" s="7" t="n">
        <v>85.7</v>
      </c>
      <c r="X128" s="7" t="n">
        <f aca="false">X127+V128</f>
        <v>60543.3</v>
      </c>
      <c r="Y128" s="7" t="n">
        <f aca="false">Y127+V128</f>
        <v>319.1</v>
      </c>
      <c r="Z128" s="7" t="n">
        <v>27777</v>
      </c>
      <c r="AA128" s="7" t="n">
        <v>8.74518602328377</v>
      </c>
    </row>
    <row r="129" s="7" customFormat="true" ht="15" hidden="false" customHeight="false" outlineLevel="0" collapsed="false">
      <c r="A129" s="21"/>
      <c r="B129" s="22"/>
      <c r="C129" s="8" t="n">
        <v>41975</v>
      </c>
      <c r="D129" s="7" t="n">
        <v>3.5</v>
      </c>
      <c r="E129" s="7" t="n">
        <v>2.4</v>
      </c>
      <c r="F129" s="7" t="n">
        <v>4.4</v>
      </c>
      <c r="G129" s="7" t="n">
        <f aca="false">G128+D129</f>
        <v>1074.7</v>
      </c>
      <c r="H129" s="7" t="n">
        <f aca="false">H128+D129</f>
        <v>11.5</v>
      </c>
      <c r="I129" s="23" t="s">
        <v>31</v>
      </c>
      <c r="J129" s="7" t="n">
        <v>1.5</v>
      </c>
      <c r="K129" s="7" t="n">
        <f aca="false">K128+J129</f>
        <v>163.3</v>
      </c>
      <c r="L129" s="7" t="n">
        <v>0.3</v>
      </c>
      <c r="M129" s="7" t="n">
        <f aca="false">M128+L129</f>
        <v>118.7</v>
      </c>
      <c r="N129" s="7" t="n">
        <v>1.2</v>
      </c>
      <c r="O129" s="7" t="n">
        <f aca="false">O128+N129</f>
        <v>93.9</v>
      </c>
      <c r="P129" s="7" t="n">
        <v>85</v>
      </c>
      <c r="Q129" s="7" t="n">
        <v>1</v>
      </c>
      <c r="R129" s="10" t="n">
        <f aca="false">Q129*L129</f>
        <v>0.3</v>
      </c>
      <c r="S129" s="10" t="n">
        <f aca="false">J129-R129</f>
        <v>1.2</v>
      </c>
      <c r="T129" s="10" t="n">
        <f aca="false">MIN(138.9,(T128+S129))</f>
        <v>109.589594594595</v>
      </c>
      <c r="U129" s="23" t="s">
        <v>32</v>
      </c>
      <c r="V129" s="7" t="n">
        <v>98.1</v>
      </c>
      <c r="X129" s="7" t="n">
        <f aca="false">X128+V129</f>
        <v>60641.4</v>
      </c>
      <c r="Y129" s="7" t="n">
        <f aca="false">Y128+V129</f>
        <v>417.2</v>
      </c>
      <c r="Z129" s="23" t="s">
        <v>33</v>
      </c>
      <c r="AA129" s="7" t="n">
        <v>8.71740442159139</v>
      </c>
    </row>
    <row r="130" s="7" customFormat="true" ht="15" hidden="false" customHeight="false" outlineLevel="0" collapsed="false">
      <c r="A130" s="21"/>
      <c r="B130" s="22"/>
      <c r="C130" s="8" t="n">
        <v>41976</v>
      </c>
      <c r="D130" s="7" t="n">
        <v>3.2</v>
      </c>
      <c r="E130" s="7" t="n">
        <v>3.1</v>
      </c>
      <c r="F130" s="7" t="n">
        <v>3.3</v>
      </c>
      <c r="G130" s="7" t="n">
        <f aca="false">G129+D130</f>
        <v>1077.9</v>
      </c>
      <c r="H130" s="7" t="n">
        <f aca="false">H129+D130</f>
        <v>14.7</v>
      </c>
      <c r="I130" s="7" t="n">
        <f aca="false">MAX(F127:F217)</f>
        <v>12.9</v>
      </c>
      <c r="J130" s="7" t="n">
        <v>0.3</v>
      </c>
      <c r="K130" s="7" t="n">
        <f aca="false">K129+J130</f>
        <v>163.6</v>
      </c>
      <c r="L130" s="7" t="n">
        <v>0.3</v>
      </c>
      <c r="M130" s="7" t="n">
        <f aca="false">M129+L130</f>
        <v>119</v>
      </c>
      <c r="N130" s="9" t="n">
        <v>0</v>
      </c>
      <c r="O130" s="7" t="n">
        <f aca="false">O129+N130</f>
        <v>93.9</v>
      </c>
      <c r="P130" s="7" t="n">
        <v>86</v>
      </c>
      <c r="Q130" s="7" t="n">
        <v>1</v>
      </c>
      <c r="R130" s="10" t="n">
        <f aca="false">Q130*L130</f>
        <v>0.3</v>
      </c>
      <c r="S130" s="10" t="n">
        <f aca="false">J130-R130</f>
        <v>0</v>
      </c>
      <c r="T130" s="10" t="n">
        <f aca="false">MIN(138.9,(T129+S130))</f>
        <v>109.589594594595</v>
      </c>
      <c r="U130" s="7" t="n">
        <v>0</v>
      </c>
      <c r="V130" s="7" t="n">
        <v>122.7</v>
      </c>
      <c r="X130" s="7" t="n">
        <f aca="false">X129+V130</f>
        <v>60764.1</v>
      </c>
      <c r="Y130" s="7" t="n">
        <f aca="false">Y129+V130</f>
        <v>539.9</v>
      </c>
      <c r="Z130" s="15" t="n">
        <f aca="false">(Z128/100)/I140</f>
        <v>0.692175429852978</v>
      </c>
      <c r="AA130" s="7" t="n">
        <v>8.69082268032886</v>
      </c>
    </row>
    <row r="131" s="7" customFormat="true" ht="15" hidden="false" customHeight="false" outlineLevel="0" collapsed="false">
      <c r="A131" s="21"/>
      <c r="B131" s="22"/>
      <c r="C131" s="8" t="n">
        <v>41977</v>
      </c>
      <c r="D131" s="7" t="n">
        <v>3.6</v>
      </c>
      <c r="E131" s="7" t="n">
        <v>3</v>
      </c>
      <c r="F131" s="7" t="n">
        <v>4</v>
      </c>
      <c r="G131" s="7" t="n">
        <f aca="false">G130+D131</f>
        <v>1081.5</v>
      </c>
      <c r="H131" s="7" t="n">
        <f aca="false">H130+D131</f>
        <v>18.3</v>
      </c>
      <c r="I131" s="23" t="s">
        <v>34</v>
      </c>
      <c r="J131" s="7" t="n">
        <v>0.4</v>
      </c>
      <c r="K131" s="7" t="n">
        <f aca="false">K130+J131</f>
        <v>164</v>
      </c>
      <c r="L131" s="7" t="n">
        <v>0.1</v>
      </c>
      <c r="M131" s="7" t="n">
        <f aca="false">M130+L131</f>
        <v>119.1</v>
      </c>
      <c r="N131" s="7" t="n">
        <v>0.3</v>
      </c>
      <c r="O131" s="7" t="n">
        <f aca="false">O130+N131</f>
        <v>94.2</v>
      </c>
      <c r="P131" s="7" t="n">
        <v>87</v>
      </c>
      <c r="Q131" s="7" t="n">
        <v>1</v>
      </c>
      <c r="R131" s="10" t="n">
        <f aca="false">Q131*L131</f>
        <v>0.1</v>
      </c>
      <c r="S131" s="10" t="n">
        <f aca="false">J131-R131</f>
        <v>0.3</v>
      </c>
      <c r="T131" s="10" t="n">
        <f aca="false">MIN(138.9,(T130+S131))</f>
        <v>109.889594594595</v>
      </c>
      <c r="U131" s="23" t="s">
        <v>35</v>
      </c>
      <c r="V131" s="7" t="n">
        <v>101.7</v>
      </c>
      <c r="X131" s="7" t="n">
        <f aca="false">X130+V131</f>
        <v>60865.8</v>
      </c>
      <c r="Y131" s="7" t="n">
        <f aca="false">Y130+V131</f>
        <v>641.6</v>
      </c>
      <c r="Z131" s="23" t="s">
        <v>36</v>
      </c>
      <c r="AA131" s="7" t="n">
        <v>8.66546721048909</v>
      </c>
    </row>
    <row r="132" s="7" customFormat="true" ht="15" hidden="false" customHeight="false" outlineLevel="0" collapsed="false">
      <c r="A132" s="21"/>
      <c r="B132" s="22"/>
      <c r="C132" s="8" t="n">
        <v>41978</v>
      </c>
      <c r="D132" s="7" t="n">
        <v>4.1</v>
      </c>
      <c r="E132" s="7" t="n">
        <v>3</v>
      </c>
      <c r="F132" s="7" t="n">
        <v>4.5</v>
      </c>
      <c r="G132" s="7" t="n">
        <f aca="false">G131+D132</f>
        <v>1085.6</v>
      </c>
      <c r="H132" s="7" t="n">
        <f aca="false">H131+D132</f>
        <v>22.4</v>
      </c>
      <c r="I132" s="10" t="n">
        <f aca="false">AVERAGE(D127:D217)</f>
        <v>4.35824175824176</v>
      </c>
      <c r="J132" s="7" t="n">
        <v>0</v>
      </c>
      <c r="K132" s="7" t="n">
        <f aca="false">K131+J132</f>
        <v>164</v>
      </c>
      <c r="L132" s="7" t="n">
        <v>0.1</v>
      </c>
      <c r="M132" s="7" t="n">
        <f aca="false">M131+L132</f>
        <v>119.2</v>
      </c>
      <c r="N132" s="9" t="n">
        <v>-0.1</v>
      </c>
      <c r="O132" s="7" t="n">
        <f aca="false">O131+N132</f>
        <v>94.1</v>
      </c>
      <c r="P132" s="7" t="n">
        <v>88</v>
      </c>
      <c r="Q132" s="7" t="n">
        <v>1</v>
      </c>
      <c r="R132" s="10" t="n">
        <f aca="false">Q132*L132</f>
        <v>0.1</v>
      </c>
      <c r="S132" s="10" t="n">
        <f aca="false">J132-R132</f>
        <v>-0.1</v>
      </c>
      <c r="T132" s="10" t="n">
        <f aca="false">MIN(138.9,(T131+S132))</f>
        <v>109.789594594595</v>
      </c>
      <c r="U132" s="7" t="n">
        <v>0</v>
      </c>
      <c r="V132" s="7" t="n">
        <v>153.6</v>
      </c>
      <c r="X132" s="7" t="n">
        <f aca="false">X131+V132</f>
        <v>61019.4</v>
      </c>
      <c r="Y132" s="7" t="n">
        <f aca="false">Y131+V132</f>
        <v>795.2</v>
      </c>
      <c r="Z132" s="7" t="n">
        <v>89</v>
      </c>
      <c r="AA132" s="7" t="n">
        <v>8.64136369922381</v>
      </c>
    </row>
    <row r="133" s="7" customFormat="true" ht="15" hidden="false" customHeight="false" outlineLevel="0" collapsed="false">
      <c r="A133" s="21"/>
      <c r="B133" s="22"/>
      <c r="C133" s="8" t="n">
        <v>41979</v>
      </c>
      <c r="D133" s="7" t="n">
        <v>3.7</v>
      </c>
      <c r="E133" s="7" t="n">
        <v>3.2</v>
      </c>
      <c r="F133" s="7" t="n">
        <v>6</v>
      </c>
      <c r="G133" s="7" t="n">
        <f aca="false">G132+D133</f>
        <v>1089.3</v>
      </c>
      <c r="H133" s="7" t="n">
        <f aca="false">H132+D133</f>
        <v>26.1</v>
      </c>
      <c r="I133" s="23" t="s">
        <v>37</v>
      </c>
      <c r="J133" s="7" t="n">
        <v>0</v>
      </c>
      <c r="K133" s="7" t="n">
        <f aca="false">K132+J133</f>
        <v>164</v>
      </c>
      <c r="L133" s="7" t="n">
        <v>0.6</v>
      </c>
      <c r="M133" s="7" t="n">
        <f aca="false">M132+L133</f>
        <v>119.8</v>
      </c>
      <c r="N133" s="9" t="n">
        <v>-0.6</v>
      </c>
      <c r="O133" s="7" t="n">
        <f aca="false">O132+N133</f>
        <v>93.5</v>
      </c>
      <c r="P133" s="7" t="n">
        <v>89</v>
      </c>
      <c r="Q133" s="7" t="n">
        <v>1</v>
      </c>
      <c r="R133" s="10" t="n">
        <f aca="false">Q133*L133</f>
        <v>0.6</v>
      </c>
      <c r="S133" s="10" t="n">
        <f aca="false">J133-R133</f>
        <v>-0.6</v>
      </c>
      <c r="T133" s="10" t="n">
        <f aca="false">MIN(138.9,(T132+S133))</f>
        <v>109.189594594595</v>
      </c>
      <c r="U133" s="23" t="s">
        <v>38</v>
      </c>
      <c r="V133" s="7" t="n">
        <v>313.7</v>
      </c>
      <c r="X133" s="7" t="n">
        <f aca="false">X132+V133</f>
        <v>61333.1</v>
      </c>
      <c r="Y133" s="7" t="n">
        <f aca="false">Y132+V133</f>
        <v>1108.9</v>
      </c>
      <c r="AA133" s="7" t="n">
        <v>8.61853702497442</v>
      </c>
    </row>
    <row r="134" s="7" customFormat="true" ht="15" hidden="false" customHeight="false" outlineLevel="0" collapsed="false">
      <c r="A134" s="21"/>
      <c r="B134" s="22"/>
      <c r="C134" s="8" t="n">
        <v>41980</v>
      </c>
      <c r="D134" s="7" t="n">
        <v>2.7</v>
      </c>
      <c r="E134" s="7" t="n">
        <v>-2.9</v>
      </c>
      <c r="F134" s="7" t="n">
        <v>6.2</v>
      </c>
      <c r="G134" s="7" t="n">
        <f aca="false">G133+D134</f>
        <v>1092</v>
      </c>
      <c r="H134" s="7" t="n">
        <f aca="false">H133+D134</f>
        <v>28.8</v>
      </c>
      <c r="I134" s="7" t="n">
        <v>28</v>
      </c>
      <c r="J134" s="7" t="n">
        <v>1.1</v>
      </c>
      <c r="K134" s="7" t="n">
        <f aca="false">K133+J134</f>
        <v>165.1</v>
      </c>
      <c r="L134" s="7" t="n">
        <v>0.1</v>
      </c>
      <c r="M134" s="7" t="n">
        <f aca="false">M133+L134</f>
        <v>119.9</v>
      </c>
      <c r="N134" s="7" t="n">
        <v>1</v>
      </c>
      <c r="O134" s="7" t="n">
        <f aca="false">O133+N134</f>
        <v>94.5</v>
      </c>
      <c r="P134" s="7" t="n">
        <v>90</v>
      </c>
      <c r="Q134" s="7" t="n">
        <v>1</v>
      </c>
      <c r="R134" s="10" t="n">
        <f aca="false">Q134*L134</f>
        <v>0.1</v>
      </c>
      <c r="S134" s="10" t="n">
        <f aca="false">J134-R134</f>
        <v>1</v>
      </c>
      <c r="T134" s="10" t="n">
        <f aca="false">MIN(138.9,(T133+S134))</f>
        <v>110.189594594595</v>
      </c>
      <c r="U134" s="10" t="n">
        <f aca="false">MIN(T127:T217)</f>
        <v>108.089594594595</v>
      </c>
      <c r="V134" s="7" t="n">
        <v>287.6</v>
      </c>
      <c r="X134" s="7" t="n">
        <f aca="false">X133+V134</f>
        <v>61620.7</v>
      </c>
      <c r="Y134" s="7" t="n">
        <f aca="false">Y133+V134</f>
        <v>1396.5</v>
      </c>
      <c r="AA134" s="7" t="n">
        <v>8.59701117288719</v>
      </c>
    </row>
    <row r="135" s="7" customFormat="true" ht="15" hidden="false" customHeight="false" outlineLevel="0" collapsed="false">
      <c r="A135" s="21"/>
      <c r="B135" s="22"/>
      <c r="C135" s="8" t="n">
        <v>41981</v>
      </c>
      <c r="D135" s="7" t="n">
        <v>4.3</v>
      </c>
      <c r="E135" s="7" t="n">
        <v>3.2</v>
      </c>
      <c r="F135" s="7" t="n">
        <v>7</v>
      </c>
      <c r="G135" s="7" t="n">
        <f aca="false">G134+D135</f>
        <v>1096.3</v>
      </c>
      <c r="H135" s="7" t="n">
        <f aca="false">H134+D135</f>
        <v>33.1</v>
      </c>
      <c r="I135" s="23" t="s">
        <v>39</v>
      </c>
      <c r="J135" s="7" t="n">
        <v>1.8</v>
      </c>
      <c r="K135" s="7" t="n">
        <f aca="false">K134+J135</f>
        <v>166.9</v>
      </c>
      <c r="L135" s="7" t="n">
        <v>0.3</v>
      </c>
      <c r="M135" s="7" t="n">
        <f aca="false">M134+L135</f>
        <v>120.2</v>
      </c>
      <c r="N135" s="7" t="n">
        <v>1.5</v>
      </c>
      <c r="O135" s="7" t="n">
        <f aca="false">O134+N135</f>
        <v>96</v>
      </c>
      <c r="P135" s="7" t="n">
        <v>91</v>
      </c>
      <c r="Q135" s="7" t="n">
        <v>1</v>
      </c>
      <c r="R135" s="10" t="n">
        <f aca="false">Q135*L135</f>
        <v>0.3</v>
      </c>
      <c r="S135" s="10" t="n">
        <f aca="false">J135-R135</f>
        <v>1.5</v>
      </c>
      <c r="T135" s="10" t="n">
        <f aca="false">MIN(138.9,(T134+S135))</f>
        <v>111.689594594595</v>
      </c>
      <c r="U135" s="23" t="s">
        <v>40</v>
      </c>
      <c r="V135" s="7" t="n">
        <v>139.9</v>
      </c>
      <c r="X135" s="7" t="n">
        <f aca="false">X134+V135</f>
        <v>61760.6</v>
      </c>
      <c r="Y135" s="7" t="n">
        <f aca="false">Y134+V135</f>
        <v>1536.4</v>
      </c>
      <c r="AA135" s="7" t="n">
        <v>8.5768091510434</v>
      </c>
    </row>
    <row r="136" s="7" customFormat="true" ht="15" hidden="false" customHeight="false" outlineLevel="0" collapsed="false">
      <c r="A136" s="21"/>
      <c r="B136" s="22"/>
      <c r="C136" s="8" t="n">
        <v>41982</v>
      </c>
      <c r="D136" s="7" t="n">
        <v>2.3</v>
      </c>
      <c r="E136" s="7" t="n">
        <v>-0.4</v>
      </c>
      <c r="F136" s="7" t="n">
        <v>6</v>
      </c>
      <c r="G136" s="7" t="n">
        <f aca="false">G135+D136</f>
        <v>1098.6</v>
      </c>
      <c r="H136" s="7" t="n">
        <f aca="false">H135+D136</f>
        <v>35.4</v>
      </c>
      <c r="I136" s="7" t="n">
        <v>0</v>
      </c>
      <c r="J136" s="7" t="n">
        <v>0.1</v>
      </c>
      <c r="K136" s="7" t="n">
        <f aca="false">K135+J136</f>
        <v>167</v>
      </c>
      <c r="L136" s="7" t="n">
        <v>0.5</v>
      </c>
      <c r="M136" s="7" t="n">
        <f aca="false">M135+L136</f>
        <v>120.7</v>
      </c>
      <c r="N136" s="9" t="n">
        <v>-0.4</v>
      </c>
      <c r="O136" s="7" t="n">
        <f aca="false">O135+N136</f>
        <v>95.6</v>
      </c>
      <c r="P136" s="7" t="n">
        <v>92</v>
      </c>
      <c r="Q136" s="7" t="n">
        <v>1</v>
      </c>
      <c r="R136" s="10" t="n">
        <f aca="false">Q136*L136</f>
        <v>0.5</v>
      </c>
      <c r="S136" s="10" t="n">
        <f aca="false">J136-R136</f>
        <v>-0.4</v>
      </c>
      <c r="T136" s="10" t="n">
        <f aca="false">MIN(138.9,(T135+S136))</f>
        <v>111.289594594595</v>
      </c>
      <c r="U136" s="10" t="n">
        <f aca="false">MAX(T127:T217)</f>
        <v>138.9</v>
      </c>
      <c r="V136" s="7" t="n">
        <v>633.2</v>
      </c>
      <c r="X136" s="7" t="n">
        <f aca="false">X135+V136</f>
        <v>62393.8</v>
      </c>
      <c r="Y136" s="7" t="n">
        <f aca="false">Y135+V136</f>
        <v>2169.6</v>
      </c>
      <c r="AA136" s="7" t="n">
        <v>8.55795290805329</v>
      </c>
    </row>
    <row r="137" s="7" customFormat="true" ht="15" hidden="false" customHeight="false" outlineLevel="0" collapsed="false">
      <c r="A137" s="21"/>
      <c r="B137" s="13"/>
      <c r="C137" s="8" t="n">
        <v>41983</v>
      </c>
      <c r="D137" s="7" t="n">
        <v>7.1</v>
      </c>
      <c r="E137" s="7" t="n">
        <v>2</v>
      </c>
      <c r="F137" s="7" t="n">
        <v>9.2</v>
      </c>
      <c r="G137" s="7" t="n">
        <f aca="false">G136+D137</f>
        <v>1105.7</v>
      </c>
      <c r="H137" s="7" t="n">
        <f aca="false">H136+D137</f>
        <v>42.5</v>
      </c>
      <c r="I137" s="23" t="s">
        <v>41</v>
      </c>
      <c r="J137" s="7" t="n">
        <v>2.1</v>
      </c>
      <c r="K137" s="7" t="n">
        <f aca="false">K136+J137</f>
        <v>169.1</v>
      </c>
      <c r="L137" s="7" t="n">
        <v>0</v>
      </c>
      <c r="M137" s="7" t="n">
        <f aca="false">M136+L137</f>
        <v>120.7</v>
      </c>
      <c r="N137" s="7" t="n">
        <v>2.1</v>
      </c>
      <c r="O137" s="7" t="n">
        <f aca="false">O136+N137</f>
        <v>97.7</v>
      </c>
      <c r="P137" s="7" t="n">
        <v>93</v>
      </c>
      <c r="Q137" s="7" t="n">
        <v>1</v>
      </c>
      <c r="R137" s="10" t="n">
        <f aca="false">Q137*L137</f>
        <v>0</v>
      </c>
      <c r="S137" s="10" t="n">
        <f aca="false">J137-R137</f>
        <v>2.1</v>
      </c>
      <c r="T137" s="10" t="n">
        <f aca="false">MIN(138.9,(T136+S137))</f>
        <v>113.389594594595</v>
      </c>
      <c r="U137" s="23" t="s">
        <v>42</v>
      </c>
      <c r="V137" s="7" t="n">
        <v>90</v>
      </c>
      <c r="X137" s="7" t="n">
        <f aca="false">X136+V137</f>
        <v>62483.8</v>
      </c>
      <c r="Y137" s="7" t="n">
        <f aca="false">Y136+V137</f>
        <v>2259.6</v>
      </c>
      <c r="AA137" s="7" t="n">
        <v>8.54046325257587</v>
      </c>
    </row>
    <row r="138" s="7" customFormat="true" ht="15" hidden="false" customHeight="false" outlineLevel="0" collapsed="false">
      <c r="A138" s="21"/>
      <c r="B138" s="13"/>
      <c r="C138" s="8" t="n">
        <v>41984</v>
      </c>
      <c r="D138" s="7" t="n">
        <v>8.1</v>
      </c>
      <c r="E138" s="7" t="n">
        <v>6.2</v>
      </c>
      <c r="F138" s="7" t="n">
        <v>10.4</v>
      </c>
      <c r="G138" s="7" t="n">
        <f aca="false">G137+D138</f>
        <v>1113.8</v>
      </c>
      <c r="H138" s="7" t="n">
        <f aca="false">H137+D138</f>
        <v>50.6</v>
      </c>
      <c r="I138" s="7" t="n">
        <v>46</v>
      </c>
      <c r="J138" s="7" t="n">
        <v>0.6</v>
      </c>
      <c r="K138" s="7" t="n">
        <f aca="false">K137+J138</f>
        <v>169.7</v>
      </c>
      <c r="L138" s="7" t="n">
        <v>1.1</v>
      </c>
      <c r="M138" s="7" t="n">
        <f aca="false">M137+L138</f>
        <v>121.8</v>
      </c>
      <c r="N138" s="9" t="n">
        <v>-0.5</v>
      </c>
      <c r="O138" s="7" t="n">
        <f aca="false">O137+N138</f>
        <v>97.2</v>
      </c>
      <c r="P138" s="7" t="n">
        <v>94</v>
      </c>
      <c r="Q138" s="7" t="n">
        <v>1</v>
      </c>
      <c r="R138" s="10" t="n">
        <f aca="false">Q138*L138</f>
        <v>1.1</v>
      </c>
      <c r="S138" s="10" t="n">
        <f aca="false">J138-R138</f>
        <v>-0.5</v>
      </c>
      <c r="T138" s="10" t="n">
        <f aca="false">MIN(138.9,(T137+S138))</f>
        <v>112.889594594595</v>
      </c>
      <c r="U138" s="15" t="n">
        <f aca="false">AVERAGE(T127:T217)</f>
        <v>131.671364716365</v>
      </c>
      <c r="V138" s="7" t="n">
        <v>290.9</v>
      </c>
      <c r="X138" s="7" t="n">
        <f aca="false">X137+V138</f>
        <v>62774.7</v>
      </c>
      <c r="Y138" s="7" t="n">
        <f aca="false">Y137+V138</f>
        <v>2550.5</v>
      </c>
      <c r="AA138" s="7" t="n">
        <v>8.52435977533436</v>
      </c>
    </row>
    <row r="139" s="7" customFormat="true" ht="15" hidden="false" customHeight="false" outlineLevel="0" collapsed="false">
      <c r="A139" s="21"/>
      <c r="B139" s="13"/>
      <c r="C139" s="8" t="n">
        <v>41985</v>
      </c>
      <c r="D139" s="7" t="n">
        <v>9.5</v>
      </c>
      <c r="E139" s="7" t="n">
        <v>8.1</v>
      </c>
      <c r="F139" s="7" t="n">
        <v>10.3</v>
      </c>
      <c r="G139" s="7" t="n">
        <f aca="false">G138+D139</f>
        <v>1123.3</v>
      </c>
      <c r="H139" s="7" t="n">
        <f aca="false">H138+D139</f>
        <v>60.1</v>
      </c>
      <c r="I139" s="23" t="s">
        <v>43</v>
      </c>
      <c r="J139" s="7" t="n">
        <v>1.8</v>
      </c>
      <c r="K139" s="7" t="n">
        <f aca="false">K138+J139</f>
        <v>171.5</v>
      </c>
      <c r="L139" s="7" t="n">
        <v>0.7</v>
      </c>
      <c r="M139" s="7" t="n">
        <f aca="false">M138+L139</f>
        <v>122.5</v>
      </c>
      <c r="N139" s="7" t="n">
        <v>1.1</v>
      </c>
      <c r="O139" s="7" t="n">
        <f aca="false">O138+N139</f>
        <v>98.3</v>
      </c>
      <c r="P139" s="7" t="n">
        <v>95</v>
      </c>
      <c r="Q139" s="7" t="n">
        <v>1</v>
      </c>
      <c r="R139" s="10" t="n">
        <f aca="false">Q139*L139</f>
        <v>0.7</v>
      </c>
      <c r="S139" s="10" t="n">
        <f aca="false">J139-R139</f>
        <v>1.1</v>
      </c>
      <c r="T139" s="10" t="n">
        <f aca="false">MIN(138.9,(T138+S139))</f>
        <v>113.989594594595</v>
      </c>
      <c r="U139" s="23" t="s">
        <v>45</v>
      </c>
      <c r="V139" s="7" t="n">
        <v>120.9</v>
      </c>
      <c r="X139" s="7" t="n">
        <f aca="false">X138+V139</f>
        <v>62895.6</v>
      </c>
      <c r="Y139" s="7" t="n">
        <f aca="false">Y138+V139</f>
        <v>2671.4</v>
      </c>
      <c r="AA139" s="7" t="n">
        <v>8.50966077419757</v>
      </c>
    </row>
    <row r="140" s="7" customFormat="true" ht="15" hidden="false" customHeight="false" outlineLevel="0" collapsed="false">
      <c r="A140" s="21"/>
      <c r="B140" s="13"/>
      <c r="C140" s="8" t="n">
        <v>41986</v>
      </c>
      <c r="D140" s="7" t="n">
        <v>7</v>
      </c>
      <c r="E140" s="7" t="n">
        <v>5</v>
      </c>
      <c r="F140" s="7" t="n">
        <v>9.2</v>
      </c>
      <c r="G140" s="7" t="n">
        <f aca="false">G139+D140</f>
        <v>1130.3</v>
      </c>
      <c r="H140" s="7" t="n">
        <f aca="false">H139+D140</f>
        <v>67.1</v>
      </c>
      <c r="I140" s="7" t="n">
        <v>401.3</v>
      </c>
      <c r="J140" s="7" t="n">
        <v>4.3</v>
      </c>
      <c r="K140" s="7" t="n">
        <f aca="false">K139+J140</f>
        <v>175.8</v>
      </c>
      <c r="L140" s="7" t="n">
        <v>0.6</v>
      </c>
      <c r="M140" s="7" t="n">
        <f aca="false">M139+L140</f>
        <v>123.1</v>
      </c>
      <c r="N140" s="7" t="n">
        <v>3.7</v>
      </c>
      <c r="O140" s="7" t="n">
        <f aca="false">O139+N140</f>
        <v>102</v>
      </c>
      <c r="P140" s="7" t="n">
        <v>96</v>
      </c>
      <c r="Q140" s="7" t="n">
        <v>1</v>
      </c>
      <c r="R140" s="10" t="n">
        <f aca="false">Q140*L140</f>
        <v>0.6</v>
      </c>
      <c r="S140" s="10" t="n">
        <f aca="false">J140-R140</f>
        <v>3.7</v>
      </c>
      <c r="T140" s="10" t="n">
        <f aca="false">MIN(138.9,(T139+S140))</f>
        <v>117.689594594595</v>
      </c>
      <c r="U140" s="10" t="n">
        <v>23</v>
      </c>
      <c r="V140" s="7" t="n">
        <v>96.2</v>
      </c>
      <c r="X140" s="7" t="n">
        <f aca="false">X139+V140</f>
        <v>62991.8</v>
      </c>
      <c r="Y140" s="7" t="n">
        <f aca="false">Y139+V140</f>
        <v>2767.6</v>
      </c>
      <c r="AA140" s="7" t="n">
        <v>8.49638318289263</v>
      </c>
    </row>
    <row r="141" s="7" customFormat="true" ht="15" hidden="false" customHeight="false" outlineLevel="0" collapsed="false">
      <c r="A141" s="21"/>
      <c r="B141" s="22"/>
      <c r="C141" s="8" t="n">
        <v>41987</v>
      </c>
      <c r="D141" s="7" t="n">
        <v>1.2</v>
      </c>
      <c r="E141" s="7" t="n">
        <v>0.3</v>
      </c>
      <c r="F141" s="7" t="n">
        <v>3</v>
      </c>
      <c r="G141" s="7" t="n">
        <f aca="false">G140+D141</f>
        <v>1131.5</v>
      </c>
      <c r="H141" s="7" t="n">
        <f aca="false">H140+D141</f>
        <v>68.3</v>
      </c>
      <c r="J141" s="7" t="n">
        <v>0</v>
      </c>
      <c r="K141" s="7" t="n">
        <f aca="false">K140+J141</f>
        <v>175.8</v>
      </c>
      <c r="L141" s="7" t="n">
        <v>0.3</v>
      </c>
      <c r="M141" s="7" t="n">
        <f aca="false">M140+L141</f>
        <v>123.4</v>
      </c>
      <c r="N141" s="9" t="n">
        <v>-0.3</v>
      </c>
      <c r="O141" s="7" t="n">
        <f aca="false">O140+N141</f>
        <v>101.7</v>
      </c>
      <c r="P141" s="7" t="n">
        <v>97</v>
      </c>
      <c r="Q141" s="7" t="n">
        <v>1</v>
      </c>
      <c r="R141" s="10" t="n">
        <f aca="false">Q141*L141</f>
        <v>0.3</v>
      </c>
      <c r="S141" s="10" t="n">
        <f aca="false">J141-R141</f>
        <v>-0.3</v>
      </c>
      <c r="T141" s="10" t="n">
        <f aca="false">MIN(138.9,(T140+S141))</f>
        <v>117.389594594595</v>
      </c>
      <c r="V141" s="7" t="n">
        <v>368.2</v>
      </c>
      <c r="X141" s="7" t="n">
        <f aca="false">X140+V141</f>
        <v>63360</v>
      </c>
      <c r="Y141" s="7" t="n">
        <f aca="false">Y140+V141</f>
        <v>3135.8</v>
      </c>
      <c r="AA141" s="7" t="n">
        <v>8.48454250390166</v>
      </c>
    </row>
    <row r="142" s="7" customFormat="true" ht="15" hidden="false" customHeight="false" outlineLevel="0" collapsed="false">
      <c r="A142" s="21"/>
      <c r="B142" s="22"/>
      <c r="C142" s="8" t="n">
        <v>41988</v>
      </c>
      <c r="D142" s="7" t="n">
        <v>3</v>
      </c>
      <c r="E142" s="7" t="n">
        <v>-2</v>
      </c>
      <c r="F142" s="7" t="n">
        <v>6.7</v>
      </c>
      <c r="G142" s="7" t="n">
        <f aca="false">G141+D142</f>
        <v>1134.5</v>
      </c>
      <c r="H142" s="7" t="n">
        <f aca="false">H141+D142</f>
        <v>71.3</v>
      </c>
      <c r="J142" s="7" t="n">
        <v>1.6</v>
      </c>
      <c r="K142" s="7" t="n">
        <f aca="false">K141+J142</f>
        <v>177.4</v>
      </c>
      <c r="L142" s="7" t="n">
        <v>0.1</v>
      </c>
      <c r="M142" s="7" t="n">
        <f aca="false">M141+L142</f>
        <v>123.5</v>
      </c>
      <c r="N142" s="7" t="n">
        <v>1.5</v>
      </c>
      <c r="O142" s="7" t="n">
        <f aca="false">O141+N142</f>
        <v>103.2</v>
      </c>
      <c r="P142" s="7" t="n">
        <v>98</v>
      </c>
      <c r="Q142" s="7" t="n">
        <v>1</v>
      </c>
      <c r="R142" s="10" t="n">
        <f aca="false">Q142*L142</f>
        <v>0.1</v>
      </c>
      <c r="S142" s="10" t="n">
        <f aca="false">J142-R142</f>
        <v>1.5</v>
      </c>
      <c r="T142" s="10" t="n">
        <f aca="false">MIN(138.9,(T141+S142))</f>
        <v>118.889594594595</v>
      </c>
      <c r="U142" s="10" t="n">
        <f aca="false">(U138*100)/138.9</f>
        <v>94.795798931868</v>
      </c>
      <c r="V142" s="7" t="n">
        <v>173.3</v>
      </c>
      <c r="X142" s="7" t="n">
        <f aca="false">X141+V142</f>
        <v>63533.3</v>
      </c>
      <c r="Y142" s="7" t="n">
        <f aca="false">Y141+V142</f>
        <v>3309.1</v>
      </c>
      <c r="AA142" s="7" t="n">
        <v>8.47415274607595</v>
      </c>
    </row>
    <row r="143" s="7" customFormat="true" ht="15" hidden="false" customHeight="false" outlineLevel="0" collapsed="false">
      <c r="A143" s="21"/>
      <c r="B143" s="13"/>
      <c r="C143" s="8" t="n">
        <v>41989</v>
      </c>
      <c r="D143" s="7" t="n">
        <v>6.3</v>
      </c>
      <c r="E143" s="7" t="n">
        <v>4.8</v>
      </c>
      <c r="F143" s="7" t="n">
        <v>8</v>
      </c>
      <c r="G143" s="7" t="n">
        <f aca="false">G142+D143</f>
        <v>1140.8</v>
      </c>
      <c r="H143" s="7" t="n">
        <f aca="false">H142+D143</f>
        <v>77.6</v>
      </c>
      <c r="J143" s="7" t="n">
        <v>5.2</v>
      </c>
      <c r="K143" s="7" t="n">
        <f aca="false">K142+J143</f>
        <v>182.6</v>
      </c>
      <c r="L143" s="7" t="n">
        <v>0.1</v>
      </c>
      <c r="M143" s="7" t="n">
        <f aca="false">M142+L143</f>
        <v>123.6</v>
      </c>
      <c r="N143" s="7" t="n">
        <v>5.1</v>
      </c>
      <c r="O143" s="7" t="n">
        <f aca="false">O142+N143</f>
        <v>108.3</v>
      </c>
      <c r="P143" s="7" t="n">
        <v>99</v>
      </c>
      <c r="Q143" s="7" t="n">
        <v>1</v>
      </c>
      <c r="R143" s="10" t="n">
        <f aca="false">Q143*L143</f>
        <v>0.1</v>
      </c>
      <c r="S143" s="10" t="n">
        <f aca="false">J143-R143</f>
        <v>5.1</v>
      </c>
      <c r="T143" s="10" t="n">
        <f aca="false">MIN(138.9,(T142+S143))</f>
        <v>123.989594594595</v>
      </c>
      <c r="V143" s="7" t="n">
        <v>156.1</v>
      </c>
      <c r="X143" s="7" t="n">
        <f aca="false">X142+V143</f>
        <v>63689.4</v>
      </c>
      <c r="Y143" s="7" t="n">
        <f aca="false">Y142+V143</f>
        <v>3465.2</v>
      </c>
      <c r="AA143" s="7" t="n">
        <v>8.46522636747486</v>
      </c>
    </row>
    <row r="144" s="7" customFormat="true" ht="15" hidden="false" customHeight="false" outlineLevel="0" collapsed="false">
      <c r="A144" s="21"/>
      <c r="B144" s="13"/>
      <c r="C144" s="8" t="n">
        <v>41990</v>
      </c>
      <c r="D144" s="7" t="n">
        <v>9.3</v>
      </c>
      <c r="E144" s="7" t="n">
        <v>4.9</v>
      </c>
      <c r="F144" s="7" t="n">
        <v>12.6</v>
      </c>
      <c r="G144" s="7" t="n">
        <f aca="false">G143+D144</f>
        <v>1150.1</v>
      </c>
      <c r="H144" s="7" t="n">
        <f aca="false">H143+D144</f>
        <v>86.9</v>
      </c>
      <c r="J144" s="7" t="n">
        <v>3</v>
      </c>
      <c r="K144" s="7" t="n">
        <f aca="false">K143+J144</f>
        <v>185.6</v>
      </c>
      <c r="L144" s="7" t="n">
        <v>0.2</v>
      </c>
      <c r="M144" s="7" t="n">
        <f aca="false">M143+L144</f>
        <v>123.8</v>
      </c>
      <c r="N144" s="7" t="n">
        <v>2.8</v>
      </c>
      <c r="O144" s="7" t="n">
        <f aca="false">O143+N144</f>
        <v>111.1</v>
      </c>
      <c r="P144" s="7" t="n">
        <v>100</v>
      </c>
      <c r="Q144" s="7" t="n">
        <v>1</v>
      </c>
      <c r="R144" s="10" t="n">
        <f aca="false">Q144*L144</f>
        <v>0.2</v>
      </c>
      <c r="S144" s="10" t="n">
        <f aca="false">J144-R144</f>
        <v>2.8</v>
      </c>
      <c r="T144" s="10" t="n">
        <f aca="false">MIN(138.9,(T143+S144))</f>
        <v>126.789594594595</v>
      </c>
      <c r="V144" s="7" t="n">
        <v>106.2</v>
      </c>
      <c r="X144" s="7" t="n">
        <f aca="false">X143+V144</f>
        <v>63795.6</v>
      </c>
      <c r="Y144" s="7" t="n">
        <f aca="false">Y143+V144</f>
        <v>3571.4</v>
      </c>
      <c r="AA144" s="7" t="n">
        <v>8.4577742239032</v>
      </c>
    </row>
    <row r="145" s="7" customFormat="true" ht="15" hidden="false" customHeight="false" outlineLevel="0" collapsed="false">
      <c r="A145" s="21"/>
      <c r="B145" s="13"/>
      <c r="C145" s="8" t="n">
        <v>41991</v>
      </c>
      <c r="D145" s="7" t="n">
        <v>11.9</v>
      </c>
      <c r="E145" s="7" t="n">
        <v>11.4</v>
      </c>
      <c r="F145" s="7" t="n">
        <v>12.5</v>
      </c>
      <c r="G145" s="7" t="n">
        <f aca="false">G144+D145</f>
        <v>1162</v>
      </c>
      <c r="H145" s="7" t="n">
        <f aca="false">H144+D145</f>
        <v>98.8</v>
      </c>
      <c r="J145" s="7" t="n">
        <v>0.6</v>
      </c>
      <c r="K145" s="7" t="n">
        <f aca="false">K144+J145</f>
        <v>186.2</v>
      </c>
      <c r="L145" s="7" t="n">
        <v>0.4</v>
      </c>
      <c r="M145" s="7" t="n">
        <f aca="false">M144+L145</f>
        <v>124.2</v>
      </c>
      <c r="N145" s="7" t="n">
        <v>0.2</v>
      </c>
      <c r="O145" s="7" t="n">
        <f aca="false">O144+N145</f>
        <v>111.3</v>
      </c>
      <c r="P145" s="7" t="n">
        <v>101</v>
      </c>
      <c r="Q145" s="7" t="n">
        <v>1</v>
      </c>
      <c r="R145" s="10" t="n">
        <f aca="false">Q145*L145</f>
        <v>0.4</v>
      </c>
      <c r="S145" s="10" t="n">
        <f aca="false">J145-R145</f>
        <v>0.2</v>
      </c>
      <c r="T145" s="10" t="n">
        <f aca="false">MIN(138.9,(T144+S145))</f>
        <v>126.989594594595</v>
      </c>
      <c r="V145" s="7" t="n">
        <v>96.1</v>
      </c>
      <c r="X145" s="7" t="n">
        <f aca="false">X144+V145</f>
        <v>63891.7</v>
      </c>
      <c r="Y145" s="7" t="n">
        <f aca="false">Y144+V145</f>
        <v>3667.5</v>
      </c>
      <c r="AA145" s="7" t="n">
        <v>8.45180552358154</v>
      </c>
    </row>
    <row r="146" s="7" customFormat="true" ht="15" hidden="false" customHeight="false" outlineLevel="0" collapsed="false">
      <c r="A146" s="21"/>
      <c r="B146" s="13"/>
      <c r="C146" s="8" t="n">
        <v>41992</v>
      </c>
      <c r="D146" s="7" t="n">
        <v>10.5</v>
      </c>
      <c r="E146" s="7" t="n">
        <v>10.6</v>
      </c>
      <c r="F146" s="7" t="n">
        <v>12.2</v>
      </c>
      <c r="G146" s="7" t="n">
        <f aca="false">G145+D146</f>
        <v>1172.5</v>
      </c>
      <c r="H146" s="7" t="n">
        <f aca="false">H145+D146</f>
        <v>109.3</v>
      </c>
      <c r="J146" s="7" t="n">
        <v>2.6</v>
      </c>
      <c r="K146" s="7" t="n">
        <f aca="false">K145+J146</f>
        <v>188.8</v>
      </c>
      <c r="L146" s="7" t="n">
        <v>0.7</v>
      </c>
      <c r="M146" s="7" t="n">
        <f aca="false">M145+L146</f>
        <v>124.9</v>
      </c>
      <c r="N146" s="7" t="n">
        <v>1.9</v>
      </c>
      <c r="O146" s="7" t="n">
        <f aca="false">O145+N146</f>
        <v>113.2</v>
      </c>
      <c r="P146" s="7" t="n">
        <v>102</v>
      </c>
      <c r="Q146" s="7" t="n">
        <v>1</v>
      </c>
      <c r="R146" s="10" t="n">
        <f aca="false">Q146*L146</f>
        <v>0.7</v>
      </c>
      <c r="S146" s="10" t="n">
        <f aca="false">J146-R146</f>
        <v>1.9</v>
      </c>
      <c r="T146" s="10" t="n">
        <f aca="false">MIN(138.9,(T145+S146))</f>
        <v>128.889594594595</v>
      </c>
      <c r="V146" s="7" t="n">
        <v>66.4</v>
      </c>
      <c r="X146" s="7" t="n">
        <f aca="false">X145+V146</f>
        <v>63958.1</v>
      </c>
      <c r="Y146" s="7" t="n">
        <f aca="false">Y145+V146</f>
        <v>3733.9</v>
      </c>
      <c r="AA146" s="7" t="n">
        <v>8.4473277883375</v>
      </c>
    </row>
    <row r="147" s="7" customFormat="true" ht="15" hidden="false" customHeight="false" outlineLevel="0" collapsed="false">
      <c r="A147" s="21"/>
      <c r="B147" s="13"/>
      <c r="C147" s="8" t="n">
        <v>41993</v>
      </c>
      <c r="D147" s="7" t="n">
        <v>6.9</v>
      </c>
      <c r="E147" s="7" t="n">
        <v>5</v>
      </c>
      <c r="F147" s="7" t="n">
        <v>8.1</v>
      </c>
      <c r="G147" s="7" t="n">
        <f aca="false">G146+D147</f>
        <v>1179.4</v>
      </c>
      <c r="H147" s="7" t="n">
        <f aca="false">H146+D147</f>
        <v>116.2</v>
      </c>
      <c r="J147" s="7" t="n">
        <v>0</v>
      </c>
      <c r="K147" s="7" t="n">
        <f aca="false">K146+J147</f>
        <v>188.8</v>
      </c>
      <c r="L147" s="7" t="n">
        <v>0.4</v>
      </c>
      <c r="M147" s="7" t="n">
        <f aca="false">M146+L147</f>
        <v>125.3</v>
      </c>
      <c r="N147" s="9" t="n">
        <v>-0.4</v>
      </c>
      <c r="O147" s="7" t="n">
        <f aca="false">O146+N147</f>
        <v>112.8</v>
      </c>
      <c r="P147" s="7" t="n">
        <v>103</v>
      </c>
      <c r="Q147" s="7" t="n">
        <v>1</v>
      </c>
      <c r="R147" s="10" t="n">
        <f aca="false">Q147*L147</f>
        <v>0.4</v>
      </c>
      <c r="S147" s="10" t="n">
        <f aca="false">J147-R147</f>
        <v>-0.4</v>
      </c>
      <c r="T147" s="10" t="n">
        <f aca="false">MIN(138.9,(T146+S147))</f>
        <v>128.489594594595</v>
      </c>
      <c r="V147" s="7" t="n">
        <v>106.3</v>
      </c>
      <c r="X147" s="7" t="n">
        <f aca="false">X146+V147</f>
        <v>64064.4</v>
      </c>
      <c r="Y147" s="7" t="n">
        <f aca="false">Y146+V147</f>
        <v>3840.2</v>
      </c>
      <c r="AA147" s="7" t="n">
        <v>8.44434682165486</v>
      </c>
    </row>
    <row r="148" s="7" customFormat="true" ht="15" hidden="false" customHeight="false" outlineLevel="0" collapsed="false">
      <c r="A148" s="21"/>
      <c r="B148" s="13"/>
      <c r="C148" s="8" t="n">
        <v>41994</v>
      </c>
      <c r="D148" s="7" t="n">
        <v>7.6</v>
      </c>
      <c r="E148" s="7" t="n">
        <v>6.7</v>
      </c>
      <c r="F148" s="7" t="n">
        <v>8.7</v>
      </c>
      <c r="G148" s="7" t="n">
        <f aca="false">G147+D148</f>
        <v>1187</v>
      </c>
      <c r="H148" s="7" t="n">
        <f aca="false">H147+D148</f>
        <v>123.8</v>
      </c>
      <c r="J148" s="7" t="n">
        <v>0</v>
      </c>
      <c r="K148" s="7" t="n">
        <f aca="false">K147+J148</f>
        <v>188.8</v>
      </c>
      <c r="L148" s="7" t="n">
        <v>0.7</v>
      </c>
      <c r="M148" s="7" t="n">
        <f aca="false">M147+L148</f>
        <v>126</v>
      </c>
      <c r="N148" s="9" t="n">
        <v>-0.7</v>
      </c>
      <c r="O148" s="7" t="n">
        <f aca="false">O147+N148</f>
        <v>112.1</v>
      </c>
      <c r="P148" s="7" t="n">
        <v>104</v>
      </c>
      <c r="Q148" s="7" t="n">
        <v>1</v>
      </c>
      <c r="R148" s="10" t="n">
        <f aca="false">Q148*L148</f>
        <v>0.7</v>
      </c>
      <c r="S148" s="10" t="n">
        <f aca="false">J148-R148</f>
        <v>-0.7</v>
      </c>
      <c r="T148" s="10" t="n">
        <f aca="false">MIN(138.9,(T147+S148))</f>
        <v>127.789594594595</v>
      </c>
      <c r="V148" s="7" t="n">
        <v>107.9</v>
      </c>
      <c r="X148" s="7" t="n">
        <f aca="false">X147+V148</f>
        <v>64172.3</v>
      </c>
      <c r="Y148" s="7" t="n">
        <f aca="false">Y147+V148</f>
        <v>3948.1</v>
      </c>
      <c r="AA148" s="7" t="n">
        <v>8.44286668386047</v>
      </c>
    </row>
    <row r="149" s="7" customFormat="true" ht="15" hidden="false" customHeight="false" outlineLevel="0" collapsed="false">
      <c r="A149" s="21"/>
      <c r="B149" s="13"/>
      <c r="C149" s="8" t="n">
        <v>41995</v>
      </c>
      <c r="D149" s="7" t="n">
        <v>8.4</v>
      </c>
      <c r="E149" s="7" t="n">
        <v>7.4</v>
      </c>
      <c r="F149" s="7" t="n">
        <v>9.5</v>
      </c>
      <c r="G149" s="7" t="n">
        <f aca="false">G148+D149</f>
        <v>1195.4</v>
      </c>
      <c r="H149" s="7" t="n">
        <f aca="false">H148+D149</f>
        <v>132.2</v>
      </c>
      <c r="J149" s="7" t="n">
        <v>0</v>
      </c>
      <c r="K149" s="7" t="n">
        <f aca="false">K148+J149</f>
        <v>188.8</v>
      </c>
      <c r="L149" s="7" t="n">
        <v>0.8</v>
      </c>
      <c r="M149" s="7" t="n">
        <f aca="false">M148+L149</f>
        <v>126.8</v>
      </c>
      <c r="N149" s="9" t="n">
        <v>-0.8</v>
      </c>
      <c r="O149" s="7" t="n">
        <f aca="false">O148+N149</f>
        <v>111.3</v>
      </c>
      <c r="P149" s="7" t="n">
        <v>105</v>
      </c>
      <c r="Q149" s="7" t="n">
        <v>1</v>
      </c>
      <c r="R149" s="10" t="n">
        <f aca="false">Q149*L149</f>
        <v>0.8</v>
      </c>
      <c r="S149" s="10" t="n">
        <f aca="false">J149-R149</f>
        <v>-0.8</v>
      </c>
      <c r="T149" s="10" t="n">
        <f aca="false">MIN(138.9,(T148+S149))</f>
        <v>126.989594594595</v>
      </c>
      <c r="V149" s="7" t="n">
        <v>108.3</v>
      </c>
      <c r="X149" s="7" t="n">
        <f aca="false">X148+V149</f>
        <v>64280.6</v>
      </c>
      <c r="Y149" s="7" t="n">
        <f aca="false">Y148+V149</f>
        <v>4056.4</v>
      </c>
      <c r="AA149" s="7" t="n">
        <v>8.44288967466843</v>
      </c>
    </row>
    <row r="150" s="7" customFormat="true" ht="15" hidden="false" customHeight="false" outlineLevel="0" collapsed="false">
      <c r="A150" s="21"/>
      <c r="B150" s="13"/>
      <c r="C150" s="8" t="n">
        <v>41996</v>
      </c>
      <c r="D150" s="7" t="n">
        <v>5.6</v>
      </c>
      <c r="E150" s="7" t="n">
        <v>4.5</v>
      </c>
      <c r="F150" s="7" t="n">
        <v>7.4</v>
      </c>
      <c r="G150" s="7" t="n">
        <f aca="false">G149+D150</f>
        <v>1201</v>
      </c>
      <c r="H150" s="7" t="n">
        <f aca="false">H149+D150</f>
        <v>137.8</v>
      </c>
      <c r="J150" s="7" t="n">
        <v>0</v>
      </c>
      <c r="K150" s="7" t="n">
        <f aca="false">K149+J150</f>
        <v>188.8</v>
      </c>
      <c r="L150" s="7" t="n">
        <v>0.4</v>
      </c>
      <c r="M150" s="7" t="n">
        <f aca="false">M149+L150</f>
        <v>127.2</v>
      </c>
      <c r="N150" s="9" t="n">
        <v>-0.4</v>
      </c>
      <c r="O150" s="7" t="n">
        <f aca="false">O149+N150</f>
        <v>110.9</v>
      </c>
      <c r="P150" s="7" t="n">
        <v>106</v>
      </c>
      <c r="Q150" s="7" t="n">
        <v>1</v>
      </c>
      <c r="R150" s="10" t="n">
        <f aca="false">Q150*L150</f>
        <v>0.4</v>
      </c>
      <c r="S150" s="10" t="n">
        <f aca="false">J150-R150</f>
        <v>-0.4</v>
      </c>
      <c r="T150" s="10" t="n">
        <f aca="false">MIN(138.9,(T149+S150))</f>
        <v>126.589594594595</v>
      </c>
      <c r="V150" s="7" t="n">
        <v>111</v>
      </c>
      <c r="X150" s="7" t="n">
        <f aca="false">X149+V150</f>
        <v>64391.6</v>
      </c>
      <c r="Y150" s="7" t="n">
        <f aca="false">Y149+V150</f>
        <v>4167.4</v>
      </c>
      <c r="AA150" s="7" t="n">
        <v>8.44441632323675</v>
      </c>
    </row>
    <row r="151" s="7" customFormat="true" ht="15" hidden="false" customHeight="false" outlineLevel="0" collapsed="false">
      <c r="A151" s="21"/>
      <c r="B151" s="13"/>
      <c r="C151" s="8" t="n">
        <v>41997</v>
      </c>
      <c r="D151" s="7" t="n">
        <v>7.9</v>
      </c>
      <c r="E151" s="7" t="n">
        <v>4.7</v>
      </c>
      <c r="F151" s="7" t="n">
        <v>8.6</v>
      </c>
      <c r="G151" s="7" t="n">
        <f aca="false">G150+D151</f>
        <v>1208.9</v>
      </c>
      <c r="H151" s="7" t="n">
        <f aca="false">H150+D151</f>
        <v>145.7</v>
      </c>
      <c r="J151" s="7" t="n">
        <v>1.4</v>
      </c>
      <c r="K151" s="7" t="n">
        <f aca="false">K150+J151</f>
        <v>190.2</v>
      </c>
      <c r="L151" s="7" t="n">
        <v>0.1</v>
      </c>
      <c r="M151" s="7" t="n">
        <f aca="false">M150+L151</f>
        <v>127.3</v>
      </c>
      <c r="N151" s="7" t="n">
        <v>1.3</v>
      </c>
      <c r="O151" s="7" t="n">
        <f aca="false">O150+N151</f>
        <v>112.2</v>
      </c>
      <c r="P151" s="7" t="n">
        <v>107</v>
      </c>
      <c r="Q151" s="7" t="n">
        <v>1</v>
      </c>
      <c r="R151" s="10" t="n">
        <f aca="false">Q151*L151</f>
        <v>0.1</v>
      </c>
      <c r="S151" s="10" t="n">
        <f aca="false">J151-R151</f>
        <v>1.3</v>
      </c>
      <c r="T151" s="10" t="n">
        <f aca="false">MIN(138.9,(T150+S151))</f>
        <v>127.889594594595</v>
      </c>
      <c r="V151" s="7" t="n">
        <v>127.1</v>
      </c>
      <c r="X151" s="7" t="n">
        <f aca="false">X150+V151</f>
        <v>64518.7</v>
      </c>
      <c r="Y151" s="7" t="n">
        <f aca="false">Y150+V151</f>
        <v>4294.5</v>
      </c>
      <c r="AA151" s="7" t="n">
        <v>8.4474453858254</v>
      </c>
    </row>
    <row r="152" s="7" customFormat="true" ht="15" hidden="false" customHeight="false" outlineLevel="0" collapsed="false">
      <c r="A152" s="21"/>
      <c r="B152" s="13"/>
      <c r="C152" s="8" t="n">
        <v>41998</v>
      </c>
      <c r="D152" s="7" t="n">
        <v>5.4</v>
      </c>
      <c r="E152" s="7" t="n">
        <v>4</v>
      </c>
      <c r="F152" s="7" t="n">
        <v>8.9</v>
      </c>
      <c r="G152" s="7" t="n">
        <f aca="false">G151+D152</f>
        <v>1214.3</v>
      </c>
      <c r="H152" s="7" t="n">
        <f aca="false">H151+D152</f>
        <v>151.1</v>
      </c>
      <c r="J152" s="7" t="n">
        <v>0</v>
      </c>
      <c r="K152" s="7" t="n">
        <f aca="false">K151+J152</f>
        <v>190.2</v>
      </c>
      <c r="L152" s="7" t="n">
        <v>0.4</v>
      </c>
      <c r="M152" s="7" t="n">
        <f aca="false">M151+L152</f>
        <v>127.7</v>
      </c>
      <c r="N152" s="9" t="n">
        <v>-0.4</v>
      </c>
      <c r="O152" s="7" t="n">
        <f aca="false">O151+N152</f>
        <v>111.8</v>
      </c>
      <c r="P152" s="7" t="n">
        <v>108</v>
      </c>
      <c r="Q152" s="7" t="n">
        <v>1</v>
      </c>
      <c r="R152" s="10" t="n">
        <f aca="false">Q152*L152</f>
        <v>0.4</v>
      </c>
      <c r="S152" s="10" t="n">
        <f aca="false">J152-R152</f>
        <v>-0.4</v>
      </c>
      <c r="T152" s="10" t="n">
        <f aca="false">MIN(138.9,(T151+S152))</f>
        <v>127.489594594595</v>
      </c>
      <c r="V152" s="7" t="n">
        <v>268.9</v>
      </c>
      <c r="X152" s="7" t="n">
        <f aca="false">X151+V152</f>
        <v>64787.6</v>
      </c>
      <c r="Y152" s="7" t="n">
        <f aca="false">Y151+V152</f>
        <v>4563.4</v>
      </c>
      <c r="AA152" s="7" t="n">
        <v>8.45197385107664</v>
      </c>
    </row>
    <row r="153" s="7" customFormat="true" ht="15" hidden="false" customHeight="false" outlineLevel="0" collapsed="false">
      <c r="A153" s="21"/>
      <c r="B153" s="22"/>
      <c r="C153" s="8" t="n">
        <v>41999</v>
      </c>
      <c r="D153" s="7" t="n">
        <v>2.9</v>
      </c>
      <c r="E153" s="7" t="n">
        <v>-1.3</v>
      </c>
      <c r="F153" s="7" t="n">
        <v>8.3</v>
      </c>
      <c r="G153" s="7" t="n">
        <f aca="false">G152+D153</f>
        <v>1217.2</v>
      </c>
      <c r="H153" s="7" t="n">
        <f aca="false">H152+D153</f>
        <v>154</v>
      </c>
      <c r="J153" s="7" t="n">
        <v>9.1</v>
      </c>
      <c r="K153" s="7" t="n">
        <f aca="false">K152+J153</f>
        <v>199.3</v>
      </c>
      <c r="L153" s="7" t="n">
        <v>0.4</v>
      </c>
      <c r="M153" s="7" t="n">
        <f aca="false">M152+L153</f>
        <v>128.1</v>
      </c>
      <c r="N153" s="7" t="n">
        <v>8.7</v>
      </c>
      <c r="O153" s="7" t="n">
        <f aca="false">O152+N153</f>
        <v>120.5</v>
      </c>
      <c r="P153" s="7" t="n">
        <v>109</v>
      </c>
      <c r="Q153" s="7" t="n">
        <v>1</v>
      </c>
      <c r="R153" s="10" t="n">
        <f aca="false">Q153*L153</f>
        <v>0.4</v>
      </c>
      <c r="S153" s="10" t="n">
        <f aca="false">J153-R153</f>
        <v>8.7</v>
      </c>
      <c r="T153" s="10" t="n">
        <f aca="false">MIN(138.9,(T152+S153))</f>
        <v>136.189594594595</v>
      </c>
      <c r="V153" s="7" t="n">
        <v>155.2</v>
      </c>
      <c r="X153" s="7" t="n">
        <f aca="false">X152+V153</f>
        <v>64942.8</v>
      </c>
      <c r="Y153" s="7" t="n">
        <f aca="false">Y152+V153</f>
        <v>4718.6</v>
      </c>
      <c r="AA153" s="7" t="n">
        <v>8.45799695287073</v>
      </c>
    </row>
    <row r="154" s="7" customFormat="true" ht="15" hidden="false" customHeight="false" outlineLevel="0" collapsed="false">
      <c r="A154" s="21"/>
      <c r="B154" s="13"/>
      <c r="C154" s="8" t="n">
        <v>42000</v>
      </c>
      <c r="D154" s="7" t="n">
        <v>5.8</v>
      </c>
      <c r="E154" s="7" t="n">
        <v>4.2</v>
      </c>
      <c r="F154" s="7" t="n">
        <v>8.1</v>
      </c>
      <c r="G154" s="7" t="n">
        <f aca="false">G153+D154</f>
        <v>1223</v>
      </c>
      <c r="H154" s="7" t="n">
        <f aca="false">H153+D154</f>
        <v>159.8</v>
      </c>
      <c r="J154" s="7" t="n">
        <v>0.1</v>
      </c>
      <c r="K154" s="7" t="n">
        <f aca="false">K153+J154</f>
        <v>199.4</v>
      </c>
      <c r="L154" s="7" t="n">
        <v>1.2</v>
      </c>
      <c r="M154" s="7" t="n">
        <f aca="false">M153+L154</f>
        <v>129.3</v>
      </c>
      <c r="N154" s="9" t="n">
        <v>-1.1</v>
      </c>
      <c r="O154" s="7" t="n">
        <f aca="false">O153+N154</f>
        <v>119.4</v>
      </c>
      <c r="P154" s="7" t="n">
        <v>110</v>
      </c>
      <c r="Q154" s="7" t="n">
        <v>1</v>
      </c>
      <c r="R154" s="10" t="n">
        <f aca="false">Q154*L154</f>
        <v>1.2</v>
      </c>
      <c r="S154" s="10" t="n">
        <f aca="false">J154-R154</f>
        <v>-1.1</v>
      </c>
      <c r="T154" s="10" t="n">
        <f aca="false">MIN(138.9,(T153+S154))</f>
        <v>135.089594594595</v>
      </c>
      <c r="V154" s="7" t="n">
        <v>173.5</v>
      </c>
      <c r="X154" s="7" t="n">
        <f aca="false">X153+V154</f>
        <v>65116.3</v>
      </c>
      <c r="Y154" s="7" t="n">
        <f aca="false">Y153+V154</f>
        <v>4892.1</v>
      </c>
      <c r="AA154" s="7" t="n">
        <v>8.46550819064236</v>
      </c>
    </row>
    <row r="155" s="7" customFormat="true" ht="15" hidden="false" customHeight="false" outlineLevel="0" collapsed="false">
      <c r="A155" s="21"/>
      <c r="B155" s="22"/>
      <c r="C155" s="8" t="n">
        <v>42001</v>
      </c>
      <c r="D155" s="7" t="n">
        <v>-0.3</v>
      </c>
      <c r="E155" s="7" t="n">
        <v>-1.5</v>
      </c>
      <c r="F155" s="7" t="n">
        <v>1.3</v>
      </c>
      <c r="G155" s="7" t="n">
        <v>1223</v>
      </c>
      <c r="H155" s="7" t="n">
        <v>159.8</v>
      </c>
      <c r="J155" s="7" t="n">
        <v>0</v>
      </c>
      <c r="K155" s="7" t="n">
        <f aca="false">K154+J155</f>
        <v>199.4</v>
      </c>
      <c r="L155" s="7" t="n">
        <v>0.7</v>
      </c>
      <c r="M155" s="7" t="n">
        <f aca="false">M154+L155</f>
        <v>130</v>
      </c>
      <c r="N155" s="9" t="n">
        <v>-0.7</v>
      </c>
      <c r="O155" s="7" t="n">
        <f aca="false">O154+N155</f>
        <v>118.7</v>
      </c>
      <c r="P155" s="7" t="n">
        <v>111</v>
      </c>
      <c r="Q155" s="7" t="n">
        <v>1</v>
      </c>
      <c r="R155" s="10" t="n">
        <f aca="false">Q155*L155</f>
        <v>0.7</v>
      </c>
      <c r="S155" s="10" t="n">
        <f aca="false">J155-R155</f>
        <v>-0.7</v>
      </c>
      <c r="T155" s="10" t="n">
        <f aca="false">MIN(138.9,(T154+S155))</f>
        <v>134.389594594595</v>
      </c>
      <c r="V155" s="7" t="n">
        <v>203.3</v>
      </c>
      <c r="X155" s="7" t="n">
        <f aca="false">X154+V155</f>
        <v>65319.6</v>
      </c>
      <c r="Y155" s="7" t="n">
        <f aca="false">Y154+V155</f>
        <v>5095.4</v>
      </c>
      <c r="AA155" s="7" t="n">
        <v>8.47449935697771</v>
      </c>
    </row>
    <row r="156" s="7" customFormat="true" ht="15" hidden="false" customHeight="false" outlineLevel="0" collapsed="false">
      <c r="A156" s="21"/>
      <c r="B156" s="22"/>
      <c r="C156" s="8" t="n">
        <v>42002</v>
      </c>
      <c r="D156" s="7" t="n">
        <v>-1.9</v>
      </c>
      <c r="E156" s="7" t="n">
        <v>-5.6</v>
      </c>
      <c r="F156" s="7" t="n">
        <v>1</v>
      </c>
      <c r="G156" s="7" t="n">
        <v>1223</v>
      </c>
      <c r="H156" s="7" t="n">
        <v>159.8</v>
      </c>
      <c r="J156" s="7" t="n">
        <v>0</v>
      </c>
      <c r="K156" s="7" t="n">
        <f aca="false">K155+J156</f>
        <v>199.4</v>
      </c>
      <c r="L156" s="7" t="n">
        <v>0.3</v>
      </c>
      <c r="M156" s="7" t="n">
        <f aca="false">M155+L156</f>
        <v>130.3</v>
      </c>
      <c r="N156" s="9" t="n">
        <v>-0.3</v>
      </c>
      <c r="O156" s="7" t="n">
        <f aca="false">O155+N156</f>
        <v>118.4</v>
      </c>
      <c r="P156" s="7" t="n">
        <v>112</v>
      </c>
      <c r="Q156" s="7" t="n">
        <v>1</v>
      </c>
      <c r="R156" s="10" t="n">
        <f aca="false">Q156*L156</f>
        <v>0.3</v>
      </c>
      <c r="S156" s="10" t="n">
        <f aca="false">J156-R156</f>
        <v>-0.3</v>
      </c>
      <c r="T156" s="10" t="n">
        <f aca="false">MIN(138.9,(T155+S156))</f>
        <v>134.089594594595</v>
      </c>
      <c r="V156" s="7" t="n">
        <v>253</v>
      </c>
      <c r="X156" s="7" t="n">
        <f aca="false">X155+V156</f>
        <v>65572.6</v>
      </c>
      <c r="Y156" s="7" t="n">
        <f aca="false">Y155+V156</f>
        <v>5348.4</v>
      </c>
      <c r="AA156" s="7" t="n">
        <v>8.48496057224903</v>
      </c>
    </row>
    <row r="157" s="7" customFormat="true" ht="15" hidden="false" customHeight="false" outlineLevel="0" collapsed="false">
      <c r="A157" s="21"/>
      <c r="B157" s="22"/>
      <c r="C157" s="8" t="n">
        <v>42003</v>
      </c>
      <c r="D157" s="7" t="n">
        <v>-0.1</v>
      </c>
      <c r="E157" s="7" t="n">
        <v>-1.7</v>
      </c>
      <c r="F157" s="7" t="n">
        <v>1.7</v>
      </c>
      <c r="G157" s="7" t="n">
        <v>1223</v>
      </c>
      <c r="H157" s="7" t="n">
        <v>159.8</v>
      </c>
      <c r="J157" s="7" t="n">
        <v>0.1</v>
      </c>
      <c r="K157" s="7" t="n">
        <f aca="false">K156+J157</f>
        <v>199.5</v>
      </c>
      <c r="L157" s="7" t="n">
        <v>0.2</v>
      </c>
      <c r="M157" s="7" t="n">
        <f aca="false">M156+L157</f>
        <v>130.5</v>
      </c>
      <c r="N157" s="9" t="n">
        <v>-0.1</v>
      </c>
      <c r="O157" s="7" t="n">
        <f aca="false">O156+N157</f>
        <v>118.3</v>
      </c>
      <c r="P157" s="7" t="n">
        <v>113</v>
      </c>
      <c r="Q157" s="7" t="n">
        <v>1</v>
      </c>
      <c r="R157" s="10" t="n">
        <f aca="false">Q157*L157</f>
        <v>0.2</v>
      </c>
      <c r="S157" s="10" t="n">
        <f aca="false">J157-R157</f>
        <v>-0.1</v>
      </c>
      <c r="T157" s="10" t="n">
        <f aca="false">MIN(138.9,(T156+S157))</f>
        <v>133.989594594595</v>
      </c>
      <c r="V157" s="7" t="n">
        <v>159.6</v>
      </c>
      <c r="X157" s="7" t="n">
        <f aca="false">X156+V157</f>
        <v>65732.2</v>
      </c>
      <c r="Y157" s="7" t="n">
        <f aca="false">Y156+V157</f>
        <v>5508</v>
      </c>
      <c r="AA157" s="7" t="n">
        <v>8.49688032598459</v>
      </c>
    </row>
    <row r="158" s="7" customFormat="true" ht="15" hidden="false" customHeight="false" outlineLevel="0" collapsed="false">
      <c r="A158" s="21"/>
      <c r="B158" s="22"/>
      <c r="C158" s="8" t="n">
        <v>42004</v>
      </c>
      <c r="D158" s="7" t="n">
        <v>-0.2</v>
      </c>
      <c r="E158" s="7" t="n">
        <v>-1</v>
      </c>
      <c r="F158" s="7" t="n">
        <v>3.4</v>
      </c>
      <c r="G158" s="7" t="n">
        <v>1223</v>
      </c>
      <c r="H158" s="7" t="n">
        <v>159.8</v>
      </c>
      <c r="J158" s="7" t="n">
        <v>0</v>
      </c>
      <c r="K158" s="7" t="n">
        <f aca="false">K157+J158</f>
        <v>199.5</v>
      </c>
      <c r="L158" s="7" t="n">
        <v>0.5</v>
      </c>
      <c r="M158" s="7" t="n">
        <f aca="false">M157+L158</f>
        <v>131</v>
      </c>
      <c r="N158" s="9" t="n">
        <v>-0.5</v>
      </c>
      <c r="O158" s="7" t="n">
        <f aca="false">O157+N158</f>
        <v>117.8</v>
      </c>
      <c r="P158" s="7" t="n">
        <v>114</v>
      </c>
      <c r="Q158" s="7" t="n">
        <v>1</v>
      </c>
      <c r="R158" s="10" t="n">
        <f aca="false">Q158*L158</f>
        <v>0.5</v>
      </c>
      <c r="S158" s="10" t="n">
        <f aca="false">J158-R158</f>
        <v>-0.5</v>
      </c>
      <c r="T158" s="10" t="n">
        <f aca="false">MIN(138.9,(T157+S158))</f>
        <v>133.489594594595</v>
      </c>
      <c r="V158" s="7" t="n">
        <v>422.5</v>
      </c>
      <c r="X158" s="7" t="n">
        <f aca="false">X157+V158</f>
        <v>66154.7</v>
      </c>
      <c r="Y158" s="7" t="n">
        <f aca="false">Y157+V158</f>
        <v>5930.5</v>
      </c>
      <c r="AA158" s="7" t="n">
        <v>8.51455615222843</v>
      </c>
    </row>
    <row r="159" s="7" customFormat="true" ht="15" hidden="false" customHeight="false" outlineLevel="0" collapsed="false">
      <c r="A159" s="21"/>
      <c r="B159" s="22"/>
      <c r="C159" s="8" t="n">
        <v>42005</v>
      </c>
      <c r="D159" s="7" t="n">
        <v>-0.2</v>
      </c>
      <c r="E159" s="7" t="n">
        <v>-4.5</v>
      </c>
      <c r="F159" s="7" t="n">
        <v>4.7</v>
      </c>
      <c r="G159" s="7" t="n">
        <v>1223</v>
      </c>
      <c r="H159" s="7" t="n">
        <v>159.8</v>
      </c>
      <c r="J159" s="7" t="n">
        <v>0.2</v>
      </c>
      <c r="K159" s="7" t="n">
        <f aca="false">K158+J159</f>
        <v>199.7</v>
      </c>
      <c r="L159" s="7" t="n">
        <v>0.5</v>
      </c>
      <c r="M159" s="7" t="n">
        <f aca="false">M158+L159</f>
        <v>131.5</v>
      </c>
      <c r="N159" s="9" t="n">
        <v>-0.3</v>
      </c>
      <c r="O159" s="7" t="n">
        <f aca="false">O158+N159</f>
        <v>117.5</v>
      </c>
      <c r="P159" s="7" t="n">
        <v>115</v>
      </c>
      <c r="Q159" s="7" t="n">
        <v>1</v>
      </c>
      <c r="R159" s="10" t="n">
        <f aca="false">Q159*L159</f>
        <v>0.5</v>
      </c>
      <c r="S159" s="10" t="n">
        <f aca="false">J159-R159</f>
        <v>-0.3</v>
      </c>
      <c r="T159" s="10" t="n">
        <f aca="false">MIN(138.9,(T158+S159))</f>
        <v>133.189594594595</v>
      </c>
      <c r="V159" s="7" t="n">
        <v>651.1</v>
      </c>
      <c r="X159" s="7" t="n">
        <f aca="false">X158+V159</f>
        <v>66805.8</v>
      </c>
      <c r="Y159" s="7" t="n">
        <f aca="false">Y158+V159</f>
        <v>6581.6</v>
      </c>
      <c r="AA159" s="7" t="n">
        <v>8.52978043303234</v>
      </c>
    </row>
    <row r="160" s="7" customFormat="true" ht="15" hidden="false" customHeight="false" outlineLevel="0" collapsed="false">
      <c r="A160" s="21"/>
      <c r="B160" s="22"/>
      <c r="C160" s="8" t="n">
        <v>42006</v>
      </c>
      <c r="D160" s="7" t="n">
        <v>3.2</v>
      </c>
      <c r="E160" s="7" t="n">
        <v>-0.7</v>
      </c>
      <c r="F160" s="7" t="n">
        <v>5</v>
      </c>
      <c r="G160" s="7" t="n">
        <f aca="false">G159+D160</f>
        <v>1226.2</v>
      </c>
      <c r="H160" s="7" t="n">
        <f aca="false">H159+D160</f>
        <v>163</v>
      </c>
      <c r="J160" s="7" t="n">
        <v>1.6</v>
      </c>
      <c r="K160" s="7" t="n">
        <f aca="false">K159+J160</f>
        <v>201.3</v>
      </c>
      <c r="L160" s="7" t="n">
        <v>0.1</v>
      </c>
      <c r="M160" s="7" t="n">
        <f aca="false">M159+L160</f>
        <v>131.6</v>
      </c>
      <c r="N160" s="7" t="n">
        <v>1.5</v>
      </c>
      <c r="O160" s="7" t="n">
        <f aca="false">O159+N160</f>
        <v>119</v>
      </c>
      <c r="P160" s="7" t="n">
        <v>116</v>
      </c>
      <c r="Q160" s="7" t="n">
        <v>1</v>
      </c>
      <c r="R160" s="10" t="n">
        <f aca="false">Q160*L160</f>
        <v>0.1</v>
      </c>
      <c r="S160" s="10" t="n">
        <f aca="false">J160-R160</f>
        <v>1.5</v>
      </c>
      <c r="T160" s="10" t="n">
        <f aca="false">MIN(138.9,(T159+S160))</f>
        <v>134.689594594595</v>
      </c>
      <c r="V160" s="7" t="n">
        <v>121.4</v>
      </c>
      <c r="X160" s="7" t="n">
        <f aca="false">X159+V160</f>
        <v>66927.2</v>
      </c>
      <c r="Y160" s="7" t="n">
        <f aca="false">Y159+V160</f>
        <v>6703</v>
      </c>
      <c r="AA160" s="7" t="n">
        <v>8.54641431225058</v>
      </c>
    </row>
    <row r="161" s="7" customFormat="true" ht="15" hidden="false" customHeight="false" outlineLevel="0" collapsed="false">
      <c r="A161" s="21"/>
      <c r="B161" s="13"/>
      <c r="C161" s="8" t="n">
        <v>42007</v>
      </c>
      <c r="D161" s="7" t="n">
        <v>9.2</v>
      </c>
      <c r="E161" s="7" t="n">
        <v>3.9</v>
      </c>
      <c r="F161" s="7" t="n">
        <v>12.1</v>
      </c>
      <c r="G161" s="7" t="n">
        <f aca="false">G160+D161</f>
        <v>1235.4</v>
      </c>
      <c r="H161" s="7" t="n">
        <f aca="false">H160+D161</f>
        <v>172.2</v>
      </c>
      <c r="J161" s="7" t="n">
        <v>2.2</v>
      </c>
      <c r="K161" s="7" t="n">
        <f aca="false">K160+J161</f>
        <v>203.5</v>
      </c>
      <c r="L161" s="7" t="n">
        <v>0</v>
      </c>
      <c r="M161" s="7" t="n">
        <f aca="false">M160+L161</f>
        <v>131.6</v>
      </c>
      <c r="N161" s="7" t="n">
        <v>2.2</v>
      </c>
      <c r="O161" s="7" t="n">
        <f aca="false">O160+N161</f>
        <v>121.2</v>
      </c>
      <c r="P161" s="7" t="n">
        <v>117</v>
      </c>
      <c r="Q161" s="7" t="n">
        <v>1</v>
      </c>
      <c r="R161" s="10" t="n">
        <f aca="false">Q161*L161</f>
        <v>0</v>
      </c>
      <c r="S161" s="10" t="n">
        <f aca="false">J161-R161</f>
        <v>2.2</v>
      </c>
      <c r="T161" s="10" t="n">
        <f aca="false">MIN(138.9,(T160+S161))</f>
        <v>136.889594594595</v>
      </c>
      <c r="V161" s="7" t="n">
        <v>62.5</v>
      </c>
      <c r="X161" s="7" t="n">
        <f aca="false">X160+V161</f>
        <v>66989.7</v>
      </c>
      <c r="Y161" s="7" t="n">
        <f aca="false">Y160+V161</f>
        <v>6765.5</v>
      </c>
      <c r="AA161" s="7" t="n">
        <v>8.56443988042291</v>
      </c>
    </row>
    <row r="162" s="7" customFormat="true" ht="15" hidden="false" customHeight="false" outlineLevel="0" collapsed="false">
      <c r="A162" s="21"/>
      <c r="B162" s="13"/>
      <c r="C162" s="8" t="n">
        <v>42008</v>
      </c>
      <c r="D162" s="7" t="n">
        <v>6.3</v>
      </c>
      <c r="E162" s="7" t="n">
        <v>3.8</v>
      </c>
      <c r="F162" s="7" t="n">
        <v>8.7</v>
      </c>
      <c r="G162" s="7" t="n">
        <f aca="false">G161+D162</f>
        <v>1241.7</v>
      </c>
      <c r="H162" s="7" t="n">
        <f aca="false">H161+D162</f>
        <v>178.5</v>
      </c>
      <c r="J162" s="7" t="n">
        <v>0.2</v>
      </c>
      <c r="K162" s="7" t="n">
        <f aca="false">K161+J162</f>
        <v>203.7</v>
      </c>
      <c r="L162" s="7" t="n">
        <v>0.1</v>
      </c>
      <c r="M162" s="7" t="n">
        <f aca="false">M161+L162</f>
        <v>131.7</v>
      </c>
      <c r="N162" s="7" t="n">
        <v>0.1</v>
      </c>
      <c r="O162" s="7" t="n">
        <f aca="false">O161+N162</f>
        <v>121.3</v>
      </c>
      <c r="P162" s="7" t="n">
        <v>118</v>
      </c>
      <c r="Q162" s="7" t="n">
        <v>1</v>
      </c>
      <c r="R162" s="10" t="n">
        <f aca="false">Q162*L162</f>
        <v>0.1</v>
      </c>
      <c r="S162" s="10" t="n">
        <f aca="false">J162-R162</f>
        <v>0.1</v>
      </c>
      <c r="T162" s="10" t="n">
        <f aca="false">MIN(138.9,(T161+S162))</f>
        <v>136.989594594595</v>
      </c>
      <c r="V162" s="7" t="n">
        <v>108</v>
      </c>
      <c r="X162" s="7" t="n">
        <f aca="false">X161+V162</f>
        <v>67097.7</v>
      </c>
      <c r="Y162" s="7" t="n">
        <f aca="false">Y161+V162</f>
        <v>6873.5</v>
      </c>
      <c r="AA162" s="7" t="n">
        <v>8.5838379125656</v>
      </c>
    </row>
    <row r="163" s="7" customFormat="true" ht="15" hidden="false" customHeight="false" outlineLevel="0" collapsed="false">
      <c r="A163" s="21"/>
      <c r="B163" s="22"/>
      <c r="C163" s="8" t="n">
        <v>42009</v>
      </c>
      <c r="D163" s="7" t="n">
        <v>1.9</v>
      </c>
      <c r="E163" s="7" t="n">
        <v>0.7</v>
      </c>
      <c r="F163" s="7" t="n">
        <v>3.2</v>
      </c>
      <c r="G163" s="7" t="n">
        <f aca="false">G162+D163</f>
        <v>1243.6</v>
      </c>
      <c r="H163" s="7" t="n">
        <f aca="false">H162+D163</f>
        <v>180.4</v>
      </c>
      <c r="J163" s="7" t="n">
        <v>0</v>
      </c>
      <c r="K163" s="7" t="n">
        <f aca="false">K162+J163</f>
        <v>203.7</v>
      </c>
      <c r="L163" s="7" t="n">
        <v>0.4</v>
      </c>
      <c r="M163" s="7" t="n">
        <f aca="false">M162+L163</f>
        <v>132.1</v>
      </c>
      <c r="N163" s="9" t="n">
        <v>-0.4</v>
      </c>
      <c r="O163" s="7" t="n">
        <f aca="false">O162+N163</f>
        <v>120.9</v>
      </c>
      <c r="P163" s="7" t="n">
        <v>119</v>
      </c>
      <c r="Q163" s="7" t="n">
        <v>1</v>
      </c>
      <c r="R163" s="10" t="n">
        <f aca="false">Q163*L163</f>
        <v>0.4</v>
      </c>
      <c r="S163" s="10" t="n">
        <f aca="false">J163-R163</f>
        <v>-0.4</v>
      </c>
      <c r="T163" s="10" t="n">
        <f aca="false">MIN(138.9,(T162+S163))</f>
        <v>136.589594594595</v>
      </c>
      <c r="V163" s="7" t="n">
        <v>356.7</v>
      </c>
      <c r="X163" s="7" t="n">
        <f aca="false">X162+V163</f>
        <v>67454.4</v>
      </c>
      <c r="Y163" s="7" t="n">
        <f aca="false">Y162+V163</f>
        <v>7230.2</v>
      </c>
      <c r="AA163" s="7" t="n">
        <v>8.60458794202702</v>
      </c>
    </row>
    <row r="164" s="7" customFormat="true" ht="15" hidden="false" customHeight="false" outlineLevel="0" collapsed="false">
      <c r="A164" s="21"/>
      <c r="B164" s="22"/>
      <c r="C164" s="8" t="n">
        <v>42010</v>
      </c>
      <c r="D164" s="7" t="n">
        <v>2.3</v>
      </c>
      <c r="E164" s="7" t="n">
        <v>-1</v>
      </c>
      <c r="F164" s="7" t="n">
        <v>5.2</v>
      </c>
      <c r="G164" s="7" t="n">
        <f aca="false">G163+D164</f>
        <v>1245.9</v>
      </c>
      <c r="H164" s="7" t="n">
        <f aca="false">H163+D164</f>
        <v>182.7</v>
      </c>
      <c r="J164" s="7" t="n">
        <v>1.3</v>
      </c>
      <c r="K164" s="7" t="n">
        <f aca="false">K163+J164</f>
        <v>205</v>
      </c>
      <c r="L164" s="7" t="n">
        <v>0.2</v>
      </c>
      <c r="M164" s="7" t="n">
        <f aca="false">M163+L164</f>
        <v>132.3</v>
      </c>
      <c r="N164" s="7" t="n">
        <v>1.1</v>
      </c>
      <c r="O164" s="7" t="n">
        <f aca="false">O163+N164</f>
        <v>122</v>
      </c>
      <c r="P164" s="7" t="n">
        <v>120</v>
      </c>
      <c r="Q164" s="7" t="n">
        <v>1</v>
      </c>
      <c r="R164" s="10" t="n">
        <f aca="false">Q164*L164</f>
        <v>0.2</v>
      </c>
      <c r="S164" s="10" t="n">
        <f aca="false">J164-R164</f>
        <v>1.1</v>
      </c>
      <c r="T164" s="10" t="n">
        <f aca="false">MIN(138.9,(T163+S164))</f>
        <v>137.689594594595</v>
      </c>
      <c r="V164" s="7" t="n">
        <v>192.2</v>
      </c>
      <c r="X164" s="7" t="n">
        <f aca="false">X163+V164</f>
        <v>67646.6</v>
      </c>
      <c r="Y164" s="7" t="n">
        <f aca="false">Y163+V164</f>
        <v>7422.4</v>
      </c>
      <c r="AA164" s="7" t="n">
        <v>8.62666833758886</v>
      </c>
    </row>
    <row r="165" s="7" customFormat="true" ht="15" hidden="false" customHeight="false" outlineLevel="0" collapsed="false">
      <c r="A165" s="21"/>
      <c r="B165" s="13"/>
      <c r="C165" s="8" t="n">
        <v>42011</v>
      </c>
      <c r="D165" s="7" t="n">
        <v>5.7</v>
      </c>
      <c r="E165" s="7" t="n">
        <v>4.6</v>
      </c>
      <c r="F165" s="7" t="n">
        <v>9.1</v>
      </c>
      <c r="G165" s="7" t="n">
        <f aca="false">G164+D165</f>
        <v>1251.6</v>
      </c>
      <c r="H165" s="7" t="n">
        <f aca="false">H164+D165</f>
        <v>188.4</v>
      </c>
      <c r="J165" s="7" t="n">
        <v>0</v>
      </c>
      <c r="K165" s="7" t="n">
        <f aca="false">K164+J165</f>
        <v>205</v>
      </c>
      <c r="L165" s="7" t="n">
        <v>0.4</v>
      </c>
      <c r="M165" s="7" t="n">
        <f aca="false">M164+L165</f>
        <v>132.7</v>
      </c>
      <c r="N165" s="9" t="n">
        <v>-0.4</v>
      </c>
      <c r="O165" s="7" t="n">
        <f aca="false">O164+N165</f>
        <v>121.6</v>
      </c>
      <c r="P165" s="7" t="n">
        <v>121</v>
      </c>
      <c r="Q165" s="7" t="n">
        <v>1</v>
      </c>
      <c r="R165" s="10" t="n">
        <f aca="false">Q165*L165</f>
        <v>0.4</v>
      </c>
      <c r="S165" s="10" t="n">
        <f aca="false">J165-R165</f>
        <v>-0.4</v>
      </c>
      <c r="T165" s="10" t="n">
        <f aca="false">MIN(138.9,(T164+S165))</f>
        <v>137.289594594595</v>
      </c>
      <c r="V165" s="7" t="n">
        <v>204.4</v>
      </c>
      <c r="X165" s="7" t="n">
        <f aca="false">X164+V165</f>
        <v>67851</v>
      </c>
      <c r="Y165" s="7" t="n">
        <f aca="false">Y164+V165</f>
        <v>7626.8</v>
      </c>
      <c r="AA165" s="7" t="n">
        <v>8.65005638324334</v>
      </c>
    </row>
    <row r="166" s="7" customFormat="true" ht="15" hidden="false" customHeight="false" outlineLevel="0" collapsed="false">
      <c r="A166" s="21"/>
      <c r="B166" s="13"/>
      <c r="C166" s="8" t="n">
        <v>42012</v>
      </c>
      <c r="D166" s="7" t="n">
        <v>8.2</v>
      </c>
      <c r="E166" s="7" t="n">
        <v>5.5</v>
      </c>
      <c r="F166" s="7" t="n">
        <v>9.6</v>
      </c>
      <c r="G166" s="7" t="n">
        <f aca="false">G165+D166</f>
        <v>1259.8</v>
      </c>
      <c r="H166" s="7" t="n">
        <f aca="false">H165+D166</f>
        <v>196.6</v>
      </c>
      <c r="J166" s="7" t="n">
        <v>2.5</v>
      </c>
      <c r="K166" s="7" t="n">
        <f aca="false">K165+J166</f>
        <v>207.5</v>
      </c>
      <c r="L166" s="7" t="n">
        <v>0.1</v>
      </c>
      <c r="M166" s="7" t="n">
        <f aca="false">M165+L166</f>
        <v>132.8</v>
      </c>
      <c r="N166" s="7" t="n">
        <v>2.4</v>
      </c>
      <c r="O166" s="7" t="n">
        <f aca="false">O165+N166</f>
        <v>124</v>
      </c>
      <c r="P166" s="7" t="n">
        <v>122</v>
      </c>
      <c r="Q166" s="7" t="n">
        <v>1</v>
      </c>
      <c r="R166" s="10" t="n">
        <f aca="false">Q166*L166</f>
        <v>0.1</v>
      </c>
      <c r="S166" s="10" t="n">
        <f aca="false">J166-R166</f>
        <v>2.4</v>
      </c>
      <c r="T166" s="10" t="n">
        <f aca="false">MIN(138.9,(T165+S166))</f>
        <v>138.9</v>
      </c>
      <c r="V166" s="7" t="n">
        <v>107.5</v>
      </c>
      <c r="X166" s="7" t="n">
        <f aca="false">X165+V166</f>
        <v>67958.5</v>
      </c>
      <c r="Y166" s="7" t="n">
        <f aca="false">Y165+V166</f>
        <v>7734.3</v>
      </c>
      <c r="AA166" s="7" t="n">
        <v>8.67472836007596</v>
      </c>
    </row>
    <row r="167" s="7" customFormat="true" ht="15" hidden="false" customHeight="false" outlineLevel="0" collapsed="false">
      <c r="A167" s="21"/>
      <c r="B167" s="13"/>
      <c r="C167" s="8" t="n">
        <v>42013</v>
      </c>
      <c r="D167" s="7" t="n">
        <v>11</v>
      </c>
      <c r="E167" s="7" t="n">
        <v>5.7</v>
      </c>
      <c r="F167" s="7" t="n">
        <v>12.9</v>
      </c>
      <c r="G167" s="7" t="n">
        <f aca="false">G166+D167</f>
        <v>1270.8</v>
      </c>
      <c r="H167" s="7" t="n">
        <f aca="false">H166+D167</f>
        <v>207.6</v>
      </c>
      <c r="J167" s="7" t="n">
        <v>1.8</v>
      </c>
      <c r="K167" s="7" t="n">
        <f aca="false">K166+J167</f>
        <v>209.3</v>
      </c>
      <c r="L167" s="7" t="n">
        <v>0.1</v>
      </c>
      <c r="M167" s="7" t="n">
        <f aca="false">M166+L167</f>
        <v>132.9</v>
      </c>
      <c r="N167" s="7" t="n">
        <v>1.7</v>
      </c>
      <c r="O167" s="7" t="n">
        <f aca="false">O166+N167</f>
        <v>125.7</v>
      </c>
      <c r="P167" s="7" t="n">
        <v>123</v>
      </c>
      <c r="Q167" s="7" t="n">
        <v>1</v>
      </c>
      <c r="R167" s="10" t="n">
        <f aca="false">Q167*L167</f>
        <v>0.1</v>
      </c>
      <c r="S167" s="10" t="n">
        <f aca="false">J167-R167</f>
        <v>1.7</v>
      </c>
      <c r="T167" s="10" t="n">
        <f aca="false">MIN(138.9,(T166+S167))</f>
        <v>138.9</v>
      </c>
      <c r="V167" s="7" t="n">
        <v>129.4</v>
      </c>
      <c r="X167" s="7" t="n">
        <f aca="false">X166+V167</f>
        <v>68087.9</v>
      </c>
      <c r="Y167" s="7" t="n">
        <f aca="false">Y166+V167</f>
        <v>7863.7</v>
      </c>
      <c r="AA167" s="7" t="n">
        <v>8.70065962968845</v>
      </c>
    </row>
    <row r="168" s="7" customFormat="true" ht="15" hidden="false" customHeight="false" outlineLevel="0" collapsed="false">
      <c r="A168" s="21"/>
      <c r="B168" s="13"/>
      <c r="C168" s="8" t="n">
        <v>42014</v>
      </c>
      <c r="D168" s="7" t="n">
        <v>11.2</v>
      </c>
      <c r="E168" s="7" t="n">
        <v>11.4</v>
      </c>
      <c r="F168" s="7" t="n">
        <v>12.3</v>
      </c>
      <c r="G168" s="7" t="n">
        <f aca="false">G167+D168</f>
        <v>1282</v>
      </c>
      <c r="H168" s="7" t="n">
        <f aca="false">H167+D168</f>
        <v>218.8</v>
      </c>
      <c r="J168" s="7" t="n">
        <v>4.7</v>
      </c>
      <c r="K168" s="7" t="n">
        <f aca="false">K167+J168</f>
        <v>214</v>
      </c>
      <c r="L168" s="7" t="n">
        <v>0.6</v>
      </c>
      <c r="M168" s="7" t="n">
        <f aca="false">M167+L168</f>
        <v>133.5</v>
      </c>
      <c r="N168" s="7" t="n">
        <v>4.1</v>
      </c>
      <c r="O168" s="7" t="n">
        <f aca="false">O167+N168</f>
        <v>129.8</v>
      </c>
      <c r="P168" s="7" t="n">
        <v>124</v>
      </c>
      <c r="Q168" s="7" t="n">
        <v>1</v>
      </c>
      <c r="R168" s="10" t="n">
        <f aca="false">Q168*L168</f>
        <v>0.6</v>
      </c>
      <c r="S168" s="10" t="n">
        <f aca="false">J168-R168</f>
        <v>4.1</v>
      </c>
      <c r="T168" s="10" t="n">
        <f aca="false">MIN(138.9,(T167+S168))</f>
        <v>138.9</v>
      </c>
      <c r="V168" s="7" t="n">
        <v>106</v>
      </c>
      <c r="X168" s="7" t="n">
        <f aca="false">X167+V168</f>
        <v>68193.9</v>
      </c>
      <c r="Y168" s="7" t="n">
        <f aca="false">Y167+V168</f>
        <v>7969.7</v>
      </c>
      <c r="AA168" s="7" t="n">
        <v>8.72782471860813</v>
      </c>
    </row>
    <row r="169" s="7" customFormat="true" ht="15" hidden="false" customHeight="false" outlineLevel="0" collapsed="false">
      <c r="A169" s="21"/>
      <c r="B169" s="13"/>
      <c r="C169" s="8" t="n">
        <v>42015</v>
      </c>
      <c r="D169" s="7" t="n">
        <v>6</v>
      </c>
      <c r="E169" s="7" t="n">
        <v>5.2</v>
      </c>
      <c r="F169" s="7" t="n">
        <v>7.8</v>
      </c>
      <c r="G169" s="7" t="n">
        <f aca="false">G168+D169</f>
        <v>1288</v>
      </c>
      <c r="H169" s="7" t="n">
        <f aca="false">H168+D169</f>
        <v>224.8</v>
      </c>
      <c r="J169" s="7" t="n">
        <v>0</v>
      </c>
      <c r="K169" s="7" t="n">
        <f aca="false">K168+J169</f>
        <v>214</v>
      </c>
      <c r="L169" s="7" t="n">
        <v>0.7</v>
      </c>
      <c r="M169" s="7" t="n">
        <f aca="false">M168+L169</f>
        <v>134.2</v>
      </c>
      <c r="N169" s="9" t="n">
        <v>-0.7</v>
      </c>
      <c r="O169" s="7" t="n">
        <f aca="false">O168+N169</f>
        <v>129.1</v>
      </c>
      <c r="P169" s="7" t="n">
        <v>125</v>
      </c>
      <c r="Q169" s="7" t="n">
        <v>1</v>
      </c>
      <c r="R169" s="10" t="n">
        <f aca="false">Q169*L169</f>
        <v>0.7</v>
      </c>
      <c r="S169" s="10" t="n">
        <f aca="false">J169-R169</f>
        <v>-0.7</v>
      </c>
      <c r="T169" s="10" t="n">
        <f aca="false">MIN(138.9,(T168+S169))</f>
        <v>138.2</v>
      </c>
      <c r="V169" s="7" t="n">
        <v>625.1</v>
      </c>
      <c r="X169" s="7" t="n">
        <f aca="false">X168+V169</f>
        <v>68819</v>
      </c>
      <c r="Y169" s="7" t="n">
        <f aca="false">Y168+V169</f>
        <v>8594.8</v>
      </c>
      <c r="AA169" s="7" t="n">
        <v>8.75619740314673</v>
      </c>
    </row>
    <row r="170" s="7" customFormat="true" ht="15" hidden="false" customHeight="false" outlineLevel="0" collapsed="false">
      <c r="A170" s="21"/>
      <c r="B170" s="13"/>
      <c r="C170" s="8" t="n">
        <v>42016</v>
      </c>
      <c r="D170" s="7" t="n">
        <v>6.1</v>
      </c>
      <c r="E170" s="7" t="n">
        <v>4.5</v>
      </c>
      <c r="F170" s="7" t="n">
        <v>7.5</v>
      </c>
      <c r="G170" s="7" t="n">
        <f aca="false">G169+D170</f>
        <v>1294.1</v>
      </c>
      <c r="H170" s="7" t="n">
        <f aca="false">H169+D170</f>
        <v>230.9</v>
      </c>
      <c r="J170" s="7" t="n">
        <v>0</v>
      </c>
      <c r="K170" s="7" t="n">
        <f aca="false">K169+J170</f>
        <v>214</v>
      </c>
      <c r="L170" s="7" t="n">
        <v>0.9</v>
      </c>
      <c r="M170" s="7" t="n">
        <f aca="false">M169+L170</f>
        <v>135.1</v>
      </c>
      <c r="N170" s="9" t="n">
        <v>-0.9</v>
      </c>
      <c r="O170" s="7" t="n">
        <f aca="false">O169+N170</f>
        <v>128.2</v>
      </c>
      <c r="P170" s="7" t="n">
        <v>126</v>
      </c>
      <c r="Q170" s="7" t="n">
        <v>1</v>
      </c>
      <c r="R170" s="10" t="n">
        <f aca="false">Q170*L170</f>
        <v>0.9</v>
      </c>
      <c r="S170" s="10" t="n">
        <f aca="false">J170-R170</f>
        <v>-0.9</v>
      </c>
      <c r="T170" s="10" t="n">
        <f aca="false">MIN(138.9,(T169+S170))</f>
        <v>137.3</v>
      </c>
      <c r="V170" s="7" t="n">
        <v>298.1</v>
      </c>
      <c r="X170" s="7" t="n">
        <f aca="false">X169+V170</f>
        <v>69117.1</v>
      </c>
      <c r="Y170" s="7" t="n">
        <f aca="false">Y169+V170</f>
        <v>8892.9</v>
      </c>
      <c r="AA170" s="7" t="n">
        <v>8.78575079419331</v>
      </c>
    </row>
    <row r="171" s="7" customFormat="true" ht="15" hidden="false" customHeight="false" outlineLevel="0" collapsed="false">
      <c r="A171" s="21"/>
      <c r="B171" s="13"/>
      <c r="C171" s="8" t="n">
        <v>42017</v>
      </c>
      <c r="D171" s="7" t="n">
        <v>8.2</v>
      </c>
      <c r="E171" s="7" t="n">
        <v>6.5</v>
      </c>
      <c r="F171" s="7" t="n">
        <v>9.5</v>
      </c>
      <c r="G171" s="7" t="n">
        <f aca="false">G170+D171</f>
        <v>1302.3</v>
      </c>
      <c r="H171" s="7" t="n">
        <f aca="false">H170+D171</f>
        <v>239.1</v>
      </c>
      <c r="J171" s="7" t="n">
        <v>5.4</v>
      </c>
      <c r="K171" s="7" t="n">
        <f aca="false">K170+J171</f>
        <v>219.4</v>
      </c>
      <c r="L171" s="7" t="n">
        <v>0.8</v>
      </c>
      <c r="M171" s="7" t="n">
        <f aca="false">M170+L171</f>
        <v>135.9</v>
      </c>
      <c r="N171" s="7" t="n">
        <v>4.6</v>
      </c>
      <c r="O171" s="7" t="n">
        <f aca="false">O170+N171</f>
        <v>132.8</v>
      </c>
      <c r="P171" s="7" t="n">
        <v>127</v>
      </c>
      <c r="Q171" s="7" t="n">
        <v>1</v>
      </c>
      <c r="R171" s="10" t="n">
        <f aca="false">Q171*L171</f>
        <v>0.8</v>
      </c>
      <c r="S171" s="10" t="n">
        <f aca="false">J171-R171</f>
        <v>4.6</v>
      </c>
      <c r="T171" s="10" t="n">
        <f aca="false">MIN(138.9,(T170+S171))</f>
        <v>138.9</v>
      </c>
      <c r="V171" s="7" t="n">
        <v>140.8</v>
      </c>
      <c r="X171" s="7" t="n">
        <f aca="false">X170+V171</f>
        <v>69257.9</v>
      </c>
      <c r="Y171" s="7" t="n">
        <f aca="false">Y170+V171</f>
        <v>9033.7</v>
      </c>
      <c r="AA171" s="7" t="n">
        <v>8.81645742145192</v>
      </c>
    </row>
    <row r="172" s="7" customFormat="true" ht="15" hidden="false" customHeight="false" outlineLevel="0" collapsed="false">
      <c r="A172" s="21"/>
      <c r="B172" s="13"/>
      <c r="C172" s="8" t="n">
        <v>42018</v>
      </c>
      <c r="D172" s="7" t="n">
        <v>8.3</v>
      </c>
      <c r="E172" s="7" t="n">
        <v>6.8</v>
      </c>
      <c r="F172" s="7" t="n">
        <v>9.4</v>
      </c>
      <c r="G172" s="7" t="n">
        <f aca="false">G171+D172</f>
        <v>1310.6</v>
      </c>
      <c r="H172" s="7" t="n">
        <f aca="false">H171+D172</f>
        <v>247.4</v>
      </c>
      <c r="J172" s="7" t="n">
        <v>1.7</v>
      </c>
      <c r="K172" s="7" t="n">
        <f aca="false">K171+J172</f>
        <v>221.1</v>
      </c>
      <c r="L172" s="7" t="n">
        <v>1</v>
      </c>
      <c r="M172" s="7" t="n">
        <f aca="false">M171+L172</f>
        <v>136.9</v>
      </c>
      <c r="N172" s="7" t="n">
        <v>0.7</v>
      </c>
      <c r="O172" s="7" t="n">
        <f aca="false">O171+N172</f>
        <v>133.5</v>
      </c>
      <c r="P172" s="7" t="n">
        <v>128</v>
      </c>
      <c r="Q172" s="7" t="n">
        <v>1</v>
      </c>
      <c r="R172" s="10" t="n">
        <f aca="false">Q172*L172</f>
        <v>1</v>
      </c>
      <c r="S172" s="10" t="n">
        <f aca="false">J172-R172</f>
        <v>0.7</v>
      </c>
      <c r="T172" s="10" t="n">
        <f aca="false">MIN(138.9,(T171+S172))</f>
        <v>138.9</v>
      </c>
      <c r="V172" s="7" t="n">
        <v>246.1</v>
      </c>
      <c r="X172" s="7" t="n">
        <f aca="false">X171+V172</f>
        <v>69504</v>
      </c>
      <c r="Y172" s="7" t="n">
        <f aca="false">Y171+V172</f>
        <v>9279.8</v>
      </c>
      <c r="AA172" s="7" t="n">
        <v>8.84828931666447</v>
      </c>
    </row>
    <row r="173" s="7" customFormat="true" ht="15" hidden="false" customHeight="false" outlineLevel="0" collapsed="false">
      <c r="A173" s="21"/>
      <c r="B173" s="13"/>
      <c r="C173" s="8" t="n">
        <v>42019</v>
      </c>
      <c r="D173" s="7" t="n">
        <v>8.8</v>
      </c>
      <c r="E173" s="7" t="n">
        <v>7.9</v>
      </c>
      <c r="F173" s="7" t="n">
        <v>10.6</v>
      </c>
      <c r="G173" s="7" t="n">
        <f aca="false">G172+D173</f>
        <v>1319.4</v>
      </c>
      <c r="H173" s="7" t="n">
        <f aca="false">H172+D173</f>
        <v>256.2</v>
      </c>
      <c r="J173" s="7" t="n">
        <v>4.2</v>
      </c>
      <c r="K173" s="7" t="n">
        <f aca="false">K172+J173</f>
        <v>225.3</v>
      </c>
      <c r="L173" s="7" t="n">
        <v>1.5</v>
      </c>
      <c r="M173" s="7" t="n">
        <f aca="false">M172+L173</f>
        <v>138.4</v>
      </c>
      <c r="N173" s="7" t="n">
        <v>2.7</v>
      </c>
      <c r="O173" s="7" t="n">
        <f aca="false">O172+N173</f>
        <v>136.2</v>
      </c>
      <c r="P173" s="7" t="n">
        <v>129</v>
      </c>
      <c r="Q173" s="7" t="n">
        <v>1</v>
      </c>
      <c r="R173" s="10" t="n">
        <f aca="false">Q173*L173</f>
        <v>1.5</v>
      </c>
      <c r="S173" s="10" t="n">
        <f aca="false">J173-R173</f>
        <v>2.7</v>
      </c>
      <c r="T173" s="10" t="n">
        <f aca="false">MIN(138.9,(T172+S173))</f>
        <v>138.9</v>
      </c>
      <c r="V173" s="7" t="n">
        <v>87</v>
      </c>
      <c r="X173" s="7" t="n">
        <f aca="false">X172+V173</f>
        <v>69591</v>
      </c>
      <c r="Y173" s="7" t="n">
        <f aca="false">Y172+V173</f>
        <v>9366.8</v>
      </c>
      <c r="AA173" s="7" t="n">
        <v>8.88121809539163</v>
      </c>
    </row>
    <row r="174" s="7" customFormat="true" ht="15" hidden="false" customHeight="false" outlineLevel="0" collapsed="false">
      <c r="A174" s="21"/>
      <c r="B174" s="13"/>
      <c r="C174" s="8" t="n">
        <v>42020</v>
      </c>
      <c r="D174" s="7" t="n">
        <v>5.8</v>
      </c>
      <c r="E174" s="7" t="n">
        <v>5.3</v>
      </c>
      <c r="F174" s="7" t="n">
        <v>7.9</v>
      </c>
      <c r="G174" s="7" t="n">
        <f aca="false">G173+D174</f>
        <v>1325.2</v>
      </c>
      <c r="H174" s="7" t="n">
        <f aca="false">H173+D174</f>
        <v>262</v>
      </c>
      <c r="J174" s="7" t="n">
        <v>1.9</v>
      </c>
      <c r="K174" s="7" t="n">
        <f aca="false">K173+J174</f>
        <v>227.2</v>
      </c>
      <c r="L174" s="7" t="n">
        <v>0.5</v>
      </c>
      <c r="M174" s="7" t="n">
        <f aca="false">M173+L174</f>
        <v>138.9</v>
      </c>
      <c r="N174" s="7" t="n">
        <v>1.4</v>
      </c>
      <c r="O174" s="7" t="n">
        <f aca="false">O173+N174</f>
        <v>137.6</v>
      </c>
      <c r="P174" s="7" t="n">
        <v>130</v>
      </c>
      <c r="Q174" s="7" t="n">
        <v>1</v>
      </c>
      <c r="R174" s="10" t="n">
        <f aca="false">Q174*L174</f>
        <v>0.5</v>
      </c>
      <c r="S174" s="10" t="n">
        <f aca="false">J174-R174</f>
        <v>1.4</v>
      </c>
      <c r="T174" s="10" t="n">
        <f aca="false">MIN(138.9,(T173+S174))</f>
        <v>138.9</v>
      </c>
      <c r="V174" s="7" t="n">
        <v>258.7</v>
      </c>
      <c r="X174" s="7" t="n">
        <f aca="false">X173+V174</f>
        <v>69849.7</v>
      </c>
      <c r="Y174" s="7" t="n">
        <f aca="false">Y173+V174</f>
        <v>9625.5</v>
      </c>
      <c r="AA174" s="7" t="n">
        <v>8.91521503695987</v>
      </c>
    </row>
    <row r="175" s="7" customFormat="true" ht="15" hidden="false" customHeight="false" outlineLevel="0" collapsed="false">
      <c r="A175" s="21"/>
      <c r="B175" s="22"/>
      <c r="C175" s="8" t="n">
        <v>42021</v>
      </c>
      <c r="D175" s="7" t="n">
        <v>1.7</v>
      </c>
      <c r="E175" s="7" t="n">
        <v>1.3</v>
      </c>
      <c r="F175" s="7" t="n">
        <v>2.1</v>
      </c>
      <c r="G175" s="7" t="n">
        <f aca="false">G174+D175</f>
        <v>1326.9</v>
      </c>
      <c r="H175" s="7" t="n">
        <f aca="false">H174+D175</f>
        <v>263.7</v>
      </c>
      <c r="J175" s="7" t="n">
        <v>0</v>
      </c>
      <c r="K175" s="7" t="n">
        <f aca="false">K174+J175</f>
        <v>227.2</v>
      </c>
      <c r="L175" s="7" t="n">
        <v>0.2</v>
      </c>
      <c r="M175" s="7" t="n">
        <f aca="false">M174+L175</f>
        <v>139.1</v>
      </c>
      <c r="N175" s="9" t="n">
        <v>-0.2</v>
      </c>
      <c r="O175" s="7" t="n">
        <f aca="false">O174+N175</f>
        <v>137.4</v>
      </c>
      <c r="P175" s="7" t="n">
        <v>131</v>
      </c>
      <c r="Q175" s="7" t="n">
        <v>1</v>
      </c>
      <c r="R175" s="10" t="n">
        <f aca="false">Q175*L175</f>
        <v>0.2</v>
      </c>
      <c r="S175" s="10" t="n">
        <f aca="false">J175-R175</f>
        <v>-0.2</v>
      </c>
      <c r="T175" s="10" t="n">
        <f aca="false">MIN(138.9,(T174+S175))</f>
        <v>138.7</v>
      </c>
      <c r="V175" s="7" t="n">
        <v>301.9</v>
      </c>
      <c r="X175" s="7" t="n">
        <f aca="false">X174+V175</f>
        <v>70151.6</v>
      </c>
      <c r="Y175" s="7" t="n">
        <f aca="false">Y174+V175</f>
        <v>9927.4</v>
      </c>
      <c r="AA175" s="7" t="n">
        <v>8.95025116221914</v>
      </c>
    </row>
    <row r="176" s="7" customFormat="true" ht="15" hidden="false" customHeight="false" outlineLevel="0" collapsed="false">
      <c r="A176" s="21"/>
      <c r="B176" s="22"/>
      <c r="C176" s="8" t="n">
        <v>42022</v>
      </c>
      <c r="D176" s="7" t="n">
        <v>2.9</v>
      </c>
      <c r="E176" s="7" t="n">
        <v>0.4</v>
      </c>
      <c r="F176" s="7" t="n">
        <v>7.2</v>
      </c>
      <c r="G176" s="7" t="n">
        <f aca="false">G175+D176</f>
        <v>1329.8</v>
      </c>
      <c r="H176" s="7" t="n">
        <f aca="false">H175+D176</f>
        <v>266.6</v>
      </c>
      <c r="J176" s="7" t="n">
        <v>0.4</v>
      </c>
      <c r="K176" s="7" t="n">
        <f aca="false">K175+J176</f>
        <v>227.6</v>
      </c>
      <c r="L176" s="7" t="n">
        <v>0.5</v>
      </c>
      <c r="M176" s="7" t="n">
        <f aca="false">M175+L176</f>
        <v>139.6</v>
      </c>
      <c r="N176" s="9" t="n">
        <v>-0.1</v>
      </c>
      <c r="O176" s="7" t="n">
        <f aca="false">O175+N176</f>
        <v>137.3</v>
      </c>
      <c r="P176" s="7" t="n">
        <v>132</v>
      </c>
      <c r="Q176" s="7" t="n">
        <v>1</v>
      </c>
      <c r="R176" s="10" t="n">
        <f aca="false">Q176*L176</f>
        <v>0.5</v>
      </c>
      <c r="S176" s="10" t="n">
        <f aca="false">J176-R176</f>
        <v>-0.1</v>
      </c>
      <c r="T176" s="10" t="n">
        <f aca="false">MIN(138.9,(T175+S176))</f>
        <v>138.6</v>
      </c>
      <c r="V176" s="7" t="n">
        <v>360.1</v>
      </c>
      <c r="X176" s="7" t="n">
        <f aca="false">X175+V176</f>
        <v>70511.7</v>
      </c>
      <c r="Y176" s="7" t="n">
        <f aca="false">Y175+V176</f>
        <v>10287.5</v>
      </c>
      <c r="AA176" s="7" t="n">
        <v>8.98629730879391</v>
      </c>
    </row>
    <row r="177" s="7" customFormat="true" ht="15" hidden="false" customHeight="false" outlineLevel="0" collapsed="false">
      <c r="A177" s="21"/>
      <c r="B177" s="13"/>
      <c r="C177" s="8" t="n">
        <v>42023</v>
      </c>
      <c r="D177" s="7" t="n">
        <v>1.7</v>
      </c>
      <c r="E177" s="7" t="n">
        <v>1.3</v>
      </c>
      <c r="F177" s="7" t="n">
        <v>2.3</v>
      </c>
      <c r="G177" s="7" t="n">
        <f aca="false">G176+D177</f>
        <v>1331.5</v>
      </c>
      <c r="H177" s="7" t="n">
        <f aca="false">H176+D177</f>
        <v>268.3</v>
      </c>
      <c r="J177" s="7" t="n">
        <v>0.2</v>
      </c>
      <c r="K177" s="7" t="n">
        <f aca="false">K176+J177</f>
        <v>227.8</v>
      </c>
      <c r="L177" s="7" t="n">
        <v>0.2</v>
      </c>
      <c r="M177" s="7" t="n">
        <f aca="false">M176+L177</f>
        <v>139.8</v>
      </c>
      <c r="N177" s="9" t="n">
        <v>0</v>
      </c>
      <c r="O177" s="7" t="n">
        <f aca="false">O176+N177</f>
        <v>137.3</v>
      </c>
      <c r="P177" s="7" t="n">
        <v>133</v>
      </c>
      <c r="Q177" s="7" t="n">
        <v>1</v>
      </c>
      <c r="R177" s="10" t="n">
        <f aca="false">Q177*L177</f>
        <v>0.2</v>
      </c>
      <c r="S177" s="10" t="n">
        <f aca="false">J177-R177</f>
        <v>0</v>
      </c>
      <c r="T177" s="10" t="n">
        <f aca="false">MIN(138.9,(T176+S177))</f>
        <v>138.6</v>
      </c>
      <c r="V177" s="7" t="n">
        <v>109.1</v>
      </c>
      <c r="X177" s="7" t="n">
        <f aca="false">X176+V177</f>
        <v>70620.8</v>
      </c>
      <c r="Y177" s="7" t="n">
        <f aca="false">Y176+V177</f>
        <v>10396.6</v>
      </c>
      <c r="AA177" s="7" t="n">
        <v>9.02332420354804</v>
      </c>
    </row>
    <row r="178" s="7" customFormat="true" ht="15" hidden="false" customHeight="false" outlineLevel="0" collapsed="false">
      <c r="A178" s="21"/>
      <c r="B178" s="13"/>
      <c r="C178" s="8" t="n">
        <v>42024</v>
      </c>
      <c r="D178" s="7" t="n">
        <v>-0.1</v>
      </c>
      <c r="E178" s="7" t="n">
        <v>-2.9</v>
      </c>
      <c r="F178" s="7" t="n">
        <v>2.4</v>
      </c>
      <c r="G178" s="7" t="n">
        <v>1331.5</v>
      </c>
      <c r="H178" s="7" t="n">
        <v>268.3</v>
      </c>
      <c r="J178" s="7" t="n">
        <v>0</v>
      </c>
      <c r="K178" s="7" t="n">
        <f aca="false">K177+J178</f>
        <v>227.8</v>
      </c>
      <c r="L178" s="7" t="n">
        <v>0.2</v>
      </c>
      <c r="M178" s="7" t="n">
        <f aca="false">M177+L178</f>
        <v>140</v>
      </c>
      <c r="N178" s="9" t="n">
        <v>-0.2</v>
      </c>
      <c r="O178" s="7" t="n">
        <f aca="false">O177+N178</f>
        <v>137.1</v>
      </c>
      <c r="P178" s="7" t="n">
        <v>134</v>
      </c>
      <c r="Q178" s="7" t="n">
        <v>1</v>
      </c>
      <c r="R178" s="10" t="n">
        <f aca="false">Q178*L178</f>
        <v>0.2</v>
      </c>
      <c r="S178" s="10" t="n">
        <f aca="false">J178-R178</f>
        <v>-0.2</v>
      </c>
      <c r="T178" s="10" t="n">
        <f aca="false">MIN(138.9,(T177+S178))</f>
        <v>138.4</v>
      </c>
      <c r="V178" s="7" t="n">
        <v>388.1</v>
      </c>
      <c r="X178" s="7" t="n">
        <f aca="false">X177+V178</f>
        <v>71008.9</v>
      </c>
      <c r="Y178" s="7" t="n">
        <f aca="false">Y177+V178</f>
        <v>10784.7</v>
      </c>
      <c r="AA178" s="7" t="n">
        <v>9.06130253202287</v>
      </c>
    </row>
    <row r="179" s="7" customFormat="true" ht="15" hidden="false" customHeight="false" outlineLevel="0" collapsed="false">
      <c r="A179" s="21"/>
      <c r="B179" s="13"/>
      <c r="C179" s="8" t="n">
        <v>42025</v>
      </c>
      <c r="D179" s="7" t="n">
        <v>1.3</v>
      </c>
      <c r="E179" s="7" t="n">
        <v>-0.9</v>
      </c>
      <c r="F179" s="7" t="n">
        <v>5.2</v>
      </c>
      <c r="G179" s="7" t="n">
        <f aca="false">G178+D179</f>
        <v>1332.8</v>
      </c>
      <c r="H179" s="7" t="n">
        <f aca="false">H178+D179</f>
        <v>269.6</v>
      </c>
      <c r="J179" s="7" t="n">
        <v>0</v>
      </c>
      <c r="K179" s="7" t="n">
        <f aca="false">K178+J179</f>
        <v>227.8</v>
      </c>
      <c r="L179" s="7" t="n">
        <v>0.6</v>
      </c>
      <c r="M179" s="7" t="n">
        <f aca="false">M178+L179</f>
        <v>140.6</v>
      </c>
      <c r="N179" s="9" t="n">
        <v>-0.6</v>
      </c>
      <c r="O179" s="7" t="n">
        <f aca="false">O178+N179</f>
        <v>136.5</v>
      </c>
      <c r="P179" s="7" t="n">
        <v>135</v>
      </c>
      <c r="Q179" s="7" t="n">
        <v>1</v>
      </c>
      <c r="R179" s="10" t="n">
        <f aca="false">Q179*L179</f>
        <v>0.6</v>
      </c>
      <c r="S179" s="10" t="n">
        <f aca="false">J179-R179</f>
        <v>-0.6</v>
      </c>
      <c r="T179" s="10" t="n">
        <f aca="false">MIN(138.9,(T178+S179))</f>
        <v>137.8</v>
      </c>
      <c r="V179" s="7" t="n">
        <v>289.5</v>
      </c>
      <c r="X179" s="7" t="n">
        <f aca="false">X178+V179</f>
        <v>71298.4</v>
      </c>
      <c r="Y179" s="7" t="n">
        <f aca="false">Y178+V179</f>
        <v>11074.2</v>
      </c>
      <c r="AA179" s="7" t="n">
        <v>9.10020300464512</v>
      </c>
    </row>
    <row r="180" s="7" customFormat="true" ht="15" hidden="false" customHeight="false" outlineLevel="0" collapsed="false">
      <c r="A180" s="21"/>
      <c r="B180" s="13"/>
      <c r="C180" s="8" t="n">
        <v>42026</v>
      </c>
      <c r="D180" s="7" t="n">
        <v>-0.1</v>
      </c>
      <c r="E180" s="7" t="n">
        <v>-1</v>
      </c>
      <c r="F180" s="7" t="n">
        <v>1</v>
      </c>
      <c r="G180" s="7" t="n">
        <v>1332.8</v>
      </c>
      <c r="H180" s="7" t="n">
        <v>269.5</v>
      </c>
      <c r="J180" s="7" t="n">
        <v>0</v>
      </c>
      <c r="K180" s="7" t="n">
        <f aca="false">K179+J180</f>
        <v>227.8</v>
      </c>
      <c r="L180" s="7" t="n">
        <v>0.3</v>
      </c>
      <c r="M180" s="7" t="n">
        <f aca="false">M179+L180</f>
        <v>140.9</v>
      </c>
      <c r="N180" s="9" t="n">
        <v>-0.3</v>
      </c>
      <c r="O180" s="7" t="n">
        <f aca="false">O179+N180</f>
        <v>136.2</v>
      </c>
      <c r="P180" s="7" t="n">
        <v>136</v>
      </c>
      <c r="Q180" s="7" t="n">
        <v>1</v>
      </c>
      <c r="R180" s="10" t="n">
        <f aca="false">Q180*L180</f>
        <v>0.3</v>
      </c>
      <c r="S180" s="10" t="n">
        <f aca="false">J180-R180</f>
        <v>-0.3</v>
      </c>
      <c r="T180" s="10" t="n">
        <f aca="false">MIN(138.9,(T179+S180))</f>
        <v>137.5</v>
      </c>
      <c r="V180" s="7" t="n">
        <v>453.6</v>
      </c>
      <c r="X180" s="7" t="n">
        <f aca="false">X179+V180</f>
        <v>71752</v>
      </c>
      <c r="Y180" s="7" t="n">
        <f aca="false">Y179+V180</f>
        <v>11527.8</v>
      </c>
      <c r="AA180" s="7" t="n">
        <v>9.13999641953861</v>
      </c>
    </row>
    <row r="181" s="7" customFormat="true" ht="15" hidden="false" customHeight="false" outlineLevel="0" collapsed="false">
      <c r="A181" s="21"/>
      <c r="B181" s="13"/>
      <c r="C181" s="8" t="n">
        <v>42027</v>
      </c>
      <c r="D181" s="7" t="n">
        <v>-1</v>
      </c>
      <c r="E181" s="7" t="n">
        <v>-1.9</v>
      </c>
      <c r="F181" s="7" t="n">
        <v>-0.4</v>
      </c>
      <c r="G181" s="7" t="n">
        <v>1338.8</v>
      </c>
      <c r="H181" s="7" t="n">
        <v>269.5</v>
      </c>
      <c r="J181" s="7" t="n">
        <v>0</v>
      </c>
      <c r="K181" s="7" t="n">
        <f aca="false">K180+J181</f>
        <v>227.8</v>
      </c>
      <c r="L181" s="7" t="n">
        <v>0.3</v>
      </c>
      <c r="M181" s="7" t="n">
        <f aca="false">M180+L181</f>
        <v>141.2</v>
      </c>
      <c r="N181" s="9" t="n">
        <v>-0.3</v>
      </c>
      <c r="O181" s="7" t="n">
        <f aca="false">O180+N181</f>
        <v>135.9</v>
      </c>
      <c r="P181" s="7" t="n">
        <v>137</v>
      </c>
      <c r="Q181" s="7" t="n">
        <v>1</v>
      </c>
      <c r="R181" s="10" t="n">
        <f aca="false">Q181*L181</f>
        <v>0.3</v>
      </c>
      <c r="S181" s="10" t="n">
        <f aca="false">J181-R181</f>
        <v>-0.3</v>
      </c>
      <c r="T181" s="10" t="n">
        <f aca="false">MIN(138.9,(T180+S181))</f>
        <v>137.2</v>
      </c>
      <c r="V181" s="7" t="n">
        <v>313.9</v>
      </c>
      <c r="X181" s="7" t="n">
        <f aca="false">X180+V181</f>
        <v>72065.9</v>
      </c>
      <c r="Y181" s="7" t="n">
        <f aca="false">Y180+V181</f>
        <v>11841.7</v>
      </c>
      <c r="AA181" s="7" t="n">
        <v>9.1806537218089</v>
      </c>
    </row>
    <row r="182" s="7" customFormat="true" ht="15" hidden="false" customHeight="false" outlineLevel="0" collapsed="false">
      <c r="A182" s="21"/>
      <c r="B182" s="13"/>
      <c r="C182" s="8" t="n">
        <v>42028</v>
      </c>
      <c r="D182" s="7" t="n">
        <v>1</v>
      </c>
      <c r="E182" s="7" t="n">
        <v>-1.6</v>
      </c>
      <c r="F182" s="7" t="n">
        <v>3.3</v>
      </c>
      <c r="G182" s="7" t="n">
        <f aca="false">G181+D182</f>
        <v>1339.8</v>
      </c>
      <c r="H182" s="7" t="n">
        <f aca="false">H181+D182</f>
        <v>270.5</v>
      </c>
      <c r="J182" s="7" t="n">
        <v>1.1</v>
      </c>
      <c r="K182" s="7" t="n">
        <f aca="false">K181+J182</f>
        <v>228.9</v>
      </c>
      <c r="L182" s="7" t="n">
        <v>0.2</v>
      </c>
      <c r="M182" s="7" t="n">
        <f aca="false">M181+L182</f>
        <v>141.4</v>
      </c>
      <c r="N182" s="7" t="n">
        <v>0.9</v>
      </c>
      <c r="O182" s="7" t="n">
        <f aca="false">O181+N182</f>
        <v>136.8</v>
      </c>
      <c r="P182" s="7" t="n">
        <v>138</v>
      </c>
      <c r="Q182" s="7" t="n">
        <v>1</v>
      </c>
      <c r="R182" s="10" t="n">
        <f aca="false">Q182*L182</f>
        <v>0.2</v>
      </c>
      <c r="S182" s="10" t="n">
        <f aca="false">J182-R182</f>
        <v>0.9</v>
      </c>
      <c r="T182" s="10" t="n">
        <f aca="false">MIN(138.9,(T181+S182))</f>
        <v>138.1</v>
      </c>
      <c r="V182" s="7" t="n">
        <v>295.6</v>
      </c>
      <c r="X182" s="7" t="n">
        <f aca="false">X181+V182</f>
        <v>72361.5</v>
      </c>
      <c r="Y182" s="7" t="n">
        <f aca="false">Y181+V182</f>
        <v>12137.3</v>
      </c>
      <c r="AA182" s="7" t="n">
        <v>9.22214605920423</v>
      </c>
    </row>
    <row r="183" s="7" customFormat="true" ht="15" hidden="false" customHeight="false" outlineLevel="0" collapsed="false">
      <c r="A183" s="21"/>
      <c r="B183" s="13"/>
      <c r="C183" s="8" t="n">
        <v>42029</v>
      </c>
      <c r="D183" s="7" t="n">
        <v>1.3</v>
      </c>
      <c r="E183" s="7" t="n">
        <v>-2.8</v>
      </c>
      <c r="F183" s="7" t="n">
        <v>5.7</v>
      </c>
      <c r="G183" s="7" t="n">
        <f aca="false">G182+D183</f>
        <v>1341.1</v>
      </c>
      <c r="H183" s="7" t="n">
        <f aca="false">H182+D183</f>
        <v>271.8</v>
      </c>
      <c r="J183" s="7" t="n">
        <v>0.2</v>
      </c>
      <c r="K183" s="7" t="n">
        <f aca="false">K182+J183</f>
        <v>229.1</v>
      </c>
      <c r="L183" s="7" t="n">
        <v>0.6</v>
      </c>
      <c r="M183" s="7" t="n">
        <f aca="false">M182+L183</f>
        <v>142</v>
      </c>
      <c r="N183" s="9" t="n">
        <v>-0.4</v>
      </c>
      <c r="O183" s="7" t="n">
        <f aca="false">O182+N183</f>
        <v>136.4</v>
      </c>
      <c r="P183" s="7" t="n">
        <v>139</v>
      </c>
      <c r="Q183" s="7" t="n">
        <v>1</v>
      </c>
      <c r="R183" s="10" t="n">
        <f aca="false">Q183*L183</f>
        <v>0.6</v>
      </c>
      <c r="S183" s="10" t="n">
        <f aca="false">J183-R183</f>
        <v>-0.4</v>
      </c>
      <c r="T183" s="10" t="n">
        <f aca="false">MIN(138.9,(T182+S183))</f>
        <v>137.7</v>
      </c>
      <c r="V183" s="7" t="n">
        <v>689.9</v>
      </c>
      <c r="X183" s="7" t="n">
        <f aca="false">X182+V183</f>
        <v>73051.4</v>
      </c>
      <c r="Y183" s="7" t="n">
        <f aca="false">Y182+V183</f>
        <v>12827.2</v>
      </c>
      <c r="AA183" s="7" t="n">
        <v>9.26444483408796</v>
      </c>
    </row>
    <row r="184" s="7" customFormat="true" ht="15" hidden="false" customHeight="false" outlineLevel="0" collapsed="false">
      <c r="A184" s="21"/>
      <c r="B184" s="13"/>
      <c r="C184" s="8" t="n">
        <v>42030</v>
      </c>
      <c r="D184" s="7" t="n">
        <v>5.2</v>
      </c>
      <c r="E184" s="7" t="n">
        <v>1.6</v>
      </c>
      <c r="F184" s="7" t="n">
        <v>7.8</v>
      </c>
      <c r="G184" s="7" t="n">
        <f aca="false">G183+D184</f>
        <v>1346.3</v>
      </c>
      <c r="H184" s="7" t="n">
        <f aca="false">H183+D184</f>
        <v>277</v>
      </c>
      <c r="J184" s="7" t="n">
        <v>1.5</v>
      </c>
      <c r="K184" s="7" t="n">
        <f aca="false">K183+J184</f>
        <v>230.6</v>
      </c>
      <c r="L184" s="7" t="n">
        <v>0.2</v>
      </c>
      <c r="M184" s="7" t="n">
        <f aca="false">M183+L184</f>
        <v>142.2</v>
      </c>
      <c r="N184" s="7" t="n">
        <v>1.3</v>
      </c>
      <c r="O184" s="7" t="n">
        <f aca="false">O183+N184</f>
        <v>137.7</v>
      </c>
      <c r="P184" s="7" t="n">
        <v>140</v>
      </c>
      <c r="Q184" s="7" t="n">
        <v>1</v>
      </c>
      <c r="R184" s="10" t="n">
        <f aca="false">Q184*L184</f>
        <v>0.2</v>
      </c>
      <c r="S184" s="10" t="n">
        <f aca="false">J184-R184</f>
        <v>1.3</v>
      </c>
      <c r="T184" s="10" t="n">
        <f aca="false">MIN(138.9,(T183+S184))</f>
        <v>138.9</v>
      </c>
      <c r="V184" s="7" t="n">
        <v>107</v>
      </c>
      <c r="X184" s="7" t="n">
        <f aca="false">X183+V184</f>
        <v>73158.4</v>
      </c>
      <c r="Y184" s="7" t="n">
        <f aca="false">Y183+V184</f>
        <v>12934.2</v>
      </c>
      <c r="AA184" s="7" t="n">
        <v>9.30752175168785</v>
      </c>
    </row>
    <row r="185" s="7" customFormat="true" ht="15" hidden="false" customHeight="false" outlineLevel="0" collapsed="false">
      <c r="A185" s="21"/>
      <c r="B185" s="13"/>
      <c r="C185" s="8" t="n">
        <v>42031</v>
      </c>
      <c r="D185" s="7" t="n">
        <v>4.8</v>
      </c>
      <c r="E185" s="7" t="n">
        <v>1.8</v>
      </c>
      <c r="F185" s="7" t="n">
        <v>6.9</v>
      </c>
      <c r="G185" s="7" t="n">
        <f aca="false">G184+D185</f>
        <v>1351.1</v>
      </c>
      <c r="H185" s="7" t="n">
        <f aca="false">H184+D185</f>
        <v>281.8</v>
      </c>
      <c r="J185" s="7" t="n">
        <v>0.1</v>
      </c>
      <c r="K185" s="7" t="n">
        <f aca="false">K184+J185</f>
        <v>230.7</v>
      </c>
      <c r="L185" s="7" t="n">
        <v>0.2</v>
      </c>
      <c r="M185" s="7" t="n">
        <f aca="false">M184+L185</f>
        <v>142.4</v>
      </c>
      <c r="N185" s="9" t="n">
        <v>-0.1</v>
      </c>
      <c r="O185" s="7" t="n">
        <f aca="false">O184+N185</f>
        <v>137.6</v>
      </c>
      <c r="P185" s="7" t="n">
        <v>141</v>
      </c>
      <c r="Q185" s="7" t="n">
        <v>1</v>
      </c>
      <c r="R185" s="10" t="n">
        <f aca="false">Q185*L185</f>
        <v>0.2</v>
      </c>
      <c r="S185" s="10" t="n">
        <f aca="false">J185-R185</f>
        <v>-0.1</v>
      </c>
      <c r="T185" s="10" t="n">
        <f aca="false">MIN(138.9,(T184+S185))</f>
        <v>138.8</v>
      </c>
      <c r="V185" s="7" t="n">
        <v>281.1</v>
      </c>
      <c r="X185" s="7" t="n">
        <f aca="false">X184+V185</f>
        <v>73439.5</v>
      </c>
      <c r="Y185" s="7" t="n">
        <f aca="false">Y184+V185</f>
        <v>13215.3</v>
      </c>
      <c r="AA185" s="7" t="n">
        <v>9.35134886461498</v>
      </c>
    </row>
    <row r="186" s="7" customFormat="true" ht="15" hidden="false" customHeight="false" outlineLevel="0" collapsed="false">
      <c r="A186" s="21"/>
      <c r="B186" s="13"/>
      <c r="C186" s="8" t="n">
        <v>42032</v>
      </c>
      <c r="D186" s="7" t="n">
        <v>6.5</v>
      </c>
      <c r="E186" s="7" t="n">
        <v>4.8</v>
      </c>
      <c r="F186" s="7" t="n">
        <v>9.2</v>
      </c>
      <c r="G186" s="7" t="n">
        <f aca="false">G185+D186</f>
        <v>1357.6</v>
      </c>
      <c r="H186" s="7" t="n">
        <f aca="false">H185+D186</f>
        <v>288.3</v>
      </c>
      <c r="J186" s="7" t="n">
        <v>3.2</v>
      </c>
      <c r="K186" s="7" t="n">
        <f aca="false">K185+J186</f>
        <v>233.9</v>
      </c>
      <c r="L186" s="7" t="n">
        <v>0.6</v>
      </c>
      <c r="M186" s="7" t="n">
        <f aca="false">M185+L186</f>
        <v>143</v>
      </c>
      <c r="N186" s="7" t="n">
        <v>2.6</v>
      </c>
      <c r="O186" s="7" t="n">
        <v>138.9</v>
      </c>
      <c r="P186" s="7" t="n">
        <v>142</v>
      </c>
      <c r="Q186" s="7" t="n">
        <v>1</v>
      </c>
      <c r="R186" s="10" t="n">
        <f aca="false">Q186*L186</f>
        <v>0.6</v>
      </c>
      <c r="S186" s="10" t="n">
        <f aca="false">J186-R186</f>
        <v>2.6</v>
      </c>
      <c r="T186" s="10" t="n">
        <f aca="false">MIN(138.9,(T185+S186))</f>
        <v>138.9</v>
      </c>
      <c r="V186" s="7" t="n">
        <v>307.5</v>
      </c>
      <c r="X186" s="7" t="n">
        <f aca="false">X185+V186</f>
        <v>73747</v>
      </c>
      <c r="Y186" s="7" t="n">
        <f aca="false">Y185+V186</f>
        <v>13522.8</v>
      </c>
      <c r="AA186" s="7" t="n">
        <v>9.39589861367089</v>
      </c>
    </row>
    <row r="187" s="7" customFormat="true" ht="15" hidden="false" customHeight="false" outlineLevel="0" collapsed="false">
      <c r="A187" s="21"/>
      <c r="B187" s="13"/>
      <c r="C187" s="8" t="n">
        <v>42033</v>
      </c>
      <c r="D187" s="7" t="n">
        <v>5.2</v>
      </c>
      <c r="E187" s="7" t="n">
        <v>5.1</v>
      </c>
      <c r="F187" s="7" t="n">
        <v>6.3</v>
      </c>
      <c r="G187" s="7" t="n">
        <f aca="false">G186+D187</f>
        <v>1362.8</v>
      </c>
      <c r="H187" s="7" t="n">
        <f aca="false">H186+D187</f>
        <v>293.5</v>
      </c>
      <c r="J187" s="7" t="n">
        <v>9.1</v>
      </c>
      <c r="K187" s="7" t="n">
        <f aca="false">K186+J187</f>
        <v>243</v>
      </c>
      <c r="L187" s="7" t="n">
        <v>0.7</v>
      </c>
      <c r="M187" s="7" t="n">
        <f aca="false">M186+L187</f>
        <v>143.7</v>
      </c>
      <c r="N187" s="7" t="n">
        <v>8.4</v>
      </c>
      <c r="O187" s="7" t="n">
        <v>138.9</v>
      </c>
      <c r="P187" s="7" t="n">
        <v>143</v>
      </c>
      <c r="Q187" s="7" t="n">
        <v>1</v>
      </c>
      <c r="R187" s="10" t="n">
        <f aca="false">Q187*L187</f>
        <v>0.7</v>
      </c>
      <c r="S187" s="10" t="n">
        <f aca="false">J187-R187</f>
        <v>8.4</v>
      </c>
      <c r="T187" s="10" t="n">
        <f aca="false">MIN(138.9,(T186+S187))</f>
        <v>138.9</v>
      </c>
      <c r="V187" s="7" t="n">
        <v>140.9</v>
      </c>
      <c r="X187" s="7" t="n">
        <f aca="false">X186+V187</f>
        <v>73887.9</v>
      </c>
      <c r="Y187" s="7" t="n">
        <f aca="false">Y186+V187</f>
        <v>13663.7</v>
      </c>
      <c r="AA187" s="7" t="n">
        <v>9.44114386498394</v>
      </c>
    </row>
    <row r="188" s="7" customFormat="true" ht="15" hidden="false" customHeight="false" outlineLevel="0" collapsed="false">
      <c r="A188" s="21"/>
      <c r="B188" s="13"/>
      <c r="C188" s="8" t="n">
        <v>42034</v>
      </c>
      <c r="D188" s="7" t="n">
        <v>2.5</v>
      </c>
      <c r="E188" s="7" t="n">
        <v>1.4</v>
      </c>
      <c r="F188" s="7" t="n">
        <v>5</v>
      </c>
      <c r="G188" s="7" t="n">
        <f aca="false">G187+D188</f>
        <v>1365.3</v>
      </c>
      <c r="H188" s="7" t="n">
        <f aca="false">H187+D188</f>
        <v>296</v>
      </c>
      <c r="J188" s="7" t="n">
        <v>1.1</v>
      </c>
      <c r="K188" s="7" t="n">
        <f aca="false">K187+J188</f>
        <v>244.1</v>
      </c>
      <c r="L188" s="7" t="n">
        <v>0.7</v>
      </c>
      <c r="M188" s="7" t="n">
        <f aca="false">M187+L188</f>
        <v>144.4</v>
      </c>
      <c r="N188" s="7" t="n">
        <v>0.4</v>
      </c>
      <c r="O188" s="7" t="n">
        <v>138.9</v>
      </c>
      <c r="P188" s="7" t="n">
        <v>144</v>
      </c>
      <c r="Q188" s="7" t="n">
        <v>1</v>
      </c>
      <c r="R188" s="10" t="n">
        <f aca="false">Q188*L188</f>
        <v>0.7</v>
      </c>
      <c r="S188" s="10" t="n">
        <f aca="false">J188-R188</f>
        <v>0.4</v>
      </c>
      <c r="T188" s="10" t="n">
        <f aca="false">MIN(138.9,(T187+S188))</f>
        <v>138.9</v>
      </c>
      <c r="V188" s="7" t="n">
        <v>224.8</v>
      </c>
      <c r="X188" s="7" t="n">
        <f aca="false">X187+V188</f>
        <v>74112.7</v>
      </c>
      <c r="Y188" s="7" t="n">
        <f aca="false">Y187+V188</f>
        <v>13888.5</v>
      </c>
      <c r="AA188" s="7" t="n">
        <v>9.48705794353679</v>
      </c>
    </row>
    <row r="189" s="7" customFormat="true" ht="15" hidden="false" customHeight="false" outlineLevel="0" collapsed="false">
      <c r="A189" s="21"/>
      <c r="B189" s="13"/>
      <c r="C189" s="8" t="n">
        <v>42035</v>
      </c>
      <c r="D189" s="7" t="n">
        <v>3.4</v>
      </c>
      <c r="E189" s="7" t="n">
        <v>1.4</v>
      </c>
      <c r="F189" s="7" t="n">
        <v>5.7</v>
      </c>
      <c r="G189" s="7" t="n">
        <f aca="false">G188+D189</f>
        <v>1368.7</v>
      </c>
      <c r="H189" s="7" t="n">
        <f aca="false">H188+D189</f>
        <v>299.4</v>
      </c>
      <c r="J189" s="7" t="n">
        <v>0.8</v>
      </c>
      <c r="K189" s="7" t="n">
        <f aca="false">K188+J189</f>
        <v>244.9</v>
      </c>
      <c r="L189" s="7" t="n">
        <v>0.5</v>
      </c>
      <c r="M189" s="7" t="n">
        <f aca="false">M188+L189</f>
        <v>144.9</v>
      </c>
      <c r="N189" s="7" t="n">
        <v>0.3</v>
      </c>
      <c r="O189" s="7" t="n">
        <v>138.9</v>
      </c>
      <c r="P189" s="7" t="n">
        <v>145</v>
      </c>
      <c r="Q189" s="7" t="n">
        <v>1</v>
      </c>
      <c r="R189" s="10" t="n">
        <f aca="false">Q189*L189</f>
        <v>0.5</v>
      </c>
      <c r="S189" s="10" t="n">
        <f aca="false">J189-R189</f>
        <v>0.3</v>
      </c>
      <c r="T189" s="10" t="n">
        <f aca="false">MIN(138.9,(T188+S189))</f>
        <v>138.9</v>
      </c>
      <c r="V189" s="7" t="n">
        <v>394.5</v>
      </c>
      <c r="X189" s="7" t="n">
        <f aca="false">X188+V189</f>
        <v>74507.2</v>
      </c>
      <c r="Y189" s="7" t="n">
        <f aca="false">Y188+V189</f>
        <v>14283</v>
      </c>
      <c r="AA189" s="7" t="n">
        <v>9.53361466316502</v>
      </c>
    </row>
    <row r="190" s="7" customFormat="true" ht="15" hidden="false" customHeight="false" outlineLevel="0" collapsed="false">
      <c r="A190" s="21"/>
      <c r="B190" s="13"/>
      <c r="C190" s="8" t="n">
        <v>42036</v>
      </c>
      <c r="D190" s="7" t="n">
        <v>2.5</v>
      </c>
      <c r="E190" s="7" t="n">
        <v>1.1</v>
      </c>
      <c r="F190" s="7" t="n">
        <v>3</v>
      </c>
      <c r="G190" s="7" t="n">
        <f aca="false">G189+D190</f>
        <v>1371.2</v>
      </c>
      <c r="H190" s="7" t="n">
        <f aca="false">H189+D190</f>
        <v>301.9</v>
      </c>
      <c r="J190" s="7" t="n">
        <v>1.6</v>
      </c>
      <c r="K190" s="7" t="n">
        <f aca="false">K189+J190</f>
        <v>246.5</v>
      </c>
      <c r="L190" s="7" t="n">
        <v>0.4</v>
      </c>
      <c r="M190" s="7" t="n">
        <f aca="false">M189+L190</f>
        <v>145.3</v>
      </c>
      <c r="N190" s="7" t="n">
        <v>1.2</v>
      </c>
      <c r="O190" s="7" t="n">
        <v>138.9</v>
      </c>
      <c r="P190" s="7" t="n">
        <v>146</v>
      </c>
      <c r="Q190" s="7" t="n">
        <v>1</v>
      </c>
      <c r="R190" s="10" t="n">
        <f aca="false">Q190*L190</f>
        <v>0.4</v>
      </c>
      <c r="S190" s="10" t="n">
        <f aca="false">J190-R190</f>
        <v>1.2</v>
      </c>
      <c r="T190" s="10" t="n">
        <f aca="false">MIN(138.9,(T189+S190))</f>
        <v>138.9</v>
      </c>
      <c r="V190" s="7" t="n">
        <v>234.7</v>
      </c>
      <c r="X190" s="7" t="n">
        <f aca="false">X189+V190</f>
        <v>74741.9</v>
      </c>
      <c r="Y190" s="7" t="n">
        <f aca="false">Y189+V190</f>
        <v>14517.7</v>
      </c>
      <c r="AA190" s="7" t="n">
        <v>9.58078835312233</v>
      </c>
    </row>
    <row r="191" s="7" customFormat="true" ht="15" hidden="false" customHeight="false" outlineLevel="0" collapsed="false">
      <c r="A191" s="21"/>
      <c r="B191" s="13"/>
      <c r="C191" s="8" t="n">
        <v>42037</v>
      </c>
      <c r="D191" s="7" t="n">
        <v>2.1</v>
      </c>
      <c r="E191" s="7" t="n">
        <v>1.7</v>
      </c>
      <c r="F191" s="7" t="n">
        <v>5.1</v>
      </c>
      <c r="G191" s="7" t="n">
        <f aca="false">G190+D191</f>
        <v>1373.3</v>
      </c>
      <c r="H191" s="7" t="n">
        <f aca="false">H190+D191</f>
        <v>304</v>
      </c>
      <c r="J191" s="7" t="n">
        <v>0</v>
      </c>
      <c r="K191" s="7" t="n">
        <f aca="false">K190+J191</f>
        <v>246.5</v>
      </c>
      <c r="L191" s="7" t="n">
        <v>0.6</v>
      </c>
      <c r="M191" s="7" t="n">
        <f aca="false">M190+L191</f>
        <v>145.9</v>
      </c>
      <c r="N191" s="9" t="n">
        <v>-0.6</v>
      </c>
      <c r="O191" s="7" t="n">
        <f aca="false">O190+N191</f>
        <v>138.3</v>
      </c>
      <c r="P191" s="7" t="n">
        <v>147</v>
      </c>
      <c r="Q191" s="7" t="n">
        <v>1</v>
      </c>
      <c r="R191" s="10" t="n">
        <f aca="false">Q191*L191</f>
        <v>0.6</v>
      </c>
      <c r="S191" s="10" t="n">
        <f aca="false">J191-R191</f>
        <v>-0.6</v>
      </c>
      <c r="T191" s="10" t="n">
        <f aca="false">MIN(138.9,(T190+S191))</f>
        <v>138.3</v>
      </c>
      <c r="V191" s="7" t="n">
        <v>533.8</v>
      </c>
      <c r="X191" s="7" t="n">
        <f aca="false">X190+V191</f>
        <v>75275.7</v>
      </c>
      <c r="Y191" s="7" t="n">
        <f aca="false">Y190+V191</f>
        <v>15051.5</v>
      </c>
      <c r="AA191" s="7" t="n">
        <v>9.62855388132157</v>
      </c>
    </row>
    <row r="192" s="7" customFormat="true" ht="15" hidden="false" customHeight="false" outlineLevel="0" collapsed="false">
      <c r="A192" s="21"/>
      <c r="B192" s="13"/>
      <c r="C192" s="8" t="n">
        <v>42038</v>
      </c>
      <c r="D192" s="7" t="n">
        <v>-0.7</v>
      </c>
      <c r="E192" s="7" t="n">
        <v>-2.5</v>
      </c>
      <c r="F192" s="7" t="n">
        <v>0.4</v>
      </c>
      <c r="G192" s="7" t="n">
        <v>1373.3</v>
      </c>
      <c r="H192" s="7" t="n">
        <v>304</v>
      </c>
      <c r="J192" s="7" t="n">
        <v>0.1</v>
      </c>
      <c r="K192" s="7" t="n">
        <f aca="false">K191+J192</f>
        <v>246.6</v>
      </c>
      <c r="L192" s="7" t="n">
        <v>0.2</v>
      </c>
      <c r="M192" s="7" t="n">
        <f aca="false">M191+L192</f>
        <v>146.1</v>
      </c>
      <c r="N192" s="9" t="n">
        <v>-0.1</v>
      </c>
      <c r="O192" s="7" t="n">
        <f aca="false">O191+N192</f>
        <v>138.2</v>
      </c>
      <c r="P192" s="7" t="n">
        <v>148</v>
      </c>
      <c r="Q192" s="7" t="n">
        <v>1</v>
      </c>
      <c r="R192" s="10" t="n">
        <f aca="false">Q192*L192</f>
        <v>0.2</v>
      </c>
      <c r="S192" s="10" t="n">
        <f aca="false">J192-R192</f>
        <v>-0.1</v>
      </c>
      <c r="T192" s="10" t="n">
        <f aca="false">MIN(138.9,(T191+S192))</f>
        <v>138.2</v>
      </c>
      <c r="V192" s="7" t="n">
        <v>138.4</v>
      </c>
      <c r="X192" s="7" t="n">
        <f aca="false">X191+V192</f>
        <v>75414.1</v>
      </c>
      <c r="Y192" s="7" t="n">
        <f aca="false">Y191+V192</f>
        <v>15189.9</v>
      </c>
      <c r="AA192" s="7" t="n">
        <v>9.67688667437189</v>
      </c>
    </row>
    <row r="193" s="7" customFormat="true" ht="15" hidden="false" customHeight="false" outlineLevel="0" collapsed="false">
      <c r="A193" s="21"/>
      <c r="B193" s="13"/>
      <c r="C193" s="8" t="n">
        <v>42039</v>
      </c>
      <c r="D193" s="7" t="n">
        <v>0.8</v>
      </c>
      <c r="E193" s="7" t="n">
        <v>-0.4</v>
      </c>
      <c r="F193" s="7" t="n">
        <v>1.7</v>
      </c>
      <c r="G193" s="7" t="n">
        <f aca="false">G192+D193</f>
        <v>1374.1</v>
      </c>
      <c r="H193" s="7" t="n">
        <f aca="false">H192+D193</f>
        <v>304.8</v>
      </c>
      <c r="J193" s="7" t="n">
        <v>0</v>
      </c>
      <c r="K193" s="7" t="n">
        <f aca="false">K192+J193</f>
        <v>246.6</v>
      </c>
      <c r="L193" s="7" t="n">
        <v>0.6</v>
      </c>
      <c r="M193" s="7" t="n">
        <f aca="false">M192+L193</f>
        <v>146.7</v>
      </c>
      <c r="N193" s="9" t="n">
        <v>-0.6</v>
      </c>
      <c r="O193" s="7" t="n">
        <f aca="false">O192+N193</f>
        <v>137.6</v>
      </c>
      <c r="P193" s="7" t="n">
        <v>149</v>
      </c>
      <c r="Q193" s="7" t="n">
        <v>1</v>
      </c>
      <c r="R193" s="10" t="n">
        <f aca="false">Q193*L193</f>
        <v>0.6</v>
      </c>
      <c r="S193" s="10" t="n">
        <f aca="false">J193-R193</f>
        <v>-0.6</v>
      </c>
      <c r="T193" s="10" t="n">
        <f aca="false">MIN(138.9,(T192+S193))</f>
        <v>137.6</v>
      </c>
      <c r="V193" s="7" t="n">
        <v>427.5</v>
      </c>
      <c r="X193" s="7" t="n">
        <f aca="false">X192+V193</f>
        <v>75841.6</v>
      </c>
      <c r="Y193" s="7" t="n">
        <f aca="false">Y192+V193</f>
        <v>15617.4</v>
      </c>
      <c r="AA193" s="7" t="n">
        <v>9.72576273454168</v>
      </c>
    </row>
    <row r="194" s="7" customFormat="true" ht="15" hidden="false" customHeight="false" outlineLevel="0" collapsed="false">
      <c r="A194" s="21"/>
      <c r="B194" s="13"/>
      <c r="C194" s="8" t="n">
        <v>42040</v>
      </c>
      <c r="D194" s="7" t="n">
        <v>0.8</v>
      </c>
      <c r="E194" s="7" t="n">
        <v>-0.1</v>
      </c>
      <c r="F194" s="7" t="n">
        <v>2.9</v>
      </c>
      <c r="G194" s="7" t="n">
        <f aca="false">G193+D194</f>
        <v>1374.9</v>
      </c>
      <c r="H194" s="7" t="n">
        <f aca="false">H193+D194</f>
        <v>305.6</v>
      </c>
      <c r="J194" s="7" t="n">
        <v>0</v>
      </c>
      <c r="K194" s="7" t="n">
        <f aca="false">K193+J194</f>
        <v>246.6</v>
      </c>
      <c r="L194" s="7" t="n">
        <v>1</v>
      </c>
      <c r="M194" s="7" t="n">
        <f aca="false">M193+L194</f>
        <v>147.7</v>
      </c>
      <c r="N194" s="9" t="n">
        <v>-1</v>
      </c>
      <c r="O194" s="7" t="n">
        <f aca="false">O193+N194</f>
        <v>136.6</v>
      </c>
      <c r="P194" s="7" t="n">
        <v>150</v>
      </c>
      <c r="Q194" s="7" t="n">
        <v>1</v>
      </c>
      <c r="R194" s="10" t="n">
        <f aca="false">Q194*L194</f>
        <v>1</v>
      </c>
      <c r="S194" s="10" t="n">
        <f aca="false">J194-R194</f>
        <v>-1</v>
      </c>
      <c r="T194" s="10" t="n">
        <f aca="false">MIN(138.9,(T193+S194))</f>
        <v>136.6</v>
      </c>
      <c r="V194" s="7" t="n">
        <v>606.7</v>
      </c>
      <c r="X194" s="7" t="n">
        <f aca="false">X193+V194</f>
        <v>76448.3</v>
      </c>
      <c r="Y194" s="7" t="n">
        <f aca="false">Y193+V194</f>
        <v>16224.1</v>
      </c>
      <c r="AA194" s="7" t="n">
        <v>9.7751586537839</v>
      </c>
    </row>
    <row r="195" s="7" customFormat="true" ht="15" hidden="false" customHeight="false" outlineLevel="0" collapsed="false">
      <c r="A195" s="21"/>
      <c r="B195" s="13"/>
      <c r="C195" s="8" t="n">
        <v>42041</v>
      </c>
      <c r="D195" s="7" t="n">
        <v>-0.2</v>
      </c>
      <c r="E195" s="7" t="n">
        <v>-0.9</v>
      </c>
      <c r="F195" s="7" t="n">
        <v>0.8</v>
      </c>
      <c r="G195" s="7" t="n">
        <v>1374.9</v>
      </c>
      <c r="H195" s="7" t="n">
        <v>305.6</v>
      </c>
      <c r="J195" s="7" t="n">
        <v>0</v>
      </c>
      <c r="K195" s="7" t="n">
        <f aca="false">K194+J195</f>
        <v>246.6</v>
      </c>
      <c r="L195" s="7" t="n">
        <v>1.3</v>
      </c>
      <c r="M195" s="7" t="n">
        <f aca="false">M194+L195</f>
        <v>149</v>
      </c>
      <c r="N195" s="9" t="n">
        <v>-1.3</v>
      </c>
      <c r="O195" s="7" t="n">
        <f aca="false">O194+N195</f>
        <v>135.3</v>
      </c>
      <c r="P195" s="7" t="n">
        <v>151</v>
      </c>
      <c r="Q195" s="7" t="n">
        <v>1</v>
      </c>
      <c r="R195" s="10" t="n">
        <f aca="false">Q195*L195</f>
        <v>1.3</v>
      </c>
      <c r="S195" s="10" t="n">
        <f aca="false">J195-R195</f>
        <v>-1.3</v>
      </c>
      <c r="T195" s="10" t="n">
        <f aca="false">MIN(138.9,(T194+S195))</f>
        <v>135.3</v>
      </c>
      <c r="V195" s="7" t="n">
        <v>411.8</v>
      </c>
      <c r="X195" s="7" t="n">
        <f aca="false">X194+V195</f>
        <v>76860.1</v>
      </c>
      <c r="Y195" s="7" t="n">
        <f aca="false">Y194+V195</f>
        <v>16635.9</v>
      </c>
      <c r="AA195" s="7" t="n">
        <v>9.82505162496628</v>
      </c>
    </row>
    <row r="196" s="7" customFormat="true" ht="15" hidden="false" customHeight="false" outlineLevel="0" collapsed="false">
      <c r="A196" s="21"/>
      <c r="B196" s="13"/>
      <c r="C196" s="8" t="n">
        <v>42042</v>
      </c>
      <c r="D196" s="7" t="n">
        <v>0.7</v>
      </c>
      <c r="E196" s="7" t="n">
        <v>-2.5</v>
      </c>
      <c r="F196" s="7" t="n">
        <v>2.7</v>
      </c>
      <c r="G196" s="7" t="n">
        <f aca="false">G195+D196</f>
        <v>1375.6</v>
      </c>
      <c r="H196" s="7" t="n">
        <f aca="false">H195+D196</f>
        <v>306.3</v>
      </c>
      <c r="J196" s="7" t="n">
        <v>0</v>
      </c>
      <c r="K196" s="7" t="n">
        <f aca="false">K195+J196</f>
        <v>246.6</v>
      </c>
      <c r="L196" s="7" t="n">
        <v>1.2</v>
      </c>
      <c r="M196" s="7" t="n">
        <f aca="false">M195+L196</f>
        <v>150.2</v>
      </c>
      <c r="N196" s="9" t="n">
        <v>-1.2</v>
      </c>
      <c r="O196" s="7" t="n">
        <f aca="false">O195+N196</f>
        <v>134.1</v>
      </c>
      <c r="P196" s="7" t="n">
        <v>152</v>
      </c>
      <c r="Q196" s="7" t="n">
        <v>1</v>
      </c>
      <c r="R196" s="10" t="n">
        <f aca="false">Q196*L196</f>
        <v>1.2</v>
      </c>
      <c r="S196" s="10" t="n">
        <f aca="false">J196-R196</f>
        <v>-1.2</v>
      </c>
      <c r="T196" s="10" t="n">
        <f aca="false">MIN(138.9,(T195+S196))</f>
        <v>134.1</v>
      </c>
      <c r="V196" s="7" t="n">
        <v>1118.2</v>
      </c>
      <c r="X196" s="7" t="n">
        <f aca="false">X195+V196</f>
        <v>77978.3</v>
      </c>
      <c r="Y196" s="7" t="n">
        <f aca="false">Y195+V196</f>
        <v>17754.1</v>
      </c>
      <c r="AA196" s="7" t="n">
        <v>9.87541945045206</v>
      </c>
    </row>
    <row r="197" s="7" customFormat="true" ht="15" hidden="false" customHeight="false" outlineLevel="0" collapsed="false">
      <c r="A197" s="21"/>
      <c r="B197" s="13"/>
      <c r="C197" s="8" t="n">
        <v>42043</v>
      </c>
      <c r="D197" s="7" t="n">
        <v>3.8</v>
      </c>
      <c r="E197" s="7" t="n">
        <v>1.8</v>
      </c>
      <c r="F197" s="7" t="n">
        <v>6.1</v>
      </c>
      <c r="G197" s="7" t="n">
        <f aca="false">G196+D197</f>
        <v>1379.4</v>
      </c>
      <c r="H197" s="7" t="n">
        <f aca="false">H196+D197</f>
        <v>310.1</v>
      </c>
      <c r="J197" s="7" t="n">
        <v>0</v>
      </c>
      <c r="K197" s="7" t="n">
        <f aca="false">K196+J197</f>
        <v>246.6</v>
      </c>
      <c r="L197" s="7" t="n">
        <v>0.8</v>
      </c>
      <c r="M197" s="7" t="n">
        <f aca="false">M196+L197</f>
        <v>151</v>
      </c>
      <c r="N197" s="9" t="n">
        <v>-0.8</v>
      </c>
      <c r="O197" s="7" t="n">
        <f aca="false">O196+N197</f>
        <v>133.3</v>
      </c>
      <c r="P197" s="7" t="n">
        <v>153</v>
      </c>
      <c r="Q197" s="7" t="n">
        <v>1</v>
      </c>
      <c r="R197" s="10" t="n">
        <f aca="false">Q197*L197</f>
        <v>0.8</v>
      </c>
      <c r="S197" s="10" t="n">
        <f aca="false">J197-R197</f>
        <v>-0.8</v>
      </c>
      <c r="T197" s="10" t="n">
        <f aca="false">MIN(138.9,(T196+S197))</f>
        <v>133.3</v>
      </c>
      <c r="V197" s="7" t="n">
        <v>325.4</v>
      </c>
      <c r="X197" s="7" t="n">
        <f aca="false">X196+V197</f>
        <v>78303.7</v>
      </c>
      <c r="Y197" s="7" t="n">
        <f aca="false">Y196+V197</f>
        <v>18079.5</v>
      </c>
      <c r="AA197" s="7" t="n">
        <v>9.92624054817969</v>
      </c>
    </row>
    <row r="198" s="7" customFormat="true" ht="15" hidden="false" customHeight="false" outlineLevel="0" collapsed="false">
      <c r="A198" s="21"/>
      <c r="B198" s="13"/>
      <c r="C198" s="8" t="n">
        <v>42044</v>
      </c>
      <c r="D198" s="7" t="n">
        <v>2.7</v>
      </c>
      <c r="E198" s="7" t="n">
        <v>-2.1</v>
      </c>
      <c r="F198" s="7" t="n">
        <v>6.6</v>
      </c>
      <c r="G198" s="7" t="n">
        <f aca="false">G197+D198</f>
        <v>1382.1</v>
      </c>
      <c r="H198" s="7" t="n">
        <f aca="false">H197+D198</f>
        <v>312.8</v>
      </c>
      <c r="J198" s="7" t="n">
        <v>0</v>
      </c>
      <c r="K198" s="7" t="n">
        <f aca="false">K197+J198</f>
        <v>246.6</v>
      </c>
      <c r="L198" s="7" t="n">
        <v>0.9</v>
      </c>
      <c r="M198" s="7" t="n">
        <f aca="false">M197+L198</f>
        <v>151.9</v>
      </c>
      <c r="N198" s="9" t="n">
        <v>-0.9</v>
      </c>
      <c r="O198" s="7" t="n">
        <f aca="false">O197+N198</f>
        <v>132.4</v>
      </c>
      <c r="P198" s="7" t="n">
        <v>154</v>
      </c>
      <c r="Q198" s="7" t="n">
        <v>1</v>
      </c>
      <c r="R198" s="10" t="n">
        <f aca="false">Q198*L198</f>
        <v>0.9</v>
      </c>
      <c r="S198" s="10" t="n">
        <f aca="false">J198-R198</f>
        <v>-0.9</v>
      </c>
      <c r="T198" s="10" t="n">
        <f aca="false">MIN(138.9,(T197+S198))</f>
        <v>132.4</v>
      </c>
      <c r="V198" s="7" t="n">
        <v>759.8</v>
      </c>
      <c r="X198" s="7" t="n">
        <f aca="false">X197+V198</f>
        <v>79063.5</v>
      </c>
      <c r="Y198" s="7" t="n">
        <f aca="false">Y197+V198</f>
        <v>18839.3</v>
      </c>
      <c r="AA198" s="7" t="n">
        <v>9.97749395539033</v>
      </c>
    </row>
    <row r="199" s="7" customFormat="true" ht="15" hidden="false" customHeight="false" outlineLevel="0" collapsed="false">
      <c r="A199" s="21"/>
      <c r="B199" s="13"/>
      <c r="C199" s="8" t="n">
        <v>42045</v>
      </c>
      <c r="D199" s="7" t="n">
        <v>3.6</v>
      </c>
      <c r="E199" s="7" t="n">
        <v>1.6</v>
      </c>
      <c r="F199" s="7" t="n">
        <v>6</v>
      </c>
      <c r="G199" s="7" t="n">
        <f aca="false">G198+D199</f>
        <v>1385.7</v>
      </c>
      <c r="H199" s="7" t="n">
        <f aca="false">H198+D199</f>
        <v>316.4</v>
      </c>
      <c r="J199" s="7" t="n">
        <v>0</v>
      </c>
      <c r="K199" s="7" t="n">
        <f aca="false">K198+J199</f>
        <v>246.6</v>
      </c>
      <c r="L199" s="7" t="n">
        <v>0.9</v>
      </c>
      <c r="M199" s="7" t="n">
        <f aca="false">M198+L199</f>
        <v>152.8</v>
      </c>
      <c r="N199" s="9" t="n">
        <v>-0.9</v>
      </c>
      <c r="O199" s="7" t="n">
        <f aca="false">O198+N199</f>
        <v>131.5</v>
      </c>
      <c r="P199" s="7" t="n">
        <v>155</v>
      </c>
      <c r="Q199" s="7" t="n">
        <v>1</v>
      </c>
      <c r="R199" s="10" t="n">
        <f aca="false">Q199*L199</f>
        <v>0.9</v>
      </c>
      <c r="S199" s="10" t="n">
        <f aca="false">J199-R199</f>
        <v>-0.9</v>
      </c>
      <c r="T199" s="10" t="n">
        <f aca="false">MIN(138.9,(T198+S199))</f>
        <v>131.5</v>
      </c>
      <c r="V199" s="7" t="n">
        <v>531.1</v>
      </c>
      <c r="X199" s="7" t="n">
        <f aca="false">X198+V199</f>
        <v>79594.6</v>
      </c>
      <c r="Y199" s="7" t="n">
        <f aca="false">Y198+V199</f>
        <v>19370.4</v>
      </c>
      <c r="AA199" s="7" t="n">
        <v>10.029159330152</v>
      </c>
    </row>
    <row r="200" s="7" customFormat="true" ht="15" hidden="false" customHeight="false" outlineLevel="0" collapsed="false">
      <c r="A200" s="21"/>
      <c r="B200" s="13"/>
      <c r="C200" s="8" t="n">
        <v>42046</v>
      </c>
      <c r="D200" s="7" t="n">
        <v>0.4</v>
      </c>
      <c r="E200" s="7" t="n">
        <v>-1.6</v>
      </c>
      <c r="F200" s="7" t="n">
        <v>3.7</v>
      </c>
      <c r="G200" s="7" t="n">
        <f aca="false">G199+D200</f>
        <v>1386.1</v>
      </c>
      <c r="H200" s="7" t="n">
        <f aca="false">H199+D200</f>
        <v>316.8</v>
      </c>
      <c r="J200" s="7" t="n">
        <v>0</v>
      </c>
      <c r="K200" s="7" t="n">
        <f aca="false">K199+J200</f>
        <v>246.6</v>
      </c>
      <c r="L200" s="7" t="n">
        <v>0.8</v>
      </c>
      <c r="M200" s="7" t="n">
        <f aca="false">M199+L200</f>
        <v>153.6</v>
      </c>
      <c r="N200" s="9" t="n">
        <v>-0.8</v>
      </c>
      <c r="O200" s="7" t="n">
        <f aca="false">O199+N200</f>
        <v>130.7</v>
      </c>
      <c r="P200" s="7" t="n">
        <v>156</v>
      </c>
      <c r="Q200" s="7" t="n">
        <v>1</v>
      </c>
      <c r="R200" s="10" t="n">
        <f aca="false">Q200*L200</f>
        <v>0.8</v>
      </c>
      <c r="S200" s="10" t="n">
        <f aca="false">J200-R200</f>
        <v>-0.8</v>
      </c>
      <c r="T200" s="10" t="n">
        <f aca="false">MIN(138.9,(T199+S200))</f>
        <v>130.7</v>
      </c>
      <c r="V200" s="7" t="n">
        <v>796.2</v>
      </c>
      <c r="X200" s="7" t="n">
        <f aca="false">X199+V200</f>
        <v>80390.8</v>
      </c>
      <c r="Y200" s="7" t="n">
        <f aca="false">Y199+V200</f>
        <v>20166.6</v>
      </c>
      <c r="AA200" s="7" t="n">
        <v>10.0812169508273</v>
      </c>
    </row>
    <row r="201" s="7" customFormat="true" ht="15" hidden="false" customHeight="false" outlineLevel="0" collapsed="false">
      <c r="A201" s="21"/>
      <c r="B201" s="13"/>
      <c r="C201" s="8" t="n">
        <v>42047</v>
      </c>
      <c r="D201" s="7" t="n">
        <v>2.5</v>
      </c>
      <c r="E201" s="7" t="n">
        <v>-4.6</v>
      </c>
      <c r="F201" s="7" t="n">
        <v>7.7</v>
      </c>
      <c r="G201" s="7" t="n">
        <f aca="false">G200+D201</f>
        <v>1388.6</v>
      </c>
      <c r="H201" s="7" t="n">
        <f aca="false">H200+D201</f>
        <v>319.3</v>
      </c>
      <c r="J201" s="7" t="n">
        <v>0</v>
      </c>
      <c r="K201" s="7" t="n">
        <f aca="false">K200+J201</f>
        <v>246.6</v>
      </c>
      <c r="L201" s="7" t="n">
        <v>0.9</v>
      </c>
      <c r="M201" s="7" t="n">
        <f aca="false">M200+L201</f>
        <v>154.5</v>
      </c>
      <c r="N201" s="9" t="n">
        <v>-0.9</v>
      </c>
      <c r="O201" s="7" t="n">
        <f aca="false">O200+N201</f>
        <v>129.8</v>
      </c>
      <c r="P201" s="7" t="n">
        <v>157</v>
      </c>
      <c r="Q201" s="7" t="n">
        <v>1</v>
      </c>
      <c r="R201" s="10" t="n">
        <f aca="false">Q201*L201</f>
        <v>0.9</v>
      </c>
      <c r="S201" s="10" t="n">
        <f aca="false">J201-R201</f>
        <v>-0.9</v>
      </c>
      <c r="T201" s="10" t="n">
        <f aca="false">MIN(138.9,(T200+S201))</f>
        <v>129.8</v>
      </c>
      <c r="V201" s="7" t="n">
        <v>997.5</v>
      </c>
      <c r="X201" s="7" t="n">
        <f aca="false">X200+V201</f>
        <v>81388.3</v>
      </c>
      <c r="Y201" s="7" t="n">
        <f aca="false">Y200+V201</f>
        <v>21164.1</v>
      </c>
      <c r="AA201" s="7" t="n">
        <v>10.1336477136298</v>
      </c>
    </row>
    <row r="202" s="7" customFormat="true" ht="15" hidden="false" customHeight="false" outlineLevel="0" collapsed="false">
      <c r="A202" s="21"/>
      <c r="B202" s="13"/>
      <c r="C202" s="8" t="n">
        <v>42048</v>
      </c>
      <c r="D202" s="7" t="n">
        <v>7</v>
      </c>
      <c r="E202" s="7" t="n">
        <v>2.8</v>
      </c>
      <c r="F202" s="7" t="n">
        <v>11.4</v>
      </c>
      <c r="G202" s="7" t="n">
        <f aca="false">G201+D202</f>
        <v>1395.6</v>
      </c>
      <c r="H202" s="7" t="n">
        <f aca="false">H201+D202</f>
        <v>326.3</v>
      </c>
      <c r="J202" s="7" t="n">
        <v>11.5</v>
      </c>
      <c r="K202" s="7" t="n">
        <f aca="false">K201+J202</f>
        <v>258.1</v>
      </c>
      <c r="L202" s="7" t="n">
        <v>1.4</v>
      </c>
      <c r="M202" s="7" t="n">
        <f aca="false">M201+L202</f>
        <v>155.9</v>
      </c>
      <c r="N202" s="7" t="n">
        <v>10.1</v>
      </c>
      <c r="O202" s="7" t="n">
        <v>138.9</v>
      </c>
      <c r="P202" s="7" t="n">
        <v>158</v>
      </c>
      <c r="Q202" s="7" t="n">
        <v>1</v>
      </c>
      <c r="R202" s="10" t="n">
        <f aca="false">Q202*L202</f>
        <v>1.4</v>
      </c>
      <c r="S202" s="10" t="n">
        <f aca="false">J202-R202</f>
        <v>10.1</v>
      </c>
      <c r="T202" s="10" t="n">
        <f aca="false">MIN(138.9,(T201+S202))</f>
        <v>138.9</v>
      </c>
      <c r="V202" s="7" t="n">
        <v>787.7</v>
      </c>
      <c r="X202" s="7" t="n">
        <f aca="false">X201+V202</f>
        <v>82176</v>
      </c>
      <c r="Y202" s="7" t="n">
        <f aca="false">Y201+V202</f>
        <v>21951.8</v>
      </c>
      <c r="AA202" s="7" t="n">
        <v>10.1864331284095</v>
      </c>
    </row>
    <row r="203" s="7" customFormat="true" ht="15" hidden="false" customHeight="false" outlineLevel="0" collapsed="false">
      <c r="A203" s="21"/>
      <c r="B203" s="13"/>
      <c r="C203" s="8" t="n">
        <v>42049</v>
      </c>
      <c r="D203" s="7" t="n">
        <v>6.5</v>
      </c>
      <c r="E203" s="7" t="n">
        <v>5.7</v>
      </c>
      <c r="F203" s="7" t="n">
        <v>7.8</v>
      </c>
      <c r="G203" s="7" t="n">
        <f aca="false">G202+D203</f>
        <v>1402.1</v>
      </c>
      <c r="H203" s="7" t="n">
        <f aca="false">H202+D203</f>
        <v>332.8</v>
      </c>
      <c r="J203" s="7" t="n">
        <v>6.1</v>
      </c>
      <c r="K203" s="7" t="n">
        <f aca="false">K202+J203</f>
        <v>264.2</v>
      </c>
      <c r="L203" s="7" t="n">
        <v>0.5</v>
      </c>
      <c r="M203" s="7" t="n">
        <f aca="false">M202+L203</f>
        <v>156.4</v>
      </c>
      <c r="N203" s="7" t="n">
        <v>5.6</v>
      </c>
      <c r="O203" s="7" t="n">
        <v>138.9</v>
      </c>
      <c r="P203" s="7" t="n">
        <v>159</v>
      </c>
      <c r="Q203" s="7" t="n">
        <v>1</v>
      </c>
      <c r="R203" s="10" t="n">
        <f aca="false">Q203*L203</f>
        <v>0.5</v>
      </c>
      <c r="S203" s="10" t="n">
        <f aca="false">J203-R203</f>
        <v>5.6</v>
      </c>
      <c r="T203" s="10" t="n">
        <f aca="false">MIN(138.9,(T202+S203))</f>
        <v>138.9</v>
      </c>
      <c r="V203" s="7" t="n">
        <v>128.5</v>
      </c>
      <c r="X203" s="7" t="n">
        <f aca="false">X202+V203</f>
        <v>82304.5</v>
      </c>
      <c r="Y203" s="7" t="n">
        <f aca="false">Y202+V203</f>
        <v>22080.3</v>
      </c>
      <c r="AA203" s="7" t="n">
        <v>10.2395553128072</v>
      </c>
    </row>
    <row r="204" s="7" customFormat="true" ht="15" hidden="false" customHeight="false" outlineLevel="0" collapsed="false">
      <c r="A204" s="21"/>
      <c r="B204" s="13"/>
      <c r="C204" s="8" t="n">
        <v>42050</v>
      </c>
      <c r="D204" s="7" t="n">
        <v>5</v>
      </c>
      <c r="E204" s="7" t="n">
        <v>4.1</v>
      </c>
      <c r="F204" s="7" t="n">
        <v>6.6</v>
      </c>
      <c r="G204" s="7" t="n">
        <f aca="false">G203+D204</f>
        <v>1407.1</v>
      </c>
      <c r="H204" s="7" t="n">
        <f aca="false">H203+D204</f>
        <v>337.8</v>
      </c>
      <c r="J204" s="7" t="n">
        <v>0.1</v>
      </c>
      <c r="K204" s="7" t="n">
        <f aca="false">K203+J204</f>
        <v>264.3</v>
      </c>
      <c r="L204" s="7" t="n">
        <v>0.4</v>
      </c>
      <c r="M204" s="7" t="n">
        <f aca="false">M203+L204</f>
        <v>156.8</v>
      </c>
      <c r="N204" s="9" t="n">
        <v>-0.3</v>
      </c>
      <c r="O204" s="7" t="n">
        <f aca="false">O203+N204</f>
        <v>138.6</v>
      </c>
      <c r="P204" s="7" t="n">
        <v>160</v>
      </c>
      <c r="Q204" s="7" t="n">
        <v>1</v>
      </c>
      <c r="R204" s="10" t="n">
        <f aca="false">Q204*L204</f>
        <v>0.4</v>
      </c>
      <c r="S204" s="10" t="n">
        <f aca="false">J204-R204</f>
        <v>-0.3</v>
      </c>
      <c r="T204" s="10" t="n">
        <f aca="false">MIN(138.9,(T203+S204))</f>
        <v>138.6</v>
      </c>
      <c r="V204" s="7" t="n">
        <v>446.7</v>
      </c>
      <c r="X204" s="7" t="n">
        <f aca="false">X203+V204</f>
        <v>82751.2</v>
      </c>
      <c r="Y204" s="7" t="n">
        <f aca="false">Y203+V204</f>
        <v>22527</v>
      </c>
      <c r="AA204" s="7" t="n">
        <v>10.2929969849074</v>
      </c>
    </row>
    <row r="205" s="7" customFormat="true" ht="15" hidden="false" customHeight="false" outlineLevel="0" collapsed="false">
      <c r="A205" s="21"/>
      <c r="B205" s="13"/>
      <c r="C205" s="8" t="n">
        <v>42051</v>
      </c>
      <c r="D205" s="7" t="n">
        <v>3.6</v>
      </c>
      <c r="E205" s="7" t="n">
        <v>0.5</v>
      </c>
      <c r="F205" s="7" t="n">
        <v>5.4</v>
      </c>
      <c r="G205" s="7" t="n">
        <f aca="false">G204+D205</f>
        <v>1410.7</v>
      </c>
      <c r="H205" s="7" t="n">
        <f aca="false">H204+D205</f>
        <v>341.4</v>
      </c>
      <c r="J205" s="7" t="n">
        <v>0.7</v>
      </c>
      <c r="K205" s="7" t="n">
        <f aca="false">K204+J205</f>
        <v>265</v>
      </c>
      <c r="L205" s="7" t="n">
        <v>0.2</v>
      </c>
      <c r="M205" s="7" t="n">
        <f aca="false">M204+L205</f>
        <v>157</v>
      </c>
      <c r="N205" s="7" t="n">
        <v>0.5</v>
      </c>
      <c r="O205" s="7" t="n">
        <v>138.9</v>
      </c>
      <c r="P205" s="7" t="n">
        <v>161</v>
      </c>
      <c r="Q205" s="7" t="n">
        <v>1</v>
      </c>
      <c r="R205" s="10" t="n">
        <f aca="false">Q205*L205</f>
        <v>0.2</v>
      </c>
      <c r="S205" s="10" t="n">
        <f aca="false">J205-R205</f>
        <v>0.5</v>
      </c>
      <c r="T205" s="10" t="n">
        <f aca="false">MIN(138.9,(T204+S205))</f>
        <v>138.9</v>
      </c>
      <c r="V205" s="7" t="n">
        <v>302.2</v>
      </c>
      <c r="X205" s="7" t="n">
        <f aca="false">X204+V205</f>
        <v>83053.4</v>
      </c>
      <c r="Y205" s="7" t="n">
        <f aca="false">Y204+V205</f>
        <v>22829.2</v>
      </c>
      <c r="AA205" s="7" t="n">
        <v>10.3467414545208</v>
      </c>
    </row>
    <row r="206" s="7" customFormat="true" ht="15" hidden="false" customHeight="false" outlineLevel="0" collapsed="false">
      <c r="A206" s="21"/>
      <c r="B206" s="13"/>
      <c r="C206" s="8" t="n">
        <v>42052</v>
      </c>
      <c r="D206" s="7" t="n">
        <v>5.8</v>
      </c>
      <c r="E206" s="7" t="n">
        <v>4.1</v>
      </c>
      <c r="F206" s="7" t="n">
        <v>7.1</v>
      </c>
      <c r="G206" s="7" t="n">
        <f aca="false">G205+D206</f>
        <v>1416.5</v>
      </c>
      <c r="H206" s="7" t="n">
        <f aca="false">H205+D206</f>
        <v>347.2</v>
      </c>
      <c r="J206" s="24" t="n">
        <v>0</v>
      </c>
      <c r="K206" s="7" t="n">
        <f aca="false">K205+J206</f>
        <v>265</v>
      </c>
      <c r="L206" s="7" t="n">
        <v>0.6</v>
      </c>
      <c r="M206" s="7" t="n">
        <f aca="false">M205+L206</f>
        <v>157.6</v>
      </c>
      <c r="N206" s="9" t="n">
        <v>-0.6</v>
      </c>
      <c r="O206" s="7" t="n">
        <f aca="false">O205+N206</f>
        <v>138.3</v>
      </c>
      <c r="P206" s="7" t="n">
        <v>162</v>
      </c>
      <c r="Q206" s="7" t="n">
        <v>1</v>
      </c>
      <c r="R206" s="10" t="n">
        <f aca="false">Q206*L206</f>
        <v>0.6</v>
      </c>
      <c r="S206" s="10" t="n">
        <f aca="false">J206-R206</f>
        <v>-0.6</v>
      </c>
      <c r="T206" s="10" t="n">
        <f aca="false">MIN(138.9,(T205+S206))</f>
        <v>138.3</v>
      </c>
      <c r="V206" s="7" t="n">
        <v>331</v>
      </c>
      <c r="X206" s="7" t="n">
        <f aca="false">X205+V206</f>
        <v>83384.4</v>
      </c>
      <c r="Y206" s="7" t="n">
        <f aca="false">Y205+V206</f>
        <v>23160.2</v>
      </c>
      <c r="AA206" s="7" t="n">
        <v>10.400772613217</v>
      </c>
      <c r="AB206" s="25" t="s">
        <v>46</v>
      </c>
    </row>
    <row r="207" s="7" customFormat="true" ht="15" hidden="false" customHeight="false" outlineLevel="0" collapsed="false">
      <c r="A207" s="21"/>
      <c r="B207" s="13"/>
      <c r="C207" s="8" t="n">
        <v>42053</v>
      </c>
      <c r="D207" s="7" t="n">
        <v>2.9</v>
      </c>
      <c r="E207" s="7" t="n">
        <v>1.7</v>
      </c>
      <c r="F207" s="7" t="n">
        <v>4.6</v>
      </c>
      <c r="G207" s="7" t="n">
        <f aca="false">G206+D207</f>
        <v>1419.4</v>
      </c>
      <c r="H207" s="7" t="n">
        <f aca="false">H206+D207</f>
        <v>350.1</v>
      </c>
      <c r="J207" s="24" t="n">
        <v>0</v>
      </c>
      <c r="K207" s="7" t="n">
        <f aca="false">K206+J207</f>
        <v>265</v>
      </c>
      <c r="L207" s="7" t="n">
        <v>0.6</v>
      </c>
      <c r="M207" s="7" t="n">
        <f aca="false">M206+L207</f>
        <v>158.2</v>
      </c>
      <c r="N207" s="9" t="n">
        <v>-0.6</v>
      </c>
      <c r="O207" s="7" t="n">
        <f aca="false">O206+N207</f>
        <v>137.7</v>
      </c>
      <c r="P207" s="7" t="n">
        <v>163</v>
      </c>
      <c r="Q207" s="7" t="n">
        <v>1</v>
      </c>
      <c r="R207" s="10" t="n">
        <f aca="false">Q207*L207</f>
        <v>0.6</v>
      </c>
      <c r="S207" s="10" t="n">
        <f aca="false">J207-R207</f>
        <v>-0.6</v>
      </c>
      <c r="T207" s="10" t="n">
        <f aca="false">MIN(138.9,(T206+S207))</f>
        <v>137.7</v>
      </c>
      <c r="V207" s="7" t="n">
        <v>434.5</v>
      </c>
      <c r="X207" s="7" t="n">
        <f aca="false">X206+V207</f>
        <v>83818.9</v>
      </c>
      <c r="Y207" s="7" t="n">
        <f aca="false">Y206+V207</f>
        <v>23594.7</v>
      </c>
      <c r="AA207" s="7" t="n">
        <v>10.4550749232247</v>
      </c>
      <c r="AB207" s="10" t="n">
        <f aca="false">AVERAGE(T213:T226)</f>
        <v>136.228074912892</v>
      </c>
    </row>
    <row r="208" s="7" customFormat="true" ht="15" hidden="false" customHeight="false" outlineLevel="0" collapsed="false">
      <c r="A208" s="21"/>
      <c r="B208" s="13"/>
      <c r="C208" s="8" t="n">
        <v>42054</v>
      </c>
      <c r="D208" s="7" t="n">
        <v>2.2</v>
      </c>
      <c r="E208" s="7" t="n">
        <v>-3.6</v>
      </c>
      <c r="F208" s="7" t="n">
        <v>5.5</v>
      </c>
      <c r="G208" s="7" t="n">
        <f aca="false">G207+D208</f>
        <v>1421.6</v>
      </c>
      <c r="H208" s="7" t="n">
        <f aca="false">H207+D208</f>
        <v>352.3</v>
      </c>
      <c r="J208" s="24" t="n">
        <v>0.2</v>
      </c>
      <c r="K208" s="7" t="n">
        <f aca="false">K207+J208</f>
        <v>265.2</v>
      </c>
      <c r="L208" s="7" t="n">
        <v>0.2</v>
      </c>
      <c r="M208" s="7" t="n">
        <f aca="false">M207+L208</f>
        <v>158.4</v>
      </c>
      <c r="N208" s="9" t="n">
        <v>0</v>
      </c>
      <c r="O208" s="7" t="n">
        <f aca="false">O207+N208</f>
        <v>137.7</v>
      </c>
      <c r="P208" s="7" t="n">
        <v>164</v>
      </c>
      <c r="Q208" s="7" t="n">
        <v>1</v>
      </c>
      <c r="R208" s="10" t="n">
        <f aca="false">Q208*L208</f>
        <v>0.2</v>
      </c>
      <c r="S208" s="10" t="n">
        <f aca="false">J208-R208</f>
        <v>0</v>
      </c>
      <c r="T208" s="10" t="n">
        <f aca="false">MIN(138.9,(T207+S208))</f>
        <v>137.7</v>
      </c>
      <c r="V208" s="7" t="n">
        <v>292.8</v>
      </c>
      <c r="X208" s="7" t="n">
        <f aca="false">X207+V208</f>
        <v>84111.7</v>
      </c>
      <c r="Y208" s="7" t="n">
        <f aca="false">Y207+V208</f>
        <v>23887.5</v>
      </c>
      <c r="AA208" s="7" t="n">
        <v>10.5096334053108</v>
      </c>
      <c r="AB208" s="25" t="s">
        <v>47</v>
      </c>
    </row>
    <row r="209" s="7" customFormat="true" ht="15" hidden="false" customHeight="false" outlineLevel="0" collapsed="false">
      <c r="A209" s="21"/>
      <c r="B209" s="13"/>
      <c r="C209" s="8" t="n">
        <v>42055</v>
      </c>
      <c r="D209" s="7" t="n">
        <v>6.4</v>
      </c>
      <c r="E209" s="7" t="n">
        <v>4.7</v>
      </c>
      <c r="F209" s="7" t="n">
        <v>8.9</v>
      </c>
      <c r="G209" s="7" t="n">
        <f aca="false">G208+D209</f>
        <v>1428</v>
      </c>
      <c r="H209" s="7" t="n">
        <f aca="false">H208+D209</f>
        <v>358.7</v>
      </c>
      <c r="J209" s="24" t="n">
        <v>6.2</v>
      </c>
      <c r="K209" s="7" t="n">
        <f aca="false">K208+J209</f>
        <v>271.4</v>
      </c>
      <c r="L209" s="7" t="n">
        <v>1</v>
      </c>
      <c r="M209" s="7" t="n">
        <f aca="false">M208+L209</f>
        <v>159.4</v>
      </c>
      <c r="N209" s="7" t="n">
        <v>5.2</v>
      </c>
      <c r="O209" s="7" t="n">
        <v>138.9</v>
      </c>
      <c r="P209" s="7" t="n">
        <v>165</v>
      </c>
      <c r="Q209" s="7" t="n">
        <v>1</v>
      </c>
      <c r="R209" s="10" t="n">
        <f aca="false">Q209*L209</f>
        <v>1</v>
      </c>
      <c r="S209" s="10" t="n">
        <f aca="false">J209-R209</f>
        <v>5.2</v>
      </c>
      <c r="T209" s="10" t="n">
        <f aca="false">MIN(138.9,(T208+S209))</f>
        <v>138.9</v>
      </c>
      <c r="V209" s="7" t="n">
        <v>265.2</v>
      </c>
      <c r="X209" s="7" t="n">
        <f aca="false">X208+V209</f>
        <v>84376.9</v>
      </c>
      <c r="Y209" s="7" t="n">
        <f aca="false">Y208+V209</f>
        <v>24152.7</v>
      </c>
      <c r="AA209" s="7" t="n">
        <v>10.5644336257428</v>
      </c>
      <c r="AB209" s="7" t="n">
        <v>2</v>
      </c>
    </row>
    <row r="210" s="7" customFormat="true" ht="15" hidden="false" customHeight="false" outlineLevel="0" collapsed="false">
      <c r="A210" s="21"/>
      <c r="B210" s="13"/>
      <c r="C210" s="8" t="n">
        <v>42056</v>
      </c>
      <c r="D210" s="7" t="n">
        <v>3.2</v>
      </c>
      <c r="E210" s="7" t="n">
        <v>2</v>
      </c>
      <c r="F210" s="7" t="n">
        <v>5.6</v>
      </c>
      <c r="G210" s="7" t="n">
        <f aca="false">G209+D210</f>
        <v>1431.2</v>
      </c>
      <c r="H210" s="7" t="n">
        <f aca="false">H209+D210</f>
        <v>361.9</v>
      </c>
      <c r="J210" s="24" t="n">
        <v>2.2</v>
      </c>
      <c r="K210" s="7" t="n">
        <f aca="false">K209+J210</f>
        <v>273.6</v>
      </c>
      <c r="L210" s="7" t="n">
        <v>0.4</v>
      </c>
      <c r="M210" s="7" t="n">
        <f aca="false">M209+L210</f>
        <v>159.8</v>
      </c>
      <c r="N210" s="7" t="n">
        <v>1.8</v>
      </c>
      <c r="O210" s="7" t="n">
        <v>138.9</v>
      </c>
      <c r="P210" s="7" t="n">
        <v>166</v>
      </c>
      <c r="Q210" s="7" t="n">
        <v>1</v>
      </c>
      <c r="R210" s="10" t="n">
        <f aca="false">Q210*L210</f>
        <v>0.4</v>
      </c>
      <c r="S210" s="10" t="n">
        <f aca="false">J210-R210</f>
        <v>1.8</v>
      </c>
      <c r="T210" s="10" t="n">
        <f aca="false">MIN(138.9,(T209+S210))</f>
        <v>138.9</v>
      </c>
      <c r="V210" s="7" t="n">
        <v>286.4</v>
      </c>
      <c r="X210" s="7" t="n">
        <f aca="false">X209+V210</f>
        <v>84663.3</v>
      </c>
      <c r="Y210" s="7" t="n">
        <f aca="false">Y209+V210</f>
        <v>24439.1</v>
      </c>
      <c r="AA210" s="7" t="n">
        <v>10.6194616824329</v>
      </c>
      <c r="AB210" s="25" t="s">
        <v>48</v>
      </c>
    </row>
    <row r="211" s="7" customFormat="true" ht="15" hidden="false" customHeight="false" outlineLevel="0" collapsed="false">
      <c r="A211" s="21"/>
      <c r="B211" s="13"/>
      <c r="C211" s="8" t="n">
        <v>42057</v>
      </c>
      <c r="D211" s="7" t="n">
        <v>3.3</v>
      </c>
      <c r="E211" s="7" t="n">
        <v>-1.8</v>
      </c>
      <c r="F211" s="7" t="n">
        <v>8.5</v>
      </c>
      <c r="G211" s="7" t="n">
        <f aca="false">G210+D211</f>
        <v>1434.5</v>
      </c>
      <c r="H211" s="7" t="n">
        <f aca="false">H210+D211</f>
        <v>365.2</v>
      </c>
      <c r="J211" s="24" t="n">
        <v>1.7</v>
      </c>
      <c r="K211" s="7" t="n">
        <f aca="false">K210+J211</f>
        <v>275.3</v>
      </c>
      <c r="L211" s="7" t="n">
        <v>0.8</v>
      </c>
      <c r="M211" s="7" t="n">
        <f aca="false">M210+L211</f>
        <v>160.6</v>
      </c>
      <c r="N211" s="7" t="n">
        <v>0.9</v>
      </c>
      <c r="O211" s="7" t="n">
        <v>138.9</v>
      </c>
      <c r="P211" s="7" t="n">
        <v>167</v>
      </c>
      <c r="Q211" s="7" t="n">
        <v>1</v>
      </c>
      <c r="R211" s="10" t="n">
        <f aca="false">Q211*L211</f>
        <v>0.8</v>
      </c>
      <c r="S211" s="10" t="n">
        <f aca="false">J211-R211</f>
        <v>0.9</v>
      </c>
      <c r="T211" s="10" t="n">
        <f aca="false">MIN(138.9,(T210+S211))</f>
        <v>138.9</v>
      </c>
      <c r="V211" s="7" t="n">
        <v>585.6</v>
      </c>
      <c r="X211" s="7" t="n">
        <f aca="false">X210+V211</f>
        <v>85248.9</v>
      </c>
      <c r="Y211" s="7" t="n">
        <f aca="false">Y210+V211</f>
        <v>25024.7</v>
      </c>
      <c r="AA211" s="7" t="n">
        <v>10.6747041903574</v>
      </c>
      <c r="AB211" s="7" t="n">
        <v>6</v>
      </c>
    </row>
    <row r="212" s="7" customFormat="true" ht="15" hidden="false" customHeight="false" outlineLevel="0" collapsed="false">
      <c r="A212" s="21"/>
      <c r="B212" s="13"/>
      <c r="C212" s="8" t="n">
        <v>42058</v>
      </c>
      <c r="D212" s="7" t="n">
        <v>7.4</v>
      </c>
      <c r="E212" s="7" t="n">
        <v>4.9</v>
      </c>
      <c r="F212" s="7" t="n">
        <v>11.2</v>
      </c>
      <c r="G212" s="7" t="n">
        <f aca="false">G211+D212</f>
        <v>1441.9</v>
      </c>
      <c r="H212" s="7" t="n">
        <f aca="false">H211+D212</f>
        <v>372.6</v>
      </c>
      <c r="J212" s="24" t="n">
        <v>3.3</v>
      </c>
      <c r="K212" s="7" t="n">
        <f aca="false">K211+J212</f>
        <v>278.6</v>
      </c>
      <c r="L212" s="7" t="n">
        <v>1.3</v>
      </c>
      <c r="M212" s="7" t="n">
        <f aca="false">M211+L212</f>
        <v>161.9</v>
      </c>
      <c r="N212" s="7" t="n">
        <v>2</v>
      </c>
      <c r="O212" s="7" t="n">
        <v>138.9</v>
      </c>
      <c r="P212" s="7" t="n">
        <v>168</v>
      </c>
      <c r="Q212" s="7" t="n">
        <v>1</v>
      </c>
      <c r="R212" s="10" t="n">
        <f aca="false">Q212*L212</f>
        <v>1.3</v>
      </c>
      <c r="S212" s="10" t="n">
        <f aca="false">J212-R212</f>
        <v>2</v>
      </c>
      <c r="T212" s="10" t="n">
        <f aca="false">MIN(138.9,(T211+S212))</f>
        <v>138.9</v>
      </c>
      <c r="V212" s="7" t="n">
        <v>587.1</v>
      </c>
      <c r="X212" s="7" t="n">
        <f aca="false">X211+V212</f>
        <v>85836</v>
      </c>
      <c r="Y212" s="7" t="n">
        <f aca="false">Y211+V212</f>
        <v>25611.8</v>
      </c>
      <c r="AA212" s="7" t="n">
        <v>10.7301482663372</v>
      </c>
      <c r="AB212" s="25" t="s">
        <v>49</v>
      </c>
    </row>
    <row r="213" s="7" customFormat="true" ht="15" hidden="false" customHeight="false" outlineLevel="0" collapsed="false">
      <c r="A213" s="21"/>
      <c r="B213" s="13"/>
      <c r="C213" s="8" t="n">
        <v>42059</v>
      </c>
      <c r="D213" s="7" t="n">
        <v>4.3</v>
      </c>
      <c r="E213" s="7" t="n">
        <v>2.3</v>
      </c>
      <c r="F213" s="7" t="n">
        <v>7.9</v>
      </c>
      <c r="G213" s="7" t="n">
        <f aca="false">G212+D213</f>
        <v>1446.2</v>
      </c>
      <c r="H213" s="7" t="n">
        <f aca="false">H212+D213</f>
        <v>376.9</v>
      </c>
      <c r="J213" s="24" t="n">
        <v>0.3</v>
      </c>
      <c r="K213" s="7" t="n">
        <f aca="false">K212+J213</f>
        <v>278.9</v>
      </c>
      <c r="L213" s="7" t="n">
        <v>0.9</v>
      </c>
      <c r="M213" s="7" t="n">
        <f aca="false">M212+L213</f>
        <v>162.8</v>
      </c>
      <c r="N213" s="9" t="n">
        <v>-0.6</v>
      </c>
      <c r="O213" s="7" t="n">
        <f aca="false">O212+N213</f>
        <v>138.3</v>
      </c>
      <c r="P213" s="7" t="n">
        <v>169</v>
      </c>
      <c r="Q213" s="7" t="n">
        <v>1</v>
      </c>
      <c r="R213" s="10" t="n">
        <f aca="false">Q213*L213</f>
        <v>0.9</v>
      </c>
      <c r="S213" s="10" t="n">
        <f aca="false">J213-R213</f>
        <v>-0.6</v>
      </c>
      <c r="T213" s="26" t="n">
        <f aca="false">MIN(138.9,(T212+S213))</f>
        <v>138.3</v>
      </c>
      <c r="V213" s="7" t="n">
        <v>450.2</v>
      </c>
      <c r="X213" s="7" t="n">
        <f aca="false">X212+V213</f>
        <v>86286.2</v>
      </c>
      <c r="Y213" s="7" t="n">
        <f aca="false">Y212+V213</f>
        <v>26062</v>
      </c>
      <c r="AA213" s="7" t="n">
        <v>10.7857815132604</v>
      </c>
      <c r="AB213" s="7" t="n">
        <v>2</v>
      </c>
    </row>
    <row r="214" s="7" customFormat="true" ht="15" hidden="false" customHeight="false" outlineLevel="0" collapsed="false">
      <c r="A214" s="21"/>
      <c r="B214" s="13"/>
      <c r="C214" s="8" t="n">
        <v>42060</v>
      </c>
      <c r="D214" s="7" t="n">
        <v>5.8</v>
      </c>
      <c r="E214" s="7" t="n">
        <v>1.2</v>
      </c>
      <c r="F214" s="7" t="n">
        <v>9.1</v>
      </c>
      <c r="G214" s="7" t="n">
        <f aca="false">G213+D214</f>
        <v>1452</v>
      </c>
      <c r="H214" s="7" t="n">
        <f aca="false">H213+D214</f>
        <v>382.7</v>
      </c>
      <c r="J214" s="24" t="n">
        <v>1.6</v>
      </c>
      <c r="K214" s="7" t="n">
        <f aca="false">K213+J214</f>
        <v>280.5</v>
      </c>
      <c r="L214" s="7" t="n">
        <v>0.3</v>
      </c>
      <c r="M214" s="7" t="n">
        <f aca="false">M213+L214</f>
        <v>163.1</v>
      </c>
      <c r="N214" s="7" t="n">
        <v>1.3</v>
      </c>
      <c r="O214" s="7" t="n">
        <v>138.9</v>
      </c>
      <c r="P214" s="7" t="n">
        <v>170</v>
      </c>
      <c r="Q214" s="7" t="n">
        <v>1</v>
      </c>
      <c r="R214" s="10" t="n">
        <f aca="false">Q214*L214</f>
        <v>0.3</v>
      </c>
      <c r="S214" s="10" t="n">
        <f aca="false">J214-R214</f>
        <v>1.3</v>
      </c>
      <c r="T214" s="26" t="n">
        <f aca="false">MIN(138.9,(T213+S214))</f>
        <v>138.9</v>
      </c>
      <c r="V214" s="7" t="n">
        <v>324.2</v>
      </c>
      <c r="X214" s="7" t="n">
        <f aca="false">X213+V214</f>
        <v>86610.4</v>
      </c>
      <c r="Y214" s="7" t="n">
        <f aca="false">Y213+V214</f>
        <v>26386.2</v>
      </c>
      <c r="AA214" s="7" t="n">
        <v>10.8415920038211</v>
      </c>
      <c r="AB214" s="25" t="s">
        <v>50</v>
      </c>
    </row>
    <row r="215" s="7" customFormat="true" ht="15" hidden="false" customHeight="false" outlineLevel="0" collapsed="false">
      <c r="A215" s="21"/>
      <c r="B215" s="13"/>
      <c r="C215" s="8" t="n">
        <v>42061</v>
      </c>
      <c r="D215" s="7" t="n">
        <v>9.3</v>
      </c>
      <c r="E215" s="7" t="n">
        <v>7.8</v>
      </c>
      <c r="F215" s="7" t="n">
        <v>11</v>
      </c>
      <c r="G215" s="7" t="n">
        <f aca="false">G214+D215</f>
        <v>1461.3</v>
      </c>
      <c r="H215" s="7" t="n">
        <f aca="false">H214+D215</f>
        <v>392</v>
      </c>
      <c r="J215" s="24" t="n">
        <v>6.2</v>
      </c>
      <c r="K215" s="7" t="n">
        <f aca="false">K214+J215</f>
        <v>286.7</v>
      </c>
      <c r="L215" s="7" t="n">
        <v>0.3</v>
      </c>
      <c r="M215" s="7" t="n">
        <f aca="false">M214+L215</f>
        <v>163.4</v>
      </c>
      <c r="N215" s="7" t="n">
        <v>5.9</v>
      </c>
      <c r="O215" s="7" t="n">
        <v>138.9</v>
      </c>
      <c r="P215" s="7" t="n">
        <v>171</v>
      </c>
      <c r="Q215" s="7" t="n">
        <v>1</v>
      </c>
      <c r="R215" s="10" t="n">
        <f aca="false">Q215*L215</f>
        <v>0.3</v>
      </c>
      <c r="S215" s="10" t="n">
        <f aca="false">J215-R215</f>
        <v>5.9</v>
      </c>
      <c r="T215" s="26" t="n">
        <f aca="false">MIN(138.9,(T214+S215))</f>
        <v>138.9</v>
      </c>
      <c r="V215" s="7" t="n">
        <v>239.4</v>
      </c>
      <c r="X215" s="7" t="n">
        <f aca="false">X214+V215</f>
        <v>86849.8</v>
      </c>
      <c r="Y215" s="7" t="n">
        <f aca="false">Y214+V215</f>
        <v>26625.6</v>
      </c>
      <c r="AA215" s="7" t="n">
        <v>10.8975682638437</v>
      </c>
      <c r="AB215" s="7" t="n">
        <f aca="false">SUM(J217:J226)</f>
        <v>8.3</v>
      </c>
    </row>
    <row r="216" s="29" customFormat="true" ht="15" hidden="false" customHeight="false" outlineLevel="0" collapsed="false">
      <c r="A216" s="21"/>
      <c r="B216" s="27" t="s">
        <v>52</v>
      </c>
      <c r="C216" s="28" t="n">
        <v>42062</v>
      </c>
      <c r="D216" s="29" t="n">
        <v>4.7</v>
      </c>
      <c r="E216" s="29" t="n">
        <v>4</v>
      </c>
      <c r="F216" s="29" t="n">
        <v>7.6</v>
      </c>
      <c r="G216" s="29" t="n">
        <f aca="false">G215+D216</f>
        <v>1466</v>
      </c>
      <c r="H216" s="29" t="n">
        <f aca="false">H215+D216</f>
        <v>396.7</v>
      </c>
      <c r="J216" s="29" t="n">
        <v>0</v>
      </c>
      <c r="K216" s="29" t="n">
        <f aca="false">K215+J216</f>
        <v>286.7</v>
      </c>
      <c r="L216" s="29" t="n">
        <v>1.2</v>
      </c>
      <c r="M216" s="29" t="n">
        <f aca="false">M215+L216</f>
        <v>164.6</v>
      </c>
      <c r="N216" s="29" t="n">
        <v>-1.2</v>
      </c>
      <c r="O216" s="29" t="n">
        <f aca="false">O215+N216</f>
        <v>137.7</v>
      </c>
      <c r="P216" s="29" t="n">
        <v>172</v>
      </c>
      <c r="Q216" s="29" t="n">
        <v>1</v>
      </c>
      <c r="R216" s="30" t="n">
        <f aca="false">Q216*L216</f>
        <v>1.2</v>
      </c>
      <c r="S216" s="30" t="n">
        <f aca="false">J216-R216</f>
        <v>-1.2</v>
      </c>
      <c r="T216" s="30" t="n">
        <f aca="false">MIN(138.9,(T215+S216))</f>
        <v>137.7</v>
      </c>
      <c r="V216" s="29" t="n">
        <v>642.3</v>
      </c>
      <c r="X216" s="29" t="n">
        <f aca="false">X215+V216</f>
        <v>87492.1</v>
      </c>
      <c r="Y216" s="29" t="n">
        <f aca="false">Y215+V216</f>
        <v>27267.9</v>
      </c>
      <c r="AA216" s="29" t="n">
        <v>10.9536992552565</v>
      </c>
    </row>
    <row r="217" s="18" customFormat="true" ht="15" hidden="false" customHeight="false" outlineLevel="0" collapsed="false">
      <c r="A217" s="21"/>
      <c r="B217" s="16"/>
      <c r="C217" s="17" t="n">
        <v>42063</v>
      </c>
      <c r="D217" s="18" t="n">
        <v>4.6</v>
      </c>
      <c r="E217" s="18" t="n">
        <v>-1.7</v>
      </c>
      <c r="F217" s="18" t="n">
        <v>10.8</v>
      </c>
      <c r="G217" s="18" t="n">
        <f aca="false">G216+D217</f>
        <v>1470.6</v>
      </c>
      <c r="H217" s="18" t="n">
        <f aca="false">H216+D217</f>
        <v>401.3</v>
      </c>
      <c r="J217" s="31" t="n">
        <v>4.1</v>
      </c>
      <c r="K217" s="18" t="n">
        <f aca="false">K216+J217</f>
        <v>290.8</v>
      </c>
      <c r="L217" s="18" t="n">
        <v>0.9</v>
      </c>
      <c r="M217" s="18" t="n">
        <f aca="false">M216+L217</f>
        <v>165.5</v>
      </c>
      <c r="N217" s="18" t="n">
        <v>3.2</v>
      </c>
      <c r="O217" s="18" t="n">
        <v>138.9</v>
      </c>
      <c r="P217" s="18" t="n">
        <v>173</v>
      </c>
      <c r="Q217" s="18" t="n">
        <v>1</v>
      </c>
      <c r="R217" s="20" t="n">
        <f aca="false">Q217*L217</f>
        <v>0.9</v>
      </c>
      <c r="S217" s="20" t="n">
        <f aca="false">J217-R217</f>
        <v>3.2</v>
      </c>
      <c r="T217" s="32" t="n">
        <f aca="false">MIN(138.9,(T216+S217))</f>
        <v>138.9</v>
      </c>
      <c r="V217" s="18" t="n">
        <v>509.1</v>
      </c>
      <c r="W217" s="18" t="n">
        <f aca="false">(Y217/100)/I140</f>
        <v>0.692175429852978</v>
      </c>
      <c r="X217" s="18" t="n">
        <f aca="false">X216+V217</f>
        <v>88001.2</v>
      </c>
      <c r="Y217" s="18" t="n">
        <f aca="false">Y216+V217</f>
        <v>27777</v>
      </c>
      <c r="AA217" s="18" t="n">
        <v>11.0099743587711</v>
      </c>
    </row>
    <row r="218" s="7" customFormat="true" ht="15" hidden="false" customHeight="true" outlineLevel="0" collapsed="false">
      <c r="A218" s="33" t="s">
        <v>53</v>
      </c>
      <c r="B218" s="13"/>
      <c r="C218" s="8" t="n">
        <v>42064</v>
      </c>
      <c r="D218" s="7" t="n">
        <v>11.1</v>
      </c>
      <c r="E218" s="7" t="n">
        <v>7.1</v>
      </c>
      <c r="F218" s="7" t="n">
        <v>12.1</v>
      </c>
      <c r="G218" s="7" t="n">
        <f aca="false">G217+D218</f>
        <v>1481.7</v>
      </c>
      <c r="H218" s="7" t="n">
        <v>11.1</v>
      </c>
      <c r="I218" s="34" t="s">
        <v>28</v>
      </c>
      <c r="J218" s="24" t="n">
        <v>1.3</v>
      </c>
      <c r="K218" s="7" t="n">
        <f aca="false">K217+J218</f>
        <v>292.1</v>
      </c>
      <c r="L218" s="7" t="n">
        <v>0.6</v>
      </c>
      <c r="M218" s="7" t="n">
        <f aca="false">M217+L218</f>
        <v>166.1</v>
      </c>
      <c r="N218" s="7" t="n">
        <v>0.7</v>
      </c>
      <c r="O218" s="7" t="n">
        <v>138.9</v>
      </c>
      <c r="P218" s="7" t="n">
        <v>174</v>
      </c>
      <c r="Q218" s="15" t="n">
        <f aca="false">1+((P218-173)/41)*(1.15-1)</f>
        <v>1.00365853658537</v>
      </c>
      <c r="R218" s="10" t="n">
        <f aca="false">Q218*L218</f>
        <v>0.60219512195122</v>
      </c>
      <c r="S218" s="10" t="n">
        <f aca="false">J218-R218</f>
        <v>0.697804878048781</v>
      </c>
      <c r="T218" s="26" t="n">
        <f aca="false">MIN(138.9,(T217+S218))</f>
        <v>138.9</v>
      </c>
      <c r="U218" s="34" t="s">
        <v>29</v>
      </c>
      <c r="V218" s="7" t="n">
        <v>413.9</v>
      </c>
      <c r="X218" s="7" t="n">
        <f aca="false">X217+V218</f>
        <v>88415.1</v>
      </c>
      <c r="Y218" s="7" t="n">
        <f aca="false">V218</f>
        <v>413.9</v>
      </c>
      <c r="Z218" s="34" t="s">
        <v>30</v>
      </c>
      <c r="AA218" s="7" t="n">
        <v>11.0663833563225</v>
      </c>
    </row>
    <row r="219" s="7" customFormat="true" ht="15" hidden="false" customHeight="false" outlineLevel="0" collapsed="false">
      <c r="A219" s="33"/>
      <c r="B219" s="13"/>
      <c r="C219" s="8" t="n">
        <v>42065</v>
      </c>
      <c r="D219" s="7" t="n">
        <v>8.1</v>
      </c>
      <c r="E219" s="7" t="n">
        <v>6.4</v>
      </c>
      <c r="F219" s="7" t="n">
        <v>10.8</v>
      </c>
      <c r="G219" s="7" t="n">
        <f aca="false">G218+D219</f>
        <v>1489.8</v>
      </c>
      <c r="H219" s="7" t="n">
        <f aca="false">H218+D219</f>
        <v>19.2</v>
      </c>
      <c r="I219" s="7" t="n">
        <f aca="false">MIN(E218:E258)</f>
        <v>-2.2</v>
      </c>
      <c r="J219" s="24" t="n">
        <v>0</v>
      </c>
      <c r="K219" s="7" t="n">
        <f aca="false">K218+J219</f>
        <v>292.1</v>
      </c>
      <c r="L219" s="7" t="n">
        <v>1.6</v>
      </c>
      <c r="M219" s="7" t="n">
        <f aca="false">M218+L219</f>
        <v>167.7</v>
      </c>
      <c r="N219" s="9" t="n">
        <v>-1.6</v>
      </c>
      <c r="O219" s="7" t="n">
        <f aca="false">O218+N219</f>
        <v>137.3</v>
      </c>
      <c r="P219" s="7" t="n">
        <v>175</v>
      </c>
      <c r="Q219" s="15" t="n">
        <f aca="false">1+((P219-173)/41)*(1.15-1)</f>
        <v>1.00731707317073</v>
      </c>
      <c r="R219" s="10" t="n">
        <f aca="false">Q219*L219</f>
        <v>1.61170731707317</v>
      </c>
      <c r="S219" s="10" t="n">
        <f aca="false">J219-R219</f>
        <v>-1.61170731707317</v>
      </c>
      <c r="T219" s="26" t="n">
        <f aca="false">MIN(138.9,(T218+S219))</f>
        <v>137.288292682927</v>
      </c>
      <c r="U219" s="7" t="n">
        <v>32</v>
      </c>
      <c r="V219" s="7" t="n">
        <v>613.1</v>
      </c>
      <c r="X219" s="7" t="n">
        <f aca="false">X218+V219</f>
        <v>89028.2</v>
      </c>
      <c r="Y219" s="7" t="n">
        <f aca="false">Y218+V219</f>
        <v>1027</v>
      </c>
      <c r="Z219" s="7" t="n">
        <v>41435.6</v>
      </c>
      <c r="AA219" s="7" t="n">
        <v>11.122916413316</v>
      </c>
      <c r="AB219" s="25" t="s">
        <v>46</v>
      </c>
      <c r="AD219" s="25" t="s">
        <v>46</v>
      </c>
    </row>
    <row r="220" s="7" customFormat="true" ht="15" hidden="false" customHeight="false" outlineLevel="0" collapsed="false">
      <c r="A220" s="33"/>
      <c r="B220" s="13"/>
      <c r="C220" s="8" t="n">
        <v>42066</v>
      </c>
      <c r="D220" s="7" t="n">
        <v>6.4</v>
      </c>
      <c r="E220" s="7" t="n">
        <v>3.7</v>
      </c>
      <c r="F220" s="7" t="n">
        <v>11.2</v>
      </c>
      <c r="G220" s="7" t="n">
        <f aca="false">G219+D220</f>
        <v>1496.2</v>
      </c>
      <c r="H220" s="7" t="n">
        <f aca="false">H219+D220</f>
        <v>25.6</v>
      </c>
      <c r="I220" s="34" t="s">
        <v>31</v>
      </c>
      <c r="J220" s="24" t="n">
        <v>2</v>
      </c>
      <c r="K220" s="7" t="n">
        <f aca="false">K219+J220</f>
        <v>294.1</v>
      </c>
      <c r="L220" s="7" t="n">
        <v>1.2</v>
      </c>
      <c r="M220" s="7" t="n">
        <f aca="false">M219+L220</f>
        <v>168.9</v>
      </c>
      <c r="N220" s="7" t="n">
        <v>0.8</v>
      </c>
      <c r="O220" s="7" t="n">
        <f aca="false">O219+N220</f>
        <v>138.1</v>
      </c>
      <c r="P220" s="7" t="n">
        <v>176</v>
      </c>
      <c r="Q220" s="15" t="n">
        <f aca="false">1+((P220-173)/41)*(1.15-1)</f>
        <v>1.0109756097561</v>
      </c>
      <c r="R220" s="10" t="n">
        <f aca="false">Q220*L220</f>
        <v>1.21317073170732</v>
      </c>
      <c r="S220" s="10" t="n">
        <f aca="false">J220-R220</f>
        <v>0.786829268292683</v>
      </c>
      <c r="T220" s="26" t="n">
        <f aca="false">MIN(138.9,(T219+S220))</f>
        <v>138.07512195122</v>
      </c>
      <c r="U220" s="34" t="s">
        <v>32</v>
      </c>
      <c r="V220" s="7" t="n">
        <v>411.6</v>
      </c>
      <c r="X220" s="7" t="n">
        <f aca="false">X219+V220</f>
        <v>89439.8</v>
      </c>
      <c r="Y220" s="7" t="n">
        <f aca="false">Y219+V220</f>
        <v>1438.6</v>
      </c>
      <c r="Z220" s="34" t="s">
        <v>33</v>
      </c>
      <c r="AA220" s="7" t="n">
        <v>11.1795640607248</v>
      </c>
      <c r="AB220" s="10" t="n">
        <f aca="false">AVERAGE(T226:T239)</f>
        <v>124.831933797909</v>
      </c>
      <c r="AD220" s="15" t="n">
        <f aca="false">(AB207*(50/80))+(AB220*(30/80))</f>
        <v>131.954521994774</v>
      </c>
    </row>
    <row r="221" s="7" customFormat="true" ht="15" hidden="false" customHeight="false" outlineLevel="0" collapsed="false">
      <c r="A221" s="33"/>
      <c r="B221" s="13"/>
      <c r="C221" s="8" t="n">
        <v>42067</v>
      </c>
      <c r="D221" s="7" t="n">
        <v>4.3</v>
      </c>
      <c r="E221" s="7" t="n">
        <v>0.9</v>
      </c>
      <c r="F221" s="7" t="n">
        <v>7.7</v>
      </c>
      <c r="G221" s="7" t="n">
        <f aca="false">G220+D221</f>
        <v>1500.5</v>
      </c>
      <c r="H221" s="7" t="n">
        <f aca="false">H220+D221</f>
        <v>29.9</v>
      </c>
      <c r="I221" s="7" t="n">
        <f aca="false">MAX(F218:F258)</f>
        <v>20.6</v>
      </c>
      <c r="J221" s="24" t="n">
        <v>0.9</v>
      </c>
      <c r="K221" s="7" t="n">
        <f aca="false">K220+J221</f>
        <v>295</v>
      </c>
      <c r="L221" s="7" t="n">
        <v>1</v>
      </c>
      <c r="M221" s="7" t="n">
        <f aca="false">M220+L221</f>
        <v>169.9</v>
      </c>
      <c r="N221" s="9" t="n">
        <v>-0.1</v>
      </c>
      <c r="O221" s="7" t="n">
        <f aca="false">O220+N221</f>
        <v>138</v>
      </c>
      <c r="P221" s="7" t="n">
        <v>177</v>
      </c>
      <c r="Q221" s="15" t="n">
        <f aca="false">1+((P221-173)/41)*(1.15-1)</f>
        <v>1.01463414634146</v>
      </c>
      <c r="R221" s="10" t="n">
        <f aca="false">Q221*L221</f>
        <v>1.01463414634146</v>
      </c>
      <c r="S221" s="10" t="n">
        <f aca="false">J221-R221</f>
        <v>-0.114634146341463</v>
      </c>
      <c r="T221" s="26" t="n">
        <f aca="false">MIN(138.9,(T220+S221))</f>
        <v>137.960487804878</v>
      </c>
      <c r="U221" s="7" t="n">
        <v>0</v>
      </c>
      <c r="V221" s="7" t="n">
        <v>751.4</v>
      </c>
      <c r="X221" s="7" t="n">
        <f aca="false">X220+V221</f>
        <v>90191.2</v>
      </c>
      <c r="Y221" s="7" t="n">
        <f aca="false">Y220+V221</f>
        <v>2190</v>
      </c>
      <c r="Z221" s="15" t="n">
        <f aca="false">(Z219/100)/I231</f>
        <v>1.27298310291859</v>
      </c>
      <c r="AA221" s="7" t="n">
        <v>11.2363171770773</v>
      </c>
      <c r="AB221" s="25" t="s">
        <v>47</v>
      </c>
      <c r="AD221" s="25" t="s">
        <v>47</v>
      </c>
    </row>
    <row r="222" s="7" customFormat="true" ht="15" hidden="false" customHeight="false" outlineLevel="0" collapsed="false">
      <c r="A222" s="33"/>
      <c r="B222" s="13"/>
      <c r="C222" s="8" t="n">
        <v>42068</v>
      </c>
      <c r="D222" s="7" t="n">
        <v>4.6</v>
      </c>
      <c r="E222" s="7" t="n">
        <v>0.1</v>
      </c>
      <c r="F222" s="7" t="n">
        <v>9.9</v>
      </c>
      <c r="G222" s="7" t="n">
        <f aca="false">G221+D222</f>
        <v>1505.1</v>
      </c>
      <c r="H222" s="7" t="n">
        <f aca="false">H221+D222</f>
        <v>34.5</v>
      </c>
      <c r="I222" s="34" t="s">
        <v>34</v>
      </c>
      <c r="J222" s="24" t="n">
        <v>0</v>
      </c>
      <c r="K222" s="7" t="n">
        <f aca="false">K221+J222</f>
        <v>295</v>
      </c>
      <c r="L222" s="7" t="n">
        <v>1.5</v>
      </c>
      <c r="M222" s="7" t="n">
        <f aca="false">M221+L222</f>
        <v>171.4</v>
      </c>
      <c r="N222" s="9" t="n">
        <v>-1.5</v>
      </c>
      <c r="O222" s="7" t="n">
        <f aca="false">O221+N222</f>
        <v>136.5</v>
      </c>
      <c r="P222" s="7" t="n">
        <v>178</v>
      </c>
      <c r="Q222" s="15" t="n">
        <f aca="false">1+((P222-173)/41)*(1.15-1)</f>
        <v>1.01829268292683</v>
      </c>
      <c r="R222" s="10" t="n">
        <f aca="false">Q222*L222</f>
        <v>1.52743902439024</v>
      </c>
      <c r="S222" s="10" t="n">
        <f aca="false">J222-R222</f>
        <v>-1.52743902439024</v>
      </c>
      <c r="T222" s="26" t="n">
        <f aca="false">MIN(138.9,(T221+S222))</f>
        <v>136.433048780488</v>
      </c>
      <c r="U222" s="34" t="s">
        <v>35</v>
      </c>
      <c r="V222" s="7" t="n">
        <v>1127.7</v>
      </c>
      <c r="X222" s="7" t="n">
        <f aca="false">X221+V222</f>
        <v>91318.9</v>
      </c>
      <c r="Y222" s="7" t="n">
        <f aca="false">Y221+V222</f>
        <v>3317.7</v>
      </c>
      <c r="Z222" s="34" t="s">
        <v>36</v>
      </c>
      <c r="AA222" s="7" t="n">
        <v>11.2931669703688</v>
      </c>
      <c r="AB222" s="7" t="n">
        <v>5</v>
      </c>
      <c r="AD222" s="10" t="n">
        <f aca="false">(AB209*(50/80))+(AB222*(30/80))</f>
        <v>3.125</v>
      </c>
    </row>
    <row r="223" s="7" customFormat="true" ht="15" hidden="false" customHeight="false" outlineLevel="0" collapsed="false">
      <c r="A223" s="33"/>
      <c r="B223" s="13"/>
      <c r="C223" s="8" t="n">
        <v>42069</v>
      </c>
      <c r="D223" s="7" t="n">
        <v>4.6</v>
      </c>
      <c r="E223" s="7" t="n">
        <v>-2.1</v>
      </c>
      <c r="F223" s="7" t="n">
        <v>10.5</v>
      </c>
      <c r="G223" s="7" t="n">
        <f aca="false">G222+D223</f>
        <v>1509.7</v>
      </c>
      <c r="H223" s="7" t="n">
        <f aca="false">H222+D223</f>
        <v>39.1</v>
      </c>
      <c r="I223" s="10" t="n">
        <f aca="false">AVERAGE(D218:D258)</f>
        <v>7.9390243902439</v>
      </c>
      <c r="J223" s="24" t="n">
        <v>0</v>
      </c>
      <c r="K223" s="7" t="n">
        <f aca="false">K222+J223</f>
        <v>295</v>
      </c>
      <c r="L223" s="7" t="n">
        <v>1.8</v>
      </c>
      <c r="M223" s="7" t="n">
        <f aca="false">M222+L223</f>
        <v>173.2</v>
      </c>
      <c r="N223" s="9" t="n">
        <v>-1.8</v>
      </c>
      <c r="O223" s="7" t="n">
        <f aca="false">O222+N223</f>
        <v>134.7</v>
      </c>
      <c r="P223" s="7" t="n">
        <v>179</v>
      </c>
      <c r="Q223" s="15" t="n">
        <f aca="false">1+((P223-173)/41)*(1.15-1)</f>
        <v>1.0219512195122</v>
      </c>
      <c r="R223" s="10" t="n">
        <f aca="false">Q223*L223</f>
        <v>1.83951219512195</v>
      </c>
      <c r="S223" s="10" t="n">
        <f aca="false">J223-R223</f>
        <v>-1.83951219512195</v>
      </c>
      <c r="T223" s="26" t="n">
        <f aca="false">MIN(138.9,(T222+S223))</f>
        <v>134.593536585366</v>
      </c>
      <c r="U223" s="7" t="n">
        <v>0</v>
      </c>
      <c r="V223" s="7" t="n">
        <v>1490.9</v>
      </c>
      <c r="X223" s="7" t="n">
        <f aca="false">X222+V223</f>
        <v>92809.8</v>
      </c>
      <c r="Y223" s="7" t="n">
        <f aca="false">Y222+V223</f>
        <v>4808.6</v>
      </c>
      <c r="Z223" s="7" t="n">
        <v>21</v>
      </c>
      <c r="AA223" s="7" t="n">
        <v>11.3501049599268</v>
      </c>
      <c r="AB223" s="25" t="s">
        <v>48</v>
      </c>
      <c r="AD223" s="25" t="s">
        <v>48</v>
      </c>
    </row>
    <row r="224" s="7" customFormat="true" ht="15" hidden="false" customHeight="false" outlineLevel="0" collapsed="false">
      <c r="A224" s="33"/>
      <c r="B224" s="13"/>
      <c r="C224" s="8" t="n">
        <v>42070</v>
      </c>
      <c r="D224" s="7" t="n">
        <v>6.4</v>
      </c>
      <c r="E224" s="7" t="n">
        <v>-2.2</v>
      </c>
      <c r="F224" s="7" t="n">
        <v>14.6</v>
      </c>
      <c r="G224" s="7" t="n">
        <f aca="false">G223+D224</f>
        <v>1516.1</v>
      </c>
      <c r="H224" s="7" t="n">
        <f aca="false">H223+D224</f>
        <v>45.5</v>
      </c>
      <c r="I224" s="34" t="s">
        <v>37</v>
      </c>
      <c r="J224" s="24" t="n">
        <v>0</v>
      </c>
      <c r="K224" s="7" t="n">
        <f aca="false">K223+J224</f>
        <v>295</v>
      </c>
      <c r="L224" s="7" t="n">
        <v>2.2</v>
      </c>
      <c r="M224" s="7" t="n">
        <f aca="false">M223+L224</f>
        <v>175.4</v>
      </c>
      <c r="N224" s="9" t="n">
        <v>-2.2</v>
      </c>
      <c r="O224" s="7" t="n">
        <f aca="false">O223+N224</f>
        <v>132.5</v>
      </c>
      <c r="P224" s="7" t="n">
        <v>180</v>
      </c>
      <c r="Q224" s="15" t="n">
        <f aca="false">1+((P224-173)/41)*(1.15-1)</f>
        <v>1.02560975609756</v>
      </c>
      <c r="R224" s="10" t="n">
        <f aca="false">Q224*L224</f>
        <v>2.25634146341463</v>
      </c>
      <c r="S224" s="10" t="n">
        <f aca="false">J224-R224</f>
        <v>-2.25634146341463</v>
      </c>
      <c r="T224" s="26" t="n">
        <f aca="false">MIN(138.9,(T223+S224))</f>
        <v>132.337195121951</v>
      </c>
      <c r="U224" s="34" t="s">
        <v>38</v>
      </c>
      <c r="V224" s="7" t="n">
        <v>1396.5</v>
      </c>
      <c r="X224" s="7" t="n">
        <f aca="false">X223+V224</f>
        <v>94206.3</v>
      </c>
      <c r="Y224" s="7" t="n">
        <f aca="false">Y223+V224</f>
        <v>6205.1</v>
      </c>
      <c r="AA224" s="7" t="n">
        <v>11.4071229582592</v>
      </c>
      <c r="AB224" s="7" t="n">
        <v>8</v>
      </c>
      <c r="AD224" s="10" t="n">
        <f aca="false">(AB211*(50/80))+(AB224*(30/80))</f>
        <v>6.75</v>
      </c>
    </row>
    <row r="225" s="7" customFormat="true" ht="15" hidden="false" customHeight="false" outlineLevel="0" collapsed="false">
      <c r="A225" s="33"/>
      <c r="B225" s="13"/>
      <c r="C225" s="8" t="n">
        <v>42071</v>
      </c>
      <c r="D225" s="7" t="n">
        <v>8</v>
      </c>
      <c r="E225" s="7" t="n">
        <v>-1.8</v>
      </c>
      <c r="F225" s="7" t="n">
        <v>15.5</v>
      </c>
      <c r="G225" s="7" t="n">
        <f aca="false">G224+D225</f>
        <v>1524.1</v>
      </c>
      <c r="H225" s="7" t="n">
        <f aca="false">H224+D225</f>
        <v>53.5</v>
      </c>
      <c r="I225" s="7" t="n">
        <v>6</v>
      </c>
      <c r="J225" s="24" t="n">
        <v>0</v>
      </c>
      <c r="K225" s="7" t="n">
        <f aca="false">K224+J225</f>
        <v>295</v>
      </c>
      <c r="L225" s="7" t="n">
        <v>2.1</v>
      </c>
      <c r="M225" s="7" t="n">
        <f aca="false">M224+L225</f>
        <v>177.5</v>
      </c>
      <c r="N225" s="9" t="n">
        <v>-2.1</v>
      </c>
      <c r="O225" s="7" t="n">
        <f aca="false">O224+N225</f>
        <v>130.4</v>
      </c>
      <c r="P225" s="7" t="n">
        <v>181</v>
      </c>
      <c r="Q225" s="15" t="n">
        <f aca="false">1+((P225-173)/41)*(1.15-1)</f>
        <v>1.02926829268293</v>
      </c>
      <c r="R225" s="10" t="n">
        <f aca="false">Q225*L225</f>
        <v>2.16146341463415</v>
      </c>
      <c r="S225" s="10" t="n">
        <f aca="false">J225-R225</f>
        <v>-2.16146341463415</v>
      </c>
      <c r="T225" s="26" t="n">
        <f aca="false">MIN(138.9,(T224+S225))</f>
        <v>130.175731707317</v>
      </c>
      <c r="U225" s="10" t="n">
        <f aca="false">MIN(T218:T258)</f>
        <v>102.965365853659</v>
      </c>
      <c r="V225" s="7" t="n">
        <v>1509.5</v>
      </c>
      <c r="X225" s="7" t="n">
        <f aca="false">X224+V225</f>
        <v>95715.8</v>
      </c>
      <c r="Y225" s="7" t="n">
        <f aca="false">Y224+V225</f>
        <v>7714.6</v>
      </c>
      <c r="AA225" s="7" t="n">
        <v>11.464213052906</v>
      </c>
      <c r="AB225" s="25" t="s">
        <v>49</v>
      </c>
      <c r="AD225" s="25" t="s">
        <v>49</v>
      </c>
    </row>
    <row r="226" s="7" customFormat="true" ht="15" hidden="false" customHeight="false" outlineLevel="0" collapsed="false">
      <c r="A226" s="33"/>
      <c r="B226" s="13"/>
      <c r="C226" s="8" t="n">
        <v>42072</v>
      </c>
      <c r="D226" s="7" t="n">
        <v>8.4</v>
      </c>
      <c r="E226" s="7" t="n">
        <v>6.2</v>
      </c>
      <c r="F226" s="7" t="n">
        <v>11.3</v>
      </c>
      <c r="G226" s="7" t="n">
        <f aca="false">G225+D226</f>
        <v>1532.5</v>
      </c>
      <c r="H226" s="7" t="n">
        <f aca="false">H225+D226</f>
        <v>61.9</v>
      </c>
      <c r="I226" s="34" t="s">
        <v>39</v>
      </c>
      <c r="J226" s="24" t="n">
        <v>0</v>
      </c>
      <c r="K226" s="7" t="n">
        <f aca="false">K225+J226</f>
        <v>295</v>
      </c>
      <c r="L226" s="7" t="n">
        <v>1.4</v>
      </c>
      <c r="M226" s="7" t="n">
        <f aca="false">M225+L226</f>
        <v>178.9</v>
      </c>
      <c r="N226" s="9" t="n">
        <v>-1.4</v>
      </c>
      <c r="O226" s="7" t="n">
        <f aca="false">O225+N226</f>
        <v>129</v>
      </c>
      <c r="P226" s="7" t="n">
        <v>182</v>
      </c>
      <c r="Q226" s="15" t="n">
        <f aca="false">1+((P226-173)/41)*(1.15-1)</f>
        <v>1.03292682926829</v>
      </c>
      <c r="R226" s="10" t="n">
        <f aca="false">Q226*L226</f>
        <v>1.44609756097561</v>
      </c>
      <c r="S226" s="10" t="n">
        <f aca="false">J226-R226</f>
        <v>-1.44609756097561</v>
      </c>
      <c r="T226" s="26" t="n">
        <f aca="false">MIN(138.9,(T225+S226))</f>
        <v>128.729634146341</v>
      </c>
      <c r="U226" s="34" t="s">
        <v>40</v>
      </c>
      <c r="V226" s="7" t="n">
        <v>1001.7</v>
      </c>
      <c r="X226" s="7" t="n">
        <f aca="false">X225+V226</f>
        <v>96717.5</v>
      </c>
      <c r="Y226" s="7" t="n">
        <f aca="false">Y225+V226</f>
        <v>8716.3</v>
      </c>
      <c r="AA226" s="7" t="n">
        <v>11.521367588318</v>
      </c>
      <c r="AB226" s="7" t="n">
        <v>0</v>
      </c>
      <c r="AD226" s="10" t="n">
        <f aca="false">(AB213*(50/80))+(AB226*(30/80))</f>
        <v>1.25</v>
      </c>
    </row>
    <row r="227" s="7" customFormat="true" ht="15" hidden="false" customHeight="false" outlineLevel="0" collapsed="false">
      <c r="A227" s="33"/>
      <c r="B227" s="13"/>
      <c r="C227" s="8" t="n">
        <v>42073</v>
      </c>
      <c r="D227" s="7" t="n">
        <v>9.2</v>
      </c>
      <c r="E227" s="7" t="n">
        <v>4.3</v>
      </c>
      <c r="F227" s="7" t="n">
        <v>13.2</v>
      </c>
      <c r="G227" s="7" t="n">
        <f aca="false">G226+D227</f>
        <v>1541.7</v>
      </c>
      <c r="H227" s="7" t="n">
        <f aca="false">H226+D227</f>
        <v>71.1</v>
      </c>
      <c r="I227" s="7" t="n">
        <v>0</v>
      </c>
      <c r="J227" s="24" t="n">
        <v>1.8</v>
      </c>
      <c r="K227" s="7" t="n">
        <f aca="false">K226+J227</f>
        <v>296.8</v>
      </c>
      <c r="L227" s="7" t="n">
        <v>0.7</v>
      </c>
      <c r="M227" s="7" t="n">
        <f aca="false">M226+L227</f>
        <v>179.6</v>
      </c>
      <c r="N227" s="7" t="n">
        <v>1.1</v>
      </c>
      <c r="O227" s="7" t="n">
        <f aca="false">O226+N227</f>
        <v>130.1</v>
      </c>
      <c r="P227" s="7" t="n">
        <v>183</v>
      </c>
      <c r="Q227" s="15" t="n">
        <f aca="false">1+((P227-173)/41)*(1.15-1)</f>
        <v>1.03658536585366</v>
      </c>
      <c r="R227" s="10" t="n">
        <f aca="false">Q227*L227</f>
        <v>0.725609756097561</v>
      </c>
      <c r="S227" s="10" t="n">
        <f aca="false">J227-R227</f>
        <v>1.07439024390244</v>
      </c>
      <c r="T227" s="26" t="n">
        <f aca="false">MIN(138.9,(T226+S227))</f>
        <v>129.804024390244</v>
      </c>
      <c r="U227" s="10" t="n">
        <f aca="false">MAX(T218:T258)</f>
        <v>138.9</v>
      </c>
      <c r="V227" s="7" t="n">
        <v>445.1</v>
      </c>
      <c r="X227" s="7" t="n">
        <f aca="false">X226+V227</f>
        <v>97162.6</v>
      </c>
      <c r="Y227" s="7" t="n">
        <f aca="false">Y226+V227</f>
        <v>9161.4</v>
      </c>
      <c r="AA227" s="7" t="n">
        <v>11.5785791477761</v>
      </c>
      <c r="AB227" s="25" t="s">
        <v>50</v>
      </c>
      <c r="AD227" s="25" t="s">
        <v>50</v>
      </c>
    </row>
    <row r="228" s="7" customFormat="true" ht="15" hidden="false" customHeight="false" outlineLevel="0" collapsed="false">
      <c r="A228" s="33"/>
      <c r="B228" s="13"/>
      <c r="C228" s="8" t="n">
        <v>42074</v>
      </c>
      <c r="D228" s="7" t="n">
        <v>10.4</v>
      </c>
      <c r="E228" s="7" t="n">
        <v>8.5</v>
      </c>
      <c r="F228" s="7" t="n">
        <v>12.8</v>
      </c>
      <c r="G228" s="7" t="n">
        <f aca="false">G227+D228</f>
        <v>1552.1</v>
      </c>
      <c r="H228" s="7" t="n">
        <f aca="false">H227+D228</f>
        <v>81.5</v>
      </c>
      <c r="I228" s="34" t="s">
        <v>41</v>
      </c>
      <c r="J228" s="24" t="n">
        <v>0</v>
      </c>
      <c r="K228" s="7" t="n">
        <f aca="false">K227+J228</f>
        <v>296.8</v>
      </c>
      <c r="L228" s="7" t="n">
        <v>0.7</v>
      </c>
      <c r="M228" s="7" t="n">
        <f aca="false">M227+L228</f>
        <v>180.3</v>
      </c>
      <c r="N228" s="9" t="n">
        <v>-0.7</v>
      </c>
      <c r="O228" s="7" t="n">
        <f aca="false">O227+N228</f>
        <v>129.4</v>
      </c>
      <c r="P228" s="7" t="n">
        <v>184</v>
      </c>
      <c r="Q228" s="15" t="n">
        <f aca="false">1+((P228-173)/41)*(1.15-1)</f>
        <v>1.04024390243902</v>
      </c>
      <c r="R228" s="10" t="n">
        <f aca="false">Q228*L228</f>
        <v>0.728170731707317</v>
      </c>
      <c r="S228" s="10" t="n">
        <f aca="false">J228-R228</f>
        <v>-0.728170731707317</v>
      </c>
      <c r="T228" s="26" t="n">
        <f aca="false">MIN(138.9,(T227+S228))</f>
        <v>129.075853658537</v>
      </c>
      <c r="U228" s="34" t="s">
        <v>42</v>
      </c>
      <c r="V228" s="7" t="n">
        <v>471.3</v>
      </c>
      <c r="X228" s="7" t="n">
        <f aca="false">X227+V228</f>
        <v>97633.9</v>
      </c>
      <c r="Y228" s="7" t="n">
        <f aca="false">Y227+V228</f>
        <v>9632.7</v>
      </c>
      <c r="AA228" s="7" t="n">
        <v>11.6358405353695</v>
      </c>
      <c r="AB228" s="7" t="n">
        <f aca="false">SUM(J230:J239)</f>
        <v>3.5</v>
      </c>
      <c r="AD228" s="7" t="n">
        <f aca="false">(AB215*(50/80))+(AB228*(30/80))</f>
        <v>6.5</v>
      </c>
    </row>
    <row r="229" s="29" customFormat="true" ht="15" hidden="false" customHeight="false" outlineLevel="0" collapsed="false">
      <c r="A229" s="33"/>
      <c r="B229" s="27" t="s">
        <v>54</v>
      </c>
      <c r="C229" s="28" t="n">
        <v>42075</v>
      </c>
      <c r="D229" s="29" t="n">
        <v>8.5</v>
      </c>
      <c r="E229" s="29" t="n">
        <v>1.3</v>
      </c>
      <c r="F229" s="29" t="n">
        <v>14.1</v>
      </c>
      <c r="G229" s="29" t="n">
        <f aca="false">G228+D229</f>
        <v>1560.6</v>
      </c>
      <c r="H229" s="29" t="n">
        <f aca="false">H228+D229</f>
        <v>90</v>
      </c>
      <c r="I229" s="29" t="n">
        <v>21</v>
      </c>
      <c r="J229" s="29" t="n">
        <v>0</v>
      </c>
      <c r="K229" s="29" t="n">
        <f aca="false">K228+J229</f>
        <v>296.8</v>
      </c>
      <c r="L229" s="29" t="n">
        <v>2.2</v>
      </c>
      <c r="M229" s="29" t="n">
        <f aca="false">M228+L229</f>
        <v>182.5</v>
      </c>
      <c r="N229" s="29" t="n">
        <v>-2.2</v>
      </c>
      <c r="O229" s="29" t="n">
        <f aca="false">O228+N229</f>
        <v>127.2</v>
      </c>
      <c r="P229" s="29" t="n">
        <v>185</v>
      </c>
      <c r="Q229" s="35" t="n">
        <f aca="false">1+((P229-173)/41)*(1.15-1)</f>
        <v>1.04390243902439</v>
      </c>
      <c r="R229" s="30" t="n">
        <f aca="false">Q229*L229</f>
        <v>2.29658536585366</v>
      </c>
      <c r="S229" s="30" t="n">
        <f aca="false">J229-R229</f>
        <v>-2.29658536585366</v>
      </c>
      <c r="T229" s="30" t="n">
        <f aca="false">MIN(138.9,(T228+S229))</f>
        <v>126.779268292683</v>
      </c>
      <c r="U229" s="35" t="n">
        <f aca="false">AVERAGE(T218:T258)</f>
        <v>124.728756692445</v>
      </c>
      <c r="V229" s="29" t="n">
        <v>1497.2</v>
      </c>
      <c r="X229" s="29" t="n">
        <f aca="false">X228+V229</f>
        <v>99131.1</v>
      </c>
      <c r="Y229" s="29" t="n">
        <f aca="false">Y228+V229</f>
        <v>11129.9</v>
      </c>
      <c r="AA229" s="29" t="n">
        <v>11.6931447580416</v>
      </c>
    </row>
    <row r="230" s="7" customFormat="true" ht="15" hidden="false" customHeight="false" outlineLevel="0" collapsed="false">
      <c r="A230" s="33"/>
      <c r="B230" s="13"/>
      <c r="C230" s="8" t="n">
        <v>42076</v>
      </c>
      <c r="D230" s="7" t="n">
        <v>6.4</v>
      </c>
      <c r="E230" s="7" t="n">
        <v>2.7</v>
      </c>
      <c r="F230" s="7" t="n">
        <v>10</v>
      </c>
      <c r="G230" s="7" t="n">
        <f aca="false">G229+D230</f>
        <v>1567</v>
      </c>
      <c r="H230" s="7" t="n">
        <f aca="false">H229+D230</f>
        <v>96.4</v>
      </c>
      <c r="I230" s="34" t="s">
        <v>43</v>
      </c>
      <c r="J230" s="24" t="n">
        <v>3.4</v>
      </c>
      <c r="K230" s="7" t="n">
        <f aca="false">K229+J230</f>
        <v>300.2</v>
      </c>
      <c r="L230" s="7" t="n">
        <v>0.7</v>
      </c>
      <c r="M230" s="7" t="n">
        <f aca="false">M229+L230</f>
        <v>183.2</v>
      </c>
      <c r="N230" s="7" t="n">
        <v>2.7</v>
      </c>
      <c r="O230" s="7" t="n">
        <f aca="false">O229+N230</f>
        <v>129.9</v>
      </c>
      <c r="P230" s="7" t="n">
        <v>186</v>
      </c>
      <c r="Q230" s="15" t="n">
        <f aca="false">1+((P230-173)/41)*(1.15-1)</f>
        <v>1.04756097560976</v>
      </c>
      <c r="R230" s="10" t="n">
        <f aca="false">Q230*L230</f>
        <v>0.733292682926829</v>
      </c>
      <c r="S230" s="10" t="n">
        <f aca="false">J230-R230</f>
        <v>2.66670731707317</v>
      </c>
      <c r="T230" s="26" t="n">
        <f aca="false">MIN(138.9,(T229+S230))</f>
        <v>129.445975609756</v>
      </c>
      <c r="V230" s="7" t="n">
        <v>278</v>
      </c>
      <c r="X230" s="7" t="n">
        <f aca="false">X229+V230</f>
        <v>99409.1</v>
      </c>
      <c r="Y230" s="7" t="n">
        <f aca="false">Y229+V230</f>
        <v>11407.9</v>
      </c>
      <c r="AA230" s="7" t="n">
        <v>11.7504850077155</v>
      </c>
    </row>
    <row r="231" s="7" customFormat="true" ht="15" hidden="false" customHeight="false" outlineLevel="0" collapsed="false">
      <c r="A231" s="33"/>
      <c r="B231" s="13"/>
      <c r="C231" s="8" t="n">
        <v>42077</v>
      </c>
      <c r="D231" s="7" t="n">
        <v>4.3</v>
      </c>
      <c r="E231" s="7" t="n">
        <v>0.5</v>
      </c>
      <c r="F231" s="7" t="n">
        <v>6.7</v>
      </c>
      <c r="G231" s="7" t="n">
        <f aca="false">G230+D231</f>
        <v>1571.3</v>
      </c>
      <c r="H231" s="7" t="n">
        <f aca="false">H230+D231</f>
        <v>100.7</v>
      </c>
      <c r="I231" s="7" t="n">
        <v>325.5</v>
      </c>
      <c r="J231" s="24" t="n">
        <v>0</v>
      </c>
      <c r="K231" s="7" t="n">
        <f aca="false">K230+J231</f>
        <v>300.2</v>
      </c>
      <c r="L231" s="7" t="n">
        <v>1.1</v>
      </c>
      <c r="M231" s="7" t="n">
        <f aca="false">M230+L231</f>
        <v>184.3</v>
      </c>
      <c r="N231" s="9" t="n">
        <v>-1.1</v>
      </c>
      <c r="O231" s="7" t="n">
        <f aca="false">O230+N231</f>
        <v>128.8</v>
      </c>
      <c r="P231" s="7" t="n">
        <v>187</v>
      </c>
      <c r="Q231" s="15" t="n">
        <f aca="false">1+((P231-173)/41)*(1.15-1)</f>
        <v>1.05121951219512</v>
      </c>
      <c r="R231" s="10" t="n">
        <f aca="false">Q231*L231</f>
        <v>1.15634146341463</v>
      </c>
      <c r="S231" s="10" t="n">
        <f aca="false">J231-R231</f>
        <v>-1.15634146341463</v>
      </c>
      <c r="T231" s="26" t="n">
        <f aca="false">MIN(138.9,(T230+S231))</f>
        <v>128.289634146341</v>
      </c>
      <c r="U231" s="10" t="n">
        <f aca="false">(U229*100)/138.9</f>
        <v>89.797521016879</v>
      </c>
      <c r="V231" s="7" t="n">
        <v>1068.7</v>
      </c>
      <c r="X231" s="7" t="n">
        <f aca="false">X230+V231</f>
        <v>100477.8</v>
      </c>
      <c r="Y231" s="7" t="n">
        <f aca="false">Y230+V231</f>
        <v>12476.6</v>
      </c>
      <c r="AA231" s="7" t="n">
        <v>11.8078546435056</v>
      </c>
    </row>
    <row r="232" s="7" customFormat="true" ht="15" hidden="false" customHeight="false" outlineLevel="0" collapsed="false">
      <c r="A232" s="33"/>
      <c r="B232" s="13"/>
      <c r="C232" s="8" t="n">
        <v>42078</v>
      </c>
      <c r="D232" s="7" t="n">
        <v>5.4</v>
      </c>
      <c r="E232" s="7" t="n">
        <v>3.1</v>
      </c>
      <c r="F232" s="7" t="n">
        <v>7.6</v>
      </c>
      <c r="G232" s="7" t="n">
        <f aca="false">G231+D232</f>
        <v>1576.7</v>
      </c>
      <c r="H232" s="7" t="n">
        <f aca="false">H231+D232</f>
        <v>106.1</v>
      </c>
      <c r="J232" s="24" t="n">
        <v>0</v>
      </c>
      <c r="K232" s="7" t="n">
        <f aca="false">K231+J232</f>
        <v>300.2</v>
      </c>
      <c r="L232" s="7" t="n">
        <v>0.8</v>
      </c>
      <c r="M232" s="7" t="n">
        <f aca="false">M231+L232</f>
        <v>185.1</v>
      </c>
      <c r="N232" s="9" t="n">
        <v>-0.8</v>
      </c>
      <c r="O232" s="7" t="n">
        <f aca="false">O231+N232</f>
        <v>128</v>
      </c>
      <c r="P232" s="7" t="n">
        <v>188</v>
      </c>
      <c r="Q232" s="15" t="n">
        <f aca="false">1+((P232-173)/41)*(1.15-1)</f>
        <v>1.05487804878049</v>
      </c>
      <c r="R232" s="10" t="n">
        <f aca="false">Q232*L232</f>
        <v>0.84390243902439</v>
      </c>
      <c r="S232" s="10" t="n">
        <f aca="false">J232-R232</f>
        <v>-0.84390243902439</v>
      </c>
      <c r="T232" s="26" t="n">
        <f aca="false">MIN(138.9,(T231+S232))</f>
        <v>127.445731707317</v>
      </c>
      <c r="V232" s="7" t="n">
        <v>704.4</v>
      </c>
      <c r="X232" s="7" t="n">
        <f aca="false">X231+V232</f>
        <v>101182.2</v>
      </c>
      <c r="Y232" s="7" t="n">
        <f aca="false">Y231+V232</f>
        <v>13181</v>
      </c>
      <c r="AA232" s="7" t="n">
        <v>11.8652471740222</v>
      </c>
    </row>
    <row r="233" s="7" customFormat="true" ht="15" hidden="false" customHeight="false" outlineLevel="0" collapsed="false">
      <c r="A233" s="33"/>
      <c r="B233" s="13"/>
      <c r="C233" s="8" t="n">
        <v>42079</v>
      </c>
      <c r="D233" s="7" t="n">
        <v>6.3</v>
      </c>
      <c r="E233" s="7" t="n">
        <v>1.3</v>
      </c>
      <c r="F233" s="7" t="n">
        <v>10.6</v>
      </c>
      <c r="G233" s="7" t="n">
        <f aca="false">G232+D233</f>
        <v>1583</v>
      </c>
      <c r="H233" s="7" t="n">
        <f aca="false">H232+D233</f>
        <v>112.4</v>
      </c>
      <c r="J233" s="24" t="n">
        <v>0</v>
      </c>
      <c r="K233" s="7" t="n">
        <f aca="false">K232+J233</f>
        <v>300.2</v>
      </c>
      <c r="L233" s="7" t="n">
        <v>0.8</v>
      </c>
      <c r="M233" s="7" t="n">
        <f aca="false">M232+L233</f>
        <v>185.9</v>
      </c>
      <c r="N233" s="9" t="n">
        <v>-0.8</v>
      </c>
      <c r="O233" s="7" t="n">
        <f aca="false">O232+N233</f>
        <v>127.2</v>
      </c>
      <c r="P233" s="7" t="n">
        <v>189</v>
      </c>
      <c r="Q233" s="15" t="n">
        <f aca="false">1+((P233-173)/41)*(1.15-1)</f>
        <v>1.05853658536585</v>
      </c>
      <c r="R233" s="10" t="n">
        <f aca="false">Q233*L233</f>
        <v>0.846829268292683</v>
      </c>
      <c r="S233" s="10" t="n">
        <f aca="false">J233-R233</f>
        <v>-0.846829268292683</v>
      </c>
      <c r="T233" s="26" t="n">
        <f aca="false">MIN(138.9,(T232+S233))</f>
        <v>126.598902439024</v>
      </c>
      <c r="V233" s="7" t="n">
        <v>657.5</v>
      </c>
      <c r="X233" s="7" t="n">
        <f aca="false">X232+V233</f>
        <v>101839.7</v>
      </c>
      <c r="Y233" s="7" t="n">
        <f aca="false">Y232+V233</f>
        <v>13838.5</v>
      </c>
      <c r="AA233" s="7" t="n">
        <v>11.9226562397714</v>
      </c>
    </row>
    <row r="234" s="7" customFormat="true" ht="15" hidden="false" customHeight="false" outlineLevel="0" collapsed="false">
      <c r="A234" s="33"/>
      <c r="B234" s="13"/>
      <c r="C234" s="8" t="n">
        <v>42080</v>
      </c>
      <c r="D234" s="7" t="n">
        <v>8.1</v>
      </c>
      <c r="E234" s="7" t="n">
        <v>-0.6</v>
      </c>
      <c r="F234" s="7" t="n">
        <v>14.7</v>
      </c>
      <c r="G234" s="7" t="n">
        <f aca="false">G233+D234</f>
        <v>1591.1</v>
      </c>
      <c r="H234" s="7" t="n">
        <f aca="false">H233+D234</f>
        <v>120.5</v>
      </c>
      <c r="J234" s="24" t="n">
        <v>0</v>
      </c>
      <c r="K234" s="7" t="n">
        <f aca="false">K233+J234</f>
        <v>300.2</v>
      </c>
      <c r="L234" s="7" t="n">
        <v>2.2</v>
      </c>
      <c r="M234" s="7" t="n">
        <f aca="false">M233+L234</f>
        <v>188.1</v>
      </c>
      <c r="N234" s="9" t="n">
        <v>-2.2</v>
      </c>
      <c r="O234" s="7" t="n">
        <f aca="false">O233+N234</f>
        <v>125</v>
      </c>
      <c r="P234" s="7" t="n">
        <v>190</v>
      </c>
      <c r="Q234" s="15" t="n">
        <f aca="false">1+((P234-173)/41)*(1.15-1)</f>
        <v>1.06219512195122</v>
      </c>
      <c r="R234" s="10" t="n">
        <f aca="false">Q234*L234</f>
        <v>2.33682926829268</v>
      </c>
      <c r="S234" s="10" t="n">
        <f aca="false">J234-R234</f>
        <v>-2.33682926829268</v>
      </c>
      <c r="T234" s="26" t="n">
        <f aca="false">MIN(138.9,(T233+S234))</f>
        <v>124.262073170732</v>
      </c>
      <c r="V234" s="7" t="n">
        <v>1671.7</v>
      </c>
      <c r="X234" s="7" t="n">
        <f aca="false">X233+V234</f>
        <v>103511.4</v>
      </c>
      <c r="Y234" s="7" t="n">
        <f aca="false">Y233+V234</f>
        <v>15510.2</v>
      </c>
      <c r="AA234" s="7" t="n">
        <v>11.9800755956556</v>
      </c>
    </row>
    <row r="235" s="7" customFormat="true" ht="15" hidden="false" customHeight="false" outlineLevel="0" collapsed="false">
      <c r="A235" s="33"/>
      <c r="B235" s="13"/>
      <c r="C235" s="8" t="n">
        <v>42081</v>
      </c>
      <c r="D235" s="7" t="n">
        <v>10.6</v>
      </c>
      <c r="E235" s="7" t="n">
        <v>6</v>
      </c>
      <c r="F235" s="7" t="n">
        <v>14.5</v>
      </c>
      <c r="G235" s="7" t="n">
        <f aca="false">G234+D235</f>
        <v>1601.7</v>
      </c>
      <c r="H235" s="7" t="n">
        <f aca="false">H234+D235</f>
        <v>131.1</v>
      </c>
      <c r="J235" s="24" t="n">
        <v>0</v>
      </c>
      <c r="K235" s="7" t="n">
        <f aca="false">K234+J235</f>
        <v>300.2</v>
      </c>
      <c r="L235" s="7" t="n">
        <v>1.9</v>
      </c>
      <c r="M235" s="7" t="n">
        <f aca="false">M234+L235</f>
        <v>190</v>
      </c>
      <c r="N235" s="9" t="n">
        <v>-1.9</v>
      </c>
      <c r="O235" s="7" t="n">
        <f aca="false">O234+N235</f>
        <v>123.1</v>
      </c>
      <c r="P235" s="7" t="n">
        <v>191</v>
      </c>
      <c r="Q235" s="15" t="n">
        <f aca="false">1+((P235-173)/41)*(1.15-1)</f>
        <v>1.06585365853659</v>
      </c>
      <c r="R235" s="10" t="n">
        <f aca="false">Q235*L235</f>
        <v>2.02512195121951</v>
      </c>
      <c r="S235" s="10" t="n">
        <f aca="false">J235-R235</f>
        <v>-2.02512195121951</v>
      </c>
      <c r="T235" s="26" t="n">
        <f aca="false">MIN(138.9,(T234+S235))</f>
        <v>122.236951219512</v>
      </c>
      <c r="V235" s="7" t="n">
        <v>1156.2</v>
      </c>
      <c r="X235" s="7" t="n">
        <f aca="false">X234+V235</f>
        <v>104667.6</v>
      </c>
      <c r="Y235" s="7" t="n">
        <f aca="false">Y234+V235</f>
        <v>16666.4</v>
      </c>
      <c r="AA235" s="7" t="n">
        <v>12.0374990935739</v>
      </c>
    </row>
    <row r="236" s="7" customFormat="true" ht="15" hidden="false" customHeight="false" outlineLevel="0" collapsed="false">
      <c r="A236" s="33"/>
      <c r="B236" s="13"/>
      <c r="C236" s="8" t="n">
        <v>42082</v>
      </c>
      <c r="D236" s="7" t="n">
        <v>6.8</v>
      </c>
      <c r="E236" s="7" t="n">
        <v>4.2</v>
      </c>
      <c r="F236" s="7" t="n">
        <v>8.3</v>
      </c>
      <c r="G236" s="7" t="n">
        <f aca="false">G235+D236</f>
        <v>1608.5</v>
      </c>
      <c r="H236" s="7" t="n">
        <f aca="false">H235+D236</f>
        <v>137.9</v>
      </c>
      <c r="J236" s="24" t="n">
        <v>0</v>
      </c>
      <c r="K236" s="7" t="n">
        <f aca="false">K235+J236</f>
        <v>300.2</v>
      </c>
      <c r="L236" s="7" t="n">
        <v>1.3</v>
      </c>
      <c r="M236" s="7" t="n">
        <f aca="false">M235+L236</f>
        <v>191.3</v>
      </c>
      <c r="N236" s="9" t="n">
        <v>-1.3</v>
      </c>
      <c r="O236" s="7" t="n">
        <f aca="false">O235+N236</f>
        <v>121.8</v>
      </c>
      <c r="P236" s="7" t="n">
        <v>192</v>
      </c>
      <c r="Q236" s="15" t="n">
        <f aca="false">1+((P236-173)/41)*(1.15-1)</f>
        <v>1.06951219512195</v>
      </c>
      <c r="R236" s="10" t="n">
        <f aca="false">Q236*L236</f>
        <v>1.39036585365854</v>
      </c>
      <c r="S236" s="10" t="n">
        <f aca="false">J236-R236</f>
        <v>-1.39036585365854</v>
      </c>
      <c r="T236" s="26" t="n">
        <f aca="false">MIN(138.9,(T235+S236))</f>
        <v>120.846585365854</v>
      </c>
      <c r="V236" s="7" t="n">
        <v>972.8</v>
      </c>
      <c r="X236" s="7" t="n">
        <f aca="false">X235+V236</f>
        <v>105640.4</v>
      </c>
      <c r="Y236" s="7" t="n">
        <f aca="false">Y235+V236</f>
        <v>17639.2</v>
      </c>
      <c r="AA236" s="7" t="n">
        <v>12.0949206651238</v>
      </c>
    </row>
    <row r="237" s="7" customFormat="true" ht="15" hidden="false" customHeight="false" outlineLevel="0" collapsed="false">
      <c r="A237" s="33"/>
      <c r="B237" s="13"/>
      <c r="C237" s="8" t="n">
        <v>42083</v>
      </c>
      <c r="D237" s="7" t="n">
        <v>8</v>
      </c>
      <c r="E237" s="7" t="n">
        <v>6.3</v>
      </c>
      <c r="F237" s="7" t="n">
        <v>11</v>
      </c>
      <c r="G237" s="7" t="n">
        <f aca="false">G236+D237</f>
        <v>1616.5</v>
      </c>
      <c r="H237" s="7" t="n">
        <f aca="false">H236+D237</f>
        <v>145.9</v>
      </c>
      <c r="J237" s="24" t="n">
        <v>0</v>
      </c>
      <c r="K237" s="7" t="n">
        <f aca="false">K236+J237</f>
        <v>300.2</v>
      </c>
      <c r="L237" s="7" t="n">
        <v>1.2</v>
      </c>
      <c r="M237" s="7" t="n">
        <f aca="false">M236+L237</f>
        <v>192.5</v>
      </c>
      <c r="N237" s="9" t="n">
        <v>-1.2</v>
      </c>
      <c r="O237" s="7" t="n">
        <f aca="false">O236+N237</f>
        <v>120.6</v>
      </c>
      <c r="P237" s="7" t="n">
        <v>193</v>
      </c>
      <c r="Q237" s="15" t="n">
        <f aca="false">1+((P237-173)/41)*(1.15-1)</f>
        <v>1.07317073170732</v>
      </c>
      <c r="R237" s="10" t="n">
        <f aca="false">Q237*L237</f>
        <v>1.28780487804878</v>
      </c>
      <c r="S237" s="10" t="n">
        <f aca="false">J237-R237</f>
        <v>-1.28780487804878</v>
      </c>
      <c r="T237" s="26" t="n">
        <f aca="false">MIN(138.9,(T236+S237))</f>
        <v>119.558780487805</v>
      </c>
      <c r="V237" s="7" t="n">
        <v>548.2</v>
      </c>
      <c r="X237" s="7" t="n">
        <f aca="false">X236+V237</f>
        <v>106188.6</v>
      </c>
      <c r="Y237" s="7" t="n">
        <f aca="false">Y236+V237</f>
        <v>18187.4</v>
      </c>
      <c r="AA237" s="7" t="n">
        <v>12.1523343044034</v>
      </c>
    </row>
    <row r="238" s="7" customFormat="true" ht="15" hidden="false" customHeight="false" outlineLevel="0" collapsed="false">
      <c r="A238" s="33"/>
      <c r="B238" s="13"/>
      <c r="C238" s="8" t="n">
        <v>42084</v>
      </c>
      <c r="D238" s="7" t="n">
        <v>6.6</v>
      </c>
      <c r="E238" s="7" t="n">
        <v>4</v>
      </c>
      <c r="F238" s="7" t="n">
        <v>8.4</v>
      </c>
      <c r="G238" s="7" t="n">
        <f aca="false">G237+D238</f>
        <v>1623.1</v>
      </c>
      <c r="H238" s="7" t="n">
        <f aca="false">H237+D238</f>
        <v>152.5</v>
      </c>
      <c r="J238" s="24" t="n">
        <v>0.1</v>
      </c>
      <c r="K238" s="7" t="n">
        <f aca="false">K237+J238</f>
        <v>300.3</v>
      </c>
      <c r="L238" s="7" t="n">
        <v>1.4</v>
      </c>
      <c r="M238" s="7" t="n">
        <f aca="false">M237+L238</f>
        <v>193.9</v>
      </c>
      <c r="N238" s="9" t="n">
        <v>-1.3</v>
      </c>
      <c r="O238" s="7" t="n">
        <f aca="false">O237+N238</f>
        <v>119.3</v>
      </c>
      <c r="P238" s="7" t="n">
        <v>194</v>
      </c>
      <c r="Q238" s="15" t="n">
        <f aca="false">1+((P238-173)/41)*(1.15-1)</f>
        <v>1.07682926829268</v>
      </c>
      <c r="R238" s="10" t="n">
        <f aca="false">Q238*L238</f>
        <v>1.50756097560976</v>
      </c>
      <c r="S238" s="10" t="n">
        <f aca="false">J238-R238</f>
        <v>-1.40756097560976</v>
      </c>
      <c r="T238" s="26" t="n">
        <f aca="false">MIN(138.9,(T237+S238))</f>
        <v>118.151219512195</v>
      </c>
      <c r="V238" s="7" t="n">
        <v>1144.5</v>
      </c>
      <c r="X238" s="7" t="n">
        <f aca="false">X237+V238</f>
        <v>107333.1</v>
      </c>
      <c r="Y238" s="7" t="n">
        <f aca="false">Y237+V238</f>
        <v>19331.9</v>
      </c>
      <c r="AA238" s="7" t="n">
        <v>12.2097340509134</v>
      </c>
    </row>
    <row r="239" s="7" customFormat="true" ht="15" hidden="false" customHeight="false" outlineLevel="0" collapsed="false">
      <c r="A239" s="33"/>
      <c r="B239" s="13"/>
      <c r="C239" s="8" t="n">
        <v>42085</v>
      </c>
      <c r="D239" s="7" t="n">
        <v>6.6</v>
      </c>
      <c r="E239" s="7" t="n">
        <v>5</v>
      </c>
      <c r="F239" s="7" t="n">
        <v>8.9</v>
      </c>
      <c r="G239" s="7" t="n">
        <f aca="false">G238+D239</f>
        <v>1629.7</v>
      </c>
      <c r="H239" s="7" t="n">
        <f aca="false">H238+D239</f>
        <v>159.1</v>
      </c>
      <c r="J239" s="24" t="n">
        <v>0</v>
      </c>
      <c r="K239" s="7" t="n">
        <f aca="false">K238+J239</f>
        <v>300.3</v>
      </c>
      <c r="L239" s="7" t="n">
        <v>1.6</v>
      </c>
      <c r="M239" s="7" t="n">
        <f aca="false">M238+L239</f>
        <v>195.5</v>
      </c>
      <c r="N239" s="9" t="n">
        <v>-1.6</v>
      </c>
      <c r="O239" s="7" t="n">
        <f aca="false">O238+N239</f>
        <v>117.7</v>
      </c>
      <c r="P239" s="7" t="n">
        <v>195</v>
      </c>
      <c r="Q239" s="15" t="n">
        <f aca="false">1+((P239-173)/41)*(1.15-1)</f>
        <v>1.08048780487805</v>
      </c>
      <c r="R239" s="10" t="n">
        <f aca="false">Q239*L239</f>
        <v>1.72878048780488</v>
      </c>
      <c r="S239" s="10" t="n">
        <f aca="false">J239-R239</f>
        <v>-1.72878048780488</v>
      </c>
      <c r="T239" s="26" t="n">
        <f aca="false">MIN(138.9,(T238+S239))</f>
        <v>116.42243902439</v>
      </c>
      <c r="V239" s="7" t="n">
        <v>988.2</v>
      </c>
      <c r="X239" s="7" t="n">
        <f aca="false">X238+V239</f>
        <v>108321.3</v>
      </c>
      <c r="Y239" s="7" t="n">
        <f aca="false">Y238+V239</f>
        <v>20320.1</v>
      </c>
      <c r="AA239" s="7" t="n">
        <v>12.2671139725558</v>
      </c>
    </row>
    <row r="240" s="7" customFormat="true" ht="15" hidden="false" customHeight="false" outlineLevel="0" collapsed="false">
      <c r="A240" s="33"/>
      <c r="B240" s="13"/>
      <c r="C240" s="8" t="n">
        <v>42086</v>
      </c>
      <c r="D240" s="7" t="n">
        <v>6.9</v>
      </c>
      <c r="E240" s="7" t="n">
        <v>-1.7</v>
      </c>
      <c r="F240" s="7" t="n">
        <v>13</v>
      </c>
      <c r="G240" s="7" t="n">
        <f aca="false">G239+D240</f>
        <v>1636.6</v>
      </c>
      <c r="H240" s="7" t="n">
        <f aca="false">H239+D240</f>
        <v>166</v>
      </c>
      <c r="J240" s="7" t="n">
        <v>1.1</v>
      </c>
      <c r="K240" s="7" t="n">
        <f aca="false">K239+J240</f>
        <v>301.4</v>
      </c>
      <c r="L240" s="7" t="n">
        <v>1.6</v>
      </c>
      <c r="M240" s="7" t="n">
        <f aca="false">M239+L240</f>
        <v>197.1</v>
      </c>
      <c r="N240" s="9" t="n">
        <v>-0.5</v>
      </c>
      <c r="O240" s="7" t="n">
        <f aca="false">O239+N240</f>
        <v>117.2</v>
      </c>
      <c r="P240" s="7" t="n">
        <v>196</v>
      </c>
      <c r="Q240" s="15" t="n">
        <f aca="false">1+((P240-173)/41)*(1.15-1)</f>
        <v>1.08414634146341</v>
      </c>
      <c r="R240" s="10" t="n">
        <f aca="false">Q240*L240</f>
        <v>1.73463414634146</v>
      </c>
      <c r="S240" s="10" t="n">
        <f aca="false">J240-R240</f>
        <v>-0.634634146341463</v>
      </c>
      <c r="T240" s="10" t="n">
        <f aca="false">MIN(138.9,(T239+S240))</f>
        <v>115.787804878049</v>
      </c>
      <c r="V240" s="7" t="n">
        <v>1311.8</v>
      </c>
      <c r="X240" s="7" t="n">
        <f aca="false">X239+V240</f>
        <v>109633.1</v>
      </c>
      <c r="Y240" s="7" t="n">
        <f aca="false">Y239+V240</f>
        <v>21631.9</v>
      </c>
      <c r="AA240" s="7" t="n">
        <v>12.3244681487295</v>
      </c>
    </row>
    <row r="241" s="7" customFormat="true" ht="15" hidden="false" customHeight="false" outlineLevel="0" collapsed="false">
      <c r="A241" s="33"/>
      <c r="B241" s="13"/>
      <c r="C241" s="8" t="n">
        <v>42087</v>
      </c>
      <c r="D241" s="7" t="n">
        <v>5.2</v>
      </c>
      <c r="E241" s="7" t="n">
        <v>4.5</v>
      </c>
      <c r="F241" s="7" t="n">
        <v>6.3</v>
      </c>
      <c r="G241" s="7" t="n">
        <f aca="false">G240+D241</f>
        <v>1641.8</v>
      </c>
      <c r="H241" s="7" t="n">
        <f aca="false">H240+D241</f>
        <v>171.2</v>
      </c>
      <c r="J241" s="7" t="n">
        <v>9.5</v>
      </c>
      <c r="K241" s="7" t="n">
        <f aca="false">K240+J241</f>
        <v>310.9</v>
      </c>
      <c r="L241" s="7" t="n">
        <v>0.6</v>
      </c>
      <c r="M241" s="7" t="n">
        <f aca="false">M240+L241</f>
        <v>197.7</v>
      </c>
      <c r="N241" s="7" t="n">
        <v>8.9</v>
      </c>
      <c r="O241" s="7" t="n">
        <f aca="false">O240+N241</f>
        <v>126.1</v>
      </c>
      <c r="P241" s="7" t="n">
        <v>197</v>
      </c>
      <c r="Q241" s="15" t="n">
        <f aca="false">1+((P241-173)/41)*(1.15-1)</f>
        <v>1.08780487804878</v>
      </c>
      <c r="R241" s="10" t="n">
        <f aca="false">Q241*L241</f>
        <v>0.652682926829268</v>
      </c>
      <c r="S241" s="10" t="n">
        <f aca="false">J241-R241</f>
        <v>8.84731707317073</v>
      </c>
      <c r="T241" s="10" t="n">
        <f aca="false">MIN(138.9,(T240+S241))</f>
        <v>124.635121951219</v>
      </c>
      <c r="V241" s="7" t="n">
        <v>317.3</v>
      </c>
      <c r="X241" s="7" t="n">
        <f aca="false">X240+V241</f>
        <v>109950.4</v>
      </c>
      <c r="Y241" s="7" t="n">
        <f aca="false">Y240+V241</f>
        <v>21949.2</v>
      </c>
      <c r="AA241" s="7" t="n">
        <v>12.3817906535172</v>
      </c>
    </row>
    <row r="242" s="7" customFormat="true" ht="15" hidden="false" customHeight="false" outlineLevel="0" collapsed="false">
      <c r="A242" s="33"/>
      <c r="B242" s="13"/>
      <c r="C242" s="8" t="n">
        <v>42088</v>
      </c>
      <c r="D242" s="7" t="n">
        <v>4.1</v>
      </c>
      <c r="E242" s="7" t="n">
        <v>1.2</v>
      </c>
      <c r="F242" s="7" t="n">
        <v>8.4</v>
      </c>
      <c r="G242" s="7" t="n">
        <f aca="false">G241+D242</f>
        <v>1645.9</v>
      </c>
      <c r="H242" s="7" t="n">
        <f aca="false">H241+D242</f>
        <v>175.3</v>
      </c>
      <c r="J242" s="7" t="n">
        <v>0.5</v>
      </c>
      <c r="K242" s="7" t="n">
        <f aca="false">K241+J242</f>
        <v>311.4</v>
      </c>
      <c r="L242" s="7" t="n">
        <v>1</v>
      </c>
      <c r="M242" s="7" t="n">
        <f aca="false">M241+L242</f>
        <v>198.7</v>
      </c>
      <c r="N242" s="9" t="n">
        <v>-0.5</v>
      </c>
      <c r="O242" s="7" t="n">
        <f aca="false">O241+N242</f>
        <v>125.6</v>
      </c>
      <c r="P242" s="7" t="n">
        <v>198</v>
      </c>
      <c r="Q242" s="15" t="n">
        <f aca="false">1+((P242-173)/41)*(1.15-1)</f>
        <v>1.09146341463415</v>
      </c>
      <c r="R242" s="10" t="n">
        <f aca="false">Q242*L242</f>
        <v>1.09146341463415</v>
      </c>
      <c r="S242" s="10" t="n">
        <f aca="false">J242-R242</f>
        <v>-0.591463414634146</v>
      </c>
      <c r="T242" s="10" t="n">
        <f aca="false">MIN(138.9,(T241+S242))</f>
        <v>124.043658536585</v>
      </c>
      <c r="V242" s="7" t="n">
        <v>834.3</v>
      </c>
      <c r="X242" s="7" t="n">
        <f aca="false">X241+V242</f>
        <v>110784.7</v>
      </c>
      <c r="Y242" s="7" t="n">
        <f aca="false">Y241+V242</f>
        <v>22783.5</v>
      </c>
      <c r="AA242" s="7" t="n">
        <v>12.4390755389645</v>
      </c>
    </row>
    <row r="243" s="7" customFormat="true" ht="15" hidden="false" customHeight="false" outlineLevel="0" collapsed="false">
      <c r="A243" s="33"/>
      <c r="B243" s="13"/>
      <c r="C243" s="8" t="n">
        <v>42089</v>
      </c>
      <c r="D243" s="7" t="n">
        <v>4.4</v>
      </c>
      <c r="E243" s="7" t="n">
        <v>-0.8</v>
      </c>
      <c r="F243" s="7" t="n">
        <v>9.1</v>
      </c>
      <c r="G243" s="7" t="n">
        <f aca="false">G242+D243</f>
        <v>1650.3</v>
      </c>
      <c r="H243" s="7" t="n">
        <f aca="false">H242+D243</f>
        <v>179.7</v>
      </c>
      <c r="J243" s="7" t="n">
        <v>1.5</v>
      </c>
      <c r="K243" s="7" t="n">
        <f aca="false">K242+J243</f>
        <v>312.9</v>
      </c>
      <c r="L243" s="7" t="n">
        <v>0.4</v>
      </c>
      <c r="M243" s="7" t="n">
        <f aca="false">M242+L243</f>
        <v>199.1</v>
      </c>
      <c r="N243" s="9" t="n">
        <v>1.1</v>
      </c>
      <c r="O243" s="7" t="n">
        <f aca="false">O242+N243</f>
        <v>126.7</v>
      </c>
      <c r="P243" s="7" t="n">
        <v>199</v>
      </c>
      <c r="Q243" s="15" t="n">
        <f aca="false">1+((P243-173)/41)*(1.15-1)</f>
        <v>1.09512195121951</v>
      </c>
      <c r="R243" s="10" t="n">
        <f aca="false">Q243*L243</f>
        <v>0.438048780487805</v>
      </c>
      <c r="S243" s="10" t="n">
        <f aca="false">J243-R243</f>
        <v>1.0619512195122</v>
      </c>
      <c r="T243" s="10" t="n">
        <f aca="false">MIN(138.9,(T242+S243))</f>
        <v>125.105609756098</v>
      </c>
      <c r="V243" s="7" t="n">
        <v>439.3</v>
      </c>
      <c r="X243" s="7" t="n">
        <f aca="false">X242+V243</f>
        <v>111224</v>
      </c>
      <c r="Y243" s="7" t="n">
        <f aca="false">Y242+V243</f>
        <v>23222.8</v>
      </c>
      <c r="AA243" s="7" t="n">
        <v>12.4963168184469</v>
      </c>
    </row>
    <row r="244" s="7" customFormat="true" ht="15" hidden="false" customHeight="false" outlineLevel="0" collapsed="false">
      <c r="A244" s="33"/>
      <c r="B244" s="13"/>
      <c r="C244" s="8" t="n">
        <v>42090</v>
      </c>
      <c r="D244" s="7" t="n">
        <v>7.3</v>
      </c>
      <c r="E244" s="7" t="n">
        <v>2.5</v>
      </c>
      <c r="F244" s="7" t="n">
        <v>11.2</v>
      </c>
      <c r="G244" s="7" t="n">
        <f aca="false">G243+D244</f>
        <v>1657.6</v>
      </c>
      <c r="H244" s="7" t="n">
        <f aca="false">H243+D244</f>
        <v>187</v>
      </c>
      <c r="J244" s="7" t="n">
        <v>0.7</v>
      </c>
      <c r="K244" s="7" t="n">
        <f aca="false">K243+J244</f>
        <v>313.6</v>
      </c>
      <c r="L244" s="7" t="n">
        <v>1.1</v>
      </c>
      <c r="M244" s="7" t="n">
        <f aca="false">M243+L244</f>
        <v>200.2</v>
      </c>
      <c r="N244" s="9" t="n">
        <v>-0.4</v>
      </c>
      <c r="O244" s="7" t="n">
        <f aca="false">O243+N244</f>
        <v>126.3</v>
      </c>
      <c r="P244" s="7" t="n">
        <v>200</v>
      </c>
      <c r="Q244" s="15" t="n">
        <f aca="false">1+((P244-173)/41)*(1.15-1)</f>
        <v>1.09878048780488</v>
      </c>
      <c r="R244" s="10" t="n">
        <f aca="false">Q244*L244</f>
        <v>1.20865853658537</v>
      </c>
      <c r="S244" s="10" t="n">
        <f aca="false">J244-R244</f>
        <v>-0.508658536585366</v>
      </c>
      <c r="T244" s="10" t="n">
        <f aca="false">MIN(138.9,(T243+S244))</f>
        <v>124.596951219512</v>
      </c>
      <c r="V244" s="7" t="n">
        <v>762.2</v>
      </c>
      <c r="X244" s="7" t="n">
        <f aca="false">X243+V244</f>
        <v>111986.2</v>
      </c>
      <c r="Y244" s="7" t="n">
        <f aca="false">Y243+V244</f>
        <v>23985</v>
      </c>
      <c r="AA244" s="7" t="n">
        <v>12.5535084501224</v>
      </c>
    </row>
    <row r="245" s="7" customFormat="true" ht="15" hidden="false" customHeight="false" outlineLevel="0" collapsed="false">
      <c r="A245" s="33"/>
      <c r="B245" s="13"/>
      <c r="C245" s="8" t="n">
        <v>42091</v>
      </c>
      <c r="D245" s="7" t="n">
        <v>10.9</v>
      </c>
      <c r="E245" s="7" t="n">
        <v>7.9</v>
      </c>
      <c r="F245" s="7" t="n">
        <v>13.4</v>
      </c>
      <c r="G245" s="7" t="n">
        <f aca="false">G244+D245</f>
        <v>1668.5</v>
      </c>
      <c r="H245" s="7" t="n">
        <f aca="false">H244+D245</f>
        <v>197.9</v>
      </c>
      <c r="J245" s="7" t="n">
        <v>0.1</v>
      </c>
      <c r="K245" s="7" t="n">
        <f aca="false">K244+J245</f>
        <v>313.7</v>
      </c>
      <c r="L245" s="7" t="n">
        <v>0.7</v>
      </c>
      <c r="M245" s="7" t="n">
        <f aca="false">M244+L245</f>
        <v>200.9</v>
      </c>
      <c r="N245" s="9" t="n">
        <v>-0.6</v>
      </c>
      <c r="O245" s="7" t="n">
        <f aca="false">O244+N245</f>
        <v>125.7</v>
      </c>
      <c r="P245" s="7" t="n">
        <v>201</v>
      </c>
      <c r="Q245" s="15" t="n">
        <f aca="false">1+((P245-173)/41)*(1.15-1)</f>
        <v>1.10243902439024</v>
      </c>
      <c r="R245" s="10" t="n">
        <f aca="false">Q245*L245</f>
        <v>0.771707317073171</v>
      </c>
      <c r="S245" s="10" t="n">
        <f aca="false">J245-R245</f>
        <v>-0.671707317073171</v>
      </c>
      <c r="T245" s="10" t="n">
        <f aca="false">MIN(138.9,(T244+S245))</f>
        <v>123.925243902439</v>
      </c>
      <c r="V245" s="7" t="n">
        <v>426</v>
      </c>
      <c r="X245" s="7" t="n">
        <f aca="false">X244+V245</f>
        <v>112412.2</v>
      </c>
      <c r="Y245" s="7" t="n">
        <f aca="false">Y244+V245</f>
        <v>24411</v>
      </c>
      <c r="AA245" s="7" t="n">
        <v>12.6106443204696</v>
      </c>
    </row>
    <row r="246" s="7" customFormat="true" ht="15" hidden="false" customHeight="false" outlineLevel="0" collapsed="false">
      <c r="A246" s="33"/>
      <c r="B246" s="13"/>
      <c r="C246" s="8" t="n">
        <v>42092</v>
      </c>
      <c r="D246" s="7" t="n">
        <v>11.2</v>
      </c>
      <c r="E246" s="7" t="n">
        <v>10.2</v>
      </c>
      <c r="F246" s="7" t="n">
        <v>12.1</v>
      </c>
      <c r="G246" s="7" t="n">
        <f aca="false">G245+D246</f>
        <v>1679.7</v>
      </c>
      <c r="H246" s="7" t="n">
        <f aca="false">H245+D246</f>
        <v>209.1</v>
      </c>
      <c r="J246" s="7" t="n">
        <v>4.9</v>
      </c>
      <c r="K246" s="7" t="n">
        <f aca="false">K245+J246</f>
        <v>318.6</v>
      </c>
      <c r="L246" s="7" t="n">
        <v>0.8</v>
      </c>
      <c r="M246" s="7" t="n">
        <f aca="false">M245+L246</f>
        <v>201.7</v>
      </c>
      <c r="N246" s="7" t="n">
        <v>4.1</v>
      </c>
      <c r="O246" s="7" t="n">
        <f aca="false">O245+N246</f>
        <v>129.8</v>
      </c>
      <c r="P246" s="7" t="n">
        <v>202</v>
      </c>
      <c r="Q246" s="15" t="n">
        <f aca="false">1+((P246-173)/41)*(1.15-1)</f>
        <v>1.10609756097561</v>
      </c>
      <c r="R246" s="10" t="n">
        <f aca="false">Q246*L246</f>
        <v>0.884878048780488</v>
      </c>
      <c r="S246" s="10" t="n">
        <f aca="false">J246-R246</f>
        <v>4.01512195121951</v>
      </c>
      <c r="T246" s="10" t="n">
        <f aca="false">MIN(138.9,(T245+S246))</f>
        <v>127.940365853659</v>
      </c>
      <c r="V246" s="7" t="n">
        <v>312.6</v>
      </c>
      <c r="X246" s="7" t="n">
        <f aca="false">X245+V246</f>
        <v>112724.8</v>
      </c>
      <c r="Y246" s="7" t="n">
        <f aca="false">Y245+V246</f>
        <v>24723.6</v>
      </c>
      <c r="AA246" s="7" t="n">
        <v>12.6677182279088</v>
      </c>
    </row>
    <row r="247" s="7" customFormat="true" ht="15" hidden="false" customHeight="false" outlineLevel="0" collapsed="false">
      <c r="A247" s="33"/>
      <c r="B247" s="13"/>
      <c r="C247" s="8" t="n">
        <v>42093</v>
      </c>
      <c r="D247" s="7" t="n">
        <v>12.7</v>
      </c>
      <c r="E247" s="7" t="n">
        <v>11.2</v>
      </c>
      <c r="F247" s="7" t="n">
        <v>14.7</v>
      </c>
      <c r="G247" s="7" t="n">
        <f aca="false">G246+D247</f>
        <v>1692.4</v>
      </c>
      <c r="H247" s="7" t="n">
        <f aca="false">H246+D247</f>
        <v>221.8</v>
      </c>
      <c r="J247" s="7" t="n">
        <v>0.9</v>
      </c>
      <c r="K247" s="7" t="n">
        <f aca="false">K246+J247</f>
        <v>319.5</v>
      </c>
      <c r="L247" s="7" t="n">
        <v>1.6</v>
      </c>
      <c r="M247" s="7" t="n">
        <f aca="false">M246+L247</f>
        <v>203.3</v>
      </c>
      <c r="N247" s="9" t="n">
        <v>-0.7</v>
      </c>
      <c r="O247" s="7" t="n">
        <f aca="false">O246+N247</f>
        <v>129.1</v>
      </c>
      <c r="P247" s="7" t="n">
        <v>203</v>
      </c>
      <c r="Q247" s="15" t="n">
        <f aca="false">1+((P247-173)/41)*(1.15-1)</f>
        <v>1.10975609756098</v>
      </c>
      <c r="R247" s="10" t="n">
        <f aca="false">Q247*L247</f>
        <v>1.77560975609756</v>
      </c>
      <c r="S247" s="10" t="n">
        <f aca="false">J247-R247</f>
        <v>-0.875609756097561</v>
      </c>
      <c r="T247" s="10" t="n">
        <f aca="false">MIN(138.9,(T246+S247))</f>
        <v>127.064756097561</v>
      </c>
      <c r="V247" s="7" t="n">
        <v>653</v>
      </c>
      <c r="X247" s="7" t="n">
        <f aca="false">X246+V247</f>
        <v>113377.8</v>
      </c>
      <c r="Y247" s="7" t="n">
        <f aca="false">Y246+V247</f>
        <v>25376.6</v>
      </c>
      <c r="AA247" s="7" t="n">
        <v>12.7247238665067</v>
      </c>
    </row>
    <row r="248" s="7" customFormat="true" ht="15" hidden="false" customHeight="false" outlineLevel="0" collapsed="false">
      <c r="A248" s="33"/>
      <c r="B248" s="13"/>
      <c r="C248" s="8" t="n">
        <v>42094</v>
      </c>
      <c r="D248" s="7" t="n">
        <v>10.7</v>
      </c>
      <c r="E248" s="7" t="n">
        <v>10.6</v>
      </c>
      <c r="F248" s="7" t="n">
        <v>12.9</v>
      </c>
      <c r="G248" s="7" t="n">
        <f aca="false">G247+D248</f>
        <v>1703.1</v>
      </c>
      <c r="H248" s="7" t="n">
        <f aca="false">H247+D248</f>
        <v>232.5</v>
      </c>
      <c r="J248" s="7" t="n">
        <v>0.1</v>
      </c>
      <c r="K248" s="7" t="n">
        <f aca="false">K247+J248</f>
        <v>319.6</v>
      </c>
      <c r="L248" s="7" t="n">
        <v>2.4</v>
      </c>
      <c r="M248" s="7" t="n">
        <f aca="false">M247+L248</f>
        <v>205.7</v>
      </c>
      <c r="N248" s="9" t="n">
        <v>-2.3</v>
      </c>
      <c r="O248" s="7" t="n">
        <f aca="false">O247+N248</f>
        <v>126.8</v>
      </c>
      <c r="P248" s="7" t="n">
        <v>204</v>
      </c>
      <c r="Q248" s="15" t="n">
        <f aca="false">1+((P248-173)/41)*(1.15-1)</f>
        <v>1.11341463414634</v>
      </c>
      <c r="R248" s="10" t="n">
        <f aca="false">Q248*L248</f>
        <v>2.67219512195122</v>
      </c>
      <c r="S248" s="10" t="n">
        <f aca="false">J248-R248</f>
        <v>-2.57219512195122</v>
      </c>
      <c r="T248" s="10" t="n">
        <f aca="false">MIN(138.9,(T247+S248))</f>
        <v>124.49256097561</v>
      </c>
      <c r="V248" s="7" t="n">
        <v>858.8</v>
      </c>
      <c r="X248" s="7" t="n">
        <f aca="false">X247+V248</f>
        <v>114236.6</v>
      </c>
      <c r="Y248" s="7" t="n">
        <f aca="false">Y247+V248</f>
        <v>26235.4</v>
      </c>
      <c r="AA248" s="7" t="n">
        <v>12.7816548097634</v>
      </c>
    </row>
    <row r="249" s="7" customFormat="true" ht="15" hidden="false" customHeight="false" outlineLevel="0" collapsed="false">
      <c r="A249" s="33"/>
      <c r="B249" s="13"/>
      <c r="C249" s="8" t="n">
        <v>42095</v>
      </c>
      <c r="D249" s="7" t="n">
        <v>7.7</v>
      </c>
      <c r="E249" s="7" t="n">
        <v>4.4</v>
      </c>
      <c r="F249" s="7" t="n">
        <v>11.1</v>
      </c>
      <c r="G249" s="7" t="n">
        <f aca="false">G248+D249</f>
        <v>1710.8</v>
      </c>
      <c r="H249" s="7" t="n">
        <f aca="false">H248+D249</f>
        <v>240.2</v>
      </c>
      <c r="J249" s="7" t="n">
        <v>0</v>
      </c>
      <c r="K249" s="7" t="n">
        <f aca="false">K248+J249</f>
        <v>319.6</v>
      </c>
      <c r="L249" s="7" t="n">
        <v>2.4</v>
      </c>
      <c r="M249" s="7" t="n">
        <f aca="false">M248+L249</f>
        <v>208.1</v>
      </c>
      <c r="N249" s="9" t="n">
        <v>-2.4</v>
      </c>
      <c r="O249" s="7" t="n">
        <f aca="false">O248+N249</f>
        <v>124.4</v>
      </c>
      <c r="P249" s="7" t="n">
        <v>205</v>
      </c>
      <c r="Q249" s="15" t="n">
        <f aca="false">1+((P249-173)/41)*(1.15-1)</f>
        <v>1.11707317073171</v>
      </c>
      <c r="R249" s="10" t="n">
        <f aca="false">Q249*L249</f>
        <v>2.6809756097561</v>
      </c>
      <c r="S249" s="10" t="n">
        <f aca="false">J249-R249</f>
        <v>-2.6809756097561</v>
      </c>
      <c r="T249" s="10" t="n">
        <f aca="false">MIN(138.9,(T248+S249))</f>
        <v>121.811585365854</v>
      </c>
      <c r="V249" s="7" t="n">
        <v>1455.9</v>
      </c>
      <c r="X249" s="7" t="n">
        <f aca="false">X248+V249</f>
        <v>115692.5</v>
      </c>
      <c r="Y249" s="7" t="n">
        <f aca="false">Y248+V249</f>
        <v>27691.3</v>
      </c>
      <c r="AA249" s="7" t="n">
        <v>12.8385044944861</v>
      </c>
    </row>
    <row r="250" s="7" customFormat="true" ht="15" hidden="false" customHeight="false" outlineLevel="0" collapsed="false">
      <c r="A250" s="33"/>
      <c r="B250" s="13"/>
      <c r="C250" s="8" t="n">
        <v>42096</v>
      </c>
      <c r="D250" s="7" t="n">
        <v>9.9</v>
      </c>
      <c r="E250" s="7" t="n">
        <v>6.3</v>
      </c>
      <c r="F250" s="7" t="n">
        <v>12.7</v>
      </c>
      <c r="G250" s="7" t="n">
        <f aca="false">G249+D250</f>
        <v>1720.7</v>
      </c>
      <c r="H250" s="7" t="n">
        <f aca="false">H249+D250</f>
        <v>250.1</v>
      </c>
      <c r="J250" s="7" t="n">
        <v>0</v>
      </c>
      <c r="K250" s="7" t="n">
        <f aca="false">K249+J250</f>
        <v>319.6</v>
      </c>
      <c r="L250" s="7" t="n">
        <v>0.9</v>
      </c>
      <c r="M250" s="7" t="n">
        <f aca="false">M249+L250</f>
        <v>209</v>
      </c>
      <c r="N250" s="9" t="n">
        <v>-0.9</v>
      </c>
      <c r="O250" s="7" t="n">
        <f aca="false">O249+N250</f>
        <v>123.5</v>
      </c>
      <c r="P250" s="7" t="n">
        <v>206</v>
      </c>
      <c r="Q250" s="15" t="n">
        <f aca="false">1+((P250-173)/41)*(1.15-1)</f>
        <v>1.12073170731707</v>
      </c>
      <c r="R250" s="10" t="n">
        <f aca="false">Q250*L250</f>
        <v>1.00865853658537</v>
      </c>
      <c r="S250" s="10" t="n">
        <f aca="false">J250-R250</f>
        <v>-1.00865853658537</v>
      </c>
      <c r="T250" s="10" t="n">
        <f aca="false">MIN(138.9,(T249+S250))</f>
        <v>120.802926829268</v>
      </c>
      <c r="V250" s="7" t="n">
        <v>608</v>
      </c>
      <c r="X250" s="7" t="n">
        <f aca="false">X249+V250</f>
        <v>116300.5</v>
      </c>
      <c r="Y250" s="7" t="n">
        <f aca="false">Y249+V250</f>
        <v>28299.3</v>
      </c>
      <c r="AA250" s="7" t="n">
        <v>12.8952662047489</v>
      </c>
    </row>
    <row r="251" s="7" customFormat="true" ht="15" hidden="false" customHeight="false" outlineLevel="0" collapsed="false">
      <c r="A251" s="33"/>
      <c r="B251" s="13"/>
      <c r="C251" s="8" t="n">
        <v>42097</v>
      </c>
      <c r="D251" s="7" t="n">
        <v>9.8</v>
      </c>
      <c r="E251" s="7" t="n">
        <v>8.7</v>
      </c>
      <c r="F251" s="7" t="n">
        <v>11.1</v>
      </c>
      <c r="G251" s="7" t="n">
        <f aca="false">G250+D251</f>
        <v>1730.5</v>
      </c>
      <c r="H251" s="7" t="n">
        <f aca="false">H250+D251</f>
        <v>259.9</v>
      </c>
      <c r="J251" s="7" t="n">
        <v>4.4</v>
      </c>
      <c r="K251" s="7" t="n">
        <f aca="false">K250+J251</f>
        <v>324</v>
      </c>
      <c r="L251" s="7" t="n">
        <v>0.8</v>
      </c>
      <c r="M251" s="7" t="n">
        <f aca="false">M250+L251</f>
        <v>209.8</v>
      </c>
      <c r="N251" s="7" t="n">
        <v>3.6</v>
      </c>
      <c r="O251" s="7" t="n">
        <f aca="false">O250+N251</f>
        <v>127.1</v>
      </c>
      <c r="P251" s="7" t="n">
        <v>207</v>
      </c>
      <c r="Q251" s="15" t="n">
        <f aca="false">1+((P251-173)/41)*(1.15-1)</f>
        <v>1.12439024390244</v>
      </c>
      <c r="R251" s="10" t="n">
        <f aca="false">Q251*L251</f>
        <v>0.899512195121951</v>
      </c>
      <c r="S251" s="10" t="n">
        <f aca="false">J251-R251</f>
        <v>3.50048780487805</v>
      </c>
      <c r="T251" s="10" t="n">
        <f aca="false">MIN(138.9,(T250+S251))</f>
        <v>124.303414634146</v>
      </c>
      <c r="V251" s="7" t="n">
        <v>479.6</v>
      </c>
      <c r="X251" s="7" t="n">
        <f aca="false">X250+V251</f>
        <v>116780.1</v>
      </c>
      <c r="Y251" s="7" t="n">
        <f aca="false">Y250+V251</f>
        <v>28778.9</v>
      </c>
      <c r="AA251" s="7" t="n">
        <v>12.9519330559445</v>
      </c>
    </row>
    <row r="252" s="7" customFormat="true" ht="15" hidden="false" customHeight="false" outlineLevel="0" collapsed="false">
      <c r="A252" s="33"/>
      <c r="B252" s="13"/>
      <c r="C252" s="8" t="n">
        <v>42098</v>
      </c>
      <c r="D252" s="7" t="n">
        <v>8.8</v>
      </c>
      <c r="E252" s="7" t="n">
        <v>8.2</v>
      </c>
      <c r="F252" s="7" t="n">
        <v>11.1</v>
      </c>
      <c r="G252" s="7" t="n">
        <f aca="false">G251+D252</f>
        <v>1739.3</v>
      </c>
      <c r="H252" s="7" t="n">
        <f aca="false">H251+D252</f>
        <v>268.7</v>
      </c>
      <c r="J252" s="7" t="n">
        <v>0.1</v>
      </c>
      <c r="K252" s="7" t="n">
        <f aca="false">K251+J252</f>
        <v>324.1</v>
      </c>
      <c r="L252" s="7" t="n">
        <v>0.8</v>
      </c>
      <c r="M252" s="7" t="n">
        <f aca="false">M251+L252</f>
        <v>210.6</v>
      </c>
      <c r="N252" s="9" t="n">
        <v>-0.7</v>
      </c>
      <c r="O252" s="7" t="n">
        <f aca="false">O251+N252</f>
        <v>126.4</v>
      </c>
      <c r="P252" s="7" t="n">
        <v>208</v>
      </c>
      <c r="Q252" s="15" t="n">
        <f aca="false">1+((P252-173)/41)*(1.15-1)</f>
        <v>1.1280487804878</v>
      </c>
      <c r="R252" s="10" t="n">
        <f aca="false">Q252*L252</f>
        <v>0.902439024390244</v>
      </c>
      <c r="S252" s="10" t="n">
        <f aca="false">J252-R252</f>
        <v>-0.802439024390244</v>
      </c>
      <c r="T252" s="10" t="n">
        <f aca="false">MIN(138.9,(T251+S252))</f>
        <v>123.500975609756</v>
      </c>
      <c r="V252" s="7" t="n">
        <v>465.6</v>
      </c>
      <c r="W252" s="36"/>
      <c r="X252" s="36" t="n">
        <f aca="false">X251+V252</f>
        <v>117245.7</v>
      </c>
      <c r="Y252" s="7" t="n">
        <f aca="false">Y251+V252</f>
        <v>29244.5</v>
      </c>
      <c r="AA252" s="7" t="n">
        <v>13.0084979789333</v>
      </c>
    </row>
    <row r="253" s="7" customFormat="true" ht="15" hidden="false" customHeight="true" outlineLevel="0" collapsed="false">
      <c r="A253" s="33"/>
      <c r="B253" s="13"/>
      <c r="C253" s="8" t="n">
        <v>42099</v>
      </c>
      <c r="D253" s="7" t="n">
        <v>5.8</v>
      </c>
      <c r="E253" s="7" t="n">
        <v>1.4</v>
      </c>
      <c r="F253" s="7" t="n">
        <v>9.1</v>
      </c>
      <c r="G253" s="7" t="n">
        <f aca="false">G252+D253</f>
        <v>1745.1</v>
      </c>
      <c r="H253" s="7" t="n">
        <f aca="false">H252+D253</f>
        <v>274.5</v>
      </c>
      <c r="J253" s="7" t="n">
        <v>0</v>
      </c>
      <c r="K253" s="7" t="n">
        <f aca="false">K252+J253</f>
        <v>324.1</v>
      </c>
      <c r="L253" s="7" t="n">
        <v>1.8</v>
      </c>
      <c r="M253" s="7" t="n">
        <f aca="false">M252+L253</f>
        <v>212.4</v>
      </c>
      <c r="N253" s="9" t="n">
        <v>-1.8</v>
      </c>
      <c r="O253" s="7" t="n">
        <f aca="false">O252+N253</f>
        <v>124.6</v>
      </c>
      <c r="P253" s="7" t="n">
        <v>209</v>
      </c>
      <c r="Q253" s="15" t="n">
        <f aca="false">1+((P253-173)/41)*(1.15-1)</f>
        <v>1.13170731707317</v>
      </c>
      <c r="R253" s="10" t="n">
        <f aca="false">Q253*L253</f>
        <v>2.03707317073171</v>
      </c>
      <c r="S253" s="10" t="n">
        <f aca="false">J253-R253</f>
        <v>-2.03707317073171</v>
      </c>
      <c r="T253" s="10" t="n">
        <f aca="false">MIN(138.9,(T252+S253))</f>
        <v>121.463902439024</v>
      </c>
      <c r="U253" s="37"/>
      <c r="V253" s="7" t="n">
        <v>1352.6</v>
      </c>
      <c r="X253" s="7" t="n">
        <f aca="false">X252+V253</f>
        <v>118598.3</v>
      </c>
      <c r="Y253" s="7" t="n">
        <f aca="false">Y252+V253</f>
        <v>30597.1</v>
      </c>
      <c r="AA253" s="7" t="n">
        <v>13.064953704295</v>
      </c>
    </row>
    <row r="254" s="7" customFormat="true" ht="15" hidden="false" customHeight="false" outlineLevel="0" collapsed="false">
      <c r="A254" s="33"/>
      <c r="B254" s="13"/>
      <c r="C254" s="8" t="n">
        <v>42100</v>
      </c>
      <c r="D254" s="7" t="n">
        <v>7.4</v>
      </c>
      <c r="E254" s="7" t="n">
        <v>0.5</v>
      </c>
      <c r="F254" s="7" t="n">
        <v>12.3</v>
      </c>
      <c r="G254" s="7" t="n">
        <f aca="false">G253+D254</f>
        <v>1752.5</v>
      </c>
      <c r="H254" s="7" t="n">
        <f aca="false">H253+D254</f>
        <v>281.9</v>
      </c>
      <c r="J254" s="7" t="n">
        <v>0</v>
      </c>
      <c r="K254" s="7" t="n">
        <f aca="false">K253+J254</f>
        <v>324.1</v>
      </c>
      <c r="L254" s="7" t="n">
        <v>2.9</v>
      </c>
      <c r="M254" s="7" t="n">
        <f aca="false">M253+L254</f>
        <v>215.3</v>
      </c>
      <c r="N254" s="9" t="n">
        <v>-2.9</v>
      </c>
      <c r="O254" s="7" t="n">
        <f aca="false">O253+N254</f>
        <v>121.7</v>
      </c>
      <c r="P254" s="7" t="n">
        <v>210</v>
      </c>
      <c r="Q254" s="15" t="n">
        <f aca="false">1+((P254-173)/41)*(1.15-1)</f>
        <v>1.13536585365854</v>
      </c>
      <c r="R254" s="10" t="n">
        <f aca="false">Q254*L254</f>
        <v>3.29256097560976</v>
      </c>
      <c r="S254" s="10" t="n">
        <f aca="false">J254-R254</f>
        <v>-3.29256097560976</v>
      </c>
      <c r="T254" s="10" t="n">
        <f aca="false">MIN(138.9,(T253+S254))</f>
        <v>118.171341463415</v>
      </c>
      <c r="V254" s="7" t="n">
        <v>2223.2</v>
      </c>
      <c r="X254" s="7" t="n">
        <f aca="false">X253+V254</f>
        <v>120821.5</v>
      </c>
      <c r="Y254" s="7" t="n">
        <f aca="false">Y253+V254</f>
        <v>32820.3</v>
      </c>
      <c r="AA254" s="7" t="n">
        <v>13.1212927466938</v>
      </c>
    </row>
    <row r="255" s="7" customFormat="true" ht="15" hidden="false" customHeight="false" outlineLevel="0" collapsed="false">
      <c r="A255" s="33"/>
      <c r="B255" s="13"/>
      <c r="C255" s="8" t="n">
        <v>42101</v>
      </c>
      <c r="D255" s="7" t="n">
        <v>9.1</v>
      </c>
      <c r="E255" s="7" t="n">
        <v>1.5</v>
      </c>
      <c r="F255" s="7" t="n">
        <v>14.6</v>
      </c>
      <c r="G255" s="7" t="n">
        <f aca="false">G254+D255</f>
        <v>1761.6</v>
      </c>
      <c r="H255" s="7" t="n">
        <f aca="false">H254+D255</f>
        <v>291</v>
      </c>
      <c r="J255" s="7" t="n">
        <v>0</v>
      </c>
      <c r="K255" s="7" t="n">
        <f aca="false">K254+J255</f>
        <v>324.1</v>
      </c>
      <c r="L255" s="7" t="n">
        <v>3.5</v>
      </c>
      <c r="M255" s="7" t="n">
        <f aca="false">M254+L255</f>
        <v>218.8</v>
      </c>
      <c r="N255" s="9" t="n">
        <v>-3.5</v>
      </c>
      <c r="O255" s="7" t="n">
        <f aca="false">O254+N255</f>
        <v>118.2</v>
      </c>
      <c r="P255" s="7" t="n">
        <v>211</v>
      </c>
      <c r="Q255" s="15" t="n">
        <f aca="false">1+((P255-173)/41)*(1.15-1)</f>
        <v>1.1390243902439</v>
      </c>
      <c r="R255" s="10" t="n">
        <f aca="false">Q255*L255</f>
        <v>3.98658536585366</v>
      </c>
      <c r="S255" s="10" t="n">
        <f aca="false">J255-R255</f>
        <v>-3.98658536585366</v>
      </c>
      <c r="T255" s="10" t="n">
        <f aca="false">MIN(138.9,(T254+S255))</f>
        <v>114.184756097561</v>
      </c>
      <c r="V255" s="7" t="n">
        <v>2273</v>
      </c>
      <c r="X255" s="7" t="n">
        <f aca="false">X254+V255</f>
        <v>123094.5</v>
      </c>
      <c r="Y255" s="7" t="n">
        <f aca="false">Y254+V255</f>
        <v>35093.3</v>
      </c>
      <c r="AA255" s="7" t="n">
        <v>13.1775073893659</v>
      </c>
    </row>
    <row r="256" s="7" customFormat="true" ht="15" hidden="false" customHeight="false" outlineLevel="0" collapsed="false">
      <c r="A256" s="33"/>
      <c r="B256" s="13"/>
      <c r="C256" s="8" t="n">
        <v>42102</v>
      </c>
      <c r="D256" s="7" t="n">
        <v>10.2</v>
      </c>
      <c r="E256" s="7" t="n">
        <v>0.3</v>
      </c>
      <c r="F256" s="7" t="n">
        <v>16.8</v>
      </c>
      <c r="G256" s="7" t="n">
        <f aca="false">G255+D256</f>
        <v>1771.8</v>
      </c>
      <c r="H256" s="7" t="n">
        <f aca="false">H255+D256</f>
        <v>301.2</v>
      </c>
      <c r="J256" s="7" t="n">
        <v>0</v>
      </c>
      <c r="K256" s="7" t="n">
        <f aca="false">K255+J256</f>
        <v>324.1</v>
      </c>
      <c r="L256" s="7" t="n">
        <v>3.7</v>
      </c>
      <c r="M256" s="7" t="n">
        <f aca="false">M255+L256</f>
        <v>222.5</v>
      </c>
      <c r="N256" s="9" t="n">
        <v>-3.7</v>
      </c>
      <c r="O256" s="7" t="n">
        <f aca="false">O255+N256</f>
        <v>114.5</v>
      </c>
      <c r="P256" s="7" t="n">
        <v>212</v>
      </c>
      <c r="Q256" s="15" t="n">
        <f aca="false">1+((P256-173)/41)*(1.15-1)</f>
        <v>1.14268292682927</v>
      </c>
      <c r="R256" s="10" t="n">
        <f aca="false">Q256*L256</f>
        <v>4.22792682926829</v>
      </c>
      <c r="S256" s="10" t="n">
        <f aca="false">J256-R256</f>
        <v>-4.22792682926829</v>
      </c>
      <c r="T256" s="10" t="n">
        <f aca="false">MIN(138.9,(T255+S256))</f>
        <v>109.956829268293</v>
      </c>
      <c r="V256" s="7" t="n">
        <v>2336.2</v>
      </c>
      <c r="X256" s="7" t="n">
        <f aca="false">X255+V256</f>
        <v>125430.7</v>
      </c>
      <c r="Y256" s="7" t="n">
        <f aca="false">Y255+V256</f>
        <v>37429.5</v>
      </c>
      <c r="AA256" s="7" t="n">
        <v>13.2335896687428</v>
      </c>
    </row>
    <row r="257" s="36" customFormat="true" ht="15" hidden="false" customHeight="false" outlineLevel="0" collapsed="false">
      <c r="A257" s="33"/>
      <c r="B257" s="52"/>
      <c r="C257" s="53" t="n">
        <v>42103</v>
      </c>
      <c r="D257" s="36" t="n">
        <v>11.9</v>
      </c>
      <c r="E257" s="36" t="n">
        <v>1.5</v>
      </c>
      <c r="F257" s="36" t="n">
        <v>20.6</v>
      </c>
      <c r="G257" s="36" t="n">
        <f aca="false">G256+D257</f>
        <v>1783.7</v>
      </c>
      <c r="H257" s="36" t="n">
        <f aca="false">H256+D257</f>
        <v>313.1</v>
      </c>
      <c r="J257" s="36" t="n">
        <v>0</v>
      </c>
      <c r="K257" s="36" t="n">
        <f aca="false">K256+J257</f>
        <v>324.1</v>
      </c>
      <c r="L257" s="36" t="n">
        <v>3.7</v>
      </c>
      <c r="M257" s="36" t="n">
        <f aca="false">M256+L257</f>
        <v>226.2</v>
      </c>
      <c r="N257" s="54" t="n">
        <v>-3.7</v>
      </c>
      <c r="O257" s="36" t="n">
        <f aca="false">O256+N257</f>
        <v>110.8</v>
      </c>
      <c r="P257" s="36" t="n">
        <v>213</v>
      </c>
      <c r="Q257" s="15" t="n">
        <f aca="false">1+((P257-173)/41)*(1.15-1)</f>
        <v>1.14634146341463</v>
      </c>
      <c r="R257" s="55" t="n">
        <f aca="false">Q257*L257</f>
        <v>4.24146341463415</v>
      </c>
      <c r="S257" s="55" t="n">
        <f aca="false">J257-R257</f>
        <v>-4.24146341463415</v>
      </c>
      <c r="T257" s="55" t="n">
        <f aca="false">MIN(138.9,(T256+S257))</f>
        <v>105.715365853659</v>
      </c>
      <c r="U257" s="55"/>
      <c r="V257" s="36" t="n">
        <v>2265.3</v>
      </c>
      <c r="X257" s="36" t="n">
        <f aca="false">X256+V257</f>
        <v>127696</v>
      </c>
      <c r="Y257" s="36" t="n">
        <f aca="false">Y256+V257</f>
        <v>39694.8</v>
      </c>
      <c r="AA257" s="36" t="n">
        <v>13.2895313592252</v>
      </c>
    </row>
    <row r="258" s="56" customFormat="true" ht="15" hidden="false" customHeight="false" outlineLevel="0" collapsed="false">
      <c r="A258" s="33"/>
      <c r="C258" s="57" t="n">
        <v>42104</v>
      </c>
      <c r="D258" s="56" t="n">
        <v>12.4</v>
      </c>
      <c r="E258" s="56" t="n">
        <v>5.3</v>
      </c>
      <c r="F258" s="56" t="n">
        <v>19</v>
      </c>
      <c r="G258" s="56" t="n">
        <f aca="false">G257+D258</f>
        <v>1796.1</v>
      </c>
      <c r="H258" s="18" t="n">
        <f aca="false">H257+D258</f>
        <v>325.5</v>
      </c>
      <c r="J258" s="56" t="n">
        <v>0.7</v>
      </c>
      <c r="K258" s="56" t="n">
        <f aca="false">K257+J258</f>
        <v>324.8</v>
      </c>
      <c r="L258" s="56" t="n">
        <v>3</v>
      </c>
      <c r="M258" s="56" t="n">
        <f aca="false">M257+L258</f>
        <v>229.2</v>
      </c>
      <c r="N258" s="58" t="n">
        <v>-2.3</v>
      </c>
      <c r="O258" s="56" t="n">
        <f aca="false">O257+N258</f>
        <v>108.5</v>
      </c>
      <c r="P258" s="56" t="n">
        <v>214</v>
      </c>
      <c r="Q258" s="59" t="n">
        <f aca="false">1+((P258-173)/41)*(1.15-1)</f>
        <v>1.15</v>
      </c>
      <c r="R258" s="60" t="n">
        <f aca="false">Q258*L258</f>
        <v>3.45</v>
      </c>
      <c r="S258" s="60" t="n">
        <f aca="false">J258-R258</f>
        <v>-2.75</v>
      </c>
      <c r="T258" s="60" t="n">
        <f aca="false">MIN(138.9,(T257+S258))</f>
        <v>102.965365853659</v>
      </c>
      <c r="V258" s="56" t="n">
        <v>1740.8</v>
      </c>
      <c r="X258" s="56" t="n">
        <f aca="false">X257+V258</f>
        <v>129436.8</v>
      </c>
      <c r="Y258" s="18" t="n">
        <f aca="false">Y257+V258</f>
        <v>41435.6</v>
      </c>
      <c r="AA258" s="56" t="n">
        <v>13.3453239581242</v>
      </c>
    </row>
    <row r="259" s="7" customFormat="true" ht="15" hidden="false" customHeight="false" outlineLevel="0" collapsed="false">
      <c r="A259" s="39" t="s">
        <v>55</v>
      </c>
      <c r="C259" s="8" t="n">
        <v>42105</v>
      </c>
      <c r="D259" s="7" t="n">
        <v>12.3</v>
      </c>
      <c r="E259" s="7" t="n">
        <v>10.3</v>
      </c>
      <c r="F259" s="7" t="n">
        <v>14.5</v>
      </c>
      <c r="G259" s="7" t="n">
        <f aca="false">G258+D259</f>
        <v>1808.4</v>
      </c>
      <c r="H259" s="36" t="n">
        <f aca="false">D259</f>
        <v>12.3</v>
      </c>
      <c r="I259" s="40" t="s">
        <v>28</v>
      </c>
      <c r="J259" s="7" t="n">
        <v>0.2</v>
      </c>
      <c r="K259" s="7" t="n">
        <f aca="false">K258+J259</f>
        <v>325</v>
      </c>
      <c r="L259" s="7" t="n">
        <v>1.1</v>
      </c>
      <c r="M259" s="7" t="n">
        <f aca="false">M258+L259</f>
        <v>230.3</v>
      </c>
      <c r="N259" s="9" t="n">
        <v>-0.9</v>
      </c>
      <c r="O259" s="7" t="n">
        <f aca="false">O258+N259</f>
        <v>107.6</v>
      </c>
      <c r="P259" s="7" t="n">
        <v>215</v>
      </c>
      <c r="Q259" s="7" t="n">
        <v>1.15</v>
      </c>
      <c r="R259" s="10" t="n">
        <f aca="false">Q259*L259</f>
        <v>1.265</v>
      </c>
      <c r="S259" s="10" t="n">
        <f aca="false">J259-R259</f>
        <v>-1.065</v>
      </c>
      <c r="T259" s="10" t="n">
        <f aca="false">MIN(138.9,(T258+S259))</f>
        <v>101.900365853659</v>
      </c>
      <c r="U259" s="40" t="s">
        <v>29</v>
      </c>
      <c r="V259" s="7" t="n">
        <v>552.4</v>
      </c>
      <c r="X259" s="7" t="n">
        <f aca="false">X258+V259</f>
        <v>129989.2</v>
      </c>
      <c r="Y259" s="36" t="n">
        <f aca="false">V259</f>
        <v>552.4</v>
      </c>
      <c r="Z259" s="40" t="s">
        <v>30</v>
      </c>
      <c r="AA259" s="7" t="n">
        <v>13.4009586707903</v>
      </c>
    </row>
    <row r="260" s="7" customFormat="true" ht="15" hidden="false" customHeight="false" outlineLevel="0" collapsed="false">
      <c r="A260" s="39"/>
      <c r="C260" s="8" t="n">
        <v>42106</v>
      </c>
      <c r="D260" s="7" t="n">
        <v>13.1</v>
      </c>
      <c r="E260" s="7" t="n">
        <v>8</v>
      </c>
      <c r="F260" s="7" t="n">
        <v>18.2</v>
      </c>
      <c r="G260" s="7" t="n">
        <f aca="false">G259+D260</f>
        <v>1821.5</v>
      </c>
      <c r="H260" s="36" t="n">
        <f aca="false">H259+D260</f>
        <v>25.4</v>
      </c>
      <c r="I260" s="7" t="n">
        <f aca="false">MIN(E259:E279)</f>
        <v>3</v>
      </c>
      <c r="J260" s="7" t="n">
        <v>0</v>
      </c>
      <c r="K260" s="7" t="n">
        <f aca="false">K259+J260</f>
        <v>325</v>
      </c>
      <c r="L260" s="7" t="n">
        <v>2.9</v>
      </c>
      <c r="M260" s="7" t="n">
        <f aca="false">M259+L260</f>
        <v>233.2</v>
      </c>
      <c r="N260" s="9" t="n">
        <v>-2.9</v>
      </c>
      <c r="O260" s="7" t="n">
        <f aca="false">O259+N260</f>
        <v>104.7</v>
      </c>
      <c r="P260" s="7" t="n">
        <v>216</v>
      </c>
      <c r="Q260" s="7" t="n">
        <v>1.15</v>
      </c>
      <c r="R260" s="10" t="n">
        <f aca="false">Q260*L260</f>
        <v>3.335</v>
      </c>
      <c r="S260" s="10" t="n">
        <f aca="false">J260-R260</f>
        <v>-3.335</v>
      </c>
      <c r="T260" s="10" t="n">
        <f aca="false">MIN(138.9,(T259+S260))</f>
        <v>98.5653658536585</v>
      </c>
      <c r="U260" s="7" t="n">
        <v>17</v>
      </c>
      <c r="V260" s="7" t="n">
        <v>1692.8</v>
      </c>
      <c r="X260" s="7" t="n">
        <f aca="false">X259+V260</f>
        <v>131682</v>
      </c>
      <c r="Y260" s="36" t="n">
        <f aca="false">Y259+V260</f>
        <v>2245.2</v>
      </c>
      <c r="Z260" s="7" t="n">
        <v>32782.3</v>
      </c>
      <c r="AA260" s="7" t="n">
        <v>13.456426395952</v>
      </c>
    </row>
    <row r="261" s="7" customFormat="true" ht="15" hidden="false" customHeight="false" outlineLevel="0" collapsed="false">
      <c r="A261" s="39" t="s">
        <v>56</v>
      </c>
      <c r="C261" s="8" t="n">
        <v>42107</v>
      </c>
      <c r="D261" s="7" t="n">
        <v>13.1</v>
      </c>
      <c r="E261" s="7" t="n">
        <v>4.8</v>
      </c>
      <c r="F261" s="7" t="n">
        <v>20.2</v>
      </c>
      <c r="G261" s="7" t="n">
        <f aca="false">G260+D261</f>
        <v>1834.6</v>
      </c>
      <c r="H261" s="36" t="n">
        <f aca="false">H260+D261</f>
        <v>38.5</v>
      </c>
      <c r="I261" s="40" t="s">
        <v>31</v>
      </c>
      <c r="J261" s="7" t="n">
        <v>0</v>
      </c>
      <c r="K261" s="7" t="n">
        <f aca="false">K260+J261</f>
        <v>325</v>
      </c>
      <c r="L261" s="7" t="n">
        <v>3.6</v>
      </c>
      <c r="M261" s="7" t="n">
        <f aca="false">M260+L261</f>
        <v>236.8</v>
      </c>
      <c r="N261" s="9" t="n">
        <v>-3.6</v>
      </c>
      <c r="O261" s="7" t="n">
        <f aca="false">O260+N261</f>
        <v>101.1</v>
      </c>
      <c r="P261" s="7" t="n">
        <v>217</v>
      </c>
      <c r="Q261" s="7" t="n">
        <v>1.15</v>
      </c>
      <c r="R261" s="10" t="n">
        <f aca="false">Q261*L261</f>
        <v>4.14</v>
      </c>
      <c r="S261" s="10" t="n">
        <f aca="false">J261-R261</f>
        <v>-4.14</v>
      </c>
      <c r="T261" s="10" t="n">
        <f aca="false">MIN(138.9,(T260+S261))</f>
        <v>94.4253658536585</v>
      </c>
      <c r="U261" s="40" t="s">
        <v>32</v>
      </c>
      <c r="V261" s="7" t="n">
        <v>2154.7</v>
      </c>
      <c r="X261" s="7" t="n">
        <f aca="false">X260+V261</f>
        <v>133836.7</v>
      </c>
      <c r="Y261" s="36" t="n">
        <f aca="false">Y260+V261</f>
        <v>4399.9</v>
      </c>
      <c r="Z261" s="40" t="s">
        <v>33</v>
      </c>
      <c r="AA261" s="7" t="n">
        <v>13.5117177112891</v>
      </c>
    </row>
    <row r="262" s="7" customFormat="true" ht="15" hidden="false" customHeight="false" outlineLevel="0" collapsed="false">
      <c r="A262" s="39"/>
      <c r="C262" s="8" t="n">
        <v>42108</v>
      </c>
      <c r="D262" s="7" t="n">
        <v>15.3</v>
      </c>
      <c r="E262" s="7" t="n">
        <v>5.8</v>
      </c>
      <c r="F262" s="7" t="n">
        <v>24</v>
      </c>
      <c r="G262" s="7" t="n">
        <f aca="false">G261+D262</f>
        <v>1849.9</v>
      </c>
      <c r="H262" s="36" t="n">
        <f aca="false">H261+D262</f>
        <v>53.8</v>
      </c>
      <c r="I262" s="7" t="n">
        <f aca="false">MAX(F259:F279)</f>
        <v>25.5</v>
      </c>
      <c r="J262" s="7" t="n">
        <v>0</v>
      </c>
      <c r="K262" s="7" t="n">
        <f aca="false">K261+J262</f>
        <v>325</v>
      </c>
      <c r="L262" s="7" t="n">
        <v>4.5</v>
      </c>
      <c r="M262" s="7" t="n">
        <f aca="false">M261+L262</f>
        <v>241.3</v>
      </c>
      <c r="N262" s="9" t="n">
        <v>-4.5</v>
      </c>
      <c r="O262" s="7" t="n">
        <f aca="false">O261+N262</f>
        <v>96.6</v>
      </c>
      <c r="P262" s="7" t="n">
        <v>218</v>
      </c>
      <c r="Q262" s="7" t="n">
        <v>1.15</v>
      </c>
      <c r="R262" s="10" t="n">
        <f aca="false">Q262*L262</f>
        <v>5.175</v>
      </c>
      <c r="S262" s="10" t="n">
        <f aca="false">J262-R262</f>
        <v>-5.175</v>
      </c>
      <c r="T262" s="10" t="n">
        <f aca="false">MIN(138.9,(T261+S262))</f>
        <v>89.2503658536585</v>
      </c>
      <c r="U262" s="7" t="n">
        <v>0</v>
      </c>
      <c r="V262" s="7" t="n">
        <v>2254.8</v>
      </c>
      <c r="X262" s="7" t="n">
        <f aca="false">X261+V262</f>
        <v>136091.5</v>
      </c>
      <c r="Y262" s="36" t="n">
        <f aca="false">Y261+V262</f>
        <v>6654.7</v>
      </c>
      <c r="Z262" s="15" t="n">
        <f aca="false">(Z260/100)/I272</f>
        <v>1.21686340014848</v>
      </c>
      <c r="AA262" s="7" t="n">
        <v>13.5668228592686</v>
      </c>
    </row>
    <row r="263" s="7" customFormat="true" ht="15" hidden="false" customHeight="false" outlineLevel="0" collapsed="false">
      <c r="A263" s="39"/>
      <c r="C263" s="8" t="n">
        <v>42109</v>
      </c>
      <c r="D263" s="7" t="n">
        <v>16.8</v>
      </c>
      <c r="E263" s="7" t="n">
        <v>6.9</v>
      </c>
      <c r="F263" s="7" t="n">
        <v>25.5</v>
      </c>
      <c r="G263" s="7" t="n">
        <f aca="false">G262+D263</f>
        <v>1866.7</v>
      </c>
      <c r="H263" s="36" t="n">
        <f aca="false">H262+D263</f>
        <v>70.6</v>
      </c>
      <c r="I263" s="40" t="s">
        <v>34</v>
      </c>
      <c r="J263" s="7" t="n">
        <v>0</v>
      </c>
      <c r="K263" s="7" t="n">
        <f aca="false">K262+J263</f>
        <v>325</v>
      </c>
      <c r="L263" s="7" t="n">
        <v>4.1</v>
      </c>
      <c r="M263" s="7" t="n">
        <f aca="false">M262+L263</f>
        <v>245.4</v>
      </c>
      <c r="N263" s="9" t="n">
        <v>-4.1</v>
      </c>
      <c r="O263" s="7" t="n">
        <f aca="false">O262+N263</f>
        <v>92.5</v>
      </c>
      <c r="P263" s="7" t="n">
        <v>219</v>
      </c>
      <c r="Q263" s="7" t="n">
        <v>1.15</v>
      </c>
      <c r="R263" s="10" t="n">
        <f aca="false">Q263*L263</f>
        <v>4.715</v>
      </c>
      <c r="S263" s="10" t="n">
        <f aca="false">J263-R263</f>
        <v>-4.715</v>
      </c>
      <c r="T263" s="10" t="n">
        <f aca="false">MIN(138.9,(T262+S263))</f>
        <v>84.5353658536585</v>
      </c>
      <c r="U263" s="40" t="s">
        <v>35</v>
      </c>
      <c r="V263" s="7" t="n">
        <v>2161.6</v>
      </c>
      <c r="X263" s="7" t="n">
        <f aca="false">X262+V263</f>
        <v>138253.1</v>
      </c>
      <c r="Y263" s="36" t="n">
        <f aca="false">Y262+V263</f>
        <v>8816.3</v>
      </c>
      <c r="Z263" s="40" t="s">
        <v>36</v>
      </c>
      <c r="AA263" s="7" t="n">
        <v>13.6217317332759</v>
      </c>
    </row>
    <row r="264" s="7" customFormat="true" ht="15" hidden="false" customHeight="false" outlineLevel="0" collapsed="false">
      <c r="A264" s="39"/>
      <c r="C264" s="8" t="n">
        <v>42110</v>
      </c>
      <c r="D264" s="7" t="n">
        <v>13.8</v>
      </c>
      <c r="E264" s="7" t="n">
        <v>9</v>
      </c>
      <c r="F264" s="7" t="n">
        <v>19.9</v>
      </c>
      <c r="G264" s="7" t="n">
        <f aca="false">G263+D264</f>
        <v>1880.5</v>
      </c>
      <c r="H264" s="36" t="n">
        <f aca="false">H263+D264</f>
        <v>84.4</v>
      </c>
      <c r="I264" s="15" t="n">
        <f aca="false">AVERAGE(D259:D279)</f>
        <v>12.8285714285714</v>
      </c>
      <c r="J264" s="7" t="n">
        <v>0</v>
      </c>
      <c r="K264" s="7" t="n">
        <f aca="false">K263+J264</f>
        <v>325</v>
      </c>
      <c r="L264" s="7" t="n">
        <v>2.2</v>
      </c>
      <c r="M264" s="7" t="n">
        <f aca="false">M263+L264</f>
        <v>247.6</v>
      </c>
      <c r="N264" s="9" t="n">
        <v>-2.2</v>
      </c>
      <c r="O264" s="7" t="n">
        <f aca="false">O263+N264</f>
        <v>90.3</v>
      </c>
      <c r="P264" s="7" t="n">
        <v>220</v>
      </c>
      <c r="Q264" s="7" t="n">
        <v>1.15</v>
      </c>
      <c r="R264" s="10" t="n">
        <f aca="false">Q264*L264</f>
        <v>2.53</v>
      </c>
      <c r="S264" s="10" t="n">
        <f aca="false">J264-R264</f>
        <v>-2.53</v>
      </c>
      <c r="T264" s="10" t="n">
        <f aca="false">MIN(138.9,(T263+S264))</f>
        <v>82.0053658536585</v>
      </c>
      <c r="U264" s="7" t="n">
        <v>0</v>
      </c>
      <c r="V264" s="7" t="n">
        <v>1016.8</v>
      </c>
      <c r="X264" s="7" t="n">
        <f aca="false">X263+V264</f>
        <v>139269.9</v>
      </c>
      <c r="Y264" s="36" t="n">
        <f aca="false">Y263+V264</f>
        <v>9833.1</v>
      </c>
      <c r="Z264" s="7" t="n">
        <v>6</v>
      </c>
      <c r="AA264" s="7" t="n">
        <v>13.6764338640728</v>
      </c>
    </row>
    <row r="265" s="7" customFormat="true" ht="15" hidden="false" customHeight="false" outlineLevel="0" collapsed="false">
      <c r="A265" s="39"/>
      <c r="C265" s="8" t="n">
        <v>42111</v>
      </c>
      <c r="D265" s="7" t="n">
        <v>13.2</v>
      </c>
      <c r="E265" s="7" t="n">
        <v>10.5</v>
      </c>
      <c r="F265" s="7" t="n">
        <v>15.5</v>
      </c>
      <c r="G265" s="7" t="n">
        <f aca="false">G264+D265</f>
        <v>1893.7</v>
      </c>
      <c r="H265" s="36" t="n">
        <f aca="false">H264+D265</f>
        <v>97.6</v>
      </c>
      <c r="I265" s="40" t="s">
        <v>37</v>
      </c>
      <c r="J265" s="7" t="n">
        <v>4.2</v>
      </c>
      <c r="K265" s="7" t="n">
        <f aca="false">K264+J265</f>
        <v>329.2</v>
      </c>
      <c r="L265" s="7" t="n">
        <v>1.3</v>
      </c>
      <c r="M265" s="7" t="n">
        <f aca="false">M264+L265</f>
        <v>248.9</v>
      </c>
      <c r="N265" s="7" t="n">
        <v>2.9</v>
      </c>
      <c r="O265" s="7" t="n">
        <f aca="false">O264+N265</f>
        <v>93.2</v>
      </c>
      <c r="P265" s="7" t="n">
        <v>221</v>
      </c>
      <c r="Q265" s="7" t="n">
        <v>1.15</v>
      </c>
      <c r="R265" s="10" t="n">
        <f aca="false">Q265*L265</f>
        <v>1.495</v>
      </c>
      <c r="S265" s="10" t="n">
        <f aca="false">J265-R265</f>
        <v>2.705</v>
      </c>
      <c r="T265" s="10" t="n">
        <f aca="false">MIN(138.9,(T264+S265))</f>
        <v>84.7103658536585</v>
      </c>
      <c r="U265" s="40" t="s">
        <v>38</v>
      </c>
      <c r="V265" s="7" t="n">
        <v>670.7</v>
      </c>
      <c r="X265" s="7" t="n">
        <f aca="false">X264+V265</f>
        <v>139940.6</v>
      </c>
      <c r="Y265" s="36" t="n">
        <f aca="false">Y264+V265</f>
        <v>10503.8</v>
      </c>
      <c r="AA265" s="7" t="n">
        <v>13.7309184066232</v>
      </c>
    </row>
    <row r="266" s="7" customFormat="true" ht="15" hidden="false" customHeight="false" outlineLevel="0" collapsed="false">
      <c r="A266" s="39"/>
      <c r="C266" s="8" t="n">
        <v>42112</v>
      </c>
      <c r="D266" s="7" t="n">
        <v>11.9</v>
      </c>
      <c r="E266" s="7" t="n">
        <v>8.4</v>
      </c>
      <c r="F266" s="7" t="n">
        <v>15.7</v>
      </c>
      <c r="G266" s="7" t="n">
        <f aca="false">G265+D266</f>
        <v>1905.6</v>
      </c>
      <c r="H266" s="36" t="n">
        <f aca="false">H265+D266</f>
        <v>109.5</v>
      </c>
      <c r="I266" s="7" t="n">
        <v>0</v>
      </c>
      <c r="J266" s="7" t="n">
        <v>0</v>
      </c>
      <c r="K266" s="7" t="n">
        <f aca="false">K265+J266</f>
        <v>329.2</v>
      </c>
      <c r="L266" s="7" t="n">
        <v>3.7</v>
      </c>
      <c r="M266" s="7" t="n">
        <f aca="false">M265+L266</f>
        <v>252.6</v>
      </c>
      <c r="N266" s="9" t="n">
        <v>-3.7</v>
      </c>
      <c r="O266" s="7" t="n">
        <f aca="false">O265+N266</f>
        <v>89.5</v>
      </c>
      <c r="P266" s="7" t="n">
        <v>222</v>
      </c>
      <c r="Q266" s="7" t="n">
        <v>1.15</v>
      </c>
      <c r="R266" s="10" t="n">
        <f aca="false">Q266*L266</f>
        <v>4.255</v>
      </c>
      <c r="S266" s="10" t="n">
        <f aca="false">J266-R266</f>
        <v>-4.255</v>
      </c>
      <c r="T266" s="10" t="n">
        <f aca="false">MIN(138.9,(T265+S266))</f>
        <v>80.4553658536585</v>
      </c>
      <c r="U266" s="10" t="n">
        <f aca="false">MIN(T259:T279)</f>
        <v>55.0353658536585</v>
      </c>
      <c r="V266" s="7" t="n">
        <v>2002.4</v>
      </c>
      <c r="X266" s="7" t="n">
        <f aca="false">X265+V266</f>
        <v>141943</v>
      </c>
      <c r="Y266" s="36" t="n">
        <f aca="false">Y265+V266</f>
        <v>12506.2</v>
      </c>
      <c r="AA266" s="7" t="n">
        <v>13.7851741273252</v>
      </c>
    </row>
    <row r="267" s="7" customFormat="true" ht="15" hidden="false" customHeight="false" outlineLevel="0" collapsed="false">
      <c r="A267" s="39"/>
      <c r="C267" s="8" t="n">
        <v>42113</v>
      </c>
      <c r="D267" s="7" t="n">
        <v>11.2</v>
      </c>
      <c r="E267" s="7" t="n">
        <v>4.3</v>
      </c>
      <c r="F267" s="7" t="n">
        <v>16.4</v>
      </c>
      <c r="G267" s="7" t="n">
        <f aca="false">G266+D267</f>
        <v>1916.8</v>
      </c>
      <c r="H267" s="36" t="n">
        <f aca="false">H266+D267</f>
        <v>120.7</v>
      </c>
      <c r="I267" s="40" t="s">
        <v>39</v>
      </c>
      <c r="J267" s="7" t="n">
        <v>0</v>
      </c>
      <c r="K267" s="7" t="n">
        <f aca="false">K266+J267</f>
        <v>329.2</v>
      </c>
      <c r="L267" s="7" t="n">
        <v>4</v>
      </c>
      <c r="M267" s="7" t="n">
        <f aca="false">M266+L267</f>
        <v>256.6</v>
      </c>
      <c r="N267" s="9" t="n">
        <v>-4</v>
      </c>
      <c r="O267" s="7" t="n">
        <f aca="false">O266+N267</f>
        <v>85.5</v>
      </c>
      <c r="P267" s="7" t="n">
        <v>223</v>
      </c>
      <c r="Q267" s="7" t="n">
        <v>1.15</v>
      </c>
      <c r="R267" s="10" t="n">
        <f aca="false">Q267*L267</f>
        <v>4.6</v>
      </c>
      <c r="S267" s="10" t="n">
        <f aca="false">J267-R267</f>
        <v>-4.6</v>
      </c>
      <c r="T267" s="10" t="n">
        <f aca="false">MIN(138.9,(T266+S267))</f>
        <v>75.8553658536585</v>
      </c>
      <c r="U267" s="40" t="s">
        <v>40</v>
      </c>
      <c r="V267" s="7" t="n">
        <v>2497.4</v>
      </c>
      <c r="X267" s="7" t="n">
        <f aca="false">X266+V267</f>
        <v>144440.4</v>
      </c>
      <c r="Y267" s="36" t="n">
        <f aca="false">Y266+V267</f>
        <v>15003.6</v>
      </c>
      <c r="AA267" s="7" t="n">
        <v>13.8391893916956</v>
      </c>
    </row>
    <row r="268" s="7" customFormat="true" ht="15" hidden="false" customHeight="false" outlineLevel="0" collapsed="false">
      <c r="A268" s="39"/>
      <c r="C268" s="8" t="n">
        <v>42114</v>
      </c>
      <c r="D268" s="7" t="n">
        <v>13.1</v>
      </c>
      <c r="E268" s="7" t="n">
        <v>5.6</v>
      </c>
      <c r="F268" s="7" t="n">
        <v>19.7</v>
      </c>
      <c r="G268" s="7" t="n">
        <f aca="false">G267+D268</f>
        <v>1929.9</v>
      </c>
      <c r="H268" s="36" t="n">
        <f aca="false">H267+D268</f>
        <v>133.8</v>
      </c>
      <c r="I268" s="7" t="n">
        <v>1</v>
      </c>
      <c r="J268" s="7" t="n">
        <v>0</v>
      </c>
      <c r="K268" s="7" t="n">
        <f aca="false">K267+J268</f>
        <v>329.2</v>
      </c>
      <c r="L268" s="7" t="n">
        <v>3.4</v>
      </c>
      <c r="M268" s="7" t="n">
        <f aca="false">M267+L268</f>
        <v>260</v>
      </c>
      <c r="N268" s="9" t="n">
        <v>-3.4</v>
      </c>
      <c r="O268" s="7" t="n">
        <f aca="false">O267+N268</f>
        <v>82.1</v>
      </c>
      <c r="P268" s="7" t="n">
        <v>224</v>
      </c>
      <c r="Q268" s="7" t="n">
        <v>1.15</v>
      </c>
      <c r="R268" s="10" t="n">
        <f aca="false">Q268*L268</f>
        <v>3.91</v>
      </c>
      <c r="S268" s="10" t="n">
        <f aca="false">J268-R268</f>
        <v>-3.91</v>
      </c>
      <c r="T268" s="10" t="n">
        <f aca="false">MIN(138.9,(T267+S268))</f>
        <v>71.9453658536585</v>
      </c>
      <c r="U268" s="10" t="n">
        <f aca="false">MAX(T259:T279)</f>
        <v>123.390365853659</v>
      </c>
      <c r="V268" s="7" t="n">
        <v>1984.9</v>
      </c>
      <c r="X268" s="7" t="n">
        <f aca="false">X267+V268</f>
        <v>146425.3</v>
      </c>
      <c r="Y268" s="36" t="n">
        <f aca="false">Y267+V268</f>
        <v>16988.5</v>
      </c>
      <c r="AA268" s="7" t="n">
        <v>13.8929521525551</v>
      </c>
    </row>
    <row r="269" s="7" customFormat="true" ht="15" hidden="false" customHeight="false" outlineLevel="0" collapsed="false">
      <c r="A269" s="39"/>
      <c r="C269" s="8" t="n">
        <v>42115</v>
      </c>
      <c r="D269" s="7" t="n">
        <v>14.7</v>
      </c>
      <c r="E269" s="7" t="n">
        <v>6.8</v>
      </c>
      <c r="F269" s="7" t="n">
        <v>21.5</v>
      </c>
      <c r="G269" s="7" t="n">
        <f aca="false">G268+D269</f>
        <v>1944.6</v>
      </c>
      <c r="H269" s="36" t="n">
        <f aca="false">H268+D269</f>
        <v>148.5</v>
      </c>
      <c r="I269" s="40" t="s">
        <v>41</v>
      </c>
      <c r="J269" s="7" t="n">
        <v>0</v>
      </c>
      <c r="K269" s="7" t="n">
        <f aca="false">K268+J269</f>
        <v>329.2</v>
      </c>
      <c r="L269" s="7" t="n">
        <v>4.9</v>
      </c>
      <c r="M269" s="7" t="n">
        <f aca="false">M268+L269</f>
        <v>264.9</v>
      </c>
      <c r="N269" s="9" t="n">
        <v>-4.9</v>
      </c>
      <c r="O269" s="7" t="n">
        <f aca="false">O268+N269</f>
        <v>77.2</v>
      </c>
      <c r="P269" s="7" t="n">
        <v>225</v>
      </c>
      <c r="Q269" s="7" t="n">
        <v>1.15</v>
      </c>
      <c r="R269" s="10" t="n">
        <f aca="false">Q269*L269</f>
        <v>5.635</v>
      </c>
      <c r="S269" s="10" t="n">
        <f aca="false">J269-R269</f>
        <v>-5.635</v>
      </c>
      <c r="T269" s="10" t="n">
        <f aca="false">MIN(138.9,(T268+S269))</f>
        <v>66.3103658536585</v>
      </c>
      <c r="U269" s="40" t="s">
        <v>42</v>
      </c>
      <c r="V269" s="7" t="n">
        <v>2665.8</v>
      </c>
      <c r="X269" s="7" t="n">
        <f aca="false">X268+V269</f>
        <v>149091.1</v>
      </c>
      <c r="Y269" s="36" t="n">
        <f aca="false">Y268+V269</f>
        <v>19654.3</v>
      </c>
      <c r="AA269" s="7" t="n">
        <v>13.9464499387654</v>
      </c>
    </row>
    <row r="270" s="7" customFormat="true" ht="15" hidden="false" customHeight="false" outlineLevel="0" collapsed="false">
      <c r="A270" s="39"/>
      <c r="C270" s="8" t="n">
        <v>42116</v>
      </c>
      <c r="D270" s="7" t="n">
        <v>15.9</v>
      </c>
      <c r="E270" s="7" t="n">
        <v>9.2</v>
      </c>
      <c r="F270" s="7" t="n">
        <v>22</v>
      </c>
      <c r="G270" s="7" t="n">
        <f aca="false">G269+D270</f>
        <v>1960.5</v>
      </c>
      <c r="H270" s="36" t="n">
        <f aca="false">H269+D270</f>
        <v>164.4</v>
      </c>
      <c r="I270" s="7" t="n">
        <v>4</v>
      </c>
      <c r="J270" s="7" t="n">
        <v>0</v>
      </c>
      <c r="K270" s="7" t="n">
        <f aca="false">K269+J270</f>
        <v>329.2</v>
      </c>
      <c r="L270" s="7" t="n">
        <v>5</v>
      </c>
      <c r="M270" s="7" t="n">
        <f aca="false">M269+L270</f>
        <v>269.9</v>
      </c>
      <c r="N270" s="9" t="n">
        <v>-5</v>
      </c>
      <c r="O270" s="7" t="n">
        <f aca="false">O269+N270</f>
        <v>72.2</v>
      </c>
      <c r="P270" s="7" t="n">
        <v>226</v>
      </c>
      <c r="Q270" s="7" t="n">
        <v>1.15</v>
      </c>
      <c r="R270" s="10" t="n">
        <f aca="false">Q270*L270</f>
        <v>5.75</v>
      </c>
      <c r="S270" s="10" t="n">
        <f aca="false">J270-R270</f>
        <v>-5.75</v>
      </c>
      <c r="T270" s="10" t="n">
        <f aca="false">MIN(138.9,(T269+S270))</f>
        <v>60.5603658536585</v>
      </c>
      <c r="U270" s="15" t="n">
        <f aca="false">AVERAGE(T259:T279)</f>
        <v>80.8117944250871</v>
      </c>
      <c r="V270" s="7" t="n">
        <v>2549.3</v>
      </c>
      <c r="W270" s="36"/>
      <c r="X270" s="36" t="n">
        <f aca="false">X269+V270</f>
        <v>151640.4</v>
      </c>
      <c r="Y270" s="36" t="n">
        <f aca="false">Y269+V270</f>
        <v>22203.6</v>
      </c>
      <c r="AA270" s="7" t="n">
        <v>13.9996698445753</v>
      </c>
    </row>
    <row r="271" s="7" customFormat="true" ht="15" hidden="false" customHeight="true" outlineLevel="0" collapsed="false">
      <c r="A271" s="39"/>
      <c r="C271" s="8" t="n">
        <v>42117</v>
      </c>
      <c r="D271" s="7" t="n">
        <v>14.8</v>
      </c>
      <c r="E271" s="7" t="n">
        <v>7.9</v>
      </c>
      <c r="F271" s="7" t="n">
        <v>20.9</v>
      </c>
      <c r="G271" s="7" t="n">
        <f aca="false">G270+D271</f>
        <v>1975.3</v>
      </c>
      <c r="H271" s="36" t="n">
        <f aca="false">H270+D271</f>
        <v>179.2</v>
      </c>
      <c r="I271" s="40" t="s">
        <v>43</v>
      </c>
      <c r="J271" s="7" t="n">
        <v>0</v>
      </c>
      <c r="K271" s="7" t="n">
        <f aca="false">K270+J271</f>
        <v>329.2</v>
      </c>
      <c r="L271" s="7" t="n">
        <v>4.6</v>
      </c>
      <c r="M271" s="7" t="n">
        <f aca="false">M270+L271</f>
        <v>274.5</v>
      </c>
      <c r="N271" s="9" t="n">
        <v>-4.6</v>
      </c>
      <c r="O271" s="7" t="n">
        <f aca="false">O270+N271</f>
        <v>67.6</v>
      </c>
      <c r="P271" s="7" t="n">
        <v>227</v>
      </c>
      <c r="Q271" s="7" t="n">
        <v>1.15</v>
      </c>
      <c r="R271" s="10" t="n">
        <f aca="false">Q271*L271</f>
        <v>5.29</v>
      </c>
      <c r="S271" s="10" t="n">
        <f aca="false">J271-R271</f>
        <v>-5.29</v>
      </c>
      <c r="T271" s="10" t="n">
        <f aca="false">MIN(138.9,(T270+S271))</f>
        <v>55.2703658536585</v>
      </c>
      <c r="V271" s="7" t="n">
        <v>2636.8</v>
      </c>
      <c r="X271" s="7" t="n">
        <f aca="false">X270+V271</f>
        <v>154277.2</v>
      </c>
      <c r="Y271" s="36" t="n">
        <f aca="false">Y270+V271</f>
        <v>24840.4</v>
      </c>
      <c r="AA271" s="7" t="n">
        <v>14.052598519635</v>
      </c>
    </row>
    <row r="272" s="7" customFormat="true" ht="15" hidden="false" customHeight="false" outlineLevel="0" collapsed="false">
      <c r="A272" s="39"/>
      <c r="C272" s="8" t="n">
        <v>42118</v>
      </c>
      <c r="D272" s="7" t="n">
        <v>12.9</v>
      </c>
      <c r="E272" s="7" t="n">
        <v>8.5</v>
      </c>
      <c r="F272" s="7" t="n">
        <v>16.1</v>
      </c>
      <c r="G272" s="7" t="n">
        <f aca="false">G271+D272</f>
        <v>1988.2</v>
      </c>
      <c r="H272" s="36" t="n">
        <f aca="false">H271+D272</f>
        <v>192.1</v>
      </c>
      <c r="I272" s="7" t="n">
        <v>269.4</v>
      </c>
      <c r="J272" s="7" t="n">
        <v>1.9</v>
      </c>
      <c r="K272" s="7" t="n">
        <f aca="false">K271+J272</f>
        <v>331.1</v>
      </c>
      <c r="L272" s="7" t="n">
        <v>0.8</v>
      </c>
      <c r="M272" s="7" t="n">
        <f aca="false">M271+L272</f>
        <v>275.3</v>
      </c>
      <c r="N272" s="9" t="n">
        <v>1.1</v>
      </c>
      <c r="O272" s="7" t="n">
        <f aca="false">O271+N272</f>
        <v>68.7</v>
      </c>
      <c r="P272" s="7" t="n">
        <v>228</v>
      </c>
      <c r="Q272" s="7" t="n">
        <v>1.15</v>
      </c>
      <c r="R272" s="10" t="n">
        <f aca="false">Q272*L272</f>
        <v>0.92</v>
      </c>
      <c r="S272" s="10" t="n">
        <f aca="false">J272-R272</f>
        <v>0.98</v>
      </c>
      <c r="T272" s="10" t="n">
        <f aca="false">MIN(138.9,(T271+S272))</f>
        <v>56.2503658536585</v>
      </c>
      <c r="U272" s="10" t="n">
        <f aca="false">(U270*100)/138.9</f>
        <v>58.1798375990548</v>
      </c>
      <c r="V272" s="7" t="n">
        <v>728.4</v>
      </c>
      <c r="X272" s="7" t="n">
        <f aca="false">X271+V272</f>
        <v>155005.6</v>
      </c>
      <c r="Y272" s="36" t="n">
        <f aca="false">Y271+V272</f>
        <v>25568.8</v>
      </c>
      <c r="AA272" s="7" t="n">
        <v>14.1052221597412</v>
      </c>
    </row>
    <row r="273" s="7" customFormat="true" ht="15" hidden="false" customHeight="false" outlineLevel="0" collapsed="false">
      <c r="A273" s="39"/>
      <c r="C273" s="8" t="n">
        <v>42119</v>
      </c>
      <c r="D273" s="7" t="n">
        <v>14.5</v>
      </c>
      <c r="E273" s="7" t="n">
        <v>12</v>
      </c>
      <c r="F273" s="7" t="n">
        <v>18.8</v>
      </c>
      <c r="G273" s="7" t="n">
        <f aca="false">G272+D273</f>
        <v>2002.7</v>
      </c>
      <c r="H273" s="36" t="n">
        <f aca="false">H272+D273</f>
        <v>206.6</v>
      </c>
      <c r="J273" s="7" t="n">
        <v>1.2</v>
      </c>
      <c r="K273" s="7" t="n">
        <f aca="false">K272+J273</f>
        <v>332.3</v>
      </c>
      <c r="L273" s="7" t="n">
        <v>2.1</v>
      </c>
      <c r="M273" s="7" t="n">
        <f aca="false">M272+L273</f>
        <v>277.4</v>
      </c>
      <c r="N273" s="9" t="n">
        <v>-0.9</v>
      </c>
      <c r="O273" s="7" t="n">
        <f aca="false">O272+N273</f>
        <v>67.8</v>
      </c>
      <c r="P273" s="7" t="n">
        <v>229</v>
      </c>
      <c r="Q273" s="7" t="n">
        <v>1.15</v>
      </c>
      <c r="R273" s="10" t="n">
        <f aca="false">Q273*L273</f>
        <v>2.415</v>
      </c>
      <c r="S273" s="10" t="n">
        <f aca="false">J273-R273</f>
        <v>-1.215</v>
      </c>
      <c r="T273" s="10" t="n">
        <f aca="false">MIN(138.9,(T272+S273))</f>
        <v>55.0353658536585</v>
      </c>
      <c r="V273" s="7" t="n">
        <v>1295</v>
      </c>
      <c r="X273" s="7" t="n">
        <f aca="false">X272+V273</f>
        <v>156300.6</v>
      </c>
      <c r="Y273" s="36" t="n">
        <f aca="false">Y272+V273</f>
        <v>26863.8</v>
      </c>
      <c r="AA273" s="7" t="n">
        <v>14.1575264983821</v>
      </c>
    </row>
    <row r="274" s="7" customFormat="true" ht="15" hidden="false" customHeight="false" outlineLevel="0" collapsed="false">
      <c r="A274" s="39"/>
      <c r="C274" s="8" t="n">
        <v>42120</v>
      </c>
      <c r="D274" s="7" t="n">
        <v>12</v>
      </c>
      <c r="E274" s="7" t="n">
        <v>8.6</v>
      </c>
      <c r="F274" s="7" t="n">
        <v>14.6</v>
      </c>
      <c r="G274" s="7" t="n">
        <f aca="false">G273+D274</f>
        <v>2014.7</v>
      </c>
      <c r="H274" s="36" t="n">
        <f aca="false">H273+D274</f>
        <v>218.6</v>
      </c>
      <c r="J274" s="7" t="n">
        <v>26.7</v>
      </c>
      <c r="K274" s="7" t="n">
        <f aca="false">K273+J274</f>
        <v>359</v>
      </c>
      <c r="L274" s="7" t="n">
        <v>0.9</v>
      </c>
      <c r="M274" s="7" t="n">
        <f aca="false">M273+L274</f>
        <v>278.3</v>
      </c>
      <c r="N274" s="7" t="n">
        <v>25.8</v>
      </c>
      <c r="O274" s="7" t="n">
        <f aca="false">O273+N274</f>
        <v>93.6</v>
      </c>
      <c r="P274" s="7" t="n">
        <v>230</v>
      </c>
      <c r="Q274" s="7" t="n">
        <v>1.15</v>
      </c>
      <c r="R274" s="10" t="n">
        <f aca="false">Q274*L274</f>
        <v>1.035</v>
      </c>
      <c r="S274" s="10" t="n">
        <f aca="false">J274-R274</f>
        <v>25.665</v>
      </c>
      <c r="T274" s="10" t="n">
        <f aca="false">MIN(138.9,(T273+S274))</f>
        <v>80.7003658536585</v>
      </c>
      <c r="V274" s="7" t="n">
        <v>528.5</v>
      </c>
      <c r="X274" s="7" t="n">
        <f aca="false">X273+V274</f>
        <v>156829.1</v>
      </c>
      <c r="Y274" s="36" t="n">
        <f aca="false">Y273+V274</f>
        <v>27392.3</v>
      </c>
      <c r="AA274" s="7" t="n">
        <v>14.209496799152</v>
      </c>
    </row>
    <row r="275" s="7" customFormat="true" ht="15" hidden="false" customHeight="false" outlineLevel="0" collapsed="false">
      <c r="A275" s="39"/>
      <c r="C275" s="8" t="n">
        <v>42121</v>
      </c>
      <c r="D275" s="7" t="n">
        <v>11</v>
      </c>
      <c r="E275" s="7" t="n">
        <v>10.2</v>
      </c>
      <c r="F275" s="7" t="n">
        <v>13.6</v>
      </c>
      <c r="G275" s="7" t="n">
        <f aca="false">G274+D275</f>
        <v>2025.7</v>
      </c>
      <c r="H275" s="36" t="n">
        <f aca="false">H274+D275</f>
        <v>229.6</v>
      </c>
      <c r="J275" s="7" t="n">
        <v>0</v>
      </c>
      <c r="K275" s="7" t="n">
        <f aca="false">K274+J275</f>
        <v>359</v>
      </c>
      <c r="L275" s="7" t="n">
        <v>2</v>
      </c>
      <c r="M275" s="7" t="n">
        <f aca="false">M274+L275</f>
        <v>280.3</v>
      </c>
      <c r="N275" s="9" t="n">
        <v>-2</v>
      </c>
      <c r="O275" s="7" t="n">
        <f aca="false">O274+N275</f>
        <v>91.6</v>
      </c>
      <c r="P275" s="7" t="n">
        <v>231</v>
      </c>
      <c r="Q275" s="7" t="n">
        <v>1.15</v>
      </c>
      <c r="R275" s="10" t="n">
        <f aca="false">Q275*L275</f>
        <v>2.3</v>
      </c>
      <c r="S275" s="10" t="n">
        <f aca="false">J275-R275</f>
        <v>-2.3</v>
      </c>
      <c r="T275" s="10" t="n">
        <f aca="false">MIN(138.9,(T274+S275))</f>
        <v>78.4003658536585</v>
      </c>
      <c r="V275" s="7" t="n">
        <v>1260.8</v>
      </c>
      <c r="X275" s="7" t="n">
        <f aca="false">X274+V275</f>
        <v>158089.9</v>
      </c>
      <c r="Y275" s="36" t="n">
        <f aca="false">Y274+V275</f>
        <v>28653.1</v>
      </c>
      <c r="AA275" s="7" t="n">
        <v>14.2611178491108</v>
      </c>
    </row>
    <row r="276" s="7" customFormat="true" ht="15" hidden="false" customHeight="false" outlineLevel="0" collapsed="false">
      <c r="A276" s="39"/>
      <c r="C276" s="8" t="n">
        <v>42122</v>
      </c>
      <c r="D276" s="7" t="n">
        <v>7.8</v>
      </c>
      <c r="E276" s="7" t="n">
        <v>3.6</v>
      </c>
      <c r="F276" s="7" t="n">
        <v>12.4</v>
      </c>
      <c r="G276" s="7" t="n">
        <f aca="false">G275+D276</f>
        <v>2033.5</v>
      </c>
      <c r="H276" s="36" t="n">
        <f aca="false">H275+D276</f>
        <v>237.4</v>
      </c>
      <c r="J276" s="7" t="n">
        <v>0</v>
      </c>
      <c r="K276" s="7" t="n">
        <f aca="false">K275+J276</f>
        <v>359</v>
      </c>
      <c r="L276" s="7" t="n">
        <v>2.4</v>
      </c>
      <c r="M276" s="7" t="n">
        <f aca="false">M275+L276</f>
        <v>282.7</v>
      </c>
      <c r="N276" s="9" t="n">
        <v>-2.4</v>
      </c>
      <c r="O276" s="7" t="n">
        <f aca="false">O275+N276</f>
        <v>89.2</v>
      </c>
      <c r="P276" s="7" t="n">
        <v>232</v>
      </c>
      <c r="Q276" s="7" t="n">
        <v>1.15</v>
      </c>
      <c r="R276" s="10" t="n">
        <f aca="false">Q276*L276</f>
        <v>2.76</v>
      </c>
      <c r="S276" s="10" t="n">
        <f aca="false">J276-R276</f>
        <v>-2.76</v>
      </c>
      <c r="T276" s="10" t="n">
        <f aca="false">MIN(138.9,(T275+S276))</f>
        <v>75.6403658536585</v>
      </c>
      <c r="V276" s="7" t="n">
        <v>2076</v>
      </c>
      <c r="X276" s="7" t="n">
        <f aca="false">X275+V276</f>
        <v>160165.9</v>
      </c>
      <c r="Y276" s="36" t="n">
        <f aca="false">Y275+V276</f>
        <v>30729.1</v>
      </c>
      <c r="AA276" s="7" t="n">
        <v>14.3123739531664</v>
      </c>
    </row>
    <row r="277" s="7" customFormat="true" ht="15" hidden="false" customHeight="false" outlineLevel="0" collapsed="false">
      <c r="A277" s="39"/>
      <c r="C277" s="8" t="n">
        <v>42123</v>
      </c>
      <c r="D277" s="7" t="n">
        <v>9</v>
      </c>
      <c r="E277" s="7" t="n">
        <v>3</v>
      </c>
      <c r="F277" s="7" t="n">
        <v>14.1</v>
      </c>
      <c r="G277" s="7" t="n">
        <f aca="false">G276+D277</f>
        <v>2042.5</v>
      </c>
      <c r="H277" s="36" t="n">
        <f aca="false">H276+D277</f>
        <v>246.4</v>
      </c>
      <c r="J277" s="7" t="n">
        <v>0</v>
      </c>
      <c r="K277" s="7" t="n">
        <f aca="false">K276+J277</f>
        <v>359</v>
      </c>
      <c r="L277" s="7" t="n">
        <v>1.4</v>
      </c>
      <c r="M277" s="7" t="n">
        <f aca="false">M276+L277</f>
        <v>284.1</v>
      </c>
      <c r="N277" s="9" t="n">
        <v>-1.4</v>
      </c>
      <c r="O277" s="7" t="n">
        <f aca="false">O276+N277</f>
        <v>87.8</v>
      </c>
      <c r="P277" s="7" t="n">
        <v>233</v>
      </c>
      <c r="Q277" s="7" t="n">
        <v>1.15</v>
      </c>
      <c r="R277" s="10" t="n">
        <f aca="false">Q277*L277</f>
        <v>1.61</v>
      </c>
      <c r="S277" s="10" t="n">
        <f aca="false">J277-R277</f>
        <v>-1.61</v>
      </c>
      <c r="T277" s="10" t="n">
        <f aca="false">MIN(138.9,(T276+S277))</f>
        <v>74.0303658536585</v>
      </c>
      <c r="V277" s="7" t="n">
        <v>988.3</v>
      </c>
      <c r="X277" s="7" t="n">
        <f aca="false">X276+V277</f>
        <v>161154.2</v>
      </c>
      <c r="Y277" s="36" t="n">
        <f aca="false">Y276+V277</f>
        <v>31717.4</v>
      </c>
      <c r="AA277" s="7" t="n">
        <v>14.3632489295623</v>
      </c>
    </row>
    <row r="278" s="36" customFormat="true" ht="15" hidden="false" customHeight="false" outlineLevel="0" collapsed="false">
      <c r="A278" s="39"/>
      <c r="C278" s="53" t="n">
        <v>42124</v>
      </c>
      <c r="D278" s="36" t="n">
        <v>9.7</v>
      </c>
      <c r="E278" s="36" t="n">
        <v>6.2</v>
      </c>
      <c r="F278" s="36" t="n">
        <v>12.2</v>
      </c>
      <c r="G278" s="36" t="n">
        <f aca="false">G277+D278</f>
        <v>2052.2</v>
      </c>
      <c r="H278" s="36" t="n">
        <f aca="false">H277+D278</f>
        <v>256.1</v>
      </c>
      <c r="J278" s="36" t="n">
        <v>34.7</v>
      </c>
      <c r="K278" s="36" t="n">
        <f aca="false">K277+J278</f>
        <v>393.7</v>
      </c>
      <c r="L278" s="36" t="n">
        <v>0.8</v>
      </c>
      <c r="M278" s="36" t="n">
        <f aca="false">M277+L278</f>
        <v>284.9</v>
      </c>
      <c r="N278" s="36" t="n">
        <v>33.9</v>
      </c>
      <c r="O278" s="36" t="n">
        <f aca="false">O277+N278</f>
        <v>121.7</v>
      </c>
      <c r="P278" s="36" t="n">
        <v>234</v>
      </c>
      <c r="Q278" s="36" t="n">
        <v>1.15</v>
      </c>
      <c r="R278" s="55" t="n">
        <f aca="false">Q278*L278</f>
        <v>0.92</v>
      </c>
      <c r="S278" s="55" t="n">
        <f aca="false">J278-R278</f>
        <v>33.78</v>
      </c>
      <c r="T278" s="10" t="n">
        <f aca="false">MIN(138.9,(T277+S278))</f>
        <v>107.810365853659</v>
      </c>
      <c r="V278" s="36" t="n">
        <v>590.8</v>
      </c>
      <c r="X278" s="36" t="n">
        <f aca="false">X277+V278</f>
        <v>161745</v>
      </c>
      <c r="Y278" s="36" t="n">
        <f aca="false">Y277+V278</f>
        <v>32308.2</v>
      </c>
      <c r="AA278" s="36" t="n">
        <v>14.4137261065545</v>
      </c>
    </row>
    <row r="279" s="56" customFormat="true" ht="15" hidden="false" customHeight="true" outlineLevel="0" collapsed="false">
      <c r="A279" s="41" t="s">
        <v>57</v>
      </c>
      <c r="B279" s="61"/>
      <c r="C279" s="57" t="n">
        <v>42125</v>
      </c>
      <c r="D279" s="56" t="n">
        <v>13.3</v>
      </c>
      <c r="E279" s="56" t="n">
        <v>11.1</v>
      </c>
      <c r="F279" s="56" t="n">
        <v>15.2</v>
      </c>
      <c r="G279" s="56" t="n">
        <f aca="false">G278+D279</f>
        <v>2065.5</v>
      </c>
      <c r="H279" s="18" t="n">
        <f aca="false">H278+D279</f>
        <v>269.4</v>
      </c>
      <c r="J279" s="56" t="n">
        <v>16.5</v>
      </c>
      <c r="K279" s="56" t="n">
        <f aca="false">K278+J279</f>
        <v>410.2</v>
      </c>
      <c r="L279" s="56" t="n">
        <v>0.8</v>
      </c>
      <c r="M279" s="56" t="n">
        <f aca="false">M278+L279</f>
        <v>285.7</v>
      </c>
      <c r="N279" s="56" t="n">
        <v>15.7</v>
      </c>
      <c r="O279" s="56" t="n">
        <f aca="false">O278+N279</f>
        <v>137.4</v>
      </c>
      <c r="P279" s="56" t="n">
        <v>235</v>
      </c>
      <c r="Q279" s="56" t="n">
        <v>1.15</v>
      </c>
      <c r="R279" s="60" t="n">
        <f aca="false">Q279*L279</f>
        <v>0.92</v>
      </c>
      <c r="S279" s="60" t="n">
        <f aca="false">J279-R279</f>
        <v>15.58</v>
      </c>
      <c r="T279" s="60" t="n">
        <f aca="false">MIN(138.9,(T278+S279))</f>
        <v>123.390365853659</v>
      </c>
      <c r="V279" s="56" t="n">
        <v>474.1</v>
      </c>
      <c r="X279" s="56" t="n">
        <f aca="false">X278+V279</f>
        <v>162219.1</v>
      </c>
      <c r="Y279" s="18" t="n">
        <f aca="false">Y278+V279</f>
        <v>32782.3</v>
      </c>
      <c r="AA279" s="56" t="n">
        <v>14.4637883203654</v>
      </c>
    </row>
    <row r="280" s="7" customFormat="true" ht="15" hidden="false" customHeight="false" outlineLevel="0" collapsed="false">
      <c r="A280" s="62" t="n">
        <v>300</v>
      </c>
      <c r="B280" s="13"/>
      <c r="C280" s="8" t="n">
        <v>42126</v>
      </c>
      <c r="D280" s="7" t="n">
        <v>13.1</v>
      </c>
      <c r="E280" s="7" t="n">
        <v>12.2</v>
      </c>
      <c r="F280" s="7" t="n">
        <v>14</v>
      </c>
      <c r="G280" s="7" t="n">
        <f aca="false">G279+D280</f>
        <v>2078.6</v>
      </c>
      <c r="H280" s="36" t="n">
        <f aca="false">D280</f>
        <v>13.1</v>
      </c>
      <c r="I280" s="63" t="s">
        <v>28</v>
      </c>
      <c r="J280" s="7" t="n">
        <v>17.1</v>
      </c>
      <c r="K280" s="7" t="n">
        <f aca="false">K279+J280</f>
        <v>427.3</v>
      </c>
      <c r="L280" s="7" t="n">
        <v>0.6</v>
      </c>
      <c r="M280" s="7" t="n">
        <f aca="false">M279+L280</f>
        <v>286.3</v>
      </c>
      <c r="N280" s="7" t="n">
        <v>16.5</v>
      </c>
      <c r="O280" s="7" t="n">
        <v>138.9</v>
      </c>
      <c r="P280" s="7" t="n">
        <v>236</v>
      </c>
      <c r="Q280" s="7" t="n">
        <v>1.15</v>
      </c>
      <c r="R280" s="10" t="n">
        <f aca="false">Q280*L280</f>
        <v>0.69</v>
      </c>
      <c r="S280" s="10" t="n">
        <f aca="false">J280-R280</f>
        <v>16.41</v>
      </c>
      <c r="T280" s="10" t="n">
        <f aca="false">MIN(138.9,(T279+S280))</f>
        <v>138.9</v>
      </c>
      <c r="U280" s="63" t="s">
        <v>29</v>
      </c>
      <c r="V280" s="7" t="n">
        <v>500.4</v>
      </c>
      <c r="X280" s="7" t="n">
        <f aca="false">X279+V280</f>
        <v>162719.5</v>
      </c>
      <c r="Y280" s="36" t="n">
        <f aca="false">V280</f>
        <v>500.4</v>
      </c>
      <c r="Z280" s="63" t="s">
        <v>30</v>
      </c>
      <c r="AA280" s="7" t="n">
        <v>14.5134179145061</v>
      </c>
    </row>
    <row r="281" s="7" customFormat="true" ht="15" hidden="false" customHeight="false" outlineLevel="0" collapsed="false">
      <c r="A281" s="62"/>
      <c r="B281" s="13"/>
      <c r="C281" s="8" t="n">
        <v>42127</v>
      </c>
      <c r="D281" s="7" t="n">
        <v>15</v>
      </c>
      <c r="E281" s="7" t="n">
        <v>13.1</v>
      </c>
      <c r="F281" s="7" t="n">
        <v>18.2</v>
      </c>
      <c r="G281" s="7" t="n">
        <f aca="false">G280+D281</f>
        <v>2093.6</v>
      </c>
      <c r="H281" s="36" t="n">
        <f aca="false">H280+D281</f>
        <v>28.1</v>
      </c>
      <c r="I281" s="7" t="n">
        <f aca="false">MIN(E280:E302)</f>
        <v>4.4</v>
      </c>
      <c r="J281" s="7" t="n">
        <v>4.4</v>
      </c>
      <c r="K281" s="7" t="n">
        <f aca="false">K280+J281</f>
        <v>431.7</v>
      </c>
      <c r="L281" s="7" t="n">
        <v>1.2</v>
      </c>
      <c r="M281" s="7" t="n">
        <f aca="false">M280+L281</f>
        <v>287.5</v>
      </c>
      <c r="N281" s="7" t="n">
        <v>3.2</v>
      </c>
      <c r="O281" s="7" t="n">
        <v>138.9</v>
      </c>
      <c r="P281" s="7" t="n">
        <v>237</v>
      </c>
      <c r="Q281" s="7" t="n">
        <v>1.15</v>
      </c>
      <c r="R281" s="10" t="n">
        <f aca="false">Q281*L281</f>
        <v>1.38</v>
      </c>
      <c r="S281" s="10" t="n">
        <f aca="false">J281-R281</f>
        <v>3.02</v>
      </c>
      <c r="T281" s="10" t="n">
        <f aca="false">MIN(138.9,(T280+S281))</f>
        <v>138.9</v>
      </c>
      <c r="U281" s="7" t="n">
        <v>17</v>
      </c>
      <c r="V281" s="7" t="n">
        <v>585.9</v>
      </c>
      <c r="X281" s="7" t="n">
        <f aca="false">X280+V281</f>
        <v>163305.4</v>
      </c>
      <c r="Y281" s="36" t="n">
        <f aca="false">Y280+V281</f>
        <v>1086.3</v>
      </c>
      <c r="Z281" s="7" t="n">
        <v>37046</v>
      </c>
      <c r="AA281" s="7" t="n">
        <v>14.562596740558</v>
      </c>
    </row>
    <row r="282" s="7" customFormat="true" ht="15" hidden="false" customHeight="false" outlineLevel="0" collapsed="false">
      <c r="A282" s="62"/>
      <c r="B282" s="13"/>
      <c r="C282" s="8" t="n">
        <v>42128</v>
      </c>
      <c r="D282" s="7" t="n">
        <v>15.1</v>
      </c>
      <c r="E282" s="7" t="n">
        <v>9.2</v>
      </c>
      <c r="F282" s="7" t="n">
        <v>19.1</v>
      </c>
      <c r="G282" s="7" t="n">
        <f aca="false">G281+D282</f>
        <v>2108.7</v>
      </c>
      <c r="H282" s="36" t="n">
        <f aca="false">H281+D282</f>
        <v>43.2</v>
      </c>
      <c r="I282" s="43" t="s">
        <v>31</v>
      </c>
      <c r="J282" s="7" t="n">
        <v>8.6</v>
      </c>
      <c r="K282" s="7" t="n">
        <f aca="false">K281+J282</f>
        <v>440.3</v>
      </c>
      <c r="L282" s="7" t="n">
        <v>1</v>
      </c>
      <c r="M282" s="7" t="n">
        <f aca="false">M281+L282</f>
        <v>288.5</v>
      </c>
      <c r="N282" s="7" t="n">
        <v>7.6</v>
      </c>
      <c r="O282" s="7" t="n">
        <v>138.9</v>
      </c>
      <c r="P282" s="7" t="n">
        <v>238</v>
      </c>
      <c r="Q282" s="7" t="n">
        <v>1.15</v>
      </c>
      <c r="R282" s="10" t="n">
        <f aca="false">Q282*L282</f>
        <v>1.15</v>
      </c>
      <c r="S282" s="10" t="n">
        <f aca="false">J282-R282</f>
        <v>7.45</v>
      </c>
      <c r="T282" s="10" t="n">
        <f aca="false">MIN(138.9,(T281+S282))</f>
        <v>138.9</v>
      </c>
      <c r="U282" s="43" t="s">
        <v>32</v>
      </c>
      <c r="V282" s="7" t="n">
        <v>776.6</v>
      </c>
      <c r="X282" s="7" t="n">
        <f aca="false">X281+V282</f>
        <v>164082</v>
      </c>
      <c r="Y282" s="36" t="n">
        <f aca="false">Y281+V282</f>
        <v>1862.9</v>
      </c>
      <c r="Z282" s="43" t="s">
        <v>33</v>
      </c>
      <c r="AA282" s="7" t="n">
        <v>14.6113061605088</v>
      </c>
    </row>
    <row r="283" s="7" customFormat="true" ht="15" hidden="false" customHeight="false" outlineLevel="0" collapsed="false">
      <c r="A283" s="62"/>
      <c r="B283" s="13"/>
      <c r="C283" s="8" t="n">
        <v>42129</v>
      </c>
      <c r="D283" s="7" t="n">
        <v>14.7</v>
      </c>
      <c r="E283" s="7" t="n">
        <v>15.1</v>
      </c>
      <c r="F283" s="7" t="n">
        <v>16.2</v>
      </c>
      <c r="G283" s="7" t="n">
        <f aca="false">G282+D283</f>
        <v>2123.4</v>
      </c>
      <c r="H283" s="36" t="n">
        <f aca="false">H282+D283</f>
        <v>57.9</v>
      </c>
      <c r="I283" s="7" t="n">
        <f aca="false">MAX(F280:F302)</f>
        <v>26.1</v>
      </c>
      <c r="J283" s="7" t="n">
        <v>0</v>
      </c>
      <c r="K283" s="7" t="n">
        <f aca="false">K282+J283</f>
        <v>440.3</v>
      </c>
      <c r="L283" s="7" t="n">
        <v>3.7</v>
      </c>
      <c r="M283" s="7" t="n">
        <f aca="false">M282+L283</f>
        <v>292.2</v>
      </c>
      <c r="N283" s="9" t="n">
        <v>-3.7</v>
      </c>
      <c r="O283" s="7" t="n">
        <f aca="false">O282+N283</f>
        <v>135.2</v>
      </c>
      <c r="P283" s="7" t="n">
        <v>239</v>
      </c>
      <c r="Q283" s="7" t="n">
        <v>1.15</v>
      </c>
      <c r="R283" s="10" t="n">
        <f aca="false">Q283*L283</f>
        <v>4.255</v>
      </c>
      <c r="S283" s="10" t="n">
        <f aca="false">J283-R283</f>
        <v>-4.255</v>
      </c>
      <c r="T283" s="10" t="n">
        <f aca="false">MIN(138.9,(T282+S283))</f>
        <v>134.645</v>
      </c>
      <c r="U283" s="7" t="n">
        <v>0</v>
      </c>
      <c r="V283" s="7" t="n">
        <v>1952.8</v>
      </c>
      <c r="X283" s="7" t="n">
        <f aca="false">X282+V283</f>
        <v>166034.8</v>
      </c>
      <c r="Y283" s="36" t="n">
        <f aca="false">Y282+V283</f>
        <v>3815.7</v>
      </c>
      <c r="Z283" s="15" t="n">
        <f aca="false">(Z281/100)/I293</f>
        <v>1.1723417721519</v>
      </c>
      <c r="AA283" s="7" t="n">
        <v>14.659527050738</v>
      </c>
    </row>
    <row r="284" s="7" customFormat="true" ht="15" hidden="false" customHeight="false" outlineLevel="0" collapsed="false">
      <c r="A284" s="62"/>
      <c r="B284" s="13"/>
      <c r="C284" s="8" t="n">
        <v>42130</v>
      </c>
      <c r="D284" s="7" t="n">
        <v>11.9</v>
      </c>
      <c r="E284" s="7" t="n">
        <v>7.8</v>
      </c>
      <c r="F284" s="7" t="n">
        <v>15.1</v>
      </c>
      <c r="G284" s="7" t="n">
        <f aca="false">G283+D284</f>
        <v>2135.3</v>
      </c>
      <c r="H284" s="36" t="n">
        <f aca="false">H283+D284</f>
        <v>69.8</v>
      </c>
      <c r="I284" s="43" t="s">
        <v>34</v>
      </c>
      <c r="J284" s="7" t="n">
        <v>1.2</v>
      </c>
      <c r="K284" s="7" t="n">
        <f aca="false">K283+J284</f>
        <v>441.5</v>
      </c>
      <c r="L284" s="7" t="n">
        <v>2.7</v>
      </c>
      <c r="M284" s="7" t="n">
        <f aca="false">M283+L284</f>
        <v>294.9</v>
      </c>
      <c r="N284" s="9" t="n">
        <v>-1.5</v>
      </c>
      <c r="O284" s="7" t="n">
        <f aca="false">O283+N284</f>
        <v>133.7</v>
      </c>
      <c r="P284" s="7" t="n">
        <v>240</v>
      </c>
      <c r="Q284" s="7" t="n">
        <v>1.15</v>
      </c>
      <c r="R284" s="10" t="n">
        <f aca="false">Q284*L284</f>
        <v>3.105</v>
      </c>
      <c r="S284" s="10" t="n">
        <f aca="false">J284-R284</f>
        <v>-1.905</v>
      </c>
      <c r="T284" s="10" t="n">
        <f aca="false">MIN(138.9,(T283+S284))</f>
        <v>132.74</v>
      </c>
      <c r="U284" s="43" t="s">
        <v>35</v>
      </c>
      <c r="V284" s="7" t="n">
        <v>1788.9</v>
      </c>
      <c r="X284" s="7" t="n">
        <f aca="false">X283+V284</f>
        <v>167823.7</v>
      </c>
      <c r="Y284" s="36" t="n">
        <f aca="false">Y283+V284</f>
        <v>5604.6</v>
      </c>
      <c r="Z284" s="43" t="s">
        <v>36</v>
      </c>
      <c r="AA284" s="7" t="n">
        <v>14.7072398077474</v>
      </c>
    </row>
    <row r="285" s="7" customFormat="true" ht="15" hidden="false" customHeight="false" outlineLevel="0" collapsed="false">
      <c r="A285" s="62"/>
      <c r="B285" s="13"/>
      <c r="C285" s="8" t="n">
        <v>42131</v>
      </c>
      <c r="D285" s="7" t="n">
        <v>11.3</v>
      </c>
      <c r="E285" s="7" t="n">
        <v>6.8</v>
      </c>
      <c r="F285" s="7" t="n">
        <v>15.5</v>
      </c>
      <c r="G285" s="7" t="n">
        <f aca="false">G284+D285</f>
        <v>2146.6</v>
      </c>
      <c r="H285" s="36" t="n">
        <f aca="false">H284+D285</f>
        <v>81.1</v>
      </c>
      <c r="I285" s="10" t="n">
        <f aca="false">AVERAGE(D280:D302)</f>
        <v>13.7391304347826</v>
      </c>
      <c r="J285" s="7" t="n">
        <v>0.4</v>
      </c>
      <c r="K285" s="7" t="n">
        <f aca="false">K284+J285</f>
        <v>441.9</v>
      </c>
      <c r="L285" s="7" t="n">
        <v>3.1</v>
      </c>
      <c r="M285" s="7" t="n">
        <f aca="false">M284+L285</f>
        <v>298</v>
      </c>
      <c r="N285" s="9" t="n">
        <v>-2.7</v>
      </c>
      <c r="O285" s="7" t="n">
        <f aca="false">O284+N285</f>
        <v>131</v>
      </c>
      <c r="P285" s="7" t="n">
        <v>241</v>
      </c>
      <c r="Q285" s="7" t="n">
        <v>1.15</v>
      </c>
      <c r="R285" s="10" t="n">
        <f aca="false">Q285*L285</f>
        <v>3.565</v>
      </c>
      <c r="S285" s="10" t="n">
        <f aca="false">J285-R285</f>
        <v>-3.165</v>
      </c>
      <c r="T285" s="10" t="n">
        <f aca="false">MIN(138.9,(T284+S285))</f>
        <v>129.575</v>
      </c>
      <c r="U285" s="7" t="n">
        <v>0</v>
      </c>
      <c r="V285" s="7" t="n">
        <v>2159.7</v>
      </c>
      <c r="X285" s="7" t="n">
        <f aca="false">X284+V285</f>
        <v>169983.4</v>
      </c>
      <c r="Y285" s="36" t="n">
        <f aca="false">Y284+V285</f>
        <v>7764.3</v>
      </c>
      <c r="Z285" s="7" t="n">
        <v>4</v>
      </c>
      <c r="AA285" s="7" t="n">
        <v>14.7544243557327</v>
      </c>
    </row>
    <row r="286" s="7" customFormat="true" ht="15" hidden="false" customHeight="false" outlineLevel="0" collapsed="false">
      <c r="A286" s="62"/>
      <c r="B286" s="13"/>
      <c r="C286" s="8" t="n">
        <v>42132</v>
      </c>
      <c r="D286" s="7" t="n">
        <v>13.9</v>
      </c>
      <c r="E286" s="7" t="n">
        <v>8</v>
      </c>
      <c r="F286" s="7" t="n">
        <v>18.2</v>
      </c>
      <c r="G286" s="7" t="n">
        <f aca="false">G285+D286</f>
        <v>2160.5</v>
      </c>
      <c r="H286" s="36" t="n">
        <f aca="false">H285+D286</f>
        <v>95</v>
      </c>
      <c r="I286" s="43" t="s">
        <v>37</v>
      </c>
      <c r="J286" s="7" t="n">
        <v>0.4</v>
      </c>
      <c r="K286" s="7" t="n">
        <f aca="false">K285+J286</f>
        <v>442.3</v>
      </c>
      <c r="L286" s="7" t="n">
        <v>1.2</v>
      </c>
      <c r="M286" s="7" t="n">
        <f aca="false">M285+L286</f>
        <v>299.2</v>
      </c>
      <c r="N286" s="9" t="n">
        <v>-0.8</v>
      </c>
      <c r="O286" s="7" t="n">
        <f aca="false">O285+N286</f>
        <v>130.2</v>
      </c>
      <c r="P286" s="7" t="n">
        <v>242</v>
      </c>
      <c r="Q286" s="7" t="n">
        <v>1.15</v>
      </c>
      <c r="R286" s="10" t="n">
        <f aca="false">Q286*L286</f>
        <v>1.38</v>
      </c>
      <c r="S286" s="10" t="n">
        <f aca="false">J286-R286</f>
        <v>-0.98</v>
      </c>
      <c r="T286" s="10" t="n">
        <f aca="false">MIN(138.9,(T285+S286))</f>
        <v>128.595</v>
      </c>
      <c r="U286" s="43" t="s">
        <v>38</v>
      </c>
      <c r="V286" s="7" t="n">
        <v>863.6</v>
      </c>
      <c r="X286" s="7" t="n">
        <f aca="false">X285+V286</f>
        <v>170847</v>
      </c>
      <c r="Y286" s="36" t="n">
        <f aca="false">Y285+V286</f>
        <v>8627.9</v>
      </c>
      <c r="AA286" s="7" t="n">
        <v>14.8010601560915</v>
      </c>
    </row>
    <row r="287" s="7" customFormat="true" ht="15" hidden="false" customHeight="false" outlineLevel="0" collapsed="false">
      <c r="A287" s="62"/>
      <c r="B287" s="13"/>
      <c r="C287" s="8" t="n">
        <v>42133</v>
      </c>
      <c r="D287" s="7" t="n">
        <v>15.5</v>
      </c>
      <c r="E287" s="7" t="n">
        <v>13.4</v>
      </c>
      <c r="F287" s="7" t="n">
        <v>18.8</v>
      </c>
      <c r="G287" s="7" t="n">
        <f aca="false">G286+D287</f>
        <v>2176</v>
      </c>
      <c r="H287" s="36" t="n">
        <f aca="false">H286+D287</f>
        <v>110.5</v>
      </c>
      <c r="I287" s="7" t="n">
        <v>0</v>
      </c>
      <c r="J287" s="7" t="n">
        <v>0</v>
      </c>
      <c r="K287" s="7" t="n">
        <f aca="false">K286+J287</f>
        <v>442.3</v>
      </c>
      <c r="L287" s="7" t="n">
        <v>4</v>
      </c>
      <c r="M287" s="7" t="n">
        <f aca="false">M286+L287</f>
        <v>303.2</v>
      </c>
      <c r="N287" s="9" t="n">
        <v>-4</v>
      </c>
      <c r="O287" s="7" t="n">
        <f aca="false">O286+N287</f>
        <v>126.2</v>
      </c>
      <c r="P287" s="7" t="n">
        <v>243</v>
      </c>
      <c r="Q287" s="7" t="n">
        <v>1.15</v>
      </c>
      <c r="R287" s="10" t="n">
        <f aca="false">Q287*L287</f>
        <v>4.6</v>
      </c>
      <c r="S287" s="10" t="n">
        <f aca="false">J287-R287</f>
        <v>-4.6</v>
      </c>
      <c r="T287" s="10" t="n">
        <f aca="false">MIN(138.9,(T286+S287))</f>
        <v>123.995</v>
      </c>
      <c r="U287" s="10" t="n">
        <f aca="false">MIN(T280:T302)</f>
        <v>81.4000000000001</v>
      </c>
      <c r="V287" s="7" t="n">
        <v>2368.9</v>
      </c>
      <c r="X287" s="7" t="n">
        <f aca="false">X286+V287</f>
        <v>173215.9</v>
      </c>
      <c r="Y287" s="36" t="n">
        <f aca="false">Y286+V287</f>
        <v>10996.8</v>
      </c>
      <c r="AA287" s="7" t="n">
        <v>14.8471262189599</v>
      </c>
    </row>
    <row r="288" s="7" customFormat="true" ht="15" hidden="false" customHeight="false" outlineLevel="0" collapsed="false">
      <c r="A288" s="62"/>
      <c r="B288" s="13"/>
      <c r="C288" s="8" t="n">
        <v>42134</v>
      </c>
      <c r="D288" s="7" t="n">
        <v>15.5</v>
      </c>
      <c r="E288" s="7" t="n">
        <v>9.3</v>
      </c>
      <c r="F288" s="7" t="n">
        <v>21.8</v>
      </c>
      <c r="G288" s="7" t="n">
        <f aca="false">G287+D288</f>
        <v>2191.5</v>
      </c>
      <c r="H288" s="36" t="n">
        <f aca="false">H287+D288</f>
        <v>126</v>
      </c>
      <c r="I288" s="43" t="s">
        <v>39</v>
      </c>
      <c r="J288" s="7" t="n">
        <v>0</v>
      </c>
      <c r="K288" s="7" t="n">
        <f aca="false">K287+J288</f>
        <v>442.3</v>
      </c>
      <c r="L288" s="7" t="n">
        <v>4.1</v>
      </c>
      <c r="M288" s="7" t="n">
        <f aca="false">M287+L288</f>
        <v>307.3</v>
      </c>
      <c r="N288" s="9" t="n">
        <v>-4.1</v>
      </c>
      <c r="O288" s="7" t="n">
        <f aca="false">O287+N288</f>
        <v>122.1</v>
      </c>
      <c r="P288" s="7" t="n">
        <v>244</v>
      </c>
      <c r="Q288" s="7" t="n">
        <v>1.15</v>
      </c>
      <c r="R288" s="10" t="n">
        <f aca="false">Q288*L288</f>
        <v>4.715</v>
      </c>
      <c r="S288" s="10" t="n">
        <f aca="false">J288-R288</f>
        <v>-4.715</v>
      </c>
      <c r="T288" s="10" t="n">
        <f aca="false">MIN(138.9,(T287+S288))</f>
        <v>119.28</v>
      </c>
      <c r="U288" s="43" t="s">
        <v>40</v>
      </c>
      <c r="V288" s="7" t="n">
        <v>2525.4</v>
      </c>
      <c r="X288" s="7" t="n">
        <f aca="false">X287+V288</f>
        <v>175741.3</v>
      </c>
      <c r="Y288" s="36" t="n">
        <f aca="false">Y287+V288</f>
        <v>13522.2</v>
      </c>
      <c r="AA288" s="7" t="n">
        <v>14.8926011168689</v>
      </c>
    </row>
    <row r="289" s="7" customFormat="true" ht="15" hidden="false" customHeight="false" outlineLevel="0" collapsed="false">
      <c r="A289" s="62"/>
      <c r="B289" s="13"/>
      <c r="C289" s="8" t="n">
        <v>42135</v>
      </c>
      <c r="D289" s="7" t="n">
        <v>18.8</v>
      </c>
      <c r="E289" s="7" t="n">
        <v>10.4</v>
      </c>
      <c r="F289" s="7" t="n">
        <v>26.1</v>
      </c>
      <c r="G289" s="7" t="n">
        <f aca="false">G288+D289</f>
        <v>2210.3</v>
      </c>
      <c r="H289" s="36" t="n">
        <f aca="false">H288+D289</f>
        <v>144.8</v>
      </c>
      <c r="I289" s="7" t="n">
        <v>1</v>
      </c>
      <c r="J289" s="7" t="n">
        <v>0</v>
      </c>
      <c r="K289" s="7" t="n">
        <f aca="false">K288+J289</f>
        <v>442.3</v>
      </c>
      <c r="L289" s="7" t="n">
        <v>4.2</v>
      </c>
      <c r="M289" s="7" t="n">
        <f aca="false">M288+L289</f>
        <v>311.5</v>
      </c>
      <c r="N289" s="9" t="n">
        <v>-4.2</v>
      </c>
      <c r="O289" s="7" t="n">
        <f aca="false">O288+N289</f>
        <v>117.9</v>
      </c>
      <c r="P289" s="7" t="n">
        <v>245</v>
      </c>
      <c r="Q289" s="7" t="n">
        <v>1.15</v>
      </c>
      <c r="R289" s="10" t="n">
        <f aca="false">Q289*L289</f>
        <v>4.83</v>
      </c>
      <c r="S289" s="10" t="n">
        <f aca="false">J289-R289</f>
        <v>-4.83</v>
      </c>
      <c r="T289" s="10" t="n">
        <f aca="false">MIN(138.9,(T288+S289))</f>
        <v>114.45</v>
      </c>
      <c r="U289" s="10" t="n">
        <f aca="false">MAX(T280:T302)</f>
        <v>138.9</v>
      </c>
      <c r="V289" s="7" t="n">
        <v>2321.4</v>
      </c>
      <c r="X289" s="7" t="n">
        <f aca="false">X288+V289</f>
        <v>178062.7</v>
      </c>
      <c r="Y289" s="36" t="n">
        <f aca="false">Y288+V289</f>
        <v>15843.6</v>
      </c>
      <c r="AA289" s="7" t="n">
        <v>14.9374630006078</v>
      </c>
    </row>
    <row r="290" s="7" customFormat="true" ht="15" hidden="false" customHeight="false" outlineLevel="0" collapsed="false">
      <c r="A290" s="62"/>
      <c r="B290" s="13"/>
      <c r="C290" s="8" t="n">
        <v>42136</v>
      </c>
      <c r="D290" s="7" t="n">
        <v>17.4</v>
      </c>
      <c r="E290" s="7" t="n">
        <v>16</v>
      </c>
      <c r="F290" s="7" t="n">
        <v>22.2</v>
      </c>
      <c r="G290" s="7" t="n">
        <f aca="false">G289+D290</f>
        <v>2227.7</v>
      </c>
      <c r="H290" s="36" t="n">
        <f aca="false">H289+D290</f>
        <v>162.2</v>
      </c>
      <c r="I290" s="43" t="s">
        <v>41</v>
      </c>
      <c r="J290" s="7" t="n">
        <v>0</v>
      </c>
      <c r="K290" s="7" t="n">
        <f aca="false">K289+J290</f>
        <v>442.3</v>
      </c>
      <c r="L290" s="7" t="n">
        <v>2.4</v>
      </c>
      <c r="M290" s="7" t="n">
        <f aca="false">M289+L290</f>
        <v>313.9</v>
      </c>
      <c r="N290" s="9" t="n">
        <v>-2.4</v>
      </c>
      <c r="O290" s="7" t="n">
        <f aca="false">O289+N290</f>
        <v>115.5</v>
      </c>
      <c r="P290" s="7" t="n">
        <v>246</v>
      </c>
      <c r="Q290" s="7" t="n">
        <v>1.15</v>
      </c>
      <c r="R290" s="10" t="n">
        <f aca="false">Q290*L290</f>
        <v>2.76</v>
      </c>
      <c r="S290" s="10" t="n">
        <f aca="false">J290-R290</f>
        <v>-2.76</v>
      </c>
      <c r="T290" s="10" t="n">
        <f aca="false">MIN(138.9,(T289+S290))</f>
        <v>111.69</v>
      </c>
      <c r="U290" s="43" t="s">
        <v>42</v>
      </c>
      <c r="V290" s="7" t="n">
        <v>1208.2</v>
      </c>
      <c r="X290" s="7" t="n">
        <f aca="false">X289+V290</f>
        <v>179270.9</v>
      </c>
      <c r="Y290" s="36" t="n">
        <f aca="false">Y289+V290</f>
        <v>17051.8</v>
      </c>
      <c r="AA290" s="7" t="n">
        <v>14.9816896173754</v>
      </c>
    </row>
    <row r="291" s="7" customFormat="true" ht="15" hidden="false" customHeight="false" outlineLevel="0" collapsed="false">
      <c r="A291" s="62"/>
      <c r="B291" s="13"/>
      <c r="C291" s="8" t="n">
        <v>42137</v>
      </c>
      <c r="D291" s="7" t="n">
        <v>16.8</v>
      </c>
      <c r="E291" s="7" t="n">
        <v>9.9</v>
      </c>
      <c r="F291" s="7" t="n">
        <v>23.8</v>
      </c>
      <c r="G291" s="7" t="n">
        <f aca="false">G290+D291</f>
        <v>2244.5</v>
      </c>
      <c r="H291" s="36" t="n">
        <f aca="false">H290+D291</f>
        <v>179</v>
      </c>
      <c r="I291" s="7" t="n">
        <v>1</v>
      </c>
      <c r="J291" s="7" t="n">
        <v>0</v>
      </c>
      <c r="K291" s="7" t="n">
        <f aca="false">K290+J291</f>
        <v>442.3</v>
      </c>
      <c r="L291" s="7" t="n">
        <v>3.2</v>
      </c>
      <c r="M291" s="7" t="n">
        <f aca="false">M290+L291</f>
        <v>317.1</v>
      </c>
      <c r="N291" s="9" t="n">
        <v>-3.2</v>
      </c>
      <c r="O291" s="7" t="n">
        <f aca="false">O290+N291</f>
        <v>112.3</v>
      </c>
      <c r="P291" s="7" t="n">
        <v>247</v>
      </c>
      <c r="Q291" s="7" t="n">
        <v>1.15</v>
      </c>
      <c r="R291" s="10" t="n">
        <f aca="false">Q291*L291</f>
        <v>3.68</v>
      </c>
      <c r="S291" s="10" t="n">
        <f aca="false">J291-R291</f>
        <v>-3.68</v>
      </c>
      <c r="T291" s="10" t="n">
        <f aca="false">MIN(138.9,(T290+S291))</f>
        <v>108.01</v>
      </c>
      <c r="U291" s="15" t="n">
        <f aca="false">AVERAGE(T280:T302)</f>
        <v>111.664130434783</v>
      </c>
      <c r="V291" s="7" t="n">
        <v>1948</v>
      </c>
      <c r="X291" s="7" t="n">
        <f aca="false">X290+V291</f>
        <v>181218.9</v>
      </c>
      <c r="Y291" s="36" t="n">
        <f aca="false">Y290+V291</f>
        <v>18999.8</v>
      </c>
      <c r="AA291" s="7" t="n">
        <v>15.025258331298</v>
      </c>
    </row>
    <row r="292" s="7" customFormat="true" ht="15" hidden="false" customHeight="false" outlineLevel="0" collapsed="false">
      <c r="A292" s="62"/>
      <c r="B292" s="13"/>
      <c r="C292" s="8" t="n">
        <v>42138</v>
      </c>
      <c r="D292" s="7" t="n">
        <v>12.6</v>
      </c>
      <c r="E292" s="7" t="n">
        <v>12</v>
      </c>
      <c r="F292" s="7" t="n">
        <v>15</v>
      </c>
      <c r="G292" s="7" t="n">
        <f aca="false">G291+D292</f>
        <v>2257.1</v>
      </c>
      <c r="H292" s="36" t="n">
        <f aca="false">H291+D292</f>
        <v>191.6</v>
      </c>
      <c r="I292" s="43" t="s">
        <v>43</v>
      </c>
      <c r="J292" s="7" t="n">
        <v>3.1</v>
      </c>
      <c r="K292" s="7" t="n">
        <f aca="false">K291+J292</f>
        <v>445.4</v>
      </c>
      <c r="L292" s="7" t="n">
        <v>1.6</v>
      </c>
      <c r="M292" s="7" t="n">
        <f aca="false">M291+L292</f>
        <v>318.7</v>
      </c>
      <c r="N292" s="7" t="n">
        <v>1.5</v>
      </c>
      <c r="O292" s="7" t="n">
        <f aca="false">O291+N292</f>
        <v>113.8</v>
      </c>
      <c r="P292" s="7" t="n">
        <v>248</v>
      </c>
      <c r="Q292" s="7" t="n">
        <v>1.15</v>
      </c>
      <c r="R292" s="10" t="n">
        <f aca="false">Q292*L292</f>
        <v>1.84</v>
      </c>
      <c r="S292" s="10" t="n">
        <f aca="false">J292-R292</f>
        <v>1.26</v>
      </c>
      <c r="T292" s="10" t="n">
        <f aca="false">MIN(138.9,(T291+S292))</f>
        <v>109.27</v>
      </c>
      <c r="V292" s="7" t="n">
        <v>929.6</v>
      </c>
      <c r="X292" s="7" t="n">
        <f aca="false">X291+V292</f>
        <v>182148.5</v>
      </c>
      <c r="Y292" s="36" t="n">
        <f aca="false">Y291+V292</f>
        <v>19929.4</v>
      </c>
      <c r="AA292" s="7" t="n">
        <v>15.06814614638</v>
      </c>
    </row>
    <row r="293" s="7" customFormat="true" ht="15" hidden="false" customHeight="false" outlineLevel="0" collapsed="false">
      <c r="A293" s="62"/>
      <c r="B293" s="13"/>
      <c r="C293" s="8" t="n">
        <v>42139</v>
      </c>
      <c r="D293" s="7" t="n">
        <v>11.6</v>
      </c>
      <c r="E293" s="7" t="n">
        <v>7.3</v>
      </c>
      <c r="F293" s="7" t="n">
        <v>16.1</v>
      </c>
      <c r="G293" s="7" t="n">
        <f aca="false">G292+D293</f>
        <v>2268.7</v>
      </c>
      <c r="H293" s="36" t="n">
        <f aca="false">H292+D293</f>
        <v>203.2</v>
      </c>
      <c r="I293" s="7" t="n">
        <v>316</v>
      </c>
      <c r="J293" s="7" t="n">
        <v>0</v>
      </c>
      <c r="K293" s="7" t="n">
        <f aca="false">K292+J293</f>
        <v>445.4</v>
      </c>
      <c r="L293" s="7" t="n">
        <v>2.3</v>
      </c>
      <c r="M293" s="7" t="n">
        <f aca="false">M292+L293</f>
        <v>321</v>
      </c>
      <c r="N293" s="9" t="n">
        <v>-2.3</v>
      </c>
      <c r="O293" s="7" t="n">
        <f aca="false">O292+N293</f>
        <v>111.5</v>
      </c>
      <c r="P293" s="7" t="n">
        <v>249</v>
      </c>
      <c r="Q293" s="7" t="n">
        <v>1.15</v>
      </c>
      <c r="R293" s="10" t="n">
        <f aca="false">Q293*L293</f>
        <v>2.645</v>
      </c>
      <c r="S293" s="10" t="n">
        <f aca="false">J293-R293</f>
        <v>-2.645</v>
      </c>
      <c r="T293" s="10" t="n">
        <f aca="false">MIN(138.9,(T292+S293))</f>
        <v>106.625</v>
      </c>
      <c r="U293" s="10" t="n">
        <f aca="false">(U291*100)/138.9</f>
        <v>80.3917425736376</v>
      </c>
      <c r="V293" s="7" t="n">
        <v>1477.1</v>
      </c>
      <c r="W293" s="36"/>
      <c r="X293" s="36" t="n">
        <f aca="false">X292+V293</f>
        <v>183625.6</v>
      </c>
      <c r="Y293" s="36" t="n">
        <f aca="false">Y292+V293</f>
        <v>21406.5</v>
      </c>
      <c r="AA293" s="7" t="n">
        <v>15.1103297319513</v>
      </c>
    </row>
    <row r="294" s="7" customFormat="true" ht="15" hidden="false" customHeight="true" outlineLevel="0" collapsed="false">
      <c r="A294" s="62"/>
      <c r="B294" s="13"/>
      <c r="C294" s="8" t="n">
        <v>42140</v>
      </c>
      <c r="D294" s="7" t="n">
        <v>12.3</v>
      </c>
      <c r="E294" s="7" t="n">
        <v>8.2</v>
      </c>
      <c r="F294" s="7" t="n">
        <v>16.8</v>
      </c>
      <c r="G294" s="7" t="n">
        <f aca="false">G293+D294</f>
        <v>2281</v>
      </c>
      <c r="H294" s="36" t="n">
        <f aca="false">H293+D294</f>
        <v>215.5</v>
      </c>
      <c r="J294" s="7" t="n">
        <v>0</v>
      </c>
      <c r="K294" s="7" t="n">
        <f aca="false">K293+J294</f>
        <v>445.4</v>
      </c>
      <c r="L294" s="7" t="n">
        <v>1.8</v>
      </c>
      <c r="M294" s="7" t="n">
        <f aca="false">M293+L294</f>
        <v>322.8</v>
      </c>
      <c r="N294" s="9" t="n">
        <v>-1.8</v>
      </c>
      <c r="O294" s="7" t="n">
        <f aca="false">O293+N294</f>
        <v>109.7</v>
      </c>
      <c r="P294" s="7" t="n">
        <v>250</v>
      </c>
      <c r="Q294" s="7" t="n">
        <v>1.15</v>
      </c>
      <c r="R294" s="10" t="n">
        <f aca="false">Q294*L294</f>
        <v>2.07</v>
      </c>
      <c r="S294" s="10" t="n">
        <f aca="false">J294-R294</f>
        <v>-2.07</v>
      </c>
      <c r="T294" s="10" t="n">
        <f aca="false">MIN(138.9,(T293+S294))</f>
        <v>104.555</v>
      </c>
      <c r="U294" s="37"/>
      <c r="V294" s="7" t="n">
        <v>1099.2</v>
      </c>
      <c r="X294" s="7" t="n">
        <f aca="false">X293+V294</f>
        <v>184724.8</v>
      </c>
      <c r="Y294" s="36" t="n">
        <f aca="false">Y293+V294</f>
        <v>22505.7</v>
      </c>
      <c r="AA294" s="7" t="n">
        <v>15.1517854506599</v>
      </c>
    </row>
    <row r="295" s="7" customFormat="true" ht="15" hidden="false" customHeight="false" outlineLevel="0" collapsed="false">
      <c r="A295" s="62"/>
      <c r="B295" s="13"/>
      <c r="C295" s="8" t="n">
        <v>42141</v>
      </c>
      <c r="D295" s="7" t="n">
        <v>13</v>
      </c>
      <c r="E295" s="7" t="n">
        <v>8.1</v>
      </c>
      <c r="F295" s="7" t="n">
        <v>18.8</v>
      </c>
      <c r="G295" s="7" t="n">
        <f aca="false">G294+D295</f>
        <v>2294</v>
      </c>
      <c r="H295" s="36" t="n">
        <f aca="false">H294+D295</f>
        <v>228.5</v>
      </c>
      <c r="J295" s="7" t="n">
        <v>0</v>
      </c>
      <c r="K295" s="7" t="n">
        <f aca="false">K294+J295</f>
        <v>445.4</v>
      </c>
      <c r="L295" s="7" t="n">
        <v>4.3</v>
      </c>
      <c r="M295" s="7" t="n">
        <f aca="false">M294+L295</f>
        <v>327.1</v>
      </c>
      <c r="N295" s="9" t="n">
        <v>-4.3</v>
      </c>
      <c r="O295" s="7" t="n">
        <f aca="false">O294+N295</f>
        <v>105.4</v>
      </c>
      <c r="P295" s="7" t="n">
        <v>251</v>
      </c>
      <c r="Q295" s="7" t="n">
        <v>1.15</v>
      </c>
      <c r="R295" s="10" t="n">
        <f aca="false">Q295*L295</f>
        <v>4.945</v>
      </c>
      <c r="S295" s="10" t="n">
        <f aca="false">J295-R295</f>
        <v>-4.945</v>
      </c>
      <c r="T295" s="10" t="n">
        <f aca="false">MIN(138.9,(T294+S295))</f>
        <v>99.61</v>
      </c>
      <c r="V295" s="7" t="n">
        <v>2601.7</v>
      </c>
      <c r="X295" s="7" t="n">
        <f aca="false">X294+V295</f>
        <v>187326.5</v>
      </c>
      <c r="Y295" s="36" t="n">
        <f aca="false">Y294+V295</f>
        <v>25107.4</v>
      </c>
      <c r="AA295" s="7" t="n">
        <v>15.1924893890517</v>
      </c>
    </row>
    <row r="296" s="7" customFormat="true" ht="15" hidden="false" customHeight="false" outlineLevel="0" collapsed="false">
      <c r="A296" s="62"/>
      <c r="B296" s="13"/>
      <c r="C296" s="8" t="n">
        <v>42142</v>
      </c>
      <c r="D296" s="7" t="n">
        <v>13.4</v>
      </c>
      <c r="E296" s="7" t="n">
        <v>6.8</v>
      </c>
      <c r="F296" s="7" t="n">
        <v>20.3</v>
      </c>
      <c r="G296" s="7" t="n">
        <f aca="false">G295+D296</f>
        <v>2307.4</v>
      </c>
      <c r="H296" s="36" t="n">
        <f aca="false">H295+D296</f>
        <v>241.9</v>
      </c>
      <c r="J296" s="7" t="n">
        <v>0.3</v>
      </c>
      <c r="K296" s="7" t="n">
        <f aca="false">K295+J296</f>
        <v>445.7</v>
      </c>
      <c r="L296" s="7" t="n">
        <v>3.3</v>
      </c>
      <c r="M296" s="7" t="n">
        <f aca="false">M295+L296</f>
        <v>330.4</v>
      </c>
      <c r="N296" s="9" t="n">
        <v>-3</v>
      </c>
      <c r="O296" s="7" t="n">
        <f aca="false">O295+N296</f>
        <v>102.4</v>
      </c>
      <c r="P296" s="7" t="n">
        <v>252</v>
      </c>
      <c r="Q296" s="7" t="n">
        <v>1.15</v>
      </c>
      <c r="R296" s="10" t="n">
        <f aca="false">Q296*L296</f>
        <v>3.795</v>
      </c>
      <c r="S296" s="10" t="n">
        <f aca="false">J296-R296</f>
        <v>-3.495</v>
      </c>
      <c r="T296" s="10" t="n">
        <f aca="false">MIN(138.9,(T295+S296))</f>
        <v>96.115</v>
      </c>
      <c r="V296" s="7" t="n">
        <v>1899.7</v>
      </c>
      <c r="X296" s="7" t="n">
        <f aca="false">X295+V296</f>
        <v>189226.2</v>
      </c>
      <c r="Y296" s="36" t="n">
        <f aca="false">Y295+V296</f>
        <v>27007.1</v>
      </c>
      <c r="AA296" s="7" t="n">
        <v>15.2324173907634</v>
      </c>
    </row>
    <row r="297" s="7" customFormat="true" ht="15" hidden="false" customHeight="false" outlineLevel="0" collapsed="false">
      <c r="A297" s="62"/>
      <c r="B297" s="13"/>
      <c r="C297" s="8" t="n">
        <v>42143</v>
      </c>
      <c r="D297" s="7" t="n">
        <v>10</v>
      </c>
      <c r="E297" s="7" t="n">
        <v>8.4</v>
      </c>
      <c r="F297" s="7" t="n">
        <v>14.7</v>
      </c>
      <c r="G297" s="7" t="n">
        <f aca="false">G296+D297</f>
        <v>2317.4</v>
      </c>
      <c r="H297" s="36" t="n">
        <f aca="false">H296+D297</f>
        <v>251.9</v>
      </c>
      <c r="J297" s="7" t="n">
        <v>1.7</v>
      </c>
      <c r="K297" s="7" t="n">
        <f aca="false">K296+J297</f>
        <v>447.4</v>
      </c>
      <c r="L297" s="7" t="n">
        <v>3.4</v>
      </c>
      <c r="M297" s="7" t="n">
        <f aca="false">M296+L297</f>
        <v>333.8</v>
      </c>
      <c r="N297" s="9" t="n">
        <v>-1.7</v>
      </c>
      <c r="O297" s="7" t="n">
        <f aca="false">O296+N297</f>
        <v>100.7</v>
      </c>
      <c r="P297" s="7" t="n">
        <v>253</v>
      </c>
      <c r="Q297" s="7" t="n">
        <v>1.15</v>
      </c>
      <c r="R297" s="10" t="n">
        <f aca="false">Q297*L297</f>
        <v>3.91</v>
      </c>
      <c r="S297" s="10" t="n">
        <f aca="false">J297-R297</f>
        <v>-2.21</v>
      </c>
      <c r="T297" s="10" t="n">
        <f aca="false">MIN(138.9,(T296+S297))</f>
        <v>93.905</v>
      </c>
      <c r="V297" s="7" t="n">
        <v>2031.2</v>
      </c>
      <c r="X297" s="7" t="n">
        <f aca="false">X296+V297</f>
        <v>191257.4</v>
      </c>
      <c r="Y297" s="36" t="n">
        <f aca="false">Y296+V297</f>
        <v>29038.3</v>
      </c>
      <c r="AA297" s="7" t="n">
        <v>15.2715450923428</v>
      </c>
    </row>
    <row r="298" s="7" customFormat="true" ht="15" hidden="false" customHeight="false" outlineLevel="0" collapsed="false">
      <c r="A298" s="62"/>
      <c r="B298" s="13"/>
      <c r="C298" s="8" t="n">
        <v>42144</v>
      </c>
      <c r="D298" s="7" t="n">
        <v>8.7</v>
      </c>
      <c r="E298" s="7" t="n">
        <v>5.4</v>
      </c>
      <c r="F298" s="7" t="n">
        <v>12.7</v>
      </c>
      <c r="G298" s="7" t="n">
        <f aca="false">G297+D298</f>
        <v>2326.1</v>
      </c>
      <c r="H298" s="36" t="n">
        <f aca="false">H297+D298</f>
        <v>260.6</v>
      </c>
      <c r="J298" s="7" t="n">
        <v>1.9</v>
      </c>
      <c r="K298" s="7" t="n">
        <f aca="false">K297+J298</f>
        <v>449.3</v>
      </c>
      <c r="L298" s="7" t="n">
        <v>1.6</v>
      </c>
      <c r="M298" s="7" t="n">
        <f aca="false">M297+L298</f>
        <v>335.4</v>
      </c>
      <c r="N298" s="7" t="n">
        <v>0.3</v>
      </c>
      <c r="O298" s="7" t="n">
        <f aca="false">O297+N298</f>
        <v>101</v>
      </c>
      <c r="P298" s="7" t="n">
        <v>254</v>
      </c>
      <c r="Q298" s="7" t="n">
        <v>1.15</v>
      </c>
      <c r="R298" s="10" t="n">
        <f aca="false">Q298*L298</f>
        <v>1.84</v>
      </c>
      <c r="S298" s="10" t="n">
        <f aca="false">J298-R298</f>
        <v>0.0600000000000001</v>
      </c>
      <c r="T298" s="10" t="n">
        <f aca="false">MIN(138.9,(T297+S298))</f>
        <v>93.9650000000001</v>
      </c>
      <c r="V298" s="7" t="n">
        <v>1147.4</v>
      </c>
      <c r="X298" s="7" t="n">
        <f aca="false">X297+V298</f>
        <v>192404.8</v>
      </c>
      <c r="Y298" s="36" t="n">
        <f aca="false">Y297+V298</f>
        <v>30185.7</v>
      </c>
      <c r="AA298" s="7" t="n">
        <v>15.3098479616944</v>
      </c>
    </row>
    <row r="299" s="7" customFormat="true" ht="15" hidden="false" customHeight="false" outlineLevel="0" collapsed="false">
      <c r="A299" s="62"/>
      <c r="B299" s="13"/>
      <c r="C299" s="8" t="n">
        <v>42145</v>
      </c>
      <c r="D299" s="7" t="n">
        <v>11</v>
      </c>
      <c r="E299" s="7" t="n">
        <v>4.4</v>
      </c>
      <c r="F299" s="7" t="n">
        <v>17.2</v>
      </c>
      <c r="G299" s="7" t="n">
        <f aca="false">G298+D299</f>
        <v>2337.1</v>
      </c>
      <c r="H299" s="36" t="n">
        <f aca="false">H298+D299</f>
        <v>271.6</v>
      </c>
      <c r="J299" s="7" t="n">
        <v>0</v>
      </c>
      <c r="K299" s="7" t="n">
        <f aca="false">K298+J299</f>
        <v>449.3</v>
      </c>
      <c r="L299" s="7" t="n">
        <v>2.8</v>
      </c>
      <c r="M299" s="7" t="n">
        <f aca="false">M298+L299</f>
        <v>338.2</v>
      </c>
      <c r="N299" s="9" t="n">
        <v>-2.8</v>
      </c>
      <c r="O299" s="7" t="n">
        <f aca="false">O298+N299</f>
        <v>98.2</v>
      </c>
      <c r="P299" s="7" t="n">
        <v>255</v>
      </c>
      <c r="Q299" s="7" t="n">
        <v>1.15</v>
      </c>
      <c r="R299" s="10" t="n">
        <f aca="false">Q299*L299</f>
        <v>3.22</v>
      </c>
      <c r="S299" s="10" t="n">
        <f aca="false">J299-R299</f>
        <v>-3.22</v>
      </c>
      <c r="T299" s="10" t="n">
        <f aca="false">MIN(138.9,(T298+S299))</f>
        <v>90.7450000000001</v>
      </c>
      <c r="V299" s="7" t="n">
        <v>1882.5</v>
      </c>
      <c r="X299" s="7" t="n">
        <f aca="false">X298+V299</f>
        <v>194287.3</v>
      </c>
      <c r="Y299" s="36" t="n">
        <f aca="false">Y298+V299</f>
        <v>32068.2</v>
      </c>
      <c r="AA299" s="7" t="n">
        <v>15.347301339131</v>
      </c>
    </row>
    <row r="300" s="7" customFormat="true" ht="15" hidden="false" customHeight="false" outlineLevel="0" collapsed="false">
      <c r="A300" s="62"/>
      <c r="B300" s="13"/>
      <c r="C300" s="8" t="n">
        <v>42146</v>
      </c>
      <c r="D300" s="7" t="n">
        <v>13</v>
      </c>
      <c r="E300" s="7" t="n">
        <v>5.8</v>
      </c>
      <c r="F300" s="7" t="n">
        <v>18.6</v>
      </c>
      <c r="G300" s="7" t="n">
        <f aca="false">G299+D300</f>
        <v>2350.1</v>
      </c>
      <c r="H300" s="36" t="n">
        <f aca="false">H299+D300</f>
        <v>284.6</v>
      </c>
      <c r="J300" s="7" t="n">
        <v>0</v>
      </c>
      <c r="K300" s="7" t="n">
        <f aca="false">K299+J300</f>
        <v>449.3</v>
      </c>
      <c r="L300" s="7" t="n">
        <v>2.7</v>
      </c>
      <c r="M300" s="7" t="n">
        <f aca="false">M299+L300</f>
        <v>340.9</v>
      </c>
      <c r="N300" s="9" t="n">
        <v>-2.7</v>
      </c>
      <c r="O300" s="7" t="n">
        <f aca="false">O299+N300</f>
        <v>95.5</v>
      </c>
      <c r="P300" s="7" t="n">
        <v>256</v>
      </c>
      <c r="Q300" s="7" t="n">
        <v>1.15</v>
      </c>
      <c r="R300" s="10" t="n">
        <f aca="false">Q300*L300</f>
        <v>3.105</v>
      </c>
      <c r="S300" s="10" t="n">
        <f aca="false">J300-R300</f>
        <v>-3.105</v>
      </c>
      <c r="T300" s="10" t="n">
        <f aca="false">MIN(138.9,(T299+S300))</f>
        <v>87.64</v>
      </c>
      <c r="V300" s="7" t="n">
        <v>1747.5</v>
      </c>
      <c r="X300" s="7" t="n">
        <f aca="false">X299+V300</f>
        <v>196034.8</v>
      </c>
      <c r="Y300" s="36" t="n">
        <f aca="false">Y299+V300</f>
        <v>33815.7</v>
      </c>
      <c r="AA300" s="7" t="n">
        <v>15.3838804809943</v>
      </c>
    </row>
    <row r="301" s="36" customFormat="true" ht="15" hidden="false" customHeight="false" outlineLevel="0" collapsed="false">
      <c r="A301" s="62"/>
      <c r="B301" s="52" t="n">
        <v>300</v>
      </c>
      <c r="C301" s="53" t="n">
        <v>42147</v>
      </c>
      <c r="D301" s="36" t="n">
        <v>15.3</v>
      </c>
      <c r="E301" s="36" t="n">
        <v>9.4</v>
      </c>
      <c r="F301" s="36" t="n">
        <v>19.9</v>
      </c>
      <c r="G301" s="36" t="n">
        <f aca="false">G300+D301</f>
        <v>2365.4</v>
      </c>
      <c r="H301" s="36" t="n">
        <f aca="false">H300+D301</f>
        <v>299.9</v>
      </c>
      <c r="J301" s="36" t="n">
        <v>0</v>
      </c>
      <c r="K301" s="36" t="n">
        <f aca="false">K300+J301</f>
        <v>449.3</v>
      </c>
      <c r="L301" s="36" t="n">
        <v>2.5</v>
      </c>
      <c r="M301" s="36" t="n">
        <f aca="false">M300+L301</f>
        <v>343.4</v>
      </c>
      <c r="N301" s="54" t="n">
        <v>-2.5</v>
      </c>
      <c r="O301" s="36" t="n">
        <f aca="false">O300+N301</f>
        <v>93</v>
      </c>
      <c r="P301" s="36" t="n">
        <v>257</v>
      </c>
      <c r="Q301" s="36" t="n">
        <v>1.15</v>
      </c>
      <c r="R301" s="55" t="n">
        <f aca="false">Q301*L301</f>
        <v>2.875</v>
      </c>
      <c r="S301" s="55" t="n">
        <f aca="false">J301-R301</f>
        <v>-2.875</v>
      </c>
      <c r="T301" s="10" t="n">
        <f aca="false">MIN(138.9,(T300+S301))</f>
        <v>84.765</v>
      </c>
      <c r="V301" s="36" t="n">
        <v>1448.6</v>
      </c>
      <c r="X301" s="36" t="n">
        <f aca="false">X300+V301</f>
        <v>197483.4</v>
      </c>
      <c r="Y301" s="36" t="n">
        <f aca="false">Y300+V301</f>
        <v>35264.3</v>
      </c>
      <c r="AA301" s="36" t="n">
        <v>15.4195606057882</v>
      </c>
    </row>
    <row r="302" s="65" customFormat="true" ht="15" hidden="false" customHeight="true" outlineLevel="0" collapsed="false">
      <c r="A302" s="62"/>
      <c r="B302" s="61"/>
      <c r="C302" s="64" t="n">
        <v>42148</v>
      </c>
      <c r="D302" s="65" t="n">
        <v>16.1</v>
      </c>
      <c r="E302" s="65" t="n">
        <v>11.5</v>
      </c>
      <c r="F302" s="65" t="n">
        <v>20.1</v>
      </c>
      <c r="G302" s="65" t="n">
        <f aca="false">G301+D302</f>
        <v>2381.5</v>
      </c>
      <c r="H302" s="66" t="n">
        <f aca="false">H301+D302</f>
        <v>316</v>
      </c>
      <c r="J302" s="65" t="n">
        <v>0.2</v>
      </c>
      <c r="K302" s="65" t="n">
        <f aca="false">K301+J302</f>
        <v>449.5</v>
      </c>
      <c r="L302" s="65" t="n">
        <v>3.1</v>
      </c>
      <c r="M302" s="65" t="n">
        <f aca="false">M301+L302</f>
        <v>346.5</v>
      </c>
      <c r="N302" s="67" t="n">
        <v>-2.9</v>
      </c>
      <c r="O302" s="65" t="n">
        <f aca="false">O301+N302</f>
        <v>90.1</v>
      </c>
      <c r="P302" s="65" t="n">
        <v>258</v>
      </c>
      <c r="Q302" s="68" t="n">
        <v>1.15</v>
      </c>
      <c r="R302" s="69" t="n">
        <f aca="false">Q302*L302</f>
        <v>3.565</v>
      </c>
      <c r="S302" s="69" t="n">
        <f aca="false">J302-R302</f>
        <v>-3.365</v>
      </c>
      <c r="T302" s="69" t="n">
        <f aca="false">MIN(138.9,(T301+S302))</f>
        <v>81.4000000000001</v>
      </c>
      <c r="V302" s="65" t="n">
        <v>1781.7</v>
      </c>
      <c r="X302" s="65" t="n">
        <f aca="false">X301+V302</f>
        <v>199265.1</v>
      </c>
      <c r="Y302" s="66" t="n">
        <f aca="false">Y301+V302</f>
        <v>37046</v>
      </c>
      <c r="AA302" s="65" t="n">
        <v>15.4543169427477</v>
      </c>
    </row>
    <row r="303" s="7" customFormat="true" ht="15" hidden="false" customHeight="false" outlineLevel="0" collapsed="false">
      <c r="A303" s="70" t="n">
        <v>600</v>
      </c>
      <c r="B303" s="13"/>
      <c r="C303" s="8" t="n">
        <v>42149</v>
      </c>
      <c r="D303" s="7" t="n">
        <v>15.6</v>
      </c>
      <c r="E303" s="7" t="n">
        <v>13.8</v>
      </c>
      <c r="F303" s="7" t="n">
        <v>18.8</v>
      </c>
      <c r="G303" s="7" t="n">
        <f aca="false">G302+D303</f>
        <v>2397.1</v>
      </c>
      <c r="H303" s="36" t="n">
        <f aca="false">D303</f>
        <v>15.6</v>
      </c>
      <c r="I303" s="45" t="s">
        <v>28</v>
      </c>
      <c r="J303" s="7" t="n">
        <v>0</v>
      </c>
      <c r="K303" s="7" t="n">
        <f aca="false">K302+J303</f>
        <v>449.5</v>
      </c>
      <c r="L303" s="7" t="n">
        <v>2.5</v>
      </c>
      <c r="M303" s="7" t="n">
        <f aca="false">M302+L303</f>
        <v>349</v>
      </c>
      <c r="N303" s="9" t="n">
        <v>-2.5</v>
      </c>
      <c r="O303" s="7" t="n">
        <f aca="false">O302+N303</f>
        <v>87.6</v>
      </c>
      <c r="P303" s="7" t="n">
        <v>259</v>
      </c>
      <c r="Q303" s="15" t="n">
        <f aca="false">1.15+((P303-258)/43)*(0.35-1.15)</f>
        <v>1.13139534883721</v>
      </c>
      <c r="R303" s="10" t="n">
        <f aca="false">Q303*L303</f>
        <v>2.82848837209302</v>
      </c>
      <c r="S303" s="10" t="n">
        <f aca="false">J303-R303</f>
        <v>-2.82848837209302</v>
      </c>
      <c r="T303" s="10" t="n">
        <f aca="false">MIN(138.9,(T302+S303))</f>
        <v>78.571511627907</v>
      </c>
      <c r="U303" s="45" t="s">
        <v>29</v>
      </c>
      <c r="V303" s="7" t="n">
        <v>1330.7</v>
      </c>
      <c r="X303" s="7" t="n">
        <f aca="false">X302+V303</f>
        <v>200595.8</v>
      </c>
      <c r="Y303" s="36" t="n">
        <f aca="false">V303</f>
        <v>1330.7</v>
      </c>
      <c r="Z303" s="45" t="s">
        <v>30</v>
      </c>
      <c r="AA303" s="7" t="n">
        <v>15.4881247827429</v>
      </c>
    </row>
    <row r="304" s="7" customFormat="true" ht="15" hidden="false" customHeight="false" outlineLevel="0" collapsed="false">
      <c r="A304" s="70"/>
      <c r="B304" s="13"/>
      <c r="C304" s="8" t="n">
        <v>42150</v>
      </c>
      <c r="D304" s="7" t="n">
        <v>13.1</v>
      </c>
      <c r="E304" s="7" t="n">
        <v>10.1</v>
      </c>
      <c r="F304" s="7" t="n">
        <v>16.7</v>
      </c>
      <c r="G304" s="7" t="n">
        <f aca="false">G303+D304</f>
        <v>2410.2</v>
      </c>
      <c r="H304" s="36" t="n">
        <f aca="false">H303+D304</f>
        <v>28.7</v>
      </c>
      <c r="I304" s="7" t="n">
        <f aca="false">MIN(E303:E320)</f>
        <v>7.1</v>
      </c>
      <c r="J304" s="7" t="n">
        <v>0</v>
      </c>
      <c r="K304" s="7" t="n">
        <f aca="false">K303+J304</f>
        <v>449.5</v>
      </c>
      <c r="L304" s="7" t="n">
        <v>3.1</v>
      </c>
      <c r="M304" s="7" t="n">
        <f aca="false">M303+L304</f>
        <v>352.1</v>
      </c>
      <c r="N304" s="9" t="n">
        <v>-3.1</v>
      </c>
      <c r="O304" s="7" t="n">
        <f aca="false">O303+N304</f>
        <v>84.5</v>
      </c>
      <c r="P304" s="7" t="n">
        <v>260</v>
      </c>
      <c r="Q304" s="15" t="n">
        <f aca="false">1.15+((P304-258)/43)*(0.35-1.15)</f>
        <v>1.11279069767442</v>
      </c>
      <c r="R304" s="10" t="n">
        <f aca="false">Q304*L304</f>
        <v>3.4496511627907</v>
      </c>
      <c r="S304" s="10" t="n">
        <f aca="false">J304-R304</f>
        <v>-3.4496511627907</v>
      </c>
      <c r="T304" s="10" t="n">
        <f aca="false">MIN(138.9,(T303+S304))</f>
        <v>75.1218604651163</v>
      </c>
      <c r="U304" s="7" t="n">
        <v>17</v>
      </c>
      <c r="V304" s="7" t="n">
        <v>1947.7</v>
      </c>
      <c r="X304" s="7" t="n">
        <f aca="false">X303+V304</f>
        <v>202543.5</v>
      </c>
      <c r="Y304" s="36" t="n">
        <f aca="false">Y303+V304</f>
        <v>3278.4</v>
      </c>
      <c r="Z304" s="7" t="n">
        <v>33174.4</v>
      </c>
      <c r="AA304" s="7" t="n">
        <v>15.5209595313988</v>
      </c>
    </row>
    <row r="305" s="7" customFormat="true" ht="15" hidden="false" customHeight="false" outlineLevel="0" collapsed="false">
      <c r="A305" s="70"/>
      <c r="B305" s="13"/>
      <c r="C305" s="8" t="n">
        <v>42151</v>
      </c>
      <c r="D305" s="7" t="n">
        <v>14.8</v>
      </c>
      <c r="E305" s="7" t="n">
        <v>7.1</v>
      </c>
      <c r="F305" s="7" t="n">
        <v>21.4</v>
      </c>
      <c r="G305" s="7" t="n">
        <f aca="false">G304+D305</f>
        <v>2425</v>
      </c>
      <c r="H305" s="36" t="n">
        <f aca="false">H304+D305</f>
        <v>43.5</v>
      </c>
      <c r="I305" s="45" t="s">
        <v>31</v>
      </c>
      <c r="J305" s="7" t="n">
        <v>0</v>
      </c>
      <c r="K305" s="7" t="n">
        <f aca="false">K304+J305</f>
        <v>449.5</v>
      </c>
      <c r="L305" s="7" t="n">
        <v>2.5</v>
      </c>
      <c r="M305" s="7" t="n">
        <f aca="false">M304+L305</f>
        <v>354.6</v>
      </c>
      <c r="N305" s="9" t="n">
        <v>-2.5</v>
      </c>
      <c r="O305" s="7" t="n">
        <f aca="false">O304+N305</f>
        <v>82</v>
      </c>
      <c r="P305" s="7" t="n">
        <v>261</v>
      </c>
      <c r="Q305" s="15" t="n">
        <f aca="false">1.15+((P305-258)/43)*(0.35-1.15)</f>
        <v>1.09418604651163</v>
      </c>
      <c r="R305" s="10" t="n">
        <f aca="false">Q305*L305</f>
        <v>2.73546511627907</v>
      </c>
      <c r="S305" s="10" t="n">
        <f aca="false">J305-R305</f>
        <v>-2.73546511627907</v>
      </c>
      <c r="T305" s="10" t="n">
        <f aca="false">MIN(138.9,(T304+S305))</f>
        <v>72.3863953488373</v>
      </c>
      <c r="U305" s="45" t="s">
        <v>32</v>
      </c>
      <c r="V305" s="7" t="n">
        <v>1588.4</v>
      </c>
      <c r="X305" s="7" t="n">
        <f aca="false">X304+V305</f>
        <v>204131.9</v>
      </c>
      <c r="Y305" s="36" t="n">
        <f aca="false">Y304+V305</f>
        <v>4866.8</v>
      </c>
      <c r="Z305" s="45" t="s">
        <v>33</v>
      </c>
      <c r="AA305" s="7" t="n">
        <v>15.5527967642831</v>
      </c>
    </row>
    <row r="306" s="7" customFormat="true" ht="15" hidden="false" customHeight="false" outlineLevel="0" collapsed="false">
      <c r="A306" s="70"/>
      <c r="B306" s="13"/>
      <c r="C306" s="8" t="n">
        <v>42152</v>
      </c>
      <c r="D306" s="7" t="n">
        <v>15</v>
      </c>
      <c r="E306" s="7" t="n">
        <v>9</v>
      </c>
      <c r="F306" s="7" t="n">
        <v>20.1</v>
      </c>
      <c r="G306" s="7" t="n">
        <f aca="false">G305+D306</f>
        <v>2440</v>
      </c>
      <c r="H306" s="36" t="n">
        <f aca="false">H305+D306</f>
        <v>58.5</v>
      </c>
      <c r="I306" s="7" t="n">
        <f aca="false">MAX(F303:F320)</f>
        <v>31.6</v>
      </c>
      <c r="J306" s="7" t="n">
        <v>0.4</v>
      </c>
      <c r="K306" s="7" t="n">
        <f aca="false">K305+J306</f>
        <v>449.9</v>
      </c>
      <c r="L306" s="7" t="n">
        <v>3.8</v>
      </c>
      <c r="M306" s="7" t="n">
        <f aca="false">M305+L306</f>
        <v>358.4</v>
      </c>
      <c r="N306" s="9" t="n">
        <v>-3.4</v>
      </c>
      <c r="O306" s="7" t="n">
        <f aca="false">O305+N306</f>
        <v>78.6</v>
      </c>
      <c r="P306" s="7" t="n">
        <v>262</v>
      </c>
      <c r="Q306" s="15" t="n">
        <f aca="false">1.15+((P306-258)/43)*(0.35-1.15)</f>
        <v>1.07558139534884</v>
      </c>
      <c r="R306" s="10" t="n">
        <f aca="false">Q306*L306</f>
        <v>4.08720930232558</v>
      </c>
      <c r="S306" s="10" t="n">
        <f aca="false">J306-R306</f>
        <v>-3.68720930232558</v>
      </c>
      <c r="T306" s="10" t="n">
        <f aca="false">MIN(138.9,(T305+S306))</f>
        <v>68.6991860465117</v>
      </c>
      <c r="U306" s="7" t="n">
        <v>0</v>
      </c>
      <c r="V306" s="7" t="n">
        <v>2241.7</v>
      </c>
      <c r="X306" s="7" t="n">
        <f aca="false">X305+V306</f>
        <v>206373.6</v>
      </c>
      <c r="Y306" s="36" t="n">
        <f aca="false">Y305+V306</f>
        <v>7108.5</v>
      </c>
      <c r="Z306" s="15" t="n">
        <f aca="false">(Z304/100)/I316</f>
        <v>1.08590507364975</v>
      </c>
      <c r="AA306" s="7" t="n">
        <v>15.5836122839953</v>
      </c>
    </row>
    <row r="307" s="7" customFormat="true" ht="15" hidden="false" customHeight="false" outlineLevel="0" collapsed="false">
      <c r="A307" s="70"/>
      <c r="B307" s="13"/>
      <c r="C307" s="8" t="n">
        <v>42153</v>
      </c>
      <c r="D307" s="7" t="n">
        <v>15.6</v>
      </c>
      <c r="E307" s="7" t="n">
        <v>11.7</v>
      </c>
      <c r="F307" s="7" t="n">
        <v>19.1</v>
      </c>
      <c r="G307" s="7" t="n">
        <f aca="false">G306+D307</f>
        <v>2455.6</v>
      </c>
      <c r="H307" s="36" t="n">
        <f aca="false">H306+D307</f>
        <v>74.1</v>
      </c>
      <c r="I307" s="45" t="s">
        <v>34</v>
      </c>
      <c r="J307" s="7" t="n">
        <v>0</v>
      </c>
      <c r="K307" s="7" t="n">
        <f aca="false">K306+J307</f>
        <v>449.9</v>
      </c>
      <c r="L307" s="7" t="n">
        <v>4.4</v>
      </c>
      <c r="M307" s="7" t="n">
        <f aca="false">M306+L307</f>
        <v>362.8</v>
      </c>
      <c r="N307" s="9" t="n">
        <v>-4.4</v>
      </c>
      <c r="O307" s="7" t="n">
        <f aca="false">O306+N307</f>
        <v>74.2</v>
      </c>
      <c r="P307" s="7" t="n">
        <v>263</v>
      </c>
      <c r="Q307" s="15" t="n">
        <f aca="false">1.15+((P307-258)/43)*(0.35-1.15)</f>
        <v>1.05697674418605</v>
      </c>
      <c r="R307" s="10" t="n">
        <f aca="false">Q307*L307</f>
        <v>4.65069767441861</v>
      </c>
      <c r="S307" s="10" t="n">
        <f aca="false">J307-R307</f>
        <v>-4.65069767441861</v>
      </c>
      <c r="T307" s="10" t="n">
        <f aca="false">MIN(138.9,(T306+S307))</f>
        <v>64.0484883720931</v>
      </c>
      <c r="U307" s="45" t="s">
        <v>35</v>
      </c>
      <c r="V307" s="7" t="n">
        <v>2266.4</v>
      </c>
      <c r="X307" s="7" t="n">
        <f aca="false">X306+V307</f>
        <v>208640</v>
      </c>
      <c r="Y307" s="36" t="n">
        <f aca="false">Y306+V307</f>
        <v>9374.9</v>
      </c>
      <c r="Z307" s="45" t="s">
        <v>36</v>
      </c>
      <c r="AA307" s="7" t="n">
        <v>15.6133821789622</v>
      </c>
    </row>
    <row r="308" s="7" customFormat="true" ht="15" hidden="false" customHeight="false" outlineLevel="0" collapsed="false">
      <c r="A308" s="70"/>
      <c r="B308" s="13"/>
      <c r="C308" s="8" t="n">
        <v>42154</v>
      </c>
      <c r="D308" s="7" t="n">
        <v>15.7</v>
      </c>
      <c r="E308" s="7" t="n">
        <v>13.2</v>
      </c>
      <c r="F308" s="7" t="n">
        <v>19.3</v>
      </c>
      <c r="G308" s="7" t="n">
        <f aca="false">G307+D308</f>
        <v>2471.3</v>
      </c>
      <c r="H308" s="36" t="n">
        <f aca="false">H307+D308</f>
        <v>89.8</v>
      </c>
      <c r="I308" s="10" t="n">
        <f aca="false">AVERAGE(D303:D320)</f>
        <v>16.9722222222222</v>
      </c>
      <c r="J308" s="7" t="n">
        <v>0</v>
      </c>
      <c r="K308" s="7" t="n">
        <f aca="false">K307+J308</f>
        <v>449.9</v>
      </c>
      <c r="L308" s="7" t="n">
        <v>3.2</v>
      </c>
      <c r="M308" s="7" t="n">
        <f aca="false">M307+L308</f>
        <v>366</v>
      </c>
      <c r="N308" s="9" t="n">
        <v>-3.2</v>
      </c>
      <c r="O308" s="7" t="n">
        <f aca="false">O307+N308</f>
        <v>71</v>
      </c>
      <c r="P308" s="7" t="n">
        <v>264</v>
      </c>
      <c r="Q308" s="15" t="n">
        <f aca="false">1.15+((P308-258)/43)*(0.35-1.15)</f>
        <v>1.03837209302326</v>
      </c>
      <c r="R308" s="10" t="n">
        <f aca="false">Q308*L308</f>
        <v>3.32279069767442</v>
      </c>
      <c r="S308" s="10" t="n">
        <f aca="false">J308-R308</f>
        <v>-3.32279069767442</v>
      </c>
      <c r="T308" s="10" t="n">
        <f aca="false">MIN(138.9,(T307+S308))</f>
        <v>60.7256976744186</v>
      </c>
      <c r="U308" s="7" t="n">
        <v>7</v>
      </c>
      <c r="V308" s="7" t="n">
        <v>1711.6</v>
      </c>
      <c r="X308" s="7" t="n">
        <f aca="false">X307+V308</f>
        <v>210351.6</v>
      </c>
      <c r="Y308" s="36" t="n">
        <f aca="false">Y307+V308</f>
        <v>11086.5</v>
      </c>
      <c r="Z308" s="7" t="n">
        <v>2</v>
      </c>
      <c r="AA308" s="7" t="n">
        <v>15.6420828837236</v>
      </c>
    </row>
    <row r="309" s="7" customFormat="true" ht="15" hidden="false" customHeight="false" outlineLevel="0" collapsed="false">
      <c r="A309" s="70"/>
      <c r="B309" s="13"/>
      <c r="C309" s="8" t="n">
        <v>42155</v>
      </c>
      <c r="D309" s="7" t="n">
        <v>15</v>
      </c>
      <c r="E309" s="7" t="n">
        <v>11.4</v>
      </c>
      <c r="F309" s="7" t="n">
        <v>17.9</v>
      </c>
      <c r="G309" s="7" t="n">
        <f aca="false">G308+D309</f>
        <v>2486.3</v>
      </c>
      <c r="H309" s="36" t="n">
        <f aca="false">H308+D309</f>
        <v>104.8</v>
      </c>
      <c r="I309" s="45" t="s">
        <v>37</v>
      </c>
      <c r="J309" s="7" t="n">
        <v>1.7</v>
      </c>
      <c r="K309" s="7" t="n">
        <f aca="false">K308+J309</f>
        <v>451.6</v>
      </c>
      <c r="L309" s="7" t="n">
        <v>1.3</v>
      </c>
      <c r="M309" s="7" t="n">
        <f aca="false">M308+L309</f>
        <v>367.3</v>
      </c>
      <c r="N309" s="7" t="n">
        <v>0.4</v>
      </c>
      <c r="O309" s="7" t="n">
        <f aca="false">O308+N309</f>
        <v>71.4</v>
      </c>
      <c r="P309" s="7" t="n">
        <v>265</v>
      </c>
      <c r="Q309" s="15" t="n">
        <f aca="false">1.15+((P309-258)/43)*(0.35-1.15)</f>
        <v>1.01976744186047</v>
      </c>
      <c r="R309" s="10" t="n">
        <f aca="false">Q309*L309</f>
        <v>1.3256976744186</v>
      </c>
      <c r="S309" s="10" t="n">
        <f aca="false">J309-R309</f>
        <v>0.374302325581396</v>
      </c>
      <c r="T309" s="10" t="n">
        <f aca="false">MIN(138.9,(T308+S309))</f>
        <v>61.1</v>
      </c>
      <c r="U309" s="45" t="s">
        <v>38</v>
      </c>
      <c r="V309" s="7" t="n">
        <v>657.1</v>
      </c>
      <c r="X309" s="7" t="n">
        <f aca="false">X308+V309</f>
        <v>211008.7</v>
      </c>
      <c r="Y309" s="36" t="n">
        <f aca="false">Y308+V309</f>
        <v>11743.6</v>
      </c>
      <c r="AA309" s="7" t="n">
        <v>15.6696912404673</v>
      </c>
    </row>
    <row r="310" s="7" customFormat="true" ht="15" hidden="false" customHeight="false" outlineLevel="0" collapsed="false">
      <c r="A310" s="70"/>
      <c r="B310" s="13"/>
      <c r="C310" s="8" t="n">
        <v>42156</v>
      </c>
      <c r="D310" s="7" t="n">
        <v>13.9</v>
      </c>
      <c r="E310" s="7" t="n">
        <v>10.1</v>
      </c>
      <c r="F310" s="7" t="n">
        <v>18.6</v>
      </c>
      <c r="G310" s="7" t="n">
        <f aca="false">G309+D310</f>
        <v>2500.2</v>
      </c>
      <c r="H310" s="36" t="n">
        <f aca="false">H309+D310</f>
        <v>118.7</v>
      </c>
      <c r="I310" s="7" t="n">
        <v>0</v>
      </c>
      <c r="J310" s="7" t="n">
        <v>0</v>
      </c>
      <c r="K310" s="7" t="n">
        <f aca="false">K309+J310</f>
        <v>451.6</v>
      </c>
      <c r="L310" s="7" t="n">
        <v>2.6</v>
      </c>
      <c r="M310" s="7" t="n">
        <f aca="false">M309+L310</f>
        <v>369.9</v>
      </c>
      <c r="N310" s="9" t="n">
        <v>-2.6</v>
      </c>
      <c r="O310" s="7" t="n">
        <f aca="false">O309+N310</f>
        <v>68.8</v>
      </c>
      <c r="P310" s="7" t="n">
        <v>266</v>
      </c>
      <c r="Q310" s="15" t="n">
        <f aca="false">1.15+((P310-258)/43)*(0.35-1.15)</f>
        <v>1.00116279069767</v>
      </c>
      <c r="R310" s="10" t="n">
        <f aca="false">Q310*L310</f>
        <v>2.60302325581395</v>
      </c>
      <c r="S310" s="10" t="n">
        <f aca="false">J310-R310</f>
        <v>-2.60302325581395</v>
      </c>
      <c r="T310" s="10" t="n">
        <f aca="false">MIN(138.9,(T309+S310))</f>
        <v>58.4969767441861</v>
      </c>
      <c r="U310" s="10" t="n">
        <f aca="false">MIN(T303:T320)</f>
        <v>22.8951162790698</v>
      </c>
      <c r="V310" s="7" t="n">
        <v>1464.9</v>
      </c>
      <c r="X310" s="7" t="n">
        <f aca="false">X309+V310</f>
        <v>212473.6</v>
      </c>
      <c r="Y310" s="36" t="n">
        <f aca="false">Y309+V310</f>
        <v>13208.5</v>
      </c>
      <c r="AA310" s="7" t="n">
        <v>15.6961845615482</v>
      </c>
    </row>
    <row r="311" s="7" customFormat="true" ht="15" hidden="false" customHeight="false" outlineLevel="0" collapsed="false">
      <c r="A311" s="70"/>
      <c r="B311" s="13"/>
      <c r="C311" s="8" t="n">
        <v>42157</v>
      </c>
      <c r="D311" s="7" t="n">
        <v>17.9</v>
      </c>
      <c r="E311" s="7" t="n">
        <v>12.3</v>
      </c>
      <c r="F311" s="7" t="n">
        <v>22.6</v>
      </c>
      <c r="G311" s="7" t="n">
        <f aca="false">G310+D311</f>
        <v>2518.1</v>
      </c>
      <c r="H311" s="36" t="n">
        <f aca="false">H310+D311</f>
        <v>136.6</v>
      </c>
      <c r="I311" s="45" t="s">
        <v>39</v>
      </c>
      <c r="J311" s="7" t="n">
        <v>0</v>
      </c>
      <c r="K311" s="7" t="n">
        <f aca="false">K310+J311</f>
        <v>451.6</v>
      </c>
      <c r="L311" s="7" t="n">
        <v>4.9</v>
      </c>
      <c r="M311" s="7" t="n">
        <f aca="false">M310+L311</f>
        <v>374.8</v>
      </c>
      <c r="N311" s="9" t="n">
        <v>-4.9</v>
      </c>
      <c r="O311" s="7" t="n">
        <f aca="false">O310+N311</f>
        <v>63.9</v>
      </c>
      <c r="P311" s="7" t="n">
        <v>267</v>
      </c>
      <c r="Q311" s="15" t="n">
        <f aca="false">1.15+((P311-258)/43)*(0.35-1.15)</f>
        <v>0.982558139534884</v>
      </c>
      <c r="R311" s="10" t="n">
        <f aca="false">Q311*L311</f>
        <v>4.81453488372093</v>
      </c>
      <c r="S311" s="10" t="n">
        <f aca="false">J311-R311</f>
        <v>-4.81453488372093</v>
      </c>
      <c r="T311" s="10" t="n">
        <f aca="false">MIN(138.9,(T310+S311))</f>
        <v>53.6824418604652</v>
      </c>
      <c r="U311" s="45" t="s">
        <v>40</v>
      </c>
      <c r="V311" s="7" t="n">
        <v>2199.1</v>
      </c>
      <c r="X311" s="7" t="n">
        <f aca="false">X310+V311</f>
        <v>214672.7</v>
      </c>
      <c r="Y311" s="36" t="n">
        <f aca="false">Y310+V311</f>
        <v>15407.6</v>
      </c>
      <c r="AA311" s="7" t="n">
        <v>15.7215406927068</v>
      </c>
    </row>
    <row r="312" s="7" customFormat="true" ht="15" hidden="false" customHeight="false" outlineLevel="0" collapsed="false">
      <c r="A312" s="70"/>
      <c r="B312" s="13"/>
      <c r="C312" s="8" t="n">
        <v>42158</v>
      </c>
      <c r="D312" s="7" t="n">
        <v>18.1</v>
      </c>
      <c r="E312" s="7" t="n">
        <v>15.3</v>
      </c>
      <c r="F312" s="7" t="n">
        <v>23</v>
      </c>
      <c r="G312" s="7" t="n">
        <f aca="false">G311+D312</f>
        <v>2536.2</v>
      </c>
      <c r="H312" s="36" t="n">
        <f aca="false">H311+D312</f>
        <v>154.7</v>
      </c>
      <c r="I312" s="7" t="n">
        <v>3</v>
      </c>
      <c r="J312" s="7" t="n">
        <v>0</v>
      </c>
      <c r="K312" s="7" t="n">
        <f aca="false">K311+J312</f>
        <v>451.6</v>
      </c>
      <c r="L312" s="7" t="n">
        <v>1.8</v>
      </c>
      <c r="M312" s="7" t="n">
        <f aca="false">M311+L312</f>
        <v>376.6</v>
      </c>
      <c r="N312" s="9" t="n">
        <v>-1.8</v>
      </c>
      <c r="O312" s="7" t="n">
        <f aca="false">O311+N312</f>
        <v>62.1</v>
      </c>
      <c r="P312" s="7" t="n">
        <v>268</v>
      </c>
      <c r="Q312" s="15" t="n">
        <f aca="false">1.15+((P312-258)/43)*(0.35-1.15)</f>
        <v>0.963953488372093</v>
      </c>
      <c r="R312" s="10" t="n">
        <f aca="false">Q312*L312</f>
        <v>1.73511627906977</v>
      </c>
      <c r="S312" s="10" t="n">
        <f aca="false">J312-R312</f>
        <v>-1.73511627906977</v>
      </c>
      <c r="T312" s="10" t="n">
        <f aca="false">MIN(138.9,(T311+S312))</f>
        <v>51.9473255813954</v>
      </c>
      <c r="U312" s="10" t="n">
        <f aca="false">MAX(T303:T320)</f>
        <v>78.571511627907</v>
      </c>
      <c r="V312" s="7" t="n">
        <v>909.1</v>
      </c>
      <c r="X312" s="7" t="n">
        <f aca="false">X311+V312</f>
        <v>215581.8</v>
      </c>
      <c r="Y312" s="36" t="n">
        <f aca="false">Y311+V312</f>
        <v>16316.7</v>
      </c>
      <c r="AA312" s="7" t="n">
        <v>15.7457380766795</v>
      </c>
    </row>
    <row r="313" s="7" customFormat="true" ht="15" hidden="false" customHeight="false" outlineLevel="0" collapsed="false">
      <c r="A313" s="70"/>
      <c r="B313" s="13"/>
      <c r="C313" s="8" t="n">
        <v>42159</v>
      </c>
      <c r="D313" s="7" t="n">
        <v>21.4</v>
      </c>
      <c r="E313" s="7" t="n">
        <v>12.5</v>
      </c>
      <c r="F313" s="7" t="n">
        <v>30.1</v>
      </c>
      <c r="G313" s="7" t="n">
        <f aca="false">G312+D313</f>
        <v>2557.6</v>
      </c>
      <c r="H313" s="36" t="n">
        <f aca="false">H312+D313</f>
        <v>176.1</v>
      </c>
      <c r="I313" s="45" t="s">
        <v>41</v>
      </c>
      <c r="J313" s="7" t="n">
        <v>0</v>
      </c>
      <c r="K313" s="7" t="n">
        <f aca="false">K312+J313</f>
        <v>451.6</v>
      </c>
      <c r="L313" s="7" t="n">
        <v>5.9</v>
      </c>
      <c r="M313" s="7" t="n">
        <f aca="false">M312+L313</f>
        <v>382.5</v>
      </c>
      <c r="N313" s="9" t="n">
        <v>-5.9</v>
      </c>
      <c r="O313" s="7" t="n">
        <f aca="false">O312+N313</f>
        <v>56.2</v>
      </c>
      <c r="P313" s="7" t="n">
        <v>269</v>
      </c>
      <c r="Q313" s="15" t="n">
        <f aca="false">1.15+((P313-258)/43)*(0.35-1.15)</f>
        <v>0.945348837209302</v>
      </c>
      <c r="R313" s="10" t="n">
        <f aca="false">Q313*L313</f>
        <v>5.57755813953488</v>
      </c>
      <c r="S313" s="10" t="n">
        <f aca="false">J313-R313</f>
        <v>-5.57755813953488</v>
      </c>
      <c r="T313" s="10" t="n">
        <f aca="false">MIN(138.9,(T312+S313))</f>
        <v>46.3697674418605</v>
      </c>
      <c r="U313" s="45" t="s">
        <v>42</v>
      </c>
      <c r="V313" s="7" t="n">
        <v>2999.1</v>
      </c>
      <c r="X313" s="7" t="n">
        <f aca="false">X312+V313</f>
        <v>218580.9</v>
      </c>
      <c r="Y313" s="36" t="n">
        <f aca="false">Y312+V313</f>
        <v>19315.8</v>
      </c>
      <c r="AA313" s="7" t="n">
        <v>15.7687558168754</v>
      </c>
    </row>
    <row r="314" s="7" customFormat="true" ht="15" hidden="false" customHeight="false" outlineLevel="0" collapsed="false">
      <c r="A314" s="70"/>
      <c r="B314" s="13"/>
      <c r="C314" s="8" t="n">
        <v>42160</v>
      </c>
      <c r="D314" s="7" t="n">
        <v>23.9</v>
      </c>
      <c r="E314" s="7" t="n">
        <v>16.6</v>
      </c>
      <c r="F314" s="7" t="n">
        <v>31.6</v>
      </c>
      <c r="G314" s="7" t="n">
        <f aca="false">G313+D314</f>
        <v>2581.5</v>
      </c>
      <c r="H314" s="36" t="n">
        <f aca="false">H313+D314</f>
        <v>200</v>
      </c>
      <c r="I314" s="7" t="n">
        <v>0</v>
      </c>
      <c r="J314" s="7" t="n">
        <v>0</v>
      </c>
      <c r="K314" s="7" t="n">
        <f aca="false">K313+J314</f>
        <v>451.6</v>
      </c>
      <c r="L314" s="7" t="n">
        <v>5.6</v>
      </c>
      <c r="M314" s="7" t="n">
        <f aca="false">M313+L314</f>
        <v>388.1</v>
      </c>
      <c r="N314" s="9" t="n">
        <v>-5.6</v>
      </c>
      <c r="O314" s="7" t="n">
        <f aca="false">O313+N314</f>
        <v>50.6</v>
      </c>
      <c r="P314" s="7" t="n">
        <v>270</v>
      </c>
      <c r="Q314" s="15" t="n">
        <f aca="false">1.15+((P314-258)/43)*(0.35-1.15)</f>
        <v>0.926744186046512</v>
      </c>
      <c r="R314" s="10" t="n">
        <f aca="false">Q314*L314</f>
        <v>5.18976744186046</v>
      </c>
      <c r="S314" s="10" t="n">
        <f aca="false">J314-R314</f>
        <v>-5.18976744186046</v>
      </c>
      <c r="T314" s="10" t="n">
        <f aca="false">MIN(138.9,(T313+S314))</f>
        <v>41.18</v>
      </c>
      <c r="U314" s="15" t="n">
        <f aca="false">AVERAGE(T303:T320)</f>
        <v>50.385684754522</v>
      </c>
      <c r="V314" s="7" t="n">
        <v>2280.6</v>
      </c>
      <c r="W314" s="36"/>
      <c r="X314" s="36" t="n">
        <f aca="false">X313+V314</f>
        <v>220861.5</v>
      </c>
      <c r="Y314" s="36" t="n">
        <f aca="false">Y313+V314</f>
        <v>21596.4</v>
      </c>
      <c r="AA314" s="7" t="n">
        <v>15.7905737407762</v>
      </c>
    </row>
    <row r="315" s="7" customFormat="true" ht="15" hidden="false" customHeight="true" outlineLevel="0" collapsed="false">
      <c r="A315" s="70"/>
      <c r="B315" s="13"/>
      <c r="C315" s="8" t="n">
        <v>42161</v>
      </c>
      <c r="D315" s="7" t="n">
        <v>17.9</v>
      </c>
      <c r="E315" s="7" t="n">
        <v>14.6</v>
      </c>
      <c r="F315" s="7" t="n">
        <v>22.1</v>
      </c>
      <c r="G315" s="7" t="n">
        <f aca="false">G314+D315</f>
        <v>2599.4</v>
      </c>
      <c r="H315" s="36" t="n">
        <f aca="false">H314+D315</f>
        <v>217.9</v>
      </c>
      <c r="I315" s="45" t="s">
        <v>43</v>
      </c>
      <c r="J315" s="7" t="n">
        <v>0</v>
      </c>
      <c r="K315" s="7" t="n">
        <f aca="false">K314+J315</f>
        <v>451.6</v>
      </c>
      <c r="L315" s="7" t="n">
        <v>3.9</v>
      </c>
      <c r="M315" s="7" t="n">
        <f aca="false">M314+L315</f>
        <v>392</v>
      </c>
      <c r="N315" s="9" t="n">
        <v>-3.9</v>
      </c>
      <c r="O315" s="7" t="n">
        <f aca="false">O314+N315</f>
        <v>46.7</v>
      </c>
      <c r="P315" s="7" t="n">
        <v>271</v>
      </c>
      <c r="Q315" s="15" t="n">
        <f aca="false">1.15+((P315-258)/43)*(0.35-1.15)</f>
        <v>0.908139534883721</v>
      </c>
      <c r="R315" s="10" t="n">
        <f aca="false">Q315*L315</f>
        <v>3.54174418604651</v>
      </c>
      <c r="S315" s="10" t="n">
        <f aca="false">J315-R315</f>
        <v>-3.54174418604651</v>
      </c>
      <c r="T315" s="10" t="n">
        <f aca="false">MIN(138.9,(T314+S315))</f>
        <v>37.6382558139535</v>
      </c>
      <c r="V315" s="7" t="n">
        <v>1668.4</v>
      </c>
      <c r="X315" s="7" t="n">
        <f aca="false">X314+V315</f>
        <v>222529.9</v>
      </c>
      <c r="Y315" s="36" t="n">
        <f aca="false">Y314+V315</f>
        <v>23264.8</v>
      </c>
      <c r="AA315" s="7" t="n">
        <v>15.8111724627038</v>
      </c>
    </row>
    <row r="316" s="7" customFormat="true" ht="15" hidden="false" customHeight="false" outlineLevel="0" collapsed="false">
      <c r="A316" s="70"/>
      <c r="B316" s="13"/>
      <c r="C316" s="8" t="n">
        <v>42162</v>
      </c>
      <c r="D316" s="7" t="n">
        <v>17</v>
      </c>
      <c r="E316" s="7" t="n">
        <v>12.2</v>
      </c>
      <c r="F316" s="7" t="n">
        <v>21.6</v>
      </c>
      <c r="G316" s="7" t="n">
        <f aca="false">G315+D316</f>
        <v>2616.4</v>
      </c>
      <c r="H316" s="36" t="n">
        <f aca="false">H315+D316</f>
        <v>234.9</v>
      </c>
      <c r="I316" s="7" t="n">
        <v>305.5</v>
      </c>
      <c r="J316" s="7" t="n">
        <v>0</v>
      </c>
      <c r="K316" s="7" t="n">
        <f aca="false">K315+J316</f>
        <v>451.6</v>
      </c>
      <c r="L316" s="7" t="n">
        <v>4.6</v>
      </c>
      <c r="M316" s="7" t="n">
        <f aca="false">M315+L316</f>
        <v>396.6</v>
      </c>
      <c r="N316" s="9" t="n">
        <v>-4.6</v>
      </c>
      <c r="O316" s="7" t="n">
        <f aca="false">O315+N316</f>
        <v>42.1</v>
      </c>
      <c r="P316" s="7" t="n">
        <v>272</v>
      </c>
      <c r="Q316" s="15" t="n">
        <f aca="false">1.15+((P316-258)/43)*(0.35-1.15)</f>
        <v>0.88953488372093</v>
      </c>
      <c r="R316" s="10" t="n">
        <f aca="false">Q316*L316</f>
        <v>4.09186046511628</v>
      </c>
      <c r="S316" s="10" t="n">
        <f aca="false">J316-R316</f>
        <v>-4.09186046511628</v>
      </c>
      <c r="T316" s="10" t="n">
        <f aca="false">MIN(138.9,(T315+S316))</f>
        <v>33.5463953488372</v>
      </c>
      <c r="U316" s="10" t="n">
        <f aca="false">(U314*100)/138.9</f>
        <v>36.2747910399727</v>
      </c>
      <c r="V316" s="7" t="n">
        <v>1898.7</v>
      </c>
      <c r="X316" s="7" t="n">
        <f aca="false">X315+V316</f>
        <v>224428.6</v>
      </c>
      <c r="Y316" s="36" t="n">
        <f aca="false">Y315+V316</f>
        <v>25163.5</v>
      </c>
      <c r="AA316" s="7" t="n">
        <v>15.8305334455867</v>
      </c>
    </row>
    <row r="317" s="7" customFormat="true" ht="15" hidden="false" customHeight="false" outlineLevel="0" collapsed="false">
      <c r="A317" s="70"/>
      <c r="B317" s="13"/>
      <c r="C317" s="8" t="n">
        <v>42163</v>
      </c>
      <c r="D317" s="7" t="n">
        <v>16.4</v>
      </c>
      <c r="E317" s="7" t="n">
        <v>11.7</v>
      </c>
      <c r="F317" s="7" t="n">
        <v>21.4</v>
      </c>
      <c r="G317" s="7" t="n">
        <f aca="false">G316+D317</f>
        <v>2632.8</v>
      </c>
      <c r="H317" s="36" t="n">
        <f aca="false">H316+D317</f>
        <v>251.3</v>
      </c>
      <c r="J317" s="7" t="n">
        <v>0</v>
      </c>
      <c r="K317" s="7" t="n">
        <f aca="false">K316+J317</f>
        <v>451.6</v>
      </c>
      <c r="L317" s="7" t="n">
        <v>6.3</v>
      </c>
      <c r="M317" s="7" t="n">
        <f aca="false">M316+L317</f>
        <v>402.9</v>
      </c>
      <c r="N317" s="9" t="n">
        <v>-6.3</v>
      </c>
      <c r="O317" s="7" t="n">
        <f aca="false">O316+N317</f>
        <v>35.8</v>
      </c>
      <c r="P317" s="7" t="n">
        <v>273</v>
      </c>
      <c r="Q317" s="15" t="n">
        <f aca="false">1.15+((P317-258)/43)*(0.35-1.15)</f>
        <v>0.870930232558139</v>
      </c>
      <c r="R317" s="10" t="n">
        <f aca="false">Q317*L317</f>
        <v>5.48686046511628</v>
      </c>
      <c r="S317" s="10" t="n">
        <f aca="false">J317-R317</f>
        <v>-5.48686046511628</v>
      </c>
      <c r="T317" s="10" t="n">
        <f aca="false">MIN(138.9,(T316+S317))</f>
        <v>28.059534883721</v>
      </c>
      <c r="V317" s="7" t="n">
        <v>3083.2</v>
      </c>
      <c r="X317" s="7" t="n">
        <f aca="false">X316+V317</f>
        <v>227511.8</v>
      </c>
      <c r="Y317" s="36" t="n">
        <f aca="false">Y316+V317</f>
        <v>28246.7</v>
      </c>
      <c r="AA317" s="7" t="n">
        <v>15.8486390613483</v>
      </c>
    </row>
    <row r="318" s="7" customFormat="true" ht="15" hidden="false" customHeight="false" outlineLevel="0" collapsed="false">
      <c r="A318" s="70"/>
      <c r="B318" s="13"/>
      <c r="C318" s="8" t="n">
        <v>42164</v>
      </c>
      <c r="D318" s="7" t="n">
        <v>15.7</v>
      </c>
      <c r="E318" s="7" t="n">
        <v>11.4</v>
      </c>
      <c r="F318" s="7" t="n">
        <v>19.8</v>
      </c>
      <c r="G318" s="7" t="n">
        <f aca="false">G317+D318</f>
        <v>2648.5</v>
      </c>
      <c r="H318" s="36" t="n">
        <f aca="false">H317+D318</f>
        <v>267</v>
      </c>
      <c r="J318" s="7" t="n">
        <v>0</v>
      </c>
      <c r="K318" s="7" t="n">
        <f aca="false">K317+J318</f>
        <v>451.6</v>
      </c>
      <c r="L318" s="7" t="n">
        <v>5.1</v>
      </c>
      <c r="M318" s="7" t="n">
        <f aca="false">M317+L318</f>
        <v>408</v>
      </c>
      <c r="N318" s="9" t="n">
        <v>-5.1</v>
      </c>
      <c r="O318" s="7" t="n">
        <f aca="false">O317+N318</f>
        <v>30.7</v>
      </c>
      <c r="P318" s="7" t="n">
        <v>274</v>
      </c>
      <c r="Q318" s="15" t="n">
        <f aca="false">1.15+((P318-258)/43)*(0.35-1.15)</f>
        <v>0.852325581395349</v>
      </c>
      <c r="R318" s="10" t="n">
        <f aca="false">Q318*L318</f>
        <v>4.34686046511628</v>
      </c>
      <c r="S318" s="10" t="n">
        <f aca="false">J318-R318</f>
        <v>-4.34686046511628</v>
      </c>
      <c r="T318" s="10" t="n">
        <f aca="false">MIN(138.9,(T317+S318))</f>
        <v>23.7126744186047</v>
      </c>
      <c r="V318" s="7" t="n">
        <v>2487.7</v>
      </c>
      <c r="X318" s="7" t="n">
        <f aca="false">X317+V318</f>
        <v>229999.5</v>
      </c>
      <c r="Y318" s="36" t="n">
        <f aca="false">Y317+V318</f>
        <v>30734.4</v>
      </c>
      <c r="AA318" s="7" t="n">
        <v>15.8654726495367</v>
      </c>
    </row>
    <row r="319" s="7" customFormat="true" ht="15" hidden="false" customHeight="false" outlineLevel="0" collapsed="false">
      <c r="A319" s="70"/>
      <c r="B319" s="13"/>
      <c r="C319" s="8" t="n">
        <v>42165</v>
      </c>
      <c r="D319" s="7" t="n">
        <v>16.7</v>
      </c>
      <c r="E319" s="7" t="n">
        <v>12.7</v>
      </c>
      <c r="F319" s="7" t="n">
        <v>20</v>
      </c>
      <c r="G319" s="7" t="n">
        <f aca="false">G318+D319</f>
        <v>2665.2</v>
      </c>
      <c r="H319" s="36" t="n">
        <f aca="false">H318+D319</f>
        <v>283.7</v>
      </c>
      <c r="J319" s="7" t="n">
        <v>1.1</v>
      </c>
      <c r="K319" s="7" t="n">
        <f aca="false">K318+J319</f>
        <v>452.7</v>
      </c>
      <c r="L319" s="7" t="n">
        <v>2.3</v>
      </c>
      <c r="M319" s="7" t="n">
        <f aca="false">M318+L319</f>
        <v>410.3</v>
      </c>
      <c r="N319" s="9" t="n">
        <v>-1.2</v>
      </c>
      <c r="O319" s="7" t="n">
        <f aca="false">O318+N319</f>
        <v>29.5</v>
      </c>
      <c r="P319" s="7" t="n">
        <v>275</v>
      </c>
      <c r="Q319" s="15" t="n">
        <f aca="false">1.15+((P319-258)/43)*(0.35-1.15)</f>
        <v>0.833720930232558</v>
      </c>
      <c r="R319" s="10" t="n">
        <f aca="false">Q319*L319</f>
        <v>1.91755813953488</v>
      </c>
      <c r="S319" s="10" t="n">
        <f aca="false">J319-R319</f>
        <v>-0.817558139534883</v>
      </c>
      <c r="T319" s="10" t="n">
        <f aca="false">MIN(138.9,(T318+S319))</f>
        <v>22.8951162790698</v>
      </c>
      <c r="V319" s="7" t="n">
        <v>774.7</v>
      </c>
      <c r="X319" s="7" t="n">
        <f aca="false">X318+V319</f>
        <v>230774.2</v>
      </c>
      <c r="Y319" s="36" t="n">
        <f aca="false">Y318+V319</f>
        <v>31509.1</v>
      </c>
      <c r="AA319" s="7" t="n">
        <v>15.8810185738131</v>
      </c>
    </row>
    <row r="320" s="18" customFormat="true" ht="15" hidden="false" customHeight="false" outlineLevel="0" collapsed="false">
      <c r="A320" s="70"/>
      <c r="B320" s="16" t="n">
        <v>600</v>
      </c>
      <c r="C320" s="17" t="n">
        <v>42166</v>
      </c>
      <c r="D320" s="18" t="n">
        <v>21.8</v>
      </c>
      <c r="E320" s="18" t="n">
        <v>15.8</v>
      </c>
      <c r="F320" s="18" t="n">
        <v>28.5</v>
      </c>
      <c r="G320" s="18" t="n">
        <f aca="false">G319+D320</f>
        <v>2687</v>
      </c>
      <c r="H320" s="18" t="n">
        <f aca="false">H319+D320</f>
        <v>305.5</v>
      </c>
      <c r="J320" s="18" t="n">
        <v>8.8</v>
      </c>
      <c r="K320" s="18" t="n">
        <f aca="false">K319+J320</f>
        <v>461.5</v>
      </c>
      <c r="L320" s="18" t="n">
        <v>3.6</v>
      </c>
      <c r="M320" s="18" t="n">
        <f aca="false">M319+L320</f>
        <v>413.9</v>
      </c>
      <c r="N320" s="18" t="n">
        <v>5.2</v>
      </c>
      <c r="O320" s="18" t="n">
        <f aca="false">O319+N320</f>
        <v>34.7</v>
      </c>
      <c r="P320" s="18" t="n">
        <v>276</v>
      </c>
      <c r="Q320" s="59" t="n">
        <f aca="false">1.15+((P320-258)/43)*(0.35-1.15)</f>
        <v>0.815116279069767</v>
      </c>
      <c r="R320" s="20" t="n">
        <f aca="false">Q320*L320</f>
        <v>2.93441860465116</v>
      </c>
      <c r="S320" s="20" t="n">
        <f aca="false">J320-R320</f>
        <v>5.86558139534884</v>
      </c>
      <c r="T320" s="60" t="n">
        <f aca="false">MIN(138.9,(T319+S320))</f>
        <v>28.7606976744186</v>
      </c>
      <c r="V320" s="18" t="n">
        <v>1665.3</v>
      </c>
      <c r="X320" s="18" t="n">
        <f aca="false">X319+V320</f>
        <v>232439.5</v>
      </c>
      <c r="Y320" s="18" t="n">
        <f aca="false">Y319+V320</f>
        <v>33174.4</v>
      </c>
      <c r="AA320" s="18" t="n">
        <v>15.8952622759194</v>
      </c>
    </row>
    <row r="321" s="7" customFormat="true" ht="15" hidden="false" customHeight="true" outlineLevel="0" collapsed="false">
      <c r="A321" s="71" t="n">
        <v>1000</v>
      </c>
      <c r="B321" s="13"/>
      <c r="C321" s="8" t="n">
        <v>42167</v>
      </c>
      <c r="D321" s="7" t="n">
        <v>19.2</v>
      </c>
      <c r="E321" s="7" t="n">
        <v>17.2</v>
      </c>
      <c r="F321" s="7" t="n">
        <v>22.8</v>
      </c>
      <c r="G321" s="7" t="n">
        <f aca="false">G320+D321</f>
        <v>2706.2</v>
      </c>
      <c r="H321" s="36" t="n">
        <f aca="false">D321</f>
        <v>19.2</v>
      </c>
      <c r="I321" s="47" t="s">
        <v>28</v>
      </c>
      <c r="J321" s="7" t="n">
        <v>0.3</v>
      </c>
      <c r="K321" s="7" t="n">
        <f aca="false">K320+J321</f>
        <v>461.8</v>
      </c>
      <c r="L321" s="7" t="n">
        <v>2.4</v>
      </c>
      <c r="M321" s="7" t="n">
        <f aca="false">M320+L321</f>
        <v>416.3</v>
      </c>
      <c r="N321" s="9" t="n">
        <v>-2.1</v>
      </c>
      <c r="O321" s="7" t="n">
        <f aca="false">O320+N321</f>
        <v>32.6</v>
      </c>
      <c r="P321" s="7" t="n">
        <v>277</v>
      </c>
      <c r="Q321" s="15" t="n">
        <f aca="false">1.15+((P321-258)/43)*(0.35-1.15)</f>
        <v>0.796511627906977</v>
      </c>
      <c r="R321" s="10" t="n">
        <f aca="false">Q321*L321</f>
        <v>1.91162790697674</v>
      </c>
      <c r="S321" s="10" t="n">
        <f aca="false">J321-R321</f>
        <v>-1.61162790697674</v>
      </c>
      <c r="T321" s="10" t="n">
        <f aca="false">MIN(138.9,(T320+S321))</f>
        <v>27.1490697674419</v>
      </c>
      <c r="U321" s="47" t="s">
        <v>29</v>
      </c>
      <c r="V321" s="7" t="n">
        <v>1045.1</v>
      </c>
      <c r="X321" s="7" t="n">
        <f aca="false">X320+V321</f>
        <v>233484.6</v>
      </c>
      <c r="Y321" s="36" t="n">
        <f aca="false">V321</f>
        <v>1045.1</v>
      </c>
      <c r="Z321" s="47" t="s">
        <v>30</v>
      </c>
      <c r="AA321" s="7" t="n">
        <v>15.9081903267537</v>
      </c>
    </row>
    <row r="322" s="7" customFormat="true" ht="15" hidden="false" customHeight="false" outlineLevel="0" collapsed="false">
      <c r="A322" s="71"/>
      <c r="B322" s="13"/>
      <c r="C322" s="8" t="n">
        <v>42168</v>
      </c>
      <c r="D322" s="7" t="n">
        <v>19.1</v>
      </c>
      <c r="E322" s="7" t="n">
        <v>14.4</v>
      </c>
      <c r="F322" s="7" t="n">
        <v>24.3</v>
      </c>
      <c r="G322" s="7" t="n">
        <f aca="false">G321+D322</f>
        <v>2725.3</v>
      </c>
      <c r="H322" s="36" t="n">
        <f aca="false">H321+D322</f>
        <v>38.3</v>
      </c>
      <c r="I322" s="7" t="n">
        <f aca="false">MIN(E321:E341)</f>
        <v>8.9</v>
      </c>
      <c r="J322" s="7" t="n">
        <v>0.1</v>
      </c>
      <c r="K322" s="7" t="n">
        <f aca="false">K321+J322</f>
        <v>461.9</v>
      </c>
      <c r="L322" s="7" t="n">
        <v>3.9</v>
      </c>
      <c r="M322" s="7" t="n">
        <f aca="false">M321+L322</f>
        <v>420.2</v>
      </c>
      <c r="N322" s="9" t="n">
        <v>-3.8</v>
      </c>
      <c r="O322" s="7" t="n">
        <f aca="false">O321+N322</f>
        <v>28.8</v>
      </c>
      <c r="P322" s="7" t="n">
        <v>278</v>
      </c>
      <c r="Q322" s="15" t="n">
        <f aca="false">1.15+((P322-258)/43)*(0.35-1.15)</f>
        <v>0.777906976744186</v>
      </c>
      <c r="R322" s="10" t="n">
        <f aca="false">Q322*L322</f>
        <v>3.03383720930233</v>
      </c>
      <c r="S322" s="10" t="n">
        <f aca="false">J322-R322</f>
        <v>-2.93383720930233</v>
      </c>
      <c r="T322" s="10" t="n">
        <f aca="false">MIN(138.9,(T321+S322))</f>
        <v>24.2152325581396</v>
      </c>
      <c r="U322" s="7" t="n">
        <v>21</v>
      </c>
      <c r="V322" s="7" t="n">
        <v>2014.2</v>
      </c>
      <c r="X322" s="7" t="n">
        <f aca="false">X321+V322</f>
        <v>235498.8</v>
      </c>
      <c r="Y322" s="36" t="n">
        <f aca="false">Y321+V322</f>
        <v>3059.3</v>
      </c>
      <c r="Z322" s="7" t="n">
        <v>43766.7</v>
      </c>
      <c r="AA322" s="7" t="n">
        <v>15.9197904741906</v>
      </c>
    </row>
    <row r="323" s="7" customFormat="true" ht="15" hidden="false" customHeight="false" outlineLevel="0" collapsed="false">
      <c r="A323" s="71"/>
      <c r="B323" s="13"/>
      <c r="C323" s="8" t="n">
        <v>42169</v>
      </c>
      <c r="D323" s="7" t="n">
        <v>16.8</v>
      </c>
      <c r="E323" s="7" t="n">
        <v>14.8</v>
      </c>
      <c r="F323" s="7" t="n">
        <v>18.3</v>
      </c>
      <c r="G323" s="7" t="n">
        <f aca="false">G322+D323</f>
        <v>2742.1</v>
      </c>
      <c r="H323" s="36" t="n">
        <f aca="false">H322+D323</f>
        <v>55.1</v>
      </c>
      <c r="I323" s="47" t="s">
        <v>31</v>
      </c>
      <c r="J323" s="7" t="n">
        <v>1.1</v>
      </c>
      <c r="K323" s="7" t="n">
        <f aca="false">K322+J323</f>
        <v>463</v>
      </c>
      <c r="L323" s="7" t="n">
        <v>2.2</v>
      </c>
      <c r="M323" s="7" t="n">
        <f aca="false">M322+L323</f>
        <v>422.4</v>
      </c>
      <c r="N323" s="9" t="n">
        <v>-1.1</v>
      </c>
      <c r="O323" s="7" t="n">
        <f aca="false">O322+N323</f>
        <v>27.7</v>
      </c>
      <c r="P323" s="7" t="n">
        <v>279</v>
      </c>
      <c r="Q323" s="15" t="n">
        <f aca="false">1.15+((P323-258)/43)*(0.35-1.15)</f>
        <v>0.759302325581395</v>
      </c>
      <c r="R323" s="10" t="n">
        <f aca="false">Q323*L323</f>
        <v>1.67046511627907</v>
      </c>
      <c r="S323" s="10" t="n">
        <f aca="false">J323-R323</f>
        <v>-0.57046511627907</v>
      </c>
      <c r="T323" s="10" t="n">
        <f aca="false">MIN(138.9,(T322+S323))</f>
        <v>23.6447674418605</v>
      </c>
      <c r="U323" s="47" t="s">
        <v>32</v>
      </c>
      <c r="V323" s="7" t="n">
        <v>1129.1</v>
      </c>
      <c r="X323" s="7" t="n">
        <f aca="false">X322+V323</f>
        <v>236627.9</v>
      </c>
      <c r="Y323" s="36" t="n">
        <f aca="false">Y322+V323</f>
        <v>4188.4</v>
      </c>
      <c r="Z323" s="47" t="s">
        <v>33</v>
      </c>
      <c r="AA323" s="7" t="n">
        <v>15.9300516873031</v>
      </c>
    </row>
    <row r="324" s="7" customFormat="true" ht="15" hidden="false" customHeight="false" outlineLevel="0" collapsed="false">
      <c r="A324" s="71"/>
      <c r="B324" s="13"/>
      <c r="C324" s="8" t="n">
        <v>42170</v>
      </c>
      <c r="D324" s="7" t="n">
        <v>16.9</v>
      </c>
      <c r="E324" s="7" t="n">
        <v>13.9</v>
      </c>
      <c r="F324" s="7" t="n">
        <v>19.4</v>
      </c>
      <c r="G324" s="7" t="n">
        <f aca="false">G323+D324</f>
        <v>2759</v>
      </c>
      <c r="H324" s="36" t="n">
        <f aca="false">H323+D324</f>
        <v>72</v>
      </c>
      <c r="I324" s="7" t="n">
        <f aca="false">MAX(F321:F341)</f>
        <v>36</v>
      </c>
      <c r="J324" s="7" t="n">
        <v>0.2</v>
      </c>
      <c r="K324" s="7" t="n">
        <f aca="false">K323+J324</f>
        <v>463.2</v>
      </c>
      <c r="L324" s="7" t="n">
        <v>1</v>
      </c>
      <c r="M324" s="7" t="n">
        <f aca="false">M323+L324</f>
        <v>423.4</v>
      </c>
      <c r="N324" s="9" t="n">
        <v>-0.8</v>
      </c>
      <c r="O324" s="7" t="n">
        <f aca="false">O323+N324</f>
        <v>26.9</v>
      </c>
      <c r="P324" s="7" t="n">
        <v>280</v>
      </c>
      <c r="Q324" s="15" t="n">
        <f aca="false">1.15+((P324-258)/43)*(0.35-1.15)</f>
        <v>0.740697674418605</v>
      </c>
      <c r="R324" s="10" t="n">
        <f aca="false">Q324*L324</f>
        <v>0.740697674418605</v>
      </c>
      <c r="S324" s="10" t="n">
        <f aca="false">J324-R324</f>
        <v>-0.540697674418605</v>
      </c>
      <c r="T324" s="10" t="n">
        <f aca="false">MIN(138.9,(T323+S324))</f>
        <v>23.1040697674419</v>
      </c>
      <c r="U324" s="7" t="n">
        <v>8</v>
      </c>
      <c r="V324" s="7" t="n">
        <v>681.1</v>
      </c>
      <c r="X324" s="7" t="n">
        <f aca="false">X323+V324</f>
        <v>237309</v>
      </c>
      <c r="Y324" s="36" t="n">
        <f aca="false">Y323+V324</f>
        <v>4869.5</v>
      </c>
      <c r="Z324" s="15" t="n">
        <f aca="false">(Z322/100)/I334</f>
        <v>1.04956115107914</v>
      </c>
      <c r="AA324" s="7" t="n">
        <v>15.9389641966573</v>
      </c>
    </row>
    <row r="325" s="7" customFormat="true" ht="15" hidden="false" customHeight="false" outlineLevel="0" collapsed="false">
      <c r="A325" s="71"/>
      <c r="B325" s="13"/>
      <c r="C325" s="8" t="n">
        <v>42171</v>
      </c>
      <c r="D325" s="7" t="n">
        <v>17.1</v>
      </c>
      <c r="E325" s="7" t="n">
        <v>13</v>
      </c>
      <c r="F325" s="7" t="n">
        <v>21.7</v>
      </c>
      <c r="G325" s="7" t="n">
        <f aca="false">G324+D325</f>
        <v>2776.1</v>
      </c>
      <c r="H325" s="36" t="n">
        <f aca="false">H324+D325</f>
        <v>89.1</v>
      </c>
      <c r="I325" s="47" t="s">
        <v>34</v>
      </c>
      <c r="J325" s="7" t="n">
        <v>0</v>
      </c>
      <c r="K325" s="7" t="n">
        <f aca="false">K324+J325</f>
        <v>463.2</v>
      </c>
      <c r="L325" s="7" t="n">
        <v>4.6</v>
      </c>
      <c r="M325" s="7" t="n">
        <f aca="false">M324+L325</f>
        <v>428</v>
      </c>
      <c r="N325" s="9" t="n">
        <v>-4.6</v>
      </c>
      <c r="O325" s="7" t="n">
        <f aca="false">O324+N325</f>
        <v>22.3</v>
      </c>
      <c r="P325" s="7" t="n">
        <v>281</v>
      </c>
      <c r="Q325" s="15" t="n">
        <f aca="false">1.15+((P325-258)/43)*(0.35-1.15)</f>
        <v>0.722093023255814</v>
      </c>
      <c r="R325" s="10" t="n">
        <f aca="false">Q325*L325</f>
        <v>3.32162790697674</v>
      </c>
      <c r="S325" s="10" t="n">
        <f aca="false">J325-R325</f>
        <v>-3.32162790697674</v>
      </c>
      <c r="T325" s="10" t="n">
        <f aca="false">MIN(138.9,(T324+S325))</f>
        <v>19.7824418604652</v>
      </c>
      <c r="U325" s="47" t="s">
        <v>35</v>
      </c>
      <c r="V325" s="7" t="n">
        <v>2300.3</v>
      </c>
      <c r="X325" s="7" t="n">
        <f aca="false">X324+V325</f>
        <v>239609.3</v>
      </c>
      <c r="Y325" s="36" t="n">
        <f aca="false">Y324+V325</f>
        <v>7169.8</v>
      </c>
      <c r="Z325" s="47" t="s">
        <v>36</v>
      </c>
      <c r="AA325" s="7" t="n">
        <v>15.9465195303799</v>
      </c>
    </row>
    <row r="326" s="7" customFormat="true" ht="15" hidden="false" customHeight="false" outlineLevel="0" collapsed="false">
      <c r="A326" s="71"/>
      <c r="B326" s="13"/>
      <c r="C326" s="8" t="n">
        <v>42172</v>
      </c>
      <c r="D326" s="7" t="n">
        <v>17.7</v>
      </c>
      <c r="E326" s="7" t="n">
        <v>10.4</v>
      </c>
      <c r="F326" s="7" t="n">
        <v>24.1</v>
      </c>
      <c r="G326" s="7" t="n">
        <f aca="false">G325+D326</f>
        <v>2793.8</v>
      </c>
      <c r="H326" s="36" t="n">
        <f aca="false">H325+D326</f>
        <v>106.8</v>
      </c>
      <c r="I326" s="10" t="n">
        <f aca="false">AVERAGE(D321:D341)</f>
        <v>19.8571428571429</v>
      </c>
      <c r="J326" s="7" t="n">
        <v>0</v>
      </c>
      <c r="K326" s="7" t="n">
        <f aca="false">K325+J326</f>
        <v>463.2</v>
      </c>
      <c r="L326" s="7" t="n">
        <v>4.7</v>
      </c>
      <c r="M326" s="7" t="n">
        <f aca="false">M325+L326</f>
        <v>432.7</v>
      </c>
      <c r="N326" s="9" t="n">
        <v>-4.7</v>
      </c>
      <c r="O326" s="7" t="n">
        <f aca="false">O325+N326</f>
        <v>17.6</v>
      </c>
      <c r="P326" s="7" t="n">
        <v>282</v>
      </c>
      <c r="Q326" s="15" t="n">
        <f aca="false">1.15+((P326-258)/43)*(0.35-1.15)</f>
        <v>0.703488372093023</v>
      </c>
      <c r="R326" s="10" t="n">
        <f aca="false">Q326*L326</f>
        <v>3.30639534883721</v>
      </c>
      <c r="S326" s="10" t="n">
        <f aca="false">J326-R326</f>
        <v>-3.30639534883721</v>
      </c>
      <c r="T326" s="10" t="n">
        <f aca="false">MIN(138.9,(T325+S326))</f>
        <v>16.4760465116279</v>
      </c>
      <c r="U326" s="7" t="n">
        <v>13</v>
      </c>
      <c r="V326" s="7" t="n">
        <v>2422.4</v>
      </c>
      <c r="X326" s="7" t="n">
        <f aca="false">X325+V326</f>
        <v>242031.7</v>
      </c>
      <c r="Y326" s="36" t="n">
        <f aca="false">Y325+V326</f>
        <v>9592.2</v>
      </c>
      <c r="Z326" s="7" t="n">
        <v>1</v>
      </c>
      <c r="AA326" s="7" t="n">
        <v>15.9527105457221</v>
      </c>
    </row>
    <row r="327" s="7" customFormat="true" ht="15" hidden="false" customHeight="false" outlineLevel="0" collapsed="false">
      <c r="A327" s="71"/>
      <c r="B327" s="13"/>
      <c r="C327" s="8" t="n">
        <v>42173</v>
      </c>
      <c r="D327" s="7" t="n">
        <v>17.8</v>
      </c>
      <c r="E327" s="7" t="n">
        <v>14.1</v>
      </c>
      <c r="F327" s="7" t="n">
        <v>21.5</v>
      </c>
      <c r="G327" s="7" t="n">
        <f aca="false">G326+D327</f>
        <v>2811.6</v>
      </c>
      <c r="H327" s="36" t="n">
        <f aca="false">H326+D327</f>
        <v>124.6</v>
      </c>
      <c r="I327" s="47" t="s">
        <v>37</v>
      </c>
      <c r="J327" s="7" t="n">
        <v>0.8</v>
      </c>
      <c r="K327" s="7" t="n">
        <f aca="false">K326+J327</f>
        <v>464</v>
      </c>
      <c r="L327" s="7" t="n">
        <v>2</v>
      </c>
      <c r="M327" s="7" t="n">
        <f aca="false">M326+L327</f>
        <v>434.7</v>
      </c>
      <c r="N327" s="9" t="n">
        <v>-1.2</v>
      </c>
      <c r="O327" s="7" t="n">
        <f aca="false">O326+N327</f>
        <v>16.4</v>
      </c>
      <c r="P327" s="7" t="n">
        <v>283</v>
      </c>
      <c r="Q327" s="15" t="n">
        <f aca="false">1.15+((P327-258)/43)*(0.35-1.15)</f>
        <v>0.684883720930233</v>
      </c>
      <c r="R327" s="10" t="n">
        <f aca="false">Q327*L327</f>
        <v>1.36976744186047</v>
      </c>
      <c r="S327" s="10" t="n">
        <f aca="false">J327-R327</f>
        <v>-0.569767441860465</v>
      </c>
      <c r="T327" s="10" t="n">
        <f aca="false">MIN(138.9,(T326+S327))</f>
        <v>15.9062790697675</v>
      </c>
      <c r="U327" s="47" t="s">
        <v>38</v>
      </c>
      <c r="V327" s="7" t="n">
        <v>919.8</v>
      </c>
      <c r="X327" s="7" t="n">
        <f aca="false">X326+V327</f>
        <v>242951.5</v>
      </c>
      <c r="Y327" s="36" t="n">
        <f aca="false">Y326+V327</f>
        <v>10512</v>
      </c>
      <c r="AA327" s="7" t="n">
        <v>15.9575314558762</v>
      </c>
    </row>
    <row r="328" s="7" customFormat="true" ht="15" hidden="false" customHeight="false" outlineLevel="0" collapsed="false">
      <c r="A328" s="71"/>
      <c r="B328" s="13"/>
      <c r="C328" s="8" t="n">
        <v>42174</v>
      </c>
      <c r="D328" s="7" t="n">
        <v>17.2</v>
      </c>
      <c r="E328" s="7" t="n">
        <v>12.3</v>
      </c>
      <c r="F328" s="7" t="n">
        <v>22.4</v>
      </c>
      <c r="G328" s="7" t="n">
        <f aca="false">G327+D328</f>
        <v>2828.8</v>
      </c>
      <c r="H328" s="36" t="n">
        <f aca="false">H327+D328</f>
        <v>141.8</v>
      </c>
      <c r="I328" s="7" t="n">
        <v>0</v>
      </c>
      <c r="J328" s="7" t="n">
        <v>0</v>
      </c>
      <c r="K328" s="7" t="n">
        <f aca="false">K327+J328</f>
        <v>464</v>
      </c>
      <c r="L328" s="7" t="n">
        <v>4.8</v>
      </c>
      <c r="M328" s="7" t="n">
        <f aca="false">M327+L328</f>
        <v>439.5</v>
      </c>
      <c r="N328" s="9" t="n">
        <v>-4.8</v>
      </c>
      <c r="O328" s="7" t="n">
        <f aca="false">O327+N328</f>
        <v>11.6</v>
      </c>
      <c r="P328" s="7" t="n">
        <v>284</v>
      </c>
      <c r="Q328" s="15" t="n">
        <f aca="false">1.15+((P328-258)/43)*(0.35-1.15)</f>
        <v>0.666279069767442</v>
      </c>
      <c r="R328" s="10" t="n">
        <f aca="false">Q328*L328</f>
        <v>3.19813953488372</v>
      </c>
      <c r="S328" s="10" t="n">
        <f aca="false">J328-R328</f>
        <v>-3.19813953488372</v>
      </c>
      <c r="T328" s="10" t="n">
        <f aca="false">MIN(138.9,(T327+S328))</f>
        <v>12.7081395348838</v>
      </c>
      <c r="U328" s="10" t="n">
        <f aca="false">MIN(T321:T341)</f>
        <v>0</v>
      </c>
      <c r="V328" s="7" t="n">
        <v>2545.7</v>
      </c>
      <c r="X328" s="7" t="n">
        <f aca="false">X327+V328</f>
        <v>245497.2</v>
      </c>
      <c r="Y328" s="36" t="n">
        <f aca="false">Y327+V328</f>
        <v>13057.7</v>
      </c>
      <c r="AA328" s="7" t="n">
        <v>15.9609778518367</v>
      </c>
    </row>
    <row r="329" s="7" customFormat="true" ht="15" hidden="false" customHeight="false" outlineLevel="0" collapsed="false">
      <c r="A329" s="71"/>
      <c r="B329" s="13"/>
      <c r="C329" s="8" t="n">
        <v>42175</v>
      </c>
      <c r="D329" s="7" t="n">
        <v>17.5</v>
      </c>
      <c r="E329" s="7" t="n">
        <v>10.7</v>
      </c>
      <c r="F329" s="7" t="n">
        <v>22.3</v>
      </c>
      <c r="G329" s="7" t="n">
        <f aca="false">G328+D329</f>
        <v>2846.3</v>
      </c>
      <c r="H329" s="36" t="n">
        <f aca="false">H328+D329</f>
        <v>159.3</v>
      </c>
      <c r="I329" s="47" t="s">
        <v>39</v>
      </c>
      <c r="J329" s="7" t="n">
        <v>0</v>
      </c>
      <c r="K329" s="7" t="n">
        <f aca="false">K328+J329</f>
        <v>464</v>
      </c>
      <c r="L329" s="7" t="n">
        <v>3.6</v>
      </c>
      <c r="M329" s="7" t="n">
        <f aca="false">M328+L329</f>
        <v>443.1</v>
      </c>
      <c r="N329" s="9" t="n">
        <v>-3.6</v>
      </c>
      <c r="O329" s="7" t="n">
        <f aca="false">O328+N329</f>
        <v>8.00000000000001</v>
      </c>
      <c r="P329" s="7" t="n">
        <v>285</v>
      </c>
      <c r="Q329" s="15" t="n">
        <f aca="false">1.15+((P329-258)/43)*(0.35-1.15)</f>
        <v>0.647674418604651</v>
      </c>
      <c r="R329" s="10" t="n">
        <f aca="false">Q329*L329</f>
        <v>2.33162790697674</v>
      </c>
      <c r="S329" s="10" t="n">
        <f aca="false">J329-R329</f>
        <v>-2.33162790697674</v>
      </c>
      <c r="T329" s="10" t="n">
        <f aca="false">MIN(138.9,(T328+S329))</f>
        <v>10.376511627907</v>
      </c>
      <c r="U329" s="47" t="s">
        <v>40</v>
      </c>
      <c r="V329" s="7" t="n">
        <v>2035.4</v>
      </c>
      <c r="X329" s="7" t="n">
        <f aca="false">X328+V329</f>
        <v>247532.6</v>
      </c>
      <c r="Y329" s="36" t="n">
        <f aca="false">Y328+V329</f>
        <v>15093.1</v>
      </c>
      <c r="AA329" s="7" t="n">
        <v>15.9630467191309</v>
      </c>
    </row>
    <row r="330" s="7" customFormat="true" ht="15" hidden="false" customHeight="false" outlineLevel="0" collapsed="false">
      <c r="A330" s="71"/>
      <c r="B330" s="13"/>
      <c r="C330" s="8" t="n">
        <v>42176</v>
      </c>
      <c r="D330" s="7" t="n">
        <v>19.1</v>
      </c>
      <c r="E330" s="7" t="n">
        <v>15.4</v>
      </c>
      <c r="F330" s="7" t="n">
        <v>23.4</v>
      </c>
      <c r="G330" s="7" t="n">
        <f aca="false">G329+D330</f>
        <v>2865.4</v>
      </c>
      <c r="H330" s="36" t="n">
        <f aca="false">H329+D330</f>
        <v>178.4</v>
      </c>
      <c r="I330" s="7" t="n">
        <v>9</v>
      </c>
      <c r="J330" s="7" t="n">
        <v>0</v>
      </c>
      <c r="K330" s="7" t="n">
        <f aca="false">K329+J330</f>
        <v>464</v>
      </c>
      <c r="L330" s="7" t="n">
        <v>4.2</v>
      </c>
      <c r="M330" s="7" t="n">
        <f aca="false">M329+L330</f>
        <v>447.3</v>
      </c>
      <c r="N330" s="9" t="n">
        <v>-4.2</v>
      </c>
      <c r="O330" s="7" t="n">
        <f aca="false">O329+N330</f>
        <v>3.80000000000001</v>
      </c>
      <c r="P330" s="7" t="n">
        <v>286</v>
      </c>
      <c r="Q330" s="15" t="n">
        <f aca="false">1.15+((P330-258)/43)*(0.35-1.15)</f>
        <v>0.62906976744186</v>
      </c>
      <c r="R330" s="10" t="n">
        <f aca="false">Q330*L330</f>
        <v>2.64209302325581</v>
      </c>
      <c r="S330" s="10" t="n">
        <f aca="false">J330-R330</f>
        <v>-2.64209302325581</v>
      </c>
      <c r="T330" s="10" t="n">
        <f aca="false">MIN(138.9,(T329+S330))</f>
        <v>7.7344186046512</v>
      </c>
      <c r="U330" s="10" t="n">
        <f aca="false">MAX(T321:T341)</f>
        <v>27.1490697674419</v>
      </c>
      <c r="V330" s="7" t="n">
        <v>2211.9</v>
      </c>
      <c r="X330" s="7" t="n">
        <f aca="false">X329+V330</f>
        <v>249744.5</v>
      </c>
      <c r="Y330" s="36" t="n">
        <f aca="false">Y329+V330</f>
        <v>17305</v>
      </c>
      <c r="AA330" s="7" t="n">
        <v>15.963736449289</v>
      </c>
    </row>
    <row r="331" s="7" customFormat="true" ht="15" hidden="false" customHeight="false" outlineLevel="0" collapsed="false">
      <c r="A331" s="71"/>
      <c r="B331" s="13"/>
      <c r="C331" s="8" t="n">
        <v>42177</v>
      </c>
      <c r="D331" s="7" t="n">
        <v>16.1</v>
      </c>
      <c r="E331" s="7" t="n">
        <v>11.3</v>
      </c>
      <c r="F331" s="7" t="n">
        <v>23.6</v>
      </c>
      <c r="G331" s="7" t="n">
        <f aca="false">G330+D331</f>
        <v>2881.5</v>
      </c>
      <c r="H331" s="36" t="n">
        <f aca="false">H330+D331</f>
        <v>194.5</v>
      </c>
      <c r="I331" s="47" t="s">
        <v>41</v>
      </c>
      <c r="J331" s="7" t="n">
        <v>0.3</v>
      </c>
      <c r="K331" s="7" t="n">
        <f aca="false">K330+J331</f>
        <v>464.3</v>
      </c>
      <c r="L331" s="7" t="n">
        <v>3</v>
      </c>
      <c r="M331" s="7" t="n">
        <f aca="false">M330+L331</f>
        <v>450.3</v>
      </c>
      <c r="N331" s="9" t="n">
        <v>-2.7</v>
      </c>
      <c r="O331" s="7" t="n">
        <f aca="false">O330+N331</f>
        <v>1.10000000000001</v>
      </c>
      <c r="P331" s="7" t="n">
        <v>287</v>
      </c>
      <c r="Q331" s="15" t="n">
        <f aca="false">1.15+((P331-258)/43)*(0.35-1.15)</f>
        <v>0.61046511627907</v>
      </c>
      <c r="R331" s="10" t="n">
        <f aca="false">Q331*L331</f>
        <v>1.83139534883721</v>
      </c>
      <c r="S331" s="10" t="n">
        <f aca="false">J331-R331</f>
        <v>-1.53139534883721</v>
      </c>
      <c r="T331" s="10" t="n">
        <f aca="false">MIN(138.9,(T330+S331))</f>
        <v>6.20302325581399</v>
      </c>
      <c r="U331" s="47" t="s">
        <v>42</v>
      </c>
      <c r="V331" s="7" t="n">
        <v>1437.5</v>
      </c>
      <c r="X331" s="7" t="n">
        <f aca="false">X330+V331</f>
        <v>251182</v>
      </c>
      <c r="Y331" s="36" t="n">
        <f aca="false">Y330+V331</f>
        <v>18742.5</v>
      </c>
      <c r="AA331" s="7" t="n">
        <v>15.9630468459601</v>
      </c>
    </row>
    <row r="332" s="7" customFormat="true" ht="15" hidden="false" customHeight="false" outlineLevel="0" collapsed="false">
      <c r="A332" s="71"/>
      <c r="B332" s="13"/>
      <c r="C332" s="8" t="n">
        <v>42178</v>
      </c>
      <c r="D332" s="7" t="n">
        <v>14.8</v>
      </c>
      <c r="E332" s="7" t="n">
        <v>10.3</v>
      </c>
      <c r="F332" s="7" t="n">
        <v>19.6</v>
      </c>
      <c r="G332" s="7" t="n">
        <f aca="false">G331+D332</f>
        <v>2896.3</v>
      </c>
      <c r="H332" s="36" t="n">
        <f aca="false">H331+D332</f>
        <v>209.3</v>
      </c>
      <c r="I332" s="7" t="n">
        <v>0</v>
      </c>
      <c r="J332" s="7" t="n">
        <v>0</v>
      </c>
      <c r="K332" s="7" t="n">
        <f aca="false">K331+J332</f>
        <v>464.3</v>
      </c>
      <c r="L332" s="7" t="n">
        <v>3.6</v>
      </c>
      <c r="M332" s="7" t="n">
        <f aca="false">M331+L332</f>
        <v>453.9</v>
      </c>
      <c r="N332" s="9" t="n">
        <v>-3.6</v>
      </c>
      <c r="O332" s="7" t="n">
        <v>0</v>
      </c>
      <c r="P332" s="7" t="n">
        <v>288</v>
      </c>
      <c r="Q332" s="15" t="n">
        <f aca="false">1.15+((P332-258)/43)*(0.35-1.15)</f>
        <v>0.591860465116279</v>
      </c>
      <c r="R332" s="10" t="n">
        <f aca="false">Q332*L332</f>
        <v>2.1306976744186</v>
      </c>
      <c r="S332" s="10" t="n">
        <f aca="false">J332-R332</f>
        <v>-2.1306976744186</v>
      </c>
      <c r="T332" s="10" t="n">
        <f aca="false">MIN(138.9,(T331+S332))</f>
        <v>4.07232558139538</v>
      </c>
      <c r="U332" s="15" t="n">
        <f aca="false">AVERAGE(T321:T341)</f>
        <v>9.17858803986713</v>
      </c>
      <c r="V332" s="7" t="n">
        <v>1966.7</v>
      </c>
      <c r="X332" s="7" t="n">
        <f aca="false">X331+V332</f>
        <v>253148.7</v>
      </c>
      <c r="Y332" s="36" t="n">
        <f aca="false">Y331+V332</f>
        <v>20709.2</v>
      </c>
      <c r="AA332" s="7" t="n">
        <v>15.9609791256254</v>
      </c>
    </row>
    <row r="333" s="7" customFormat="true" ht="15" hidden="false" customHeight="false" outlineLevel="0" collapsed="false">
      <c r="A333" s="71"/>
      <c r="B333" s="13"/>
      <c r="C333" s="8" t="n">
        <v>42179</v>
      </c>
      <c r="D333" s="7" t="n">
        <v>17.4</v>
      </c>
      <c r="E333" s="7" t="n">
        <v>8.9</v>
      </c>
      <c r="F333" s="7" t="n">
        <v>25.1</v>
      </c>
      <c r="G333" s="7" t="n">
        <f aca="false">G332+D333</f>
        <v>2913.7</v>
      </c>
      <c r="H333" s="36" t="n">
        <f aca="false">H332+D333</f>
        <v>226.7</v>
      </c>
      <c r="I333" s="47" t="s">
        <v>43</v>
      </c>
      <c r="J333" s="7" t="n">
        <v>0</v>
      </c>
      <c r="K333" s="7" t="n">
        <f aca="false">K332+J333</f>
        <v>464.3</v>
      </c>
      <c r="L333" s="7" t="n">
        <v>4.7</v>
      </c>
      <c r="M333" s="7" t="n">
        <f aca="false">M332+L333</f>
        <v>458.6</v>
      </c>
      <c r="N333" s="9" t="n">
        <v>-4.7</v>
      </c>
      <c r="O333" s="7" t="n">
        <v>0</v>
      </c>
      <c r="P333" s="7" t="n">
        <v>289</v>
      </c>
      <c r="Q333" s="15" t="n">
        <f aca="false">1.15+((P333-258)/43)*(0.35-1.15)</f>
        <v>0.573255813953488</v>
      </c>
      <c r="R333" s="10" t="n">
        <f aca="false">Q333*L333</f>
        <v>2.6943023255814</v>
      </c>
      <c r="S333" s="10" t="n">
        <f aca="false">J333-R333</f>
        <v>-2.6943023255814</v>
      </c>
      <c r="T333" s="10" t="n">
        <f aca="false">MIN(138.9,(T332+S333))</f>
        <v>1.37802325581399</v>
      </c>
      <c r="V333" s="7" t="n">
        <v>2618.9</v>
      </c>
      <c r="X333" s="7" t="n">
        <f aca="false">X332+V333</f>
        <v>255767.6</v>
      </c>
      <c r="Y333" s="36" t="n">
        <f aca="false">Y332+V333</f>
        <v>23328.1</v>
      </c>
      <c r="AA333" s="7" t="n">
        <v>15.9575359129031</v>
      </c>
    </row>
    <row r="334" s="7" customFormat="true" ht="15" hidden="false" customHeight="false" outlineLevel="0" collapsed="false">
      <c r="A334" s="71"/>
      <c r="B334" s="13"/>
      <c r="C334" s="8" t="n">
        <v>42180</v>
      </c>
      <c r="D334" s="7" t="n">
        <v>20.6</v>
      </c>
      <c r="E334" s="7" t="n">
        <v>12.1</v>
      </c>
      <c r="F334" s="7" t="n">
        <v>27.9</v>
      </c>
      <c r="G334" s="7" t="n">
        <f aca="false">G333+D334</f>
        <v>2934.3</v>
      </c>
      <c r="H334" s="36" t="n">
        <f aca="false">H333+D334</f>
        <v>247.3</v>
      </c>
      <c r="I334" s="7" t="n">
        <v>417</v>
      </c>
      <c r="J334" s="7" t="n">
        <v>0</v>
      </c>
      <c r="K334" s="7" t="n">
        <f aca="false">K333+J334</f>
        <v>464.3</v>
      </c>
      <c r="L334" s="7" t="n">
        <v>5</v>
      </c>
      <c r="M334" s="7" t="n">
        <f aca="false">M333+L334</f>
        <v>463.6</v>
      </c>
      <c r="N334" s="9" t="n">
        <v>-5</v>
      </c>
      <c r="O334" s="7" t="n">
        <v>0</v>
      </c>
      <c r="P334" s="7" t="n">
        <v>290</v>
      </c>
      <c r="Q334" s="15" t="n">
        <f aca="false">1.15+((P334-258)/43)*(0.35-1.15)</f>
        <v>0.554651162790698</v>
      </c>
      <c r="R334" s="10" t="n">
        <f aca="false">Q334*L334</f>
        <v>2.77325581395349</v>
      </c>
      <c r="S334" s="10" t="n">
        <f aca="false">J334-R334</f>
        <v>-2.77325581395349</v>
      </c>
      <c r="T334" s="10" t="n">
        <v>0</v>
      </c>
      <c r="U334" s="10" t="n">
        <f aca="false">(U332*100)/138.9</f>
        <v>6.60805474432479</v>
      </c>
      <c r="V334" s="7" t="n">
        <v>2590.9</v>
      </c>
      <c r="X334" s="7" t="n">
        <f aca="false">X333+V334</f>
        <v>258358.5</v>
      </c>
      <c r="Y334" s="36" t="n">
        <f aca="false">Y333+V334</f>
        <v>25919</v>
      </c>
      <c r="AA334" s="7" t="n">
        <v>15.9527212304833</v>
      </c>
    </row>
    <row r="335" s="7" customFormat="true" ht="15" hidden="false" customHeight="false" outlineLevel="0" collapsed="false">
      <c r="A335" s="71"/>
      <c r="B335" s="13"/>
      <c r="C335" s="8" t="n">
        <v>42181</v>
      </c>
      <c r="D335" s="7" t="n">
        <v>23.2</v>
      </c>
      <c r="E335" s="7" t="n">
        <v>14.5</v>
      </c>
      <c r="F335" s="7" t="n">
        <v>30.1</v>
      </c>
      <c r="G335" s="7" t="n">
        <f aca="false">G334+D335</f>
        <v>2957.5</v>
      </c>
      <c r="H335" s="36" t="n">
        <f aca="false">H334+D335</f>
        <v>270.5</v>
      </c>
      <c r="J335" s="7" t="n">
        <v>0</v>
      </c>
      <c r="K335" s="7" t="n">
        <f aca="false">K334+J335</f>
        <v>464.3</v>
      </c>
      <c r="L335" s="7" t="n">
        <v>5.7</v>
      </c>
      <c r="M335" s="7" t="n">
        <f aca="false">M334+L335</f>
        <v>469.3</v>
      </c>
      <c r="N335" s="9" t="n">
        <v>-5.7</v>
      </c>
      <c r="O335" s="7" t="n">
        <v>0</v>
      </c>
      <c r="P335" s="7" t="n">
        <v>291</v>
      </c>
      <c r="Q335" s="15" t="n">
        <f aca="false">1.15+((P335-258)/43)*(0.35-1.15)</f>
        <v>0.536046511627907</v>
      </c>
      <c r="R335" s="10" t="n">
        <f aca="false">Q335*L335</f>
        <v>3.05546511627907</v>
      </c>
      <c r="S335" s="10" t="n">
        <f aca="false">J335-R335</f>
        <v>-3.05546511627907</v>
      </c>
      <c r="T335" s="10" t="n">
        <v>0</v>
      </c>
      <c r="V335" s="7" t="n">
        <v>2487.7</v>
      </c>
      <c r="X335" s="7" t="n">
        <f aca="false">X334+V335</f>
        <v>260846.2</v>
      </c>
      <c r="Y335" s="36" t="n">
        <f aca="false">Y334+V335</f>
        <v>28406.7</v>
      </c>
      <c r="AA335" s="7" t="n">
        <v>15.9465404837706</v>
      </c>
    </row>
    <row r="336" s="7" customFormat="true" ht="15" hidden="false" customHeight="false" outlineLevel="0" collapsed="false">
      <c r="A336" s="71"/>
      <c r="B336" s="13"/>
      <c r="C336" s="8" t="n">
        <v>42182</v>
      </c>
      <c r="D336" s="7" t="n">
        <v>21.2</v>
      </c>
      <c r="E336" s="7" t="n">
        <v>17.3</v>
      </c>
      <c r="F336" s="7" t="n">
        <v>26</v>
      </c>
      <c r="G336" s="7" t="n">
        <f aca="false">G335+D336</f>
        <v>2978.7</v>
      </c>
      <c r="H336" s="36" t="n">
        <f aca="false">H335+D336</f>
        <v>291.7</v>
      </c>
      <c r="J336" s="7" t="n">
        <v>0</v>
      </c>
      <c r="K336" s="7" t="n">
        <f aca="false">K335+J336</f>
        <v>464.3</v>
      </c>
      <c r="L336" s="7" t="n">
        <v>4.7</v>
      </c>
      <c r="M336" s="7" t="n">
        <f aca="false">M335+L336</f>
        <v>474</v>
      </c>
      <c r="N336" s="9" t="n">
        <v>-4.7</v>
      </c>
      <c r="O336" s="7" t="n">
        <v>0</v>
      </c>
      <c r="P336" s="7" t="n">
        <v>292</v>
      </c>
      <c r="Q336" s="15" t="n">
        <f aca="false">1.15+((P336-258)/43)*(0.35-1.15)</f>
        <v>0.517441860465116</v>
      </c>
      <c r="R336" s="10" t="n">
        <f aca="false">Q336*L336</f>
        <v>2.43197674418605</v>
      </c>
      <c r="S336" s="10" t="n">
        <f aca="false">J336-R336</f>
        <v>-2.43197674418605</v>
      </c>
      <c r="T336" s="10" t="n">
        <v>0</v>
      </c>
      <c r="V336" s="7" t="n">
        <v>2039.4</v>
      </c>
      <c r="X336" s="7" t="n">
        <f aca="false">X335+V336</f>
        <v>262885.6</v>
      </c>
      <c r="Y336" s="36" t="n">
        <f aca="false">Y335+V336</f>
        <v>30446.1</v>
      </c>
      <c r="AA336" s="7" t="n">
        <v>15.9390004403604</v>
      </c>
    </row>
    <row r="337" s="7" customFormat="true" ht="15" hidden="false" customHeight="false" outlineLevel="0" collapsed="false">
      <c r="A337" s="71"/>
      <c r="B337" s="13"/>
      <c r="C337" s="8" t="n">
        <v>42183</v>
      </c>
      <c r="D337" s="7" t="n">
        <v>22.4</v>
      </c>
      <c r="E337" s="7" t="n">
        <v>14.5</v>
      </c>
      <c r="F337" s="7" t="n">
        <v>29.2</v>
      </c>
      <c r="G337" s="7" t="n">
        <f aca="false">G336+D337</f>
        <v>3001.1</v>
      </c>
      <c r="H337" s="36" t="n">
        <f aca="false">H336+D337</f>
        <v>314.1</v>
      </c>
      <c r="J337" s="7" t="n">
        <v>0</v>
      </c>
      <c r="K337" s="7" t="n">
        <f aca="false">K336+J337</f>
        <v>464.3</v>
      </c>
      <c r="L337" s="7" t="n">
        <v>6.5</v>
      </c>
      <c r="M337" s="7" t="n">
        <f aca="false">M336+L337</f>
        <v>480.5</v>
      </c>
      <c r="N337" s="9" t="n">
        <v>-6.5</v>
      </c>
      <c r="O337" s="7" t="n">
        <v>0</v>
      </c>
      <c r="P337" s="7" t="n">
        <v>293</v>
      </c>
      <c r="Q337" s="15" t="n">
        <f aca="false">1.15+((P337-258)/43)*(0.35-1.15)</f>
        <v>0.498837209302326</v>
      </c>
      <c r="R337" s="10" t="n">
        <f aca="false">Q337*L337</f>
        <v>3.24244186046512</v>
      </c>
      <c r="S337" s="10" t="n">
        <f aca="false">J337-R337</f>
        <v>-3.24244186046512</v>
      </c>
      <c r="T337" s="10" t="n">
        <v>0</v>
      </c>
      <c r="V337" s="7" t="n">
        <v>2979.5</v>
      </c>
      <c r="W337" s="36"/>
      <c r="X337" s="36" t="n">
        <f aca="false">X336+V337</f>
        <v>265865.1</v>
      </c>
      <c r="Y337" s="36" t="n">
        <f aca="false">Y336+V337</f>
        <v>33425.6</v>
      </c>
      <c r="AA337" s="7" t="n">
        <v>15.9301092045072</v>
      </c>
    </row>
    <row r="338" s="7" customFormat="true" ht="15" hidden="false" customHeight="true" outlineLevel="0" collapsed="false">
      <c r="A338" s="71"/>
      <c r="B338" s="48"/>
      <c r="C338" s="8" t="n">
        <v>42184</v>
      </c>
      <c r="D338" s="7" t="n">
        <v>22.9</v>
      </c>
      <c r="E338" s="7" t="n">
        <v>16.7</v>
      </c>
      <c r="F338" s="7" t="n">
        <v>29.1</v>
      </c>
      <c r="G338" s="7" t="n">
        <f aca="false">G337+D338</f>
        <v>3024</v>
      </c>
      <c r="H338" s="36" t="n">
        <f aca="false">H337+D338</f>
        <v>337</v>
      </c>
      <c r="J338" s="7" t="n">
        <v>0</v>
      </c>
      <c r="K338" s="7" t="n">
        <f aca="false">K337+J338</f>
        <v>464.3</v>
      </c>
      <c r="L338" s="7" t="n">
        <v>6</v>
      </c>
      <c r="M338" s="7" t="n">
        <f aca="false">M337+L338</f>
        <v>486.5</v>
      </c>
      <c r="N338" s="9" t="n">
        <v>-6</v>
      </c>
      <c r="O338" s="7" t="n">
        <v>0</v>
      </c>
      <c r="P338" s="7" t="n">
        <v>294</v>
      </c>
      <c r="Q338" s="15" t="n">
        <f aca="false">1.15+((P338-258)/43)*(0.35-1.15)</f>
        <v>0.480232558139535</v>
      </c>
      <c r="R338" s="10" t="n">
        <f aca="false">Q338*L338</f>
        <v>2.88139534883721</v>
      </c>
      <c r="S338" s="10" t="n">
        <f aca="false">J338-R338</f>
        <v>-2.88139534883721</v>
      </c>
      <c r="T338" s="10" t="n">
        <v>0</v>
      </c>
      <c r="V338" s="7" t="n">
        <v>2793.2</v>
      </c>
      <c r="X338" s="7" t="n">
        <f aca="false">X337+V338</f>
        <v>268658.3</v>
      </c>
      <c r="Y338" s="36" t="n">
        <f aca="false">Y337+V338</f>
        <v>36218.8</v>
      </c>
      <c r="AA338" s="7" t="n">
        <v>15.9198761867869</v>
      </c>
    </row>
    <row r="339" s="7" customFormat="true" ht="15" hidden="false" customHeight="false" outlineLevel="0" collapsed="false">
      <c r="A339" s="71"/>
      <c r="B339" s="48"/>
      <c r="C339" s="8" t="n">
        <v>42185</v>
      </c>
      <c r="D339" s="7" t="n">
        <v>26.2</v>
      </c>
      <c r="E339" s="7" t="n">
        <v>18.3</v>
      </c>
      <c r="F339" s="7" t="n">
        <v>34.7</v>
      </c>
      <c r="G339" s="7" t="n">
        <f aca="false">G338+D339</f>
        <v>3050.2</v>
      </c>
      <c r="H339" s="36" t="n">
        <f aca="false">H338+D339</f>
        <v>363.2</v>
      </c>
      <c r="J339" s="7" t="n">
        <v>0</v>
      </c>
      <c r="K339" s="7" t="n">
        <f aca="false">K338+J339</f>
        <v>464.3</v>
      </c>
      <c r="L339" s="7" t="n">
        <v>8.8</v>
      </c>
      <c r="M339" s="7" t="n">
        <f aca="false">M338+L339</f>
        <v>495.3</v>
      </c>
      <c r="N339" s="9" t="n">
        <v>-8.8</v>
      </c>
      <c r="O339" s="7" t="n">
        <v>0</v>
      </c>
      <c r="P339" s="7" t="n">
        <v>295</v>
      </c>
      <c r="Q339" s="15" t="n">
        <f aca="false">1.15+((P339-258)/43)*(0.35-1.15)</f>
        <v>0.461627906976744</v>
      </c>
      <c r="R339" s="10" t="n">
        <f aca="false">Q339*L339</f>
        <v>4.06232558139535</v>
      </c>
      <c r="S339" s="10" t="n">
        <f aca="false">J339-R339</f>
        <v>-4.06232558139535</v>
      </c>
      <c r="T339" s="10" t="n">
        <v>0</v>
      </c>
      <c r="V339" s="7" t="n">
        <v>3171.8</v>
      </c>
      <c r="X339" s="7" t="n">
        <f aca="false">X338+V339</f>
        <v>271830.1</v>
      </c>
      <c r="Y339" s="36" t="n">
        <f aca="false">Y338+V339</f>
        <v>39390.6</v>
      </c>
      <c r="AA339" s="7" t="n">
        <v>15.9083120691885</v>
      </c>
    </row>
    <row r="340" s="7" customFormat="true" ht="15" hidden="false" customHeight="false" outlineLevel="0" collapsed="false">
      <c r="A340" s="71"/>
      <c r="B340" s="48"/>
      <c r="C340" s="8" t="n">
        <v>42186</v>
      </c>
      <c r="D340" s="7" t="n">
        <v>28.3</v>
      </c>
      <c r="E340" s="7" t="n">
        <v>18.1</v>
      </c>
      <c r="F340" s="7" t="n">
        <v>36</v>
      </c>
      <c r="G340" s="7" t="n">
        <f aca="false">G339+D340</f>
        <v>3078.5</v>
      </c>
      <c r="H340" s="36" t="n">
        <f aca="false">H339+D340</f>
        <v>391.5</v>
      </c>
      <c r="J340" s="7" t="n">
        <v>0.1</v>
      </c>
      <c r="K340" s="7" t="n">
        <f aca="false">K339+J340</f>
        <v>464.4</v>
      </c>
      <c r="L340" s="7" t="n">
        <v>6.8</v>
      </c>
      <c r="M340" s="7" t="n">
        <f aca="false">M339+L340</f>
        <v>502.1</v>
      </c>
      <c r="N340" s="9" t="n">
        <v>-6.7</v>
      </c>
      <c r="O340" s="7" t="n">
        <v>0</v>
      </c>
      <c r="P340" s="7" t="n">
        <v>296</v>
      </c>
      <c r="Q340" s="15" t="n">
        <f aca="false">1.15+((P340-258)/43)*(0.35-1.15)</f>
        <v>0.443023255813953</v>
      </c>
      <c r="R340" s="10" t="n">
        <f aca="false">Q340*L340</f>
        <v>3.01255813953488</v>
      </c>
      <c r="S340" s="10" t="n">
        <f aca="false">J340-R340</f>
        <v>-2.91255813953488</v>
      </c>
      <c r="T340" s="10" t="n">
        <v>0</v>
      </c>
      <c r="V340" s="7" t="n">
        <v>2373.5</v>
      </c>
      <c r="X340" s="7" t="n">
        <f aca="false">X339+V340</f>
        <v>274203.6</v>
      </c>
      <c r="Y340" s="36" t="n">
        <f aca="false">Y339+V340</f>
        <v>41764.1</v>
      </c>
      <c r="AA340" s="7" t="n">
        <v>15.8954287659003</v>
      </c>
    </row>
    <row r="341" s="18" customFormat="true" ht="15" hidden="false" customHeight="false" outlineLevel="0" collapsed="false">
      <c r="A341" s="71"/>
      <c r="B341" s="49" t="n">
        <v>1000</v>
      </c>
      <c r="C341" s="17" t="n">
        <v>42187</v>
      </c>
      <c r="D341" s="18" t="n">
        <v>25.5</v>
      </c>
      <c r="E341" s="18" t="n">
        <v>19.2</v>
      </c>
      <c r="F341" s="18" t="n">
        <v>32.1</v>
      </c>
      <c r="G341" s="18" t="n">
        <f aca="false">G340+D341</f>
        <v>3104</v>
      </c>
      <c r="H341" s="18" t="n">
        <f aca="false">H340+D341</f>
        <v>417</v>
      </c>
      <c r="J341" s="18" t="n">
        <v>0</v>
      </c>
      <c r="K341" s="18" t="n">
        <f aca="false">K340+J341</f>
        <v>464.4</v>
      </c>
      <c r="L341" s="18" t="n">
        <v>5.1</v>
      </c>
      <c r="M341" s="18" t="n">
        <f aca="false">M340+L341</f>
        <v>507.2</v>
      </c>
      <c r="N341" s="19" t="n">
        <v>-5.1</v>
      </c>
      <c r="O341" s="18" t="n">
        <v>0</v>
      </c>
      <c r="P341" s="18" t="n">
        <v>297</v>
      </c>
      <c r="Q341" s="59" t="n">
        <f aca="false">1.15+((P341-258)/43)*(0.35-1.15)</f>
        <v>0.424418604651163</v>
      </c>
      <c r="R341" s="20" t="n">
        <f aca="false">Q341*L341</f>
        <v>2.16453488372093</v>
      </c>
      <c r="S341" s="20" t="n">
        <f aca="false">J341-R341</f>
        <v>-2.16453488372093</v>
      </c>
      <c r="T341" s="60" t="n">
        <v>0</v>
      </c>
      <c r="V341" s="18" t="n">
        <v>2002.6</v>
      </c>
      <c r="X341" s="18" t="n">
        <f aca="false">X340+V341</f>
        <v>276206.2</v>
      </c>
      <c r="Y341" s="18" t="n">
        <f aca="false">Y340+V341</f>
        <v>43766.7</v>
      </c>
      <c r="AA341" s="18" t="n">
        <v>15.8812393800885</v>
      </c>
    </row>
    <row r="342" s="7" customFormat="true" ht="15" hidden="false" customHeight="false" outlineLevel="0" collapsed="false">
      <c r="A342" s="50"/>
      <c r="B342" s="48"/>
      <c r="C342" s="8" t="n">
        <v>42188</v>
      </c>
      <c r="D342" s="7" t="n">
        <v>26.5</v>
      </c>
      <c r="E342" s="7" t="n">
        <v>19.8</v>
      </c>
      <c r="F342" s="7" t="n">
        <v>35.1</v>
      </c>
      <c r="G342" s="7" t="n">
        <f aca="false">G341+D342</f>
        <v>3130.5</v>
      </c>
      <c r="H342" s="36" t="n">
        <f aca="false">H341+D342</f>
        <v>443.5</v>
      </c>
      <c r="J342" s="7" t="n">
        <v>0</v>
      </c>
      <c r="K342" s="7" t="n">
        <f aca="false">K341+J342</f>
        <v>464.4</v>
      </c>
      <c r="L342" s="7" t="n">
        <v>6.3</v>
      </c>
      <c r="M342" s="7" t="n">
        <f aca="false">M341+L342</f>
        <v>513.5</v>
      </c>
      <c r="N342" s="9" t="n">
        <v>-6.3</v>
      </c>
      <c r="O342" s="7" t="n">
        <v>0</v>
      </c>
      <c r="P342" s="7" t="n">
        <v>298</v>
      </c>
      <c r="Q342" s="15" t="n">
        <f aca="false">1.15+((P342-258)/43)*(0.35-1.15)</f>
        <v>0.405813953488372</v>
      </c>
      <c r="R342" s="10" t="n">
        <f aca="false">Q342*L342</f>
        <v>2.55662790697674</v>
      </c>
      <c r="S342" s="10" t="n">
        <f aca="false">J342-R342</f>
        <v>-2.55662790697674</v>
      </c>
      <c r="T342" s="10" t="n">
        <v>0</v>
      </c>
      <c r="V342" s="7" t="n">
        <v>2291.6</v>
      </c>
      <c r="X342" s="7" t="n">
        <f aca="false">X341+V342</f>
        <v>278497.8</v>
      </c>
      <c r="Y342" s="36" t="n">
        <f aca="false">Y341+V342</f>
        <v>46058.3</v>
      </c>
      <c r="AA342" s="7" t="n">
        <v>15.8657581569863</v>
      </c>
    </row>
    <row r="343" s="7" customFormat="true" ht="15" hidden="false" customHeight="false" outlineLevel="0" collapsed="false">
      <c r="A343" s="50"/>
      <c r="B343" s="48"/>
      <c r="C343" s="8" t="n">
        <v>42189</v>
      </c>
      <c r="D343" s="7" t="n">
        <v>24.9</v>
      </c>
      <c r="E343" s="7" t="n">
        <v>20.9</v>
      </c>
      <c r="F343" s="7" t="n">
        <v>29.9</v>
      </c>
      <c r="G343" s="7" t="n">
        <f aca="false">G342+D343</f>
        <v>3155.4</v>
      </c>
      <c r="H343" s="36" t="n">
        <f aca="false">H342+D343</f>
        <v>468.4</v>
      </c>
      <c r="J343" s="7" t="n">
        <v>1.8</v>
      </c>
      <c r="K343" s="7" t="n">
        <f aca="false">K342+J343</f>
        <v>466.2</v>
      </c>
      <c r="L343" s="7" t="n">
        <v>3.6</v>
      </c>
      <c r="M343" s="7" t="n">
        <f aca="false">M342+L343</f>
        <v>517.1</v>
      </c>
      <c r="N343" s="9" t="n">
        <v>-1.8</v>
      </c>
      <c r="O343" s="7" t="n">
        <v>0</v>
      </c>
      <c r="P343" s="7" t="n">
        <v>299</v>
      </c>
      <c r="Q343" s="15" t="n">
        <f aca="false">1.15+((P343-258)/43)*(0.35-1.15)</f>
        <v>0.387209302325581</v>
      </c>
      <c r="R343" s="10" t="n">
        <f aca="false">Q343*L343</f>
        <v>1.39395348837209</v>
      </c>
      <c r="S343" s="10" t="n">
        <f aca="false">J343-R343</f>
        <v>0.406046511627907</v>
      </c>
      <c r="T343" s="10" t="n">
        <f aca="false">MIN(138.9,(T342+S343))</f>
        <v>0.406046511627907</v>
      </c>
      <c r="V343" s="7" t="n">
        <v>1593.2</v>
      </c>
      <c r="X343" s="7" t="n">
        <f aca="false">X342+V343</f>
        <v>280091</v>
      </c>
      <c r="Y343" s="36" t="n">
        <f aca="false">Y342+V343</f>
        <v>47651.5</v>
      </c>
      <c r="AA343" s="7" t="n">
        <v>15.8490004336365</v>
      </c>
    </row>
    <row r="344" s="7" customFormat="true" ht="15" hidden="false" customHeight="false" outlineLevel="0" collapsed="false">
      <c r="A344" s="50"/>
      <c r="B344" s="48"/>
      <c r="C344" s="8" t="n">
        <v>42190</v>
      </c>
      <c r="D344" s="7" t="n">
        <v>21.4</v>
      </c>
      <c r="E344" s="7" t="n">
        <v>17.9</v>
      </c>
      <c r="F344" s="7" t="n">
        <v>25.7</v>
      </c>
      <c r="G344" s="7" t="n">
        <f aca="false">G343+D344</f>
        <v>3176.8</v>
      </c>
      <c r="H344" s="36" t="n">
        <f aca="false">H343+D344</f>
        <v>489.8</v>
      </c>
      <c r="J344" s="7" t="n">
        <v>0.1</v>
      </c>
      <c r="K344" s="7" t="n">
        <f aca="false">K343+J344</f>
        <v>466.3</v>
      </c>
      <c r="L344" s="7" t="n">
        <v>3.8</v>
      </c>
      <c r="M344" s="7" t="n">
        <f aca="false">M343+L344</f>
        <v>520.9</v>
      </c>
      <c r="N344" s="9" t="n">
        <v>-3.7</v>
      </c>
      <c r="O344" s="7" t="n">
        <v>0</v>
      </c>
      <c r="P344" s="7" t="n">
        <v>300</v>
      </c>
      <c r="Q344" s="15" t="n">
        <f aca="false">1.15+((P344-258)/43)*(0.35-1.15)</f>
        <v>0.368604651162791</v>
      </c>
      <c r="R344" s="10" t="n">
        <f aca="false">Q344*L344</f>
        <v>1.4006976744186</v>
      </c>
      <c r="S344" s="10" t="n">
        <f aca="false">J344-R344</f>
        <v>-1.3006976744186</v>
      </c>
      <c r="T344" s="10" t="n">
        <v>0</v>
      </c>
      <c r="V344" s="7" t="n">
        <v>1614.4</v>
      </c>
      <c r="X344" s="7" t="n">
        <f aca="false">X343+V344</f>
        <v>281705.4</v>
      </c>
      <c r="Y344" s="36" t="n">
        <f aca="false">Y343+V344</f>
        <v>49265.9</v>
      </c>
      <c r="AA344" s="7" t="n">
        <v>15.8309825856438</v>
      </c>
    </row>
    <row r="345" s="7" customFormat="true" ht="15" hidden="false" customHeight="false" outlineLevel="0" collapsed="false">
      <c r="A345" s="50"/>
      <c r="B345" s="48"/>
      <c r="C345" s="8" t="n">
        <v>42191</v>
      </c>
      <c r="D345" s="7" t="n">
        <v>23.2</v>
      </c>
      <c r="E345" s="7" t="n">
        <v>15</v>
      </c>
      <c r="F345" s="7" t="n">
        <v>31.6</v>
      </c>
      <c r="G345" s="7" t="n">
        <f aca="false">G344+D345</f>
        <v>3200</v>
      </c>
      <c r="H345" s="36" t="n">
        <f aca="false">H344+D345</f>
        <v>513</v>
      </c>
      <c r="J345" s="7" t="n">
        <v>0</v>
      </c>
      <c r="K345" s="7" t="n">
        <f aca="false">K344+J345</f>
        <v>466.3</v>
      </c>
      <c r="L345" s="7" t="n">
        <v>6.6</v>
      </c>
      <c r="M345" s="7" t="n">
        <f aca="false">M344+L345</f>
        <v>527.5</v>
      </c>
      <c r="N345" s="9" t="n">
        <v>-6.6</v>
      </c>
      <c r="O345" s="7" t="n">
        <v>0</v>
      </c>
      <c r="P345" s="7" t="n">
        <v>301</v>
      </c>
      <c r="Q345" s="15" t="n">
        <f aca="false">1.15+((P345-258)/43)*(0.35-1.15)</f>
        <v>0.35</v>
      </c>
      <c r="R345" s="10" t="n">
        <f aca="false">Q345*L345</f>
        <v>2.31</v>
      </c>
      <c r="S345" s="10" t="n">
        <f aca="false">J345-R345</f>
        <v>-2.31</v>
      </c>
      <c r="T345" s="10" t="n">
        <v>0</v>
      </c>
      <c r="V345" s="7" t="n">
        <v>3001.6</v>
      </c>
      <c r="X345" s="7" t="n">
        <f aca="false">X344+V345</f>
        <v>284707</v>
      </c>
      <c r="Y345" s="36" t="n">
        <f aca="false">Y344+V345</f>
        <v>52267.5</v>
      </c>
      <c r="AA345" s="7" t="n">
        <v>15.8117219713073</v>
      </c>
    </row>
    <row r="346" s="7" customFormat="true" ht="15" hidden="false" customHeight="false" outlineLevel="0" collapsed="false">
      <c r="A346" s="51" t="s">
        <v>58</v>
      </c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7" t="n">
        <v>15.7912368735119</v>
      </c>
    </row>
  </sheetData>
  <mergeCells count="14">
    <mergeCell ref="D1:I2"/>
    <mergeCell ref="J1:U2"/>
    <mergeCell ref="V1:Z2"/>
    <mergeCell ref="P3:T3"/>
    <mergeCell ref="G4:H4"/>
    <mergeCell ref="X4:Y4"/>
    <mergeCell ref="A44:Z44"/>
    <mergeCell ref="A45:A126"/>
    <mergeCell ref="A127:A217"/>
    <mergeCell ref="A218:A258"/>
    <mergeCell ref="A280:A302"/>
    <mergeCell ref="A303:A320"/>
    <mergeCell ref="A321:A341"/>
    <mergeCell ref="A346:Z346"/>
  </mergeCells>
  <conditionalFormatting sqref="T5:T346">
    <cfRule type="cellIs" priority="2" operator="equal" aboveAverage="0" equalAverage="0" bottom="0" percent="0" rank="0" text="" dxfId="10">
      <formula>0</formula>
    </cfRule>
    <cfRule type="cellIs" priority="3" operator="lessThanOrEqual" aboveAverage="0" equalAverage="0" bottom="0" percent="0" rank="0" text="" dxfId="11">
      <formula>46.3</formula>
    </cfRule>
  </conditionalFormatting>
  <conditionalFormatting sqref="S45:S345">
    <cfRule type="cellIs" priority="4" operator="lessThanOrEqual" aboveAverage="0" equalAverage="0" bottom="0" percent="0" rank="0" text="" dxfId="12">
      <formula>0</formula>
    </cfRule>
  </conditionalFormatting>
  <conditionalFormatting sqref="V45:V345">
    <cfRule type="cellIs" priority="5" operator="lessThan" aboveAverage="0" equalAverage="0" bottom="0" percent="0" rank="0" text="" dxfId="13">
      <formula>900</formula>
    </cfRule>
    <cfRule type="cellIs" priority="6" operator="greaterThan" aboveAverage="0" equalAverage="0" bottom="0" percent="0" rank="0" text="" dxfId="4">
      <formula>900</formula>
    </cfRule>
  </conditionalFormatting>
  <conditionalFormatting sqref="D5:F43 D45:F345 I52 I54 I56 I58 I140 I136 I134 I138 I231 I225 I227 I229 I266 I268 I270 I272 I287 I289 I291 I293 I310 I312 I314 I316 I328 I330 I332 I334">
    <cfRule type="cellIs" priority="7" operator="between" aboveAverage="0" equalAverage="0" bottom="0" percent="0" rank="0" text="" dxfId="14">
      <formula>0</formula>
      <formula>5</formula>
    </cfRule>
    <cfRule type="cellIs" priority="8" operator="between" aboveAverage="0" equalAverage="0" bottom="0" percent="0" rank="0" text="" dxfId="15">
      <formula>-40</formula>
      <formula>0</formula>
    </cfRule>
    <cfRule type="cellIs" priority="9" operator="between" aboveAverage="0" equalAverage="0" bottom="0" percent="0" rank="0" text="" dxfId="16">
      <formula>25</formula>
      <formula>40</formula>
    </cfRule>
  </conditionalFormatting>
  <conditionalFormatting sqref="T1:T4">
    <cfRule type="cellIs" priority="10" operator="equal" aboveAverage="0" equalAverage="0" bottom="0" percent="0" rank="0" text="" dxfId="17">
      <formula>0</formula>
    </cfRule>
    <cfRule type="cellIs" priority="11" operator="lessThanOrEqual" aboveAverage="0" equalAverage="0" bottom="0" percent="0" rank="0" text="" dxfId="18">
      <formula>46.3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  <Company>INRA - RENNES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2019-11-06T15:48:40Z</dcterms:created>
  <dc:creator>adminigepp</dc:creator>
  <dc:description/>
  <dc:language>fr-FR</dc:language>
  <cp:lastModifiedBy/>
  <dcterms:modified xsi:type="dcterms:W3CDTF">2025-12-09T13:51:20Z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