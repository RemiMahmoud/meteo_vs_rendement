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Users\ecorlouer\Documents\AA_FICHIERS_ELABORATION_IPC\Actualisation_2019_N\R2015\"/>
    </mc:Choice>
  </mc:AlternateContent>
  <bookViews>
    <workbookView xWindow="0" yWindow="0" windowWidth="19200" windowHeight="10860"/>
  </bookViews>
  <sheets>
    <sheet name="N+" sheetId="1" r:id="rId1"/>
    <sheet name="N-" sheetId="2" r:id="rId2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D220" i="1" l="1"/>
  <c r="AD222" i="1"/>
  <c r="AD224" i="1"/>
  <c r="AD226" i="1"/>
  <c r="AD228" i="1"/>
  <c r="AB240" i="1"/>
  <c r="AB232" i="1"/>
  <c r="AB227" i="1"/>
  <c r="AB219" i="1"/>
  <c r="AB205" i="1"/>
  <c r="AB197" i="1"/>
  <c r="AD228" i="2"/>
  <c r="AD226" i="2"/>
  <c r="AD224" i="2"/>
  <c r="AD222" i="2"/>
  <c r="AD220" i="2"/>
  <c r="AB228" i="2"/>
  <c r="AB220" i="2"/>
  <c r="AB215" i="2"/>
  <c r="AB207" i="2"/>
  <c r="U332" i="2" l="1"/>
  <c r="U330" i="2"/>
  <c r="I326" i="2"/>
  <c r="I324" i="2"/>
  <c r="I322" i="2"/>
  <c r="U314" i="2"/>
  <c r="U312" i="2"/>
  <c r="U310" i="2"/>
  <c r="I308" i="2"/>
  <c r="I306" i="2"/>
  <c r="I304" i="2"/>
  <c r="U291" i="2"/>
  <c r="U293" i="2"/>
  <c r="U289" i="2"/>
  <c r="U287" i="2"/>
  <c r="I285" i="2"/>
  <c r="I283" i="2"/>
  <c r="I281" i="2"/>
  <c r="U270" i="2"/>
  <c r="U268" i="2"/>
  <c r="U266" i="2"/>
  <c r="I264" i="2"/>
  <c r="I260" i="2"/>
  <c r="I262" i="2"/>
  <c r="U229" i="2"/>
  <c r="T258" i="2"/>
  <c r="U227" i="2"/>
  <c r="U225" i="2"/>
  <c r="I223" i="2"/>
  <c r="I221" i="2"/>
  <c r="I219" i="2"/>
  <c r="Y321" i="2"/>
  <c r="H321" i="2"/>
  <c r="H303" i="2"/>
  <c r="Y303" i="2"/>
  <c r="Y280" i="2"/>
  <c r="Q304" i="2"/>
  <c r="Q305" i="2"/>
  <c r="R305" i="2" s="1"/>
  <c r="S305" i="2" s="1"/>
  <c r="Q306" i="2"/>
  <c r="R306" i="2" s="1"/>
  <c r="S306" i="2" s="1"/>
  <c r="Q307" i="2"/>
  <c r="Q308" i="2"/>
  <c r="Q309" i="2"/>
  <c r="Q310" i="2"/>
  <c r="R310" i="2" s="1"/>
  <c r="S310" i="2" s="1"/>
  <c r="Q311" i="2"/>
  <c r="Q312" i="2"/>
  <c r="R312" i="2" s="1"/>
  <c r="S312" i="2" s="1"/>
  <c r="Q313" i="2"/>
  <c r="R313" i="2" s="1"/>
  <c r="S313" i="2" s="1"/>
  <c r="Q314" i="2"/>
  <c r="R314" i="2" s="1"/>
  <c r="S314" i="2" s="1"/>
  <c r="Q315" i="2"/>
  <c r="Q316" i="2"/>
  <c r="Q317" i="2"/>
  <c r="Q318" i="2"/>
  <c r="R318" i="2" s="1"/>
  <c r="S318" i="2" s="1"/>
  <c r="Q319" i="2"/>
  <c r="Q320" i="2"/>
  <c r="R320" i="2" s="1"/>
  <c r="S320" i="2" s="1"/>
  <c r="Q321" i="2"/>
  <c r="R321" i="2" s="1"/>
  <c r="S321" i="2" s="1"/>
  <c r="Q322" i="2"/>
  <c r="R322" i="2" s="1"/>
  <c r="S322" i="2" s="1"/>
  <c r="Q323" i="2"/>
  <c r="Q324" i="2"/>
  <c r="Q325" i="2"/>
  <c r="Q326" i="2"/>
  <c r="R326" i="2" s="1"/>
  <c r="S326" i="2" s="1"/>
  <c r="Q327" i="2"/>
  <c r="Q328" i="2"/>
  <c r="R328" i="2" s="1"/>
  <c r="S328" i="2" s="1"/>
  <c r="Q329" i="2"/>
  <c r="R329" i="2" s="1"/>
  <c r="S329" i="2" s="1"/>
  <c r="Q330" i="2"/>
  <c r="R330" i="2" s="1"/>
  <c r="S330" i="2" s="1"/>
  <c r="Q331" i="2"/>
  <c r="Q332" i="2"/>
  <c r="Q333" i="2"/>
  <c r="Q334" i="2"/>
  <c r="Q335" i="2"/>
  <c r="Q336" i="2"/>
  <c r="Q337" i="2"/>
  <c r="R337" i="2" s="1"/>
  <c r="S337" i="2" s="1"/>
  <c r="Q338" i="2"/>
  <c r="R338" i="2" s="1"/>
  <c r="S338" i="2" s="1"/>
  <c r="Q339" i="2"/>
  <c r="Q340" i="2"/>
  <c r="Q341" i="2"/>
  <c r="Q342" i="2"/>
  <c r="R342" i="2" s="1"/>
  <c r="S342" i="2" s="1"/>
  <c r="Q343" i="2"/>
  <c r="Q344" i="2"/>
  <c r="R344" i="2" s="1"/>
  <c r="S344" i="2" s="1"/>
  <c r="Q345" i="2"/>
  <c r="R345" i="2" s="1"/>
  <c r="S345" i="2" s="1"/>
  <c r="Q303" i="2"/>
  <c r="R303" i="2" s="1"/>
  <c r="S303" i="2" s="1"/>
  <c r="H280" i="2"/>
  <c r="Y259" i="2"/>
  <c r="H259" i="2"/>
  <c r="Q219" i="2"/>
  <c r="Q220" i="2"/>
  <c r="R220" i="2" s="1"/>
  <c r="S220" i="2" s="1"/>
  <c r="Q221" i="2"/>
  <c r="R221" i="2" s="1"/>
  <c r="S221" i="2" s="1"/>
  <c r="Q222" i="2"/>
  <c r="Q223" i="2"/>
  <c r="Q224" i="2"/>
  <c r="Q225" i="2"/>
  <c r="Q226" i="2"/>
  <c r="Q227" i="2"/>
  <c r="Q228" i="2"/>
  <c r="R228" i="2" s="1"/>
  <c r="S228" i="2" s="1"/>
  <c r="Q229" i="2"/>
  <c r="R229" i="2" s="1"/>
  <c r="S229" i="2" s="1"/>
  <c r="Q230" i="2"/>
  <c r="Q231" i="2"/>
  <c r="Q232" i="2"/>
  <c r="Q233" i="2"/>
  <c r="Q234" i="2"/>
  <c r="Q235" i="2"/>
  <c r="Q236" i="2"/>
  <c r="R236" i="2" s="1"/>
  <c r="S236" i="2" s="1"/>
  <c r="Q237" i="2"/>
  <c r="Q238" i="2"/>
  <c r="Q239" i="2"/>
  <c r="Q240" i="2"/>
  <c r="Q241" i="2"/>
  <c r="Q242" i="2"/>
  <c r="Q243" i="2"/>
  <c r="Q244" i="2"/>
  <c r="R244" i="2" s="1"/>
  <c r="S244" i="2" s="1"/>
  <c r="Q245" i="2"/>
  <c r="R245" i="2" s="1"/>
  <c r="S245" i="2" s="1"/>
  <c r="Q246" i="2"/>
  <c r="Q247" i="2"/>
  <c r="Q248" i="2"/>
  <c r="R248" i="2" s="1"/>
  <c r="S248" i="2" s="1"/>
  <c r="Q249" i="2"/>
  <c r="Q250" i="2"/>
  <c r="Q251" i="2"/>
  <c r="Q252" i="2"/>
  <c r="Q253" i="2"/>
  <c r="R253" i="2" s="1"/>
  <c r="S253" i="2" s="1"/>
  <c r="Q254" i="2"/>
  <c r="Q255" i="2"/>
  <c r="Q256" i="2"/>
  <c r="Q257" i="2"/>
  <c r="R257" i="2" s="1"/>
  <c r="S257" i="2" s="1"/>
  <c r="Q258" i="2"/>
  <c r="Q218" i="2"/>
  <c r="H260" i="2"/>
  <c r="H261" i="2" s="1"/>
  <c r="H262" i="2" s="1"/>
  <c r="H263" i="2" s="1"/>
  <c r="H264" i="2" s="1"/>
  <c r="H265" i="2" s="1"/>
  <c r="H266" i="2" s="1"/>
  <c r="H267" i="2" s="1"/>
  <c r="H268" i="2" s="1"/>
  <c r="H269" i="2" s="1"/>
  <c r="H270" i="2" s="1"/>
  <c r="H271" i="2" s="1"/>
  <c r="H272" i="2" s="1"/>
  <c r="H273" i="2" s="1"/>
  <c r="H274" i="2" s="1"/>
  <c r="H275" i="2" s="1"/>
  <c r="H276" i="2" s="1"/>
  <c r="H277" i="2" s="1"/>
  <c r="H278" i="2" s="1"/>
  <c r="H279" i="2" s="1"/>
  <c r="H281" i="2" s="1"/>
  <c r="H282" i="2" s="1"/>
  <c r="H283" i="2" s="1"/>
  <c r="H284" i="2" s="1"/>
  <c r="H285" i="2" s="1"/>
  <c r="H286" i="2" s="1"/>
  <c r="H287" i="2" s="1"/>
  <c r="H288" i="2" s="1"/>
  <c r="H289" i="2" s="1"/>
  <c r="H290" i="2" s="1"/>
  <c r="H291" i="2" s="1"/>
  <c r="H292" i="2" s="1"/>
  <c r="H293" i="2" s="1"/>
  <c r="H294" i="2" s="1"/>
  <c r="H295" i="2" s="1"/>
  <c r="H296" i="2" s="1"/>
  <c r="H297" i="2" s="1"/>
  <c r="H298" i="2" s="1"/>
  <c r="H299" i="2" s="1"/>
  <c r="H300" i="2" s="1"/>
  <c r="H301" i="2" s="1"/>
  <c r="H302" i="2" s="1"/>
  <c r="H304" i="2" s="1"/>
  <c r="H305" i="2" s="1"/>
  <c r="H306" i="2" s="1"/>
  <c r="H307" i="2" s="1"/>
  <c r="H308" i="2" s="1"/>
  <c r="H309" i="2" s="1"/>
  <c r="H310" i="2" s="1"/>
  <c r="H311" i="2" s="1"/>
  <c r="H312" i="2" s="1"/>
  <c r="H313" i="2" s="1"/>
  <c r="H314" i="2" s="1"/>
  <c r="H315" i="2" s="1"/>
  <c r="H316" i="2" s="1"/>
  <c r="H317" i="2" s="1"/>
  <c r="H318" i="2" s="1"/>
  <c r="H319" i="2" s="1"/>
  <c r="H320" i="2" s="1"/>
  <c r="H322" i="2" s="1"/>
  <c r="H323" i="2" s="1"/>
  <c r="H324" i="2" s="1"/>
  <c r="H325" i="2" s="1"/>
  <c r="H326" i="2" s="1"/>
  <c r="H327" i="2" s="1"/>
  <c r="H328" i="2" s="1"/>
  <c r="H329" i="2" s="1"/>
  <c r="H330" i="2" s="1"/>
  <c r="H331" i="2" s="1"/>
  <c r="H332" i="2" s="1"/>
  <c r="H333" i="2" s="1"/>
  <c r="H334" i="2" s="1"/>
  <c r="H335" i="2" s="1"/>
  <c r="H336" i="2" s="1"/>
  <c r="H337" i="2" s="1"/>
  <c r="H338" i="2" s="1"/>
  <c r="H339" i="2" s="1"/>
  <c r="H340" i="2" s="1"/>
  <c r="H341" i="2" s="1"/>
  <c r="H342" i="2" s="1"/>
  <c r="H343" i="2" s="1"/>
  <c r="H344" i="2" s="1"/>
  <c r="H345" i="2" s="1"/>
  <c r="R343" i="2"/>
  <c r="S343" i="2" s="1"/>
  <c r="R341" i="2"/>
  <c r="S341" i="2" s="1"/>
  <c r="R340" i="2"/>
  <c r="S340" i="2" s="1"/>
  <c r="R339" i="2"/>
  <c r="S339" i="2" s="1"/>
  <c r="R336" i="2"/>
  <c r="S336" i="2" s="1"/>
  <c r="R335" i="2"/>
  <c r="S335" i="2" s="1"/>
  <c r="R334" i="2"/>
  <c r="S334" i="2" s="1"/>
  <c r="R333" i="2"/>
  <c r="S333" i="2" s="1"/>
  <c r="R332" i="2"/>
  <c r="S332" i="2" s="1"/>
  <c r="R331" i="2"/>
  <c r="S331" i="2" s="1"/>
  <c r="R327" i="2"/>
  <c r="S327" i="2" s="1"/>
  <c r="R325" i="2"/>
  <c r="S325" i="2" s="1"/>
  <c r="Z324" i="2"/>
  <c r="R324" i="2"/>
  <c r="S324" i="2" s="1"/>
  <c r="R323" i="2"/>
  <c r="S323" i="2" s="1"/>
  <c r="R319" i="2"/>
  <c r="S319" i="2" s="1"/>
  <c r="R317" i="2"/>
  <c r="S317" i="2" s="1"/>
  <c r="R316" i="2"/>
  <c r="S316" i="2" s="1"/>
  <c r="R315" i="2"/>
  <c r="S315" i="2" s="1"/>
  <c r="R311" i="2"/>
  <c r="S311" i="2" s="1"/>
  <c r="R309" i="2"/>
  <c r="S309" i="2" s="1"/>
  <c r="R308" i="2"/>
  <c r="S308" i="2" s="1"/>
  <c r="R307" i="2"/>
  <c r="S307" i="2" s="1"/>
  <c r="Z306" i="2"/>
  <c r="R304" i="2"/>
  <c r="S304" i="2" s="1"/>
  <c r="R302" i="2"/>
  <c r="S302" i="2" s="1"/>
  <c r="R301" i="2"/>
  <c r="S301" i="2" s="1"/>
  <c r="R300" i="2"/>
  <c r="S300" i="2" s="1"/>
  <c r="R299" i="2"/>
  <c r="S299" i="2" s="1"/>
  <c r="R298" i="2"/>
  <c r="S298" i="2" s="1"/>
  <c r="R297" i="2"/>
  <c r="S297" i="2" s="1"/>
  <c r="R296" i="2"/>
  <c r="S296" i="2" s="1"/>
  <c r="R295" i="2"/>
  <c r="S295" i="2" s="1"/>
  <c r="R294" i="2"/>
  <c r="S294" i="2" s="1"/>
  <c r="R293" i="2"/>
  <c r="S293" i="2" s="1"/>
  <c r="R292" i="2"/>
  <c r="S292" i="2" s="1"/>
  <c r="R291" i="2"/>
  <c r="S291" i="2" s="1"/>
  <c r="R290" i="2"/>
  <c r="S290" i="2" s="1"/>
  <c r="R289" i="2"/>
  <c r="S289" i="2" s="1"/>
  <c r="R288" i="2"/>
  <c r="S288" i="2" s="1"/>
  <c r="R287" i="2"/>
  <c r="S287" i="2" s="1"/>
  <c r="R286" i="2"/>
  <c r="S286" i="2" s="1"/>
  <c r="S285" i="2"/>
  <c r="R285" i="2"/>
  <c r="O285" i="2"/>
  <c r="O286" i="2" s="1"/>
  <c r="O287" i="2" s="1"/>
  <c r="O288" i="2" s="1"/>
  <c r="O289" i="2" s="1"/>
  <c r="O290" i="2" s="1"/>
  <c r="O291" i="2" s="1"/>
  <c r="O292" i="2" s="1"/>
  <c r="O293" i="2" s="1"/>
  <c r="O294" i="2" s="1"/>
  <c r="O295" i="2" s="1"/>
  <c r="O296" i="2" s="1"/>
  <c r="O297" i="2" s="1"/>
  <c r="O298" i="2" s="1"/>
  <c r="O299" i="2" s="1"/>
  <c r="O300" i="2" s="1"/>
  <c r="O301" i="2" s="1"/>
  <c r="O302" i="2" s="1"/>
  <c r="O303" i="2" s="1"/>
  <c r="O304" i="2" s="1"/>
  <c r="O305" i="2" s="1"/>
  <c r="O306" i="2" s="1"/>
  <c r="O307" i="2" s="1"/>
  <c r="O308" i="2" s="1"/>
  <c r="O309" i="2" s="1"/>
  <c r="O310" i="2" s="1"/>
  <c r="O311" i="2" s="1"/>
  <c r="O312" i="2" s="1"/>
  <c r="O313" i="2" s="1"/>
  <c r="O314" i="2" s="1"/>
  <c r="O315" i="2" s="1"/>
  <c r="O316" i="2" s="1"/>
  <c r="O317" i="2" s="1"/>
  <c r="O318" i="2" s="1"/>
  <c r="O319" i="2" s="1"/>
  <c r="O320" i="2" s="1"/>
  <c r="O321" i="2" s="1"/>
  <c r="O322" i="2" s="1"/>
  <c r="O323" i="2" s="1"/>
  <c r="O324" i="2" s="1"/>
  <c r="O325" i="2" s="1"/>
  <c r="O326" i="2" s="1"/>
  <c r="O327" i="2" s="1"/>
  <c r="O328" i="2" s="1"/>
  <c r="O329" i="2" s="1"/>
  <c r="O330" i="2" s="1"/>
  <c r="O331" i="2" s="1"/>
  <c r="R284" i="2"/>
  <c r="S284" i="2" s="1"/>
  <c r="R283" i="2"/>
  <c r="S283" i="2" s="1"/>
  <c r="O283" i="2"/>
  <c r="O284" i="2" s="1"/>
  <c r="Z283" i="2"/>
  <c r="R282" i="2"/>
  <c r="S282" i="2" s="1"/>
  <c r="S281" i="2"/>
  <c r="R281" i="2"/>
  <c r="S280" i="2"/>
  <c r="R280" i="2"/>
  <c r="R279" i="2"/>
  <c r="S279" i="2" s="1"/>
  <c r="R278" i="2"/>
  <c r="S278" i="2" s="1"/>
  <c r="S277" i="2"/>
  <c r="R277" i="2"/>
  <c r="R276" i="2"/>
  <c r="S276" i="2" s="1"/>
  <c r="R275" i="2"/>
  <c r="S275" i="2" s="1"/>
  <c r="R274" i="2"/>
  <c r="S274" i="2" s="1"/>
  <c r="R273" i="2"/>
  <c r="S273" i="2" s="1"/>
  <c r="R272" i="2"/>
  <c r="S272" i="2" s="1"/>
  <c r="S271" i="2"/>
  <c r="R271" i="2"/>
  <c r="S270" i="2"/>
  <c r="R270" i="2"/>
  <c r="R269" i="2"/>
  <c r="S269" i="2" s="1"/>
  <c r="R268" i="2"/>
  <c r="S268" i="2" s="1"/>
  <c r="S267" i="2"/>
  <c r="R267" i="2"/>
  <c r="R266" i="2"/>
  <c r="S266" i="2" s="1"/>
  <c r="S265" i="2"/>
  <c r="R265" i="2"/>
  <c r="R264" i="2"/>
  <c r="S264" i="2" s="1"/>
  <c r="R263" i="2"/>
  <c r="S263" i="2" s="1"/>
  <c r="R262" i="2"/>
  <c r="S262" i="2" s="1"/>
  <c r="Z262" i="2"/>
  <c r="R261" i="2"/>
  <c r="S261" i="2" s="1"/>
  <c r="R260" i="2"/>
  <c r="S260" i="2" s="1"/>
  <c r="R259" i="2"/>
  <c r="S259" i="2" s="1"/>
  <c r="R258" i="2"/>
  <c r="S258" i="2" s="1"/>
  <c r="R256" i="2"/>
  <c r="S256" i="2" s="1"/>
  <c r="R255" i="2"/>
  <c r="S255" i="2" s="1"/>
  <c r="R254" i="2"/>
  <c r="S254" i="2" s="1"/>
  <c r="R252" i="2"/>
  <c r="S252" i="2" s="1"/>
  <c r="R251" i="2"/>
  <c r="S251" i="2" s="1"/>
  <c r="R250" i="2"/>
  <c r="S250" i="2" s="1"/>
  <c r="R249" i="2"/>
  <c r="S249" i="2" s="1"/>
  <c r="R247" i="2"/>
  <c r="S247" i="2" s="1"/>
  <c r="R246" i="2"/>
  <c r="S246" i="2" s="1"/>
  <c r="R243" i="2"/>
  <c r="S243" i="2" s="1"/>
  <c r="R242" i="2"/>
  <c r="S242" i="2" s="1"/>
  <c r="R241" i="2"/>
  <c r="S241" i="2" s="1"/>
  <c r="S240" i="2"/>
  <c r="R240" i="2"/>
  <c r="R239" i="2"/>
  <c r="S239" i="2" s="1"/>
  <c r="R238" i="2"/>
  <c r="S238" i="2" s="1"/>
  <c r="R237" i="2"/>
  <c r="S237" i="2" s="1"/>
  <c r="R235" i="2"/>
  <c r="S235" i="2" s="1"/>
  <c r="R234" i="2"/>
  <c r="S234" i="2" s="1"/>
  <c r="R233" i="2"/>
  <c r="S233" i="2" s="1"/>
  <c r="R232" i="2"/>
  <c r="S232" i="2" s="1"/>
  <c r="S231" i="2"/>
  <c r="R231" i="2"/>
  <c r="S230" i="2"/>
  <c r="R230" i="2"/>
  <c r="R227" i="2"/>
  <c r="S227" i="2" s="1"/>
  <c r="R226" i="2"/>
  <c r="S226" i="2" s="1"/>
  <c r="R225" i="2"/>
  <c r="S225" i="2" s="1"/>
  <c r="R224" i="2"/>
  <c r="S224" i="2" s="1"/>
  <c r="R223" i="2"/>
  <c r="S223" i="2" s="1"/>
  <c r="Y222" i="2"/>
  <c r="Y223" i="2" s="1"/>
  <c r="Y224" i="2" s="1"/>
  <c r="Y225" i="2" s="1"/>
  <c r="Y226" i="2" s="1"/>
  <c r="Y227" i="2" s="1"/>
  <c r="Y228" i="2" s="1"/>
  <c r="Y229" i="2" s="1"/>
  <c r="Y230" i="2" s="1"/>
  <c r="Y231" i="2" s="1"/>
  <c r="Y232" i="2" s="1"/>
  <c r="Y233" i="2" s="1"/>
  <c r="Y234" i="2" s="1"/>
  <c r="Y235" i="2" s="1"/>
  <c r="Y236" i="2" s="1"/>
  <c r="Y237" i="2" s="1"/>
  <c r="Y238" i="2" s="1"/>
  <c r="Y239" i="2" s="1"/>
  <c r="Y240" i="2" s="1"/>
  <c r="Y241" i="2" s="1"/>
  <c r="Y242" i="2" s="1"/>
  <c r="Y243" i="2" s="1"/>
  <c r="Y244" i="2" s="1"/>
  <c r="Y245" i="2" s="1"/>
  <c r="Y246" i="2" s="1"/>
  <c r="Y247" i="2" s="1"/>
  <c r="Y248" i="2" s="1"/>
  <c r="Y249" i="2" s="1"/>
  <c r="Y250" i="2" s="1"/>
  <c r="Y251" i="2" s="1"/>
  <c r="Y252" i="2" s="1"/>
  <c r="Y253" i="2" s="1"/>
  <c r="Y254" i="2" s="1"/>
  <c r="Y255" i="2" s="1"/>
  <c r="Y256" i="2" s="1"/>
  <c r="Y257" i="2" s="1"/>
  <c r="Y258" i="2" s="1"/>
  <c r="Y260" i="2" s="1"/>
  <c r="Y261" i="2" s="1"/>
  <c r="Y262" i="2" s="1"/>
  <c r="Y263" i="2" s="1"/>
  <c r="Y264" i="2" s="1"/>
  <c r="Y265" i="2" s="1"/>
  <c r="Y266" i="2" s="1"/>
  <c r="Y267" i="2" s="1"/>
  <c r="Y268" i="2" s="1"/>
  <c r="Y269" i="2" s="1"/>
  <c r="Y270" i="2" s="1"/>
  <c r="Y271" i="2" s="1"/>
  <c r="Y272" i="2" s="1"/>
  <c r="Y273" i="2" s="1"/>
  <c r="Y274" i="2" s="1"/>
  <c r="Y275" i="2" s="1"/>
  <c r="Y276" i="2" s="1"/>
  <c r="Y277" i="2" s="1"/>
  <c r="Y278" i="2" s="1"/>
  <c r="Y279" i="2" s="1"/>
  <c r="Y281" i="2" s="1"/>
  <c r="Y282" i="2" s="1"/>
  <c r="Y283" i="2" s="1"/>
  <c r="Y284" i="2" s="1"/>
  <c r="Y285" i="2" s="1"/>
  <c r="Y286" i="2" s="1"/>
  <c r="Y287" i="2" s="1"/>
  <c r="Y288" i="2" s="1"/>
  <c r="Y289" i="2" s="1"/>
  <c r="Y290" i="2" s="1"/>
  <c r="Y291" i="2" s="1"/>
  <c r="Y292" i="2" s="1"/>
  <c r="Y293" i="2" s="1"/>
  <c r="Y294" i="2" s="1"/>
  <c r="Y295" i="2" s="1"/>
  <c r="Y296" i="2" s="1"/>
  <c r="Y297" i="2" s="1"/>
  <c r="Y298" i="2" s="1"/>
  <c r="Y299" i="2" s="1"/>
  <c r="Y300" i="2" s="1"/>
  <c r="Y301" i="2" s="1"/>
  <c r="Y302" i="2" s="1"/>
  <c r="R222" i="2"/>
  <c r="S222" i="2" s="1"/>
  <c r="Z221" i="2"/>
  <c r="R219" i="2"/>
  <c r="S219" i="2" s="1"/>
  <c r="O219" i="2"/>
  <c r="O220" i="2" s="1"/>
  <c r="O221" i="2" s="1"/>
  <c r="O222" i="2" s="1"/>
  <c r="O223" i="2" s="1"/>
  <c r="O224" i="2" s="1"/>
  <c r="O225" i="2" s="1"/>
  <c r="O226" i="2" s="1"/>
  <c r="O227" i="2" s="1"/>
  <c r="O228" i="2" s="1"/>
  <c r="O229" i="2" s="1"/>
  <c r="O230" i="2" s="1"/>
  <c r="O231" i="2" s="1"/>
  <c r="O232" i="2" s="1"/>
  <c r="O233" i="2" s="1"/>
  <c r="O234" i="2" s="1"/>
  <c r="O235" i="2" s="1"/>
  <c r="O236" i="2" s="1"/>
  <c r="O237" i="2" s="1"/>
  <c r="O238" i="2" s="1"/>
  <c r="O239" i="2" s="1"/>
  <c r="O240" i="2" s="1"/>
  <c r="O241" i="2" s="1"/>
  <c r="O242" i="2" s="1"/>
  <c r="O243" i="2" s="1"/>
  <c r="O244" i="2" s="1"/>
  <c r="O245" i="2" s="1"/>
  <c r="O246" i="2" s="1"/>
  <c r="O247" i="2" s="1"/>
  <c r="O248" i="2" s="1"/>
  <c r="O249" i="2" s="1"/>
  <c r="O250" i="2" s="1"/>
  <c r="O251" i="2" s="1"/>
  <c r="O252" i="2" s="1"/>
  <c r="O253" i="2" s="1"/>
  <c r="O254" i="2" s="1"/>
  <c r="O255" i="2" s="1"/>
  <c r="O256" i="2" s="1"/>
  <c r="O257" i="2" s="1"/>
  <c r="O258" i="2" s="1"/>
  <c r="O259" i="2" s="1"/>
  <c r="O260" i="2" s="1"/>
  <c r="O261" i="2" s="1"/>
  <c r="O262" i="2" s="1"/>
  <c r="O263" i="2" s="1"/>
  <c r="O264" i="2" s="1"/>
  <c r="O265" i="2" s="1"/>
  <c r="O266" i="2" s="1"/>
  <c r="O267" i="2" s="1"/>
  <c r="O268" i="2" s="1"/>
  <c r="O269" i="2" s="1"/>
  <c r="O270" i="2" s="1"/>
  <c r="O271" i="2" s="1"/>
  <c r="O272" i="2" s="1"/>
  <c r="O273" i="2" s="1"/>
  <c r="O274" i="2" s="1"/>
  <c r="O275" i="2" s="1"/>
  <c r="O276" i="2" s="1"/>
  <c r="O277" i="2" s="1"/>
  <c r="O278" i="2" s="1"/>
  <c r="O279" i="2" s="1"/>
  <c r="H219" i="2"/>
  <c r="H220" i="2" s="1"/>
  <c r="H221" i="2" s="1"/>
  <c r="H222" i="2" s="1"/>
  <c r="H223" i="2" s="1"/>
  <c r="H224" i="2" s="1"/>
  <c r="H225" i="2" s="1"/>
  <c r="H226" i="2" s="1"/>
  <c r="H227" i="2" s="1"/>
  <c r="H228" i="2" s="1"/>
  <c r="H229" i="2" s="1"/>
  <c r="H230" i="2" s="1"/>
  <c r="H231" i="2" s="1"/>
  <c r="H232" i="2" s="1"/>
  <c r="H233" i="2" s="1"/>
  <c r="H234" i="2" s="1"/>
  <c r="H235" i="2" s="1"/>
  <c r="H236" i="2" s="1"/>
  <c r="H237" i="2" s="1"/>
  <c r="H238" i="2" s="1"/>
  <c r="H239" i="2" s="1"/>
  <c r="H240" i="2" s="1"/>
  <c r="H241" i="2" s="1"/>
  <c r="H242" i="2" s="1"/>
  <c r="H243" i="2" s="1"/>
  <c r="H244" i="2" s="1"/>
  <c r="H245" i="2" s="1"/>
  <c r="H246" i="2" s="1"/>
  <c r="H247" i="2" s="1"/>
  <c r="H248" i="2" s="1"/>
  <c r="H249" i="2" s="1"/>
  <c r="H250" i="2" s="1"/>
  <c r="H251" i="2" s="1"/>
  <c r="H252" i="2" s="1"/>
  <c r="H253" i="2" s="1"/>
  <c r="H254" i="2" s="1"/>
  <c r="H255" i="2" s="1"/>
  <c r="H256" i="2" s="1"/>
  <c r="H257" i="2" s="1"/>
  <c r="H258" i="2" s="1"/>
  <c r="Y218" i="2"/>
  <c r="Y219" i="2" s="1"/>
  <c r="Y220" i="2" s="1"/>
  <c r="Y221" i="2" s="1"/>
  <c r="R218" i="2"/>
  <c r="S218" i="2" s="1"/>
  <c r="R217" i="2"/>
  <c r="S217" i="2" s="1"/>
  <c r="R216" i="2"/>
  <c r="S216" i="2" s="1"/>
  <c r="O216" i="2"/>
  <c r="S215" i="2"/>
  <c r="R215" i="2"/>
  <c r="S214" i="2"/>
  <c r="R214" i="2"/>
  <c r="R213" i="2"/>
  <c r="S213" i="2" s="1"/>
  <c r="O213" i="2"/>
  <c r="R212" i="2"/>
  <c r="S212" i="2" s="1"/>
  <c r="R211" i="2"/>
  <c r="S211" i="2" s="1"/>
  <c r="R210" i="2"/>
  <c r="S210" i="2" s="1"/>
  <c r="R209" i="2"/>
  <c r="S209" i="2" s="1"/>
  <c r="R208" i="2"/>
  <c r="S208" i="2" s="1"/>
  <c r="R207" i="2"/>
  <c r="S207" i="2" s="1"/>
  <c r="S206" i="2"/>
  <c r="R206" i="2"/>
  <c r="O206" i="2"/>
  <c r="O207" i="2" s="1"/>
  <c r="O208" i="2" s="1"/>
  <c r="R205" i="2"/>
  <c r="S205" i="2" s="1"/>
  <c r="R204" i="2"/>
  <c r="S204" i="2" s="1"/>
  <c r="O204" i="2"/>
  <c r="R203" i="2"/>
  <c r="S203" i="2" s="1"/>
  <c r="R202" i="2"/>
  <c r="S202" i="2" s="1"/>
  <c r="R201" i="2"/>
  <c r="S201" i="2" s="1"/>
  <c r="R200" i="2"/>
  <c r="S200" i="2" s="1"/>
  <c r="R199" i="2"/>
  <c r="S199" i="2" s="1"/>
  <c r="S198" i="2"/>
  <c r="R198" i="2"/>
  <c r="R197" i="2"/>
  <c r="S197" i="2" s="1"/>
  <c r="R196" i="2"/>
  <c r="S196" i="2" s="1"/>
  <c r="H196" i="2"/>
  <c r="H197" i="2" s="1"/>
  <c r="H198" i="2" s="1"/>
  <c r="H199" i="2" s="1"/>
  <c r="H200" i="2" s="1"/>
  <c r="H201" i="2" s="1"/>
  <c r="H202" i="2" s="1"/>
  <c r="H203" i="2" s="1"/>
  <c r="H204" i="2" s="1"/>
  <c r="H205" i="2" s="1"/>
  <c r="H206" i="2" s="1"/>
  <c r="H207" i="2" s="1"/>
  <c r="H208" i="2" s="1"/>
  <c r="H209" i="2" s="1"/>
  <c r="H210" i="2" s="1"/>
  <c r="H211" i="2" s="1"/>
  <c r="H212" i="2" s="1"/>
  <c r="H213" i="2" s="1"/>
  <c r="H214" i="2" s="1"/>
  <c r="H215" i="2" s="1"/>
  <c r="H216" i="2" s="1"/>
  <c r="H217" i="2" s="1"/>
  <c r="G196" i="2"/>
  <c r="G197" i="2" s="1"/>
  <c r="G198" i="2" s="1"/>
  <c r="G199" i="2" s="1"/>
  <c r="G200" i="2" s="1"/>
  <c r="G201" i="2" s="1"/>
  <c r="G202" i="2" s="1"/>
  <c r="G203" i="2" s="1"/>
  <c r="G204" i="2" s="1"/>
  <c r="G205" i="2" s="1"/>
  <c r="G206" i="2" s="1"/>
  <c r="G207" i="2" s="1"/>
  <c r="G208" i="2" s="1"/>
  <c r="G209" i="2" s="1"/>
  <c r="G210" i="2" s="1"/>
  <c r="G211" i="2" s="1"/>
  <c r="G212" i="2" s="1"/>
  <c r="G213" i="2" s="1"/>
  <c r="G214" i="2" s="1"/>
  <c r="G215" i="2" s="1"/>
  <c r="G216" i="2" s="1"/>
  <c r="G217" i="2" s="1"/>
  <c r="G218" i="2" s="1"/>
  <c r="G219" i="2" s="1"/>
  <c r="G220" i="2" s="1"/>
  <c r="G221" i="2" s="1"/>
  <c r="G222" i="2" s="1"/>
  <c r="G223" i="2" s="1"/>
  <c r="G224" i="2" s="1"/>
  <c r="G225" i="2" s="1"/>
  <c r="G226" i="2" s="1"/>
  <c r="G227" i="2" s="1"/>
  <c r="G228" i="2" s="1"/>
  <c r="G229" i="2" s="1"/>
  <c r="G230" i="2" s="1"/>
  <c r="G231" i="2" s="1"/>
  <c r="G232" i="2" s="1"/>
  <c r="G233" i="2" s="1"/>
  <c r="G234" i="2" s="1"/>
  <c r="G235" i="2" s="1"/>
  <c r="G236" i="2" s="1"/>
  <c r="G237" i="2" s="1"/>
  <c r="G238" i="2" s="1"/>
  <c r="G239" i="2" s="1"/>
  <c r="G240" i="2" s="1"/>
  <c r="G241" i="2" s="1"/>
  <c r="G242" i="2" s="1"/>
  <c r="G243" i="2" s="1"/>
  <c r="G244" i="2" s="1"/>
  <c r="G245" i="2" s="1"/>
  <c r="G246" i="2" s="1"/>
  <c r="G247" i="2" s="1"/>
  <c r="G248" i="2" s="1"/>
  <c r="G249" i="2" s="1"/>
  <c r="G250" i="2" s="1"/>
  <c r="G251" i="2" s="1"/>
  <c r="G252" i="2" s="1"/>
  <c r="G253" i="2" s="1"/>
  <c r="G254" i="2" s="1"/>
  <c r="G255" i="2" s="1"/>
  <c r="G256" i="2" s="1"/>
  <c r="G257" i="2" s="1"/>
  <c r="G258" i="2" s="1"/>
  <c r="G259" i="2" s="1"/>
  <c r="G260" i="2" s="1"/>
  <c r="G261" i="2" s="1"/>
  <c r="G262" i="2" s="1"/>
  <c r="G263" i="2" s="1"/>
  <c r="G264" i="2" s="1"/>
  <c r="G265" i="2" s="1"/>
  <c r="G266" i="2" s="1"/>
  <c r="G267" i="2" s="1"/>
  <c r="G268" i="2" s="1"/>
  <c r="G269" i="2" s="1"/>
  <c r="G270" i="2" s="1"/>
  <c r="G271" i="2" s="1"/>
  <c r="G272" i="2" s="1"/>
  <c r="G273" i="2" s="1"/>
  <c r="G274" i="2" s="1"/>
  <c r="G275" i="2" s="1"/>
  <c r="G276" i="2" s="1"/>
  <c r="G277" i="2" s="1"/>
  <c r="G278" i="2" s="1"/>
  <c r="G279" i="2" s="1"/>
  <c r="G280" i="2" s="1"/>
  <c r="G281" i="2" s="1"/>
  <c r="G282" i="2" s="1"/>
  <c r="G283" i="2" s="1"/>
  <c r="G284" i="2" s="1"/>
  <c r="G285" i="2" s="1"/>
  <c r="G286" i="2" s="1"/>
  <c r="G287" i="2" s="1"/>
  <c r="G288" i="2" s="1"/>
  <c r="G289" i="2" s="1"/>
  <c r="G290" i="2" s="1"/>
  <c r="G291" i="2" s="1"/>
  <c r="G292" i="2" s="1"/>
  <c r="G293" i="2" s="1"/>
  <c r="G294" i="2" s="1"/>
  <c r="G295" i="2" s="1"/>
  <c r="G296" i="2" s="1"/>
  <c r="G297" i="2" s="1"/>
  <c r="G298" i="2" s="1"/>
  <c r="G299" i="2" s="1"/>
  <c r="G300" i="2" s="1"/>
  <c r="G301" i="2" s="1"/>
  <c r="G302" i="2" s="1"/>
  <c r="G303" i="2" s="1"/>
  <c r="G304" i="2" s="1"/>
  <c r="G305" i="2" s="1"/>
  <c r="G306" i="2" s="1"/>
  <c r="G307" i="2" s="1"/>
  <c r="G308" i="2" s="1"/>
  <c r="G309" i="2" s="1"/>
  <c r="G310" i="2" s="1"/>
  <c r="G311" i="2" s="1"/>
  <c r="G312" i="2" s="1"/>
  <c r="G313" i="2" s="1"/>
  <c r="G314" i="2" s="1"/>
  <c r="G315" i="2" s="1"/>
  <c r="G316" i="2" s="1"/>
  <c r="G317" i="2" s="1"/>
  <c r="G318" i="2" s="1"/>
  <c r="G319" i="2" s="1"/>
  <c r="G320" i="2" s="1"/>
  <c r="G321" i="2" s="1"/>
  <c r="G322" i="2" s="1"/>
  <c r="G323" i="2" s="1"/>
  <c r="G324" i="2" s="1"/>
  <c r="G325" i="2" s="1"/>
  <c r="G326" i="2" s="1"/>
  <c r="G327" i="2" s="1"/>
  <c r="G328" i="2" s="1"/>
  <c r="G329" i="2" s="1"/>
  <c r="G330" i="2" s="1"/>
  <c r="G331" i="2" s="1"/>
  <c r="G332" i="2" s="1"/>
  <c r="G333" i="2" s="1"/>
  <c r="G334" i="2" s="1"/>
  <c r="G335" i="2" s="1"/>
  <c r="G336" i="2" s="1"/>
  <c r="G337" i="2" s="1"/>
  <c r="G338" i="2" s="1"/>
  <c r="G339" i="2" s="1"/>
  <c r="G340" i="2" s="1"/>
  <c r="G341" i="2" s="1"/>
  <c r="G342" i="2" s="1"/>
  <c r="G343" i="2" s="1"/>
  <c r="G344" i="2" s="1"/>
  <c r="G345" i="2" s="1"/>
  <c r="R195" i="2"/>
  <c r="S195" i="2" s="1"/>
  <c r="R194" i="2"/>
  <c r="S194" i="2" s="1"/>
  <c r="R193" i="2"/>
  <c r="S193" i="2" s="1"/>
  <c r="H193" i="2"/>
  <c r="H194" i="2" s="1"/>
  <c r="G193" i="2"/>
  <c r="G194" i="2" s="1"/>
  <c r="R192" i="2"/>
  <c r="S192" i="2" s="1"/>
  <c r="R191" i="2"/>
  <c r="S191" i="2" s="1"/>
  <c r="O191" i="2"/>
  <c r="O192" i="2" s="1"/>
  <c r="O193" i="2" s="1"/>
  <c r="O194" i="2" s="1"/>
  <c r="O195" i="2" s="1"/>
  <c r="O196" i="2" s="1"/>
  <c r="O197" i="2" s="1"/>
  <c r="O198" i="2" s="1"/>
  <c r="O199" i="2" s="1"/>
  <c r="O200" i="2" s="1"/>
  <c r="O201" i="2" s="1"/>
  <c r="R190" i="2"/>
  <c r="S190" i="2" s="1"/>
  <c r="R189" i="2"/>
  <c r="S189" i="2" s="1"/>
  <c r="R188" i="2"/>
  <c r="S188" i="2" s="1"/>
  <c r="R187" i="2"/>
  <c r="S187" i="2" s="1"/>
  <c r="R186" i="2"/>
  <c r="S186" i="2" s="1"/>
  <c r="R185" i="2"/>
  <c r="S185" i="2" s="1"/>
  <c r="R184" i="2"/>
  <c r="S184" i="2" s="1"/>
  <c r="S183" i="2"/>
  <c r="R183" i="2"/>
  <c r="R182" i="2"/>
  <c r="S182" i="2" s="1"/>
  <c r="H182" i="2"/>
  <c r="H183" i="2" s="1"/>
  <c r="H184" i="2" s="1"/>
  <c r="H185" i="2" s="1"/>
  <c r="H186" i="2" s="1"/>
  <c r="H187" i="2" s="1"/>
  <c r="H188" i="2" s="1"/>
  <c r="H189" i="2" s="1"/>
  <c r="H190" i="2" s="1"/>
  <c r="H191" i="2" s="1"/>
  <c r="G182" i="2"/>
  <c r="G183" i="2" s="1"/>
  <c r="G184" i="2" s="1"/>
  <c r="G185" i="2" s="1"/>
  <c r="G186" i="2" s="1"/>
  <c r="G187" i="2" s="1"/>
  <c r="G188" i="2" s="1"/>
  <c r="G189" i="2" s="1"/>
  <c r="G190" i="2" s="1"/>
  <c r="G191" i="2" s="1"/>
  <c r="R181" i="2"/>
  <c r="S181" i="2" s="1"/>
  <c r="R180" i="2"/>
  <c r="S180" i="2" s="1"/>
  <c r="R179" i="2"/>
  <c r="S179" i="2" s="1"/>
  <c r="H179" i="2"/>
  <c r="G179" i="2"/>
  <c r="R178" i="2"/>
  <c r="S178" i="2" s="1"/>
  <c r="R177" i="2"/>
  <c r="S177" i="2" s="1"/>
  <c r="R176" i="2"/>
  <c r="S176" i="2" s="1"/>
  <c r="R175" i="2"/>
  <c r="S175" i="2" s="1"/>
  <c r="R174" i="2"/>
  <c r="S174" i="2" s="1"/>
  <c r="R173" i="2"/>
  <c r="S173" i="2" s="1"/>
  <c r="R172" i="2"/>
  <c r="S172" i="2" s="1"/>
  <c r="R171" i="2"/>
  <c r="S171" i="2" s="1"/>
  <c r="R170" i="2"/>
  <c r="S170" i="2" s="1"/>
  <c r="R169" i="2"/>
  <c r="S169" i="2" s="1"/>
  <c r="R168" i="2"/>
  <c r="S168" i="2" s="1"/>
  <c r="R167" i="2"/>
  <c r="S167" i="2" s="1"/>
  <c r="R166" i="2"/>
  <c r="S166" i="2" s="1"/>
  <c r="R165" i="2"/>
  <c r="S165" i="2" s="1"/>
  <c r="R164" i="2"/>
  <c r="S164" i="2" s="1"/>
  <c r="R163" i="2"/>
  <c r="S163" i="2" s="1"/>
  <c r="R162" i="2"/>
  <c r="S162" i="2" s="1"/>
  <c r="R161" i="2"/>
  <c r="S161" i="2" s="1"/>
  <c r="G161" i="2"/>
  <c r="G162" i="2" s="1"/>
  <c r="G163" i="2" s="1"/>
  <c r="G164" i="2" s="1"/>
  <c r="G165" i="2" s="1"/>
  <c r="G166" i="2" s="1"/>
  <c r="G167" i="2" s="1"/>
  <c r="G168" i="2" s="1"/>
  <c r="G169" i="2" s="1"/>
  <c r="G170" i="2" s="1"/>
  <c r="G171" i="2" s="1"/>
  <c r="G172" i="2" s="1"/>
  <c r="G173" i="2" s="1"/>
  <c r="G174" i="2" s="1"/>
  <c r="G175" i="2" s="1"/>
  <c r="G176" i="2" s="1"/>
  <c r="G177" i="2" s="1"/>
  <c r="R160" i="2"/>
  <c r="S160" i="2" s="1"/>
  <c r="H160" i="2"/>
  <c r="H161" i="2" s="1"/>
  <c r="H162" i="2" s="1"/>
  <c r="H163" i="2" s="1"/>
  <c r="H164" i="2" s="1"/>
  <c r="H165" i="2" s="1"/>
  <c r="H166" i="2" s="1"/>
  <c r="H167" i="2" s="1"/>
  <c r="H168" i="2" s="1"/>
  <c r="H169" i="2" s="1"/>
  <c r="H170" i="2" s="1"/>
  <c r="H171" i="2" s="1"/>
  <c r="H172" i="2" s="1"/>
  <c r="H173" i="2" s="1"/>
  <c r="H174" i="2" s="1"/>
  <c r="H175" i="2" s="1"/>
  <c r="H176" i="2" s="1"/>
  <c r="H177" i="2" s="1"/>
  <c r="G160" i="2"/>
  <c r="S159" i="2"/>
  <c r="R159" i="2"/>
  <c r="R158" i="2"/>
  <c r="S158" i="2" s="1"/>
  <c r="R157" i="2"/>
  <c r="S157" i="2" s="1"/>
  <c r="S156" i="2"/>
  <c r="R156" i="2"/>
  <c r="S155" i="2"/>
  <c r="R155" i="2"/>
  <c r="R154" i="2"/>
  <c r="S154" i="2" s="1"/>
  <c r="R153" i="2"/>
  <c r="S153" i="2" s="1"/>
  <c r="R152" i="2"/>
  <c r="S152" i="2" s="1"/>
  <c r="R151" i="2"/>
  <c r="S151" i="2" s="1"/>
  <c r="S150" i="2"/>
  <c r="R150" i="2"/>
  <c r="R149" i="2"/>
  <c r="S149" i="2" s="1"/>
  <c r="R148" i="2"/>
  <c r="S148" i="2" s="1"/>
  <c r="R147" i="2"/>
  <c r="S147" i="2" s="1"/>
  <c r="S146" i="2"/>
  <c r="R146" i="2"/>
  <c r="S145" i="2"/>
  <c r="R145" i="2"/>
  <c r="R144" i="2"/>
  <c r="S144" i="2" s="1"/>
  <c r="R143" i="2"/>
  <c r="S143" i="2" s="1"/>
  <c r="R142" i="2"/>
  <c r="S142" i="2" s="1"/>
  <c r="R141" i="2"/>
  <c r="S141" i="2" s="1"/>
  <c r="R140" i="2"/>
  <c r="S140" i="2" s="1"/>
  <c r="R139" i="2"/>
  <c r="S139" i="2" s="1"/>
  <c r="R138" i="2"/>
  <c r="S138" i="2" s="1"/>
  <c r="R137" i="2"/>
  <c r="S137" i="2" s="1"/>
  <c r="R136" i="2"/>
  <c r="S136" i="2" s="1"/>
  <c r="R135" i="2"/>
  <c r="S135" i="2" s="1"/>
  <c r="R134" i="2"/>
  <c r="S134" i="2" s="1"/>
  <c r="R133" i="2"/>
  <c r="S133" i="2" s="1"/>
  <c r="R132" i="2"/>
  <c r="S132" i="2" s="1"/>
  <c r="I132" i="2"/>
  <c r="Y131" i="2"/>
  <c r="Y132" i="2" s="1"/>
  <c r="Y133" i="2" s="1"/>
  <c r="Y134" i="2" s="1"/>
  <c r="Y135" i="2" s="1"/>
  <c r="Y136" i="2" s="1"/>
  <c r="Y137" i="2" s="1"/>
  <c r="Y138" i="2" s="1"/>
  <c r="Y139" i="2" s="1"/>
  <c r="Y140" i="2" s="1"/>
  <c r="Y141" i="2" s="1"/>
  <c r="Y142" i="2" s="1"/>
  <c r="Y143" i="2" s="1"/>
  <c r="Y144" i="2" s="1"/>
  <c r="Y145" i="2" s="1"/>
  <c r="Y146" i="2" s="1"/>
  <c r="Y147" i="2" s="1"/>
  <c r="Y148" i="2" s="1"/>
  <c r="Y149" i="2" s="1"/>
  <c r="Y150" i="2" s="1"/>
  <c r="Y151" i="2" s="1"/>
  <c r="Y152" i="2" s="1"/>
  <c r="Y153" i="2" s="1"/>
  <c r="Y154" i="2" s="1"/>
  <c r="Y155" i="2" s="1"/>
  <c r="Y156" i="2" s="1"/>
  <c r="Y157" i="2" s="1"/>
  <c r="Y158" i="2" s="1"/>
  <c r="Y159" i="2" s="1"/>
  <c r="Y160" i="2" s="1"/>
  <c r="Y161" i="2" s="1"/>
  <c r="Y162" i="2" s="1"/>
  <c r="Y163" i="2" s="1"/>
  <c r="Y164" i="2" s="1"/>
  <c r="Y165" i="2" s="1"/>
  <c r="Y166" i="2" s="1"/>
  <c r="Y167" i="2" s="1"/>
  <c r="Y168" i="2" s="1"/>
  <c r="Y169" i="2" s="1"/>
  <c r="Y170" i="2" s="1"/>
  <c r="Y171" i="2" s="1"/>
  <c r="Y172" i="2" s="1"/>
  <c r="Y173" i="2" s="1"/>
  <c r="Y174" i="2" s="1"/>
  <c r="Y175" i="2" s="1"/>
  <c r="Y176" i="2" s="1"/>
  <c r="Y177" i="2" s="1"/>
  <c r="Y178" i="2" s="1"/>
  <c r="Y179" i="2" s="1"/>
  <c r="Y180" i="2" s="1"/>
  <c r="Y181" i="2" s="1"/>
  <c r="Y182" i="2" s="1"/>
  <c r="Y183" i="2" s="1"/>
  <c r="Y184" i="2" s="1"/>
  <c r="Y185" i="2" s="1"/>
  <c r="Y186" i="2" s="1"/>
  <c r="Y187" i="2" s="1"/>
  <c r="Y188" i="2" s="1"/>
  <c r="Y189" i="2" s="1"/>
  <c r="Y190" i="2" s="1"/>
  <c r="Y191" i="2" s="1"/>
  <c r="Y192" i="2" s="1"/>
  <c r="Y193" i="2" s="1"/>
  <c r="Y194" i="2" s="1"/>
  <c r="Y195" i="2" s="1"/>
  <c r="Y196" i="2" s="1"/>
  <c r="Y197" i="2" s="1"/>
  <c r="Y198" i="2" s="1"/>
  <c r="Y199" i="2" s="1"/>
  <c r="Y200" i="2" s="1"/>
  <c r="Y201" i="2" s="1"/>
  <c r="Y202" i="2" s="1"/>
  <c r="Y203" i="2" s="1"/>
  <c r="Y204" i="2" s="1"/>
  <c r="Y205" i="2" s="1"/>
  <c r="Y206" i="2" s="1"/>
  <c r="Y207" i="2" s="1"/>
  <c r="Y208" i="2" s="1"/>
  <c r="Y209" i="2" s="1"/>
  <c r="Y210" i="2" s="1"/>
  <c r="Y211" i="2" s="1"/>
  <c r="Y212" i="2" s="1"/>
  <c r="Y213" i="2" s="1"/>
  <c r="Y214" i="2" s="1"/>
  <c r="Y215" i="2" s="1"/>
  <c r="Y216" i="2" s="1"/>
  <c r="Y217" i="2" s="1"/>
  <c r="W217" i="2" s="1"/>
  <c r="R131" i="2"/>
  <c r="S131" i="2" s="1"/>
  <c r="Z130" i="2"/>
  <c r="R130" i="2"/>
  <c r="S130" i="2" s="1"/>
  <c r="I130" i="2"/>
  <c r="R129" i="2"/>
  <c r="S129" i="2" s="1"/>
  <c r="Y128" i="2"/>
  <c r="Y129" i="2" s="1"/>
  <c r="Y130" i="2" s="1"/>
  <c r="R128" i="2"/>
  <c r="S128" i="2" s="1"/>
  <c r="I128" i="2"/>
  <c r="H128" i="2"/>
  <c r="H129" i="2" s="1"/>
  <c r="H130" i="2" s="1"/>
  <c r="H131" i="2" s="1"/>
  <c r="H132" i="2" s="1"/>
  <c r="H133" i="2" s="1"/>
  <c r="H134" i="2" s="1"/>
  <c r="H135" i="2" s="1"/>
  <c r="H136" i="2" s="1"/>
  <c r="H137" i="2" s="1"/>
  <c r="H138" i="2" s="1"/>
  <c r="H139" i="2" s="1"/>
  <c r="H140" i="2" s="1"/>
  <c r="H141" i="2" s="1"/>
  <c r="H142" i="2" s="1"/>
  <c r="H143" i="2" s="1"/>
  <c r="H144" i="2" s="1"/>
  <c r="H145" i="2" s="1"/>
  <c r="H146" i="2" s="1"/>
  <c r="H147" i="2" s="1"/>
  <c r="H148" i="2" s="1"/>
  <c r="H149" i="2" s="1"/>
  <c r="H150" i="2" s="1"/>
  <c r="H151" i="2" s="1"/>
  <c r="H152" i="2" s="1"/>
  <c r="H153" i="2" s="1"/>
  <c r="H154" i="2" s="1"/>
  <c r="Y127" i="2"/>
  <c r="R127" i="2"/>
  <c r="S127" i="2" s="1"/>
  <c r="H127" i="2"/>
  <c r="Q126" i="2"/>
  <c r="R126" i="2" s="1"/>
  <c r="S126" i="2" s="1"/>
  <c r="Q125" i="2"/>
  <c r="R125" i="2" s="1"/>
  <c r="S125" i="2" s="1"/>
  <c r="R124" i="2"/>
  <c r="S124" i="2" s="1"/>
  <c r="Q124" i="2"/>
  <c r="Q123" i="2"/>
  <c r="R123" i="2" s="1"/>
  <c r="S123" i="2" s="1"/>
  <c r="Q122" i="2"/>
  <c r="R122" i="2" s="1"/>
  <c r="S122" i="2" s="1"/>
  <c r="R121" i="2"/>
  <c r="S121" i="2" s="1"/>
  <c r="Q121" i="2"/>
  <c r="Q120" i="2"/>
  <c r="R120" i="2" s="1"/>
  <c r="S120" i="2" s="1"/>
  <c r="Q119" i="2"/>
  <c r="R119" i="2" s="1"/>
  <c r="S119" i="2" s="1"/>
  <c r="Q118" i="2"/>
  <c r="R118" i="2" s="1"/>
  <c r="S118" i="2" s="1"/>
  <c r="Q117" i="2"/>
  <c r="R117" i="2" s="1"/>
  <c r="S117" i="2" s="1"/>
  <c r="R116" i="2"/>
  <c r="S116" i="2" s="1"/>
  <c r="Q116" i="2"/>
  <c r="Q115" i="2"/>
  <c r="R115" i="2" s="1"/>
  <c r="S115" i="2" s="1"/>
  <c r="R114" i="2"/>
  <c r="S114" i="2" s="1"/>
  <c r="Q114" i="2"/>
  <c r="Q113" i="2"/>
  <c r="R113" i="2" s="1"/>
  <c r="S113" i="2" s="1"/>
  <c r="Q112" i="2"/>
  <c r="R112" i="2" s="1"/>
  <c r="S112" i="2" s="1"/>
  <c r="Q111" i="2"/>
  <c r="R111" i="2" s="1"/>
  <c r="S111" i="2" s="1"/>
  <c r="Q110" i="2"/>
  <c r="R110" i="2" s="1"/>
  <c r="S110" i="2" s="1"/>
  <c r="R109" i="2"/>
  <c r="S109" i="2" s="1"/>
  <c r="Q109" i="2"/>
  <c r="Q108" i="2"/>
  <c r="R108" i="2" s="1"/>
  <c r="S108" i="2" s="1"/>
  <c r="Q107" i="2"/>
  <c r="R107" i="2" s="1"/>
  <c r="S107" i="2" s="1"/>
  <c r="Q106" i="2"/>
  <c r="R106" i="2" s="1"/>
  <c r="S106" i="2" s="1"/>
  <c r="Q105" i="2"/>
  <c r="R105" i="2" s="1"/>
  <c r="S105" i="2" s="1"/>
  <c r="Q104" i="2"/>
  <c r="R104" i="2" s="1"/>
  <c r="S104" i="2" s="1"/>
  <c r="Q103" i="2"/>
  <c r="R103" i="2" s="1"/>
  <c r="S103" i="2" s="1"/>
  <c r="Q102" i="2"/>
  <c r="R102" i="2" s="1"/>
  <c r="S102" i="2" s="1"/>
  <c r="Q101" i="2"/>
  <c r="R101" i="2" s="1"/>
  <c r="S101" i="2" s="1"/>
  <c r="Q100" i="2"/>
  <c r="R100" i="2" s="1"/>
  <c r="S100" i="2" s="1"/>
  <c r="Q99" i="2"/>
  <c r="R99" i="2" s="1"/>
  <c r="S99" i="2" s="1"/>
  <c r="Q98" i="2"/>
  <c r="R98" i="2" s="1"/>
  <c r="S98" i="2" s="1"/>
  <c r="Q97" i="2"/>
  <c r="R97" i="2" s="1"/>
  <c r="S97" i="2" s="1"/>
  <c r="Q96" i="2"/>
  <c r="R96" i="2" s="1"/>
  <c r="S96" i="2" s="1"/>
  <c r="R95" i="2"/>
  <c r="S95" i="2" s="1"/>
  <c r="Q95" i="2"/>
  <c r="S94" i="2"/>
  <c r="R94" i="2"/>
  <c r="Q94" i="2"/>
  <c r="Q93" i="2"/>
  <c r="R93" i="2" s="1"/>
  <c r="S93" i="2" s="1"/>
  <c r="Q92" i="2"/>
  <c r="R92" i="2" s="1"/>
  <c r="S92" i="2" s="1"/>
  <c r="Q91" i="2"/>
  <c r="R91" i="2" s="1"/>
  <c r="S91" i="2" s="1"/>
  <c r="R90" i="2"/>
  <c r="S90" i="2" s="1"/>
  <c r="Q90" i="2"/>
  <c r="Q89" i="2"/>
  <c r="R89" i="2" s="1"/>
  <c r="S89" i="2" s="1"/>
  <c r="Q88" i="2"/>
  <c r="R88" i="2" s="1"/>
  <c r="S88" i="2" s="1"/>
  <c r="Q87" i="2"/>
  <c r="R87" i="2" s="1"/>
  <c r="S87" i="2" s="1"/>
  <c r="Q86" i="2"/>
  <c r="R86" i="2" s="1"/>
  <c r="S86" i="2" s="1"/>
  <c r="Q85" i="2"/>
  <c r="R85" i="2" s="1"/>
  <c r="S85" i="2" s="1"/>
  <c r="Q84" i="2"/>
  <c r="R84" i="2" s="1"/>
  <c r="S84" i="2" s="1"/>
  <c r="Q83" i="2"/>
  <c r="R83" i="2" s="1"/>
  <c r="S83" i="2" s="1"/>
  <c r="Q82" i="2"/>
  <c r="R82" i="2" s="1"/>
  <c r="S82" i="2" s="1"/>
  <c r="Q81" i="2"/>
  <c r="R81" i="2" s="1"/>
  <c r="S81" i="2" s="1"/>
  <c r="Q80" i="2"/>
  <c r="R80" i="2" s="1"/>
  <c r="S80" i="2" s="1"/>
  <c r="Q79" i="2"/>
  <c r="R79" i="2" s="1"/>
  <c r="S79" i="2" s="1"/>
  <c r="Q78" i="2"/>
  <c r="R78" i="2" s="1"/>
  <c r="S78" i="2" s="1"/>
  <c r="Q77" i="2"/>
  <c r="R77" i="2" s="1"/>
  <c r="S77" i="2" s="1"/>
  <c r="Q76" i="2"/>
  <c r="R76" i="2" s="1"/>
  <c r="S76" i="2" s="1"/>
  <c r="Q75" i="2"/>
  <c r="R75" i="2" s="1"/>
  <c r="S75" i="2" s="1"/>
  <c r="Q74" i="2"/>
  <c r="R74" i="2" s="1"/>
  <c r="S74" i="2" s="1"/>
  <c r="S73" i="2"/>
  <c r="Q73" i="2"/>
  <c r="R73" i="2" s="1"/>
  <c r="Q72" i="2"/>
  <c r="R72" i="2" s="1"/>
  <c r="S72" i="2" s="1"/>
  <c r="R71" i="2"/>
  <c r="S71" i="2" s="1"/>
  <c r="Q71" i="2"/>
  <c r="S70" i="2"/>
  <c r="T70" i="2" s="1"/>
  <c r="R70" i="2"/>
  <c r="Q70" i="2"/>
  <c r="O70" i="2"/>
  <c r="O71" i="2" s="1"/>
  <c r="O72" i="2" s="1"/>
  <c r="O73" i="2" s="1"/>
  <c r="O74" i="2" s="1"/>
  <c r="O75" i="2" s="1"/>
  <c r="O76" i="2" s="1"/>
  <c r="O77" i="2" s="1"/>
  <c r="O78" i="2" s="1"/>
  <c r="O79" i="2" s="1"/>
  <c r="O80" i="2" s="1"/>
  <c r="O81" i="2" s="1"/>
  <c r="O82" i="2" s="1"/>
  <c r="O83" i="2" s="1"/>
  <c r="O84" i="2" s="1"/>
  <c r="O85" i="2" s="1"/>
  <c r="O86" i="2" s="1"/>
  <c r="O87" i="2" s="1"/>
  <c r="O88" i="2" s="1"/>
  <c r="O89" i="2" s="1"/>
  <c r="O90" i="2" s="1"/>
  <c r="O91" i="2" s="1"/>
  <c r="O92" i="2" s="1"/>
  <c r="O93" i="2" s="1"/>
  <c r="O94" i="2" s="1"/>
  <c r="O95" i="2" s="1"/>
  <c r="O96" i="2" s="1"/>
  <c r="O97" i="2" s="1"/>
  <c r="O98" i="2" s="1"/>
  <c r="O99" i="2" s="1"/>
  <c r="O100" i="2" s="1"/>
  <c r="O101" i="2" s="1"/>
  <c r="O102" i="2" s="1"/>
  <c r="O103" i="2" s="1"/>
  <c r="O104" i="2" s="1"/>
  <c r="O105" i="2" s="1"/>
  <c r="O106" i="2" s="1"/>
  <c r="O107" i="2" s="1"/>
  <c r="O108" i="2" s="1"/>
  <c r="O109" i="2" s="1"/>
  <c r="O110" i="2" s="1"/>
  <c r="O111" i="2" s="1"/>
  <c r="O112" i="2" s="1"/>
  <c r="O113" i="2" s="1"/>
  <c r="O114" i="2" s="1"/>
  <c r="O115" i="2" s="1"/>
  <c r="O116" i="2" s="1"/>
  <c r="O117" i="2" s="1"/>
  <c r="O118" i="2" s="1"/>
  <c r="O119" i="2" s="1"/>
  <c r="O120" i="2" s="1"/>
  <c r="O121" i="2" s="1"/>
  <c r="O122" i="2" s="1"/>
  <c r="O123" i="2" s="1"/>
  <c r="O124" i="2" s="1"/>
  <c r="O125" i="2" s="1"/>
  <c r="O126" i="2" s="1"/>
  <c r="O127" i="2" s="1"/>
  <c r="O128" i="2" s="1"/>
  <c r="O129" i="2" s="1"/>
  <c r="O130" i="2" s="1"/>
  <c r="O131" i="2" s="1"/>
  <c r="O132" i="2" s="1"/>
  <c r="O133" i="2" s="1"/>
  <c r="O134" i="2" s="1"/>
  <c r="O135" i="2" s="1"/>
  <c r="O136" i="2" s="1"/>
  <c r="O137" i="2" s="1"/>
  <c r="O138" i="2" s="1"/>
  <c r="O139" i="2" s="1"/>
  <c r="O140" i="2" s="1"/>
  <c r="O141" i="2" s="1"/>
  <c r="O142" i="2" s="1"/>
  <c r="O143" i="2" s="1"/>
  <c r="O144" i="2" s="1"/>
  <c r="O145" i="2" s="1"/>
  <c r="O146" i="2" s="1"/>
  <c r="O147" i="2" s="1"/>
  <c r="O148" i="2" s="1"/>
  <c r="O149" i="2" s="1"/>
  <c r="O150" i="2" s="1"/>
  <c r="O151" i="2" s="1"/>
  <c r="O152" i="2" s="1"/>
  <c r="O153" i="2" s="1"/>
  <c r="O154" i="2" s="1"/>
  <c r="O155" i="2" s="1"/>
  <c r="O156" i="2" s="1"/>
  <c r="O157" i="2" s="1"/>
  <c r="O158" i="2" s="1"/>
  <c r="O159" i="2" s="1"/>
  <c r="O160" i="2" s="1"/>
  <c r="O161" i="2" s="1"/>
  <c r="O162" i="2" s="1"/>
  <c r="O163" i="2" s="1"/>
  <c r="O164" i="2" s="1"/>
  <c r="O165" i="2" s="1"/>
  <c r="O166" i="2" s="1"/>
  <c r="O167" i="2" s="1"/>
  <c r="O168" i="2" s="1"/>
  <c r="O169" i="2" s="1"/>
  <c r="O170" i="2" s="1"/>
  <c r="O171" i="2" s="1"/>
  <c r="O172" i="2" s="1"/>
  <c r="O173" i="2" s="1"/>
  <c r="O174" i="2" s="1"/>
  <c r="O175" i="2" s="1"/>
  <c r="O176" i="2" s="1"/>
  <c r="O177" i="2" s="1"/>
  <c r="O178" i="2" s="1"/>
  <c r="O179" i="2" s="1"/>
  <c r="O180" i="2" s="1"/>
  <c r="O181" i="2" s="1"/>
  <c r="O182" i="2" s="1"/>
  <c r="O183" i="2" s="1"/>
  <c r="O184" i="2" s="1"/>
  <c r="O185" i="2" s="1"/>
  <c r="Q69" i="2"/>
  <c r="R69" i="2" s="1"/>
  <c r="S69" i="2" s="1"/>
  <c r="R68" i="2"/>
  <c r="S68" i="2" s="1"/>
  <c r="Q68" i="2"/>
  <c r="Q67" i="2"/>
  <c r="R67" i="2" s="1"/>
  <c r="S67" i="2" s="1"/>
  <c r="R66" i="2"/>
  <c r="S66" i="2" s="1"/>
  <c r="Q66" i="2"/>
  <c r="S65" i="2"/>
  <c r="R65" i="2"/>
  <c r="Q65" i="2"/>
  <c r="Q64" i="2"/>
  <c r="R64" i="2" s="1"/>
  <c r="S64" i="2" s="1"/>
  <c r="O64" i="2"/>
  <c r="R63" i="2"/>
  <c r="S63" i="2" s="1"/>
  <c r="Q63" i="2"/>
  <c r="Q62" i="2"/>
  <c r="R62" i="2" s="1"/>
  <c r="S62" i="2" s="1"/>
  <c r="Q61" i="2"/>
  <c r="R61" i="2" s="1"/>
  <c r="S61" i="2" s="1"/>
  <c r="Q60" i="2"/>
  <c r="R60" i="2" s="1"/>
  <c r="S60" i="2" s="1"/>
  <c r="Q59" i="2"/>
  <c r="R59" i="2" s="1"/>
  <c r="S59" i="2" s="1"/>
  <c r="Q58" i="2"/>
  <c r="R58" i="2" s="1"/>
  <c r="S58" i="2" s="1"/>
  <c r="R57" i="2"/>
  <c r="S57" i="2" s="1"/>
  <c r="Q57" i="2"/>
  <c r="Q56" i="2"/>
  <c r="R56" i="2" s="1"/>
  <c r="S56" i="2" s="1"/>
  <c r="O56" i="2"/>
  <c r="O57" i="2" s="1"/>
  <c r="O58" i="2" s="1"/>
  <c r="O59" i="2" s="1"/>
  <c r="Q55" i="2"/>
  <c r="R55" i="2" s="1"/>
  <c r="S55" i="2" s="1"/>
  <c r="T55" i="2" s="1"/>
  <c r="T56" i="2" s="1"/>
  <c r="T57" i="2" s="1"/>
  <c r="T58" i="2" s="1"/>
  <c r="T59" i="2" s="1"/>
  <c r="T60" i="2" s="1"/>
  <c r="T61" i="2" s="1"/>
  <c r="T62" i="2" s="1"/>
  <c r="T63" i="2" s="1"/>
  <c r="O55" i="2"/>
  <c r="S54" i="2"/>
  <c r="R54" i="2"/>
  <c r="Q54" i="2"/>
  <c r="Q53" i="2"/>
  <c r="R53" i="2" s="1"/>
  <c r="S53" i="2" s="1"/>
  <c r="R52" i="2"/>
  <c r="S52" i="2" s="1"/>
  <c r="R51" i="2"/>
  <c r="S51" i="2" s="1"/>
  <c r="R50" i="2"/>
  <c r="S50" i="2" s="1"/>
  <c r="I50" i="2"/>
  <c r="S49" i="2"/>
  <c r="R49" i="2"/>
  <c r="K49" i="2"/>
  <c r="K50" i="2" s="1"/>
  <c r="K51" i="2" s="1"/>
  <c r="K52" i="2" s="1"/>
  <c r="K53" i="2" s="1"/>
  <c r="K54" i="2" s="1"/>
  <c r="K55" i="2" s="1"/>
  <c r="K56" i="2" s="1"/>
  <c r="K57" i="2" s="1"/>
  <c r="K58" i="2" s="1"/>
  <c r="K59" i="2" s="1"/>
  <c r="K60" i="2" s="1"/>
  <c r="K61" i="2" s="1"/>
  <c r="K62" i="2" s="1"/>
  <c r="K63" i="2" s="1"/>
  <c r="K64" i="2" s="1"/>
  <c r="K65" i="2" s="1"/>
  <c r="K66" i="2" s="1"/>
  <c r="K67" i="2" s="1"/>
  <c r="K68" i="2" s="1"/>
  <c r="K69" i="2" s="1"/>
  <c r="K70" i="2" s="1"/>
  <c r="K71" i="2" s="1"/>
  <c r="K72" i="2" s="1"/>
  <c r="K73" i="2" s="1"/>
  <c r="K74" i="2" s="1"/>
  <c r="K75" i="2" s="1"/>
  <c r="K76" i="2" s="1"/>
  <c r="K77" i="2" s="1"/>
  <c r="K78" i="2" s="1"/>
  <c r="K79" i="2" s="1"/>
  <c r="K80" i="2" s="1"/>
  <c r="K81" i="2" s="1"/>
  <c r="K82" i="2" s="1"/>
  <c r="K83" i="2" s="1"/>
  <c r="K84" i="2" s="1"/>
  <c r="K85" i="2" s="1"/>
  <c r="K86" i="2" s="1"/>
  <c r="K87" i="2" s="1"/>
  <c r="K88" i="2" s="1"/>
  <c r="K89" i="2" s="1"/>
  <c r="K90" i="2" s="1"/>
  <c r="K91" i="2" s="1"/>
  <c r="K92" i="2" s="1"/>
  <c r="K93" i="2" s="1"/>
  <c r="K94" i="2" s="1"/>
  <c r="K95" i="2" s="1"/>
  <c r="K96" i="2" s="1"/>
  <c r="K97" i="2" s="1"/>
  <c r="K98" i="2" s="1"/>
  <c r="K99" i="2" s="1"/>
  <c r="K100" i="2" s="1"/>
  <c r="K101" i="2" s="1"/>
  <c r="K102" i="2" s="1"/>
  <c r="K103" i="2" s="1"/>
  <c r="K104" i="2" s="1"/>
  <c r="K105" i="2" s="1"/>
  <c r="K106" i="2" s="1"/>
  <c r="K107" i="2" s="1"/>
  <c r="K108" i="2" s="1"/>
  <c r="K109" i="2" s="1"/>
  <c r="K110" i="2" s="1"/>
  <c r="K111" i="2" s="1"/>
  <c r="K112" i="2" s="1"/>
  <c r="K113" i="2" s="1"/>
  <c r="K114" i="2" s="1"/>
  <c r="K115" i="2" s="1"/>
  <c r="K116" i="2" s="1"/>
  <c r="K117" i="2" s="1"/>
  <c r="K118" i="2" s="1"/>
  <c r="K119" i="2" s="1"/>
  <c r="K120" i="2" s="1"/>
  <c r="K121" i="2" s="1"/>
  <c r="K122" i="2" s="1"/>
  <c r="K123" i="2" s="1"/>
  <c r="K124" i="2" s="1"/>
  <c r="K125" i="2" s="1"/>
  <c r="K126" i="2" s="1"/>
  <c r="K127" i="2" s="1"/>
  <c r="K128" i="2" s="1"/>
  <c r="K129" i="2" s="1"/>
  <c r="K130" i="2" s="1"/>
  <c r="K131" i="2" s="1"/>
  <c r="K132" i="2" s="1"/>
  <c r="K133" i="2" s="1"/>
  <c r="K134" i="2" s="1"/>
  <c r="K135" i="2" s="1"/>
  <c r="K136" i="2" s="1"/>
  <c r="K137" i="2" s="1"/>
  <c r="K138" i="2" s="1"/>
  <c r="K139" i="2" s="1"/>
  <c r="K140" i="2" s="1"/>
  <c r="K141" i="2" s="1"/>
  <c r="K142" i="2" s="1"/>
  <c r="K143" i="2" s="1"/>
  <c r="K144" i="2" s="1"/>
  <c r="K145" i="2" s="1"/>
  <c r="K146" i="2" s="1"/>
  <c r="K147" i="2" s="1"/>
  <c r="K148" i="2" s="1"/>
  <c r="K149" i="2" s="1"/>
  <c r="K150" i="2" s="1"/>
  <c r="K151" i="2" s="1"/>
  <c r="K152" i="2" s="1"/>
  <c r="K153" i="2" s="1"/>
  <c r="K154" i="2" s="1"/>
  <c r="K155" i="2" s="1"/>
  <c r="K156" i="2" s="1"/>
  <c r="K157" i="2" s="1"/>
  <c r="K158" i="2" s="1"/>
  <c r="K159" i="2" s="1"/>
  <c r="K160" i="2" s="1"/>
  <c r="K161" i="2" s="1"/>
  <c r="K162" i="2" s="1"/>
  <c r="K163" i="2" s="1"/>
  <c r="K164" i="2" s="1"/>
  <c r="K165" i="2" s="1"/>
  <c r="K166" i="2" s="1"/>
  <c r="K167" i="2" s="1"/>
  <c r="K168" i="2" s="1"/>
  <c r="K169" i="2" s="1"/>
  <c r="K170" i="2" s="1"/>
  <c r="K171" i="2" s="1"/>
  <c r="K172" i="2" s="1"/>
  <c r="K173" i="2" s="1"/>
  <c r="K174" i="2" s="1"/>
  <c r="K175" i="2" s="1"/>
  <c r="K176" i="2" s="1"/>
  <c r="K177" i="2" s="1"/>
  <c r="K178" i="2" s="1"/>
  <c r="K179" i="2" s="1"/>
  <c r="K180" i="2" s="1"/>
  <c r="K181" i="2" s="1"/>
  <c r="K182" i="2" s="1"/>
  <c r="K183" i="2" s="1"/>
  <c r="K184" i="2" s="1"/>
  <c r="K185" i="2" s="1"/>
  <c r="K186" i="2" s="1"/>
  <c r="K187" i="2" s="1"/>
  <c r="K188" i="2" s="1"/>
  <c r="K189" i="2" s="1"/>
  <c r="K190" i="2" s="1"/>
  <c r="K191" i="2" s="1"/>
  <c r="K192" i="2" s="1"/>
  <c r="K193" i="2" s="1"/>
  <c r="K194" i="2" s="1"/>
  <c r="K195" i="2" s="1"/>
  <c r="K196" i="2" s="1"/>
  <c r="K197" i="2" s="1"/>
  <c r="K198" i="2" s="1"/>
  <c r="K199" i="2" s="1"/>
  <c r="K200" i="2" s="1"/>
  <c r="K201" i="2" s="1"/>
  <c r="K202" i="2" s="1"/>
  <c r="K203" i="2" s="1"/>
  <c r="K204" i="2" s="1"/>
  <c r="K205" i="2" s="1"/>
  <c r="K206" i="2" s="1"/>
  <c r="K207" i="2" s="1"/>
  <c r="K208" i="2" s="1"/>
  <c r="K209" i="2" s="1"/>
  <c r="K210" i="2" s="1"/>
  <c r="K211" i="2" s="1"/>
  <c r="K212" i="2" s="1"/>
  <c r="K213" i="2" s="1"/>
  <c r="K214" i="2" s="1"/>
  <c r="K215" i="2" s="1"/>
  <c r="K216" i="2" s="1"/>
  <c r="K217" i="2" s="1"/>
  <c r="K218" i="2" s="1"/>
  <c r="K219" i="2" s="1"/>
  <c r="K220" i="2" s="1"/>
  <c r="K221" i="2" s="1"/>
  <c r="K222" i="2" s="1"/>
  <c r="K223" i="2" s="1"/>
  <c r="K224" i="2" s="1"/>
  <c r="K225" i="2" s="1"/>
  <c r="K226" i="2" s="1"/>
  <c r="K227" i="2" s="1"/>
  <c r="K228" i="2" s="1"/>
  <c r="K229" i="2" s="1"/>
  <c r="K230" i="2" s="1"/>
  <c r="K231" i="2" s="1"/>
  <c r="K232" i="2" s="1"/>
  <c r="K233" i="2" s="1"/>
  <c r="K234" i="2" s="1"/>
  <c r="K235" i="2" s="1"/>
  <c r="K236" i="2" s="1"/>
  <c r="K237" i="2" s="1"/>
  <c r="K238" i="2" s="1"/>
  <c r="K239" i="2" s="1"/>
  <c r="K240" i="2" s="1"/>
  <c r="K241" i="2" s="1"/>
  <c r="K242" i="2" s="1"/>
  <c r="K243" i="2" s="1"/>
  <c r="K244" i="2" s="1"/>
  <c r="K245" i="2" s="1"/>
  <c r="K246" i="2" s="1"/>
  <c r="K247" i="2" s="1"/>
  <c r="K248" i="2" s="1"/>
  <c r="K249" i="2" s="1"/>
  <c r="K250" i="2" s="1"/>
  <c r="K251" i="2" s="1"/>
  <c r="K252" i="2" s="1"/>
  <c r="K253" i="2" s="1"/>
  <c r="K254" i="2" s="1"/>
  <c r="K255" i="2" s="1"/>
  <c r="K256" i="2" s="1"/>
  <c r="K257" i="2" s="1"/>
  <c r="K258" i="2" s="1"/>
  <c r="K259" i="2" s="1"/>
  <c r="K260" i="2" s="1"/>
  <c r="K261" i="2" s="1"/>
  <c r="K262" i="2" s="1"/>
  <c r="K263" i="2" s="1"/>
  <c r="K264" i="2" s="1"/>
  <c r="K265" i="2" s="1"/>
  <c r="K266" i="2" s="1"/>
  <c r="K267" i="2" s="1"/>
  <c r="K268" i="2" s="1"/>
  <c r="K269" i="2" s="1"/>
  <c r="K270" i="2" s="1"/>
  <c r="K271" i="2" s="1"/>
  <c r="K272" i="2" s="1"/>
  <c r="K273" i="2" s="1"/>
  <c r="K274" i="2" s="1"/>
  <c r="K275" i="2" s="1"/>
  <c r="K276" i="2" s="1"/>
  <c r="K277" i="2" s="1"/>
  <c r="K278" i="2" s="1"/>
  <c r="K279" i="2" s="1"/>
  <c r="K280" i="2" s="1"/>
  <c r="K281" i="2" s="1"/>
  <c r="K282" i="2" s="1"/>
  <c r="K283" i="2" s="1"/>
  <c r="K284" i="2" s="1"/>
  <c r="K285" i="2" s="1"/>
  <c r="K286" i="2" s="1"/>
  <c r="K287" i="2" s="1"/>
  <c r="K288" i="2" s="1"/>
  <c r="K289" i="2" s="1"/>
  <c r="K290" i="2" s="1"/>
  <c r="K291" i="2" s="1"/>
  <c r="K292" i="2" s="1"/>
  <c r="K293" i="2" s="1"/>
  <c r="K294" i="2" s="1"/>
  <c r="K295" i="2" s="1"/>
  <c r="K296" i="2" s="1"/>
  <c r="K297" i="2" s="1"/>
  <c r="K298" i="2" s="1"/>
  <c r="K299" i="2" s="1"/>
  <c r="K300" i="2" s="1"/>
  <c r="K301" i="2" s="1"/>
  <c r="K302" i="2" s="1"/>
  <c r="K303" i="2" s="1"/>
  <c r="K304" i="2" s="1"/>
  <c r="K305" i="2" s="1"/>
  <c r="K306" i="2" s="1"/>
  <c r="K307" i="2" s="1"/>
  <c r="K308" i="2" s="1"/>
  <c r="K309" i="2" s="1"/>
  <c r="K310" i="2" s="1"/>
  <c r="K311" i="2" s="1"/>
  <c r="K312" i="2" s="1"/>
  <c r="K313" i="2" s="1"/>
  <c r="K314" i="2" s="1"/>
  <c r="K315" i="2" s="1"/>
  <c r="K316" i="2" s="1"/>
  <c r="K317" i="2" s="1"/>
  <c r="K318" i="2" s="1"/>
  <c r="K319" i="2" s="1"/>
  <c r="K320" i="2" s="1"/>
  <c r="K321" i="2" s="1"/>
  <c r="K322" i="2" s="1"/>
  <c r="K323" i="2" s="1"/>
  <c r="K324" i="2" s="1"/>
  <c r="K325" i="2" s="1"/>
  <c r="K326" i="2" s="1"/>
  <c r="K327" i="2" s="1"/>
  <c r="K328" i="2" s="1"/>
  <c r="K329" i="2" s="1"/>
  <c r="K330" i="2" s="1"/>
  <c r="K331" i="2" s="1"/>
  <c r="K332" i="2" s="1"/>
  <c r="K333" i="2" s="1"/>
  <c r="K334" i="2" s="1"/>
  <c r="K335" i="2" s="1"/>
  <c r="K336" i="2" s="1"/>
  <c r="K337" i="2" s="1"/>
  <c r="K338" i="2" s="1"/>
  <c r="K339" i="2" s="1"/>
  <c r="K340" i="2" s="1"/>
  <c r="K341" i="2" s="1"/>
  <c r="K342" i="2" s="1"/>
  <c r="K343" i="2" s="1"/>
  <c r="K344" i="2" s="1"/>
  <c r="K345" i="2" s="1"/>
  <c r="Z48" i="2"/>
  <c r="R48" i="2"/>
  <c r="S48" i="2" s="1"/>
  <c r="I48" i="2"/>
  <c r="S47" i="2"/>
  <c r="R47" i="2"/>
  <c r="R46" i="2"/>
  <c r="S46" i="2" s="1"/>
  <c r="M46" i="2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M64" i="2" s="1"/>
  <c r="M65" i="2" s="1"/>
  <c r="M66" i="2" s="1"/>
  <c r="M67" i="2" s="1"/>
  <c r="M68" i="2" s="1"/>
  <c r="M69" i="2" s="1"/>
  <c r="M70" i="2" s="1"/>
  <c r="M71" i="2" s="1"/>
  <c r="M72" i="2" s="1"/>
  <c r="M73" i="2" s="1"/>
  <c r="M74" i="2" s="1"/>
  <c r="M75" i="2" s="1"/>
  <c r="M76" i="2" s="1"/>
  <c r="M77" i="2" s="1"/>
  <c r="M78" i="2" s="1"/>
  <c r="M79" i="2" s="1"/>
  <c r="M80" i="2" s="1"/>
  <c r="M81" i="2" s="1"/>
  <c r="M82" i="2" s="1"/>
  <c r="M83" i="2" s="1"/>
  <c r="M84" i="2" s="1"/>
  <c r="M85" i="2" s="1"/>
  <c r="M86" i="2" s="1"/>
  <c r="M87" i="2" s="1"/>
  <c r="M88" i="2" s="1"/>
  <c r="M89" i="2" s="1"/>
  <c r="M90" i="2" s="1"/>
  <c r="M91" i="2" s="1"/>
  <c r="M92" i="2" s="1"/>
  <c r="M93" i="2" s="1"/>
  <c r="M94" i="2" s="1"/>
  <c r="M95" i="2" s="1"/>
  <c r="M96" i="2" s="1"/>
  <c r="M97" i="2" s="1"/>
  <c r="M98" i="2" s="1"/>
  <c r="M99" i="2" s="1"/>
  <c r="M100" i="2" s="1"/>
  <c r="M101" i="2" s="1"/>
  <c r="M102" i="2" s="1"/>
  <c r="M103" i="2" s="1"/>
  <c r="M104" i="2" s="1"/>
  <c r="M105" i="2" s="1"/>
  <c r="M106" i="2" s="1"/>
  <c r="M107" i="2" s="1"/>
  <c r="M108" i="2" s="1"/>
  <c r="M109" i="2" s="1"/>
  <c r="M110" i="2" s="1"/>
  <c r="M111" i="2" s="1"/>
  <c r="M112" i="2" s="1"/>
  <c r="M113" i="2" s="1"/>
  <c r="M114" i="2" s="1"/>
  <c r="M115" i="2" s="1"/>
  <c r="M116" i="2" s="1"/>
  <c r="M117" i="2" s="1"/>
  <c r="M118" i="2" s="1"/>
  <c r="M119" i="2" s="1"/>
  <c r="M120" i="2" s="1"/>
  <c r="M121" i="2" s="1"/>
  <c r="M122" i="2" s="1"/>
  <c r="M123" i="2" s="1"/>
  <c r="M124" i="2" s="1"/>
  <c r="M125" i="2" s="1"/>
  <c r="M126" i="2" s="1"/>
  <c r="M127" i="2" s="1"/>
  <c r="M128" i="2" s="1"/>
  <c r="M129" i="2" s="1"/>
  <c r="M130" i="2" s="1"/>
  <c r="M131" i="2" s="1"/>
  <c r="M132" i="2" s="1"/>
  <c r="M133" i="2" s="1"/>
  <c r="M134" i="2" s="1"/>
  <c r="M135" i="2" s="1"/>
  <c r="M136" i="2" s="1"/>
  <c r="M137" i="2" s="1"/>
  <c r="M138" i="2" s="1"/>
  <c r="M139" i="2" s="1"/>
  <c r="M140" i="2" s="1"/>
  <c r="M141" i="2" s="1"/>
  <c r="M142" i="2" s="1"/>
  <c r="M143" i="2" s="1"/>
  <c r="M144" i="2" s="1"/>
  <c r="M145" i="2" s="1"/>
  <c r="M146" i="2" s="1"/>
  <c r="M147" i="2" s="1"/>
  <c r="M148" i="2" s="1"/>
  <c r="M149" i="2" s="1"/>
  <c r="M150" i="2" s="1"/>
  <c r="M151" i="2" s="1"/>
  <c r="M152" i="2" s="1"/>
  <c r="M153" i="2" s="1"/>
  <c r="M154" i="2" s="1"/>
  <c r="M155" i="2" s="1"/>
  <c r="M156" i="2" s="1"/>
  <c r="M157" i="2" s="1"/>
  <c r="M158" i="2" s="1"/>
  <c r="M159" i="2" s="1"/>
  <c r="M160" i="2" s="1"/>
  <c r="M161" i="2" s="1"/>
  <c r="M162" i="2" s="1"/>
  <c r="M163" i="2" s="1"/>
  <c r="M164" i="2" s="1"/>
  <c r="M165" i="2" s="1"/>
  <c r="M166" i="2" s="1"/>
  <c r="M167" i="2" s="1"/>
  <c r="M168" i="2" s="1"/>
  <c r="M169" i="2" s="1"/>
  <c r="M170" i="2" s="1"/>
  <c r="M171" i="2" s="1"/>
  <c r="M172" i="2" s="1"/>
  <c r="M173" i="2" s="1"/>
  <c r="M174" i="2" s="1"/>
  <c r="M175" i="2" s="1"/>
  <c r="M176" i="2" s="1"/>
  <c r="M177" i="2" s="1"/>
  <c r="M178" i="2" s="1"/>
  <c r="M179" i="2" s="1"/>
  <c r="M180" i="2" s="1"/>
  <c r="M181" i="2" s="1"/>
  <c r="M182" i="2" s="1"/>
  <c r="M183" i="2" s="1"/>
  <c r="M184" i="2" s="1"/>
  <c r="M185" i="2" s="1"/>
  <c r="M186" i="2" s="1"/>
  <c r="M187" i="2" s="1"/>
  <c r="M188" i="2" s="1"/>
  <c r="M189" i="2" s="1"/>
  <c r="M190" i="2" s="1"/>
  <c r="M191" i="2" s="1"/>
  <c r="M192" i="2" s="1"/>
  <c r="M193" i="2" s="1"/>
  <c r="M194" i="2" s="1"/>
  <c r="M195" i="2" s="1"/>
  <c r="M196" i="2" s="1"/>
  <c r="M197" i="2" s="1"/>
  <c r="M198" i="2" s="1"/>
  <c r="M199" i="2" s="1"/>
  <c r="M200" i="2" s="1"/>
  <c r="M201" i="2" s="1"/>
  <c r="M202" i="2" s="1"/>
  <c r="M203" i="2" s="1"/>
  <c r="M204" i="2" s="1"/>
  <c r="M205" i="2" s="1"/>
  <c r="M206" i="2" s="1"/>
  <c r="M207" i="2" s="1"/>
  <c r="M208" i="2" s="1"/>
  <c r="M209" i="2" s="1"/>
  <c r="M210" i="2" s="1"/>
  <c r="M211" i="2" s="1"/>
  <c r="M212" i="2" s="1"/>
  <c r="M213" i="2" s="1"/>
  <c r="M214" i="2" s="1"/>
  <c r="M215" i="2" s="1"/>
  <c r="M216" i="2" s="1"/>
  <c r="M217" i="2" s="1"/>
  <c r="M218" i="2" s="1"/>
  <c r="M219" i="2" s="1"/>
  <c r="M220" i="2" s="1"/>
  <c r="M221" i="2" s="1"/>
  <c r="M222" i="2" s="1"/>
  <c r="M223" i="2" s="1"/>
  <c r="M224" i="2" s="1"/>
  <c r="M225" i="2" s="1"/>
  <c r="M226" i="2" s="1"/>
  <c r="M227" i="2" s="1"/>
  <c r="M228" i="2" s="1"/>
  <c r="M229" i="2" s="1"/>
  <c r="M230" i="2" s="1"/>
  <c r="M231" i="2" s="1"/>
  <c r="M232" i="2" s="1"/>
  <c r="M233" i="2" s="1"/>
  <c r="M234" i="2" s="1"/>
  <c r="M235" i="2" s="1"/>
  <c r="M236" i="2" s="1"/>
  <c r="M237" i="2" s="1"/>
  <c r="M238" i="2" s="1"/>
  <c r="M239" i="2" s="1"/>
  <c r="M240" i="2" s="1"/>
  <c r="M241" i="2" s="1"/>
  <c r="M242" i="2" s="1"/>
  <c r="M243" i="2" s="1"/>
  <c r="M244" i="2" s="1"/>
  <c r="M245" i="2" s="1"/>
  <c r="M246" i="2" s="1"/>
  <c r="M247" i="2" s="1"/>
  <c r="M248" i="2" s="1"/>
  <c r="M249" i="2" s="1"/>
  <c r="M250" i="2" s="1"/>
  <c r="M251" i="2" s="1"/>
  <c r="M252" i="2" s="1"/>
  <c r="M253" i="2" s="1"/>
  <c r="M254" i="2" s="1"/>
  <c r="M255" i="2" s="1"/>
  <c r="M256" i="2" s="1"/>
  <c r="M257" i="2" s="1"/>
  <c r="M258" i="2" s="1"/>
  <c r="M259" i="2" s="1"/>
  <c r="M260" i="2" s="1"/>
  <c r="M261" i="2" s="1"/>
  <c r="M262" i="2" s="1"/>
  <c r="M263" i="2" s="1"/>
  <c r="M264" i="2" s="1"/>
  <c r="M265" i="2" s="1"/>
  <c r="M266" i="2" s="1"/>
  <c r="M267" i="2" s="1"/>
  <c r="M268" i="2" s="1"/>
  <c r="M269" i="2" s="1"/>
  <c r="M270" i="2" s="1"/>
  <c r="M271" i="2" s="1"/>
  <c r="M272" i="2" s="1"/>
  <c r="M273" i="2" s="1"/>
  <c r="M274" i="2" s="1"/>
  <c r="M275" i="2" s="1"/>
  <c r="M276" i="2" s="1"/>
  <c r="M277" i="2" s="1"/>
  <c r="M278" i="2" s="1"/>
  <c r="M279" i="2" s="1"/>
  <c r="M280" i="2" s="1"/>
  <c r="M281" i="2" s="1"/>
  <c r="M282" i="2" s="1"/>
  <c r="M283" i="2" s="1"/>
  <c r="M284" i="2" s="1"/>
  <c r="M285" i="2" s="1"/>
  <c r="M286" i="2" s="1"/>
  <c r="M287" i="2" s="1"/>
  <c r="M288" i="2" s="1"/>
  <c r="M289" i="2" s="1"/>
  <c r="M290" i="2" s="1"/>
  <c r="M291" i="2" s="1"/>
  <c r="M292" i="2" s="1"/>
  <c r="M293" i="2" s="1"/>
  <c r="M294" i="2" s="1"/>
  <c r="M295" i="2" s="1"/>
  <c r="M296" i="2" s="1"/>
  <c r="M297" i="2" s="1"/>
  <c r="M298" i="2" s="1"/>
  <c r="M299" i="2" s="1"/>
  <c r="M300" i="2" s="1"/>
  <c r="M301" i="2" s="1"/>
  <c r="M302" i="2" s="1"/>
  <c r="M303" i="2" s="1"/>
  <c r="M304" i="2" s="1"/>
  <c r="M305" i="2" s="1"/>
  <c r="M306" i="2" s="1"/>
  <c r="M307" i="2" s="1"/>
  <c r="M308" i="2" s="1"/>
  <c r="M309" i="2" s="1"/>
  <c r="M310" i="2" s="1"/>
  <c r="M311" i="2" s="1"/>
  <c r="M312" i="2" s="1"/>
  <c r="M313" i="2" s="1"/>
  <c r="M314" i="2" s="1"/>
  <c r="M315" i="2" s="1"/>
  <c r="M316" i="2" s="1"/>
  <c r="M317" i="2" s="1"/>
  <c r="M318" i="2" s="1"/>
  <c r="M319" i="2" s="1"/>
  <c r="M320" i="2" s="1"/>
  <c r="M321" i="2" s="1"/>
  <c r="M322" i="2" s="1"/>
  <c r="M323" i="2" s="1"/>
  <c r="M324" i="2" s="1"/>
  <c r="M325" i="2" s="1"/>
  <c r="M326" i="2" s="1"/>
  <c r="M327" i="2" s="1"/>
  <c r="M328" i="2" s="1"/>
  <c r="M329" i="2" s="1"/>
  <c r="M330" i="2" s="1"/>
  <c r="M331" i="2" s="1"/>
  <c r="M332" i="2" s="1"/>
  <c r="M333" i="2" s="1"/>
  <c r="M334" i="2" s="1"/>
  <c r="M335" i="2" s="1"/>
  <c r="M336" i="2" s="1"/>
  <c r="M337" i="2" s="1"/>
  <c r="M338" i="2" s="1"/>
  <c r="M339" i="2" s="1"/>
  <c r="M340" i="2" s="1"/>
  <c r="M341" i="2" s="1"/>
  <c r="M342" i="2" s="1"/>
  <c r="M343" i="2" s="1"/>
  <c r="M344" i="2" s="1"/>
  <c r="M345" i="2" s="1"/>
  <c r="I46" i="2"/>
  <c r="X45" i="2"/>
  <c r="X46" i="2" s="1"/>
  <c r="X47" i="2" s="1"/>
  <c r="X48" i="2" s="1"/>
  <c r="X49" i="2" s="1"/>
  <c r="X50" i="2" s="1"/>
  <c r="X51" i="2" s="1"/>
  <c r="X52" i="2" s="1"/>
  <c r="X53" i="2" s="1"/>
  <c r="X54" i="2" s="1"/>
  <c r="X55" i="2" s="1"/>
  <c r="X56" i="2" s="1"/>
  <c r="X57" i="2" s="1"/>
  <c r="X58" i="2" s="1"/>
  <c r="X59" i="2" s="1"/>
  <c r="X60" i="2" s="1"/>
  <c r="X61" i="2" s="1"/>
  <c r="X62" i="2" s="1"/>
  <c r="X63" i="2" s="1"/>
  <c r="X64" i="2" s="1"/>
  <c r="X65" i="2" s="1"/>
  <c r="X66" i="2" s="1"/>
  <c r="X67" i="2" s="1"/>
  <c r="X68" i="2" s="1"/>
  <c r="X69" i="2" s="1"/>
  <c r="X70" i="2" s="1"/>
  <c r="X71" i="2" s="1"/>
  <c r="X72" i="2" s="1"/>
  <c r="X73" i="2" s="1"/>
  <c r="X74" i="2" s="1"/>
  <c r="X75" i="2" s="1"/>
  <c r="X76" i="2" s="1"/>
  <c r="X77" i="2" s="1"/>
  <c r="X78" i="2" s="1"/>
  <c r="X79" i="2" s="1"/>
  <c r="X80" i="2" s="1"/>
  <c r="X81" i="2" s="1"/>
  <c r="X82" i="2" s="1"/>
  <c r="X83" i="2" s="1"/>
  <c r="X84" i="2" s="1"/>
  <c r="X85" i="2" s="1"/>
  <c r="X86" i="2" s="1"/>
  <c r="X87" i="2" s="1"/>
  <c r="X88" i="2" s="1"/>
  <c r="X89" i="2" s="1"/>
  <c r="X90" i="2" s="1"/>
  <c r="X91" i="2" s="1"/>
  <c r="X92" i="2" s="1"/>
  <c r="X93" i="2" s="1"/>
  <c r="X94" i="2" s="1"/>
  <c r="X95" i="2" s="1"/>
  <c r="X96" i="2" s="1"/>
  <c r="X97" i="2" s="1"/>
  <c r="X98" i="2" s="1"/>
  <c r="X99" i="2" s="1"/>
  <c r="X100" i="2" s="1"/>
  <c r="X101" i="2" s="1"/>
  <c r="X102" i="2" s="1"/>
  <c r="X103" i="2" s="1"/>
  <c r="X104" i="2" s="1"/>
  <c r="X105" i="2" s="1"/>
  <c r="X106" i="2" s="1"/>
  <c r="X107" i="2" s="1"/>
  <c r="X108" i="2" s="1"/>
  <c r="X109" i="2" s="1"/>
  <c r="X110" i="2" s="1"/>
  <c r="X111" i="2" s="1"/>
  <c r="X112" i="2" s="1"/>
  <c r="X113" i="2" s="1"/>
  <c r="X114" i="2" s="1"/>
  <c r="X115" i="2" s="1"/>
  <c r="X116" i="2" s="1"/>
  <c r="X117" i="2" s="1"/>
  <c r="X118" i="2" s="1"/>
  <c r="X119" i="2" s="1"/>
  <c r="X120" i="2" s="1"/>
  <c r="X121" i="2" s="1"/>
  <c r="X122" i="2" s="1"/>
  <c r="X123" i="2" s="1"/>
  <c r="X124" i="2" s="1"/>
  <c r="X125" i="2" s="1"/>
  <c r="X126" i="2" s="1"/>
  <c r="R45" i="2"/>
  <c r="S45" i="2" s="1"/>
  <c r="T45" i="2" s="1"/>
  <c r="M45" i="2"/>
  <c r="K45" i="2"/>
  <c r="K46" i="2" s="1"/>
  <c r="K47" i="2" s="1"/>
  <c r="K48" i="2" s="1"/>
  <c r="G45" i="2"/>
  <c r="G46" i="2" s="1"/>
  <c r="G47" i="2" s="1"/>
  <c r="G48" i="2" s="1"/>
  <c r="G49" i="2" s="1"/>
  <c r="G50" i="2" s="1"/>
  <c r="G51" i="2" s="1"/>
  <c r="G52" i="2" s="1"/>
  <c r="G53" i="2" s="1"/>
  <c r="G54" i="2" s="1"/>
  <c r="G55" i="2" s="1"/>
  <c r="G56" i="2" s="1"/>
  <c r="G57" i="2" s="1"/>
  <c r="G58" i="2" s="1"/>
  <c r="G59" i="2" s="1"/>
  <c r="G60" i="2" s="1"/>
  <c r="G61" i="2" s="1"/>
  <c r="G62" i="2" s="1"/>
  <c r="G63" i="2" s="1"/>
  <c r="G64" i="2" s="1"/>
  <c r="G65" i="2" s="1"/>
  <c r="G66" i="2" s="1"/>
  <c r="G67" i="2" s="1"/>
  <c r="G68" i="2" s="1"/>
  <c r="G69" i="2" s="1"/>
  <c r="G70" i="2" s="1"/>
  <c r="G71" i="2" s="1"/>
  <c r="G72" i="2" s="1"/>
  <c r="G73" i="2" s="1"/>
  <c r="G74" i="2" s="1"/>
  <c r="G75" i="2" s="1"/>
  <c r="G76" i="2" s="1"/>
  <c r="G77" i="2" s="1"/>
  <c r="G78" i="2" s="1"/>
  <c r="G79" i="2" s="1"/>
  <c r="G80" i="2" s="1"/>
  <c r="G81" i="2" s="1"/>
  <c r="G82" i="2" s="1"/>
  <c r="G83" i="2" s="1"/>
  <c r="G84" i="2" s="1"/>
  <c r="G85" i="2" s="1"/>
  <c r="G86" i="2" s="1"/>
  <c r="G87" i="2" s="1"/>
  <c r="G88" i="2" s="1"/>
  <c r="G89" i="2" s="1"/>
  <c r="G90" i="2" s="1"/>
  <c r="G91" i="2" s="1"/>
  <c r="G92" i="2" s="1"/>
  <c r="G93" i="2" s="1"/>
  <c r="G94" i="2" s="1"/>
  <c r="G95" i="2" s="1"/>
  <c r="G96" i="2" s="1"/>
  <c r="G97" i="2" s="1"/>
  <c r="G98" i="2" s="1"/>
  <c r="G99" i="2" s="1"/>
  <c r="G100" i="2" s="1"/>
  <c r="G101" i="2" s="1"/>
  <c r="G102" i="2" s="1"/>
  <c r="G103" i="2" s="1"/>
  <c r="G104" i="2" s="1"/>
  <c r="G105" i="2" s="1"/>
  <c r="G106" i="2" s="1"/>
  <c r="G107" i="2" s="1"/>
  <c r="G108" i="2" s="1"/>
  <c r="G109" i="2" s="1"/>
  <c r="G110" i="2" s="1"/>
  <c r="G111" i="2" s="1"/>
  <c r="G112" i="2" s="1"/>
  <c r="G113" i="2" s="1"/>
  <c r="G114" i="2" s="1"/>
  <c r="G115" i="2" s="1"/>
  <c r="G116" i="2" s="1"/>
  <c r="G117" i="2" s="1"/>
  <c r="G118" i="2" s="1"/>
  <c r="G119" i="2" s="1"/>
  <c r="G120" i="2" s="1"/>
  <c r="G121" i="2" s="1"/>
  <c r="G122" i="2" s="1"/>
  <c r="G123" i="2" s="1"/>
  <c r="G124" i="2" s="1"/>
  <c r="G125" i="2" s="1"/>
  <c r="G126" i="2" s="1"/>
  <c r="G127" i="2" s="1"/>
  <c r="G128" i="2" s="1"/>
  <c r="G129" i="2" s="1"/>
  <c r="G130" i="2" s="1"/>
  <c r="G131" i="2" s="1"/>
  <c r="G132" i="2" s="1"/>
  <c r="G133" i="2" s="1"/>
  <c r="G134" i="2" s="1"/>
  <c r="G135" i="2" s="1"/>
  <c r="G136" i="2" s="1"/>
  <c r="G137" i="2" s="1"/>
  <c r="G138" i="2" s="1"/>
  <c r="G139" i="2" s="1"/>
  <c r="G140" i="2" s="1"/>
  <c r="G141" i="2" s="1"/>
  <c r="G142" i="2" s="1"/>
  <c r="G143" i="2" s="1"/>
  <c r="G144" i="2" s="1"/>
  <c r="G145" i="2" s="1"/>
  <c r="G146" i="2" s="1"/>
  <c r="G147" i="2" s="1"/>
  <c r="G148" i="2" s="1"/>
  <c r="G149" i="2" s="1"/>
  <c r="G150" i="2" s="1"/>
  <c r="G151" i="2" s="1"/>
  <c r="G152" i="2" s="1"/>
  <c r="G153" i="2" s="1"/>
  <c r="G154" i="2" s="1"/>
  <c r="O10" i="2"/>
  <c r="O11" i="2" s="1"/>
  <c r="O12" i="2" s="1"/>
  <c r="O13" i="2" s="1"/>
  <c r="O14" i="2" s="1"/>
  <c r="O15" i="2" s="1"/>
  <c r="O16" i="2" s="1"/>
  <c r="O17" i="2" s="1"/>
  <c r="O18" i="2" s="1"/>
  <c r="O19" i="2" s="1"/>
  <c r="O20" i="2" s="1"/>
  <c r="O21" i="2" s="1"/>
  <c r="O22" i="2" s="1"/>
  <c r="O23" i="2" s="1"/>
  <c r="O24" i="2" s="1"/>
  <c r="O25" i="2" s="1"/>
  <c r="O26" i="2" s="1"/>
  <c r="O27" i="2" s="1"/>
  <c r="O28" i="2" s="1"/>
  <c r="O29" i="2" s="1"/>
  <c r="O30" i="2" s="1"/>
  <c r="O31" i="2" s="1"/>
  <c r="O32" i="2" s="1"/>
  <c r="O33" i="2" s="1"/>
  <c r="O34" i="2" s="1"/>
  <c r="O35" i="2" s="1"/>
  <c r="O36" i="2" s="1"/>
  <c r="O37" i="2" s="1"/>
  <c r="O38" i="2" s="1"/>
  <c r="O39" i="2" s="1"/>
  <c r="O40" i="2" s="1"/>
  <c r="O41" i="2" s="1"/>
  <c r="O42" i="2" s="1"/>
  <c r="O43" i="2" s="1"/>
  <c r="O45" i="2" s="1"/>
  <c r="U142" i="1"/>
  <c r="U58" i="1"/>
  <c r="U231" i="1"/>
  <c r="U271" i="1"/>
  <c r="U292" i="1"/>
  <c r="U315" i="1"/>
  <c r="U334" i="1"/>
  <c r="T64" i="2" l="1"/>
  <c r="T65" i="2" s="1"/>
  <c r="T66" i="2" s="1"/>
  <c r="T67" i="2" s="1"/>
  <c r="T68" i="2" s="1"/>
  <c r="T71" i="2"/>
  <c r="T72" i="2" s="1"/>
  <c r="T73" i="2" s="1"/>
  <c r="T74" i="2" s="1"/>
  <c r="T75" i="2" s="1"/>
  <c r="T76" i="2" s="1"/>
  <c r="T77" i="2" s="1"/>
  <c r="T78" i="2" s="1"/>
  <c r="T79" i="2" s="1"/>
  <c r="T80" i="2" s="1"/>
  <c r="T81" i="2" s="1"/>
  <c r="T82" i="2" s="1"/>
  <c r="T83" i="2" s="1"/>
  <c r="T84" i="2" s="1"/>
  <c r="T85" i="2" s="1"/>
  <c r="T86" i="2" s="1"/>
  <c r="T87" i="2" s="1"/>
  <c r="T88" i="2" s="1"/>
  <c r="T89" i="2" s="1"/>
  <c r="T90" i="2" s="1"/>
  <c r="T91" i="2" s="1"/>
  <c r="T92" i="2" s="1"/>
  <c r="T93" i="2" s="1"/>
  <c r="T94" i="2" s="1"/>
  <c r="T95" i="2" s="1"/>
  <c r="T96" i="2" s="1"/>
  <c r="T97" i="2" s="1"/>
  <c r="T98" i="2" s="1"/>
  <c r="T99" i="2" s="1"/>
  <c r="T100" i="2" s="1"/>
  <c r="T101" i="2" s="1"/>
  <c r="T102" i="2" s="1"/>
  <c r="T103" i="2" s="1"/>
  <c r="T104" i="2" s="1"/>
  <c r="T105" i="2" s="1"/>
  <c r="T106" i="2" s="1"/>
  <c r="T107" i="2" s="1"/>
  <c r="T108" i="2" s="1"/>
  <c r="T109" i="2" s="1"/>
  <c r="T110" i="2" s="1"/>
  <c r="T111" i="2" s="1"/>
  <c r="T112" i="2" s="1"/>
  <c r="T113" i="2" s="1"/>
  <c r="T114" i="2" s="1"/>
  <c r="T115" i="2" s="1"/>
  <c r="T116" i="2" s="1"/>
  <c r="T117" i="2" s="1"/>
  <c r="T118" i="2" s="1"/>
  <c r="T119" i="2" s="1"/>
  <c r="T120" i="2" s="1"/>
  <c r="T121" i="2" s="1"/>
  <c r="T122" i="2" s="1"/>
  <c r="T123" i="2" s="1"/>
  <c r="T124" i="2" s="1"/>
  <c r="T125" i="2" s="1"/>
  <c r="T126" i="2" s="1"/>
  <c r="T127" i="2" s="1"/>
  <c r="T128" i="2" s="1"/>
  <c r="T129" i="2" s="1"/>
  <c r="T130" i="2" s="1"/>
  <c r="T131" i="2" s="1"/>
  <c r="T132" i="2" s="1"/>
  <c r="T133" i="2" s="1"/>
  <c r="T134" i="2" s="1"/>
  <c r="T135" i="2" s="1"/>
  <c r="T136" i="2" s="1"/>
  <c r="T137" i="2" s="1"/>
  <c r="T138" i="2" s="1"/>
  <c r="T139" i="2" s="1"/>
  <c r="T140" i="2" s="1"/>
  <c r="T141" i="2" s="1"/>
  <c r="T142" i="2" s="1"/>
  <c r="T143" i="2" s="1"/>
  <c r="T144" i="2" s="1"/>
  <c r="T145" i="2" s="1"/>
  <c r="T146" i="2" s="1"/>
  <c r="T147" i="2" s="1"/>
  <c r="T148" i="2" s="1"/>
  <c r="T149" i="2" s="1"/>
  <c r="T150" i="2" s="1"/>
  <c r="T151" i="2" s="1"/>
  <c r="T152" i="2" s="1"/>
  <c r="T153" i="2" s="1"/>
  <c r="T154" i="2" s="1"/>
  <c r="T155" i="2" s="1"/>
  <c r="T156" i="2" s="1"/>
  <c r="T157" i="2" s="1"/>
  <c r="T158" i="2" s="1"/>
  <c r="T159" i="2" s="1"/>
  <c r="T160" i="2" s="1"/>
  <c r="T161" i="2" s="1"/>
  <c r="T162" i="2" s="1"/>
  <c r="T163" i="2" s="1"/>
  <c r="T164" i="2" s="1"/>
  <c r="T165" i="2" s="1"/>
  <c r="T166" i="2" s="1"/>
  <c r="T167" i="2" s="1"/>
  <c r="T168" i="2" s="1"/>
  <c r="T169" i="2" s="1"/>
  <c r="T170" i="2" s="1"/>
  <c r="T171" i="2" s="1"/>
  <c r="T172" i="2" s="1"/>
  <c r="T173" i="2" s="1"/>
  <c r="T174" i="2" s="1"/>
  <c r="T175" i="2" s="1"/>
  <c r="T176" i="2" s="1"/>
  <c r="T177" i="2" s="1"/>
  <c r="T178" i="2" s="1"/>
  <c r="T179" i="2" s="1"/>
  <c r="T180" i="2" s="1"/>
  <c r="T181" i="2" s="1"/>
  <c r="T182" i="2" s="1"/>
  <c r="T183" i="2" s="1"/>
  <c r="T184" i="2" s="1"/>
  <c r="T185" i="2" s="1"/>
  <c r="T186" i="2" s="1"/>
  <c r="T187" i="2" s="1"/>
  <c r="T188" i="2" s="1"/>
  <c r="T189" i="2" s="1"/>
  <c r="T190" i="2" s="1"/>
  <c r="T191" i="2" s="1"/>
  <c r="T192" i="2" s="1"/>
  <c r="T193" i="2" s="1"/>
  <c r="T194" i="2" s="1"/>
  <c r="T195" i="2" s="1"/>
  <c r="T196" i="2" s="1"/>
  <c r="T197" i="2" s="1"/>
  <c r="T198" i="2" s="1"/>
  <c r="T199" i="2" s="1"/>
  <c r="T200" i="2" s="1"/>
  <c r="T201" i="2" s="1"/>
  <c r="T202" i="2" s="1"/>
  <c r="T203" i="2" s="1"/>
  <c r="T204" i="2" s="1"/>
  <c r="T205" i="2" s="1"/>
  <c r="T206" i="2" s="1"/>
  <c r="T207" i="2" s="1"/>
  <c r="T208" i="2" s="1"/>
  <c r="T209" i="2" s="1"/>
  <c r="T210" i="2" s="1"/>
  <c r="T211" i="2" s="1"/>
  <c r="T212" i="2" s="1"/>
  <c r="T213" i="2" s="1"/>
  <c r="T214" i="2" s="1"/>
  <c r="T215" i="2" s="1"/>
  <c r="T216" i="2" s="1"/>
  <c r="T217" i="2" s="1"/>
  <c r="T218" i="2" s="1"/>
  <c r="Y304" i="2"/>
  <c r="Y305" i="2" s="1"/>
  <c r="Y306" i="2" s="1"/>
  <c r="Y307" i="2" s="1"/>
  <c r="Y308" i="2" s="1"/>
  <c r="Y309" i="2" s="1"/>
  <c r="Y310" i="2" s="1"/>
  <c r="Y311" i="2" s="1"/>
  <c r="Y312" i="2" s="1"/>
  <c r="Y313" i="2" s="1"/>
  <c r="Y314" i="2" s="1"/>
  <c r="Y315" i="2" s="1"/>
  <c r="Y316" i="2" s="1"/>
  <c r="Y317" i="2" s="1"/>
  <c r="Y318" i="2" s="1"/>
  <c r="Y319" i="2" s="1"/>
  <c r="Y320" i="2" s="1"/>
  <c r="Y322" i="2" s="1"/>
  <c r="Y323" i="2" s="1"/>
  <c r="Y324" i="2" s="1"/>
  <c r="Y325" i="2" s="1"/>
  <c r="Y326" i="2" s="1"/>
  <c r="Y327" i="2" s="1"/>
  <c r="Y328" i="2" s="1"/>
  <c r="Y329" i="2" s="1"/>
  <c r="Y330" i="2" s="1"/>
  <c r="Y331" i="2" s="1"/>
  <c r="Y332" i="2" s="1"/>
  <c r="Y333" i="2" s="1"/>
  <c r="Y334" i="2" s="1"/>
  <c r="Y335" i="2" s="1"/>
  <c r="Y336" i="2" s="1"/>
  <c r="Y337" i="2" s="1"/>
  <c r="Y338" i="2" s="1"/>
  <c r="Y339" i="2" s="1"/>
  <c r="Y340" i="2" s="1"/>
  <c r="Y341" i="2" s="1"/>
  <c r="Y342" i="2" s="1"/>
  <c r="Y343" i="2" s="1"/>
  <c r="Y344" i="2" s="1"/>
  <c r="Y345" i="2" s="1"/>
  <c r="X127" i="2"/>
  <c r="X128" i="2" s="1"/>
  <c r="X129" i="2" s="1"/>
  <c r="X130" i="2" s="1"/>
  <c r="X131" i="2" s="1"/>
  <c r="X132" i="2" s="1"/>
  <c r="X133" i="2" s="1"/>
  <c r="X134" i="2" s="1"/>
  <c r="X135" i="2" s="1"/>
  <c r="X136" i="2" s="1"/>
  <c r="X137" i="2" s="1"/>
  <c r="X138" i="2" s="1"/>
  <c r="X139" i="2" s="1"/>
  <c r="X140" i="2" s="1"/>
  <c r="X141" i="2" s="1"/>
  <c r="X142" i="2" s="1"/>
  <c r="X143" i="2" s="1"/>
  <c r="X144" i="2" s="1"/>
  <c r="X145" i="2" s="1"/>
  <c r="X146" i="2" s="1"/>
  <c r="X147" i="2" s="1"/>
  <c r="X148" i="2" s="1"/>
  <c r="X149" i="2" s="1"/>
  <c r="X150" i="2" s="1"/>
  <c r="X151" i="2" s="1"/>
  <c r="X152" i="2" s="1"/>
  <c r="X153" i="2" s="1"/>
  <c r="X154" i="2" s="1"/>
  <c r="X155" i="2" s="1"/>
  <c r="X156" i="2" s="1"/>
  <c r="X157" i="2" s="1"/>
  <c r="X158" i="2" s="1"/>
  <c r="X159" i="2" s="1"/>
  <c r="X160" i="2" s="1"/>
  <c r="X161" i="2" s="1"/>
  <c r="X162" i="2" s="1"/>
  <c r="X163" i="2" s="1"/>
  <c r="X164" i="2" s="1"/>
  <c r="X165" i="2" s="1"/>
  <c r="X166" i="2" s="1"/>
  <c r="X167" i="2" s="1"/>
  <c r="X168" i="2" s="1"/>
  <c r="X169" i="2" s="1"/>
  <c r="X170" i="2" s="1"/>
  <c r="X171" i="2" s="1"/>
  <c r="X172" i="2" s="1"/>
  <c r="X173" i="2" s="1"/>
  <c r="X174" i="2" s="1"/>
  <c r="X175" i="2" s="1"/>
  <c r="X176" i="2" s="1"/>
  <c r="X177" i="2" s="1"/>
  <c r="X178" i="2" s="1"/>
  <c r="X179" i="2" s="1"/>
  <c r="X180" i="2" s="1"/>
  <c r="X181" i="2" s="1"/>
  <c r="X182" i="2" s="1"/>
  <c r="X183" i="2" s="1"/>
  <c r="X184" i="2" s="1"/>
  <c r="X185" i="2" s="1"/>
  <c r="X186" i="2" s="1"/>
  <c r="X187" i="2" s="1"/>
  <c r="X188" i="2" s="1"/>
  <c r="X189" i="2" s="1"/>
  <c r="X190" i="2" s="1"/>
  <c r="X191" i="2" s="1"/>
  <c r="X192" i="2" s="1"/>
  <c r="X193" i="2" s="1"/>
  <c r="X194" i="2" s="1"/>
  <c r="X195" i="2" s="1"/>
  <c r="X196" i="2" s="1"/>
  <c r="X197" i="2" s="1"/>
  <c r="X198" i="2" s="1"/>
  <c r="X199" i="2" s="1"/>
  <c r="X200" i="2" s="1"/>
  <c r="X201" i="2" s="1"/>
  <c r="X202" i="2" s="1"/>
  <c r="X203" i="2" s="1"/>
  <c r="X204" i="2" s="1"/>
  <c r="X205" i="2" s="1"/>
  <c r="X206" i="2" s="1"/>
  <c r="X207" i="2" s="1"/>
  <c r="X208" i="2" s="1"/>
  <c r="X209" i="2" s="1"/>
  <c r="X210" i="2" s="1"/>
  <c r="X211" i="2" s="1"/>
  <c r="X212" i="2" s="1"/>
  <c r="X213" i="2" s="1"/>
  <c r="X214" i="2" s="1"/>
  <c r="X215" i="2" s="1"/>
  <c r="X216" i="2" s="1"/>
  <c r="X217" i="2" s="1"/>
  <c r="X218" i="2" s="1"/>
  <c r="X219" i="2" s="1"/>
  <c r="X220" i="2" s="1"/>
  <c r="X221" i="2" s="1"/>
  <c r="X222" i="2" s="1"/>
  <c r="X223" i="2" s="1"/>
  <c r="X224" i="2" s="1"/>
  <c r="X225" i="2" s="1"/>
  <c r="X226" i="2" s="1"/>
  <c r="X227" i="2" s="1"/>
  <c r="X228" i="2" s="1"/>
  <c r="X229" i="2" s="1"/>
  <c r="X230" i="2" s="1"/>
  <c r="X231" i="2" s="1"/>
  <c r="X232" i="2" s="1"/>
  <c r="X233" i="2" s="1"/>
  <c r="X234" i="2" s="1"/>
  <c r="X235" i="2" s="1"/>
  <c r="X236" i="2" s="1"/>
  <c r="X237" i="2" s="1"/>
  <c r="X238" i="2" s="1"/>
  <c r="X239" i="2" s="1"/>
  <c r="X240" i="2" s="1"/>
  <c r="X241" i="2" s="1"/>
  <c r="X242" i="2" s="1"/>
  <c r="X243" i="2" s="1"/>
  <c r="X244" i="2" s="1"/>
  <c r="X245" i="2" s="1"/>
  <c r="X246" i="2" s="1"/>
  <c r="X247" i="2" s="1"/>
  <c r="X248" i="2" s="1"/>
  <c r="X249" i="2" s="1"/>
  <c r="X250" i="2" s="1"/>
  <c r="X251" i="2" s="1"/>
  <c r="X252" i="2" s="1"/>
  <c r="X253" i="2" s="1"/>
  <c r="X254" i="2" s="1"/>
  <c r="X255" i="2" s="1"/>
  <c r="X256" i="2" s="1"/>
  <c r="X257" i="2" s="1"/>
  <c r="X258" i="2" s="1"/>
  <c r="X259" i="2" s="1"/>
  <c r="X260" i="2" s="1"/>
  <c r="X261" i="2" s="1"/>
  <c r="X262" i="2" s="1"/>
  <c r="X263" i="2" s="1"/>
  <c r="X264" i="2" s="1"/>
  <c r="X265" i="2" s="1"/>
  <c r="X266" i="2" s="1"/>
  <c r="X267" i="2" s="1"/>
  <c r="X268" i="2" s="1"/>
  <c r="X269" i="2" s="1"/>
  <c r="X270" i="2" s="1"/>
  <c r="X271" i="2" s="1"/>
  <c r="X272" i="2" s="1"/>
  <c r="X273" i="2" s="1"/>
  <c r="X274" i="2" s="1"/>
  <c r="X275" i="2" s="1"/>
  <c r="X276" i="2" s="1"/>
  <c r="X277" i="2" s="1"/>
  <c r="X278" i="2" s="1"/>
  <c r="X279" i="2" s="1"/>
  <c r="X280" i="2" s="1"/>
  <c r="X281" i="2" s="1"/>
  <c r="X282" i="2" s="1"/>
  <c r="X283" i="2" s="1"/>
  <c r="X284" i="2" s="1"/>
  <c r="X285" i="2" s="1"/>
  <c r="X286" i="2" s="1"/>
  <c r="X287" i="2" s="1"/>
  <c r="X288" i="2" s="1"/>
  <c r="X289" i="2" s="1"/>
  <c r="X290" i="2" s="1"/>
  <c r="X291" i="2" s="1"/>
  <c r="X292" i="2" s="1"/>
  <c r="X293" i="2" s="1"/>
  <c r="X294" i="2" s="1"/>
  <c r="X295" i="2" s="1"/>
  <c r="X296" i="2" s="1"/>
  <c r="X297" i="2" s="1"/>
  <c r="X298" i="2" s="1"/>
  <c r="X299" i="2" s="1"/>
  <c r="X300" i="2" s="1"/>
  <c r="X301" i="2" s="1"/>
  <c r="X302" i="2" s="1"/>
  <c r="X303" i="2" s="1"/>
  <c r="X304" i="2" s="1"/>
  <c r="X305" i="2" s="1"/>
  <c r="X306" i="2" s="1"/>
  <c r="X307" i="2" s="1"/>
  <c r="X308" i="2" s="1"/>
  <c r="X309" i="2" s="1"/>
  <c r="X310" i="2" s="1"/>
  <c r="X311" i="2" s="1"/>
  <c r="X312" i="2" s="1"/>
  <c r="X313" i="2" s="1"/>
  <c r="X314" i="2" s="1"/>
  <c r="X315" i="2" s="1"/>
  <c r="X316" i="2" s="1"/>
  <c r="X317" i="2" s="1"/>
  <c r="X318" i="2" s="1"/>
  <c r="X319" i="2" s="1"/>
  <c r="X320" i="2" s="1"/>
  <c r="X321" i="2" s="1"/>
  <c r="X322" i="2" s="1"/>
  <c r="X323" i="2" s="1"/>
  <c r="X324" i="2" s="1"/>
  <c r="X325" i="2" s="1"/>
  <c r="X326" i="2" s="1"/>
  <c r="X327" i="2" s="1"/>
  <c r="X328" i="2" s="1"/>
  <c r="X329" i="2" s="1"/>
  <c r="X330" i="2" s="1"/>
  <c r="X331" i="2" s="1"/>
  <c r="X332" i="2" s="1"/>
  <c r="X333" i="2" s="1"/>
  <c r="X334" i="2" s="1"/>
  <c r="X335" i="2" s="1"/>
  <c r="X336" i="2" s="1"/>
  <c r="X337" i="2" s="1"/>
  <c r="X338" i="2" s="1"/>
  <c r="X339" i="2" s="1"/>
  <c r="X340" i="2" s="1"/>
  <c r="X341" i="2" s="1"/>
  <c r="X342" i="2" s="1"/>
  <c r="X343" i="2" s="1"/>
  <c r="X344" i="2" s="1"/>
  <c r="X345" i="2" s="1"/>
  <c r="W126" i="2"/>
  <c r="T46" i="2"/>
  <c r="T47" i="2" s="1"/>
  <c r="R345" i="1"/>
  <c r="S345" i="1" s="1"/>
  <c r="Q345" i="1"/>
  <c r="H345" i="1"/>
  <c r="Q344" i="1"/>
  <c r="R344" i="1" s="1"/>
  <c r="S344" i="1" s="1"/>
  <c r="H344" i="1"/>
  <c r="Q343" i="1"/>
  <c r="R343" i="1" s="1"/>
  <c r="S343" i="1" s="1"/>
  <c r="T343" i="1" s="1"/>
  <c r="H343" i="1"/>
  <c r="R342" i="1"/>
  <c r="S342" i="1" s="1"/>
  <c r="Q342" i="1"/>
  <c r="Q341" i="1"/>
  <c r="R341" i="1" s="1"/>
  <c r="S341" i="1" s="1"/>
  <c r="R340" i="1"/>
  <c r="S340" i="1" s="1"/>
  <c r="Q340" i="1"/>
  <c r="S339" i="1"/>
  <c r="R339" i="1"/>
  <c r="Q339" i="1"/>
  <c r="S338" i="1"/>
  <c r="Q338" i="1"/>
  <c r="R338" i="1" s="1"/>
  <c r="R337" i="1"/>
  <c r="S337" i="1" s="1"/>
  <c r="Q337" i="1"/>
  <c r="S336" i="1"/>
  <c r="Q336" i="1"/>
  <c r="R336" i="1" s="1"/>
  <c r="R335" i="1"/>
  <c r="S335" i="1" s="1"/>
  <c r="Q335" i="1"/>
  <c r="S334" i="1"/>
  <c r="Q334" i="1"/>
  <c r="R334" i="1" s="1"/>
  <c r="Q333" i="1"/>
  <c r="R333" i="1" s="1"/>
  <c r="S333" i="1" s="1"/>
  <c r="R332" i="1"/>
  <c r="S332" i="1" s="1"/>
  <c r="Q332" i="1"/>
  <c r="R331" i="1"/>
  <c r="S331" i="1" s="1"/>
  <c r="Q331" i="1"/>
  <c r="S330" i="1"/>
  <c r="R330" i="1"/>
  <c r="Q330" i="1"/>
  <c r="S329" i="1"/>
  <c r="Q329" i="1"/>
  <c r="R329" i="1" s="1"/>
  <c r="S328" i="1"/>
  <c r="R328" i="1"/>
  <c r="Q328" i="1"/>
  <c r="Y327" i="1"/>
  <c r="Y328" i="1" s="1"/>
  <c r="Y329" i="1" s="1"/>
  <c r="Y330" i="1" s="1"/>
  <c r="Y331" i="1" s="1"/>
  <c r="Y332" i="1" s="1"/>
  <c r="Y333" i="1" s="1"/>
  <c r="Y334" i="1" s="1"/>
  <c r="Y335" i="1" s="1"/>
  <c r="Y336" i="1" s="1"/>
  <c r="Y337" i="1" s="1"/>
  <c r="Y338" i="1" s="1"/>
  <c r="Y339" i="1" s="1"/>
  <c r="Y340" i="1" s="1"/>
  <c r="Y341" i="1" s="1"/>
  <c r="Y342" i="1" s="1"/>
  <c r="Y343" i="1" s="1"/>
  <c r="Y344" i="1" s="1"/>
  <c r="Y345" i="1" s="1"/>
  <c r="R327" i="1"/>
  <c r="S327" i="1" s="1"/>
  <c r="Q327" i="1"/>
  <c r="Q326" i="1"/>
  <c r="R326" i="1" s="1"/>
  <c r="S326" i="1" s="1"/>
  <c r="I326" i="1"/>
  <c r="Q325" i="1"/>
  <c r="R325" i="1" s="1"/>
  <c r="S325" i="1" s="1"/>
  <c r="Z324" i="1"/>
  <c r="Q324" i="1"/>
  <c r="R324" i="1" s="1"/>
  <c r="S324" i="1" s="1"/>
  <c r="I324" i="1"/>
  <c r="Q323" i="1"/>
  <c r="R323" i="1" s="1"/>
  <c r="S323" i="1" s="1"/>
  <c r="H323" i="1"/>
  <c r="H324" i="1" s="1"/>
  <c r="H325" i="1" s="1"/>
  <c r="H326" i="1" s="1"/>
  <c r="H327" i="1" s="1"/>
  <c r="H328" i="1" s="1"/>
  <c r="H329" i="1" s="1"/>
  <c r="H330" i="1" s="1"/>
  <c r="H331" i="1" s="1"/>
  <c r="H332" i="1" s="1"/>
  <c r="H333" i="1" s="1"/>
  <c r="H334" i="1" s="1"/>
  <c r="H335" i="1" s="1"/>
  <c r="H336" i="1" s="1"/>
  <c r="H337" i="1" s="1"/>
  <c r="H338" i="1" s="1"/>
  <c r="H339" i="1" s="1"/>
  <c r="H340" i="1" s="1"/>
  <c r="H341" i="1" s="1"/>
  <c r="Y322" i="1"/>
  <c r="Y323" i="1" s="1"/>
  <c r="Y324" i="1" s="1"/>
  <c r="Y325" i="1" s="1"/>
  <c r="Y326" i="1" s="1"/>
  <c r="R322" i="1"/>
  <c r="S322" i="1" s="1"/>
  <c r="Q322" i="1"/>
  <c r="I322" i="1"/>
  <c r="H322" i="1"/>
  <c r="S321" i="1"/>
  <c r="Q321" i="1"/>
  <c r="R321" i="1" s="1"/>
  <c r="S320" i="1"/>
  <c r="Q320" i="1"/>
  <c r="R320" i="1" s="1"/>
  <c r="R319" i="1"/>
  <c r="S319" i="1" s="1"/>
  <c r="Q319" i="1"/>
  <c r="Q318" i="1"/>
  <c r="R318" i="1" s="1"/>
  <c r="S318" i="1" s="1"/>
  <c r="R317" i="1"/>
  <c r="S317" i="1" s="1"/>
  <c r="Q317" i="1"/>
  <c r="S316" i="1"/>
  <c r="Q316" i="1"/>
  <c r="R316" i="1" s="1"/>
  <c r="S315" i="1"/>
  <c r="R315" i="1"/>
  <c r="Q315" i="1"/>
  <c r="R314" i="1"/>
  <c r="S314" i="1" s="1"/>
  <c r="Q314" i="1"/>
  <c r="S313" i="1"/>
  <c r="R313" i="1"/>
  <c r="Q313" i="1"/>
  <c r="S312" i="1"/>
  <c r="Q312" i="1"/>
  <c r="R312" i="1" s="1"/>
  <c r="R311" i="1"/>
  <c r="S311" i="1" s="1"/>
  <c r="Q311" i="1"/>
  <c r="R310" i="1"/>
  <c r="S310" i="1" s="1"/>
  <c r="Q310" i="1"/>
  <c r="H310" i="1"/>
  <c r="H311" i="1" s="1"/>
  <c r="H312" i="1" s="1"/>
  <c r="H313" i="1" s="1"/>
  <c r="H314" i="1" s="1"/>
  <c r="H315" i="1" s="1"/>
  <c r="H316" i="1" s="1"/>
  <c r="H317" i="1" s="1"/>
  <c r="H318" i="1" s="1"/>
  <c r="H319" i="1" s="1"/>
  <c r="H320" i="1" s="1"/>
  <c r="R309" i="1"/>
  <c r="S309" i="1" s="1"/>
  <c r="Q309" i="1"/>
  <c r="Q308" i="1"/>
  <c r="R308" i="1" s="1"/>
  <c r="S308" i="1" s="1"/>
  <c r="R307" i="1"/>
  <c r="S307" i="1" s="1"/>
  <c r="Q307" i="1"/>
  <c r="I307" i="1"/>
  <c r="H307" i="1"/>
  <c r="H308" i="1" s="1"/>
  <c r="H309" i="1" s="1"/>
  <c r="Y306" i="1"/>
  <c r="Y307" i="1" s="1"/>
  <c r="Y308" i="1" s="1"/>
  <c r="Y309" i="1" s="1"/>
  <c r="Y310" i="1" s="1"/>
  <c r="Y311" i="1" s="1"/>
  <c r="Y312" i="1" s="1"/>
  <c r="Y313" i="1" s="1"/>
  <c r="Y314" i="1" s="1"/>
  <c r="R306" i="1"/>
  <c r="S306" i="1" s="1"/>
  <c r="Q306" i="1"/>
  <c r="Z305" i="1"/>
  <c r="R305" i="1"/>
  <c r="S305" i="1" s="1"/>
  <c r="Q305" i="1"/>
  <c r="I305" i="1"/>
  <c r="S304" i="1"/>
  <c r="R304" i="1"/>
  <c r="Q304" i="1"/>
  <c r="Y303" i="1"/>
  <c r="Y304" i="1" s="1"/>
  <c r="Y305" i="1" s="1"/>
  <c r="S303" i="1"/>
  <c r="Q303" i="1"/>
  <c r="R303" i="1" s="1"/>
  <c r="I303" i="1"/>
  <c r="H303" i="1"/>
  <c r="H304" i="1" s="1"/>
  <c r="H305" i="1" s="1"/>
  <c r="H306" i="1" s="1"/>
  <c r="R302" i="1"/>
  <c r="S302" i="1" s="1"/>
  <c r="Q302" i="1"/>
  <c r="R301" i="1"/>
  <c r="S301" i="1" s="1"/>
  <c r="R300" i="1"/>
  <c r="S300" i="1" s="1"/>
  <c r="R299" i="1"/>
  <c r="S299" i="1" s="1"/>
  <c r="R298" i="1"/>
  <c r="S298" i="1" s="1"/>
  <c r="S297" i="1"/>
  <c r="R297" i="1"/>
  <c r="R296" i="1"/>
  <c r="S296" i="1" s="1"/>
  <c r="R295" i="1"/>
  <c r="S295" i="1" s="1"/>
  <c r="R294" i="1"/>
  <c r="S294" i="1" s="1"/>
  <c r="S293" i="1"/>
  <c r="R293" i="1"/>
  <c r="R292" i="1"/>
  <c r="S292" i="1" s="1"/>
  <c r="R291" i="1"/>
  <c r="S291" i="1" s="1"/>
  <c r="R290" i="1"/>
  <c r="S290" i="1" s="1"/>
  <c r="S289" i="1"/>
  <c r="R289" i="1"/>
  <c r="O289" i="1"/>
  <c r="O290" i="1" s="1"/>
  <c r="O291" i="1" s="1"/>
  <c r="O292" i="1" s="1"/>
  <c r="O293" i="1" s="1"/>
  <c r="O294" i="1" s="1"/>
  <c r="O295" i="1" s="1"/>
  <c r="O296" i="1" s="1"/>
  <c r="O297" i="1" s="1"/>
  <c r="O298" i="1" s="1"/>
  <c r="O299" i="1" s="1"/>
  <c r="O300" i="1" s="1"/>
  <c r="O301" i="1" s="1"/>
  <c r="O302" i="1" s="1"/>
  <c r="O303" i="1" s="1"/>
  <c r="O304" i="1" s="1"/>
  <c r="O305" i="1" s="1"/>
  <c r="O306" i="1" s="1"/>
  <c r="O307" i="1" s="1"/>
  <c r="O308" i="1" s="1"/>
  <c r="O309" i="1" s="1"/>
  <c r="O310" i="1" s="1"/>
  <c r="O311" i="1" s="1"/>
  <c r="O312" i="1" s="1"/>
  <c r="O313" i="1" s="1"/>
  <c r="O314" i="1" s="1"/>
  <c r="O315" i="1" s="1"/>
  <c r="O316" i="1" s="1"/>
  <c r="O317" i="1" s="1"/>
  <c r="O318" i="1" s="1"/>
  <c r="O319" i="1" s="1"/>
  <c r="O320" i="1" s="1"/>
  <c r="O321" i="1" s="1"/>
  <c r="O322" i="1" s="1"/>
  <c r="O323" i="1" s="1"/>
  <c r="O324" i="1" s="1"/>
  <c r="O325" i="1" s="1"/>
  <c r="O326" i="1" s="1"/>
  <c r="O327" i="1" s="1"/>
  <c r="O328" i="1" s="1"/>
  <c r="O329" i="1" s="1"/>
  <c r="O330" i="1" s="1"/>
  <c r="O331" i="1" s="1"/>
  <c r="R288" i="1"/>
  <c r="S288" i="1" s="1"/>
  <c r="R287" i="1"/>
  <c r="S287" i="1" s="1"/>
  <c r="Y286" i="1"/>
  <c r="Y287" i="1" s="1"/>
  <c r="Y288" i="1" s="1"/>
  <c r="Y289" i="1" s="1"/>
  <c r="Y290" i="1" s="1"/>
  <c r="Y291" i="1" s="1"/>
  <c r="Y292" i="1" s="1"/>
  <c r="Y293" i="1" s="1"/>
  <c r="Y294" i="1" s="1"/>
  <c r="Y295" i="1" s="1"/>
  <c r="Y296" i="1" s="1"/>
  <c r="Y297" i="1" s="1"/>
  <c r="Y298" i="1" s="1"/>
  <c r="Y299" i="1" s="1"/>
  <c r="Y300" i="1" s="1"/>
  <c r="Y301" i="1" s="1"/>
  <c r="S286" i="1"/>
  <c r="R286" i="1"/>
  <c r="S285" i="1"/>
  <c r="R285" i="1"/>
  <c r="S284" i="1"/>
  <c r="R284" i="1"/>
  <c r="O284" i="1"/>
  <c r="O285" i="1" s="1"/>
  <c r="O286" i="1" s="1"/>
  <c r="O287" i="1" s="1"/>
  <c r="O288" i="1" s="1"/>
  <c r="I284" i="1"/>
  <c r="R283" i="1"/>
  <c r="S283" i="1" s="1"/>
  <c r="O283" i="1"/>
  <c r="Z282" i="1"/>
  <c r="S282" i="1"/>
  <c r="R282" i="1"/>
  <c r="I282" i="1"/>
  <c r="S281" i="1"/>
  <c r="R281" i="1"/>
  <c r="Y280" i="1"/>
  <c r="Y281" i="1" s="1"/>
  <c r="Y282" i="1" s="1"/>
  <c r="Y283" i="1" s="1"/>
  <c r="Y284" i="1" s="1"/>
  <c r="Y285" i="1" s="1"/>
  <c r="R280" i="1"/>
  <c r="S280" i="1" s="1"/>
  <c r="I280" i="1"/>
  <c r="H280" i="1"/>
  <c r="H281" i="1" s="1"/>
  <c r="H282" i="1" s="1"/>
  <c r="H283" i="1" s="1"/>
  <c r="H284" i="1" s="1"/>
  <c r="H285" i="1" s="1"/>
  <c r="H286" i="1" s="1"/>
  <c r="H287" i="1" s="1"/>
  <c r="H288" i="1" s="1"/>
  <c r="H289" i="1" s="1"/>
  <c r="H290" i="1" s="1"/>
  <c r="H291" i="1" s="1"/>
  <c r="H292" i="1" s="1"/>
  <c r="H293" i="1" s="1"/>
  <c r="H294" i="1" s="1"/>
  <c r="H295" i="1" s="1"/>
  <c r="H296" i="1" s="1"/>
  <c r="H297" i="1" s="1"/>
  <c r="H298" i="1" s="1"/>
  <c r="H299" i="1" s="1"/>
  <c r="H300" i="1" s="1"/>
  <c r="H301" i="1" s="1"/>
  <c r="R279" i="1"/>
  <c r="S279" i="1" s="1"/>
  <c r="R278" i="1"/>
  <c r="S278" i="1" s="1"/>
  <c r="R277" i="1"/>
  <c r="S277" i="1" s="1"/>
  <c r="R276" i="1"/>
  <c r="S276" i="1" s="1"/>
  <c r="R275" i="1"/>
  <c r="S275" i="1" s="1"/>
  <c r="S274" i="1"/>
  <c r="R274" i="1"/>
  <c r="S273" i="1"/>
  <c r="R273" i="1"/>
  <c r="R272" i="1"/>
  <c r="S272" i="1" s="1"/>
  <c r="R271" i="1"/>
  <c r="S271" i="1" s="1"/>
  <c r="R270" i="1"/>
  <c r="S270" i="1" s="1"/>
  <c r="R269" i="1"/>
  <c r="S269" i="1" s="1"/>
  <c r="S268" i="1"/>
  <c r="R268" i="1"/>
  <c r="R267" i="1"/>
  <c r="S267" i="1" s="1"/>
  <c r="S266" i="1"/>
  <c r="R266" i="1"/>
  <c r="S265" i="1"/>
  <c r="R265" i="1"/>
  <c r="R264" i="1"/>
  <c r="S264" i="1" s="1"/>
  <c r="S263" i="1"/>
  <c r="R263" i="1"/>
  <c r="I263" i="1"/>
  <c r="R262" i="1"/>
  <c r="S262" i="1" s="1"/>
  <c r="Z261" i="1"/>
  <c r="R261" i="1"/>
  <c r="S261" i="1" s="1"/>
  <c r="I261" i="1"/>
  <c r="R260" i="1"/>
  <c r="S260" i="1" s="1"/>
  <c r="H260" i="1"/>
  <c r="H261" i="1" s="1"/>
  <c r="H262" i="1" s="1"/>
  <c r="H263" i="1" s="1"/>
  <c r="H264" i="1" s="1"/>
  <c r="H265" i="1" s="1"/>
  <c r="H266" i="1" s="1"/>
  <c r="H267" i="1" s="1"/>
  <c r="H268" i="1" s="1"/>
  <c r="H269" i="1" s="1"/>
  <c r="H270" i="1" s="1"/>
  <c r="H271" i="1" s="1"/>
  <c r="H272" i="1" s="1"/>
  <c r="H273" i="1" s="1"/>
  <c r="H274" i="1" s="1"/>
  <c r="H275" i="1" s="1"/>
  <c r="H276" i="1" s="1"/>
  <c r="H277" i="1" s="1"/>
  <c r="H278" i="1" s="1"/>
  <c r="Y259" i="1"/>
  <c r="Y260" i="1" s="1"/>
  <c r="Y261" i="1" s="1"/>
  <c r="Y262" i="1" s="1"/>
  <c r="Y263" i="1" s="1"/>
  <c r="Y264" i="1" s="1"/>
  <c r="Y265" i="1" s="1"/>
  <c r="Y266" i="1" s="1"/>
  <c r="Y267" i="1" s="1"/>
  <c r="Y268" i="1" s="1"/>
  <c r="Y269" i="1" s="1"/>
  <c r="Y270" i="1" s="1"/>
  <c r="Y271" i="1" s="1"/>
  <c r="Y272" i="1" s="1"/>
  <c r="Y273" i="1" s="1"/>
  <c r="Y274" i="1" s="1"/>
  <c r="Y275" i="1" s="1"/>
  <c r="Y276" i="1" s="1"/>
  <c r="Y277" i="1" s="1"/>
  <c r="Y278" i="1" s="1"/>
  <c r="S259" i="1"/>
  <c r="R259" i="1"/>
  <c r="I259" i="1"/>
  <c r="H259" i="1"/>
  <c r="R258" i="1"/>
  <c r="S258" i="1" s="1"/>
  <c r="S257" i="1"/>
  <c r="Q257" i="1"/>
  <c r="R257" i="1" s="1"/>
  <c r="Q256" i="1"/>
  <c r="R256" i="1" s="1"/>
  <c r="S256" i="1" s="1"/>
  <c r="Q255" i="1"/>
  <c r="R255" i="1" s="1"/>
  <c r="S255" i="1" s="1"/>
  <c r="O255" i="1"/>
  <c r="O256" i="1" s="1"/>
  <c r="O257" i="1" s="1"/>
  <c r="O258" i="1" s="1"/>
  <c r="O259" i="1" s="1"/>
  <c r="O260" i="1" s="1"/>
  <c r="O261" i="1" s="1"/>
  <c r="O262" i="1" s="1"/>
  <c r="O263" i="1" s="1"/>
  <c r="O264" i="1" s="1"/>
  <c r="O265" i="1" s="1"/>
  <c r="O266" i="1" s="1"/>
  <c r="O267" i="1" s="1"/>
  <c r="O268" i="1" s="1"/>
  <c r="O269" i="1" s="1"/>
  <c r="O270" i="1" s="1"/>
  <c r="O271" i="1" s="1"/>
  <c r="O272" i="1" s="1"/>
  <c r="O273" i="1" s="1"/>
  <c r="O274" i="1" s="1"/>
  <c r="O275" i="1" s="1"/>
  <c r="O276" i="1" s="1"/>
  <c r="O277" i="1" s="1"/>
  <c r="O278" i="1" s="1"/>
  <c r="O279" i="1" s="1"/>
  <c r="R254" i="1"/>
  <c r="S254" i="1" s="1"/>
  <c r="Q254" i="1"/>
  <c r="Q253" i="1"/>
  <c r="R253" i="1" s="1"/>
  <c r="S253" i="1" s="1"/>
  <c r="R252" i="1"/>
  <c r="S252" i="1" s="1"/>
  <c r="Q252" i="1"/>
  <c r="S251" i="1"/>
  <c r="Q251" i="1"/>
  <c r="R251" i="1" s="1"/>
  <c r="R250" i="1"/>
  <c r="S250" i="1" s="1"/>
  <c r="Q250" i="1"/>
  <c r="R249" i="1"/>
  <c r="S249" i="1" s="1"/>
  <c r="Q249" i="1"/>
  <c r="Q248" i="1"/>
  <c r="R248" i="1" s="1"/>
  <c r="S248" i="1" s="1"/>
  <c r="S247" i="1"/>
  <c r="Q247" i="1"/>
  <c r="R247" i="1" s="1"/>
  <c r="R246" i="1"/>
  <c r="S246" i="1" s="1"/>
  <c r="Q246" i="1"/>
  <c r="Q245" i="1"/>
  <c r="R245" i="1" s="1"/>
  <c r="S245" i="1" s="1"/>
  <c r="Q244" i="1"/>
  <c r="R244" i="1" s="1"/>
  <c r="S244" i="1" s="1"/>
  <c r="R243" i="1"/>
  <c r="S243" i="1" s="1"/>
  <c r="Q243" i="1"/>
  <c r="Q242" i="1"/>
  <c r="R242" i="1" s="1"/>
  <c r="S242" i="1" s="1"/>
  <c r="Q241" i="1"/>
  <c r="R241" i="1" s="1"/>
  <c r="S241" i="1" s="1"/>
  <c r="S240" i="1"/>
  <c r="Q240" i="1"/>
  <c r="R240" i="1" s="1"/>
  <c r="S239" i="1"/>
  <c r="R239" i="1"/>
  <c r="Q239" i="1"/>
  <c r="Q238" i="1"/>
  <c r="R238" i="1" s="1"/>
  <c r="S238" i="1" s="1"/>
  <c r="R237" i="1"/>
  <c r="S237" i="1" s="1"/>
  <c r="Q237" i="1"/>
  <c r="Q236" i="1"/>
  <c r="R236" i="1" s="1"/>
  <c r="S236" i="1" s="1"/>
  <c r="R235" i="1"/>
  <c r="S235" i="1" s="1"/>
  <c r="Q235" i="1"/>
  <c r="O235" i="1"/>
  <c r="O236" i="1" s="1"/>
  <c r="O237" i="1" s="1"/>
  <c r="O238" i="1" s="1"/>
  <c r="O239" i="1" s="1"/>
  <c r="O240" i="1" s="1"/>
  <c r="O241" i="1" s="1"/>
  <c r="O242" i="1" s="1"/>
  <c r="O243" i="1" s="1"/>
  <c r="O244" i="1" s="1"/>
  <c r="O245" i="1" s="1"/>
  <c r="O246" i="1" s="1"/>
  <c r="O247" i="1" s="1"/>
  <c r="O248" i="1" s="1"/>
  <c r="O249" i="1" s="1"/>
  <c r="O250" i="1" s="1"/>
  <c r="O251" i="1" s="1"/>
  <c r="O252" i="1" s="1"/>
  <c r="O253" i="1" s="1"/>
  <c r="O254" i="1" s="1"/>
  <c r="R234" i="1"/>
  <c r="S234" i="1" s="1"/>
  <c r="Q234" i="1"/>
  <c r="H234" i="1"/>
  <c r="H235" i="1" s="1"/>
  <c r="H236" i="1" s="1"/>
  <c r="H237" i="1" s="1"/>
  <c r="H238" i="1" s="1"/>
  <c r="H239" i="1" s="1"/>
  <c r="H240" i="1" s="1"/>
  <c r="H241" i="1" s="1"/>
  <c r="H242" i="1" s="1"/>
  <c r="H243" i="1" s="1"/>
  <c r="H244" i="1" s="1"/>
  <c r="H245" i="1" s="1"/>
  <c r="H246" i="1" s="1"/>
  <c r="H247" i="1" s="1"/>
  <c r="H248" i="1" s="1"/>
  <c r="H249" i="1" s="1"/>
  <c r="H250" i="1" s="1"/>
  <c r="H251" i="1" s="1"/>
  <c r="H252" i="1" s="1"/>
  <c r="H253" i="1" s="1"/>
  <c r="H254" i="1" s="1"/>
  <c r="H255" i="1" s="1"/>
  <c r="H256" i="1" s="1"/>
  <c r="H257" i="1" s="1"/>
  <c r="Q233" i="1"/>
  <c r="R233" i="1" s="1"/>
  <c r="S233" i="1" s="1"/>
  <c r="G233" i="1"/>
  <c r="G234" i="1" s="1"/>
  <c r="G235" i="1" s="1"/>
  <c r="G236" i="1" s="1"/>
  <c r="G237" i="1" s="1"/>
  <c r="G238" i="1" s="1"/>
  <c r="G239" i="1" s="1"/>
  <c r="G240" i="1" s="1"/>
  <c r="G241" i="1" s="1"/>
  <c r="G242" i="1" s="1"/>
  <c r="G243" i="1" s="1"/>
  <c r="G244" i="1" s="1"/>
  <c r="G245" i="1" s="1"/>
  <c r="G246" i="1" s="1"/>
  <c r="G247" i="1" s="1"/>
  <c r="G248" i="1" s="1"/>
  <c r="G249" i="1" s="1"/>
  <c r="G250" i="1" s="1"/>
  <c r="G251" i="1" s="1"/>
  <c r="G252" i="1" s="1"/>
  <c r="G253" i="1" s="1"/>
  <c r="G254" i="1" s="1"/>
  <c r="G255" i="1" s="1"/>
  <c r="G256" i="1" s="1"/>
  <c r="G257" i="1" s="1"/>
  <c r="G258" i="1" s="1"/>
  <c r="G259" i="1" s="1"/>
  <c r="G260" i="1" s="1"/>
  <c r="G261" i="1" s="1"/>
  <c r="G262" i="1" s="1"/>
  <c r="G263" i="1" s="1"/>
  <c r="G264" i="1" s="1"/>
  <c r="G265" i="1" s="1"/>
  <c r="G266" i="1" s="1"/>
  <c r="G267" i="1" s="1"/>
  <c r="G268" i="1" s="1"/>
  <c r="G269" i="1" s="1"/>
  <c r="G270" i="1" s="1"/>
  <c r="G271" i="1" s="1"/>
  <c r="G272" i="1" s="1"/>
  <c r="G273" i="1" s="1"/>
  <c r="G274" i="1" s="1"/>
  <c r="G275" i="1" s="1"/>
  <c r="G276" i="1" s="1"/>
  <c r="G277" i="1" s="1"/>
  <c r="G278" i="1" s="1"/>
  <c r="G279" i="1" s="1"/>
  <c r="G280" i="1" s="1"/>
  <c r="G281" i="1" s="1"/>
  <c r="G282" i="1" s="1"/>
  <c r="G283" i="1" s="1"/>
  <c r="G284" i="1" s="1"/>
  <c r="G285" i="1" s="1"/>
  <c r="G286" i="1" s="1"/>
  <c r="G287" i="1" s="1"/>
  <c r="G288" i="1" s="1"/>
  <c r="G289" i="1" s="1"/>
  <c r="G290" i="1" s="1"/>
  <c r="G291" i="1" s="1"/>
  <c r="G292" i="1" s="1"/>
  <c r="G293" i="1" s="1"/>
  <c r="G294" i="1" s="1"/>
  <c r="G295" i="1" s="1"/>
  <c r="G296" i="1" s="1"/>
  <c r="G297" i="1" s="1"/>
  <c r="G298" i="1" s="1"/>
  <c r="G299" i="1" s="1"/>
  <c r="G300" i="1" s="1"/>
  <c r="G301" i="1" s="1"/>
  <c r="G302" i="1" s="1"/>
  <c r="G303" i="1" s="1"/>
  <c r="G304" i="1" s="1"/>
  <c r="G305" i="1" s="1"/>
  <c r="G306" i="1" s="1"/>
  <c r="G307" i="1" s="1"/>
  <c r="G308" i="1" s="1"/>
  <c r="G309" i="1" s="1"/>
  <c r="G310" i="1" s="1"/>
  <c r="G311" i="1" s="1"/>
  <c r="G312" i="1" s="1"/>
  <c r="G313" i="1" s="1"/>
  <c r="G314" i="1" s="1"/>
  <c r="G315" i="1" s="1"/>
  <c r="G316" i="1" s="1"/>
  <c r="G317" i="1" s="1"/>
  <c r="G318" i="1" s="1"/>
  <c r="G319" i="1" s="1"/>
  <c r="G320" i="1" s="1"/>
  <c r="G321" i="1" s="1"/>
  <c r="G322" i="1" s="1"/>
  <c r="G323" i="1" s="1"/>
  <c r="G324" i="1" s="1"/>
  <c r="G325" i="1" s="1"/>
  <c r="G326" i="1" s="1"/>
  <c r="G327" i="1" s="1"/>
  <c r="G328" i="1" s="1"/>
  <c r="G329" i="1" s="1"/>
  <c r="G330" i="1" s="1"/>
  <c r="G331" i="1" s="1"/>
  <c r="G332" i="1" s="1"/>
  <c r="G333" i="1" s="1"/>
  <c r="G334" i="1" s="1"/>
  <c r="G335" i="1" s="1"/>
  <c r="G336" i="1" s="1"/>
  <c r="G337" i="1" s="1"/>
  <c r="G338" i="1" s="1"/>
  <c r="G339" i="1" s="1"/>
  <c r="G340" i="1" s="1"/>
  <c r="G341" i="1" s="1"/>
  <c r="G342" i="1" s="1"/>
  <c r="G343" i="1" s="1"/>
  <c r="G344" i="1" s="1"/>
  <c r="G345" i="1" s="1"/>
  <c r="Q232" i="1"/>
  <c r="R232" i="1" s="1"/>
  <c r="S232" i="1" s="1"/>
  <c r="R231" i="1"/>
  <c r="S231" i="1" s="1"/>
  <c r="Q231" i="1"/>
  <c r="Q230" i="1"/>
  <c r="R230" i="1" s="1"/>
  <c r="S230" i="1" s="1"/>
  <c r="Q229" i="1"/>
  <c r="R229" i="1" s="1"/>
  <c r="S229" i="1" s="1"/>
  <c r="Q228" i="1"/>
  <c r="R228" i="1" s="1"/>
  <c r="S228" i="1" s="1"/>
  <c r="R227" i="1"/>
  <c r="S227" i="1" s="1"/>
  <c r="Q227" i="1"/>
  <c r="Y226" i="1"/>
  <c r="Y227" i="1" s="1"/>
  <c r="Y228" i="1" s="1"/>
  <c r="Y229" i="1" s="1"/>
  <c r="Y230" i="1" s="1"/>
  <c r="Y231" i="1" s="1"/>
  <c r="Y232" i="1" s="1"/>
  <c r="Y233" i="1" s="1"/>
  <c r="Y234" i="1" s="1"/>
  <c r="Y235" i="1" s="1"/>
  <c r="Y236" i="1" s="1"/>
  <c r="Y237" i="1" s="1"/>
  <c r="Y238" i="1" s="1"/>
  <c r="Y239" i="1" s="1"/>
  <c r="Y240" i="1" s="1"/>
  <c r="Y241" i="1" s="1"/>
  <c r="Y242" i="1" s="1"/>
  <c r="Y243" i="1" s="1"/>
  <c r="Y244" i="1" s="1"/>
  <c r="Y245" i="1" s="1"/>
  <c r="Y246" i="1" s="1"/>
  <c r="Y247" i="1" s="1"/>
  <c r="Y248" i="1" s="1"/>
  <c r="Y249" i="1" s="1"/>
  <c r="Y250" i="1" s="1"/>
  <c r="Y251" i="1" s="1"/>
  <c r="Y252" i="1" s="1"/>
  <c r="Y253" i="1" s="1"/>
  <c r="Y254" i="1" s="1"/>
  <c r="Y255" i="1" s="1"/>
  <c r="Y256" i="1" s="1"/>
  <c r="Y257" i="1" s="1"/>
  <c r="Q226" i="1"/>
  <c r="R226" i="1" s="1"/>
  <c r="S226" i="1" s="1"/>
  <c r="Q225" i="1"/>
  <c r="R225" i="1" s="1"/>
  <c r="S225" i="1" s="1"/>
  <c r="S224" i="1"/>
  <c r="R224" i="1"/>
  <c r="Q224" i="1"/>
  <c r="Y223" i="1"/>
  <c r="Y224" i="1" s="1"/>
  <c r="Y225" i="1" s="1"/>
  <c r="Q223" i="1"/>
  <c r="R223" i="1" s="1"/>
  <c r="S223" i="1" s="1"/>
  <c r="I223" i="1"/>
  <c r="R222" i="1"/>
  <c r="S222" i="1" s="1"/>
  <c r="Q222" i="1"/>
  <c r="H222" i="1"/>
  <c r="H223" i="1" s="1"/>
  <c r="H224" i="1" s="1"/>
  <c r="H225" i="1" s="1"/>
  <c r="H226" i="1" s="1"/>
  <c r="H227" i="1" s="1"/>
  <c r="H228" i="1" s="1"/>
  <c r="H229" i="1" s="1"/>
  <c r="H230" i="1" s="1"/>
  <c r="H231" i="1" s="1"/>
  <c r="H232" i="1" s="1"/>
  <c r="H233" i="1" s="1"/>
  <c r="Z221" i="1"/>
  <c r="Y221" i="1"/>
  <c r="Y222" i="1" s="1"/>
  <c r="Q221" i="1"/>
  <c r="R221" i="1" s="1"/>
  <c r="S221" i="1" s="1"/>
  <c r="O221" i="1"/>
  <c r="O222" i="1" s="1"/>
  <c r="O223" i="1" s="1"/>
  <c r="O224" i="1" s="1"/>
  <c r="O225" i="1" s="1"/>
  <c r="O226" i="1" s="1"/>
  <c r="O227" i="1" s="1"/>
  <c r="O228" i="1" s="1"/>
  <c r="O229" i="1" s="1"/>
  <c r="O230" i="1" s="1"/>
  <c r="O231" i="1" s="1"/>
  <c r="O232" i="1" s="1"/>
  <c r="O233" i="1" s="1"/>
  <c r="O234" i="1" s="1"/>
  <c r="I221" i="1"/>
  <c r="Q220" i="1"/>
  <c r="R220" i="1" s="1"/>
  <c r="S220" i="1" s="1"/>
  <c r="H220" i="1"/>
  <c r="H221" i="1" s="1"/>
  <c r="Y219" i="1"/>
  <c r="Y220" i="1" s="1"/>
  <c r="Q219" i="1"/>
  <c r="R219" i="1" s="1"/>
  <c r="S219" i="1" s="1"/>
  <c r="O219" i="1"/>
  <c r="O220" i="1" s="1"/>
  <c r="I219" i="1"/>
  <c r="H219" i="1"/>
  <c r="Y218" i="1"/>
  <c r="Q218" i="1"/>
  <c r="R218" i="1" s="1"/>
  <c r="S218" i="1" s="1"/>
  <c r="R217" i="1"/>
  <c r="S217" i="1" s="1"/>
  <c r="S216" i="1"/>
  <c r="R216" i="1"/>
  <c r="O216" i="1"/>
  <c r="R215" i="1"/>
  <c r="S215" i="1" s="1"/>
  <c r="R214" i="1"/>
  <c r="S214" i="1" s="1"/>
  <c r="R213" i="1"/>
  <c r="S213" i="1" s="1"/>
  <c r="O213" i="1"/>
  <c r="R212" i="1"/>
  <c r="S212" i="1" s="1"/>
  <c r="S211" i="1"/>
  <c r="R211" i="1"/>
  <c r="R210" i="1"/>
  <c r="S210" i="1" s="1"/>
  <c r="S209" i="1"/>
  <c r="R209" i="1"/>
  <c r="R208" i="1"/>
  <c r="S208" i="1" s="1"/>
  <c r="R207" i="1"/>
  <c r="S207" i="1" s="1"/>
  <c r="H207" i="1"/>
  <c r="H208" i="1" s="1"/>
  <c r="H209" i="1" s="1"/>
  <c r="H210" i="1" s="1"/>
  <c r="H211" i="1" s="1"/>
  <c r="H212" i="1" s="1"/>
  <c r="H213" i="1" s="1"/>
  <c r="H214" i="1" s="1"/>
  <c r="H215" i="1" s="1"/>
  <c r="H216" i="1" s="1"/>
  <c r="H217" i="1" s="1"/>
  <c r="R206" i="1"/>
  <c r="S206" i="1" s="1"/>
  <c r="O206" i="1"/>
  <c r="O207" i="1" s="1"/>
  <c r="O208" i="1" s="1"/>
  <c r="R205" i="1"/>
  <c r="S205" i="1" s="1"/>
  <c r="S204" i="1"/>
  <c r="R204" i="1"/>
  <c r="O204" i="1"/>
  <c r="S203" i="1"/>
  <c r="R203" i="1"/>
  <c r="H203" i="1"/>
  <c r="H204" i="1" s="1"/>
  <c r="H205" i="1" s="1"/>
  <c r="H206" i="1" s="1"/>
  <c r="R202" i="1"/>
  <c r="S202" i="1" s="1"/>
  <c r="S201" i="1"/>
  <c r="R201" i="1"/>
  <c r="S200" i="1"/>
  <c r="R200" i="1"/>
  <c r="S199" i="1"/>
  <c r="R199" i="1"/>
  <c r="S198" i="1"/>
  <c r="R198" i="1"/>
  <c r="S197" i="1"/>
  <c r="R197" i="1"/>
  <c r="S196" i="1"/>
  <c r="R196" i="1"/>
  <c r="H196" i="1"/>
  <c r="H197" i="1" s="1"/>
  <c r="H198" i="1" s="1"/>
  <c r="H199" i="1" s="1"/>
  <c r="H200" i="1" s="1"/>
  <c r="H201" i="1" s="1"/>
  <c r="H202" i="1" s="1"/>
  <c r="G196" i="1"/>
  <c r="G197" i="1" s="1"/>
  <c r="G198" i="1" s="1"/>
  <c r="G199" i="1" s="1"/>
  <c r="G200" i="1" s="1"/>
  <c r="G201" i="1" s="1"/>
  <c r="G202" i="1" s="1"/>
  <c r="G203" i="1" s="1"/>
  <c r="G204" i="1" s="1"/>
  <c r="G205" i="1" s="1"/>
  <c r="G206" i="1" s="1"/>
  <c r="G207" i="1" s="1"/>
  <c r="G208" i="1" s="1"/>
  <c r="G209" i="1" s="1"/>
  <c r="G210" i="1" s="1"/>
  <c r="G211" i="1" s="1"/>
  <c r="G212" i="1" s="1"/>
  <c r="G213" i="1" s="1"/>
  <c r="G214" i="1" s="1"/>
  <c r="G215" i="1" s="1"/>
  <c r="G216" i="1" s="1"/>
  <c r="G217" i="1" s="1"/>
  <c r="G218" i="1" s="1"/>
  <c r="G219" i="1" s="1"/>
  <c r="G220" i="1" s="1"/>
  <c r="G221" i="1" s="1"/>
  <c r="G222" i="1" s="1"/>
  <c r="G223" i="1" s="1"/>
  <c r="G224" i="1" s="1"/>
  <c r="G225" i="1" s="1"/>
  <c r="G226" i="1" s="1"/>
  <c r="G227" i="1" s="1"/>
  <c r="G228" i="1" s="1"/>
  <c r="G229" i="1" s="1"/>
  <c r="G230" i="1" s="1"/>
  <c r="G231" i="1" s="1"/>
  <c r="G232" i="1" s="1"/>
  <c r="S195" i="1"/>
  <c r="R195" i="1"/>
  <c r="S194" i="1"/>
  <c r="R194" i="1"/>
  <c r="S193" i="1"/>
  <c r="R193" i="1"/>
  <c r="H193" i="1"/>
  <c r="H194" i="1" s="1"/>
  <c r="G193" i="1"/>
  <c r="G194" i="1" s="1"/>
  <c r="S192" i="1"/>
  <c r="R192" i="1"/>
  <c r="O192" i="1"/>
  <c r="O193" i="1" s="1"/>
  <c r="O194" i="1" s="1"/>
  <c r="O195" i="1" s="1"/>
  <c r="O196" i="1" s="1"/>
  <c r="O197" i="1" s="1"/>
  <c r="O198" i="1" s="1"/>
  <c r="O199" i="1" s="1"/>
  <c r="O200" i="1" s="1"/>
  <c r="O201" i="1" s="1"/>
  <c r="S191" i="1"/>
  <c r="R191" i="1"/>
  <c r="O191" i="1"/>
  <c r="S190" i="1"/>
  <c r="R190" i="1"/>
  <c r="R189" i="1"/>
  <c r="S189" i="1" s="1"/>
  <c r="S188" i="1"/>
  <c r="R188" i="1"/>
  <c r="R187" i="1"/>
  <c r="S187" i="1" s="1"/>
  <c r="S186" i="1"/>
  <c r="R186" i="1"/>
  <c r="R185" i="1"/>
  <c r="S185" i="1" s="1"/>
  <c r="R184" i="1"/>
  <c r="S184" i="1" s="1"/>
  <c r="R183" i="1"/>
  <c r="S183" i="1" s="1"/>
  <c r="R182" i="1"/>
  <c r="S182" i="1" s="1"/>
  <c r="H182" i="1"/>
  <c r="H183" i="1" s="1"/>
  <c r="H184" i="1" s="1"/>
  <c r="H185" i="1" s="1"/>
  <c r="H186" i="1" s="1"/>
  <c r="H187" i="1" s="1"/>
  <c r="H188" i="1" s="1"/>
  <c r="H189" i="1" s="1"/>
  <c r="H190" i="1" s="1"/>
  <c r="H191" i="1" s="1"/>
  <c r="G182" i="1"/>
  <c r="G183" i="1" s="1"/>
  <c r="G184" i="1" s="1"/>
  <c r="G185" i="1" s="1"/>
  <c r="G186" i="1" s="1"/>
  <c r="G187" i="1" s="1"/>
  <c r="G188" i="1" s="1"/>
  <c r="G189" i="1" s="1"/>
  <c r="G190" i="1" s="1"/>
  <c r="G191" i="1" s="1"/>
  <c r="R181" i="1"/>
  <c r="S181" i="1" s="1"/>
  <c r="R180" i="1"/>
  <c r="S180" i="1" s="1"/>
  <c r="S179" i="1"/>
  <c r="R179" i="1"/>
  <c r="H179" i="1"/>
  <c r="G179" i="1"/>
  <c r="R178" i="1"/>
  <c r="S178" i="1" s="1"/>
  <c r="R177" i="1"/>
  <c r="S177" i="1" s="1"/>
  <c r="R176" i="1"/>
  <c r="S176" i="1" s="1"/>
  <c r="R175" i="1"/>
  <c r="S175" i="1" s="1"/>
  <c r="R174" i="1"/>
  <c r="S174" i="1" s="1"/>
  <c r="R173" i="1"/>
  <c r="S173" i="1" s="1"/>
  <c r="R172" i="1"/>
  <c r="S172" i="1" s="1"/>
  <c r="R171" i="1"/>
  <c r="S171" i="1" s="1"/>
  <c r="H171" i="1"/>
  <c r="H172" i="1" s="1"/>
  <c r="H173" i="1" s="1"/>
  <c r="H174" i="1" s="1"/>
  <c r="H175" i="1" s="1"/>
  <c r="H176" i="1" s="1"/>
  <c r="H177" i="1" s="1"/>
  <c r="S170" i="1"/>
  <c r="R170" i="1"/>
  <c r="R169" i="1"/>
  <c r="S169" i="1" s="1"/>
  <c r="R168" i="1"/>
  <c r="S168" i="1" s="1"/>
  <c r="R167" i="1"/>
  <c r="S167" i="1" s="1"/>
  <c r="H167" i="1"/>
  <c r="H168" i="1" s="1"/>
  <c r="H169" i="1" s="1"/>
  <c r="H170" i="1" s="1"/>
  <c r="S166" i="1"/>
  <c r="R166" i="1"/>
  <c r="R165" i="1"/>
  <c r="S165" i="1" s="1"/>
  <c r="R164" i="1"/>
  <c r="S164" i="1" s="1"/>
  <c r="S163" i="1"/>
  <c r="R163" i="1"/>
  <c r="H163" i="1"/>
  <c r="H164" i="1" s="1"/>
  <c r="H165" i="1" s="1"/>
  <c r="H166" i="1" s="1"/>
  <c r="S162" i="1"/>
  <c r="R162" i="1"/>
  <c r="R161" i="1"/>
  <c r="S161" i="1" s="1"/>
  <c r="H161" i="1"/>
  <c r="H162" i="1" s="1"/>
  <c r="R160" i="1"/>
  <c r="S160" i="1" s="1"/>
  <c r="H160" i="1"/>
  <c r="G160" i="1"/>
  <c r="G161" i="1" s="1"/>
  <c r="G162" i="1" s="1"/>
  <c r="G163" i="1" s="1"/>
  <c r="G164" i="1" s="1"/>
  <c r="G165" i="1" s="1"/>
  <c r="G166" i="1" s="1"/>
  <c r="G167" i="1" s="1"/>
  <c r="G168" i="1" s="1"/>
  <c r="G169" i="1" s="1"/>
  <c r="G170" i="1" s="1"/>
  <c r="G171" i="1" s="1"/>
  <c r="G172" i="1" s="1"/>
  <c r="G173" i="1" s="1"/>
  <c r="G174" i="1" s="1"/>
  <c r="G175" i="1" s="1"/>
  <c r="G176" i="1" s="1"/>
  <c r="G177" i="1" s="1"/>
  <c r="S159" i="1"/>
  <c r="R159" i="1"/>
  <c r="R158" i="1"/>
  <c r="S158" i="1" s="1"/>
  <c r="R157" i="1"/>
  <c r="S157" i="1" s="1"/>
  <c r="R156" i="1"/>
  <c r="S156" i="1" s="1"/>
  <c r="S155" i="1"/>
  <c r="R155" i="1"/>
  <c r="S154" i="1"/>
  <c r="R154" i="1"/>
  <c r="S153" i="1"/>
  <c r="R153" i="1"/>
  <c r="R152" i="1"/>
  <c r="S152" i="1" s="1"/>
  <c r="R151" i="1"/>
  <c r="S151" i="1" s="1"/>
  <c r="S150" i="1"/>
  <c r="R150" i="1"/>
  <c r="H150" i="1"/>
  <c r="H151" i="1" s="1"/>
  <c r="H152" i="1" s="1"/>
  <c r="H153" i="1" s="1"/>
  <c r="H154" i="1" s="1"/>
  <c r="S149" i="1"/>
  <c r="R149" i="1"/>
  <c r="R148" i="1"/>
  <c r="S148" i="1" s="1"/>
  <c r="R147" i="1"/>
  <c r="S147" i="1" s="1"/>
  <c r="R146" i="1"/>
  <c r="S146" i="1" s="1"/>
  <c r="S145" i="1"/>
  <c r="R145" i="1"/>
  <c r="R144" i="1"/>
  <c r="S144" i="1" s="1"/>
  <c r="R143" i="1"/>
  <c r="S143" i="1" s="1"/>
  <c r="S142" i="1"/>
  <c r="R142" i="1"/>
  <c r="S141" i="1"/>
  <c r="R141" i="1"/>
  <c r="S140" i="1"/>
  <c r="R140" i="1"/>
  <c r="R139" i="1"/>
  <c r="S139" i="1" s="1"/>
  <c r="S138" i="1"/>
  <c r="R138" i="1"/>
  <c r="R137" i="1"/>
  <c r="S137" i="1" s="1"/>
  <c r="R136" i="1"/>
  <c r="S136" i="1" s="1"/>
  <c r="R135" i="1"/>
  <c r="S135" i="1" s="1"/>
  <c r="R134" i="1"/>
  <c r="S134" i="1" s="1"/>
  <c r="S133" i="1"/>
  <c r="R133" i="1"/>
  <c r="R132" i="1"/>
  <c r="S132" i="1" s="1"/>
  <c r="I132" i="1"/>
  <c r="S131" i="1"/>
  <c r="R131" i="1"/>
  <c r="Z130" i="1"/>
  <c r="S130" i="1"/>
  <c r="R130" i="1"/>
  <c r="I130" i="1"/>
  <c r="Y129" i="1"/>
  <c r="Y130" i="1" s="1"/>
  <c r="Y131" i="1" s="1"/>
  <c r="Y132" i="1" s="1"/>
  <c r="Y133" i="1" s="1"/>
  <c r="Y134" i="1" s="1"/>
  <c r="Y135" i="1" s="1"/>
  <c r="Y136" i="1" s="1"/>
  <c r="Y137" i="1" s="1"/>
  <c r="Y138" i="1" s="1"/>
  <c r="Y139" i="1" s="1"/>
  <c r="Y140" i="1" s="1"/>
  <c r="Y141" i="1" s="1"/>
  <c r="Y142" i="1" s="1"/>
  <c r="Y143" i="1" s="1"/>
  <c r="Y144" i="1" s="1"/>
  <c r="Y145" i="1" s="1"/>
  <c r="Y146" i="1" s="1"/>
  <c r="Y147" i="1" s="1"/>
  <c r="Y148" i="1" s="1"/>
  <c r="Y149" i="1" s="1"/>
  <c r="Y150" i="1" s="1"/>
  <c r="Y151" i="1" s="1"/>
  <c r="Y152" i="1" s="1"/>
  <c r="Y153" i="1" s="1"/>
  <c r="Y154" i="1" s="1"/>
  <c r="Y155" i="1" s="1"/>
  <c r="Y156" i="1" s="1"/>
  <c r="Y157" i="1" s="1"/>
  <c r="Y158" i="1" s="1"/>
  <c r="Y159" i="1" s="1"/>
  <c r="Y160" i="1" s="1"/>
  <c r="Y161" i="1" s="1"/>
  <c r="Y162" i="1" s="1"/>
  <c r="Y163" i="1" s="1"/>
  <c r="Y164" i="1" s="1"/>
  <c r="Y165" i="1" s="1"/>
  <c r="Y166" i="1" s="1"/>
  <c r="Y167" i="1" s="1"/>
  <c r="Y168" i="1" s="1"/>
  <c r="Y169" i="1" s="1"/>
  <c r="Y170" i="1" s="1"/>
  <c r="Y171" i="1" s="1"/>
  <c r="Y172" i="1" s="1"/>
  <c r="Y173" i="1" s="1"/>
  <c r="Y174" i="1" s="1"/>
  <c r="Y175" i="1" s="1"/>
  <c r="Y176" i="1" s="1"/>
  <c r="Y177" i="1" s="1"/>
  <c r="Y178" i="1" s="1"/>
  <c r="Y179" i="1" s="1"/>
  <c r="Y180" i="1" s="1"/>
  <c r="Y181" i="1" s="1"/>
  <c r="Y182" i="1" s="1"/>
  <c r="Y183" i="1" s="1"/>
  <c r="Y184" i="1" s="1"/>
  <c r="Y185" i="1" s="1"/>
  <c r="Y186" i="1" s="1"/>
  <c r="Y187" i="1" s="1"/>
  <c r="Y188" i="1" s="1"/>
  <c r="Y189" i="1" s="1"/>
  <c r="Y190" i="1" s="1"/>
  <c r="Y191" i="1" s="1"/>
  <c r="Y192" i="1" s="1"/>
  <c r="Y193" i="1" s="1"/>
  <c r="Y194" i="1" s="1"/>
  <c r="Y195" i="1" s="1"/>
  <c r="Y196" i="1" s="1"/>
  <c r="Y197" i="1" s="1"/>
  <c r="Y198" i="1" s="1"/>
  <c r="Y199" i="1" s="1"/>
  <c r="Y200" i="1" s="1"/>
  <c r="Y201" i="1" s="1"/>
  <c r="Y202" i="1" s="1"/>
  <c r="Y203" i="1" s="1"/>
  <c r="Y204" i="1" s="1"/>
  <c r="Y205" i="1" s="1"/>
  <c r="Y206" i="1" s="1"/>
  <c r="Y207" i="1" s="1"/>
  <c r="Y208" i="1" s="1"/>
  <c r="Y209" i="1" s="1"/>
  <c r="Y210" i="1" s="1"/>
  <c r="Y211" i="1" s="1"/>
  <c r="Y212" i="1" s="1"/>
  <c r="Y213" i="1" s="1"/>
  <c r="Y214" i="1" s="1"/>
  <c r="Y215" i="1" s="1"/>
  <c r="Y216" i="1" s="1"/>
  <c r="Y217" i="1" s="1"/>
  <c r="W217" i="1" s="1"/>
  <c r="S129" i="1"/>
  <c r="R129" i="1"/>
  <c r="Y128" i="1"/>
  <c r="S128" i="1"/>
  <c r="R128" i="1"/>
  <c r="I128" i="1"/>
  <c r="Y127" i="1"/>
  <c r="S127" i="1"/>
  <c r="R127" i="1"/>
  <c r="H127" i="1"/>
  <c r="H128" i="1" s="1"/>
  <c r="H129" i="1" s="1"/>
  <c r="H130" i="1" s="1"/>
  <c r="H131" i="1" s="1"/>
  <c r="H132" i="1" s="1"/>
  <c r="H133" i="1" s="1"/>
  <c r="H134" i="1" s="1"/>
  <c r="H135" i="1" s="1"/>
  <c r="H136" i="1" s="1"/>
  <c r="H137" i="1" s="1"/>
  <c r="H138" i="1" s="1"/>
  <c r="H139" i="1" s="1"/>
  <c r="H140" i="1" s="1"/>
  <c r="H141" i="1" s="1"/>
  <c r="H142" i="1" s="1"/>
  <c r="H143" i="1" s="1"/>
  <c r="H144" i="1" s="1"/>
  <c r="H145" i="1" s="1"/>
  <c r="H146" i="1" s="1"/>
  <c r="H147" i="1" s="1"/>
  <c r="H148" i="1" s="1"/>
  <c r="H149" i="1" s="1"/>
  <c r="Q126" i="1"/>
  <c r="R126" i="1" s="1"/>
  <c r="S126" i="1" s="1"/>
  <c r="S125" i="1"/>
  <c r="R125" i="1"/>
  <c r="Q125" i="1"/>
  <c r="R124" i="1"/>
  <c r="S124" i="1" s="1"/>
  <c r="Q124" i="1"/>
  <c r="Q123" i="1"/>
  <c r="R123" i="1" s="1"/>
  <c r="S123" i="1" s="1"/>
  <c r="R122" i="1"/>
  <c r="S122" i="1" s="1"/>
  <c r="Q122" i="1"/>
  <c r="S121" i="1"/>
  <c r="R121" i="1"/>
  <c r="Q121" i="1"/>
  <c r="S120" i="1"/>
  <c r="Q120" i="1"/>
  <c r="R120" i="1" s="1"/>
  <c r="Q119" i="1"/>
  <c r="R119" i="1" s="1"/>
  <c r="S119" i="1" s="1"/>
  <c r="Q118" i="1"/>
  <c r="R118" i="1" s="1"/>
  <c r="S118" i="1" s="1"/>
  <c r="Q117" i="1"/>
  <c r="R117" i="1" s="1"/>
  <c r="S117" i="1" s="1"/>
  <c r="R116" i="1"/>
  <c r="S116" i="1" s="1"/>
  <c r="Q116" i="1"/>
  <c r="Q115" i="1"/>
  <c r="R115" i="1" s="1"/>
  <c r="S115" i="1" s="1"/>
  <c r="R114" i="1"/>
  <c r="S114" i="1" s="1"/>
  <c r="Q114" i="1"/>
  <c r="Q113" i="1"/>
  <c r="R113" i="1" s="1"/>
  <c r="S113" i="1" s="1"/>
  <c r="R112" i="1"/>
  <c r="S112" i="1" s="1"/>
  <c r="Q112" i="1"/>
  <c r="S111" i="1"/>
  <c r="R111" i="1"/>
  <c r="Q111" i="1"/>
  <c r="Q110" i="1"/>
  <c r="R110" i="1" s="1"/>
  <c r="S110" i="1" s="1"/>
  <c r="Q109" i="1"/>
  <c r="R109" i="1" s="1"/>
  <c r="S109" i="1" s="1"/>
  <c r="R108" i="1"/>
  <c r="S108" i="1" s="1"/>
  <c r="Q108" i="1"/>
  <c r="Q107" i="1"/>
  <c r="R107" i="1" s="1"/>
  <c r="S107" i="1" s="1"/>
  <c r="R106" i="1"/>
  <c r="S106" i="1" s="1"/>
  <c r="Q106" i="1"/>
  <c r="Q105" i="1"/>
  <c r="R105" i="1" s="1"/>
  <c r="S105" i="1" s="1"/>
  <c r="R104" i="1"/>
  <c r="S104" i="1" s="1"/>
  <c r="Q104" i="1"/>
  <c r="S103" i="1"/>
  <c r="R103" i="1"/>
  <c r="Q103" i="1"/>
  <c r="Q102" i="1"/>
  <c r="R102" i="1" s="1"/>
  <c r="S102" i="1" s="1"/>
  <c r="Q101" i="1"/>
  <c r="R101" i="1" s="1"/>
  <c r="S101" i="1" s="1"/>
  <c r="R100" i="1"/>
  <c r="S100" i="1" s="1"/>
  <c r="Q100" i="1"/>
  <c r="Q99" i="1"/>
  <c r="R99" i="1" s="1"/>
  <c r="S99" i="1" s="1"/>
  <c r="R98" i="1"/>
  <c r="S98" i="1" s="1"/>
  <c r="Q98" i="1"/>
  <c r="Q97" i="1"/>
  <c r="R97" i="1" s="1"/>
  <c r="S97" i="1" s="1"/>
  <c r="R96" i="1"/>
  <c r="S96" i="1" s="1"/>
  <c r="Q96" i="1"/>
  <c r="S95" i="1"/>
  <c r="R95" i="1"/>
  <c r="Q95" i="1"/>
  <c r="Q94" i="1"/>
  <c r="R94" i="1" s="1"/>
  <c r="S94" i="1" s="1"/>
  <c r="Q93" i="1"/>
  <c r="R93" i="1" s="1"/>
  <c r="S93" i="1" s="1"/>
  <c r="R92" i="1"/>
  <c r="S92" i="1" s="1"/>
  <c r="Q92" i="1"/>
  <c r="Q91" i="1"/>
  <c r="R91" i="1" s="1"/>
  <c r="S91" i="1" s="1"/>
  <c r="R90" i="1"/>
  <c r="S90" i="1" s="1"/>
  <c r="Q90" i="1"/>
  <c r="S89" i="1"/>
  <c r="Q89" i="1"/>
  <c r="R89" i="1" s="1"/>
  <c r="R88" i="1"/>
  <c r="S88" i="1" s="1"/>
  <c r="Q88" i="1"/>
  <c r="S87" i="1"/>
  <c r="R87" i="1"/>
  <c r="Q87" i="1"/>
  <c r="Q86" i="1"/>
  <c r="R86" i="1" s="1"/>
  <c r="S86" i="1" s="1"/>
  <c r="Q85" i="1"/>
  <c r="R85" i="1" s="1"/>
  <c r="S85" i="1" s="1"/>
  <c r="R84" i="1"/>
  <c r="S84" i="1" s="1"/>
  <c r="Q84" i="1"/>
  <c r="Q83" i="1"/>
  <c r="R83" i="1" s="1"/>
  <c r="S83" i="1" s="1"/>
  <c r="R82" i="1"/>
  <c r="S82" i="1" s="1"/>
  <c r="Q82" i="1"/>
  <c r="Q81" i="1"/>
  <c r="R81" i="1" s="1"/>
  <c r="S81" i="1" s="1"/>
  <c r="R80" i="1"/>
  <c r="S80" i="1" s="1"/>
  <c r="Q80" i="1"/>
  <c r="S79" i="1"/>
  <c r="R79" i="1"/>
  <c r="Q79" i="1"/>
  <c r="Q78" i="1"/>
  <c r="R78" i="1" s="1"/>
  <c r="S78" i="1" s="1"/>
  <c r="Q77" i="1"/>
  <c r="R77" i="1" s="1"/>
  <c r="S77" i="1" s="1"/>
  <c r="Q76" i="1"/>
  <c r="R76" i="1" s="1"/>
  <c r="S76" i="1" s="1"/>
  <c r="Q75" i="1"/>
  <c r="R75" i="1" s="1"/>
  <c r="S75" i="1" s="1"/>
  <c r="R74" i="1"/>
  <c r="S74" i="1" s="1"/>
  <c r="Q74" i="1"/>
  <c r="S73" i="1"/>
  <c r="Q73" i="1"/>
  <c r="R73" i="1" s="1"/>
  <c r="T72" i="1"/>
  <c r="T73" i="1" s="1"/>
  <c r="T74" i="1" s="1"/>
  <c r="T75" i="1" s="1"/>
  <c r="T76" i="1" s="1"/>
  <c r="T77" i="1" s="1"/>
  <c r="T78" i="1" s="1"/>
  <c r="T79" i="1" s="1"/>
  <c r="T80" i="1" s="1"/>
  <c r="R72" i="1"/>
  <c r="S72" i="1" s="1"/>
  <c r="Q72" i="1"/>
  <c r="S71" i="1"/>
  <c r="R71" i="1"/>
  <c r="Q71" i="1"/>
  <c r="T70" i="1"/>
  <c r="T71" i="1" s="1"/>
  <c r="Q70" i="1"/>
  <c r="R70" i="1" s="1"/>
  <c r="S70" i="1" s="1"/>
  <c r="O70" i="1"/>
  <c r="O71" i="1" s="1"/>
  <c r="O72" i="1" s="1"/>
  <c r="O73" i="1" s="1"/>
  <c r="O74" i="1" s="1"/>
  <c r="O75" i="1" s="1"/>
  <c r="O76" i="1" s="1"/>
  <c r="O77" i="1" s="1"/>
  <c r="O78" i="1" s="1"/>
  <c r="O79" i="1" s="1"/>
  <c r="O80" i="1" s="1"/>
  <c r="O81" i="1" s="1"/>
  <c r="O82" i="1" s="1"/>
  <c r="O83" i="1" s="1"/>
  <c r="O84" i="1" s="1"/>
  <c r="O85" i="1" s="1"/>
  <c r="O86" i="1" s="1"/>
  <c r="O87" i="1" s="1"/>
  <c r="O88" i="1" s="1"/>
  <c r="O89" i="1" s="1"/>
  <c r="O90" i="1" s="1"/>
  <c r="O91" i="1" s="1"/>
  <c r="O92" i="1" s="1"/>
  <c r="O93" i="1" s="1"/>
  <c r="O94" i="1" s="1"/>
  <c r="O95" i="1" s="1"/>
  <c r="O96" i="1" s="1"/>
  <c r="O97" i="1" s="1"/>
  <c r="O98" i="1" s="1"/>
  <c r="O99" i="1" s="1"/>
  <c r="O100" i="1" s="1"/>
  <c r="O101" i="1" s="1"/>
  <c r="O102" i="1" s="1"/>
  <c r="O103" i="1" s="1"/>
  <c r="O104" i="1" s="1"/>
  <c r="O105" i="1" s="1"/>
  <c r="O106" i="1" s="1"/>
  <c r="O107" i="1" s="1"/>
  <c r="O108" i="1" s="1"/>
  <c r="O109" i="1" s="1"/>
  <c r="O110" i="1" s="1"/>
  <c r="O111" i="1" s="1"/>
  <c r="O112" i="1" s="1"/>
  <c r="O113" i="1" s="1"/>
  <c r="O114" i="1" s="1"/>
  <c r="O115" i="1" s="1"/>
  <c r="O116" i="1" s="1"/>
  <c r="O117" i="1" s="1"/>
  <c r="O118" i="1" s="1"/>
  <c r="O119" i="1" s="1"/>
  <c r="O120" i="1" s="1"/>
  <c r="O121" i="1" s="1"/>
  <c r="O122" i="1" s="1"/>
  <c r="O123" i="1" s="1"/>
  <c r="O124" i="1" s="1"/>
  <c r="O125" i="1" s="1"/>
  <c r="O126" i="1" s="1"/>
  <c r="O127" i="1" s="1"/>
  <c r="O128" i="1" s="1"/>
  <c r="O129" i="1" s="1"/>
  <c r="O130" i="1" s="1"/>
  <c r="O131" i="1" s="1"/>
  <c r="O132" i="1" s="1"/>
  <c r="O133" i="1" s="1"/>
  <c r="O134" i="1" s="1"/>
  <c r="O135" i="1" s="1"/>
  <c r="O136" i="1" s="1"/>
  <c r="O137" i="1" s="1"/>
  <c r="O138" i="1" s="1"/>
  <c r="O139" i="1" s="1"/>
  <c r="O140" i="1" s="1"/>
  <c r="O141" i="1" s="1"/>
  <c r="O142" i="1" s="1"/>
  <c r="O143" i="1" s="1"/>
  <c r="O144" i="1" s="1"/>
  <c r="O145" i="1" s="1"/>
  <c r="O146" i="1" s="1"/>
  <c r="O147" i="1" s="1"/>
  <c r="O148" i="1" s="1"/>
  <c r="O149" i="1" s="1"/>
  <c r="O150" i="1" s="1"/>
  <c r="O151" i="1" s="1"/>
  <c r="O152" i="1" s="1"/>
  <c r="O153" i="1" s="1"/>
  <c r="O154" i="1" s="1"/>
  <c r="O155" i="1" s="1"/>
  <c r="O156" i="1" s="1"/>
  <c r="O157" i="1" s="1"/>
  <c r="O158" i="1" s="1"/>
  <c r="O159" i="1" s="1"/>
  <c r="O160" i="1" s="1"/>
  <c r="O161" i="1" s="1"/>
  <c r="O162" i="1" s="1"/>
  <c r="O163" i="1" s="1"/>
  <c r="O164" i="1" s="1"/>
  <c r="O165" i="1" s="1"/>
  <c r="O166" i="1" s="1"/>
  <c r="O167" i="1" s="1"/>
  <c r="O168" i="1" s="1"/>
  <c r="O169" i="1" s="1"/>
  <c r="O170" i="1" s="1"/>
  <c r="O171" i="1" s="1"/>
  <c r="O172" i="1" s="1"/>
  <c r="O173" i="1" s="1"/>
  <c r="O174" i="1" s="1"/>
  <c r="O175" i="1" s="1"/>
  <c r="O176" i="1" s="1"/>
  <c r="O177" i="1" s="1"/>
  <c r="O178" i="1" s="1"/>
  <c r="O179" i="1" s="1"/>
  <c r="O180" i="1" s="1"/>
  <c r="O181" i="1" s="1"/>
  <c r="O182" i="1" s="1"/>
  <c r="O183" i="1" s="1"/>
  <c r="O184" i="1" s="1"/>
  <c r="O185" i="1" s="1"/>
  <c r="Q69" i="1"/>
  <c r="R69" i="1" s="1"/>
  <c r="S69" i="1" s="1"/>
  <c r="Q68" i="1"/>
  <c r="R68" i="1" s="1"/>
  <c r="S68" i="1" s="1"/>
  <c r="Q67" i="1"/>
  <c r="R67" i="1" s="1"/>
  <c r="S67" i="1" s="1"/>
  <c r="Q66" i="1"/>
  <c r="R66" i="1" s="1"/>
  <c r="S66" i="1" s="1"/>
  <c r="Q65" i="1"/>
  <c r="R65" i="1" s="1"/>
  <c r="S65" i="1" s="1"/>
  <c r="Q64" i="1"/>
  <c r="R64" i="1" s="1"/>
  <c r="S64" i="1" s="1"/>
  <c r="O64" i="1"/>
  <c r="Q63" i="1"/>
  <c r="R63" i="1" s="1"/>
  <c r="S63" i="1" s="1"/>
  <c r="Q62" i="1"/>
  <c r="R62" i="1" s="1"/>
  <c r="S62" i="1" s="1"/>
  <c r="Q61" i="1"/>
  <c r="R61" i="1" s="1"/>
  <c r="S61" i="1" s="1"/>
  <c r="Q60" i="1"/>
  <c r="R60" i="1" s="1"/>
  <c r="S60" i="1" s="1"/>
  <c r="Q59" i="1"/>
  <c r="R59" i="1" s="1"/>
  <c r="S59" i="1" s="1"/>
  <c r="Q58" i="1"/>
  <c r="R58" i="1" s="1"/>
  <c r="S58" i="1" s="1"/>
  <c r="R57" i="1"/>
  <c r="S57" i="1" s="1"/>
  <c r="Q57" i="1"/>
  <c r="Q56" i="1"/>
  <c r="R56" i="1" s="1"/>
  <c r="S56" i="1" s="1"/>
  <c r="O56" i="1"/>
  <c r="O57" i="1" s="1"/>
  <c r="O58" i="1" s="1"/>
  <c r="O59" i="1" s="1"/>
  <c r="T55" i="1"/>
  <c r="T56" i="1" s="1"/>
  <c r="T57" i="1" s="1"/>
  <c r="T58" i="1" s="1"/>
  <c r="T59" i="1" s="1"/>
  <c r="T60" i="1" s="1"/>
  <c r="T61" i="1" s="1"/>
  <c r="T62" i="1" s="1"/>
  <c r="T63" i="1" s="1"/>
  <c r="T64" i="1" s="1"/>
  <c r="T65" i="1" s="1"/>
  <c r="T66" i="1" s="1"/>
  <c r="T67" i="1" s="1"/>
  <c r="T68" i="1" s="1"/>
  <c r="R55" i="1"/>
  <c r="S55" i="1" s="1"/>
  <c r="Q55" i="1"/>
  <c r="O55" i="1"/>
  <c r="S54" i="1"/>
  <c r="R54" i="1"/>
  <c r="Q54" i="1"/>
  <c r="R53" i="1"/>
  <c r="S53" i="1" s="1"/>
  <c r="Q53" i="1"/>
  <c r="S52" i="1"/>
  <c r="R52" i="1"/>
  <c r="S51" i="1"/>
  <c r="R51" i="1"/>
  <c r="R50" i="1"/>
  <c r="S50" i="1" s="1"/>
  <c r="I50" i="1"/>
  <c r="X49" i="1"/>
  <c r="X50" i="1" s="1"/>
  <c r="X51" i="1" s="1"/>
  <c r="X52" i="1" s="1"/>
  <c r="X53" i="1" s="1"/>
  <c r="X54" i="1" s="1"/>
  <c r="X55" i="1" s="1"/>
  <c r="X56" i="1" s="1"/>
  <c r="X57" i="1" s="1"/>
  <c r="X58" i="1" s="1"/>
  <c r="X59" i="1" s="1"/>
  <c r="X60" i="1" s="1"/>
  <c r="X61" i="1" s="1"/>
  <c r="X62" i="1" s="1"/>
  <c r="X63" i="1" s="1"/>
  <c r="X64" i="1" s="1"/>
  <c r="X65" i="1" s="1"/>
  <c r="X66" i="1" s="1"/>
  <c r="X67" i="1" s="1"/>
  <c r="X68" i="1" s="1"/>
  <c r="X69" i="1" s="1"/>
  <c r="X70" i="1" s="1"/>
  <c r="X71" i="1" s="1"/>
  <c r="X72" i="1" s="1"/>
  <c r="X73" i="1" s="1"/>
  <c r="X74" i="1" s="1"/>
  <c r="X75" i="1" s="1"/>
  <c r="X76" i="1" s="1"/>
  <c r="X77" i="1" s="1"/>
  <c r="X78" i="1" s="1"/>
  <c r="X79" i="1" s="1"/>
  <c r="X80" i="1" s="1"/>
  <c r="X81" i="1" s="1"/>
  <c r="X82" i="1" s="1"/>
  <c r="X83" i="1" s="1"/>
  <c r="X84" i="1" s="1"/>
  <c r="X85" i="1" s="1"/>
  <c r="X86" i="1" s="1"/>
  <c r="X87" i="1" s="1"/>
  <c r="X88" i="1" s="1"/>
  <c r="X89" i="1" s="1"/>
  <c r="X90" i="1" s="1"/>
  <c r="X91" i="1" s="1"/>
  <c r="X92" i="1" s="1"/>
  <c r="X93" i="1" s="1"/>
  <c r="X94" i="1" s="1"/>
  <c r="X95" i="1" s="1"/>
  <c r="X96" i="1" s="1"/>
  <c r="X97" i="1" s="1"/>
  <c r="X98" i="1" s="1"/>
  <c r="X99" i="1" s="1"/>
  <c r="X100" i="1" s="1"/>
  <c r="X101" i="1" s="1"/>
  <c r="X102" i="1" s="1"/>
  <c r="X103" i="1" s="1"/>
  <c r="X104" i="1" s="1"/>
  <c r="X105" i="1" s="1"/>
  <c r="X106" i="1" s="1"/>
  <c r="X107" i="1" s="1"/>
  <c r="X108" i="1" s="1"/>
  <c r="X109" i="1" s="1"/>
  <c r="X110" i="1" s="1"/>
  <c r="X111" i="1" s="1"/>
  <c r="X112" i="1" s="1"/>
  <c r="X113" i="1" s="1"/>
  <c r="X114" i="1" s="1"/>
  <c r="X115" i="1" s="1"/>
  <c r="X116" i="1" s="1"/>
  <c r="X117" i="1" s="1"/>
  <c r="X118" i="1" s="1"/>
  <c r="X119" i="1" s="1"/>
  <c r="X120" i="1" s="1"/>
  <c r="X121" i="1" s="1"/>
  <c r="X122" i="1" s="1"/>
  <c r="X123" i="1" s="1"/>
  <c r="X124" i="1" s="1"/>
  <c r="X125" i="1" s="1"/>
  <c r="X126" i="1" s="1"/>
  <c r="S49" i="1"/>
  <c r="R49" i="1"/>
  <c r="Z48" i="1"/>
  <c r="S48" i="1"/>
  <c r="R48" i="1"/>
  <c r="I48" i="1"/>
  <c r="X47" i="1"/>
  <c r="X48" i="1" s="1"/>
  <c r="R47" i="1"/>
  <c r="S47" i="1" s="1"/>
  <c r="G47" i="1"/>
  <c r="G48" i="1" s="1"/>
  <c r="G49" i="1" s="1"/>
  <c r="G50" i="1" s="1"/>
  <c r="G51" i="1" s="1"/>
  <c r="G52" i="1" s="1"/>
  <c r="G53" i="1" s="1"/>
  <c r="G54" i="1" s="1"/>
  <c r="G55" i="1" s="1"/>
  <c r="G56" i="1" s="1"/>
  <c r="G57" i="1" s="1"/>
  <c r="G58" i="1" s="1"/>
  <c r="G59" i="1" s="1"/>
  <c r="G60" i="1" s="1"/>
  <c r="G61" i="1" s="1"/>
  <c r="G62" i="1" s="1"/>
  <c r="G63" i="1" s="1"/>
  <c r="G64" i="1" s="1"/>
  <c r="G65" i="1" s="1"/>
  <c r="G66" i="1" s="1"/>
  <c r="G67" i="1" s="1"/>
  <c r="G68" i="1" s="1"/>
  <c r="G69" i="1" s="1"/>
  <c r="G70" i="1" s="1"/>
  <c r="G71" i="1" s="1"/>
  <c r="G72" i="1" s="1"/>
  <c r="G73" i="1" s="1"/>
  <c r="G74" i="1" s="1"/>
  <c r="G75" i="1" s="1"/>
  <c r="G76" i="1" s="1"/>
  <c r="G77" i="1" s="1"/>
  <c r="G78" i="1" s="1"/>
  <c r="G79" i="1" s="1"/>
  <c r="G80" i="1" s="1"/>
  <c r="G81" i="1" s="1"/>
  <c r="G82" i="1" s="1"/>
  <c r="G83" i="1" s="1"/>
  <c r="G84" i="1" s="1"/>
  <c r="G85" i="1" s="1"/>
  <c r="G86" i="1" s="1"/>
  <c r="G87" i="1" s="1"/>
  <c r="G88" i="1" s="1"/>
  <c r="G89" i="1" s="1"/>
  <c r="G90" i="1" s="1"/>
  <c r="G91" i="1" s="1"/>
  <c r="G92" i="1" s="1"/>
  <c r="G93" i="1" s="1"/>
  <c r="G94" i="1" s="1"/>
  <c r="G95" i="1" s="1"/>
  <c r="G96" i="1" s="1"/>
  <c r="G97" i="1" s="1"/>
  <c r="G98" i="1" s="1"/>
  <c r="G99" i="1" s="1"/>
  <c r="G100" i="1" s="1"/>
  <c r="G101" i="1" s="1"/>
  <c r="G102" i="1" s="1"/>
  <c r="G103" i="1" s="1"/>
  <c r="G104" i="1" s="1"/>
  <c r="G105" i="1" s="1"/>
  <c r="G106" i="1" s="1"/>
  <c r="G107" i="1" s="1"/>
  <c r="G108" i="1" s="1"/>
  <c r="G109" i="1" s="1"/>
  <c r="G110" i="1" s="1"/>
  <c r="G111" i="1" s="1"/>
  <c r="G112" i="1" s="1"/>
  <c r="G113" i="1" s="1"/>
  <c r="G114" i="1" s="1"/>
  <c r="G115" i="1" s="1"/>
  <c r="G116" i="1" s="1"/>
  <c r="G117" i="1" s="1"/>
  <c r="G118" i="1" s="1"/>
  <c r="G119" i="1" s="1"/>
  <c r="G120" i="1" s="1"/>
  <c r="G121" i="1" s="1"/>
  <c r="G122" i="1" s="1"/>
  <c r="G123" i="1" s="1"/>
  <c r="G124" i="1" s="1"/>
  <c r="G125" i="1" s="1"/>
  <c r="G126" i="1" s="1"/>
  <c r="G127" i="1" s="1"/>
  <c r="G128" i="1" s="1"/>
  <c r="G129" i="1" s="1"/>
  <c r="G130" i="1" s="1"/>
  <c r="G131" i="1" s="1"/>
  <c r="G132" i="1" s="1"/>
  <c r="G133" i="1" s="1"/>
  <c r="G134" i="1" s="1"/>
  <c r="G135" i="1" s="1"/>
  <c r="G136" i="1" s="1"/>
  <c r="G137" i="1" s="1"/>
  <c r="G138" i="1" s="1"/>
  <c r="G139" i="1" s="1"/>
  <c r="G140" i="1" s="1"/>
  <c r="G141" i="1" s="1"/>
  <c r="G142" i="1" s="1"/>
  <c r="G143" i="1" s="1"/>
  <c r="G144" i="1" s="1"/>
  <c r="G145" i="1" s="1"/>
  <c r="G146" i="1" s="1"/>
  <c r="G147" i="1" s="1"/>
  <c r="G148" i="1" s="1"/>
  <c r="G149" i="1" s="1"/>
  <c r="G150" i="1" s="1"/>
  <c r="G151" i="1" s="1"/>
  <c r="G152" i="1" s="1"/>
  <c r="G153" i="1" s="1"/>
  <c r="G154" i="1" s="1"/>
  <c r="X46" i="1"/>
  <c r="R46" i="1"/>
  <c r="S46" i="1" s="1"/>
  <c r="M46" i="1"/>
  <c r="M47" i="1" s="1"/>
  <c r="M48" i="1" s="1"/>
  <c r="M49" i="1" s="1"/>
  <c r="M50" i="1" s="1"/>
  <c r="M51" i="1" s="1"/>
  <c r="M52" i="1" s="1"/>
  <c r="M53" i="1" s="1"/>
  <c r="M54" i="1" s="1"/>
  <c r="M55" i="1" s="1"/>
  <c r="M56" i="1" s="1"/>
  <c r="M57" i="1" s="1"/>
  <c r="M58" i="1" s="1"/>
  <c r="M59" i="1" s="1"/>
  <c r="M60" i="1" s="1"/>
  <c r="M61" i="1" s="1"/>
  <c r="M62" i="1" s="1"/>
  <c r="M63" i="1" s="1"/>
  <c r="M64" i="1" s="1"/>
  <c r="M65" i="1" s="1"/>
  <c r="M66" i="1" s="1"/>
  <c r="M67" i="1" s="1"/>
  <c r="M68" i="1" s="1"/>
  <c r="M69" i="1" s="1"/>
  <c r="M70" i="1" s="1"/>
  <c r="M71" i="1" s="1"/>
  <c r="M72" i="1" s="1"/>
  <c r="M73" i="1" s="1"/>
  <c r="M74" i="1" s="1"/>
  <c r="M75" i="1" s="1"/>
  <c r="M76" i="1" s="1"/>
  <c r="M77" i="1" s="1"/>
  <c r="M78" i="1" s="1"/>
  <c r="M79" i="1" s="1"/>
  <c r="M80" i="1" s="1"/>
  <c r="M81" i="1" s="1"/>
  <c r="M82" i="1" s="1"/>
  <c r="M83" i="1" s="1"/>
  <c r="M84" i="1" s="1"/>
  <c r="M85" i="1" s="1"/>
  <c r="M86" i="1" s="1"/>
  <c r="M87" i="1" s="1"/>
  <c r="M88" i="1" s="1"/>
  <c r="M89" i="1" s="1"/>
  <c r="M90" i="1" s="1"/>
  <c r="M91" i="1" s="1"/>
  <c r="M92" i="1" s="1"/>
  <c r="M93" i="1" s="1"/>
  <c r="M94" i="1" s="1"/>
  <c r="M95" i="1" s="1"/>
  <c r="M96" i="1" s="1"/>
  <c r="M97" i="1" s="1"/>
  <c r="M98" i="1" s="1"/>
  <c r="M99" i="1" s="1"/>
  <c r="M100" i="1" s="1"/>
  <c r="M101" i="1" s="1"/>
  <c r="M102" i="1" s="1"/>
  <c r="M103" i="1" s="1"/>
  <c r="M104" i="1" s="1"/>
  <c r="M105" i="1" s="1"/>
  <c r="M106" i="1" s="1"/>
  <c r="M107" i="1" s="1"/>
  <c r="M108" i="1" s="1"/>
  <c r="M109" i="1" s="1"/>
  <c r="M110" i="1" s="1"/>
  <c r="M111" i="1" s="1"/>
  <c r="M112" i="1" s="1"/>
  <c r="M113" i="1" s="1"/>
  <c r="M114" i="1" s="1"/>
  <c r="M115" i="1" s="1"/>
  <c r="M116" i="1" s="1"/>
  <c r="M117" i="1" s="1"/>
  <c r="M118" i="1" s="1"/>
  <c r="M119" i="1" s="1"/>
  <c r="M120" i="1" s="1"/>
  <c r="M121" i="1" s="1"/>
  <c r="M122" i="1" s="1"/>
  <c r="M123" i="1" s="1"/>
  <c r="M124" i="1" s="1"/>
  <c r="M125" i="1" s="1"/>
  <c r="M126" i="1" s="1"/>
  <c r="M127" i="1" s="1"/>
  <c r="M128" i="1" s="1"/>
  <c r="M129" i="1" s="1"/>
  <c r="M130" i="1" s="1"/>
  <c r="M131" i="1" s="1"/>
  <c r="M132" i="1" s="1"/>
  <c r="M133" i="1" s="1"/>
  <c r="M134" i="1" s="1"/>
  <c r="M135" i="1" s="1"/>
  <c r="M136" i="1" s="1"/>
  <c r="M137" i="1" s="1"/>
  <c r="M138" i="1" s="1"/>
  <c r="M139" i="1" s="1"/>
  <c r="M140" i="1" s="1"/>
  <c r="M141" i="1" s="1"/>
  <c r="M142" i="1" s="1"/>
  <c r="M143" i="1" s="1"/>
  <c r="M144" i="1" s="1"/>
  <c r="M145" i="1" s="1"/>
  <c r="M146" i="1" s="1"/>
  <c r="M147" i="1" s="1"/>
  <c r="M148" i="1" s="1"/>
  <c r="M149" i="1" s="1"/>
  <c r="M150" i="1" s="1"/>
  <c r="M151" i="1" s="1"/>
  <c r="M152" i="1" s="1"/>
  <c r="M153" i="1" s="1"/>
  <c r="M154" i="1" s="1"/>
  <c r="M155" i="1" s="1"/>
  <c r="M156" i="1" s="1"/>
  <c r="M157" i="1" s="1"/>
  <c r="M158" i="1" s="1"/>
  <c r="M159" i="1" s="1"/>
  <c r="M160" i="1" s="1"/>
  <c r="M161" i="1" s="1"/>
  <c r="M162" i="1" s="1"/>
  <c r="M163" i="1" s="1"/>
  <c r="M164" i="1" s="1"/>
  <c r="M165" i="1" s="1"/>
  <c r="M166" i="1" s="1"/>
  <c r="M167" i="1" s="1"/>
  <c r="M168" i="1" s="1"/>
  <c r="M169" i="1" s="1"/>
  <c r="M170" i="1" s="1"/>
  <c r="M171" i="1" s="1"/>
  <c r="M172" i="1" s="1"/>
  <c r="M173" i="1" s="1"/>
  <c r="M174" i="1" s="1"/>
  <c r="M175" i="1" s="1"/>
  <c r="M176" i="1" s="1"/>
  <c r="M177" i="1" s="1"/>
  <c r="M178" i="1" s="1"/>
  <c r="M179" i="1" s="1"/>
  <c r="M180" i="1" s="1"/>
  <c r="M181" i="1" s="1"/>
  <c r="M182" i="1" s="1"/>
  <c r="M183" i="1" s="1"/>
  <c r="M184" i="1" s="1"/>
  <c r="M185" i="1" s="1"/>
  <c r="M186" i="1" s="1"/>
  <c r="M187" i="1" s="1"/>
  <c r="M188" i="1" s="1"/>
  <c r="M189" i="1" s="1"/>
  <c r="M190" i="1" s="1"/>
  <c r="M191" i="1" s="1"/>
  <c r="M192" i="1" s="1"/>
  <c r="M193" i="1" s="1"/>
  <c r="M194" i="1" s="1"/>
  <c r="M195" i="1" s="1"/>
  <c r="M196" i="1" s="1"/>
  <c r="M197" i="1" s="1"/>
  <c r="M198" i="1" s="1"/>
  <c r="M199" i="1" s="1"/>
  <c r="M200" i="1" s="1"/>
  <c r="M201" i="1" s="1"/>
  <c r="M202" i="1" s="1"/>
  <c r="M203" i="1" s="1"/>
  <c r="M204" i="1" s="1"/>
  <c r="M205" i="1" s="1"/>
  <c r="M206" i="1" s="1"/>
  <c r="M207" i="1" s="1"/>
  <c r="M208" i="1" s="1"/>
  <c r="M209" i="1" s="1"/>
  <c r="M210" i="1" s="1"/>
  <c r="M211" i="1" s="1"/>
  <c r="M212" i="1" s="1"/>
  <c r="M213" i="1" s="1"/>
  <c r="M214" i="1" s="1"/>
  <c r="M215" i="1" s="1"/>
  <c r="M216" i="1" s="1"/>
  <c r="M217" i="1" s="1"/>
  <c r="M218" i="1" s="1"/>
  <c r="M219" i="1" s="1"/>
  <c r="M220" i="1" s="1"/>
  <c r="M221" i="1" s="1"/>
  <c r="M222" i="1" s="1"/>
  <c r="M223" i="1" s="1"/>
  <c r="M224" i="1" s="1"/>
  <c r="M225" i="1" s="1"/>
  <c r="M226" i="1" s="1"/>
  <c r="M227" i="1" s="1"/>
  <c r="M228" i="1" s="1"/>
  <c r="M229" i="1" s="1"/>
  <c r="M230" i="1" s="1"/>
  <c r="M231" i="1" s="1"/>
  <c r="M232" i="1" s="1"/>
  <c r="M233" i="1" s="1"/>
  <c r="M234" i="1" s="1"/>
  <c r="M235" i="1" s="1"/>
  <c r="M236" i="1" s="1"/>
  <c r="M237" i="1" s="1"/>
  <c r="M238" i="1" s="1"/>
  <c r="M239" i="1" s="1"/>
  <c r="M240" i="1" s="1"/>
  <c r="M241" i="1" s="1"/>
  <c r="M242" i="1" s="1"/>
  <c r="M243" i="1" s="1"/>
  <c r="M244" i="1" s="1"/>
  <c r="M245" i="1" s="1"/>
  <c r="M246" i="1" s="1"/>
  <c r="M247" i="1" s="1"/>
  <c r="M248" i="1" s="1"/>
  <c r="M249" i="1" s="1"/>
  <c r="M250" i="1" s="1"/>
  <c r="M251" i="1" s="1"/>
  <c r="M252" i="1" s="1"/>
  <c r="M253" i="1" s="1"/>
  <c r="M254" i="1" s="1"/>
  <c r="M255" i="1" s="1"/>
  <c r="M256" i="1" s="1"/>
  <c r="M257" i="1" s="1"/>
  <c r="M258" i="1" s="1"/>
  <c r="M259" i="1" s="1"/>
  <c r="M260" i="1" s="1"/>
  <c r="M261" i="1" s="1"/>
  <c r="M262" i="1" s="1"/>
  <c r="M263" i="1" s="1"/>
  <c r="M264" i="1" s="1"/>
  <c r="M265" i="1" s="1"/>
  <c r="M266" i="1" s="1"/>
  <c r="M267" i="1" s="1"/>
  <c r="M268" i="1" s="1"/>
  <c r="M269" i="1" s="1"/>
  <c r="M270" i="1" s="1"/>
  <c r="M271" i="1" s="1"/>
  <c r="M272" i="1" s="1"/>
  <c r="M273" i="1" s="1"/>
  <c r="M274" i="1" s="1"/>
  <c r="M275" i="1" s="1"/>
  <c r="M276" i="1" s="1"/>
  <c r="M277" i="1" s="1"/>
  <c r="M278" i="1" s="1"/>
  <c r="M279" i="1" s="1"/>
  <c r="M280" i="1" s="1"/>
  <c r="M281" i="1" s="1"/>
  <c r="M282" i="1" s="1"/>
  <c r="M283" i="1" s="1"/>
  <c r="M284" i="1" s="1"/>
  <c r="M285" i="1" s="1"/>
  <c r="M286" i="1" s="1"/>
  <c r="M287" i="1" s="1"/>
  <c r="M288" i="1" s="1"/>
  <c r="M289" i="1" s="1"/>
  <c r="M290" i="1" s="1"/>
  <c r="M291" i="1" s="1"/>
  <c r="M292" i="1" s="1"/>
  <c r="M293" i="1" s="1"/>
  <c r="M294" i="1" s="1"/>
  <c r="M295" i="1" s="1"/>
  <c r="M296" i="1" s="1"/>
  <c r="M297" i="1" s="1"/>
  <c r="M298" i="1" s="1"/>
  <c r="M299" i="1" s="1"/>
  <c r="M300" i="1" s="1"/>
  <c r="M301" i="1" s="1"/>
  <c r="M302" i="1" s="1"/>
  <c r="M303" i="1" s="1"/>
  <c r="M304" i="1" s="1"/>
  <c r="M305" i="1" s="1"/>
  <c r="M306" i="1" s="1"/>
  <c r="M307" i="1" s="1"/>
  <c r="M308" i="1" s="1"/>
  <c r="M309" i="1" s="1"/>
  <c r="M310" i="1" s="1"/>
  <c r="M311" i="1" s="1"/>
  <c r="M312" i="1" s="1"/>
  <c r="M313" i="1" s="1"/>
  <c r="M314" i="1" s="1"/>
  <c r="M315" i="1" s="1"/>
  <c r="M316" i="1" s="1"/>
  <c r="M317" i="1" s="1"/>
  <c r="M318" i="1" s="1"/>
  <c r="M319" i="1" s="1"/>
  <c r="M320" i="1" s="1"/>
  <c r="M321" i="1" s="1"/>
  <c r="M322" i="1" s="1"/>
  <c r="M323" i="1" s="1"/>
  <c r="M324" i="1" s="1"/>
  <c r="M325" i="1" s="1"/>
  <c r="M326" i="1" s="1"/>
  <c r="M327" i="1" s="1"/>
  <c r="M328" i="1" s="1"/>
  <c r="M329" i="1" s="1"/>
  <c r="M330" i="1" s="1"/>
  <c r="M331" i="1" s="1"/>
  <c r="M332" i="1" s="1"/>
  <c r="M333" i="1" s="1"/>
  <c r="M334" i="1" s="1"/>
  <c r="M335" i="1" s="1"/>
  <c r="M336" i="1" s="1"/>
  <c r="M337" i="1" s="1"/>
  <c r="M338" i="1" s="1"/>
  <c r="M339" i="1" s="1"/>
  <c r="M340" i="1" s="1"/>
  <c r="M341" i="1" s="1"/>
  <c r="M342" i="1" s="1"/>
  <c r="M343" i="1" s="1"/>
  <c r="M344" i="1" s="1"/>
  <c r="M345" i="1" s="1"/>
  <c r="I46" i="1"/>
  <c r="G46" i="1"/>
  <c r="X45" i="1"/>
  <c r="T45" i="1"/>
  <c r="R45" i="1"/>
  <c r="S45" i="1" s="1"/>
  <c r="M45" i="1"/>
  <c r="K45" i="1"/>
  <c r="K46" i="1" s="1"/>
  <c r="K47" i="1" s="1"/>
  <c r="K48" i="1" s="1"/>
  <c r="K49" i="1" s="1"/>
  <c r="K50" i="1" s="1"/>
  <c r="K51" i="1" s="1"/>
  <c r="K52" i="1" s="1"/>
  <c r="K53" i="1" s="1"/>
  <c r="K54" i="1" s="1"/>
  <c r="K55" i="1" s="1"/>
  <c r="K56" i="1" s="1"/>
  <c r="K57" i="1" s="1"/>
  <c r="K58" i="1" s="1"/>
  <c r="K59" i="1" s="1"/>
  <c r="K60" i="1" s="1"/>
  <c r="K61" i="1" s="1"/>
  <c r="K62" i="1" s="1"/>
  <c r="K63" i="1" s="1"/>
  <c r="K64" i="1" s="1"/>
  <c r="K65" i="1" s="1"/>
  <c r="K66" i="1" s="1"/>
  <c r="K67" i="1" s="1"/>
  <c r="K68" i="1" s="1"/>
  <c r="K69" i="1" s="1"/>
  <c r="K70" i="1" s="1"/>
  <c r="K71" i="1" s="1"/>
  <c r="K72" i="1" s="1"/>
  <c r="K73" i="1" s="1"/>
  <c r="K74" i="1" s="1"/>
  <c r="K75" i="1" s="1"/>
  <c r="K76" i="1" s="1"/>
  <c r="K77" i="1" s="1"/>
  <c r="K78" i="1" s="1"/>
  <c r="K79" i="1" s="1"/>
  <c r="K80" i="1" s="1"/>
  <c r="K81" i="1" s="1"/>
  <c r="K82" i="1" s="1"/>
  <c r="K83" i="1" s="1"/>
  <c r="K84" i="1" s="1"/>
  <c r="K85" i="1" s="1"/>
  <c r="K86" i="1" s="1"/>
  <c r="K87" i="1" s="1"/>
  <c r="K88" i="1" s="1"/>
  <c r="K89" i="1" s="1"/>
  <c r="K90" i="1" s="1"/>
  <c r="K91" i="1" s="1"/>
  <c r="K92" i="1" s="1"/>
  <c r="K93" i="1" s="1"/>
  <c r="K94" i="1" s="1"/>
  <c r="K95" i="1" s="1"/>
  <c r="K96" i="1" s="1"/>
  <c r="K97" i="1" s="1"/>
  <c r="K98" i="1" s="1"/>
  <c r="K99" i="1" s="1"/>
  <c r="K100" i="1" s="1"/>
  <c r="K101" i="1" s="1"/>
  <c r="K102" i="1" s="1"/>
  <c r="K103" i="1" s="1"/>
  <c r="K104" i="1" s="1"/>
  <c r="K105" i="1" s="1"/>
  <c r="K106" i="1" s="1"/>
  <c r="K107" i="1" s="1"/>
  <c r="K108" i="1" s="1"/>
  <c r="K109" i="1" s="1"/>
  <c r="K110" i="1" s="1"/>
  <c r="K111" i="1" s="1"/>
  <c r="K112" i="1" s="1"/>
  <c r="K113" i="1" s="1"/>
  <c r="K114" i="1" s="1"/>
  <c r="K115" i="1" s="1"/>
  <c r="K116" i="1" s="1"/>
  <c r="K117" i="1" s="1"/>
  <c r="K118" i="1" s="1"/>
  <c r="K119" i="1" s="1"/>
  <c r="K120" i="1" s="1"/>
  <c r="K121" i="1" s="1"/>
  <c r="K122" i="1" s="1"/>
  <c r="K123" i="1" s="1"/>
  <c r="K124" i="1" s="1"/>
  <c r="K125" i="1" s="1"/>
  <c r="K126" i="1" s="1"/>
  <c r="K127" i="1" s="1"/>
  <c r="K128" i="1" s="1"/>
  <c r="K129" i="1" s="1"/>
  <c r="K130" i="1" s="1"/>
  <c r="K131" i="1" s="1"/>
  <c r="K132" i="1" s="1"/>
  <c r="K133" i="1" s="1"/>
  <c r="K134" i="1" s="1"/>
  <c r="K135" i="1" s="1"/>
  <c r="K136" i="1" s="1"/>
  <c r="K137" i="1" s="1"/>
  <c r="K138" i="1" s="1"/>
  <c r="K139" i="1" s="1"/>
  <c r="K140" i="1" s="1"/>
  <c r="K141" i="1" s="1"/>
  <c r="K142" i="1" s="1"/>
  <c r="K143" i="1" s="1"/>
  <c r="K144" i="1" s="1"/>
  <c r="K145" i="1" s="1"/>
  <c r="K146" i="1" s="1"/>
  <c r="K147" i="1" s="1"/>
  <c r="K148" i="1" s="1"/>
  <c r="K149" i="1" s="1"/>
  <c r="K150" i="1" s="1"/>
  <c r="K151" i="1" s="1"/>
  <c r="K152" i="1" s="1"/>
  <c r="K153" i="1" s="1"/>
  <c r="K154" i="1" s="1"/>
  <c r="K155" i="1" s="1"/>
  <c r="K156" i="1" s="1"/>
  <c r="K157" i="1" s="1"/>
  <c r="K158" i="1" s="1"/>
  <c r="K159" i="1" s="1"/>
  <c r="K160" i="1" s="1"/>
  <c r="K161" i="1" s="1"/>
  <c r="K162" i="1" s="1"/>
  <c r="K163" i="1" s="1"/>
  <c r="K164" i="1" s="1"/>
  <c r="K165" i="1" s="1"/>
  <c r="K166" i="1" s="1"/>
  <c r="K167" i="1" s="1"/>
  <c r="K168" i="1" s="1"/>
  <c r="K169" i="1" s="1"/>
  <c r="K170" i="1" s="1"/>
  <c r="K171" i="1" s="1"/>
  <c r="K172" i="1" s="1"/>
  <c r="K173" i="1" s="1"/>
  <c r="K174" i="1" s="1"/>
  <c r="K175" i="1" s="1"/>
  <c r="K176" i="1" s="1"/>
  <c r="K177" i="1" s="1"/>
  <c r="K178" i="1" s="1"/>
  <c r="K179" i="1" s="1"/>
  <c r="K180" i="1" s="1"/>
  <c r="K181" i="1" s="1"/>
  <c r="K182" i="1" s="1"/>
  <c r="K183" i="1" s="1"/>
  <c r="K184" i="1" s="1"/>
  <c r="K185" i="1" s="1"/>
  <c r="K186" i="1" s="1"/>
  <c r="K187" i="1" s="1"/>
  <c r="K188" i="1" s="1"/>
  <c r="K189" i="1" s="1"/>
  <c r="K190" i="1" s="1"/>
  <c r="K191" i="1" s="1"/>
  <c r="K192" i="1" s="1"/>
  <c r="K193" i="1" s="1"/>
  <c r="K194" i="1" s="1"/>
  <c r="K195" i="1" s="1"/>
  <c r="K196" i="1" s="1"/>
  <c r="K197" i="1" s="1"/>
  <c r="K198" i="1" s="1"/>
  <c r="K199" i="1" s="1"/>
  <c r="K200" i="1" s="1"/>
  <c r="K201" i="1" s="1"/>
  <c r="K202" i="1" s="1"/>
  <c r="K203" i="1" s="1"/>
  <c r="K204" i="1" s="1"/>
  <c r="K205" i="1" s="1"/>
  <c r="K206" i="1" s="1"/>
  <c r="K207" i="1" s="1"/>
  <c r="K208" i="1" s="1"/>
  <c r="K209" i="1" s="1"/>
  <c r="K210" i="1" s="1"/>
  <c r="K211" i="1" s="1"/>
  <c r="K212" i="1" s="1"/>
  <c r="K213" i="1" s="1"/>
  <c r="K214" i="1" s="1"/>
  <c r="K215" i="1" s="1"/>
  <c r="K216" i="1" s="1"/>
  <c r="K217" i="1" s="1"/>
  <c r="K218" i="1" s="1"/>
  <c r="K219" i="1" s="1"/>
  <c r="K220" i="1" s="1"/>
  <c r="K221" i="1" s="1"/>
  <c r="K222" i="1" s="1"/>
  <c r="K223" i="1" s="1"/>
  <c r="K224" i="1" s="1"/>
  <c r="K225" i="1" s="1"/>
  <c r="K226" i="1" s="1"/>
  <c r="K227" i="1" s="1"/>
  <c r="K228" i="1" s="1"/>
  <c r="K229" i="1" s="1"/>
  <c r="K230" i="1" s="1"/>
  <c r="K231" i="1" s="1"/>
  <c r="K232" i="1" s="1"/>
  <c r="K233" i="1" s="1"/>
  <c r="K234" i="1" s="1"/>
  <c r="K235" i="1" s="1"/>
  <c r="K236" i="1" s="1"/>
  <c r="K237" i="1" s="1"/>
  <c r="K238" i="1" s="1"/>
  <c r="K239" i="1" s="1"/>
  <c r="K240" i="1" s="1"/>
  <c r="K241" i="1" s="1"/>
  <c r="K242" i="1" s="1"/>
  <c r="K243" i="1" s="1"/>
  <c r="K244" i="1" s="1"/>
  <c r="K245" i="1" s="1"/>
  <c r="K246" i="1" s="1"/>
  <c r="K247" i="1" s="1"/>
  <c r="K248" i="1" s="1"/>
  <c r="K249" i="1" s="1"/>
  <c r="K250" i="1" s="1"/>
  <c r="K251" i="1" s="1"/>
  <c r="K252" i="1" s="1"/>
  <c r="K253" i="1" s="1"/>
  <c r="K254" i="1" s="1"/>
  <c r="K255" i="1" s="1"/>
  <c r="K256" i="1" s="1"/>
  <c r="K257" i="1" s="1"/>
  <c r="K258" i="1" s="1"/>
  <c r="K259" i="1" s="1"/>
  <c r="K260" i="1" s="1"/>
  <c r="K261" i="1" s="1"/>
  <c r="K262" i="1" s="1"/>
  <c r="K263" i="1" s="1"/>
  <c r="K264" i="1" s="1"/>
  <c r="K265" i="1" s="1"/>
  <c r="K266" i="1" s="1"/>
  <c r="K267" i="1" s="1"/>
  <c r="K268" i="1" s="1"/>
  <c r="K269" i="1" s="1"/>
  <c r="K270" i="1" s="1"/>
  <c r="K271" i="1" s="1"/>
  <c r="K272" i="1" s="1"/>
  <c r="K273" i="1" s="1"/>
  <c r="K274" i="1" s="1"/>
  <c r="K275" i="1" s="1"/>
  <c r="K276" i="1" s="1"/>
  <c r="K277" i="1" s="1"/>
  <c r="K278" i="1" s="1"/>
  <c r="K279" i="1" s="1"/>
  <c r="K280" i="1" s="1"/>
  <c r="K281" i="1" s="1"/>
  <c r="K282" i="1" s="1"/>
  <c r="K283" i="1" s="1"/>
  <c r="K284" i="1" s="1"/>
  <c r="K285" i="1" s="1"/>
  <c r="K286" i="1" s="1"/>
  <c r="K287" i="1" s="1"/>
  <c r="K288" i="1" s="1"/>
  <c r="K289" i="1" s="1"/>
  <c r="K290" i="1" s="1"/>
  <c r="K291" i="1" s="1"/>
  <c r="K292" i="1" s="1"/>
  <c r="K293" i="1" s="1"/>
  <c r="K294" i="1" s="1"/>
  <c r="K295" i="1" s="1"/>
  <c r="K296" i="1" s="1"/>
  <c r="K297" i="1" s="1"/>
  <c r="K298" i="1" s="1"/>
  <c r="K299" i="1" s="1"/>
  <c r="K300" i="1" s="1"/>
  <c r="K301" i="1" s="1"/>
  <c r="K302" i="1" s="1"/>
  <c r="K303" i="1" s="1"/>
  <c r="K304" i="1" s="1"/>
  <c r="K305" i="1" s="1"/>
  <c r="K306" i="1" s="1"/>
  <c r="K307" i="1" s="1"/>
  <c r="K308" i="1" s="1"/>
  <c r="K309" i="1" s="1"/>
  <c r="K310" i="1" s="1"/>
  <c r="K311" i="1" s="1"/>
  <c r="K312" i="1" s="1"/>
  <c r="K313" i="1" s="1"/>
  <c r="K314" i="1" s="1"/>
  <c r="K315" i="1" s="1"/>
  <c r="K316" i="1" s="1"/>
  <c r="K317" i="1" s="1"/>
  <c r="K318" i="1" s="1"/>
  <c r="K319" i="1" s="1"/>
  <c r="K320" i="1" s="1"/>
  <c r="K321" i="1" s="1"/>
  <c r="K322" i="1" s="1"/>
  <c r="K323" i="1" s="1"/>
  <c r="K324" i="1" s="1"/>
  <c r="K325" i="1" s="1"/>
  <c r="K326" i="1" s="1"/>
  <c r="K327" i="1" s="1"/>
  <c r="K328" i="1" s="1"/>
  <c r="K329" i="1" s="1"/>
  <c r="K330" i="1" s="1"/>
  <c r="K331" i="1" s="1"/>
  <c r="K332" i="1" s="1"/>
  <c r="K333" i="1" s="1"/>
  <c r="K334" i="1" s="1"/>
  <c r="K335" i="1" s="1"/>
  <c r="K336" i="1" s="1"/>
  <c r="K337" i="1" s="1"/>
  <c r="K338" i="1" s="1"/>
  <c r="K339" i="1" s="1"/>
  <c r="K340" i="1" s="1"/>
  <c r="K341" i="1" s="1"/>
  <c r="K342" i="1" s="1"/>
  <c r="K343" i="1" s="1"/>
  <c r="K344" i="1" s="1"/>
  <c r="K345" i="1" s="1"/>
  <c r="G45" i="1"/>
  <c r="O12" i="1"/>
  <c r="O13" i="1" s="1"/>
  <c r="O14" i="1" s="1"/>
  <c r="O15" i="1" s="1"/>
  <c r="O16" i="1" s="1"/>
  <c r="O17" i="1" s="1"/>
  <c r="O18" i="1" s="1"/>
  <c r="O19" i="1" s="1"/>
  <c r="O20" i="1" s="1"/>
  <c r="O21" i="1" s="1"/>
  <c r="O22" i="1" s="1"/>
  <c r="O23" i="1" s="1"/>
  <c r="O24" i="1" s="1"/>
  <c r="O25" i="1" s="1"/>
  <c r="O26" i="1" s="1"/>
  <c r="O27" i="1" s="1"/>
  <c r="O28" i="1" s="1"/>
  <c r="O29" i="1" s="1"/>
  <c r="O30" i="1" s="1"/>
  <c r="O31" i="1" s="1"/>
  <c r="O32" i="1" s="1"/>
  <c r="O33" i="1" s="1"/>
  <c r="O34" i="1" s="1"/>
  <c r="O35" i="1" s="1"/>
  <c r="O36" i="1" s="1"/>
  <c r="O37" i="1" s="1"/>
  <c r="O38" i="1" s="1"/>
  <c r="O39" i="1" s="1"/>
  <c r="O40" i="1" s="1"/>
  <c r="O41" i="1" s="1"/>
  <c r="O42" i="1" s="1"/>
  <c r="O43" i="1" s="1"/>
  <c r="O45" i="1" s="1"/>
  <c r="O11" i="1"/>
  <c r="O10" i="1"/>
  <c r="U134" i="2" l="1"/>
  <c r="U136" i="2"/>
  <c r="U56" i="2"/>
  <c r="U58" i="2" s="1"/>
  <c r="T219" i="2"/>
  <c r="T220" i="2" s="1"/>
  <c r="T221" i="2" s="1"/>
  <c r="T222" i="2" s="1"/>
  <c r="T223" i="2" s="1"/>
  <c r="T224" i="2" s="1"/>
  <c r="T225" i="2" s="1"/>
  <c r="T226" i="2" s="1"/>
  <c r="T227" i="2" s="1"/>
  <c r="T228" i="2" s="1"/>
  <c r="T229" i="2" s="1"/>
  <c r="T230" i="2" s="1"/>
  <c r="T231" i="2" s="1"/>
  <c r="T232" i="2" s="1"/>
  <c r="T233" i="2" s="1"/>
  <c r="T234" i="2" s="1"/>
  <c r="T235" i="2" s="1"/>
  <c r="T236" i="2" s="1"/>
  <c r="T237" i="2" s="1"/>
  <c r="T238" i="2" s="1"/>
  <c r="T239" i="2" s="1"/>
  <c r="T240" i="2" s="1"/>
  <c r="T241" i="2" s="1"/>
  <c r="T242" i="2" s="1"/>
  <c r="T243" i="2" s="1"/>
  <c r="T244" i="2" s="1"/>
  <c r="T245" i="2" s="1"/>
  <c r="T246" i="2" s="1"/>
  <c r="T247" i="2" s="1"/>
  <c r="T248" i="2" s="1"/>
  <c r="T249" i="2" s="1"/>
  <c r="T250" i="2" s="1"/>
  <c r="T251" i="2" s="1"/>
  <c r="T252" i="2" s="1"/>
  <c r="T253" i="2" s="1"/>
  <c r="T254" i="2" s="1"/>
  <c r="T255" i="2" s="1"/>
  <c r="T256" i="2" s="1"/>
  <c r="T257" i="2" s="1"/>
  <c r="U54" i="2"/>
  <c r="U138" i="2"/>
  <c r="U142" i="2" s="1"/>
  <c r="T81" i="1"/>
  <c r="T82" i="1" s="1"/>
  <c r="T83" i="1" s="1"/>
  <c r="T84" i="1" s="1"/>
  <c r="T85" i="1" s="1"/>
  <c r="T86" i="1" s="1"/>
  <c r="T87" i="1" s="1"/>
  <c r="T88" i="1" s="1"/>
  <c r="T89" i="1" s="1"/>
  <c r="T90" i="1" s="1"/>
  <c r="T91" i="1" s="1"/>
  <c r="T92" i="1" s="1"/>
  <c r="T93" i="1" s="1"/>
  <c r="T94" i="1" s="1"/>
  <c r="T95" i="1" s="1"/>
  <c r="T96" i="1" s="1"/>
  <c r="T97" i="1" s="1"/>
  <c r="T98" i="1" s="1"/>
  <c r="T99" i="1" s="1"/>
  <c r="T100" i="1" s="1"/>
  <c r="T101" i="1" s="1"/>
  <c r="T102" i="1" s="1"/>
  <c r="T103" i="1" s="1"/>
  <c r="T104" i="1" s="1"/>
  <c r="T105" i="1" s="1"/>
  <c r="T106" i="1" s="1"/>
  <c r="T107" i="1" s="1"/>
  <c r="T108" i="1" s="1"/>
  <c r="T109" i="1" s="1"/>
  <c r="T110" i="1" s="1"/>
  <c r="T111" i="1" s="1"/>
  <c r="T112" i="1" s="1"/>
  <c r="T113" i="1" s="1"/>
  <c r="T114" i="1" s="1"/>
  <c r="T115" i="1" s="1"/>
  <c r="T116" i="1" s="1"/>
  <c r="T117" i="1" s="1"/>
  <c r="T118" i="1" s="1"/>
  <c r="T119" i="1" s="1"/>
  <c r="T120" i="1" s="1"/>
  <c r="T121" i="1" s="1"/>
  <c r="T122" i="1" s="1"/>
  <c r="T123" i="1" s="1"/>
  <c r="T124" i="1" s="1"/>
  <c r="T125" i="1" s="1"/>
  <c r="T126" i="1" s="1"/>
  <c r="T127" i="1" s="1"/>
  <c r="X127" i="1"/>
  <c r="X128" i="1" s="1"/>
  <c r="X129" i="1" s="1"/>
  <c r="X130" i="1" s="1"/>
  <c r="X131" i="1" s="1"/>
  <c r="X132" i="1" s="1"/>
  <c r="X133" i="1" s="1"/>
  <c r="X134" i="1" s="1"/>
  <c r="X135" i="1" s="1"/>
  <c r="X136" i="1" s="1"/>
  <c r="X137" i="1" s="1"/>
  <c r="X138" i="1" s="1"/>
  <c r="X139" i="1" s="1"/>
  <c r="X140" i="1" s="1"/>
  <c r="X141" i="1" s="1"/>
  <c r="X142" i="1" s="1"/>
  <c r="X143" i="1" s="1"/>
  <c r="X144" i="1" s="1"/>
  <c r="X145" i="1" s="1"/>
  <c r="X146" i="1" s="1"/>
  <c r="X147" i="1" s="1"/>
  <c r="X148" i="1" s="1"/>
  <c r="X149" i="1" s="1"/>
  <c r="X150" i="1" s="1"/>
  <c r="X151" i="1" s="1"/>
  <c r="X152" i="1" s="1"/>
  <c r="X153" i="1" s="1"/>
  <c r="X154" i="1" s="1"/>
  <c r="X155" i="1" s="1"/>
  <c r="X156" i="1" s="1"/>
  <c r="X157" i="1" s="1"/>
  <c r="X158" i="1" s="1"/>
  <c r="X159" i="1" s="1"/>
  <c r="X160" i="1" s="1"/>
  <c r="X161" i="1" s="1"/>
  <c r="X162" i="1" s="1"/>
  <c r="X163" i="1" s="1"/>
  <c r="X164" i="1" s="1"/>
  <c r="X165" i="1" s="1"/>
  <c r="X166" i="1" s="1"/>
  <c r="X167" i="1" s="1"/>
  <c r="X168" i="1" s="1"/>
  <c r="X169" i="1" s="1"/>
  <c r="X170" i="1" s="1"/>
  <c r="X171" i="1" s="1"/>
  <c r="X172" i="1" s="1"/>
  <c r="X173" i="1" s="1"/>
  <c r="X174" i="1" s="1"/>
  <c r="X175" i="1" s="1"/>
  <c r="X176" i="1" s="1"/>
  <c r="X177" i="1" s="1"/>
  <c r="X178" i="1" s="1"/>
  <c r="X179" i="1" s="1"/>
  <c r="X180" i="1" s="1"/>
  <c r="X181" i="1" s="1"/>
  <c r="X182" i="1" s="1"/>
  <c r="X183" i="1" s="1"/>
  <c r="X184" i="1" s="1"/>
  <c r="X185" i="1" s="1"/>
  <c r="X186" i="1" s="1"/>
  <c r="X187" i="1" s="1"/>
  <c r="X188" i="1" s="1"/>
  <c r="X189" i="1" s="1"/>
  <c r="X190" i="1" s="1"/>
  <c r="X191" i="1" s="1"/>
  <c r="X192" i="1" s="1"/>
  <c r="X193" i="1" s="1"/>
  <c r="X194" i="1" s="1"/>
  <c r="X195" i="1" s="1"/>
  <c r="X196" i="1" s="1"/>
  <c r="X197" i="1" s="1"/>
  <c r="X198" i="1" s="1"/>
  <c r="X199" i="1" s="1"/>
  <c r="X200" i="1" s="1"/>
  <c r="X201" i="1" s="1"/>
  <c r="X202" i="1" s="1"/>
  <c r="X203" i="1" s="1"/>
  <c r="X204" i="1" s="1"/>
  <c r="X205" i="1" s="1"/>
  <c r="X206" i="1" s="1"/>
  <c r="X207" i="1" s="1"/>
  <c r="X208" i="1" s="1"/>
  <c r="X209" i="1" s="1"/>
  <c r="X210" i="1" s="1"/>
  <c r="X211" i="1" s="1"/>
  <c r="X212" i="1" s="1"/>
  <c r="X213" i="1" s="1"/>
  <c r="X214" i="1" s="1"/>
  <c r="X215" i="1" s="1"/>
  <c r="X216" i="1" s="1"/>
  <c r="X217" i="1" s="1"/>
  <c r="X218" i="1" s="1"/>
  <c r="X219" i="1" s="1"/>
  <c r="X220" i="1" s="1"/>
  <c r="X221" i="1" s="1"/>
  <c r="X222" i="1" s="1"/>
  <c r="X223" i="1" s="1"/>
  <c r="X224" i="1" s="1"/>
  <c r="X225" i="1" s="1"/>
  <c r="X226" i="1" s="1"/>
  <c r="X227" i="1" s="1"/>
  <c r="X228" i="1" s="1"/>
  <c r="X229" i="1" s="1"/>
  <c r="X230" i="1" s="1"/>
  <c r="X231" i="1" s="1"/>
  <c r="X232" i="1" s="1"/>
  <c r="X233" i="1" s="1"/>
  <c r="X234" i="1" s="1"/>
  <c r="X235" i="1" s="1"/>
  <c r="X236" i="1" s="1"/>
  <c r="X237" i="1" s="1"/>
  <c r="X238" i="1" s="1"/>
  <c r="X239" i="1" s="1"/>
  <c r="X240" i="1" s="1"/>
  <c r="X241" i="1" s="1"/>
  <c r="X242" i="1" s="1"/>
  <c r="X243" i="1" s="1"/>
  <c r="X244" i="1" s="1"/>
  <c r="X245" i="1" s="1"/>
  <c r="X246" i="1" s="1"/>
  <c r="X247" i="1" s="1"/>
  <c r="X248" i="1" s="1"/>
  <c r="X249" i="1" s="1"/>
  <c r="X250" i="1" s="1"/>
  <c r="X251" i="1" s="1"/>
  <c r="X252" i="1" s="1"/>
  <c r="X253" i="1" s="1"/>
  <c r="X254" i="1" s="1"/>
  <c r="X255" i="1" s="1"/>
  <c r="X256" i="1" s="1"/>
  <c r="X257" i="1" s="1"/>
  <c r="X258" i="1" s="1"/>
  <c r="X259" i="1" s="1"/>
  <c r="X260" i="1" s="1"/>
  <c r="X261" i="1" s="1"/>
  <c r="X262" i="1" s="1"/>
  <c r="X263" i="1" s="1"/>
  <c r="X264" i="1" s="1"/>
  <c r="X265" i="1" s="1"/>
  <c r="X266" i="1" s="1"/>
  <c r="X267" i="1" s="1"/>
  <c r="X268" i="1" s="1"/>
  <c r="X269" i="1" s="1"/>
  <c r="X270" i="1" s="1"/>
  <c r="X271" i="1" s="1"/>
  <c r="X272" i="1" s="1"/>
  <c r="X273" i="1" s="1"/>
  <c r="X274" i="1" s="1"/>
  <c r="X275" i="1" s="1"/>
  <c r="X276" i="1" s="1"/>
  <c r="X277" i="1" s="1"/>
  <c r="X278" i="1" s="1"/>
  <c r="X279" i="1" s="1"/>
  <c r="X280" i="1" s="1"/>
  <c r="X281" i="1" s="1"/>
  <c r="X282" i="1" s="1"/>
  <c r="X283" i="1" s="1"/>
  <c r="X284" i="1" s="1"/>
  <c r="X285" i="1" s="1"/>
  <c r="X286" i="1" s="1"/>
  <c r="X287" i="1" s="1"/>
  <c r="X288" i="1" s="1"/>
  <c r="X289" i="1" s="1"/>
  <c r="X290" i="1" s="1"/>
  <c r="X291" i="1" s="1"/>
  <c r="X292" i="1" s="1"/>
  <c r="X293" i="1" s="1"/>
  <c r="X294" i="1" s="1"/>
  <c r="X295" i="1" s="1"/>
  <c r="X296" i="1" s="1"/>
  <c r="X297" i="1" s="1"/>
  <c r="X298" i="1" s="1"/>
  <c r="X299" i="1" s="1"/>
  <c r="X300" i="1" s="1"/>
  <c r="X301" i="1" s="1"/>
  <c r="X302" i="1" s="1"/>
  <c r="X303" i="1" s="1"/>
  <c r="X304" i="1" s="1"/>
  <c r="X305" i="1" s="1"/>
  <c r="X306" i="1" s="1"/>
  <c r="X307" i="1" s="1"/>
  <c r="X308" i="1" s="1"/>
  <c r="X309" i="1" s="1"/>
  <c r="X310" i="1" s="1"/>
  <c r="X311" i="1" s="1"/>
  <c r="X312" i="1" s="1"/>
  <c r="X313" i="1" s="1"/>
  <c r="X314" i="1" s="1"/>
  <c r="X315" i="1" s="1"/>
  <c r="X316" i="1" s="1"/>
  <c r="X317" i="1" s="1"/>
  <c r="X318" i="1" s="1"/>
  <c r="X319" i="1" s="1"/>
  <c r="X320" i="1" s="1"/>
  <c r="X321" i="1" s="1"/>
  <c r="X322" i="1" s="1"/>
  <c r="X323" i="1" s="1"/>
  <c r="X324" i="1" s="1"/>
  <c r="X325" i="1" s="1"/>
  <c r="X326" i="1" s="1"/>
  <c r="X327" i="1" s="1"/>
  <c r="X328" i="1" s="1"/>
  <c r="X329" i="1" s="1"/>
  <c r="X330" i="1" s="1"/>
  <c r="X331" i="1" s="1"/>
  <c r="X332" i="1" s="1"/>
  <c r="X333" i="1" s="1"/>
  <c r="X334" i="1" s="1"/>
  <c r="X335" i="1" s="1"/>
  <c r="X336" i="1" s="1"/>
  <c r="X337" i="1" s="1"/>
  <c r="X338" i="1" s="1"/>
  <c r="X339" i="1" s="1"/>
  <c r="X340" i="1" s="1"/>
  <c r="X341" i="1" s="1"/>
  <c r="X342" i="1" s="1"/>
  <c r="X343" i="1" s="1"/>
  <c r="X344" i="1" s="1"/>
  <c r="X345" i="1" s="1"/>
  <c r="W126" i="1"/>
  <c r="T46" i="1"/>
  <c r="T47" i="1" s="1"/>
  <c r="W314" i="1"/>
  <c r="Y315" i="1"/>
  <c r="Y316" i="1" s="1"/>
  <c r="Y317" i="1" s="1"/>
  <c r="Y318" i="1" s="1"/>
  <c r="Y319" i="1" s="1"/>
  <c r="Y320" i="1" s="1"/>
  <c r="U231" i="2" l="1"/>
  <c r="T259" i="2"/>
  <c r="T260" i="2" s="1"/>
  <c r="T261" i="2" s="1"/>
  <c r="T262" i="2" s="1"/>
  <c r="T263" i="2" s="1"/>
  <c r="T264" i="2" s="1"/>
  <c r="T265" i="2" s="1"/>
  <c r="T266" i="2" s="1"/>
  <c r="T267" i="2" s="1"/>
  <c r="T268" i="2" s="1"/>
  <c r="T269" i="2" s="1"/>
  <c r="T270" i="2" s="1"/>
  <c r="T271" i="2" s="1"/>
  <c r="T272" i="2" s="1"/>
  <c r="T273" i="2" s="1"/>
  <c r="T274" i="2" s="1"/>
  <c r="T275" i="2" s="1"/>
  <c r="T276" i="2" s="1"/>
  <c r="T277" i="2" s="1"/>
  <c r="T278" i="2" s="1"/>
  <c r="T279" i="2" s="1"/>
  <c r="T280" i="2" s="1"/>
  <c r="T281" i="2" s="1"/>
  <c r="T282" i="2" s="1"/>
  <c r="T283" i="2" s="1"/>
  <c r="T284" i="2" s="1"/>
  <c r="T285" i="2" s="1"/>
  <c r="T286" i="2" s="1"/>
  <c r="T287" i="2" s="1"/>
  <c r="T288" i="2" s="1"/>
  <c r="T289" i="2" s="1"/>
  <c r="T290" i="2" s="1"/>
  <c r="T291" i="2" s="1"/>
  <c r="T292" i="2" s="1"/>
  <c r="T293" i="2" s="1"/>
  <c r="T294" i="2" s="1"/>
  <c r="T295" i="2" s="1"/>
  <c r="T296" i="2" s="1"/>
  <c r="T297" i="2" s="1"/>
  <c r="T298" i="2" s="1"/>
  <c r="T299" i="2" s="1"/>
  <c r="T300" i="2" s="1"/>
  <c r="T301" i="2" s="1"/>
  <c r="T302" i="2" s="1"/>
  <c r="T303" i="2" s="1"/>
  <c r="T304" i="2" s="1"/>
  <c r="T305" i="2" s="1"/>
  <c r="T306" i="2" s="1"/>
  <c r="T307" i="2" s="1"/>
  <c r="T308" i="2" s="1"/>
  <c r="T309" i="2" s="1"/>
  <c r="T310" i="2" s="1"/>
  <c r="T311" i="2" s="1"/>
  <c r="T312" i="2" s="1"/>
  <c r="T313" i="2" s="1"/>
  <c r="T314" i="2" s="1"/>
  <c r="T315" i="2" s="1"/>
  <c r="T316" i="2" s="1"/>
  <c r="T317" i="2" s="1"/>
  <c r="T318" i="2" s="1"/>
  <c r="T319" i="2" s="1"/>
  <c r="T320" i="2" s="1"/>
  <c r="T321" i="2" s="1"/>
  <c r="T322" i="2" s="1"/>
  <c r="T323" i="2" s="1"/>
  <c r="T324" i="2" s="1"/>
  <c r="T325" i="2" s="1"/>
  <c r="T326" i="2" s="1"/>
  <c r="T327" i="2" s="1"/>
  <c r="T328" i="2" s="1"/>
  <c r="T329" i="2" s="1"/>
  <c r="T330" i="2" s="1"/>
  <c r="T331" i="2" s="1"/>
  <c r="T332" i="2" s="1"/>
  <c r="T333" i="2" s="1"/>
  <c r="T343" i="2" s="1"/>
  <c r="U56" i="1"/>
  <c r="U54" i="1"/>
  <c r="T128" i="1"/>
  <c r="T129" i="1" s="1"/>
  <c r="T130" i="1" s="1"/>
  <c r="T131" i="1" s="1"/>
  <c r="T132" i="1" s="1"/>
  <c r="T133" i="1" s="1"/>
  <c r="T134" i="1" s="1"/>
  <c r="T135" i="1" s="1"/>
  <c r="T136" i="1" s="1"/>
  <c r="T137" i="1" s="1"/>
  <c r="T138" i="1" s="1"/>
  <c r="T139" i="1" s="1"/>
  <c r="T140" i="1" s="1"/>
  <c r="T141" i="1" s="1"/>
  <c r="T142" i="1" s="1"/>
  <c r="T143" i="1" s="1"/>
  <c r="T144" i="1" s="1"/>
  <c r="T145" i="1" s="1"/>
  <c r="T146" i="1" s="1"/>
  <c r="T147" i="1" s="1"/>
  <c r="T148" i="1" s="1"/>
  <c r="T149" i="1" s="1"/>
  <c r="T150" i="1" s="1"/>
  <c r="T151" i="1" s="1"/>
  <c r="T152" i="1" s="1"/>
  <c r="T153" i="1" s="1"/>
  <c r="T154" i="1" s="1"/>
  <c r="T155" i="1" s="1"/>
  <c r="T156" i="1" s="1"/>
  <c r="T157" i="1" s="1"/>
  <c r="T158" i="1" s="1"/>
  <c r="T159" i="1" s="1"/>
  <c r="T160" i="1" s="1"/>
  <c r="T161" i="1" s="1"/>
  <c r="T162" i="1" s="1"/>
  <c r="T163" i="1" s="1"/>
  <c r="T164" i="1" s="1"/>
  <c r="T165" i="1" s="1"/>
  <c r="T166" i="1" s="1"/>
  <c r="T167" i="1" s="1"/>
  <c r="T168" i="1" s="1"/>
  <c r="T169" i="1" s="1"/>
  <c r="T170" i="1" s="1"/>
  <c r="T171" i="1" s="1"/>
  <c r="T172" i="1" s="1"/>
  <c r="T173" i="1" s="1"/>
  <c r="T174" i="1" s="1"/>
  <c r="T175" i="1" s="1"/>
  <c r="T176" i="1" s="1"/>
  <c r="T177" i="1" s="1"/>
  <c r="T178" i="1" s="1"/>
  <c r="T179" i="1" s="1"/>
  <c r="T180" i="1" s="1"/>
  <c r="T181" i="1" s="1"/>
  <c r="T182" i="1" s="1"/>
  <c r="T183" i="1" s="1"/>
  <c r="T184" i="1" s="1"/>
  <c r="T185" i="1" s="1"/>
  <c r="T186" i="1" s="1"/>
  <c r="T187" i="1" s="1"/>
  <c r="T188" i="1" s="1"/>
  <c r="T189" i="1" s="1"/>
  <c r="T190" i="1" s="1"/>
  <c r="T191" i="1" s="1"/>
  <c r="T192" i="1" s="1"/>
  <c r="T193" i="1" s="1"/>
  <c r="T194" i="1" s="1"/>
  <c r="T195" i="1" s="1"/>
  <c r="T196" i="1" s="1"/>
  <c r="T197" i="1" s="1"/>
  <c r="T198" i="1" s="1"/>
  <c r="T199" i="1" s="1"/>
  <c r="T200" i="1" s="1"/>
  <c r="T201" i="1" s="1"/>
  <c r="T202" i="1" s="1"/>
  <c r="T203" i="1" s="1"/>
  <c r="T204" i="1" s="1"/>
  <c r="T205" i="1" s="1"/>
  <c r="T206" i="1" s="1"/>
  <c r="T207" i="1" s="1"/>
  <c r="T208" i="1" s="1"/>
  <c r="T209" i="1" s="1"/>
  <c r="T210" i="1" s="1"/>
  <c r="T211" i="1" s="1"/>
  <c r="T212" i="1" s="1"/>
  <c r="T213" i="1" s="1"/>
  <c r="T214" i="1" s="1"/>
  <c r="T215" i="1" s="1"/>
  <c r="T216" i="1" s="1"/>
  <c r="T217" i="1" s="1"/>
  <c r="T218" i="1" s="1"/>
  <c r="U272" i="2" l="1"/>
  <c r="T219" i="1"/>
  <c r="T220" i="1" s="1"/>
  <c r="T221" i="1" s="1"/>
  <c r="T222" i="1" s="1"/>
  <c r="T223" i="1" s="1"/>
  <c r="T224" i="1" s="1"/>
  <c r="T225" i="1" s="1"/>
  <c r="T226" i="1" s="1"/>
  <c r="T227" i="1" s="1"/>
  <c r="T228" i="1" s="1"/>
  <c r="T229" i="1" s="1"/>
  <c r="T230" i="1" s="1"/>
  <c r="T231" i="1" s="1"/>
  <c r="T232" i="1" s="1"/>
  <c r="T233" i="1" s="1"/>
  <c r="T234" i="1" s="1"/>
  <c r="T235" i="1" s="1"/>
  <c r="T236" i="1" s="1"/>
  <c r="T237" i="1" s="1"/>
  <c r="T238" i="1" s="1"/>
  <c r="T239" i="1" s="1"/>
  <c r="T240" i="1" s="1"/>
  <c r="T241" i="1" s="1"/>
  <c r="T242" i="1" s="1"/>
  <c r="T243" i="1" s="1"/>
  <c r="T244" i="1" s="1"/>
  <c r="T245" i="1" s="1"/>
  <c r="T246" i="1" s="1"/>
  <c r="T247" i="1" s="1"/>
  <c r="T248" i="1" s="1"/>
  <c r="T249" i="1" s="1"/>
  <c r="T250" i="1" s="1"/>
  <c r="T251" i="1" s="1"/>
  <c r="T252" i="1" s="1"/>
  <c r="T253" i="1" s="1"/>
  <c r="T254" i="1" s="1"/>
  <c r="T255" i="1" s="1"/>
  <c r="T256" i="1" s="1"/>
  <c r="T257" i="1" s="1"/>
  <c r="T258" i="1" s="1"/>
  <c r="U134" i="1"/>
  <c r="U136" i="1"/>
  <c r="U138" i="1"/>
  <c r="U229" i="1" l="1"/>
  <c r="T259" i="1"/>
  <c r="T260" i="1" s="1"/>
  <c r="T261" i="1" s="1"/>
  <c r="T262" i="1" s="1"/>
  <c r="T263" i="1" s="1"/>
  <c r="T264" i="1" s="1"/>
  <c r="T265" i="1" s="1"/>
  <c r="T266" i="1" s="1"/>
  <c r="T267" i="1" s="1"/>
  <c r="T268" i="1" s="1"/>
  <c r="T269" i="1" s="1"/>
  <c r="T270" i="1" s="1"/>
  <c r="T271" i="1" s="1"/>
  <c r="T272" i="1" s="1"/>
  <c r="T273" i="1" s="1"/>
  <c r="T274" i="1" s="1"/>
  <c r="T275" i="1" s="1"/>
  <c r="T276" i="1" s="1"/>
  <c r="T277" i="1" s="1"/>
  <c r="T278" i="1" s="1"/>
  <c r="T279" i="1" s="1"/>
  <c r="U227" i="1"/>
  <c r="U225" i="1"/>
  <c r="U316" i="2" l="1"/>
  <c r="U269" i="1"/>
  <c r="U267" i="1"/>
  <c r="T280" i="1"/>
  <c r="T281" i="1" s="1"/>
  <c r="T282" i="1" s="1"/>
  <c r="T283" i="1" s="1"/>
  <c r="T284" i="1" s="1"/>
  <c r="T285" i="1" s="1"/>
  <c r="T286" i="1" s="1"/>
  <c r="T287" i="1" s="1"/>
  <c r="T288" i="1" s="1"/>
  <c r="T289" i="1" s="1"/>
  <c r="T290" i="1" s="1"/>
  <c r="T291" i="1" s="1"/>
  <c r="T292" i="1" s="1"/>
  <c r="T293" i="1" s="1"/>
  <c r="T294" i="1" s="1"/>
  <c r="T295" i="1" s="1"/>
  <c r="T296" i="1" s="1"/>
  <c r="T297" i="1" s="1"/>
  <c r="T298" i="1" s="1"/>
  <c r="T299" i="1" s="1"/>
  <c r="T300" i="1" s="1"/>
  <c r="T301" i="1" s="1"/>
  <c r="T302" i="1" s="1"/>
  <c r="U265" i="1"/>
  <c r="U328" i="2" l="1"/>
  <c r="U334" i="2"/>
  <c r="U290" i="1"/>
  <c r="T303" i="1"/>
  <c r="T304" i="1" s="1"/>
  <c r="T305" i="1" s="1"/>
  <c r="T306" i="1" s="1"/>
  <c r="T307" i="1" s="1"/>
  <c r="T308" i="1" s="1"/>
  <c r="T309" i="1" s="1"/>
  <c r="T310" i="1" s="1"/>
  <c r="T311" i="1" s="1"/>
  <c r="T312" i="1" s="1"/>
  <c r="T313" i="1" s="1"/>
  <c r="T314" i="1" s="1"/>
  <c r="T315" i="1" s="1"/>
  <c r="T316" i="1" s="1"/>
  <c r="T317" i="1" s="1"/>
  <c r="T318" i="1" s="1"/>
  <c r="T319" i="1" s="1"/>
  <c r="T320" i="1" s="1"/>
  <c r="T321" i="1" s="1"/>
  <c r="U286" i="1"/>
  <c r="U288" i="1"/>
  <c r="U313" i="1" l="1"/>
  <c r="U311" i="1"/>
  <c r="U309" i="1"/>
  <c r="T322" i="1"/>
  <c r="T323" i="1" s="1"/>
  <c r="T324" i="1" s="1"/>
  <c r="T325" i="1" s="1"/>
  <c r="T326" i="1" s="1"/>
  <c r="T327" i="1" s="1"/>
  <c r="T328" i="1" s="1"/>
  <c r="T329" i="1" s="1"/>
  <c r="T330" i="1" s="1"/>
  <c r="T331" i="1" s="1"/>
  <c r="T332" i="1" s="1"/>
  <c r="T333" i="1" s="1"/>
  <c r="U328" i="1" l="1"/>
  <c r="U332" i="1"/>
  <c r="U330" i="1"/>
</calcChain>
</file>

<file path=xl/sharedStrings.xml><?xml version="1.0" encoding="utf-8"?>
<sst xmlns="http://schemas.openxmlformats.org/spreadsheetml/2006/main" count="336" uniqueCount="58">
  <si>
    <t>TEMPERATURE</t>
  </si>
  <si>
    <t>ETAT HYDRIQUE</t>
  </si>
  <si>
    <t>RAYONNEMENT</t>
  </si>
  <si>
    <t>BILAN HYDRIQUE</t>
  </si>
  <si>
    <t>Période</t>
  </si>
  <si>
    <t>DATE</t>
  </si>
  <si>
    <t>T_Q</t>
  </si>
  <si>
    <t>TINF_H_Q</t>
  </si>
  <si>
    <t>TSUP_H_Q</t>
  </si>
  <si>
    <t>GDD base 0°</t>
  </si>
  <si>
    <t>VAR</t>
  </si>
  <si>
    <t>PRELIQ_Q (mm)</t>
  </si>
  <si>
    <t>Cumul_P</t>
  </si>
  <si>
    <t>ETP_Q (mm)</t>
  </si>
  <si>
    <t>Cumul_ETP</t>
  </si>
  <si>
    <t>P-ETP</t>
  </si>
  <si>
    <t>Etat RU_1</t>
  </si>
  <si>
    <t>i</t>
  </si>
  <si>
    <t>kc</t>
  </si>
  <si>
    <t>ETM</t>
  </si>
  <si>
    <t>P-ETM</t>
  </si>
  <si>
    <t>WSC</t>
  </si>
  <si>
    <t>SSI_Q</t>
  </si>
  <si>
    <t>QPT_Q</t>
  </si>
  <si>
    <t>Cumul_RG</t>
  </si>
  <si>
    <t>SEMIS MAD15</t>
  </si>
  <si>
    <t>AUTOMNE</t>
  </si>
  <si>
    <t>Tmin</t>
  </si>
  <si>
    <t>nbj_sec</t>
  </si>
  <si>
    <t>crg</t>
  </si>
  <si>
    <t>Tmax</t>
  </si>
  <si>
    <t>nbj_water_deficit</t>
  </si>
  <si>
    <t>qpt_p</t>
  </si>
  <si>
    <t>Tmoy</t>
  </si>
  <si>
    <t>nbj_stress_hydro</t>
  </si>
  <si>
    <t>nbj_radinf_900</t>
  </si>
  <si>
    <t>nbj_tgel</t>
  </si>
  <si>
    <t>water_soil_content_min</t>
  </si>
  <si>
    <t>nbj_tsup25</t>
  </si>
  <si>
    <t>water_soil_content_max</t>
  </si>
  <si>
    <t>nbj_tinf5</t>
  </si>
  <si>
    <t>water_soil_content_moy</t>
  </si>
  <si>
    <t>gdd_p</t>
  </si>
  <si>
    <t>HIVER</t>
  </si>
  <si>
    <t>nbj_vern_opti</t>
  </si>
  <si>
    <t>MONTAISON</t>
  </si>
  <si>
    <t>Montego</t>
  </si>
  <si>
    <t>Aviso</t>
  </si>
  <si>
    <t>Fin FLO</t>
  </si>
  <si>
    <t>RECOLTE MAD15</t>
  </si>
  <si>
    <t>N50</t>
  </si>
  <si>
    <t>N30</t>
  </si>
  <si>
    <t>N80</t>
  </si>
  <si>
    <t>WSC_I</t>
  </si>
  <si>
    <t>BI</t>
  </si>
  <si>
    <t>DRF</t>
  </si>
  <si>
    <t>TS</t>
  </si>
  <si>
    <t>IRF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</si>
</sst>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0.0"/>
  </numFmts>
  <fonts count="10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b/>
      <u/>
      <sz val="11"/>
      <color rgb="FF000000"/>
      <name val="Calibri"/>
      <family val="2"/>
    </font>
    <font>
      <b/>
      <sz val="11"/>
      <color rgb="FF000000"/>
      <name val="Calibri"/>
      <family val="2"/>
    </font>
    <font>
      <sz val="11"/>
      <name val="Calibri"/>
      <family val="2"/>
    </font>
    <font>
      <b/>
      <i/>
      <u/>
      <sz val="11"/>
      <color rgb="FFFFC000"/>
      <name val="Calibri"/>
      <family val="2"/>
    </font>
    <font>
      <b/>
      <sz val="11"/>
      <color theme="1"/>
      <name val="Calibri"/>
      <family val="2"/>
    </font>
    <font>
      <b/>
      <sz val="11"/>
      <name val="Calibri"/>
      <family val="2"/>
    </font>
  </fonts>
  <fills count="17">
    <fill>
      <patternFill patternType="none"/>
    </fill>
    <fill>
      <patternFill patternType="gray125"/>
    </fill>
    <fill>
      <patternFill patternType="solid">
        <fgColor rgb="FFD9D9D9"/>
        <bgColor rgb="FF000000"/>
      </patternFill>
    </fill>
    <fill>
      <patternFill patternType="solid">
        <fgColor rgb="FFF2DCDB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FDE9D9"/>
        <bgColor rgb="FF000000"/>
      </patternFill>
    </fill>
    <fill>
      <patternFill patternType="solid">
        <fgColor rgb="FF0070C0"/>
        <bgColor rgb="FF000000"/>
      </patternFill>
    </fill>
    <fill>
      <patternFill patternType="lightGray">
        <fgColor rgb="FF000000"/>
        <bgColor rgb="FFFFFFFF"/>
      </patternFill>
    </fill>
    <fill>
      <patternFill patternType="solid">
        <fgColor rgb="FF92D050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FFC000"/>
        <bgColor rgb="FF000000"/>
      </patternFill>
    </fill>
    <fill>
      <patternFill patternType="solid">
        <fgColor rgb="FFE26B0A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theme="3"/>
        <bgColor indexed="64"/>
      </patternFill>
    </fill>
    <fill>
      <patternFill patternType="solid">
        <fgColor theme="3"/>
        <bgColor rgb="FF000000"/>
      </patternFill>
    </fill>
    <fill>
      <patternFill patternType="solid">
        <fgColor theme="2"/>
        <bgColor indexed="64"/>
      </patternFill>
    </fill>
  </fills>
  <borders count="3">
    <border>
      <left/>
      <right/>
      <top/>
      <bottom/>
      <diagonal/>
    </border>
    <border>
      <left/>
      <right/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</borders>
  <cellStyleXfs count="1">
    <xf numFmtId="0" fontId="0" fillId="0" borderId="0"/>
  </cellStyleXfs>
  <cellXfs count="77">
    <xf numFmtId="0" fontId="0" fillId="0" borderId="0" xfId="0"/>
    <xf numFmtId="0" fontId="0" fillId="0" borderId="0" xfId="0" applyFill="1" applyAlignment="1"/>
    <xf numFmtId="0" fontId="2" fillId="0" borderId="0" xfId="0" applyFont="1" applyAlignment="1">
      <alignment horizontal="center"/>
    </xf>
    <xf numFmtId="0" fontId="1" fillId="0" borderId="0" xfId="0" applyFont="1" applyAlignment="1">
      <alignment horizontal="center" vertical="center"/>
    </xf>
    <xf numFmtId="0" fontId="3" fillId="0" borderId="0" xfId="0" applyFont="1" applyFill="1" applyBorder="1"/>
    <xf numFmtId="0" fontId="3" fillId="0" borderId="0" xfId="0" applyFont="1" applyFill="1" applyBorder="1" applyAlignment="1"/>
    <xf numFmtId="14" fontId="3" fillId="2" borderId="0" xfId="0" applyNumberFormat="1" applyFont="1" applyFill="1" applyBorder="1"/>
    <xf numFmtId="0" fontId="3" fillId="3" borderId="0" xfId="0" applyFont="1" applyFill="1" applyBorder="1"/>
    <xf numFmtId="164" fontId="3" fillId="0" borderId="0" xfId="0" applyNumberFormat="1" applyFont="1" applyFill="1" applyBorder="1"/>
    <xf numFmtId="0" fontId="5" fillId="0" borderId="0" xfId="0" applyFont="1" applyFill="1" applyBorder="1" applyAlignment="1">
      <alignment horizontal="center" vertical="center"/>
    </xf>
    <xf numFmtId="0" fontId="5" fillId="5" borderId="0" xfId="0" applyFont="1" applyFill="1" applyBorder="1"/>
    <xf numFmtId="2" fontId="3" fillId="0" borderId="0" xfId="0" applyNumberFormat="1" applyFont="1" applyFill="1" applyBorder="1"/>
    <xf numFmtId="0" fontId="5" fillId="7" borderId="0" xfId="0" applyFont="1" applyFill="1" applyBorder="1" applyAlignment="1">
      <alignment horizontal="center" vertical="center"/>
    </xf>
    <xf numFmtId="0" fontId="5" fillId="6" borderId="0" xfId="0" applyFont="1" applyFill="1" applyBorder="1"/>
    <xf numFmtId="0" fontId="5" fillId="8" borderId="0" xfId="0" applyFont="1" applyFill="1" applyBorder="1"/>
    <xf numFmtId="0" fontId="6" fillId="0" borderId="0" xfId="0" applyFont="1" applyFill="1" applyBorder="1"/>
    <xf numFmtId="0" fontId="5" fillId="0" borderId="0" xfId="0" applyFont="1" applyFill="1" applyBorder="1"/>
    <xf numFmtId="0" fontId="5" fillId="9" borderId="0" xfId="0" applyFont="1" applyFill="1" applyBorder="1" applyAlignment="1">
      <alignment horizontal="center" vertical="center"/>
    </xf>
    <xf numFmtId="0" fontId="5" fillId="9" borderId="0" xfId="0" applyFont="1" applyFill="1" applyBorder="1"/>
    <xf numFmtId="0" fontId="5" fillId="10" borderId="0" xfId="0" applyFont="1" applyFill="1" applyBorder="1"/>
    <xf numFmtId="0" fontId="5" fillId="11" borderId="0" xfId="0" applyFont="1" applyFill="1" applyBorder="1"/>
    <xf numFmtId="0" fontId="5" fillId="12" borderId="0" xfId="0" applyFont="1" applyFill="1" applyBorder="1"/>
    <xf numFmtId="0" fontId="3" fillId="0" borderId="0" xfId="0" applyFont="1" applyFill="1" applyBorder="1" applyAlignment="1">
      <alignment horizontal="center" vertical="center" wrapText="1"/>
    </xf>
    <xf numFmtId="0" fontId="3" fillId="0" borderId="0" xfId="0" applyFont="1" applyFill="1" applyBorder="1" applyAlignment="1">
      <alignment vertical="center" wrapText="1"/>
    </xf>
    <xf numFmtId="0" fontId="5" fillId="0" borderId="1" xfId="0" applyFont="1" applyFill="1" applyBorder="1" applyAlignment="1">
      <alignment horizontal="center" vertical="center"/>
    </xf>
    <xf numFmtId="0" fontId="8" fillId="0" borderId="1" xfId="0" applyFont="1" applyFill="1" applyBorder="1"/>
    <xf numFmtId="164" fontId="8" fillId="0" borderId="1" xfId="0" applyNumberFormat="1" applyFont="1" applyFill="1" applyBorder="1"/>
    <xf numFmtId="0" fontId="9" fillId="0" borderId="1" xfId="0" applyFont="1" applyFill="1" applyBorder="1" applyAlignment="1">
      <alignment horizontal="center" vertical="center"/>
    </xf>
    <xf numFmtId="14" fontId="9" fillId="2" borderId="1" xfId="0" applyNumberFormat="1" applyFont="1" applyFill="1" applyBorder="1"/>
    <xf numFmtId="0" fontId="9" fillId="0" borderId="1" xfId="0" applyFont="1" applyFill="1" applyBorder="1"/>
    <xf numFmtId="0" fontId="9" fillId="3" borderId="1" xfId="0" applyFont="1" applyFill="1" applyBorder="1"/>
    <xf numFmtId="164" fontId="9" fillId="0" borderId="1" xfId="0" applyNumberFormat="1" applyFont="1" applyFill="1" applyBorder="1"/>
    <xf numFmtId="2" fontId="8" fillId="0" borderId="1" xfId="0" applyNumberFormat="1" applyFont="1" applyFill="1" applyBorder="1"/>
    <xf numFmtId="2" fontId="9" fillId="0" borderId="1" xfId="0" applyNumberFormat="1" applyFont="1" applyFill="1" applyBorder="1"/>
    <xf numFmtId="0" fontId="9" fillId="9" borderId="1" xfId="0" applyFont="1" applyFill="1" applyBorder="1" applyAlignment="1">
      <alignment horizontal="center" vertical="center"/>
    </xf>
    <xf numFmtId="0" fontId="9" fillId="0" borderId="1" xfId="0" applyFont="1" applyFill="1" applyBorder="1" applyAlignment="1"/>
    <xf numFmtId="0" fontId="9" fillId="0" borderId="1" xfId="0" applyFont="1" applyFill="1" applyBorder="1" applyAlignment="1">
      <alignment horizontal="center" vertical="center" wrapText="1"/>
    </xf>
    <xf numFmtId="0" fontId="6" fillId="0" borderId="1" xfId="0" applyFont="1" applyFill="1" applyBorder="1"/>
    <xf numFmtId="0" fontId="6" fillId="0" borderId="0" xfId="0" applyFont="1" applyFill="1" applyBorder="1" applyAlignment="1">
      <alignment horizontal="center" vertical="center"/>
    </xf>
    <xf numFmtId="14" fontId="6" fillId="2" borderId="0" xfId="0" applyNumberFormat="1" applyFont="1" applyFill="1" applyBorder="1"/>
    <xf numFmtId="0" fontId="6" fillId="3" borderId="0" xfId="0" applyFont="1" applyFill="1" applyBorder="1"/>
    <xf numFmtId="164" fontId="6" fillId="0" borderId="0" xfId="0" applyNumberFormat="1" applyFont="1" applyFill="1" applyBorder="1"/>
    <xf numFmtId="0" fontId="6" fillId="0" borderId="0" xfId="0" applyFont="1" applyFill="1" applyBorder="1" applyAlignment="1"/>
    <xf numFmtId="0" fontId="8" fillId="0" borderId="1" xfId="0" applyFont="1" applyFill="1" applyBorder="1" applyAlignment="1"/>
    <xf numFmtId="14" fontId="8" fillId="2" borderId="1" xfId="0" applyNumberFormat="1" applyFont="1" applyFill="1" applyBorder="1"/>
    <xf numFmtId="0" fontId="8" fillId="3" borderId="1" xfId="0" applyFont="1" applyFill="1" applyBorder="1"/>
    <xf numFmtId="14" fontId="3" fillId="2" borderId="1" xfId="0" applyNumberFormat="1" applyFont="1" applyFill="1" applyBorder="1"/>
    <xf numFmtId="0" fontId="3" fillId="0" borderId="1" xfId="0" applyFont="1" applyFill="1" applyBorder="1"/>
    <xf numFmtId="0" fontId="3" fillId="3" borderId="1" xfId="0" applyFont="1" applyFill="1" applyBorder="1"/>
    <xf numFmtId="164" fontId="3" fillId="0" borderId="1" xfId="0" applyNumberFormat="1" applyFont="1" applyFill="1" applyBorder="1"/>
    <xf numFmtId="0" fontId="5" fillId="10" borderId="1" xfId="0" applyFont="1" applyFill="1" applyBorder="1"/>
    <xf numFmtId="2" fontId="3" fillId="0" borderId="1" xfId="0" applyNumberFormat="1" applyFont="1" applyFill="1" applyBorder="1"/>
    <xf numFmtId="0" fontId="1" fillId="0" borderId="0" xfId="0" applyFont="1" applyAlignment="1">
      <alignment horizontal="center" vertical="center"/>
    </xf>
    <xf numFmtId="0" fontId="0" fillId="0" borderId="0" xfId="0" applyAlignment="1">
      <alignment horizontal="center"/>
    </xf>
    <xf numFmtId="0" fontId="5" fillId="12" borderId="0" xfId="0" applyFont="1" applyFill="1" applyBorder="1" applyAlignment="1">
      <alignment horizontal="center" vertical="center" textRotation="255"/>
    </xf>
    <xf numFmtId="0" fontId="7" fillId="13" borderId="0" xfId="0" applyFont="1" applyFill="1" applyBorder="1" applyAlignment="1">
      <alignment horizontal="center"/>
    </xf>
    <xf numFmtId="0" fontId="4" fillId="4" borderId="0" xfId="0" applyFont="1" applyFill="1" applyBorder="1" applyAlignment="1">
      <alignment horizontal="center" vertical="center"/>
    </xf>
    <xf numFmtId="0" fontId="5" fillId="5" borderId="0" xfId="0" applyFont="1" applyFill="1" applyBorder="1" applyAlignment="1">
      <alignment horizontal="center" vertical="center" textRotation="255"/>
    </xf>
    <xf numFmtId="0" fontId="5" fillId="6" borderId="0" xfId="0" applyFont="1" applyFill="1" applyBorder="1" applyAlignment="1">
      <alignment horizontal="center" vertical="center" textRotation="255"/>
    </xf>
    <xf numFmtId="0" fontId="5" fillId="8" borderId="0" xfId="0" applyFont="1" applyFill="1" applyBorder="1" applyAlignment="1">
      <alignment horizontal="center" vertical="center" textRotation="255"/>
    </xf>
    <xf numFmtId="0" fontId="5" fillId="10" borderId="0" xfId="0" applyFont="1" applyFill="1" applyBorder="1" applyAlignment="1">
      <alignment horizontal="center" vertical="center" textRotation="255"/>
    </xf>
    <xf numFmtId="0" fontId="5" fillId="11" borderId="0" xfId="0" applyFont="1" applyFill="1" applyBorder="1" applyAlignment="1">
      <alignment horizontal="center" vertical="center" textRotation="255"/>
    </xf>
    <xf numFmtId="0" fontId="5" fillId="12" borderId="2" xfId="0" applyFont="1" applyFill="1" applyBorder="1" applyAlignment="1">
      <alignment horizontal="center" vertical="center" textRotation="255"/>
    </xf>
    <xf numFmtId="0" fontId="5" fillId="12" borderId="1" xfId="0" applyFont="1" applyFill="1" applyBorder="1" applyAlignment="1">
      <alignment horizontal="center" vertical="center" textRotation="255"/>
    </xf>
    <xf numFmtId="0" fontId="5" fillId="10" borderId="2" xfId="0" applyFont="1" applyFill="1" applyBorder="1" applyAlignment="1">
      <alignment horizontal="center" vertical="center" textRotation="255"/>
    </xf>
    <xf numFmtId="0" fontId="5" fillId="11" borderId="1" xfId="0" applyFont="1" applyFill="1" applyBorder="1" applyAlignment="1">
      <alignment horizontal="center" vertical="center" textRotation="255"/>
    </xf>
    <xf numFmtId="0" fontId="5" fillId="14" borderId="0" xfId="0" applyFont="1" applyFill="1" applyBorder="1" applyAlignment="1">
      <alignment horizontal="center" vertical="center"/>
    </xf>
    <xf numFmtId="14" fontId="3" fillId="15" borderId="0" xfId="0" applyNumberFormat="1" applyFont="1" applyFill="1" applyBorder="1"/>
    <xf numFmtId="0" fontId="3" fillId="14" borderId="0" xfId="0" applyFont="1" applyFill="1" applyBorder="1"/>
    <xf numFmtId="0" fontId="3" fillId="15" borderId="0" xfId="0" applyFont="1" applyFill="1" applyBorder="1"/>
    <xf numFmtId="164" fontId="3" fillId="14" borderId="0" xfId="0" applyNumberFormat="1" applyFont="1" applyFill="1" applyBorder="1"/>
    <xf numFmtId="2" fontId="3" fillId="14" borderId="0" xfId="0" applyNumberFormat="1" applyFont="1" applyFill="1" applyBorder="1"/>
    <xf numFmtId="0" fontId="8" fillId="0" borderId="0" xfId="0" applyFont="1" applyFill="1" applyBorder="1"/>
    <xf numFmtId="0" fontId="3" fillId="16" borderId="0" xfId="0" applyFont="1" applyFill="1" applyBorder="1"/>
    <xf numFmtId="0" fontId="9" fillId="16" borderId="1" xfId="0" applyFont="1" applyFill="1" applyBorder="1"/>
    <xf numFmtId="164" fontId="3" fillId="16" borderId="0" xfId="0" applyNumberFormat="1" applyFont="1" applyFill="1" applyBorder="1"/>
    <xf numFmtId="164" fontId="9" fillId="16" borderId="1" xfId="0" applyNumberFormat="1" applyFont="1" applyFill="1" applyBorder="1"/>
  </cellXfs>
  <cellStyles count="1">
    <cellStyle name="Normal" xfId="0" builtinId="0"/>
  </cellStyles>
  <dxfs count="18"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rgb="FFCCC0DA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DAEEF3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  <dxf>
      <fill>
        <patternFill>
          <bgColor rgb="FFFABF8F"/>
        </patternFill>
      </fill>
    </dxf>
    <dxf>
      <fill>
        <patternFill>
          <bgColor rgb="FFDA9694"/>
        </patternFill>
      </fill>
    </dxf>
    <dxf>
      <fill>
        <patternFill>
          <bgColor rgb="FFF2DCDB"/>
        </patternFill>
      </fill>
    </dxf>
    <dxf>
      <fill>
        <patternFill>
          <bgColor rgb="FFCCC0DA"/>
        </patternFill>
      </fill>
    </dxf>
    <dxf>
      <fill>
        <patternFill>
          <bgColor rgb="FFFFC000"/>
        </patternFill>
      </fill>
    </dxf>
    <dxf>
      <fill>
        <patternFill>
          <bgColor rgb="FF00B0F0"/>
        </patternFill>
      </fill>
    </dxf>
    <dxf>
      <fill>
        <patternFill>
          <bgColor rgb="FFDAEEF3"/>
        </patternFill>
      </fill>
    </dxf>
    <dxf>
      <fill>
        <patternFill>
          <bgColor theme="9" tint="0.39994506668294322"/>
        </patternFill>
      </fill>
    </dxf>
    <dxf>
      <fill>
        <patternFill>
          <bgColor theme="5" tint="0.3999450666829432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46"/>
  <sheetViews>
    <sheetView tabSelected="1" zoomScale="70" zoomScaleNormal="70" workbookViewId="0">
      <pane xSplit="3" ySplit="4" topLeftCell="D194" activePane="bottomRight" state="frozen"/>
      <selection pane="topRight" activeCell="D1" sqref="D1"/>
      <selection pane="bottomLeft" activeCell="A5" sqref="A5"/>
      <selection pane="bottomRight" activeCell="AD220" sqref="AD220"/>
    </sheetView>
  </sheetViews>
  <sheetFormatPr baseColWidth="10" defaultRowHeight="15" x14ac:dyDescent="0.25"/>
  <sheetData>
    <row r="1" spans="1:26" x14ac:dyDescent="0.25">
      <c r="B1" s="1"/>
      <c r="C1" s="2"/>
      <c r="D1" s="52" t="s">
        <v>0</v>
      </c>
      <c r="E1" s="52"/>
      <c r="F1" s="52"/>
      <c r="G1" s="52"/>
      <c r="H1" s="52"/>
      <c r="I1" s="52"/>
      <c r="J1" s="52" t="s">
        <v>1</v>
      </c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 t="s">
        <v>2</v>
      </c>
      <c r="W1" s="52"/>
      <c r="X1" s="52"/>
      <c r="Y1" s="52"/>
      <c r="Z1" s="52"/>
    </row>
    <row r="2" spans="1:26" x14ac:dyDescent="0.25">
      <c r="B2" s="1"/>
      <c r="C2" s="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25">
      <c r="B3" s="1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2" t="s">
        <v>3</v>
      </c>
      <c r="Q3" s="52"/>
      <c r="R3" s="52"/>
      <c r="S3" s="52"/>
      <c r="T3" s="52"/>
      <c r="U3" s="3"/>
      <c r="V3" s="3"/>
      <c r="W3" s="3"/>
      <c r="X3" s="3"/>
      <c r="Y3" s="3"/>
      <c r="Z3" s="3"/>
    </row>
    <row r="4" spans="1:26" x14ac:dyDescent="0.25">
      <c r="A4" t="s">
        <v>4</v>
      </c>
      <c r="B4" s="1">
        <v>5</v>
      </c>
      <c r="C4" t="s">
        <v>5</v>
      </c>
      <c r="D4" t="s">
        <v>6</v>
      </c>
      <c r="E4" t="s">
        <v>7</v>
      </c>
      <c r="F4" t="s">
        <v>8</v>
      </c>
      <c r="G4" s="53" t="s">
        <v>9</v>
      </c>
      <c r="H4" s="53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10</v>
      </c>
      <c r="V4" t="s">
        <v>22</v>
      </c>
      <c r="W4" t="s">
        <v>23</v>
      </c>
      <c r="X4" s="53" t="s">
        <v>24</v>
      </c>
      <c r="Y4" s="53"/>
      <c r="Z4" t="s">
        <v>10</v>
      </c>
    </row>
    <row r="5" spans="1:26" s="4" customFormat="1" x14ac:dyDescent="0.25">
      <c r="B5" s="5"/>
      <c r="C5" s="6">
        <v>41852</v>
      </c>
      <c r="D5" s="4">
        <v>21.6</v>
      </c>
      <c r="E5" s="4">
        <v>16.100000000000001</v>
      </c>
      <c r="F5" s="4">
        <v>27.7</v>
      </c>
      <c r="J5" s="4">
        <v>0</v>
      </c>
      <c r="L5" s="4">
        <v>3.2</v>
      </c>
      <c r="N5" s="7">
        <v>-3.2</v>
      </c>
      <c r="O5" s="4">
        <v>0</v>
      </c>
      <c r="T5" s="8"/>
      <c r="V5" s="4">
        <v>1426.3</v>
      </c>
    </row>
    <row r="6" spans="1:26" s="4" customFormat="1" x14ac:dyDescent="0.25">
      <c r="B6" s="5"/>
      <c r="C6" s="6">
        <v>41853</v>
      </c>
      <c r="D6" s="4">
        <v>19.2</v>
      </c>
      <c r="E6" s="4">
        <v>15.2</v>
      </c>
      <c r="F6" s="4">
        <v>23.7</v>
      </c>
      <c r="J6" s="4">
        <v>2.5</v>
      </c>
      <c r="L6" s="4">
        <v>3.1</v>
      </c>
      <c r="N6" s="7">
        <v>-0.60000000000000009</v>
      </c>
      <c r="O6" s="4">
        <v>0</v>
      </c>
      <c r="T6" s="8"/>
      <c r="V6" s="4">
        <v>1436.5</v>
      </c>
    </row>
    <row r="7" spans="1:26" s="4" customFormat="1" x14ac:dyDescent="0.25">
      <c r="B7" s="5"/>
      <c r="C7" s="6">
        <v>41854</v>
      </c>
      <c r="D7" s="4">
        <v>19.7</v>
      </c>
      <c r="E7" s="4">
        <v>15.4</v>
      </c>
      <c r="F7" s="4">
        <v>24.3</v>
      </c>
      <c r="J7" s="4">
        <v>0</v>
      </c>
      <c r="L7" s="4">
        <v>2.8</v>
      </c>
      <c r="N7" s="7">
        <v>-2.8</v>
      </c>
      <c r="O7" s="4">
        <v>0</v>
      </c>
      <c r="T7" s="8"/>
      <c r="V7" s="4">
        <v>1351.4</v>
      </c>
    </row>
    <row r="8" spans="1:26" s="4" customFormat="1" x14ac:dyDescent="0.25">
      <c r="B8" s="5"/>
      <c r="C8" s="6">
        <v>41855</v>
      </c>
      <c r="D8" s="4">
        <v>19</v>
      </c>
      <c r="E8" s="4">
        <v>14.4</v>
      </c>
      <c r="F8" s="4">
        <v>23.8</v>
      </c>
      <c r="J8" s="4">
        <v>0</v>
      </c>
      <c r="L8" s="4">
        <v>3.5</v>
      </c>
      <c r="N8" s="7">
        <v>-3.5</v>
      </c>
      <c r="O8" s="4">
        <v>0</v>
      </c>
      <c r="T8" s="8"/>
      <c r="V8" s="4">
        <v>1590.9</v>
      </c>
    </row>
    <row r="9" spans="1:26" s="4" customFormat="1" x14ac:dyDescent="0.25">
      <c r="B9" s="5"/>
      <c r="C9" s="6">
        <v>41856</v>
      </c>
      <c r="D9" s="4">
        <v>19.600000000000001</v>
      </c>
      <c r="E9" s="4">
        <v>13.7</v>
      </c>
      <c r="F9" s="4">
        <v>25</v>
      </c>
      <c r="J9" s="4">
        <v>0</v>
      </c>
      <c r="L9" s="4">
        <v>4.3</v>
      </c>
      <c r="N9" s="7">
        <v>-4.3</v>
      </c>
      <c r="O9" s="4">
        <v>0</v>
      </c>
      <c r="T9" s="8"/>
      <c r="V9" s="4">
        <v>2214</v>
      </c>
    </row>
    <row r="10" spans="1:26" s="4" customFormat="1" x14ac:dyDescent="0.25">
      <c r="B10" s="5"/>
      <c r="C10" s="6">
        <v>41857</v>
      </c>
      <c r="D10" s="4">
        <v>18.5</v>
      </c>
      <c r="E10" s="4">
        <v>15.9</v>
      </c>
      <c r="F10" s="4">
        <v>21.8</v>
      </c>
      <c r="J10" s="4">
        <v>9.6999999999999993</v>
      </c>
      <c r="L10" s="4">
        <v>1.2</v>
      </c>
      <c r="N10" s="4">
        <v>8.5</v>
      </c>
      <c r="O10" s="4">
        <f>O9+N10</f>
        <v>8.5</v>
      </c>
      <c r="T10" s="8"/>
      <c r="V10" s="4">
        <v>652.1</v>
      </c>
    </row>
    <row r="11" spans="1:26" s="4" customFormat="1" x14ac:dyDescent="0.25">
      <c r="B11" s="5"/>
      <c r="C11" s="6">
        <v>41858</v>
      </c>
      <c r="D11" s="4">
        <v>21</v>
      </c>
      <c r="E11" s="4">
        <v>17.8</v>
      </c>
      <c r="F11" s="4">
        <v>24.3</v>
      </c>
      <c r="J11" s="4">
        <v>1.1000000000000001</v>
      </c>
      <c r="L11" s="4">
        <v>2.7</v>
      </c>
      <c r="N11" s="7">
        <v>-1.6</v>
      </c>
      <c r="O11" s="4">
        <f t="shared" ref="O11:O43" si="0">O10+N11</f>
        <v>6.9</v>
      </c>
      <c r="T11" s="8"/>
      <c r="V11" s="4">
        <v>1262.4000000000001</v>
      </c>
    </row>
    <row r="12" spans="1:26" s="4" customFormat="1" x14ac:dyDescent="0.25">
      <c r="B12" s="5"/>
      <c r="C12" s="6">
        <v>41859</v>
      </c>
      <c r="D12" s="4">
        <v>19.600000000000001</v>
      </c>
      <c r="E12" s="4">
        <v>17.8</v>
      </c>
      <c r="F12" s="4">
        <v>23.8</v>
      </c>
      <c r="J12" s="4">
        <v>18.600000000000001</v>
      </c>
      <c r="L12" s="4">
        <v>2.2999999999999998</v>
      </c>
      <c r="N12" s="4">
        <v>16.3</v>
      </c>
      <c r="O12" s="4">
        <f t="shared" si="0"/>
        <v>23.200000000000003</v>
      </c>
      <c r="T12" s="8"/>
      <c r="V12" s="4">
        <v>767.5</v>
      </c>
    </row>
    <row r="13" spans="1:26" s="4" customFormat="1" x14ac:dyDescent="0.25">
      <c r="B13" s="5"/>
      <c r="C13" s="6">
        <v>41860</v>
      </c>
      <c r="D13" s="4">
        <v>19.100000000000001</v>
      </c>
      <c r="E13" s="4">
        <v>15.1</v>
      </c>
      <c r="F13" s="4">
        <v>22.2</v>
      </c>
      <c r="J13" s="4">
        <v>0.8</v>
      </c>
      <c r="L13" s="4">
        <v>2.8</v>
      </c>
      <c r="N13" s="7">
        <v>-1.9999999999999998</v>
      </c>
      <c r="O13" s="4">
        <f t="shared" si="0"/>
        <v>21.200000000000003</v>
      </c>
      <c r="T13" s="8"/>
      <c r="V13" s="4">
        <v>1603.1</v>
      </c>
    </row>
    <row r="14" spans="1:26" s="4" customFormat="1" x14ac:dyDescent="0.25">
      <c r="B14" s="5"/>
      <c r="C14" s="6">
        <v>41861</v>
      </c>
      <c r="D14" s="4">
        <v>20.2</v>
      </c>
      <c r="E14" s="4">
        <v>17.399999999999999</v>
      </c>
      <c r="F14" s="4">
        <v>26.4</v>
      </c>
      <c r="J14" s="4">
        <v>7.2</v>
      </c>
      <c r="L14" s="4">
        <v>3.4</v>
      </c>
      <c r="N14" s="4">
        <v>3.8000000000000003</v>
      </c>
      <c r="O14" s="4">
        <f t="shared" si="0"/>
        <v>25.000000000000004</v>
      </c>
      <c r="T14" s="8"/>
      <c r="V14" s="4">
        <v>1184.8</v>
      </c>
    </row>
    <row r="15" spans="1:26" s="4" customFormat="1" x14ac:dyDescent="0.25">
      <c r="B15" s="5"/>
      <c r="C15" s="6">
        <v>41862</v>
      </c>
      <c r="D15" s="4">
        <v>17</v>
      </c>
      <c r="E15" s="4">
        <v>13.2</v>
      </c>
      <c r="F15" s="4">
        <v>21.6</v>
      </c>
      <c r="J15" s="4">
        <v>0</v>
      </c>
      <c r="L15" s="4">
        <v>3.4</v>
      </c>
      <c r="N15" s="7">
        <v>-3.4</v>
      </c>
      <c r="O15" s="4">
        <f t="shared" si="0"/>
        <v>21.600000000000005</v>
      </c>
      <c r="T15" s="8"/>
      <c r="V15" s="4">
        <v>1541.1</v>
      </c>
    </row>
    <row r="16" spans="1:26" s="4" customFormat="1" x14ac:dyDescent="0.25">
      <c r="B16" s="5"/>
      <c r="C16" s="6">
        <v>41863</v>
      </c>
      <c r="D16" s="4">
        <v>16</v>
      </c>
      <c r="E16" s="4">
        <v>13</v>
      </c>
      <c r="F16" s="4">
        <v>18.8</v>
      </c>
      <c r="J16" s="4">
        <v>21.9</v>
      </c>
      <c r="L16" s="4">
        <v>1.8</v>
      </c>
      <c r="N16" s="4">
        <v>20.099999999999998</v>
      </c>
      <c r="O16" s="4">
        <f t="shared" si="0"/>
        <v>41.7</v>
      </c>
      <c r="T16" s="8"/>
      <c r="V16" s="4">
        <v>997.6</v>
      </c>
    </row>
    <row r="17" spans="2:22" s="4" customFormat="1" x14ac:dyDescent="0.25">
      <c r="B17" s="5"/>
      <c r="C17" s="6">
        <v>41864</v>
      </c>
      <c r="D17" s="4">
        <v>16.3</v>
      </c>
      <c r="E17" s="4">
        <v>13.4</v>
      </c>
      <c r="F17" s="4">
        <v>18.899999999999999</v>
      </c>
      <c r="J17" s="4">
        <v>10.7</v>
      </c>
      <c r="L17" s="4">
        <v>2</v>
      </c>
      <c r="N17" s="4">
        <v>8.6999999999999993</v>
      </c>
      <c r="O17" s="4">
        <f t="shared" si="0"/>
        <v>50.400000000000006</v>
      </c>
      <c r="T17" s="8"/>
      <c r="V17" s="4">
        <v>1029.7</v>
      </c>
    </row>
    <row r="18" spans="2:22" s="4" customFormat="1" x14ac:dyDescent="0.25">
      <c r="B18" s="5"/>
      <c r="C18" s="6">
        <v>41865</v>
      </c>
      <c r="D18" s="4">
        <v>16.8</v>
      </c>
      <c r="E18" s="4">
        <v>14.1</v>
      </c>
      <c r="F18" s="4">
        <v>20.6</v>
      </c>
      <c r="J18" s="4">
        <v>1.6</v>
      </c>
      <c r="L18" s="4">
        <v>3</v>
      </c>
      <c r="N18" s="7">
        <v>-1.4</v>
      </c>
      <c r="O18" s="4">
        <f t="shared" si="0"/>
        <v>49.000000000000007</v>
      </c>
      <c r="T18" s="8"/>
      <c r="V18" s="4">
        <v>1381</v>
      </c>
    </row>
    <row r="19" spans="2:22" s="4" customFormat="1" x14ac:dyDescent="0.25">
      <c r="B19" s="5"/>
      <c r="C19" s="6">
        <v>41866</v>
      </c>
      <c r="D19" s="4">
        <v>15</v>
      </c>
      <c r="E19" s="4">
        <v>12.2</v>
      </c>
      <c r="F19" s="4">
        <v>18.7</v>
      </c>
      <c r="J19" s="4">
        <v>2.1</v>
      </c>
      <c r="L19" s="4">
        <v>2.2000000000000002</v>
      </c>
      <c r="N19" s="7">
        <v>-0.10000000000000009</v>
      </c>
      <c r="O19" s="4">
        <f t="shared" si="0"/>
        <v>48.900000000000006</v>
      </c>
      <c r="T19" s="8"/>
      <c r="V19" s="4">
        <v>1176.2</v>
      </c>
    </row>
    <row r="20" spans="2:22" s="4" customFormat="1" x14ac:dyDescent="0.25">
      <c r="B20" s="5"/>
      <c r="C20" s="6">
        <v>41867</v>
      </c>
      <c r="D20" s="4">
        <v>15.8</v>
      </c>
      <c r="E20" s="4">
        <v>10.8</v>
      </c>
      <c r="F20" s="4">
        <v>20.6</v>
      </c>
      <c r="J20" s="4">
        <v>0</v>
      </c>
      <c r="L20" s="4">
        <v>3.2</v>
      </c>
      <c r="N20" s="7">
        <v>-3.2</v>
      </c>
      <c r="O20" s="4">
        <f t="shared" si="0"/>
        <v>45.7</v>
      </c>
      <c r="T20" s="8"/>
      <c r="V20" s="4">
        <v>1811.1</v>
      </c>
    </row>
    <row r="21" spans="2:22" s="4" customFormat="1" x14ac:dyDescent="0.25">
      <c r="B21" s="5"/>
      <c r="C21" s="6">
        <v>41868</v>
      </c>
      <c r="D21" s="4">
        <v>15.8</v>
      </c>
      <c r="E21" s="4">
        <v>10</v>
      </c>
      <c r="F21" s="4">
        <v>20.6</v>
      </c>
      <c r="J21" s="4">
        <v>0</v>
      </c>
      <c r="L21" s="4">
        <v>1.9</v>
      </c>
      <c r="N21" s="7">
        <v>-1.9</v>
      </c>
      <c r="O21" s="4">
        <f t="shared" si="0"/>
        <v>43.800000000000004</v>
      </c>
      <c r="T21" s="8"/>
      <c r="V21" s="4">
        <v>992.5</v>
      </c>
    </row>
    <row r="22" spans="2:22" s="4" customFormat="1" x14ac:dyDescent="0.25">
      <c r="B22" s="5"/>
      <c r="C22" s="6">
        <v>41869</v>
      </c>
      <c r="D22" s="4">
        <v>16</v>
      </c>
      <c r="E22" s="4">
        <v>14.6</v>
      </c>
      <c r="F22" s="4">
        <v>19.100000000000001</v>
      </c>
      <c r="J22" s="4">
        <v>0.1</v>
      </c>
      <c r="L22" s="4">
        <v>1.6</v>
      </c>
      <c r="N22" s="7">
        <v>-1.5</v>
      </c>
      <c r="O22" s="4">
        <f t="shared" si="0"/>
        <v>42.300000000000004</v>
      </c>
      <c r="T22" s="8"/>
      <c r="V22" s="4">
        <v>841.7</v>
      </c>
    </row>
    <row r="23" spans="2:22" s="4" customFormat="1" x14ac:dyDescent="0.25">
      <c r="B23" s="5"/>
      <c r="C23" s="6">
        <v>41870</v>
      </c>
      <c r="D23" s="4">
        <v>14.4</v>
      </c>
      <c r="E23" s="4">
        <v>9.1999999999999993</v>
      </c>
      <c r="F23" s="4">
        <v>18.8</v>
      </c>
      <c r="J23" s="4">
        <v>0</v>
      </c>
      <c r="L23" s="4">
        <v>2.8</v>
      </c>
      <c r="N23" s="7">
        <v>-2.8</v>
      </c>
      <c r="O23" s="4">
        <f t="shared" si="0"/>
        <v>39.500000000000007</v>
      </c>
      <c r="T23" s="8"/>
      <c r="V23" s="4">
        <v>1689.1</v>
      </c>
    </row>
    <row r="24" spans="2:22" s="4" customFormat="1" x14ac:dyDescent="0.25">
      <c r="B24" s="5"/>
      <c r="C24" s="6">
        <v>41871</v>
      </c>
      <c r="D24" s="4">
        <v>14.6</v>
      </c>
      <c r="E24" s="4">
        <v>12.6</v>
      </c>
      <c r="F24" s="4">
        <v>19</v>
      </c>
      <c r="J24" s="4">
        <v>0</v>
      </c>
      <c r="L24" s="4">
        <v>3</v>
      </c>
      <c r="N24" s="7">
        <v>-3</v>
      </c>
      <c r="O24" s="4">
        <f t="shared" si="0"/>
        <v>36.500000000000007</v>
      </c>
      <c r="T24" s="8"/>
      <c r="V24" s="4">
        <v>1661.4</v>
      </c>
    </row>
    <row r="25" spans="2:22" s="4" customFormat="1" x14ac:dyDescent="0.25">
      <c r="B25" s="5"/>
      <c r="C25" s="6">
        <v>41872</v>
      </c>
      <c r="D25" s="4">
        <v>13.9</v>
      </c>
      <c r="E25" s="4">
        <v>7.1</v>
      </c>
      <c r="F25" s="4">
        <v>20.3</v>
      </c>
      <c r="J25" s="4">
        <v>0</v>
      </c>
      <c r="L25" s="4">
        <v>1.6</v>
      </c>
      <c r="N25" s="7">
        <v>-1.6</v>
      </c>
      <c r="O25" s="4">
        <f t="shared" si="0"/>
        <v>34.900000000000006</v>
      </c>
      <c r="T25" s="8"/>
      <c r="V25" s="4">
        <v>1008.9</v>
      </c>
    </row>
    <row r="26" spans="2:22" s="4" customFormat="1" x14ac:dyDescent="0.25">
      <c r="B26" s="5"/>
      <c r="C26" s="6">
        <v>41873</v>
      </c>
      <c r="D26" s="4">
        <v>15.1</v>
      </c>
      <c r="E26" s="4">
        <v>9.3000000000000007</v>
      </c>
      <c r="F26" s="4">
        <v>20.6</v>
      </c>
      <c r="J26" s="4">
        <v>0</v>
      </c>
      <c r="L26" s="4">
        <v>3</v>
      </c>
      <c r="N26" s="7">
        <v>-3</v>
      </c>
      <c r="O26" s="4">
        <f t="shared" si="0"/>
        <v>31.900000000000006</v>
      </c>
      <c r="T26" s="8"/>
      <c r="V26" s="4">
        <v>1580.8</v>
      </c>
    </row>
    <row r="27" spans="2:22" s="4" customFormat="1" x14ac:dyDescent="0.25">
      <c r="B27" s="5"/>
      <c r="C27" s="6">
        <v>41874</v>
      </c>
      <c r="D27" s="4">
        <v>14.4</v>
      </c>
      <c r="E27" s="4">
        <v>11.9</v>
      </c>
      <c r="F27" s="4">
        <v>18.3</v>
      </c>
      <c r="J27" s="4">
        <v>0</v>
      </c>
      <c r="L27" s="4">
        <v>1.9</v>
      </c>
      <c r="N27" s="7">
        <v>-1.9</v>
      </c>
      <c r="O27" s="4">
        <f t="shared" si="0"/>
        <v>30.000000000000007</v>
      </c>
      <c r="T27" s="8"/>
      <c r="V27" s="4">
        <v>985.7</v>
      </c>
    </row>
    <row r="28" spans="2:22" s="4" customFormat="1" x14ac:dyDescent="0.25">
      <c r="B28" s="5"/>
      <c r="C28" s="6">
        <v>41875</v>
      </c>
      <c r="D28" s="4">
        <v>14.5</v>
      </c>
      <c r="E28" s="4">
        <v>7.7</v>
      </c>
      <c r="F28" s="4">
        <v>19.899999999999999</v>
      </c>
      <c r="J28" s="4">
        <v>1.3</v>
      </c>
      <c r="L28" s="4">
        <v>2.1</v>
      </c>
      <c r="N28" s="7">
        <v>-0.8</v>
      </c>
      <c r="O28" s="4">
        <f t="shared" si="0"/>
        <v>29.200000000000006</v>
      </c>
      <c r="T28" s="8"/>
      <c r="V28" s="4">
        <v>1232</v>
      </c>
    </row>
    <row r="29" spans="2:22" s="4" customFormat="1" x14ac:dyDescent="0.25">
      <c r="B29" s="5"/>
      <c r="C29" s="6">
        <v>41876</v>
      </c>
      <c r="D29" s="4">
        <v>17</v>
      </c>
      <c r="E29" s="4">
        <v>12.3</v>
      </c>
      <c r="F29" s="4">
        <v>20.5</v>
      </c>
      <c r="J29" s="4">
        <v>13.1</v>
      </c>
      <c r="L29" s="4">
        <v>0.8</v>
      </c>
      <c r="N29" s="4">
        <v>12.299999999999999</v>
      </c>
      <c r="O29" s="4">
        <f t="shared" si="0"/>
        <v>41.500000000000007</v>
      </c>
      <c r="T29" s="8"/>
      <c r="V29" s="4">
        <v>434.9</v>
      </c>
    </row>
    <row r="30" spans="2:22" s="4" customFormat="1" x14ac:dyDescent="0.25">
      <c r="B30" s="5"/>
      <c r="C30" s="6">
        <v>41877</v>
      </c>
      <c r="D30" s="4">
        <v>18</v>
      </c>
      <c r="E30" s="4">
        <v>16.399999999999999</v>
      </c>
      <c r="F30" s="4">
        <v>21</v>
      </c>
      <c r="J30" s="4">
        <v>1.1000000000000001</v>
      </c>
      <c r="L30" s="4">
        <v>2.9</v>
      </c>
      <c r="N30" s="7">
        <v>-1.7999999999999998</v>
      </c>
      <c r="O30" s="4">
        <f t="shared" si="0"/>
        <v>39.70000000000001</v>
      </c>
      <c r="T30" s="8"/>
      <c r="V30" s="4">
        <v>1409.1</v>
      </c>
    </row>
    <row r="31" spans="2:22" s="4" customFormat="1" x14ac:dyDescent="0.25">
      <c r="B31" s="5"/>
      <c r="C31" s="6">
        <v>41878</v>
      </c>
      <c r="D31" s="4">
        <v>17.7</v>
      </c>
      <c r="E31" s="4">
        <v>13.6</v>
      </c>
      <c r="F31" s="4">
        <v>20.399999999999999</v>
      </c>
      <c r="J31" s="4">
        <v>0.1</v>
      </c>
      <c r="L31" s="4">
        <v>1.7</v>
      </c>
      <c r="N31" s="7">
        <v>-1.5999999999999999</v>
      </c>
      <c r="O31" s="4">
        <f t="shared" si="0"/>
        <v>38.100000000000009</v>
      </c>
      <c r="T31" s="8"/>
      <c r="V31" s="4">
        <v>1030.8</v>
      </c>
    </row>
    <row r="32" spans="2:22" s="4" customFormat="1" x14ac:dyDescent="0.25">
      <c r="B32" s="5"/>
      <c r="C32" s="6">
        <v>41879</v>
      </c>
      <c r="D32" s="4">
        <v>19.8</v>
      </c>
      <c r="E32" s="4">
        <v>16.7</v>
      </c>
      <c r="F32" s="4">
        <v>23.7</v>
      </c>
      <c r="J32" s="4">
        <v>0</v>
      </c>
      <c r="L32" s="4">
        <v>2.2999999999999998</v>
      </c>
      <c r="N32" s="7">
        <v>-2.2999999999999998</v>
      </c>
      <c r="O32" s="4">
        <f t="shared" si="0"/>
        <v>35.800000000000011</v>
      </c>
      <c r="T32" s="8"/>
      <c r="V32" s="4">
        <v>1106.8</v>
      </c>
    </row>
    <row r="33" spans="1:27" s="4" customFormat="1" x14ac:dyDescent="0.25">
      <c r="B33" s="5"/>
      <c r="C33" s="6">
        <v>41880</v>
      </c>
      <c r="D33" s="4">
        <v>17.5</v>
      </c>
      <c r="E33" s="4">
        <v>14.3</v>
      </c>
      <c r="F33" s="4">
        <v>21.7</v>
      </c>
      <c r="J33" s="4">
        <v>0.1</v>
      </c>
      <c r="L33" s="4">
        <v>2</v>
      </c>
      <c r="N33" s="7">
        <v>-1.9</v>
      </c>
      <c r="O33" s="4">
        <f t="shared" si="0"/>
        <v>33.900000000000013</v>
      </c>
      <c r="T33" s="8"/>
      <c r="V33" s="4">
        <v>992.6</v>
      </c>
    </row>
    <row r="34" spans="1:27" s="4" customFormat="1" x14ac:dyDescent="0.25">
      <c r="B34" s="5"/>
      <c r="C34" s="6">
        <v>41881</v>
      </c>
      <c r="D34" s="4">
        <v>16.600000000000001</v>
      </c>
      <c r="E34" s="4">
        <v>11.8</v>
      </c>
      <c r="F34" s="4">
        <v>21.5</v>
      </c>
      <c r="J34" s="4">
        <v>0</v>
      </c>
      <c r="L34" s="4">
        <v>1.7</v>
      </c>
      <c r="N34" s="7">
        <v>-1.7</v>
      </c>
      <c r="O34" s="4">
        <f t="shared" si="0"/>
        <v>32.20000000000001</v>
      </c>
      <c r="T34" s="8"/>
      <c r="V34" s="4">
        <v>1016.1</v>
      </c>
    </row>
    <row r="35" spans="1:27" s="4" customFormat="1" x14ac:dyDescent="0.25">
      <c r="B35" s="5"/>
      <c r="C35" s="6">
        <v>41882</v>
      </c>
      <c r="D35" s="4">
        <v>16.8</v>
      </c>
      <c r="E35" s="4">
        <v>14.5</v>
      </c>
      <c r="F35" s="4">
        <v>20.2</v>
      </c>
      <c r="J35" s="4">
        <v>0</v>
      </c>
      <c r="L35" s="4">
        <v>2.4</v>
      </c>
      <c r="N35" s="7">
        <v>-2.4</v>
      </c>
      <c r="O35" s="4">
        <f t="shared" si="0"/>
        <v>29.800000000000011</v>
      </c>
      <c r="T35" s="8"/>
      <c r="V35" s="4">
        <v>995.5</v>
      </c>
    </row>
    <row r="36" spans="1:27" s="4" customFormat="1" x14ac:dyDescent="0.25">
      <c r="B36" s="5"/>
      <c r="C36" s="6">
        <v>41883</v>
      </c>
      <c r="D36" s="4">
        <v>15.9</v>
      </c>
      <c r="E36" s="4">
        <v>10.1</v>
      </c>
      <c r="F36" s="4">
        <v>21.3</v>
      </c>
      <c r="J36" s="4">
        <v>0</v>
      </c>
      <c r="L36" s="4">
        <v>3.3</v>
      </c>
      <c r="N36" s="7">
        <v>-3.3</v>
      </c>
      <c r="O36" s="4">
        <f t="shared" si="0"/>
        <v>26.500000000000011</v>
      </c>
      <c r="T36" s="8"/>
      <c r="V36" s="4">
        <v>1868.7</v>
      </c>
    </row>
    <row r="37" spans="1:27" s="4" customFormat="1" x14ac:dyDescent="0.25">
      <c r="B37" s="5"/>
      <c r="C37" s="6">
        <v>41884</v>
      </c>
      <c r="D37" s="4">
        <v>17.399999999999999</v>
      </c>
      <c r="E37" s="4">
        <v>11.7</v>
      </c>
      <c r="F37" s="4">
        <v>23.4</v>
      </c>
      <c r="J37" s="4">
        <v>0</v>
      </c>
      <c r="L37" s="4">
        <v>2.6</v>
      </c>
      <c r="N37" s="7">
        <v>-2.6</v>
      </c>
      <c r="O37" s="4">
        <f t="shared" si="0"/>
        <v>23.900000000000009</v>
      </c>
      <c r="T37" s="8"/>
      <c r="V37" s="4">
        <v>1275.8</v>
      </c>
    </row>
    <row r="38" spans="1:27" s="4" customFormat="1" x14ac:dyDescent="0.25">
      <c r="B38" s="5"/>
      <c r="C38" s="6">
        <v>41885</v>
      </c>
      <c r="D38" s="4">
        <v>18.2</v>
      </c>
      <c r="E38" s="4">
        <v>12.8</v>
      </c>
      <c r="F38" s="4">
        <v>23.6</v>
      </c>
      <c r="J38" s="4">
        <v>0</v>
      </c>
      <c r="L38" s="4">
        <v>4.4000000000000004</v>
      </c>
      <c r="N38" s="7">
        <v>-4.4000000000000004</v>
      </c>
      <c r="O38" s="4">
        <f t="shared" si="0"/>
        <v>19.500000000000007</v>
      </c>
      <c r="T38" s="8"/>
      <c r="V38" s="4">
        <v>2289.6</v>
      </c>
    </row>
    <row r="39" spans="1:27" s="4" customFormat="1" x14ac:dyDescent="0.25">
      <c r="B39" s="5"/>
      <c r="C39" s="6">
        <v>41886</v>
      </c>
      <c r="D39" s="4">
        <v>17.3</v>
      </c>
      <c r="E39" s="4">
        <v>12.1</v>
      </c>
      <c r="F39" s="4">
        <v>22.3</v>
      </c>
      <c r="J39" s="4">
        <v>0</v>
      </c>
      <c r="L39" s="4">
        <v>2.8</v>
      </c>
      <c r="N39" s="7">
        <v>-2.8</v>
      </c>
      <c r="O39" s="4">
        <f t="shared" si="0"/>
        <v>16.700000000000006</v>
      </c>
      <c r="T39" s="8"/>
      <c r="V39" s="4">
        <v>1620.4</v>
      </c>
      <c r="AA39" s="4">
        <v>13.2663387096298</v>
      </c>
    </row>
    <row r="40" spans="1:27" s="4" customFormat="1" x14ac:dyDescent="0.25">
      <c r="B40" s="5"/>
      <c r="C40" s="6">
        <v>41887</v>
      </c>
      <c r="D40" s="4">
        <v>17.8</v>
      </c>
      <c r="E40" s="4">
        <v>11</v>
      </c>
      <c r="F40" s="4">
        <v>23.5</v>
      </c>
      <c r="J40" s="4">
        <v>0</v>
      </c>
      <c r="L40" s="4">
        <v>2.4</v>
      </c>
      <c r="N40" s="7">
        <v>-2.4</v>
      </c>
      <c r="O40" s="4">
        <f t="shared" si="0"/>
        <v>14.300000000000006</v>
      </c>
      <c r="T40" s="8"/>
      <c r="V40" s="4">
        <v>1255.5999999999999</v>
      </c>
      <c r="AA40" s="4">
        <v>13.211102106095399</v>
      </c>
    </row>
    <row r="41" spans="1:27" s="4" customFormat="1" x14ac:dyDescent="0.25">
      <c r="B41" s="5"/>
      <c r="C41" s="6">
        <v>41888</v>
      </c>
      <c r="D41" s="4">
        <v>20.3</v>
      </c>
      <c r="E41" s="4">
        <v>17.100000000000001</v>
      </c>
      <c r="F41" s="4">
        <v>24.7</v>
      </c>
      <c r="J41" s="4">
        <v>0</v>
      </c>
      <c r="L41" s="4">
        <v>1.2</v>
      </c>
      <c r="N41" s="7">
        <v>-1.2</v>
      </c>
      <c r="O41" s="4">
        <f t="shared" si="0"/>
        <v>13.100000000000007</v>
      </c>
      <c r="T41" s="8"/>
      <c r="V41" s="4">
        <v>801.6</v>
      </c>
      <c r="AA41" s="4">
        <v>13.155735795728701</v>
      </c>
    </row>
    <row r="42" spans="1:27" s="4" customFormat="1" x14ac:dyDescent="0.25">
      <c r="B42" s="5"/>
      <c r="C42" s="6">
        <v>41889</v>
      </c>
      <c r="D42" s="4">
        <v>19.8</v>
      </c>
      <c r="E42" s="4">
        <v>12.8</v>
      </c>
      <c r="F42" s="4">
        <v>26.4</v>
      </c>
      <c r="J42" s="4">
        <v>0</v>
      </c>
      <c r="L42" s="4">
        <v>3.8</v>
      </c>
      <c r="N42" s="7">
        <v>-3.8</v>
      </c>
      <c r="O42" s="4">
        <f t="shared" si="0"/>
        <v>9.3000000000000078</v>
      </c>
      <c r="T42" s="8"/>
      <c r="V42" s="4">
        <v>2056.5</v>
      </c>
      <c r="AA42" s="4">
        <v>13.1002473725603</v>
      </c>
    </row>
    <row r="43" spans="1:27" s="4" customFormat="1" x14ac:dyDescent="0.25">
      <c r="B43" s="5"/>
      <c r="C43" s="6">
        <v>41890</v>
      </c>
      <c r="D43" s="4">
        <v>20.2</v>
      </c>
      <c r="E43" s="4">
        <v>13.6</v>
      </c>
      <c r="F43" s="4">
        <v>26.8</v>
      </c>
      <c r="J43" s="4">
        <v>0</v>
      </c>
      <c r="L43" s="4">
        <v>4.2</v>
      </c>
      <c r="N43" s="7">
        <v>-4.2</v>
      </c>
      <c r="O43" s="4">
        <f t="shared" si="0"/>
        <v>5.1000000000000076</v>
      </c>
      <c r="T43" s="8">
        <v>5.0999999999999996</v>
      </c>
      <c r="V43" s="4">
        <v>1962</v>
      </c>
      <c r="AA43" s="4">
        <v>13.0446441822443</v>
      </c>
    </row>
    <row r="44" spans="1:27" s="4" customFormat="1" x14ac:dyDescent="0.25">
      <c r="A44" s="56" t="s">
        <v>25</v>
      </c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4">
        <v>12.988933336825401</v>
      </c>
    </row>
    <row r="45" spans="1:27" s="4" customFormat="1" x14ac:dyDescent="0.25">
      <c r="A45" s="57" t="s">
        <v>26</v>
      </c>
      <c r="B45" s="9"/>
      <c r="C45" s="6">
        <v>41891</v>
      </c>
      <c r="D45" s="4">
        <v>18.8</v>
      </c>
      <c r="E45" s="4">
        <v>14.5</v>
      </c>
      <c r="F45" s="4">
        <v>25.3</v>
      </c>
      <c r="G45" s="4">
        <f>D45</f>
        <v>18.8</v>
      </c>
      <c r="I45" s="10" t="s">
        <v>27</v>
      </c>
      <c r="J45" s="4">
        <v>0</v>
      </c>
      <c r="K45" s="4">
        <f>J45</f>
        <v>0</v>
      </c>
      <c r="L45" s="4">
        <v>3.3</v>
      </c>
      <c r="M45" s="4">
        <f>L45</f>
        <v>3.3</v>
      </c>
      <c r="N45" s="7">
        <v>-3.3</v>
      </c>
      <c r="O45" s="4">
        <f>O43+N45</f>
        <v>1.8000000000000078</v>
      </c>
      <c r="P45" s="4">
        <v>1</v>
      </c>
      <c r="Q45" s="4">
        <v>0.35</v>
      </c>
      <c r="R45" s="8">
        <f t="shared" ref="R45:R108" si="1">Q45*L45</f>
        <v>1.1549999999999998</v>
      </c>
      <c r="S45" s="8">
        <f t="shared" ref="S45:S108" si="2">J45-R45</f>
        <v>-1.1549999999999998</v>
      </c>
      <c r="T45" s="8">
        <f>T43+S45</f>
        <v>3.9449999999999998</v>
      </c>
      <c r="U45" s="10" t="s">
        <v>28</v>
      </c>
      <c r="V45" s="4">
        <v>1354.1</v>
      </c>
      <c r="X45" s="4">
        <f>V45</f>
        <v>1354.1</v>
      </c>
      <c r="Z45" s="10" t="s">
        <v>29</v>
      </c>
      <c r="AA45" s="4">
        <v>12.933121729611999</v>
      </c>
    </row>
    <row r="46" spans="1:27" s="4" customFormat="1" x14ac:dyDescent="0.25">
      <c r="A46" s="57"/>
      <c r="B46" s="9"/>
      <c r="C46" s="6">
        <v>41892</v>
      </c>
      <c r="D46" s="4">
        <v>16.399999999999999</v>
      </c>
      <c r="E46" s="4">
        <v>10.3</v>
      </c>
      <c r="F46" s="4">
        <v>21.7</v>
      </c>
      <c r="G46" s="4">
        <f>G45+D46</f>
        <v>35.200000000000003</v>
      </c>
      <c r="I46" s="4">
        <f>MIN(E45:E126)</f>
        <v>0.5</v>
      </c>
      <c r="J46" s="4">
        <v>0</v>
      </c>
      <c r="K46" s="4">
        <f>K45+J46</f>
        <v>0</v>
      </c>
      <c r="L46" s="4">
        <v>3.7</v>
      </c>
      <c r="M46" s="4">
        <f>M45+L46</f>
        <v>7</v>
      </c>
      <c r="N46" s="7">
        <v>-3.7</v>
      </c>
      <c r="O46" s="4">
        <v>0</v>
      </c>
      <c r="P46" s="4">
        <v>2</v>
      </c>
      <c r="Q46" s="4">
        <v>0.35</v>
      </c>
      <c r="R46" s="8">
        <f t="shared" si="1"/>
        <v>1.2949999999999999</v>
      </c>
      <c r="S46" s="8">
        <f t="shared" si="2"/>
        <v>-1.2949999999999999</v>
      </c>
      <c r="T46" s="8">
        <f>MIN(138.9,(T45+S46))</f>
        <v>2.65</v>
      </c>
      <c r="U46" s="4">
        <v>55</v>
      </c>
      <c r="V46" s="4">
        <v>2153.4</v>
      </c>
      <c r="X46" s="4">
        <f>X45+V46</f>
        <v>3507.5</v>
      </c>
      <c r="Z46" s="4">
        <v>60224.200000000004</v>
      </c>
      <c r="AA46" s="4">
        <v>12.8772160501405</v>
      </c>
    </row>
    <row r="47" spans="1:27" s="4" customFormat="1" x14ac:dyDescent="0.25">
      <c r="A47" s="57"/>
      <c r="B47" s="9"/>
      <c r="C47" s="6">
        <v>41893</v>
      </c>
      <c r="D47" s="4">
        <v>15.2</v>
      </c>
      <c r="E47" s="4">
        <v>9.6999999999999993</v>
      </c>
      <c r="F47" s="4">
        <v>20.6</v>
      </c>
      <c r="G47" s="4">
        <f t="shared" ref="G47:G110" si="3">G46+D47</f>
        <v>50.400000000000006</v>
      </c>
      <c r="I47" s="10" t="s">
        <v>30</v>
      </c>
      <c r="J47" s="4">
        <v>0</v>
      </c>
      <c r="K47" s="4">
        <f t="shared" ref="K47:K110" si="4">K46+J47</f>
        <v>0</v>
      </c>
      <c r="L47" s="4">
        <v>4</v>
      </c>
      <c r="M47" s="4">
        <f t="shared" ref="M47:M110" si="5">M46+L47</f>
        <v>11</v>
      </c>
      <c r="N47" s="7">
        <v>-4</v>
      </c>
      <c r="O47" s="4">
        <v>0</v>
      </c>
      <c r="P47" s="4">
        <v>3</v>
      </c>
      <c r="Q47" s="4">
        <v>0.35</v>
      </c>
      <c r="R47" s="8">
        <f t="shared" si="1"/>
        <v>1.4</v>
      </c>
      <c r="S47" s="8">
        <f t="shared" si="2"/>
        <v>-1.4</v>
      </c>
      <c r="T47" s="8">
        <f t="shared" ref="T47:T110" si="6">MIN(138.9,(T46+S47))</f>
        <v>1.25</v>
      </c>
      <c r="U47" s="10" t="s">
        <v>31</v>
      </c>
      <c r="V47" s="4">
        <v>2186.8000000000002</v>
      </c>
      <c r="X47" s="4">
        <f t="shared" ref="X47:X110" si="7">X46+V47</f>
        <v>5694.3</v>
      </c>
      <c r="Z47" s="10" t="s">
        <v>32</v>
      </c>
      <c r="AA47" s="4">
        <v>12.8212227992249</v>
      </c>
    </row>
    <row r="48" spans="1:27" s="4" customFormat="1" x14ac:dyDescent="0.25">
      <c r="A48" s="57"/>
      <c r="B48" s="9"/>
      <c r="C48" s="6">
        <v>41894</v>
      </c>
      <c r="D48" s="4">
        <v>15.9</v>
      </c>
      <c r="E48" s="4">
        <v>10.8</v>
      </c>
      <c r="F48" s="4">
        <v>20.9</v>
      </c>
      <c r="G48" s="4">
        <f t="shared" si="3"/>
        <v>66.300000000000011</v>
      </c>
      <c r="I48" s="4">
        <f>MAX(F45:F126)</f>
        <v>26.9</v>
      </c>
      <c r="J48" s="4">
        <v>0</v>
      </c>
      <c r="K48" s="4">
        <f t="shared" si="4"/>
        <v>0</v>
      </c>
      <c r="L48" s="4">
        <v>4</v>
      </c>
      <c r="M48" s="4">
        <f t="shared" si="5"/>
        <v>15</v>
      </c>
      <c r="N48" s="7">
        <v>-4</v>
      </c>
      <c r="O48" s="4">
        <v>0</v>
      </c>
      <c r="P48" s="4">
        <v>4</v>
      </c>
      <c r="Q48" s="4">
        <v>0.35</v>
      </c>
      <c r="R48" s="8">
        <f t="shared" si="1"/>
        <v>1.4</v>
      </c>
      <c r="S48" s="8">
        <f t="shared" si="2"/>
        <v>-1.4</v>
      </c>
      <c r="T48" s="8">
        <v>0</v>
      </c>
      <c r="U48" s="4">
        <v>8</v>
      </c>
      <c r="V48" s="4">
        <v>2056.6</v>
      </c>
      <c r="X48" s="4">
        <f t="shared" si="7"/>
        <v>7750.9</v>
      </c>
      <c r="Z48" s="11">
        <f>(Z46/100)/I58</f>
        <v>0.56644281414597442</v>
      </c>
      <c r="AA48" s="4">
        <v>12.765148304082</v>
      </c>
    </row>
    <row r="49" spans="1:27" s="4" customFormat="1" x14ac:dyDescent="0.25">
      <c r="A49" s="57"/>
      <c r="B49" s="9"/>
      <c r="C49" s="6">
        <v>41895</v>
      </c>
      <c r="D49" s="4">
        <v>17.399999999999999</v>
      </c>
      <c r="E49" s="4">
        <v>11.1</v>
      </c>
      <c r="F49" s="4">
        <v>22.6</v>
      </c>
      <c r="G49" s="4">
        <f t="shared" si="3"/>
        <v>83.700000000000017</v>
      </c>
      <c r="I49" s="10" t="s">
        <v>33</v>
      </c>
      <c r="J49" s="4">
        <v>0</v>
      </c>
      <c r="K49" s="4">
        <f t="shared" si="4"/>
        <v>0</v>
      </c>
      <c r="L49" s="4">
        <v>2.2000000000000002</v>
      </c>
      <c r="M49" s="4">
        <f t="shared" si="5"/>
        <v>17.2</v>
      </c>
      <c r="N49" s="7">
        <v>-2.2000000000000002</v>
      </c>
      <c r="O49" s="4">
        <v>0</v>
      </c>
      <c r="P49" s="4">
        <v>5</v>
      </c>
      <c r="Q49" s="4">
        <v>0.35</v>
      </c>
      <c r="R49" s="8">
        <f t="shared" si="1"/>
        <v>0.77</v>
      </c>
      <c r="S49" s="8">
        <f t="shared" si="2"/>
        <v>-0.77</v>
      </c>
      <c r="T49" s="8">
        <v>0</v>
      </c>
      <c r="U49" s="10" t="s">
        <v>34</v>
      </c>
      <c r="V49" s="4">
        <v>1068.7</v>
      </c>
      <c r="X49" s="4">
        <f t="shared" si="7"/>
        <v>8819.6</v>
      </c>
      <c r="Z49" s="10" t="s">
        <v>35</v>
      </c>
      <c r="AA49" s="4">
        <v>12.708998733528301</v>
      </c>
    </row>
    <row r="50" spans="1:27" s="4" customFormat="1" x14ac:dyDescent="0.25">
      <c r="A50" s="57"/>
      <c r="B50" s="9"/>
      <c r="C50" s="6">
        <v>41896</v>
      </c>
      <c r="D50" s="4">
        <v>18.3</v>
      </c>
      <c r="E50" s="4">
        <v>13.8</v>
      </c>
      <c r="F50" s="4">
        <v>22.9</v>
      </c>
      <c r="G50" s="4">
        <f t="shared" si="3"/>
        <v>102.00000000000001</v>
      </c>
      <c r="I50" s="4">
        <f>AVERAGE(D45:D126)</f>
        <v>12.965853658536583</v>
      </c>
      <c r="J50" s="4">
        <v>0</v>
      </c>
      <c r="K50" s="4">
        <f t="shared" si="4"/>
        <v>0</v>
      </c>
      <c r="L50" s="4">
        <v>3.3</v>
      </c>
      <c r="M50" s="4">
        <f t="shared" si="5"/>
        <v>20.5</v>
      </c>
      <c r="N50" s="7">
        <v>-3.3</v>
      </c>
      <c r="O50" s="4">
        <v>0</v>
      </c>
      <c r="P50" s="4">
        <v>6</v>
      </c>
      <c r="Q50" s="4">
        <v>0.35</v>
      </c>
      <c r="R50" s="8">
        <f t="shared" si="1"/>
        <v>1.1549999999999998</v>
      </c>
      <c r="S50" s="8">
        <f t="shared" si="2"/>
        <v>-1.1549999999999998</v>
      </c>
      <c r="T50" s="8">
        <v>0</v>
      </c>
      <c r="U50" s="4">
        <v>21</v>
      </c>
      <c r="V50" s="4">
        <v>1715.3</v>
      </c>
      <c r="X50" s="4">
        <f t="shared" si="7"/>
        <v>10534.9</v>
      </c>
      <c r="Z50" s="4">
        <v>57</v>
      </c>
      <c r="AA50" s="4">
        <v>12.652780113243701</v>
      </c>
    </row>
    <row r="51" spans="1:27" s="4" customFormat="1" x14ac:dyDescent="0.25">
      <c r="A51" s="57"/>
      <c r="B51" s="9"/>
      <c r="C51" s="6">
        <v>41897</v>
      </c>
      <c r="D51" s="4">
        <v>18.8</v>
      </c>
      <c r="E51" s="4">
        <v>13</v>
      </c>
      <c r="F51" s="4">
        <v>25.2</v>
      </c>
      <c r="G51" s="4">
        <f t="shared" si="3"/>
        <v>120.80000000000001</v>
      </c>
      <c r="I51" s="10" t="s">
        <v>36</v>
      </c>
      <c r="J51" s="4">
        <v>0</v>
      </c>
      <c r="K51" s="4">
        <f t="shared" si="4"/>
        <v>0</v>
      </c>
      <c r="L51" s="4">
        <v>3.6</v>
      </c>
      <c r="M51" s="4">
        <f t="shared" si="5"/>
        <v>24.1</v>
      </c>
      <c r="N51" s="7">
        <v>-3.6</v>
      </c>
      <c r="O51" s="4">
        <v>0</v>
      </c>
      <c r="P51" s="4">
        <v>7</v>
      </c>
      <c r="Q51" s="4">
        <v>0.35</v>
      </c>
      <c r="R51" s="8">
        <f t="shared" si="1"/>
        <v>1.26</v>
      </c>
      <c r="S51" s="8">
        <f t="shared" si="2"/>
        <v>-1.26</v>
      </c>
      <c r="T51" s="8">
        <v>0</v>
      </c>
      <c r="U51" s="10" t="s">
        <v>37</v>
      </c>
      <c r="V51" s="4">
        <v>1886.3</v>
      </c>
      <c r="X51" s="4">
        <f t="shared" si="7"/>
        <v>12421.199999999999</v>
      </c>
      <c r="AA51" s="4">
        <v>12.5964983411</v>
      </c>
    </row>
    <row r="52" spans="1:27" s="4" customFormat="1" x14ac:dyDescent="0.25">
      <c r="A52" s="57"/>
      <c r="B52" s="9"/>
      <c r="C52" s="6">
        <v>41898</v>
      </c>
      <c r="D52" s="4">
        <v>19.899999999999999</v>
      </c>
      <c r="E52" s="4">
        <v>12.3</v>
      </c>
      <c r="F52" s="4">
        <v>26.9</v>
      </c>
      <c r="G52" s="4">
        <f t="shared" si="3"/>
        <v>140.70000000000002</v>
      </c>
      <c r="I52" s="4">
        <v>0</v>
      </c>
      <c r="J52" s="4">
        <v>0</v>
      </c>
      <c r="K52" s="4">
        <f t="shared" si="4"/>
        <v>0</v>
      </c>
      <c r="L52" s="4">
        <v>3.5</v>
      </c>
      <c r="M52" s="4">
        <f t="shared" si="5"/>
        <v>27.6</v>
      </c>
      <c r="N52" s="7">
        <v>-3.5</v>
      </c>
      <c r="O52" s="4">
        <v>0</v>
      </c>
      <c r="P52" s="4">
        <v>8</v>
      </c>
      <c r="Q52" s="4">
        <v>0.35</v>
      </c>
      <c r="R52" s="8">
        <f t="shared" si="1"/>
        <v>1.2249999999999999</v>
      </c>
      <c r="S52" s="8">
        <f t="shared" si="2"/>
        <v>-1.2249999999999999</v>
      </c>
      <c r="T52" s="8">
        <v>0</v>
      </c>
      <c r="U52" s="8">
        <v>0</v>
      </c>
      <c r="V52" s="4">
        <v>1796</v>
      </c>
      <c r="X52" s="4">
        <f t="shared" si="7"/>
        <v>14217.199999999999</v>
      </c>
      <c r="AA52" s="4">
        <v>12.540159202552699</v>
      </c>
    </row>
    <row r="53" spans="1:27" s="4" customFormat="1" x14ac:dyDescent="0.25">
      <c r="A53" s="57"/>
      <c r="B53" s="9"/>
      <c r="C53" s="6">
        <v>41899</v>
      </c>
      <c r="D53" s="4">
        <v>20.100000000000001</v>
      </c>
      <c r="E53" s="4">
        <v>16.2</v>
      </c>
      <c r="F53" s="4">
        <v>25.2</v>
      </c>
      <c r="G53" s="4">
        <f t="shared" si="3"/>
        <v>160.80000000000001</v>
      </c>
      <c r="I53" s="10" t="s">
        <v>38</v>
      </c>
      <c r="J53" s="4">
        <v>0.1</v>
      </c>
      <c r="K53" s="4">
        <f t="shared" si="4"/>
        <v>0.1</v>
      </c>
      <c r="L53" s="4">
        <v>1.9</v>
      </c>
      <c r="M53" s="4">
        <f t="shared" si="5"/>
        <v>29.5</v>
      </c>
      <c r="N53" s="7">
        <v>-1.7999999999999998</v>
      </c>
      <c r="O53" s="4">
        <v>0</v>
      </c>
      <c r="P53" s="4">
        <v>9</v>
      </c>
      <c r="Q53" s="4">
        <f>0.35+((P53-8)/74)*(1-0.35)</f>
        <v>0.35878378378378378</v>
      </c>
      <c r="R53" s="8">
        <f t="shared" si="1"/>
        <v>0.68168918918918919</v>
      </c>
      <c r="S53" s="8">
        <f t="shared" si="2"/>
        <v>-0.58168918918918922</v>
      </c>
      <c r="T53" s="8">
        <v>0</v>
      </c>
      <c r="U53" s="10" t="s">
        <v>39</v>
      </c>
      <c r="V53" s="4">
        <v>974.7</v>
      </c>
      <c r="X53" s="4">
        <f t="shared" si="7"/>
        <v>15191.9</v>
      </c>
      <c r="AA53" s="4">
        <v>12.4837683860955</v>
      </c>
    </row>
    <row r="54" spans="1:27" s="4" customFormat="1" x14ac:dyDescent="0.25">
      <c r="A54" s="57"/>
      <c r="B54" s="9"/>
      <c r="C54" s="6">
        <v>41900</v>
      </c>
      <c r="D54" s="4">
        <v>18.600000000000001</v>
      </c>
      <c r="E54" s="4">
        <v>15.3</v>
      </c>
      <c r="F54" s="4">
        <v>23</v>
      </c>
      <c r="G54" s="4">
        <f t="shared" si="3"/>
        <v>179.4</v>
      </c>
      <c r="I54" s="4">
        <v>4</v>
      </c>
      <c r="J54" s="4">
        <v>0.2</v>
      </c>
      <c r="K54" s="4">
        <f t="shared" si="4"/>
        <v>0.30000000000000004</v>
      </c>
      <c r="L54" s="4">
        <v>1.2</v>
      </c>
      <c r="M54" s="4">
        <f t="shared" si="5"/>
        <v>30.7</v>
      </c>
      <c r="N54" s="7">
        <v>-1</v>
      </c>
      <c r="O54" s="4">
        <v>0</v>
      </c>
      <c r="P54" s="4">
        <v>10</v>
      </c>
      <c r="Q54" s="4">
        <f t="shared" ref="Q54:Q117" si="8">0.35+((P54-8)/74)*(1-0.35)</f>
        <v>0.36756756756756753</v>
      </c>
      <c r="R54" s="8">
        <f t="shared" si="1"/>
        <v>0.44108108108108102</v>
      </c>
      <c r="S54" s="8">
        <f t="shared" si="2"/>
        <v>-0.24108108108108101</v>
      </c>
      <c r="T54" s="8">
        <v>0</v>
      </c>
      <c r="U54" s="8">
        <f>MAX(T45:T126)</f>
        <v>109.97114864864865</v>
      </c>
      <c r="V54" s="4">
        <v>585.6</v>
      </c>
      <c r="X54" s="4">
        <f t="shared" si="7"/>
        <v>15777.5</v>
      </c>
      <c r="AA54" s="4">
        <v>12.4273314987796</v>
      </c>
    </row>
    <row r="55" spans="1:27" s="4" customFormat="1" x14ac:dyDescent="0.25">
      <c r="A55" s="57"/>
      <c r="B55" s="9"/>
      <c r="C55" s="6">
        <v>41901</v>
      </c>
      <c r="D55" s="4">
        <v>16.399999999999999</v>
      </c>
      <c r="E55" s="4">
        <v>12.6</v>
      </c>
      <c r="F55" s="4">
        <v>19.600000000000001</v>
      </c>
      <c r="G55" s="4">
        <f t="shared" si="3"/>
        <v>195.8</v>
      </c>
      <c r="I55" s="10" t="s">
        <v>40</v>
      </c>
      <c r="J55" s="4">
        <v>1.8</v>
      </c>
      <c r="K55" s="4">
        <f t="shared" si="4"/>
        <v>2.1</v>
      </c>
      <c r="L55" s="4">
        <v>1.1000000000000001</v>
      </c>
      <c r="M55" s="4">
        <f t="shared" si="5"/>
        <v>31.8</v>
      </c>
      <c r="N55" s="4">
        <v>0.7</v>
      </c>
      <c r="O55" s="4">
        <f>O54+N55</f>
        <v>0.7</v>
      </c>
      <c r="P55" s="4">
        <v>11</v>
      </c>
      <c r="Q55" s="4">
        <f t="shared" si="8"/>
        <v>0.37635135135135134</v>
      </c>
      <c r="R55" s="8">
        <f t="shared" si="1"/>
        <v>0.4139864864864865</v>
      </c>
      <c r="S55" s="8">
        <f t="shared" si="2"/>
        <v>1.3860135135135137</v>
      </c>
      <c r="T55" s="8">
        <f t="shared" si="6"/>
        <v>1.3860135135135137</v>
      </c>
      <c r="U55" s="10" t="s">
        <v>41</v>
      </c>
      <c r="V55" s="4">
        <v>540.70000000000005</v>
      </c>
      <c r="X55" s="4">
        <f t="shared" si="7"/>
        <v>16318.2</v>
      </c>
      <c r="AA55" s="4">
        <v>12.370854081798599</v>
      </c>
    </row>
    <row r="56" spans="1:27" s="4" customFormat="1" x14ac:dyDescent="0.25">
      <c r="A56" s="57"/>
      <c r="B56" s="9"/>
      <c r="C56" s="6">
        <v>41902</v>
      </c>
      <c r="D56" s="4">
        <v>17.899999999999999</v>
      </c>
      <c r="E56" s="4">
        <v>14.8</v>
      </c>
      <c r="F56" s="4">
        <v>21.5</v>
      </c>
      <c r="G56" s="4">
        <f t="shared" si="3"/>
        <v>213.70000000000002</v>
      </c>
      <c r="I56" s="4">
        <v>6</v>
      </c>
      <c r="J56" s="4">
        <v>0.8</v>
      </c>
      <c r="K56" s="4">
        <f t="shared" si="4"/>
        <v>2.9000000000000004</v>
      </c>
      <c r="L56" s="4">
        <v>0.8</v>
      </c>
      <c r="M56" s="4">
        <f t="shared" si="5"/>
        <v>32.6</v>
      </c>
      <c r="N56" s="7">
        <v>0</v>
      </c>
      <c r="O56" s="4">
        <f>O55+N56</f>
        <v>0.7</v>
      </c>
      <c r="P56" s="4">
        <v>12</v>
      </c>
      <c r="Q56" s="4">
        <f t="shared" si="8"/>
        <v>0.38513513513513509</v>
      </c>
      <c r="R56" s="8">
        <f t="shared" si="1"/>
        <v>0.30810810810810807</v>
      </c>
      <c r="S56" s="8">
        <f t="shared" si="2"/>
        <v>0.49189189189189197</v>
      </c>
      <c r="T56" s="8">
        <f t="shared" si="6"/>
        <v>1.8779054054054056</v>
      </c>
      <c r="U56" s="11">
        <f>AVERAGE(T45:T126)</f>
        <v>52.984108437705999</v>
      </c>
      <c r="V56" s="4">
        <v>483.2</v>
      </c>
      <c r="X56" s="4">
        <f t="shared" si="7"/>
        <v>16801.400000000001</v>
      </c>
      <c r="AA56" s="4">
        <v>12.3143416261419</v>
      </c>
    </row>
    <row r="57" spans="1:27" s="4" customFormat="1" x14ac:dyDescent="0.25">
      <c r="A57" s="57"/>
      <c r="B57" s="9"/>
      <c r="C57" s="6">
        <v>41903</v>
      </c>
      <c r="D57" s="4">
        <v>17</v>
      </c>
      <c r="E57" s="4">
        <v>14.6</v>
      </c>
      <c r="F57" s="4">
        <v>21.8</v>
      </c>
      <c r="G57" s="4">
        <f t="shared" si="3"/>
        <v>230.70000000000002</v>
      </c>
      <c r="I57" s="10" t="s">
        <v>42</v>
      </c>
      <c r="J57" s="4">
        <v>6</v>
      </c>
      <c r="K57" s="4">
        <f t="shared" si="4"/>
        <v>8.9</v>
      </c>
      <c r="L57" s="4">
        <v>1.3</v>
      </c>
      <c r="M57" s="4">
        <f t="shared" si="5"/>
        <v>33.9</v>
      </c>
      <c r="N57" s="4">
        <v>4.7</v>
      </c>
      <c r="O57" s="4">
        <f>O56+N57</f>
        <v>5.4</v>
      </c>
      <c r="P57" s="4">
        <v>13</v>
      </c>
      <c r="Q57" s="4">
        <f t="shared" si="8"/>
        <v>0.39391891891891889</v>
      </c>
      <c r="R57" s="8">
        <f t="shared" si="1"/>
        <v>0.51209459459459461</v>
      </c>
      <c r="S57" s="8">
        <f t="shared" si="2"/>
        <v>5.4879054054054057</v>
      </c>
      <c r="T57" s="8">
        <f t="shared" si="6"/>
        <v>7.3658108108108111</v>
      </c>
      <c r="V57" s="4">
        <v>677.4</v>
      </c>
      <c r="X57" s="4">
        <f t="shared" si="7"/>
        <v>17478.800000000003</v>
      </c>
      <c r="AA57" s="4">
        <v>12.257799588320299</v>
      </c>
    </row>
    <row r="58" spans="1:27" s="4" customFormat="1" x14ac:dyDescent="0.25">
      <c r="A58" s="57"/>
      <c r="B58" s="9"/>
      <c r="C58" s="6">
        <v>41904</v>
      </c>
      <c r="D58" s="4">
        <v>12.9</v>
      </c>
      <c r="E58" s="4">
        <v>9.1999999999999993</v>
      </c>
      <c r="F58" s="4">
        <v>17.7</v>
      </c>
      <c r="G58" s="4">
        <f t="shared" si="3"/>
        <v>243.60000000000002</v>
      </c>
      <c r="I58" s="4">
        <v>1063.2</v>
      </c>
      <c r="J58" s="4">
        <v>0</v>
      </c>
      <c r="K58" s="4">
        <f t="shared" si="4"/>
        <v>8.9</v>
      </c>
      <c r="L58" s="4">
        <v>2.1</v>
      </c>
      <c r="M58" s="4">
        <f t="shared" si="5"/>
        <v>36</v>
      </c>
      <c r="N58" s="7">
        <v>-2.1</v>
      </c>
      <c r="O58" s="4">
        <f>O57+N58</f>
        <v>3.3000000000000003</v>
      </c>
      <c r="P58" s="4">
        <v>14</v>
      </c>
      <c r="Q58" s="4">
        <f t="shared" si="8"/>
        <v>0.4027027027027027</v>
      </c>
      <c r="R58" s="8">
        <f t="shared" si="1"/>
        <v>0.8456756756756757</v>
      </c>
      <c r="S58" s="8">
        <f t="shared" si="2"/>
        <v>-0.8456756756756757</v>
      </c>
      <c r="T58" s="8">
        <f t="shared" si="6"/>
        <v>6.5201351351351358</v>
      </c>
      <c r="U58" s="8">
        <f>(U56*100)/138.9</f>
        <v>38.145506434633546</v>
      </c>
      <c r="V58" s="4">
        <v>1320.4</v>
      </c>
      <c r="X58" s="4">
        <f t="shared" si="7"/>
        <v>18799.200000000004</v>
      </c>
      <c r="AA58" s="4">
        <v>12.2012334061661</v>
      </c>
    </row>
    <row r="59" spans="1:27" s="4" customFormat="1" x14ac:dyDescent="0.25">
      <c r="A59" s="57"/>
      <c r="B59" s="9"/>
      <c r="C59" s="6">
        <v>41905</v>
      </c>
      <c r="D59" s="4">
        <v>12.5</v>
      </c>
      <c r="E59" s="4">
        <v>8.6</v>
      </c>
      <c r="F59" s="4">
        <v>17.100000000000001</v>
      </c>
      <c r="G59" s="4">
        <f t="shared" si="3"/>
        <v>256.10000000000002</v>
      </c>
      <c r="J59" s="4">
        <v>0</v>
      </c>
      <c r="K59" s="4">
        <f t="shared" si="4"/>
        <v>8.9</v>
      </c>
      <c r="L59" s="4">
        <v>2.7</v>
      </c>
      <c r="M59" s="4">
        <f t="shared" si="5"/>
        <v>38.700000000000003</v>
      </c>
      <c r="N59" s="7">
        <v>-2.7</v>
      </c>
      <c r="O59" s="4">
        <f>O58+N59</f>
        <v>0.60000000000000009</v>
      </c>
      <c r="P59" s="4">
        <v>15</v>
      </c>
      <c r="Q59" s="4">
        <f t="shared" si="8"/>
        <v>0.41148648648648645</v>
      </c>
      <c r="R59" s="8">
        <f t="shared" si="1"/>
        <v>1.1110135135135135</v>
      </c>
      <c r="S59" s="8">
        <f t="shared" si="2"/>
        <v>-1.1110135135135135</v>
      </c>
      <c r="T59" s="8">
        <f t="shared" si="6"/>
        <v>5.4091216216216225</v>
      </c>
      <c r="V59" s="4">
        <v>1587</v>
      </c>
      <c r="X59" s="4">
        <f t="shared" si="7"/>
        <v>20386.200000000004</v>
      </c>
      <c r="AA59" s="4">
        <v>12.1446485147136</v>
      </c>
    </row>
    <row r="60" spans="1:27" s="4" customFormat="1" x14ac:dyDescent="0.25">
      <c r="A60" s="57"/>
      <c r="B60" s="9"/>
      <c r="C60" s="6">
        <v>41906</v>
      </c>
      <c r="D60" s="4">
        <v>11.7</v>
      </c>
      <c r="E60" s="4">
        <v>5.8</v>
      </c>
      <c r="F60" s="4">
        <v>18.100000000000001</v>
      </c>
      <c r="G60" s="4">
        <f t="shared" si="3"/>
        <v>267.8</v>
      </c>
      <c r="J60" s="4">
        <v>1.3</v>
      </c>
      <c r="K60" s="4">
        <f t="shared" si="4"/>
        <v>10.200000000000001</v>
      </c>
      <c r="L60" s="4">
        <v>2.4</v>
      </c>
      <c r="M60" s="4">
        <f t="shared" si="5"/>
        <v>41.1</v>
      </c>
      <c r="N60" s="7">
        <v>-1.0999999999999999</v>
      </c>
      <c r="O60" s="4">
        <v>0</v>
      </c>
      <c r="P60" s="4">
        <v>16</v>
      </c>
      <c r="Q60" s="4">
        <f t="shared" si="8"/>
        <v>0.42027027027027025</v>
      </c>
      <c r="R60" s="8">
        <f t="shared" si="1"/>
        <v>1.0086486486486486</v>
      </c>
      <c r="S60" s="8">
        <f t="shared" si="2"/>
        <v>0.29135135135135148</v>
      </c>
      <c r="T60" s="8">
        <f t="shared" si="6"/>
        <v>5.7004729729729737</v>
      </c>
      <c r="V60" s="4">
        <v>1397.8</v>
      </c>
      <c r="X60" s="4">
        <f t="shared" si="7"/>
        <v>21784.000000000004</v>
      </c>
      <c r="AA60" s="4">
        <v>12.0880503621631</v>
      </c>
    </row>
    <row r="61" spans="1:27" s="4" customFormat="1" x14ac:dyDescent="0.25">
      <c r="A61" s="57"/>
      <c r="B61" s="9"/>
      <c r="C61" s="6">
        <v>41907</v>
      </c>
      <c r="D61" s="4">
        <v>12.2</v>
      </c>
      <c r="E61" s="4">
        <v>5.9</v>
      </c>
      <c r="F61" s="4">
        <v>18.899999999999999</v>
      </c>
      <c r="G61" s="4">
        <f t="shared" si="3"/>
        <v>280</v>
      </c>
      <c r="J61" s="4">
        <v>0.1</v>
      </c>
      <c r="K61" s="4">
        <f t="shared" si="4"/>
        <v>10.3</v>
      </c>
      <c r="L61" s="4">
        <v>2.1</v>
      </c>
      <c r="M61" s="4">
        <f t="shared" si="5"/>
        <v>43.2</v>
      </c>
      <c r="N61" s="7">
        <v>-2</v>
      </c>
      <c r="O61" s="4">
        <v>0</v>
      </c>
      <c r="P61" s="4">
        <v>17</v>
      </c>
      <c r="Q61" s="4">
        <f t="shared" si="8"/>
        <v>0.42905405405405406</v>
      </c>
      <c r="R61" s="8">
        <f t="shared" si="1"/>
        <v>0.90101351351351355</v>
      </c>
      <c r="S61" s="8">
        <f t="shared" si="2"/>
        <v>-0.80101351351351358</v>
      </c>
      <c r="T61" s="8">
        <f t="shared" si="6"/>
        <v>4.89945945945946</v>
      </c>
      <c r="V61" s="4">
        <v>1184.8</v>
      </c>
      <c r="X61" s="4">
        <f t="shared" si="7"/>
        <v>22968.800000000003</v>
      </c>
      <c r="AA61" s="4">
        <v>12.0314444259325</v>
      </c>
    </row>
    <row r="62" spans="1:27" s="4" customFormat="1" x14ac:dyDescent="0.25">
      <c r="A62" s="57"/>
      <c r="B62" s="9"/>
      <c r="C62" s="6">
        <v>41908</v>
      </c>
      <c r="D62" s="4">
        <v>13.3</v>
      </c>
      <c r="E62" s="4">
        <v>5.0999999999999996</v>
      </c>
      <c r="F62" s="4">
        <v>21.8</v>
      </c>
      <c r="G62" s="4">
        <f t="shared" si="3"/>
        <v>293.3</v>
      </c>
      <c r="J62" s="4">
        <v>0</v>
      </c>
      <c r="K62" s="4">
        <f t="shared" si="4"/>
        <v>10.3</v>
      </c>
      <c r="L62" s="4">
        <v>3.1</v>
      </c>
      <c r="M62" s="4">
        <f t="shared" si="5"/>
        <v>46.300000000000004</v>
      </c>
      <c r="N62" s="7">
        <v>-3.1</v>
      </c>
      <c r="O62" s="4">
        <v>0</v>
      </c>
      <c r="P62" s="4">
        <v>18</v>
      </c>
      <c r="Q62" s="4">
        <f t="shared" si="8"/>
        <v>0.43783783783783781</v>
      </c>
      <c r="R62" s="8">
        <f t="shared" si="1"/>
        <v>1.3572972972972972</v>
      </c>
      <c r="S62" s="8">
        <f t="shared" si="2"/>
        <v>-1.3572972972972972</v>
      </c>
      <c r="T62" s="8">
        <f t="shared" si="6"/>
        <v>3.5421621621621631</v>
      </c>
      <c r="V62" s="4">
        <v>1758.2</v>
      </c>
      <c r="X62" s="4">
        <f t="shared" si="7"/>
        <v>24727.000000000004</v>
      </c>
      <c r="AA62" s="4">
        <v>11.9748362288019</v>
      </c>
    </row>
    <row r="63" spans="1:27" s="4" customFormat="1" x14ac:dyDescent="0.25">
      <c r="A63" s="57"/>
      <c r="B63" s="9"/>
      <c r="C63" s="6">
        <v>41909</v>
      </c>
      <c r="D63" s="4">
        <v>16.100000000000001</v>
      </c>
      <c r="E63" s="4">
        <v>9.5</v>
      </c>
      <c r="F63" s="4">
        <v>22.8</v>
      </c>
      <c r="G63" s="4">
        <f t="shared" si="3"/>
        <v>309.40000000000003</v>
      </c>
      <c r="J63" s="4">
        <v>0</v>
      </c>
      <c r="K63" s="4">
        <f t="shared" si="4"/>
        <v>10.3</v>
      </c>
      <c r="L63" s="4">
        <v>3.3</v>
      </c>
      <c r="M63" s="4">
        <f t="shared" si="5"/>
        <v>49.6</v>
      </c>
      <c r="N63" s="7">
        <v>-3.3</v>
      </c>
      <c r="O63" s="4">
        <v>0</v>
      </c>
      <c r="P63" s="4">
        <v>19</v>
      </c>
      <c r="Q63" s="4">
        <f t="shared" si="8"/>
        <v>0.44662162162162161</v>
      </c>
      <c r="R63" s="8">
        <f t="shared" si="1"/>
        <v>1.4738513513513511</v>
      </c>
      <c r="S63" s="8">
        <f t="shared" si="2"/>
        <v>-1.4738513513513511</v>
      </c>
      <c r="T63" s="8">
        <f t="shared" si="6"/>
        <v>2.0683108108108117</v>
      </c>
      <c r="V63" s="4">
        <v>1667.9</v>
      </c>
      <c r="X63" s="4">
        <f t="shared" si="7"/>
        <v>26394.900000000005</v>
      </c>
      <c r="AA63" s="4">
        <v>11.9182313551541</v>
      </c>
    </row>
    <row r="64" spans="1:27" s="4" customFormat="1" x14ac:dyDescent="0.25">
      <c r="A64" s="57"/>
      <c r="B64" s="9"/>
      <c r="C64" s="6">
        <v>41910</v>
      </c>
      <c r="D64" s="4">
        <v>16.5</v>
      </c>
      <c r="E64" s="4">
        <v>10.1</v>
      </c>
      <c r="F64" s="4">
        <v>23.3</v>
      </c>
      <c r="G64" s="4">
        <f t="shared" si="3"/>
        <v>325.90000000000003</v>
      </c>
      <c r="J64" s="4">
        <v>1.8</v>
      </c>
      <c r="K64" s="4">
        <f t="shared" si="4"/>
        <v>12.100000000000001</v>
      </c>
      <c r="L64" s="4">
        <v>1.8</v>
      </c>
      <c r="M64" s="4">
        <f t="shared" si="5"/>
        <v>51.4</v>
      </c>
      <c r="N64" s="7">
        <v>0</v>
      </c>
      <c r="O64" s="4">
        <f>O63+N64</f>
        <v>0</v>
      </c>
      <c r="P64" s="4">
        <v>20</v>
      </c>
      <c r="Q64" s="4">
        <f t="shared" si="8"/>
        <v>0.45540540540540542</v>
      </c>
      <c r="R64" s="8">
        <f t="shared" si="1"/>
        <v>0.81972972972972979</v>
      </c>
      <c r="S64" s="8">
        <f t="shared" si="2"/>
        <v>0.98027027027027025</v>
      </c>
      <c r="T64" s="8">
        <f t="shared" si="6"/>
        <v>3.0485810810810818</v>
      </c>
      <c r="V64" s="4">
        <v>988.2</v>
      </c>
      <c r="X64" s="4">
        <f t="shared" si="7"/>
        <v>27383.100000000006</v>
      </c>
      <c r="AA64" s="4">
        <v>11.861635467316299</v>
      </c>
    </row>
    <row r="65" spans="1:27" s="4" customFormat="1" x14ac:dyDescent="0.25">
      <c r="A65" s="57"/>
      <c r="B65" s="9"/>
      <c r="C65" s="6">
        <v>41911</v>
      </c>
      <c r="D65" s="4">
        <v>16.899999999999999</v>
      </c>
      <c r="E65" s="4">
        <v>16</v>
      </c>
      <c r="F65" s="4">
        <v>20.2</v>
      </c>
      <c r="G65" s="4">
        <f t="shared" si="3"/>
        <v>342.8</v>
      </c>
      <c r="J65" s="4">
        <v>0.3</v>
      </c>
      <c r="K65" s="4">
        <f t="shared" si="4"/>
        <v>12.400000000000002</v>
      </c>
      <c r="L65" s="4">
        <v>0.9</v>
      </c>
      <c r="M65" s="4">
        <f t="shared" si="5"/>
        <v>52.3</v>
      </c>
      <c r="N65" s="7">
        <v>-0.60000000000000009</v>
      </c>
      <c r="O65" s="4">
        <v>0</v>
      </c>
      <c r="P65" s="4">
        <v>21</v>
      </c>
      <c r="Q65" s="4">
        <f t="shared" si="8"/>
        <v>0.46418918918918917</v>
      </c>
      <c r="R65" s="8">
        <f t="shared" si="1"/>
        <v>0.41777027027027025</v>
      </c>
      <c r="S65" s="8">
        <f t="shared" si="2"/>
        <v>-0.11777027027027026</v>
      </c>
      <c r="T65" s="8">
        <f t="shared" si="6"/>
        <v>2.9308108108108115</v>
      </c>
      <c r="V65" s="4">
        <v>305.60000000000002</v>
      </c>
      <c r="X65" s="4">
        <f t="shared" si="7"/>
        <v>27688.700000000004</v>
      </c>
      <c r="AA65" s="4">
        <v>11.8050543220041</v>
      </c>
    </row>
    <row r="66" spans="1:27" s="4" customFormat="1" x14ac:dyDescent="0.25">
      <c r="A66" s="57"/>
      <c r="B66" s="9"/>
      <c r="C66" s="6">
        <v>41912</v>
      </c>
      <c r="D66" s="4">
        <v>16.3</v>
      </c>
      <c r="E66" s="4">
        <v>12.9</v>
      </c>
      <c r="F66" s="4">
        <v>22</v>
      </c>
      <c r="G66" s="4">
        <f t="shared" si="3"/>
        <v>359.1</v>
      </c>
      <c r="J66" s="4">
        <v>0.2</v>
      </c>
      <c r="K66" s="4">
        <f t="shared" si="4"/>
        <v>12.600000000000001</v>
      </c>
      <c r="L66" s="4">
        <v>2</v>
      </c>
      <c r="M66" s="4">
        <f t="shared" si="5"/>
        <v>54.3</v>
      </c>
      <c r="N66" s="7">
        <v>-1.8</v>
      </c>
      <c r="O66" s="4">
        <v>0</v>
      </c>
      <c r="P66" s="4">
        <v>22</v>
      </c>
      <c r="Q66" s="4">
        <f t="shared" si="8"/>
        <v>0.47297297297297297</v>
      </c>
      <c r="R66" s="8">
        <f t="shared" si="1"/>
        <v>0.94594594594594594</v>
      </c>
      <c r="S66" s="8">
        <f t="shared" si="2"/>
        <v>-0.74594594594594588</v>
      </c>
      <c r="T66" s="8">
        <f t="shared" si="6"/>
        <v>2.1848648648648656</v>
      </c>
      <c r="V66" s="4">
        <v>1090.3</v>
      </c>
      <c r="X66" s="4">
        <f t="shared" si="7"/>
        <v>28779.000000000004</v>
      </c>
      <c r="AA66" s="4">
        <v>11.7484937868727</v>
      </c>
    </row>
    <row r="67" spans="1:27" s="4" customFormat="1" x14ac:dyDescent="0.25">
      <c r="A67" s="57"/>
      <c r="B67" s="9"/>
      <c r="C67" s="6">
        <v>41913</v>
      </c>
      <c r="D67" s="4">
        <v>15</v>
      </c>
      <c r="E67" s="4">
        <v>9.4</v>
      </c>
      <c r="F67" s="4">
        <v>22.2</v>
      </c>
      <c r="G67" s="4">
        <f t="shared" si="3"/>
        <v>374.1</v>
      </c>
      <c r="J67" s="4">
        <v>0</v>
      </c>
      <c r="K67" s="4">
        <f t="shared" si="4"/>
        <v>12.600000000000001</v>
      </c>
      <c r="L67" s="4">
        <v>2.2999999999999998</v>
      </c>
      <c r="M67" s="4">
        <f t="shared" si="5"/>
        <v>56.599999999999994</v>
      </c>
      <c r="N67" s="7">
        <v>-2.2999999999999998</v>
      </c>
      <c r="O67" s="4">
        <v>0</v>
      </c>
      <c r="P67" s="4">
        <v>23</v>
      </c>
      <c r="Q67" s="4">
        <f t="shared" si="8"/>
        <v>0.48175675675675678</v>
      </c>
      <c r="R67" s="8">
        <f t="shared" si="1"/>
        <v>1.1080405405405405</v>
      </c>
      <c r="S67" s="8">
        <f t="shared" si="2"/>
        <v>-1.1080405405405405</v>
      </c>
      <c r="T67" s="8">
        <f t="shared" si="6"/>
        <v>1.0768243243243252</v>
      </c>
      <c r="V67" s="4">
        <v>1238.8</v>
      </c>
      <c r="X67" s="4">
        <f t="shared" si="7"/>
        <v>30017.800000000003</v>
      </c>
      <c r="AA67" s="4">
        <v>11.6919598571753</v>
      </c>
    </row>
    <row r="68" spans="1:27" s="4" customFormat="1" x14ac:dyDescent="0.25">
      <c r="A68" s="57"/>
      <c r="B68" s="9"/>
      <c r="C68" s="6">
        <v>41914</v>
      </c>
      <c r="D68" s="4">
        <v>15.2</v>
      </c>
      <c r="E68" s="4">
        <v>8.6</v>
      </c>
      <c r="F68" s="4">
        <v>23.2</v>
      </c>
      <c r="G68" s="4">
        <f t="shared" si="3"/>
        <v>389.3</v>
      </c>
      <c r="J68" s="4">
        <v>0.1</v>
      </c>
      <c r="K68" s="4">
        <f t="shared" si="4"/>
        <v>12.700000000000001</v>
      </c>
      <c r="L68" s="4">
        <v>2.5</v>
      </c>
      <c r="M68" s="4">
        <f t="shared" si="5"/>
        <v>59.099999999999994</v>
      </c>
      <c r="N68" s="7">
        <v>-2.4</v>
      </c>
      <c r="O68" s="4">
        <v>0</v>
      </c>
      <c r="P68" s="4">
        <v>24</v>
      </c>
      <c r="Q68" s="4">
        <f t="shared" si="8"/>
        <v>0.49054054054054053</v>
      </c>
      <c r="R68" s="8">
        <f t="shared" si="1"/>
        <v>1.2263513513513513</v>
      </c>
      <c r="S68" s="8">
        <f t="shared" si="2"/>
        <v>-1.1263513513513512</v>
      </c>
      <c r="T68" s="8">
        <f t="shared" si="6"/>
        <v>-4.9527027027026049E-2</v>
      </c>
      <c r="V68" s="4">
        <v>1382</v>
      </c>
      <c r="X68" s="4">
        <f t="shared" si="7"/>
        <v>31399.800000000003</v>
      </c>
      <c r="AA68" s="4">
        <v>11.6354586725309</v>
      </c>
    </row>
    <row r="69" spans="1:27" s="4" customFormat="1" x14ac:dyDescent="0.25">
      <c r="A69" s="57"/>
      <c r="B69" s="9"/>
      <c r="C69" s="6">
        <v>41915</v>
      </c>
      <c r="D69" s="4">
        <v>15</v>
      </c>
      <c r="E69" s="4">
        <v>8.9</v>
      </c>
      <c r="F69" s="4">
        <v>23.3</v>
      </c>
      <c r="G69" s="4">
        <f t="shared" si="3"/>
        <v>404.3</v>
      </c>
      <c r="J69" s="4">
        <v>0</v>
      </c>
      <c r="K69" s="4">
        <f t="shared" si="4"/>
        <v>12.700000000000001</v>
      </c>
      <c r="L69" s="4">
        <v>2.9</v>
      </c>
      <c r="M69" s="4">
        <f t="shared" si="5"/>
        <v>61.999999999999993</v>
      </c>
      <c r="N69" s="7">
        <v>-2.9</v>
      </c>
      <c r="O69" s="4">
        <v>0</v>
      </c>
      <c r="P69" s="4">
        <v>25</v>
      </c>
      <c r="Q69" s="4">
        <f t="shared" si="8"/>
        <v>0.49932432432432428</v>
      </c>
      <c r="R69" s="8">
        <f t="shared" si="1"/>
        <v>1.4480405405405403</v>
      </c>
      <c r="S69" s="8">
        <f t="shared" si="2"/>
        <v>-1.4480405405405403</v>
      </c>
      <c r="T69" s="8">
        <v>0</v>
      </c>
      <c r="V69" s="4">
        <v>1517.1</v>
      </c>
      <c r="X69" s="4">
        <f t="shared" si="7"/>
        <v>32916.9</v>
      </c>
      <c r="AA69" s="4">
        <v>11.5789965338003</v>
      </c>
    </row>
    <row r="70" spans="1:27" s="4" customFormat="1" x14ac:dyDescent="0.25">
      <c r="A70" s="57"/>
      <c r="B70" s="9"/>
      <c r="C70" s="6">
        <v>41916</v>
      </c>
      <c r="D70" s="4">
        <v>15.1</v>
      </c>
      <c r="E70" s="4">
        <v>8</v>
      </c>
      <c r="F70" s="4">
        <v>23.9</v>
      </c>
      <c r="G70" s="4">
        <f t="shared" si="3"/>
        <v>419.40000000000003</v>
      </c>
      <c r="J70" s="4">
        <v>8.4</v>
      </c>
      <c r="K70" s="4">
        <f t="shared" si="4"/>
        <v>21.1</v>
      </c>
      <c r="L70" s="4">
        <v>2.2999999999999998</v>
      </c>
      <c r="M70" s="4">
        <f t="shared" si="5"/>
        <v>64.3</v>
      </c>
      <c r="N70" s="4">
        <v>6.1000000000000005</v>
      </c>
      <c r="O70" s="4">
        <f t="shared" ref="O70:O133" si="9">O69+N70</f>
        <v>6.1000000000000005</v>
      </c>
      <c r="P70" s="4">
        <v>26</v>
      </c>
      <c r="Q70" s="4">
        <f t="shared" si="8"/>
        <v>0.50810810810810814</v>
      </c>
      <c r="R70" s="8">
        <f t="shared" si="1"/>
        <v>1.1686486486486487</v>
      </c>
      <c r="S70" s="8">
        <f t="shared" si="2"/>
        <v>7.2313513513513517</v>
      </c>
      <c r="T70" s="8">
        <f t="shared" si="6"/>
        <v>7.2313513513513517</v>
      </c>
      <c r="V70" s="4">
        <v>1120.0999999999999</v>
      </c>
      <c r="X70" s="4">
        <f t="shared" si="7"/>
        <v>34037</v>
      </c>
      <c r="AA70" s="4">
        <v>11.522579920069299</v>
      </c>
    </row>
    <row r="71" spans="1:27" s="4" customFormat="1" x14ac:dyDescent="0.25">
      <c r="A71" s="57"/>
      <c r="B71" s="9"/>
      <c r="C71" s="6">
        <v>41917</v>
      </c>
      <c r="D71" s="4">
        <v>11.7</v>
      </c>
      <c r="E71" s="4">
        <v>10.4</v>
      </c>
      <c r="F71" s="4">
        <v>13.5</v>
      </c>
      <c r="G71" s="4">
        <f t="shared" si="3"/>
        <v>431.1</v>
      </c>
      <c r="J71" s="4">
        <v>0</v>
      </c>
      <c r="K71" s="4">
        <f t="shared" si="4"/>
        <v>21.1</v>
      </c>
      <c r="L71" s="4">
        <v>1.1000000000000001</v>
      </c>
      <c r="M71" s="4">
        <f t="shared" si="5"/>
        <v>65.399999999999991</v>
      </c>
      <c r="N71" s="7">
        <v>-1.1000000000000001</v>
      </c>
      <c r="O71" s="4">
        <f t="shared" si="9"/>
        <v>5</v>
      </c>
      <c r="P71" s="4">
        <v>27</v>
      </c>
      <c r="Q71" s="4">
        <f t="shared" si="8"/>
        <v>0.51689189189189189</v>
      </c>
      <c r="R71" s="8">
        <f t="shared" si="1"/>
        <v>0.56858108108108107</v>
      </c>
      <c r="S71" s="8">
        <f t="shared" si="2"/>
        <v>-0.56858108108108107</v>
      </c>
      <c r="T71" s="8">
        <f t="shared" si="6"/>
        <v>6.6627702702702702</v>
      </c>
      <c r="V71" s="4">
        <v>481.7</v>
      </c>
      <c r="X71" s="4">
        <f t="shared" si="7"/>
        <v>34518.699999999997</v>
      </c>
      <c r="AA71" s="4">
        <v>11.466215505736001</v>
      </c>
    </row>
    <row r="72" spans="1:27" s="4" customFormat="1" x14ac:dyDescent="0.25">
      <c r="A72" s="57"/>
      <c r="B72" s="9"/>
      <c r="C72" s="6">
        <v>41918</v>
      </c>
      <c r="D72" s="4">
        <v>11.4</v>
      </c>
      <c r="E72" s="4">
        <v>6.6</v>
      </c>
      <c r="F72" s="4">
        <v>13.8</v>
      </c>
      <c r="G72" s="4">
        <f t="shared" si="3"/>
        <v>442.5</v>
      </c>
      <c r="J72" s="4">
        <v>15.2</v>
      </c>
      <c r="K72" s="4">
        <f t="shared" si="4"/>
        <v>36.299999999999997</v>
      </c>
      <c r="L72" s="4">
        <v>0.5</v>
      </c>
      <c r="M72" s="4">
        <f t="shared" si="5"/>
        <v>65.899999999999991</v>
      </c>
      <c r="N72" s="4">
        <v>14.7</v>
      </c>
      <c r="O72" s="4">
        <f t="shared" si="9"/>
        <v>19.7</v>
      </c>
      <c r="P72" s="4">
        <v>28</v>
      </c>
      <c r="Q72" s="4">
        <f t="shared" si="8"/>
        <v>0.52567567567567564</v>
      </c>
      <c r="R72" s="8">
        <f t="shared" si="1"/>
        <v>0.26283783783783782</v>
      </c>
      <c r="S72" s="8">
        <f t="shared" si="2"/>
        <v>14.937162162162162</v>
      </c>
      <c r="T72" s="8">
        <f t="shared" si="6"/>
        <v>21.599932432432432</v>
      </c>
      <c r="V72" s="4">
        <v>450.1</v>
      </c>
      <c r="X72" s="4">
        <f t="shared" si="7"/>
        <v>34968.799999999996</v>
      </c>
      <c r="AA72" s="4">
        <v>11.409910177696601</v>
      </c>
    </row>
    <row r="73" spans="1:27" s="4" customFormat="1" x14ac:dyDescent="0.25">
      <c r="A73" s="57"/>
      <c r="B73" s="9"/>
      <c r="C73" s="6">
        <v>41919</v>
      </c>
      <c r="D73" s="4">
        <v>13.8</v>
      </c>
      <c r="E73" s="4">
        <v>13.6</v>
      </c>
      <c r="F73" s="4">
        <v>14.4</v>
      </c>
      <c r="G73" s="4">
        <f t="shared" si="3"/>
        <v>456.3</v>
      </c>
      <c r="J73" s="4">
        <v>17</v>
      </c>
      <c r="K73" s="4">
        <f t="shared" si="4"/>
        <v>53.3</v>
      </c>
      <c r="L73" s="4">
        <v>0.9</v>
      </c>
      <c r="M73" s="4">
        <f t="shared" si="5"/>
        <v>66.8</v>
      </c>
      <c r="N73" s="4">
        <v>16.100000000000001</v>
      </c>
      <c r="O73" s="4">
        <f t="shared" si="9"/>
        <v>35.799999999999997</v>
      </c>
      <c r="P73" s="4">
        <v>29</v>
      </c>
      <c r="Q73" s="4">
        <f t="shared" si="8"/>
        <v>0.53445945945945939</v>
      </c>
      <c r="R73" s="8">
        <f t="shared" si="1"/>
        <v>0.48101351351351346</v>
      </c>
      <c r="S73" s="8">
        <f t="shared" si="2"/>
        <v>16.518986486486487</v>
      </c>
      <c r="T73" s="8">
        <f t="shared" si="6"/>
        <v>38.118918918918922</v>
      </c>
      <c r="V73" s="4">
        <v>287.89999999999998</v>
      </c>
      <c r="X73" s="4">
        <f t="shared" si="7"/>
        <v>35256.699999999997</v>
      </c>
      <c r="AA73" s="4">
        <v>11.353671052625099</v>
      </c>
    </row>
    <row r="74" spans="1:27" s="4" customFormat="1" x14ac:dyDescent="0.25">
      <c r="A74" s="57"/>
      <c r="B74" s="9"/>
      <c r="C74" s="6">
        <v>41920</v>
      </c>
      <c r="D74" s="4">
        <v>16.3</v>
      </c>
      <c r="E74" s="4">
        <v>13.2</v>
      </c>
      <c r="F74" s="4">
        <v>21.1</v>
      </c>
      <c r="G74" s="4">
        <f t="shared" si="3"/>
        <v>472.6</v>
      </c>
      <c r="J74" s="4">
        <v>21.2</v>
      </c>
      <c r="K74" s="4">
        <f t="shared" si="4"/>
        <v>74.5</v>
      </c>
      <c r="L74" s="4">
        <v>1.4</v>
      </c>
      <c r="M74" s="4">
        <f t="shared" si="5"/>
        <v>68.2</v>
      </c>
      <c r="N74" s="4">
        <v>19.8</v>
      </c>
      <c r="O74" s="4">
        <f t="shared" si="9"/>
        <v>55.599999999999994</v>
      </c>
      <c r="P74" s="4">
        <v>30</v>
      </c>
      <c r="Q74" s="4">
        <f t="shared" si="8"/>
        <v>0.54324324324324325</v>
      </c>
      <c r="R74" s="8">
        <f t="shared" si="1"/>
        <v>0.76054054054054054</v>
      </c>
      <c r="S74" s="8">
        <f t="shared" si="2"/>
        <v>20.43945945945946</v>
      </c>
      <c r="T74" s="8">
        <f t="shared" si="6"/>
        <v>58.558378378378379</v>
      </c>
      <c r="V74" s="4">
        <v>332.3</v>
      </c>
      <c r="X74" s="4">
        <f t="shared" si="7"/>
        <v>35589</v>
      </c>
      <c r="AA74" s="4">
        <v>11.297505494335701</v>
      </c>
    </row>
    <row r="75" spans="1:27" s="4" customFormat="1" x14ac:dyDescent="0.25">
      <c r="A75" s="57"/>
      <c r="B75" s="9"/>
      <c r="C75" s="6">
        <v>41921</v>
      </c>
      <c r="D75" s="4">
        <v>15.5</v>
      </c>
      <c r="E75" s="4">
        <v>14.7</v>
      </c>
      <c r="F75" s="4">
        <v>18.8</v>
      </c>
      <c r="G75" s="4">
        <f t="shared" si="3"/>
        <v>488.1</v>
      </c>
      <c r="J75" s="4">
        <v>1.4</v>
      </c>
      <c r="K75" s="4">
        <f t="shared" si="4"/>
        <v>75.900000000000006</v>
      </c>
      <c r="L75" s="4">
        <v>1.8</v>
      </c>
      <c r="M75" s="4">
        <f t="shared" si="5"/>
        <v>70</v>
      </c>
      <c r="N75" s="7">
        <v>-0.40000000000000013</v>
      </c>
      <c r="O75" s="4">
        <f t="shared" si="9"/>
        <v>55.199999999999996</v>
      </c>
      <c r="P75" s="4">
        <v>31</v>
      </c>
      <c r="Q75" s="4">
        <f t="shared" si="8"/>
        <v>0.552027027027027</v>
      </c>
      <c r="R75" s="8">
        <f t="shared" si="1"/>
        <v>0.99364864864864866</v>
      </c>
      <c r="S75" s="8">
        <f t="shared" si="2"/>
        <v>0.40635135135135125</v>
      </c>
      <c r="T75" s="8">
        <f t="shared" si="6"/>
        <v>58.964729729729733</v>
      </c>
      <c r="V75" s="4">
        <v>722.8</v>
      </c>
      <c r="X75" s="4">
        <f t="shared" si="7"/>
        <v>36311.800000000003</v>
      </c>
      <c r="AA75" s="4">
        <v>11.241421131219001</v>
      </c>
    </row>
    <row r="76" spans="1:27" s="4" customFormat="1" x14ac:dyDescent="0.25">
      <c r="A76" s="57"/>
      <c r="B76" s="9"/>
      <c r="C76" s="6">
        <v>41922</v>
      </c>
      <c r="D76" s="4">
        <v>14.2</v>
      </c>
      <c r="E76" s="4">
        <v>12</v>
      </c>
      <c r="F76" s="4">
        <v>16.899999999999999</v>
      </c>
      <c r="G76" s="4">
        <f t="shared" si="3"/>
        <v>502.3</v>
      </c>
      <c r="J76" s="4">
        <v>0.2</v>
      </c>
      <c r="K76" s="4">
        <f t="shared" si="4"/>
        <v>76.100000000000009</v>
      </c>
      <c r="L76" s="4">
        <v>1.2</v>
      </c>
      <c r="M76" s="4">
        <f t="shared" si="5"/>
        <v>71.2</v>
      </c>
      <c r="N76" s="7">
        <v>-1</v>
      </c>
      <c r="O76" s="4">
        <f t="shared" si="9"/>
        <v>54.199999999999996</v>
      </c>
      <c r="P76" s="4">
        <v>32</v>
      </c>
      <c r="Q76" s="4">
        <f t="shared" si="8"/>
        <v>0.56081081081081074</v>
      </c>
      <c r="R76" s="8">
        <f t="shared" si="1"/>
        <v>0.67297297297297287</v>
      </c>
      <c r="S76" s="8">
        <f t="shared" si="2"/>
        <v>-0.47297297297297286</v>
      </c>
      <c r="T76" s="8">
        <f t="shared" si="6"/>
        <v>58.491756756756757</v>
      </c>
      <c r="V76" s="4">
        <v>682.5</v>
      </c>
      <c r="X76" s="4">
        <f t="shared" si="7"/>
        <v>36994.300000000003</v>
      </c>
      <c r="AA76" s="4">
        <v>11.185425873737699</v>
      </c>
    </row>
    <row r="77" spans="1:27" s="4" customFormat="1" x14ac:dyDescent="0.25">
      <c r="A77" s="57"/>
      <c r="B77" s="9"/>
      <c r="C77" s="6">
        <v>41923</v>
      </c>
      <c r="D77" s="4">
        <v>13.8</v>
      </c>
      <c r="E77" s="4">
        <v>12.3</v>
      </c>
      <c r="F77" s="4">
        <v>17.399999999999999</v>
      </c>
      <c r="G77" s="4">
        <f t="shared" si="3"/>
        <v>516.1</v>
      </c>
      <c r="J77" s="4">
        <v>0.1</v>
      </c>
      <c r="K77" s="4">
        <f t="shared" si="4"/>
        <v>76.2</v>
      </c>
      <c r="L77" s="4">
        <v>1.5</v>
      </c>
      <c r="M77" s="4">
        <f t="shared" si="5"/>
        <v>72.7</v>
      </c>
      <c r="N77" s="7">
        <v>-1.4</v>
      </c>
      <c r="O77" s="4">
        <f t="shared" si="9"/>
        <v>52.8</v>
      </c>
      <c r="P77" s="4">
        <v>33</v>
      </c>
      <c r="Q77" s="4">
        <f t="shared" si="8"/>
        <v>0.56959459459459461</v>
      </c>
      <c r="R77" s="8">
        <f t="shared" si="1"/>
        <v>0.85439189189189191</v>
      </c>
      <c r="S77" s="8">
        <f t="shared" si="2"/>
        <v>-0.75439189189189193</v>
      </c>
      <c r="T77" s="8">
        <f t="shared" si="6"/>
        <v>57.737364864864865</v>
      </c>
      <c r="V77" s="4">
        <v>845.2</v>
      </c>
      <c r="X77" s="4">
        <f t="shared" si="7"/>
        <v>37839.5</v>
      </c>
      <c r="AA77" s="4">
        <v>11.1295279319661</v>
      </c>
    </row>
    <row r="78" spans="1:27" s="4" customFormat="1" x14ac:dyDescent="0.25">
      <c r="A78" s="57"/>
      <c r="B78" s="9"/>
      <c r="C78" s="6">
        <v>41924</v>
      </c>
      <c r="D78" s="4">
        <v>13.8</v>
      </c>
      <c r="E78" s="4">
        <v>10.3</v>
      </c>
      <c r="F78" s="4">
        <v>16</v>
      </c>
      <c r="G78" s="4">
        <f t="shared" si="3"/>
        <v>529.9</v>
      </c>
      <c r="J78" s="4">
        <v>6.3</v>
      </c>
      <c r="K78" s="4">
        <f t="shared" si="4"/>
        <v>82.5</v>
      </c>
      <c r="L78" s="4">
        <v>0.5</v>
      </c>
      <c r="M78" s="4">
        <f t="shared" si="5"/>
        <v>73.2</v>
      </c>
      <c r="N78" s="4">
        <v>5.8</v>
      </c>
      <c r="O78" s="4">
        <f t="shared" si="9"/>
        <v>58.599999999999994</v>
      </c>
      <c r="P78" s="4">
        <v>34</v>
      </c>
      <c r="Q78" s="4">
        <f t="shared" si="8"/>
        <v>0.57837837837837835</v>
      </c>
      <c r="R78" s="8">
        <f t="shared" si="1"/>
        <v>0.28918918918918918</v>
      </c>
      <c r="S78" s="8">
        <f t="shared" si="2"/>
        <v>6.0108108108108107</v>
      </c>
      <c r="T78" s="8">
        <f t="shared" si="6"/>
        <v>63.748175675675675</v>
      </c>
      <c r="V78" s="4">
        <v>280.5</v>
      </c>
      <c r="X78" s="4">
        <f t="shared" si="7"/>
        <v>38120</v>
      </c>
      <c r="AA78" s="4">
        <v>11.0737358331531</v>
      </c>
    </row>
    <row r="79" spans="1:27" s="4" customFormat="1" x14ac:dyDescent="0.25">
      <c r="A79" s="57"/>
      <c r="B79" s="9"/>
      <c r="C79" s="6">
        <v>41925</v>
      </c>
      <c r="D79" s="4">
        <v>13.8</v>
      </c>
      <c r="E79" s="4">
        <v>12</v>
      </c>
      <c r="F79" s="4">
        <v>18.600000000000001</v>
      </c>
      <c r="G79" s="4">
        <f t="shared" si="3"/>
        <v>543.69999999999993</v>
      </c>
      <c r="J79" s="4">
        <v>0</v>
      </c>
      <c r="K79" s="4">
        <f t="shared" si="4"/>
        <v>82.5</v>
      </c>
      <c r="L79" s="4">
        <v>1.9</v>
      </c>
      <c r="M79" s="4">
        <f t="shared" si="5"/>
        <v>75.100000000000009</v>
      </c>
      <c r="N79" s="7">
        <v>-1.9</v>
      </c>
      <c r="O79" s="4">
        <f t="shared" si="9"/>
        <v>56.699999999999996</v>
      </c>
      <c r="P79" s="4">
        <v>35</v>
      </c>
      <c r="Q79" s="4">
        <f t="shared" si="8"/>
        <v>0.5871621621621621</v>
      </c>
      <c r="R79" s="8">
        <f t="shared" si="1"/>
        <v>1.115608108108108</v>
      </c>
      <c r="S79" s="8">
        <f t="shared" si="2"/>
        <v>-1.115608108108108</v>
      </c>
      <c r="T79" s="8">
        <f t="shared" si="6"/>
        <v>62.63256756756757</v>
      </c>
      <c r="V79" s="4">
        <v>687.1</v>
      </c>
      <c r="X79" s="4">
        <f t="shared" si="7"/>
        <v>38807.1</v>
      </c>
      <c r="AA79" s="4">
        <v>11.0180584392887</v>
      </c>
    </row>
    <row r="80" spans="1:27" s="4" customFormat="1" x14ac:dyDescent="0.25">
      <c r="A80" s="57"/>
      <c r="B80" s="9"/>
      <c r="C80" s="6">
        <v>41926</v>
      </c>
      <c r="D80" s="4">
        <v>11.1</v>
      </c>
      <c r="E80" s="4">
        <v>6.9</v>
      </c>
      <c r="F80" s="4">
        <v>16.100000000000001</v>
      </c>
      <c r="G80" s="4">
        <f t="shared" si="3"/>
        <v>554.79999999999995</v>
      </c>
      <c r="J80" s="4">
        <v>0.1</v>
      </c>
      <c r="K80" s="4">
        <f t="shared" si="4"/>
        <v>82.6</v>
      </c>
      <c r="L80" s="4">
        <v>0.8</v>
      </c>
      <c r="M80" s="4">
        <f t="shared" si="5"/>
        <v>75.900000000000006</v>
      </c>
      <c r="N80" s="7">
        <v>-0.70000000000000007</v>
      </c>
      <c r="O80" s="4">
        <f t="shared" si="9"/>
        <v>55.999999999999993</v>
      </c>
      <c r="P80" s="4">
        <v>36</v>
      </c>
      <c r="Q80" s="4">
        <f t="shared" si="8"/>
        <v>0.59594594594594597</v>
      </c>
      <c r="R80" s="8">
        <f t="shared" si="1"/>
        <v>0.47675675675675677</v>
      </c>
      <c r="S80" s="8">
        <f t="shared" si="2"/>
        <v>-0.37675675675675679</v>
      </c>
      <c r="T80" s="8">
        <f t="shared" si="6"/>
        <v>62.255810810810814</v>
      </c>
      <c r="V80" s="4">
        <v>707.7</v>
      </c>
      <c r="X80" s="4">
        <f t="shared" si="7"/>
        <v>39514.799999999996</v>
      </c>
      <c r="AA80" s="4">
        <v>10.9625049646466</v>
      </c>
    </row>
    <row r="81" spans="1:27" s="4" customFormat="1" x14ac:dyDescent="0.25">
      <c r="A81" s="57"/>
      <c r="B81" s="9"/>
      <c r="C81" s="6">
        <v>41927</v>
      </c>
      <c r="D81" s="4">
        <v>14</v>
      </c>
      <c r="E81" s="4">
        <v>11.1</v>
      </c>
      <c r="F81" s="4">
        <v>16.100000000000001</v>
      </c>
      <c r="G81" s="4">
        <f t="shared" si="3"/>
        <v>568.79999999999995</v>
      </c>
      <c r="J81" s="4">
        <v>1.4</v>
      </c>
      <c r="K81" s="4">
        <f t="shared" si="4"/>
        <v>84</v>
      </c>
      <c r="L81" s="4">
        <v>0.3</v>
      </c>
      <c r="M81" s="4">
        <f t="shared" si="5"/>
        <v>76.2</v>
      </c>
      <c r="N81" s="4">
        <v>1.0999999999999999</v>
      </c>
      <c r="O81" s="4">
        <f t="shared" si="9"/>
        <v>57.099999999999994</v>
      </c>
      <c r="P81" s="4">
        <v>37</v>
      </c>
      <c r="Q81" s="4">
        <f t="shared" si="8"/>
        <v>0.60472972972972971</v>
      </c>
      <c r="R81" s="8">
        <f t="shared" si="1"/>
        <v>0.1814189189189189</v>
      </c>
      <c r="S81" s="8">
        <f t="shared" si="2"/>
        <v>1.2185810810810811</v>
      </c>
      <c r="T81" s="8">
        <f t="shared" si="6"/>
        <v>63.474391891891898</v>
      </c>
      <c r="V81" s="4">
        <v>231.9</v>
      </c>
      <c r="X81" s="4">
        <f t="shared" si="7"/>
        <v>39746.699999999997</v>
      </c>
      <c r="AA81" s="4">
        <v>10.9070849932738</v>
      </c>
    </row>
    <row r="82" spans="1:27" s="4" customFormat="1" x14ac:dyDescent="0.25">
      <c r="A82" s="57"/>
      <c r="B82" s="9"/>
      <c r="C82" s="6">
        <v>41928</v>
      </c>
      <c r="D82" s="4">
        <v>15.7</v>
      </c>
      <c r="E82" s="4">
        <v>14.1</v>
      </c>
      <c r="F82" s="4">
        <v>18.7</v>
      </c>
      <c r="G82" s="4">
        <f t="shared" si="3"/>
        <v>584.5</v>
      </c>
      <c r="J82" s="4">
        <v>12.7</v>
      </c>
      <c r="K82" s="4">
        <f t="shared" si="4"/>
        <v>96.7</v>
      </c>
      <c r="L82" s="4">
        <v>0.8</v>
      </c>
      <c r="M82" s="4">
        <f t="shared" si="5"/>
        <v>77</v>
      </c>
      <c r="N82" s="4">
        <v>11.899999999999999</v>
      </c>
      <c r="O82" s="4">
        <f t="shared" si="9"/>
        <v>69</v>
      </c>
      <c r="P82" s="4">
        <v>38</v>
      </c>
      <c r="Q82" s="4">
        <f t="shared" si="8"/>
        <v>0.61351351351351346</v>
      </c>
      <c r="R82" s="8">
        <f t="shared" si="1"/>
        <v>0.49081081081081079</v>
      </c>
      <c r="S82" s="8">
        <f t="shared" si="2"/>
        <v>12.209189189189189</v>
      </c>
      <c r="T82" s="8">
        <f t="shared" si="6"/>
        <v>75.683581081081087</v>
      </c>
      <c r="V82" s="4">
        <v>371.3</v>
      </c>
      <c r="X82" s="4">
        <f t="shared" si="7"/>
        <v>40118</v>
      </c>
      <c r="AA82" s="4">
        <v>10.851808496395099</v>
      </c>
    </row>
    <row r="83" spans="1:27" s="4" customFormat="1" x14ac:dyDescent="0.25">
      <c r="A83" s="57"/>
      <c r="B83" s="9"/>
      <c r="C83" s="6">
        <v>41929</v>
      </c>
      <c r="D83" s="4">
        <v>15.3</v>
      </c>
      <c r="E83" s="4">
        <v>13.6</v>
      </c>
      <c r="F83" s="4">
        <v>18</v>
      </c>
      <c r="G83" s="4">
        <f t="shared" si="3"/>
        <v>599.79999999999995</v>
      </c>
      <c r="J83" s="4">
        <v>0.1</v>
      </c>
      <c r="K83" s="4">
        <f t="shared" si="4"/>
        <v>96.8</v>
      </c>
      <c r="L83" s="4">
        <v>0.6</v>
      </c>
      <c r="M83" s="4">
        <f t="shared" si="5"/>
        <v>77.599999999999994</v>
      </c>
      <c r="N83" s="7">
        <v>-0.5</v>
      </c>
      <c r="O83" s="4">
        <f t="shared" si="9"/>
        <v>68.5</v>
      </c>
      <c r="P83" s="4">
        <v>39</v>
      </c>
      <c r="Q83" s="4">
        <f t="shared" si="8"/>
        <v>0.62229729729729732</v>
      </c>
      <c r="R83" s="8">
        <f t="shared" si="1"/>
        <v>0.37337837837837839</v>
      </c>
      <c r="S83" s="8">
        <f t="shared" si="2"/>
        <v>-0.27337837837837842</v>
      </c>
      <c r="T83" s="8">
        <f t="shared" si="6"/>
        <v>75.410202702702705</v>
      </c>
      <c r="V83" s="4">
        <v>304.3</v>
      </c>
      <c r="X83" s="4">
        <f t="shared" si="7"/>
        <v>40422.300000000003</v>
      </c>
      <c r="AA83" s="4">
        <v>10.796685849693899</v>
      </c>
    </row>
    <row r="84" spans="1:27" s="4" customFormat="1" x14ac:dyDescent="0.25">
      <c r="A84" s="57"/>
      <c r="B84" s="9"/>
      <c r="C84" s="6">
        <v>41930</v>
      </c>
      <c r="D84" s="4">
        <v>17.3</v>
      </c>
      <c r="E84" s="4">
        <v>12.7</v>
      </c>
      <c r="F84" s="4">
        <v>24.1</v>
      </c>
      <c r="G84" s="4">
        <f t="shared" si="3"/>
        <v>617.09999999999991</v>
      </c>
      <c r="J84" s="4">
        <v>0</v>
      </c>
      <c r="K84" s="4">
        <f t="shared" si="4"/>
        <v>96.8</v>
      </c>
      <c r="L84" s="4">
        <v>2.8</v>
      </c>
      <c r="M84" s="4">
        <f t="shared" si="5"/>
        <v>80.399999999999991</v>
      </c>
      <c r="N84" s="7">
        <v>-2.8</v>
      </c>
      <c r="O84" s="4">
        <f t="shared" si="9"/>
        <v>65.7</v>
      </c>
      <c r="P84" s="4">
        <v>40</v>
      </c>
      <c r="Q84" s="4">
        <f t="shared" si="8"/>
        <v>0.63108108108108107</v>
      </c>
      <c r="R84" s="8">
        <f t="shared" si="1"/>
        <v>1.767027027027027</v>
      </c>
      <c r="S84" s="8">
        <f t="shared" si="2"/>
        <v>-1.767027027027027</v>
      </c>
      <c r="T84" s="8">
        <f t="shared" si="6"/>
        <v>73.643175675675678</v>
      </c>
      <c r="V84" s="4">
        <v>1300</v>
      </c>
      <c r="X84" s="4">
        <f t="shared" si="7"/>
        <v>41722.300000000003</v>
      </c>
      <c r="AA84" s="4">
        <v>10.741727850428701</v>
      </c>
    </row>
    <row r="85" spans="1:27" s="4" customFormat="1" x14ac:dyDescent="0.25">
      <c r="A85" s="57"/>
      <c r="B85" s="9"/>
      <c r="C85" s="6">
        <v>41931</v>
      </c>
      <c r="D85" s="4">
        <v>17.100000000000001</v>
      </c>
      <c r="E85" s="4">
        <v>13</v>
      </c>
      <c r="F85" s="4">
        <v>22.9</v>
      </c>
      <c r="G85" s="4">
        <f t="shared" si="3"/>
        <v>634.19999999999993</v>
      </c>
      <c r="J85" s="4">
        <v>0.4</v>
      </c>
      <c r="K85" s="4">
        <f t="shared" si="4"/>
        <v>97.2</v>
      </c>
      <c r="L85" s="4">
        <v>2.2999999999999998</v>
      </c>
      <c r="M85" s="4">
        <f t="shared" si="5"/>
        <v>82.699999999999989</v>
      </c>
      <c r="N85" s="7">
        <v>-1.9</v>
      </c>
      <c r="O85" s="4">
        <f t="shared" si="9"/>
        <v>63.800000000000004</v>
      </c>
      <c r="P85" s="4">
        <v>41</v>
      </c>
      <c r="Q85" s="4">
        <f t="shared" si="8"/>
        <v>0.63986486486486482</v>
      </c>
      <c r="R85" s="8">
        <f t="shared" si="1"/>
        <v>1.471689189189189</v>
      </c>
      <c r="S85" s="8">
        <f t="shared" si="2"/>
        <v>-1.0716891891891889</v>
      </c>
      <c r="T85" s="8">
        <f t="shared" si="6"/>
        <v>72.571486486486492</v>
      </c>
      <c r="V85" s="4">
        <v>1239.5</v>
      </c>
      <c r="X85" s="4">
        <f t="shared" si="7"/>
        <v>42961.8</v>
      </c>
      <c r="AA85" s="4">
        <v>10.6869457343384</v>
      </c>
    </row>
    <row r="86" spans="1:27" s="4" customFormat="1" x14ac:dyDescent="0.25">
      <c r="A86" s="57"/>
      <c r="B86" s="9"/>
      <c r="C86" s="6">
        <v>41932</v>
      </c>
      <c r="D86" s="4">
        <v>15</v>
      </c>
      <c r="E86" s="4">
        <v>12.2</v>
      </c>
      <c r="F86" s="4">
        <v>19.2</v>
      </c>
      <c r="G86" s="4">
        <f t="shared" si="3"/>
        <v>649.19999999999993</v>
      </c>
      <c r="J86" s="4">
        <v>0.5</v>
      </c>
      <c r="K86" s="4">
        <f t="shared" si="4"/>
        <v>97.7</v>
      </c>
      <c r="L86" s="4">
        <v>0.9</v>
      </c>
      <c r="M86" s="4">
        <f t="shared" si="5"/>
        <v>83.6</v>
      </c>
      <c r="N86" s="7">
        <v>-0.4</v>
      </c>
      <c r="O86" s="4">
        <f t="shared" si="9"/>
        <v>63.400000000000006</v>
      </c>
      <c r="P86" s="4">
        <v>42</v>
      </c>
      <c r="Q86" s="4">
        <f t="shared" si="8"/>
        <v>0.64864864864864868</v>
      </c>
      <c r="R86" s="8">
        <f t="shared" si="1"/>
        <v>0.58378378378378382</v>
      </c>
      <c r="S86" s="8">
        <f t="shared" si="2"/>
        <v>-8.3783783783783816E-2</v>
      </c>
      <c r="T86" s="8">
        <f t="shared" si="6"/>
        <v>72.487702702702705</v>
      </c>
      <c r="V86" s="4">
        <v>466.5</v>
      </c>
      <c r="X86" s="4">
        <f t="shared" si="7"/>
        <v>43428.3</v>
      </c>
      <c r="AA86" s="4">
        <v>10.6323511922853</v>
      </c>
    </row>
    <row r="87" spans="1:27" s="4" customFormat="1" x14ac:dyDescent="0.25">
      <c r="A87" s="57"/>
      <c r="B87" s="9"/>
      <c r="C87" s="6">
        <v>41933</v>
      </c>
      <c r="D87" s="4">
        <v>13.8</v>
      </c>
      <c r="E87" s="4">
        <v>11.7</v>
      </c>
      <c r="F87" s="4">
        <v>18.600000000000001</v>
      </c>
      <c r="G87" s="4">
        <f t="shared" si="3"/>
        <v>662.99999999999989</v>
      </c>
      <c r="J87" s="4">
        <v>0.3</v>
      </c>
      <c r="K87" s="4">
        <f t="shared" si="4"/>
        <v>98</v>
      </c>
      <c r="L87" s="4">
        <v>1.7</v>
      </c>
      <c r="M87" s="4">
        <f t="shared" si="5"/>
        <v>85.3</v>
      </c>
      <c r="N87" s="7">
        <v>-1.4</v>
      </c>
      <c r="O87" s="4">
        <f t="shared" si="9"/>
        <v>62.000000000000007</v>
      </c>
      <c r="P87" s="4">
        <v>43</v>
      </c>
      <c r="Q87" s="4">
        <f t="shared" si="8"/>
        <v>0.65743243243243243</v>
      </c>
      <c r="R87" s="8">
        <f t="shared" si="1"/>
        <v>1.117635135135135</v>
      </c>
      <c r="S87" s="8">
        <f t="shared" si="2"/>
        <v>-0.81763513513513497</v>
      </c>
      <c r="T87" s="8">
        <f t="shared" si="6"/>
        <v>71.670067567567571</v>
      </c>
      <c r="V87" s="4">
        <v>328.4</v>
      </c>
      <c r="X87" s="4">
        <f t="shared" si="7"/>
        <v>43756.700000000004</v>
      </c>
      <c r="AA87" s="4">
        <v>10.577956386579601</v>
      </c>
    </row>
    <row r="88" spans="1:27" s="4" customFormat="1" x14ac:dyDescent="0.25">
      <c r="A88" s="57"/>
      <c r="B88" s="9"/>
      <c r="C88" s="6">
        <v>41934</v>
      </c>
      <c r="D88" s="4">
        <v>9.6999999999999993</v>
      </c>
      <c r="E88" s="4">
        <v>6.5</v>
      </c>
      <c r="F88" s="4">
        <v>14</v>
      </c>
      <c r="G88" s="4">
        <f t="shared" si="3"/>
        <v>672.69999999999993</v>
      </c>
      <c r="J88" s="4">
        <v>0</v>
      </c>
      <c r="K88" s="4">
        <f t="shared" si="4"/>
        <v>98</v>
      </c>
      <c r="L88" s="4">
        <v>1.2</v>
      </c>
      <c r="M88" s="4">
        <f t="shared" si="5"/>
        <v>86.5</v>
      </c>
      <c r="N88" s="7">
        <v>-1.2</v>
      </c>
      <c r="O88" s="4">
        <f t="shared" si="9"/>
        <v>60.800000000000004</v>
      </c>
      <c r="P88" s="4">
        <v>44</v>
      </c>
      <c r="Q88" s="4">
        <f t="shared" si="8"/>
        <v>0.66621621621621618</v>
      </c>
      <c r="R88" s="8">
        <f t="shared" si="1"/>
        <v>0.7994594594594594</v>
      </c>
      <c r="S88" s="8">
        <f t="shared" si="2"/>
        <v>-0.7994594594594594</v>
      </c>
      <c r="T88" s="8">
        <f t="shared" si="6"/>
        <v>70.870608108108115</v>
      </c>
      <c r="V88" s="4">
        <v>568.1</v>
      </c>
      <c r="X88" s="4">
        <f t="shared" si="7"/>
        <v>44324.800000000003</v>
      </c>
      <c r="AA88" s="4">
        <v>10.5237739669244</v>
      </c>
    </row>
    <row r="89" spans="1:27" s="4" customFormat="1" x14ac:dyDescent="0.25">
      <c r="A89" s="57"/>
      <c r="B89" s="9"/>
      <c r="C89" s="6">
        <v>41935</v>
      </c>
      <c r="D89" s="4">
        <v>10.6</v>
      </c>
      <c r="E89" s="4">
        <v>6.2</v>
      </c>
      <c r="F89" s="4">
        <v>13.8</v>
      </c>
      <c r="G89" s="4">
        <f t="shared" si="3"/>
        <v>683.3</v>
      </c>
      <c r="J89" s="4">
        <v>0</v>
      </c>
      <c r="K89" s="4">
        <f t="shared" si="4"/>
        <v>98</v>
      </c>
      <c r="L89" s="4">
        <v>0.7</v>
      </c>
      <c r="M89" s="4">
        <f t="shared" si="5"/>
        <v>87.2</v>
      </c>
      <c r="N89" s="7">
        <v>-0.7</v>
      </c>
      <c r="O89" s="4">
        <f t="shared" si="9"/>
        <v>60.1</v>
      </c>
      <c r="P89" s="4">
        <v>45</v>
      </c>
      <c r="Q89" s="4">
        <f t="shared" si="8"/>
        <v>0.67500000000000004</v>
      </c>
      <c r="R89" s="8">
        <f t="shared" si="1"/>
        <v>0.47249999999999998</v>
      </c>
      <c r="S89" s="8">
        <f t="shared" si="2"/>
        <v>-0.47249999999999998</v>
      </c>
      <c r="T89" s="8">
        <f t="shared" si="6"/>
        <v>70.398108108108119</v>
      </c>
      <c r="V89" s="4">
        <v>269.5</v>
      </c>
      <c r="X89" s="4">
        <f t="shared" si="7"/>
        <v>44594.3</v>
      </c>
      <c r="AA89" s="4">
        <v>10.4698170859131</v>
      </c>
    </row>
    <row r="90" spans="1:27" s="4" customFormat="1" x14ac:dyDescent="0.25">
      <c r="A90" s="57"/>
      <c r="B90" s="9"/>
      <c r="C90" s="6">
        <v>41936</v>
      </c>
      <c r="D90" s="4">
        <v>12.5</v>
      </c>
      <c r="E90" s="4">
        <v>10.8</v>
      </c>
      <c r="F90" s="4">
        <v>15.9</v>
      </c>
      <c r="G90" s="4">
        <f t="shared" si="3"/>
        <v>695.8</v>
      </c>
      <c r="J90" s="4">
        <v>0</v>
      </c>
      <c r="K90" s="4">
        <f t="shared" si="4"/>
        <v>98</v>
      </c>
      <c r="L90" s="4">
        <v>0.9</v>
      </c>
      <c r="M90" s="4">
        <f t="shared" si="5"/>
        <v>88.100000000000009</v>
      </c>
      <c r="N90" s="7">
        <v>-0.9</v>
      </c>
      <c r="O90" s="4">
        <f t="shared" si="9"/>
        <v>59.2</v>
      </c>
      <c r="P90" s="4">
        <v>46</v>
      </c>
      <c r="Q90" s="4">
        <f t="shared" si="8"/>
        <v>0.68378378378378368</v>
      </c>
      <c r="R90" s="8">
        <f t="shared" si="1"/>
        <v>0.61540540540540534</v>
      </c>
      <c r="S90" s="8">
        <f t="shared" si="2"/>
        <v>-0.61540540540540534</v>
      </c>
      <c r="T90" s="8">
        <f t="shared" si="6"/>
        <v>69.782702702702707</v>
      </c>
      <c r="V90" s="4">
        <v>163.9</v>
      </c>
      <c r="X90" s="4">
        <f t="shared" si="7"/>
        <v>44758.200000000004</v>
      </c>
      <c r="AA90" s="4">
        <v>10.4160994140073</v>
      </c>
    </row>
    <row r="91" spans="1:27" s="4" customFormat="1" x14ac:dyDescent="0.25">
      <c r="A91" s="57"/>
      <c r="B91" s="9"/>
      <c r="C91" s="6">
        <v>41937</v>
      </c>
      <c r="D91" s="4">
        <v>13.2</v>
      </c>
      <c r="E91" s="4">
        <v>11.3</v>
      </c>
      <c r="F91" s="4">
        <v>15.4</v>
      </c>
      <c r="G91" s="4">
        <f t="shared" si="3"/>
        <v>709</v>
      </c>
      <c r="J91" s="4">
        <v>1.1000000000000001</v>
      </c>
      <c r="K91" s="4">
        <f t="shared" si="4"/>
        <v>99.1</v>
      </c>
      <c r="L91" s="4">
        <v>0.3</v>
      </c>
      <c r="M91" s="4">
        <f t="shared" si="5"/>
        <v>88.4</v>
      </c>
      <c r="N91" s="4">
        <v>0.8</v>
      </c>
      <c r="O91" s="4">
        <f t="shared" si="9"/>
        <v>60</v>
      </c>
      <c r="P91" s="4">
        <v>47</v>
      </c>
      <c r="Q91" s="4">
        <f t="shared" si="8"/>
        <v>0.69256756756756754</v>
      </c>
      <c r="R91" s="8">
        <f t="shared" si="1"/>
        <v>0.20777027027027026</v>
      </c>
      <c r="S91" s="8">
        <f t="shared" si="2"/>
        <v>0.8922297297297298</v>
      </c>
      <c r="T91" s="8">
        <f t="shared" si="6"/>
        <v>70.674932432432442</v>
      </c>
      <c r="V91" s="4">
        <v>255.4</v>
      </c>
      <c r="X91" s="4">
        <f t="shared" si="7"/>
        <v>45013.600000000006</v>
      </c>
      <c r="AA91" s="4">
        <v>10.362635153916701</v>
      </c>
    </row>
    <row r="92" spans="1:27" s="4" customFormat="1" x14ac:dyDescent="0.25">
      <c r="A92" s="57"/>
      <c r="B92" s="9"/>
      <c r="C92" s="6">
        <v>41938</v>
      </c>
      <c r="D92" s="4">
        <v>12.8</v>
      </c>
      <c r="E92" s="4">
        <v>11.7</v>
      </c>
      <c r="F92" s="4">
        <v>17.3</v>
      </c>
      <c r="G92" s="4">
        <f t="shared" si="3"/>
        <v>721.8</v>
      </c>
      <c r="J92" s="4">
        <v>0.1</v>
      </c>
      <c r="K92" s="4">
        <f t="shared" si="4"/>
        <v>99.199999999999989</v>
      </c>
      <c r="L92" s="4">
        <v>1.2</v>
      </c>
      <c r="M92" s="4">
        <f t="shared" si="5"/>
        <v>89.600000000000009</v>
      </c>
      <c r="N92" s="7">
        <v>-1.0999999999999999</v>
      </c>
      <c r="O92" s="4">
        <f t="shared" si="9"/>
        <v>58.9</v>
      </c>
      <c r="P92" s="4">
        <v>48</v>
      </c>
      <c r="Q92" s="4">
        <f t="shared" si="8"/>
        <v>0.7013513513513514</v>
      </c>
      <c r="R92" s="8">
        <f t="shared" si="1"/>
        <v>0.84162162162162168</v>
      </c>
      <c r="S92" s="8">
        <f t="shared" si="2"/>
        <v>-0.74162162162162171</v>
      </c>
      <c r="T92" s="8">
        <f t="shared" si="6"/>
        <v>69.933310810810823</v>
      </c>
      <c r="V92" s="4">
        <v>693.8</v>
      </c>
      <c r="X92" s="4">
        <f t="shared" si="7"/>
        <v>45707.400000000009</v>
      </c>
      <c r="AA92" s="4">
        <v>10.309439054295501</v>
      </c>
    </row>
    <row r="93" spans="1:27" s="4" customFormat="1" x14ac:dyDescent="0.25">
      <c r="A93" s="57"/>
      <c r="B93" s="9"/>
      <c r="C93" s="6">
        <v>41939</v>
      </c>
      <c r="D93" s="4">
        <v>10.3</v>
      </c>
      <c r="E93" s="4">
        <v>6.6</v>
      </c>
      <c r="F93" s="4">
        <v>13.9</v>
      </c>
      <c r="G93" s="4">
        <f t="shared" si="3"/>
        <v>732.09999999999991</v>
      </c>
      <c r="J93" s="4">
        <v>0.1</v>
      </c>
      <c r="K93" s="4">
        <f t="shared" si="4"/>
        <v>99.299999999999983</v>
      </c>
      <c r="L93" s="4">
        <v>1</v>
      </c>
      <c r="M93" s="4">
        <f t="shared" si="5"/>
        <v>90.600000000000009</v>
      </c>
      <c r="N93" s="7">
        <v>-0.9</v>
      </c>
      <c r="O93" s="4">
        <f t="shared" si="9"/>
        <v>58</v>
      </c>
      <c r="P93" s="4">
        <v>49</v>
      </c>
      <c r="Q93" s="4">
        <f t="shared" si="8"/>
        <v>0.71013513513513515</v>
      </c>
      <c r="R93" s="8">
        <f t="shared" si="1"/>
        <v>0.71013513513513515</v>
      </c>
      <c r="S93" s="8">
        <f t="shared" si="2"/>
        <v>-0.61013513513513518</v>
      </c>
      <c r="T93" s="8">
        <f t="shared" si="6"/>
        <v>69.323175675675685</v>
      </c>
      <c r="V93" s="4">
        <v>703.7</v>
      </c>
      <c r="X93" s="4">
        <f t="shared" si="7"/>
        <v>46411.100000000006</v>
      </c>
      <c r="AA93" s="4">
        <v>10.2565264226662</v>
      </c>
    </row>
    <row r="94" spans="1:27" s="4" customFormat="1" x14ac:dyDescent="0.25">
      <c r="A94" s="57"/>
      <c r="B94" s="9"/>
      <c r="C94" s="6">
        <v>41940</v>
      </c>
      <c r="D94" s="4">
        <v>10.7</v>
      </c>
      <c r="E94" s="4">
        <v>9.6999999999999993</v>
      </c>
      <c r="F94" s="4">
        <v>14</v>
      </c>
      <c r="G94" s="4">
        <f t="shared" si="3"/>
        <v>742.8</v>
      </c>
      <c r="J94" s="4">
        <v>0.2</v>
      </c>
      <c r="K94" s="4">
        <f t="shared" si="4"/>
        <v>99.499999999999986</v>
      </c>
      <c r="L94" s="4">
        <v>1.1000000000000001</v>
      </c>
      <c r="M94" s="4">
        <f t="shared" si="5"/>
        <v>91.7</v>
      </c>
      <c r="N94" s="7">
        <v>-0.90000000000000013</v>
      </c>
      <c r="O94" s="4">
        <f t="shared" si="9"/>
        <v>57.1</v>
      </c>
      <c r="P94" s="4">
        <v>50</v>
      </c>
      <c r="Q94" s="4">
        <f t="shared" si="8"/>
        <v>0.7189189189189189</v>
      </c>
      <c r="R94" s="8">
        <f t="shared" si="1"/>
        <v>0.79081081081081084</v>
      </c>
      <c r="S94" s="8">
        <f t="shared" si="2"/>
        <v>-0.59081081081081077</v>
      </c>
      <c r="T94" s="8">
        <f t="shared" si="6"/>
        <v>68.732364864864877</v>
      </c>
      <c r="V94" s="4">
        <v>708.6</v>
      </c>
      <c r="X94" s="4">
        <f t="shared" si="7"/>
        <v>47119.700000000004</v>
      </c>
      <c r="AA94" s="4">
        <v>10.2039131374726</v>
      </c>
    </row>
    <row r="95" spans="1:27" s="4" customFormat="1" x14ac:dyDescent="0.25">
      <c r="A95" s="57"/>
      <c r="B95" s="9"/>
      <c r="C95" s="6">
        <v>41941</v>
      </c>
      <c r="D95" s="4">
        <v>10.9</v>
      </c>
      <c r="E95" s="4">
        <v>4.2</v>
      </c>
      <c r="F95" s="4">
        <v>17.8</v>
      </c>
      <c r="G95" s="4">
        <f t="shared" si="3"/>
        <v>753.69999999999993</v>
      </c>
      <c r="J95" s="4">
        <v>0.2</v>
      </c>
      <c r="K95" s="4">
        <f t="shared" si="4"/>
        <v>99.699999999999989</v>
      </c>
      <c r="L95" s="4">
        <v>1.5</v>
      </c>
      <c r="M95" s="4">
        <f t="shared" si="5"/>
        <v>93.2</v>
      </c>
      <c r="N95" s="7">
        <v>-1.3</v>
      </c>
      <c r="O95" s="4">
        <f t="shared" si="9"/>
        <v>55.800000000000004</v>
      </c>
      <c r="P95" s="4">
        <v>51</v>
      </c>
      <c r="Q95" s="4">
        <f t="shared" si="8"/>
        <v>0.72770270270270265</v>
      </c>
      <c r="R95" s="8">
        <f t="shared" si="1"/>
        <v>1.091554054054054</v>
      </c>
      <c r="S95" s="8">
        <f t="shared" si="2"/>
        <v>-0.89155405405405408</v>
      </c>
      <c r="T95" s="8">
        <f t="shared" si="6"/>
        <v>67.840810810810822</v>
      </c>
      <c r="V95" s="4">
        <v>898.3</v>
      </c>
      <c r="X95" s="4">
        <f t="shared" si="7"/>
        <v>48018.000000000007</v>
      </c>
      <c r="AA95" s="4">
        <v>10.151615659159599</v>
      </c>
    </row>
    <row r="96" spans="1:27" s="4" customFormat="1" x14ac:dyDescent="0.25">
      <c r="A96" s="57"/>
      <c r="B96" s="9"/>
      <c r="C96" s="6">
        <v>41942</v>
      </c>
      <c r="D96" s="4">
        <v>13</v>
      </c>
      <c r="E96" s="4">
        <v>8.3000000000000007</v>
      </c>
      <c r="F96" s="4">
        <v>19</v>
      </c>
      <c r="G96" s="4">
        <f t="shared" si="3"/>
        <v>766.69999999999993</v>
      </c>
      <c r="J96" s="4">
        <v>0.1</v>
      </c>
      <c r="K96" s="4">
        <f t="shared" si="4"/>
        <v>99.799999999999983</v>
      </c>
      <c r="L96" s="4">
        <v>1.2</v>
      </c>
      <c r="M96" s="4">
        <f t="shared" si="5"/>
        <v>94.4</v>
      </c>
      <c r="N96" s="7">
        <v>-1.0999999999999999</v>
      </c>
      <c r="O96" s="4">
        <f t="shared" si="9"/>
        <v>54.7</v>
      </c>
      <c r="P96" s="4">
        <v>52</v>
      </c>
      <c r="Q96" s="4">
        <f t="shared" si="8"/>
        <v>0.73648648648648651</v>
      </c>
      <c r="R96" s="8">
        <f t="shared" si="1"/>
        <v>0.88378378378378375</v>
      </c>
      <c r="S96" s="8">
        <f t="shared" si="2"/>
        <v>-0.78378378378378377</v>
      </c>
      <c r="T96" s="8">
        <f t="shared" si="6"/>
        <v>67.057027027027033</v>
      </c>
      <c r="V96" s="4">
        <v>498.5</v>
      </c>
      <c r="X96" s="4">
        <f t="shared" si="7"/>
        <v>48516.500000000007</v>
      </c>
      <c r="AA96" s="4">
        <v>10.0996510401721</v>
      </c>
    </row>
    <row r="97" spans="1:27" s="4" customFormat="1" x14ac:dyDescent="0.25">
      <c r="A97" s="57"/>
      <c r="B97" s="9"/>
      <c r="C97" s="6">
        <v>41943</v>
      </c>
      <c r="D97" s="4">
        <v>14.2</v>
      </c>
      <c r="E97" s="4">
        <v>8.4</v>
      </c>
      <c r="F97" s="4">
        <v>21.9</v>
      </c>
      <c r="G97" s="4">
        <f t="shared" si="3"/>
        <v>780.9</v>
      </c>
      <c r="J97" s="4">
        <v>0.1</v>
      </c>
      <c r="K97" s="4">
        <f t="shared" si="4"/>
        <v>99.899999999999977</v>
      </c>
      <c r="L97" s="4">
        <v>2.1</v>
      </c>
      <c r="M97" s="4">
        <f t="shared" si="5"/>
        <v>96.5</v>
      </c>
      <c r="N97" s="7">
        <v>-2</v>
      </c>
      <c r="O97" s="4">
        <f t="shared" si="9"/>
        <v>52.7</v>
      </c>
      <c r="P97" s="4">
        <v>53</v>
      </c>
      <c r="Q97" s="4">
        <f t="shared" si="8"/>
        <v>0.74527027027027026</v>
      </c>
      <c r="R97" s="8">
        <f t="shared" si="1"/>
        <v>1.5650675675675676</v>
      </c>
      <c r="S97" s="8">
        <f t="shared" si="2"/>
        <v>-1.4650675675675675</v>
      </c>
      <c r="T97" s="8">
        <f t="shared" si="6"/>
        <v>65.59195945945946</v>
      </c>
      <c r="V97" s="4">
        <v>973.5</v>
      </c>
      <c r="X97" s="4">
        <f t="shared" si="7"/>
        <v>49490.000000000007</v>
      </c>
      <c r="AA97" s="4">
        <v>10.048036933755901</v>
      </c>
    </row>
    <row r="98" spans="1:27" s="4" customFormat="1" x14ac:dyDescent="0.25">
      <c r="A98" s="57"/>
      <c r="B98" s="9"/>
      <c r="C98" s="6">
        <v>41944</v>
      </c>
      <c r="D98" s="4">
        <v>13.9</v>
      </c>
      <c r="E98" s="4">
        <v>9.1999999999999993</v>
      </c>
      <c r="F98" s="4">
        <v>18.8</v>
      </c>
      <c r="G98" s="4">
        <f t="shared" si="3"/>
        <v>794.8</v>
      </c>
      <c r="J98" s="4">
        <v>0</v>
      </c>
      <c r="K98" s="4">
        <f t="shared" si="4"/>
        <v>99.899999999999977</v>
      </c>
      <c r="L98" s="4">
        <v>1.7</v>
      </c>
      <c r="M98" s="4">
        <f t="shared" si="5"/>
        <v>98.2</v>
      </c>
      <c r="N98" s="7">
        <v>-1.7</v>
      </c>
      <c r="O98" s="4">
        <f t="shared" si="9"/>
        <v>51</v>
      </c>
      <c r="P98" s="4">
        <v>54</v>
      </c>
      <c r="Q98" s="4">
        <f t="shared" si="8"/>
        <v>0.75405405405405401</v>
      </c>
      <c r="R98" s="8">
        <f t="shared" si="1"/>
        <v>1.2818918918918918</v>
      </c>
      <c r="S98" s="8">
        <f t="shared" si="2"/>
        <v>-1.2818918918918918</v>
      </c>
      <c r="T98" s="8">
        <f t="shared" si="6"/>
        <v>64.310067567567572</v>
      </c>
      <c r="V98" s="4">
        <v>1002.3</v>
      </c>
      <c r="X98" s="4">
        <f t="shared" si="7"/>
        <v>50492.30000000001</v>
      </c>
      <c r="AA98" s="4">
        <v>9.9967916014417408</v>
      </c>
    </row>
    <row r="99" spans="1:27" s="4" customFormat="1" x14ac:dyDescent="0.25">
      <c r="A99" s="57"/>
      <c r="B99" s="9"/>
      <c r="C99" s="6">
        <v>41945</v>
      </c>
      <c r="D99" s="4">
        <v>13.9</v>
      </c>
      <c r="E99" s="4">
        <v>11.5</v>
      </c>
      <c r="F99" s="4">
        <v>16</v>
      </c>
      <c r="G99" s="4">
        <f t="shared" si="3"/>
        <v>808.69999999999993</v>
      </c>
      <c r="J99" s="4">
        <v>1.6</v>
      </c>
      <c r="K99" s="4">
        <f t="shared" si="4"/>
        <v>101.49999999999997</v>
      </c>
      <c r="L99" s="4">
        <v>0.5</v>
      </c>
      <c r="M99" s="4">
        <f t="shared" si="5"/>
        <v>98.7</v>
      </c>
      <c r="N99" s="4">
        <v>1.1000000000000001</v>
      </c>
      <c r="O99" s="4">
        <f t="shared" si="9"/>
        <v>52.1</v>
      </c>
      <c r="P99" s="4">
        <v>55</v>
      </c>
      <c r="Q99" s="4">
        <f t="shared" si="8"/>
        <v>0.76283783783783776</v>
      </c>
      <c r="R99" s="8">
        <f t="shared" si="1"/>
        <v>0.38141891891891888</v>
      </c>
      <c r="S99" s="8">
        <f t="shared" si="2"/>
        <v>1.2185810810810813</v>
      </c>
      <c r="T99" s="8">
        <f t="shared" si="6"/>
        <v>65.528648648648655</v>
      </c>
      <c r="V99" s="4">
        <v>348.5</v>
      </c>
      <c r="X99" s="4">
        <f t="shared" si="7"/>
        <v>50840.80000000001</v>
      </c>
      <c r="AA99" s="4">
        <v>9.9459339190856593</v>
      </c>
    </row>
    <row r="100" spans="1:27" s="4" customFormat="1" x14ac:dyDescent="0.25">
      <c r="A100" s="57"/>
      <c r="B100" s="9"/>
      <c r="C100" s="6">
        <v>41946</v>
      </c>
      <c r="D100" s="4">
        <v>12.3</v>
      </c>
      <c r="E100" s="4">
        <v>11.6</v>
      </c>
      <c r="F100" s="4">
        <v>14.5</v>
      </c>
      <c r="G100" s="4">
        <f t="shared" si="3"/>
        <v>820.99999999999989</v>
      </c>
      <c r="J100" s="4">
        <v>16.3</v>
      </c>
      <c r="K100" s="4">
        <f t="shared" si="4"/>
        <v>117.79999999999997</v>
      </c>
      <c r="L100" s="4">
        <v>1</v>
      </c>
      <c r="M100" s="4">
        <f t="shared" si="5"/>
        <v>99.7</v>
      </c>
      <c r="N100" s="4">
        <v>15.3</v>
      </c>
      <c r="O100" s="4">
        <f t="shared" si="9"/>
        <v>67.400000000000006</v>
      </c>
      <c r="P100" s="4">
        <v>56</v>
      </c>
      <c r="Q100" s="4">
        <f t="shared" si="8"/>
        <v>0.77162162162162162</v>
      </c>
      <c r="R100" s="8">
        <f t="shared" si="1"/>
        <v>0.77162162162162162</v>
      </c>
      <c r="S100" s="8">
        <f t="shared" si="2"/>
        <v>15.528378378378379</v>
      </c>
      <c r="T100" s="8">
        <f t="shared" si="6"/>
        <v>81.057027027027033</v>
      </c>
      <c r="V100" s="4">
        <v>224.5</v>
      </c>
      <c r="X100" s="4">
        <f t="shared" si="7"/>
        <v>51065.30000000001</v>
      </c>
      <c r="AA100" s="4">
        <v>9.8954833813339693</v>
      </c>
    </row>
    <row r="101" spans="1:27" s="4" customFormat="1" x14ac:dyDescent="0.25">
      <c r="A101" s="57"/>
      <c r="B101" s="9"/>
      <c r="C101" s="6">
        <v>41947</v>
      </c>
      <c r="D101" s="4">
        <v>8.8000000000000007</v>
      </c>
      <c r="E101" s="4">
        <v>8.3000000000000007</v>
      </c>
      <c r="F101" s="4">
        <v>11.9</v>
      </c>
      <c r="G101" s="4">
        <f t="shared" si="3"/>
        <v>829.79999999999984</v>
      </c>
      <c r="J101" s="4">
        <v>0.1</v>
      </c>
      <c r="K101" s="4">
        <f t="shared" si="4"/>
        <v>117.89999999999996</v>
      </c>
      <c r="L101" s="4">
        <v>1</v>
      </c>
      <c r="M101" s="4">
        <f t="shared" si="5"/>
        <v>100.7</v>
      </c>
      <c r="N101" s="7">
        <v>-0.9</v>
      </c>
      <c r="O101" s="4">
        <f t="shared" si="9"/>
        <v>66.5</v>
      </c>
      <c r="P101" s="4">
        <v>57</v>
      </c>
      <c r="Q101" s="4">
        <f t="shared" si="8"/>
        <v>0.78040540540540548</v>
      </c>
      <c r="R101" s="8">
        <f t="shared" si="1"/>
        <v>0.78040540540540548</v>
      </c>
      <c r="S101" s="8">
        <f t="shared" si="2"/>
        <v>-0.68040540540540551</v>
      </c>
      <c r="T101" s="8">
        <f t="shared" si="6"/>
        <v>80.376621621621624</v>
      </c>
      <c r="V101" s="4">
        <v>747.5</v>
      </c>
      <c r="X101" s="4">
        <f t="shared" si="7"/>
        <v>51812.80000000001</v>
      </c>
      <c r="AA101" s="4">
        <v>9.8454601043774108</v>
      </c>
    </row>
    <row r="102" spans="1:27" s="4" customFormat="1" x14ac:dyDescent="0.25">
      <c r="A102" s="57"/>
      <c r="B102" s="9"/>
      <c r="C102" s="6">
        <v>41948</v>
      </c>
      <c r="D102" s="4">
        <v>5.9</v>
      </c>
      <c r="E102" s="4">
        <v>2.2999999999999998</v>
      </c>
      <c r="F102" s="4">
        <v>10.4</v>
      </c>
      <c r="G102" s="4">
        <f t="shared" si="3"/>
        <v>835.69999999999982</v>
      </c>
      <c r="J102" s="4">
        <v>2</v>
      </c>
      <c r="K102" s="4">
        <f t="shared" si="4"/>
        <v>119.89999999999996</v>
      </c>
      <c r="L102" s="4">
        <v>0.8</v>
      </c>
      <c r="M102" s="4">
        <f t="shared" si="5"/>
        <v>101.5</v>
      </c>
      <c r="N102" s="4">
        <v>1.2</v>
      </c>
      <c r="O102" s="4">
        <f t="shared" si="9"/>
        <v>67.7</v>
      </c>
      <c r="P102" s="4">
        <v>58</v>
      </c>
      <c r="Q102" s="4">
        <f t="shared" si="8"/>
        <v>0.78918918918918912</v>
      </c>
      <c r="R102" s="8">
        <f t="shared" si="1"/>
        <v>0.63135135135135134</v>
      </c>
      <c r="S102" s="8">
        <f t="shared" si="2"/>
        <v>1.3686486486486487</v>
      </c>
      <c r="T102" s="8">
        <f t="shared" si="6"/>
        <v>81.745270270270268</v>
      </c>
      <c r="V102" s="4">
        <v>621.20000000000005</v>
      </c>
      <c r="X102" s="4">
        <f t="shared" si="7"/>
        <v>52434.000000000007</v>
      </c>
      <c r="AA102" s="4">
        <v>9.7958848268537206</v>
      </c>
    </row>
    <row r="103" spans="1:27" s="4" customFormat="1" x14ac:dyDescent="0.25">
      <c r="A103" s="57"/>
      <c r="B103" s="9"/>
      <c r="C103" s="6">
        <v>41949</v>
      </c>
      <c r="D103" s="4">
        <v>6</v>
      </c>
      <c r="E103" s="4">
        <v>0.5</v>
      </c>
      <c r="F103" s="4">
        <v>10.4</v>
      </c>
      <c r="G103" s="4">
        <f t="shared" si="3"/>
        <v>841.69999999999982</v>
      </c>
      <c r="J103" s="4">
        <v>0.6</v>
      </c>
      <c r="K103" s="4">
        <f t="shared" si="4"/>
        <v>120.49999999999996</v>
      </c>
      <c r="L103" s="4">
        <v>0.5</v>
      </c>
      <c r="M103" s="4">
        <f t="shared" si="5"/>
        <v>102</v>
      </c>
      <c r="N103" s="4">
        <v>9.9999999999999978E-2</v>
      </c>
      <c r="O103" s="4">
        <f t="shared" si="9"/>
        <v>67.8</v>
      </c>
      <c r="P103" s="4">
        <v>59</v>
      </c>
      <c r="Q103" s="4">
        <f t="shared" si="8"/>
        <v>0.79797297297297298</v>
      </c>
      <c r="R103" s="8">
        <f t="shared" si="1"/>
        <v>0.39898648648648649</v>
      </c>
      <c r="S103" s="8">
        <f t="shared" si="2"/>
        <v>0.20101351351351349</v>
      </c>
      <c r="T103" s="8">
        <f t="shared" si="6"/>
        <v>81.946283783783784</v>
      </c>
      <c r="V103" s="4">
        <v>546.79999999999995</v>
      </c>
      <c r="X103" s="4">
        <f t="shared" si="7"/>
        <v>52980.80000000001</v>
      </c>
      <c r="AA103" s="4">
        <v>9.7467789087550205</v>
      </c>
    </row>
    <row r="104" spans="1:27" s="4" customFormat="1" x14ac:dyDescent="0.25">
      <c r="A104" s="57"/>
      <c r="B104" s="9"/>
      <c r="C104" s="6">
        <v>41950</v>
      </c>
      <c r="D104" s="4">
        <v>10.1</v>
      </c>
      <c r="E104" s="4">
        <v>7.5</v>
      </c>
      <c r="F104" s="4">
        <v>14</v>
      </c>
      <c r="G104" s="4">
        <f t="shared" si="3"/>
        <v>851.79999999999984</v>
      </c>
      <c r="J104" s="4">
        <v>0.5</v>
      </c>
      <c r="K104" s="4">
        <f t="shared" si="4"/>
        <v>120.99999999999996</v>
      </c>
      <c r="L104" s="4">
        <v>1.3</v>
      </c>
      <c r="M104" s="4">
        <f t="shared" si="5"/>
        <v>103.3</v>
      </c>
      <c r="N104" s="7">
        <v>-0.8</v>
      </c>
      <c r="O104" s="4">
        <f t="shared" si="9"/>
        <v>67</v>
      </c>
      <c r="P104" s="4">
        <v>60</v>
      </c>
      <c r="Q104" s="4">
        <f t="shared" si="8"/>
        <v>0.80675675675675684</v>
      </c>
      <c r="R104" s="8">
        <f t="shared" si="1"/>
        <v>1.0487837837837839</v>
      </c>
      <c r="S104" s="8">
        <f t="shared" si="2"/>
        <v>-0.5487837837837839</v>
      </c>
      <c r="T104" s="8">
        <f t="shared" si="6"/>
        <v>81.397499999999994</v>
      </c>
      <c r="V104" s="4">
        <v>392.3</v>
      </c>
      <c r="X104" s="4">
        <f t="shared" si="7"/>
        <v>53373.100000000013</v>
      </c>
      <c r="AA104" s="4">
        <v>9.6981643281934709</v>
      </c>
    </row>
    <row r="105" spans="1:27" s="4" customFormat="1" x14ac:dyDescent="0.25">
      <c r="A105" s="57"/>
      <c r="B105" s="9"/>
      <c r="C105" s="6">
        <v>41951</v>
      </c>
      <c r="D105" s="4">
        <v>10.9</v>
      </c>
      <c r="E105" s="4">
        <v>8</v>
      </c>
      <c r="F105" s="4">
        <v>14.3</v>
      </c>
      <c r="G105" s="4">
        <f t="shared" si="3"/>
        <v>862.69999999999982</v>
      </c>
      <c r="J105" s="4">
        <v>0.4</v>
      </c>
      <c r="K105" s="4">
        <f t="shared" si="4"/>
        <v>121.39999999999996</v>
      </c>
      <c r="L105" s="4">
        <v>1</v>
      </c>
      <c r="M105" s="4">
        <f t="shared" si="5"/>
        <v>104.3</v>
      </c>
      <c r="N105" s="7">
        <v>-0.6</v>
      </c>
      <c r="O105" s="4">
        <f t="shared" si="9"/>
        <v>66.400000000000006</v>
      </c>
      <c r="P105" s="4">
        <v>61</v>
      </c>
      <c r="Q105" s="4">
        <f t="shared" si="8"/>
        <v>0.81554054054054048</v>
      </c>
      <c r="R105" s="8">
        <f t="shared" si="1"/>
        <v>0.81554054054054048</v>
      </c>
      <c r="S105" s="8">
        <f t="shared" si="2"/>
        <v>-0.41554054054054046</v>
      </c>
      <c r="T105" s="8">
        <f t="shared" si="6"/>
        <v>80.981959459459446</v>
      </c>
      <c r="V105" s="4">
        <v>392.6</v>
      </c>
      <c r="X105" s="4">
        <f t="shared" si="7"/>
        <v>53765.700000000012</v>
      </c>
      <c r="AA105" s="4">
        <v>9.6500636758766998</v>
      </c>
    </row>
    <row r="106" spans="1:27" s="4" customFormat="1" x14ac:dyDescent="0.25">
      <c r="A106" s="57"/>
      <c r="B106" s="9"/>
      <c r="C106" s="6">
        <v>41952</v>
      </c>
      <c r="D106" s="4">
        <v>9.4</v>
      </c>
      <c r="E106" s="4">
        <v>8.8000000000000007</v>
      </c>
      <c r="F106" s="4">
        <v>11.9</v>
      </c>
      <c r="G106" s="4">
        <f t="shared" si="3"/>
        <v>872.0999999999998</v>
      </c>
      <c r="J106" s="4">
        <v>0</v>
      </c>
      <c r="K106" s="4">
        <f t="shared" si="4"/>
        <v>121.39999999999996</v>
      </c>
      <c r="L106" s="4">
        <v>0.7</v>
      </c>
      <c r="M106" s="4">
        <f t="shared" si="5"/>
        <v>105</v>
      </c>
      <c r="N106" s="7">
        <v>-0.7</v>
      </c>
      <c r="O106" s="4">
        <f t="shared" si="9"/>
        <v>65.7</v>
      </c>
      <c r="P106" s="4">
        <v>62</v>
      </c>
      <c r="Q106" s="4">
        <f t="shared" si="8"/>
        <v>0.82432432432432434</v>
      </c>
      <c r="R106" s="8">
        <f t="shared" si="1"/>
        <v>0.57702702702702702</v>
      </c>
      <c r="S106" s="8">
        <f t="shared" si="2"/>
        <v>-0.57702702702702702</v>
      </c>
      <c r="T106" s="8">
        <f t="shared" si="6"/>
        <v>80.404932432432417</v>
      </c>
      <c r="V106" s="4">
        <v>262.10000000000002</v>
      </c>
      <c r="X106" s="4">
        <f t="shared" si="7"/>
        <v>54027.80000000001</v>
      </c>
      <c r="AA106" s="4">
        <v>9.6025001471440703</v>
      </c>
    </row>
    <row r="107" spans="1:27" s="4" customFormat="1" x14ac:dyDescent="0.25">
      <c r="A107" s="57"/>
      <c r="B107" s="9"/>
      <c r="C107" s="6">
        <v>41953</v>
      </c>
      <c r="D107" s="4">
        <v>6.7</v>
      </c>
      <c r="E107" s="4">
        <v>4</v>
      </c>
      <c r="F107" s="4">
        <v>9.8000000000000007</v>
      </c>
      <c r="G107" s="4">
        <f t="shared" si="3"/>
        <v>878.79999999999984</v>
      </c>
      <c r="J107" s="4">
        <v>0.1</v>
      </c>
      <c r="K107" s="4">
        <f t="shared" si="4"/>
        <v>121.49999999999996</v>
      </c>
      <c r="L107" s="4">
        <v>0.4</v>
      </c>
      <c r="M107" s="4">
        <f t="shared" si="5"/>
        <v>105.4</v>
      </c>
      <c r="N107" s="7">
        <v>-0.30000000000000004</v>
      </c>
      <c r="O107" s="4">
        <f t="shared" si="9"/>
        <v>65.400000000000006</v>
      </c>
      <c r="P107" s="4">
        <v>63</v>
      </c>
      <c r="Q107" s="4">
        <f t="shared" si="8"/>
        <v>0.83310810810810809</v>
      </c>
      <c r="R107" s="8">
        <f t="shared" si="1"/>
        <v>0.33324324324324328</v>
      </c>
      <c r="S107" s="8">
        <f t="shared" si="2"/>
        <v>-0.23324324324324328</v>
      </c>
      <c r="T107" s="8">
        <f t="shared" si="6"/>
        <v>80.171689189189181</v>
      </c>
      <c r="V107" s="4">
        <v>272.2</v>
      </c>
      <c r="X107" s="4">
        <f t="shared" si="7"/>
        <v>54300.000000000007</v>
      </c>
      <c r="AA107" s="4">
        <v>9.5554975314147406</v>
      </c>
    </row>
    <row r="108" spans="1:27" s="4" customFormat="1" x14ac:dyDescent="0.25">
      <c r="A108" s="57"/>
      <c r="B108" s="9"/>
      <c r="C108" s="6">
        <v>41954</v>
      </c>
      <c r="D108" s="4">
        <v>9.4</v>
      </c>
      <c r="E108" s="4">
        <v>4.8</v>
      </c>
      <c r="F108" s="4">
        <v>13.1</v>
      </c>
      <c r="G108" s="4">
        <f t="shared" si="3"/>
        <v>888.19999999999982</v>
      </c>
      <c r="J108" s="4">
        <v>0.7</v>
      </c>
      <c r="K108" s="4">
        <f t="shared" si="4"/>
        <v>122.19999999999996</v>
      </c>
      <c r="L108" s="4">
        <v>0.7</v>
      </c>
      <c r="M108" s="4">
        <f t="shared" si="5"/>
        <v>106.10000000000001</v>
      </c>
      <c r="N108" s="7">
        <v>0</v>
      </c>
      <c r="O108" s="4">
        <f t="shared" si="9"/>
        <v>65.400000000000006</v>
      </c>
      <c r="P108" s="4">
        <v>64</v>
      </c>
      <c r="Q108" s="4">
        <f t="shared" si="8"/>
        <v>0.84189189189189184</v>
      </c>
      <c r="R108" s="8">
        <f t="shared" si="1"/>
        <v>0.58932432432432424</v>
      </c>
      <c r="S108" s="8">
        <f t="shared" si="2"/>
        <v>0.11067567567567571</v>
      </c>
      <c r="T108" s="8">
        <f t="shared" si="6"/>
        <v>80.28236486486486</v>
      </c>
      <c r="V108" s="4">
        <v>229.6</v>
      </c>
      <c r="X108" s="4">
        <f t="shared" si="7"/>
        <v>54529.600000000006</v>
      </c>
      <c r="AA108" s="4">
        <v>9.5090801989006994</v>
      </c>
    </row>
    <row r="109" spans="1:27" s="4" customFormat="1" x14ac:dyDescent="0.25">
      <c r="A109" s="57"/>
      <c r="B109" s="9"/>
      <c r="C109" s="6">
        <v>41955</v>
      </c>
      <c r="D109" s="4">
        <v>10.4</v>
      </c>
      <c r="E109" s="4">
        <v>8.9</v>
      </c>
      <c r="F109" s="4">
        <v>14</v>
      </c>
      <c r="G109" s="4">
        <f t="shared" si="3"/>
        <v>898.5999999999998</v>
      </c>
      <c r="J109" s="4">
        <v>0.2</v>
      </c>
      <c r="K109" s="4">
        <f t="shared" si="4"/>
        <v>122.39999999999996</v>
      </c>
      <c r="L109" s="4">
        <v>1.3</v>
      </c>
      <c r="M109" s="4">
        <f t="shared" si="5"/>
        <v>107.4</v>
      </c>
      <c r="N109" s="7">
        <v>-1.1000000000000001</v>
      </c>
      <c r="O109" s="4">
        <f t="shared" si="9"/>
        <v>64.300000000000011</v>
      </c>
      <c r="P109" s="4">
        <v>65</v>
      </c>
      <c r="Q109" s="4">
        <f t="shared" si="8"/>
        <v>0.8506756756756757</v>
      </c>
      <c r="R109" s="8">
        <f t="shared" ref="R109:R172" si="10">Q109*L109</f>
        <v>1.1058783783783785</v>
      </c>
      <c r="S109" s="8">
        <f t="shared" ref="S109:S172" si="11">J109-R109</f>
        <v>-0.90587837837837859</v>
      </c>
      <c r="T109" s="8">
        <f t="shared" si="6"/>
        <v>79.376486486486485</v>
      </c>
      <c r="V109" s="4">
        <v>700</v>
      </c>
      <c r="X109" s="4">
        <f t="shared" si="7"/>
        <v>55229.600000000006</v>
      </c>
      <c r="AA109" s="4">
        <v>9.4632730844407895</v>
      </c>
    </row>
    <row r="110" spans="1:27" s="4" customFormat="1" x14ac:dyDescent="0.25">
      <c r="A110" s="57"/>
      <c r="B110" s="9"/>
      <c r="C110" s="6">
        <v>41956</v>
      </c>
      <c r="D110" s="4">
        <v>10</v>
      </c>
      <c r="E110" s="4">
        <v>6</v>
      </c>
      <c r="F110" s="4">
        <v>13.4</v>
      </c>
      <c r="G110" s="4">
        <f t="shared" si="3"/>
        <v>908.5999999999998</v>
      </c>
      <c r="J110" s="4">
        <v>0</v>
      </c>
      <c r="K110" s="4">
        <f t="shared" si="4"/>
        <v>122.39999999999996</v>
      </c>
      <c r="L110" s="4">
        <v>0.8</v>
      </c>
      <c r="M110" s="4">
        <f t="shared" si="5"/>
        <v>108.2</v>
      </c>
      <c r="N110" s="7">
        <v>-0.8</v>
      </c>
      <c r="O110" s="4">
        <f t="shared" si="9"/>
        <v>63.500000000000014</v>
      </c>
      <c r="P110" s="4">
        <v>66</v>
      </c>
      <c r="Q110" s="4">
        <f t="shared" si="8"/>
        <v>0.85945945945945945</v>
      </c>
      <c r="R110" s="8">
        <f t="shared" si="10"/>
        <v>0.68756756756756765</v>
      </c>
      <c r="S110" s="8">
        <f t="shared" si="11"/>
        <v>-0.68756756756756765</v>
      </c>
      <c r="T110" s="8">
        <f t="shared" si="6"/>
        <v>78.688918918918915</v>
      </c>
      <c r="V110" s="4">
        <v>561.79999999999995</v>
      </c>
      <c r="X110" s="4">
        <f t="shared" si="7"/>
        <v>55791.400000000009</v>
      </c>
      <c r="AA110" s="4">
        <v>9.4181016683168792</v>
      </c>
    </row>
    <row r="111" spans="1:27" s="4" customFormat="1" x14ac:dyDescent="0.25">
      <c r="A111" s="57"/>
      <c r="B111" s="9"/>
      <c r="C111" s="6">
        <v>41957</v>
      </c>
      <c r="D111" s="4">
        <v>10.4</v>
      </c>
      <c r="E111" s="4">
        <v>9.6999999999999993</v>
      </c>
      <c r="F111" s="4">
        <v>11.6</v>
      </c>
      <c r="G111" s="4">
        <f t="shared" ref="G111:G174" si="12">G110+D111</f>
        <v>918.99999999999977</v>
      </c>
      <c r="J111" s="4">
        <v>4.5</v>
      </c>
      <c r="K111" s="4">
        <f t="shared" ref="K111:K174" si="13">K110+J111</f>
        <v>126.89999999999996</v>
      </c>
      <c r="L111" s="4">
        <v>0.4</v>
      </c>
      <c r="M111" s="4">
        <f t="shared" ref="M111:M174" si="14">M110+L111</f>
        <v>108.60000000000001</v>
      </c>
      <c r="N111" s="4">
        <v>4.0999999999999996</v>
      </c>
      <c r="O111" s="4">
        <f t="shared" si="9"/>
        <v>67.600000000000009</v>
      </c>
      <c r="P111" s="4">
        <v>67</v>
      </c>
      <c r="Q111" s="4">
        <f t="shared" si="8"/>
        <v>0.8682432432432432</v>
      </c>
      <c r="R111" s="8">
        <f t="shared" si="10"/>
        <v>0.3472972972972973</v>
      </c>
      <c r="S111" s="8">
        <f t="shared" si="11"/>
        <v>4.1527027027027028</v>
      </c>
      <c r="T111" s="8">
        <f t="shared" ref="T111:T174" si="15">MIN(138.9,(T110+S111))</f>
        <v>82.841621621621613</v>
      </c>
      <c r="V111" s="4">
        <v>203.5</v>
      </c>
      <c r="X111" s="4">
        <f t="shared" ref="X111:X174" si="16">X110+V111</f>
        <v>55994.900000000009</v>
      </c>
      <c r="AA111" s="4">
        <v>9.3735919539195294</v>
      </c>
    </row>
    <row r="112" spans="1:27" s="4" customFormat="1" x14ac:dyDescent="0.25">
      <c r="A112" s="57"/>
      <c r="B112" s="9"/>
      <c r="C112" s="6">
        <v>41958</v>
      </c>
      <c r="D112" s="4">
        <v>10</v>
      </c>
      <c r="E112" s="4">
        <v>9.1</v>
      </c>
      <c r="F112" s="4">
        <v>12.2</v>
      </c>
      <c r="G112" s="4">
        <f t="shared" si="12"/>
        <v>928.99999999999977</v>
      </c>
      <c r="J112" s="4">
        <v>1</v>
      </c>
      <c r="K112" s="4">
        <f t="shared" si="13"/>
        <v>127.89999999999996</v>
      </c>
      <c r="L112" s="4">
        <v>0.6</v>
      </c>
      <c r="M112" s="4">
        <f t="shared" si="14"/>
        <v>109.2</v>
      </c>
      <c r="N112" s="4">
        <v>0.4</v>
      </c>
      <c r="O112" s="4">
        <f t="shared" si="9"/>
        <v>68.000000000000014</v>
      </c>
      <c r="P112" s="4">
        <v>68</v>
      </c>
      <c r="Q112" s="4">
        <f t="shared" si="8"/>
        <v>0.87702702702702706</v>
      </c>
      <c r="R112" s="8">
        <f t="shared" si="10"/>
        <v>0.52621621621621617</v>
      </c>
      <c r="S112" s="8">
        <f t="shared" si="11"/>
        <v>0.47378378378378383</v>
      </c>
      <c r="T112" s="8">
        <f t="shared" si="15"/>
        <v>83.3154054054054</v>
      </c>
      <c r="V112" s="4">
        <v>201</v>
      </c>
      <c r="X112" s="4">
        <f t="shared" si="16"/>
        <v>56195.900000000009</v>
      </c>
      <c r="AA112" s="4">
        <v>9.3297704421394307</v>
      </c>
    </row>
    <row r="113" spans="1:27" s="4" customFormat="1" x14ac:dyDescent="0.25">
      <c r="A113" s="57"/>
      <c r="B113" s="9"/>
      <c r="C113" s="6">
        <v>41959</v>
      </c>
      <c r="D113" s="4">
        <v>8.9</v>
      </c>
      <c r="E113" s="4">
        <v>8.1</v>
      </c>
      <c r="F113" s="4">
        <v>10.3</v>
      </c>
      <c r="G113" s="4">
        <f t="shared" si="12"/>
        <v>937.89999999999975</v>
      </c>
      <c r="J113" s="4">
        <v>7.2</v>
      </c>
      <c r="K113" s="4">
        <f t="shared" si="13"/>
        <v>135.09999999999997</v>
      </c>
      <c r="L113" s="4">
        <v>0.6</v>
      </c>
      <c r="M113" s="4">
        <f t="shared" si="14"/>
        <v>109.8</v>
      </c>
      <c r="N113" s="4">
        <v>6.6000000000000005</v>
      </c>
      <c r="O113" s="4">
        <f t="shared" si="9"/>
        <v>74.600000000000009</v>
      </c>
      <c r="P113" s="4">
        <v>69</v>
      </c>
      <c r="Q113" s="4">
        <f t="shared" si="8"/>
        <v>0.88581081081081081</v>
      </c>
      <c r="R113" s="8">
        <f t="shared" si="10"/>
        <v>0.53148648648648644</v>
      </c>
      <c r="S113" s="8">
        <f t="shared" si="11"/>
        <v>6.6685135135135134</v>
      </c>
      <c r="T113" s="8">
        <f t="shared" si="15"/>
        <v>89.983918918918917</v>
      </c>
      <c r="V113" s="4">
        <v>142.30000000000001</v>
      </c>
      <c r="X113" s="4">
        <f t="shared" si="16"/>
        <v>56338.200000000012</v>
      </c>
      <c r="AA113" s="4">
        <v>9.2866641023712209</v>
      </c>
    </row>
    <row r="114" spans="1:27" s="4" customFormat="1" x14ac:dyDescent="0.25">
      <c r="A114" s="57"/>
      <c r="B114" s="9"/>
      <c r="C114" s="6">
        <v>41960</v>
      </c>
      <c r="D114" s="4">
        <v>8.6</v>
      </c>
      <c r="E114" s="4">
        <v>8.1999999999999993</v>
      </c>
      <c r="F114" s="4">
        <v>9.6999999999999993</v>
      </c>
      <c r="G114" s="4">
        <f t="shared" si="12"/>
        <v>946.49999999999977</v>
      </c>
      <c r="J114" s="4">
        <v>6.8</v>
      </c>
      <c r="K114" s="4">
        <f t="shared" si="13"/>
        <v>141.89999999999998</v>
      </c>
      <c r="L114" s="4">
        <v>0.3</v>
      </c>
      <c r="M114" s="4">
        <f t="shared" si="14"/>
        <v>110.1</v>
      </c>
      <c r="N114" s="4">
        <v>6.5</v>
      </c>
      <c r="O114" s="4">
        <f t="shared" si="9"/>
        <v>81.100000000000009</v>
      </c>
      <c r="P114" s="4">
        <v>70</v>
      </c>
      <c r="Q114" s="4">
        <f t="shared" si="8"/>
        <v>0.89459459459459456</v>
      </c>
      <c r="R114" s="8">
        <f t="shared" si="10"/>
        <v>0.26837837837837836</v>
      </c>
      <c r="S114" s="8">
        <f t="shared" si="11"/>
        <v>6.5316216216216212</v>
      </c>
      <c r="T114" s="8">
        <f t="shared" si="15"/>
        <v>96.515540540540542</v>
      </c>
      <c r="V114" s="4">
        <v>151.80000000000001</v>
      </c>
      <c r="X114" s="4">
        <f t="shared" si="16"/>
        <v>56490.000000000015</v>
      </c>
      <c r="AA114" s="4">
        <v>9.2443003400289498</v>
      </c>
    </row>
    <row r="115" spans="1:27" s="4" customFormat="1" x14ac:dyDescent="0.25">
      <c r="A115" s="57"/>
      <c r="B115" s="9"/>
      <c r="C115" s="6">
        <v>41961</v>
      </c>
      <c r="D115" s="4">
        <v>8.1999999999999993</v>
      </c>
      <c r="E115" s="4">
        <v>7.7</v>
      </c>
      <c r="F115" s="4">
        <v>9.9</v>
      </c>
      <c r="G115" s="4">
        <f t="shared" si="12"/>
        <v>954.69999999999982</v>
      </c>
      <c r="J115" s="4">
        <v>2</v>
      </c>
      <c r="K115" s="4">
        <f t="shared" si="13"/>
        <v>143.89999999999998</v>
      </c>
      <c r="L115" s="4">
        <v>0.3</v>
      </c>
      <c r="M115" s="4">
        <f t="shared" si="14"/>
        <v>110.39999999999999</v>
      </c>
      <c r="N115" s="4">
        <v>1.7</v>
      </c>
      <c r="O115" s="4">
        <f t="shared" si="9"/>
        <v>82.800000000000011</v>
      </c>
      <c r="P115" s="4">
        <v>71</v>
      </c>
      <c r="Q115" s="4">
        <f t="shared" si="8"/>
        <v>0.90337837837837831</v>
      </c>
      <c r="R115" s="8">
        <f t="shared" si="10"/>
        <v>0.27101351351351349</v>
      </c>
      <c r="S115" s="8">
        <f t="shared" si="11"/>
        <v>1.7289864864864866</v>
      </c>
      <c r="T115" s="8">
        <f t="shared" si="15"/>
        <v>98.244527027027033</v>
      </c>
      <c r="V115" s="4">
        <v>124.2</v>
      </c>
      <c r="X115" s="4">
        <f t="shared" si="16"/>
        <v>56614.200000000012</v>
      </c>
      <c r="AA115" s="4">
        <v>9.2027069604874896</v>
      </c>
    </row>
    <row r="116" spans="1:27" s="4" customFormat="1" x14ac:dyDescent="0.25">
      <c r="A116" s="57"/>
      <c r="B116" s="9"/>
      <c r="C116" s="6">
        <v>41962</v>
      </c>
      <c r="D116" s="4">
        <v>7.1</v>
      </c>
      <c r="E116" s="4">
        <v>5.7</v>
      </c>
      <c r="F116" s="4">
        <v>8.3000000000000007</v>
      </c>
      <c r="G116" s="4">
        <f t="shared" si="12"/>
        <v>961.79999999999984</v>
      </c>
      <c r="J116" s="4">
        <v>0.2</v>
      </c>
      <c r="K116" s="4">
        <f t="shared" si="13"/>
        <v>144.09999999999997</v>
      </c>
      <c r="L116" s="4">
        <v>0.2</v>
      </c>
      <c r="M116" s="4">
        <f t="shared" si="14"/>
        <v>110.6</v>
      </c>
      <c r="N116" s="7">
        <v>0</v>
      </c>
      <c r="O116" s="4">
        <f t="shared" si="9"/>
        <v>82.800000000000011</v>
      </c>
      <c r="P116" s="4">
        <v>72</v>
      </c>
      <c r="Q116" s="4">
        <f t="shared" si="8"/>
        <v>0.91216216216216217</v>
      </c>
      <c r="R116" s="8">
        <f t="shared" si="10"/>
        <v>0.18243243243243246</v>
      </c>
      <c r="S116" s="8">
        <f t="shared" si="11"/>
        <v>1.7567567567567555E-2</v>
      </c>
      <c r="T116" s="8">
        <f t="shared" si="15"/>
        <v>98.2620945945946</v>
      </c>
      <c r="V116" s="4">
        <v>210.8</v>
      </c>
      <c r="X116" s="4">
        <f t="shared" si="16"/>
        <v>56825.000000000015</v>
      </c>
      <c r="AA116" s="4">
        <v>9.1619121293816601</v>
      </c>
    </row>
    <row r="117" spans="1:27" s="4" customFormat="1" x14ac:dyDescent="0.25">
      <c r="A117" s="57"/>
      <c r="B117" s="9"/>
      <c r="C117" s="6">
        <v>41963</v>
      </c>
      <c r="D117" s="4">
        <v>7.9</v>
      </c>
      <c r="E117" s="4">
        <v>6.4</v>
      </c>
      <c r="F117" s="4">
        <v>10</v>
      </c>
      <c r="G117" s="4">
        <f t="shared" si="12"/>
        <v>969.69999999999982</v>
      </c>
      <c r="J117" s="4">
        <v>0.1</v>
      </c>
      <c r="K117" s="4">
        <f t="shared" si="13"/>
        <v>144.19999999999996</v>
      </c>
      <c r="L117" s="4">
        <v>0.3</v>
      </c>
      <c r="M117" s="4">
        <f t="shared" si="14"/>
        <v>110.89999999999999</v>
      </c>
      <c r="N117" s="7">
        <v>-0.19999999999999998</v>
      </c>
      <c r="O117" s="4">
        <f t="shared" si="9"/>
        <v>82.600000000000009</v>
      </c>
      <c r="P117" s="4">
        <v>73</v>
      </c>
      <c r="Q117" s="4">
        <f t="shared" si="8"/>
        <v>0.92094594594594592</v>
      </c>
      <c r="R117" s="8">
        <f t="shared" si="10"/>
        <v>0.27628378378378377</v>
      </c>
      <c r="S117" s="8">
        <f t="shared" si="11"/>
        <v>-0.17628378378378376</v>
      </c>
      <c r="T117" s="8">
        <f t="shared" si="15"/>
        <v>98.085810810810813</v>
      </c>
      <c r="V117" s="4">
        <v>241.4</v>
      </c>
      <c r="X117" s="4">
        <f t="shared" si="16"/>
        <v>57066.400000000016</v>
      </c>
      <c r="AA117" s="4">
        <v>9.1219443292142106</v>
      </c>
    </row>
    <row r="118" spans="1:27" s="4" customFormat="1" x14ac:dyDescent="0.25">
      <c r="A118" s="57"/>
      <c r="B118" s="9"/>
      <c r="C118" s="6">
        <v>41964</v>
      </c>
      <c r="D118" s="4">
        <v>7.9</v>
      </c>
      <c r="E118" s="4">
        <v>4.0999999999999996</v>
      </c>
      <c r="F118" s="4">
        <v>11.4</v>
      </c>
      <c r="G118" s="4">
        <f t="shared" si="12"/>
        <v>977.5999999999998</v>
      </c>
      <c r="J118" s="4">
        <v>0.3</v>
      </c>
      <c r="K118" s="4">
        <f t="shared" si="13"/>
        <v>144.49999999999997</v>
      </c>
      <c r="L118" s="4">
        <v>0.9</v>
      </c>
      <c r="M118" s="4">
        <f t="shared" si="14"/>
        <v>111.8</v>
      </c>
      <c r="N118" s="7">
        <v>-0.60000000000000009</v>
      </c>
      <c r="O118" s="4">
        <f t="shared" si="9"/>
        <v>82.000000000000014</v>
      </c>
      <c r="P118" s="4">
        <v>74</v>
      </c>
      <c r="Q118" s="4">
        <f t="shared" ref="Q118:Q126" si="17">0.35+((P118-8)/74)*(1-0.35)</f>
        <v>0.92972972972972967</v>
      </c>
      <c r="R118" s="8">
        <f t="shared" si="10"/>
        <v>0.83675675675675676</v>
      </c>
      <c r="S118" s="8">
        <f t="shared" si="11"/>
        <v>-0.53675675675675683</v>
      </c>
      <c r="T118" s="8">
        <f t="shared" si="15"/>
        <v>97.549054054054054</v>
      </c>
      <c r="V118" s="4">
        <v>569</v>
      </c>
      <c r="X118" s="4">
        <f t="shared" si="16"/>
        <v>57635.400000000016</v>
      </c>
      <c r="AA118" s="4">
        <v>9.08283231224625</v>
      </c>
    </row>
    <row r="119" spans="1:27" s="4" customFormat="1" x14ac:dyDescent="0.25">
      <c r="A119" s="57"/>
      <c r="B119" s="9"/>
      <c r="C119" s="6">
        <v>41965</v>
      </c>
      <c r="D119" s="4">
        <v>10</v>
      </c>
      <c r="E119" s="4">
        <v>6</v>
      </c>
      <c r="F119" s="4">
        <v>14.5</v>
      </c>
      <c r="G119" s="4">
        <f t="shared" si="12"/>
        <v>987.5999999999998</v>
      </c>
      <c r="J119" s="4">
        <v>0.2</v>
      </c>
      <c r="K119" s="4">
        <f t="shared" si="13"/>
        <v>144.69999999999996</v>
      </c>
      <c r="L119" s="4">
        <v>0.7</v>
      </c>
      <c r="M119" s="4">
        <f t="shared" si="14"/>
        <v>112.5</v>
      </c>
      <c r="N119" s="7">
        <v>-0.49999999999999994</v>
      </c>
      <c r="O119" s="4">
        <f t="shared" si="9"/>
        <v>81.500000000000014</v>
      </c>
      <c r="P119" s="4">
        <v>75</v>
      </c>
      <c r="Q119" s="4">
        <f t="shared" si="17"/>
        <v>0.93851351351351353</v>
      </c>
      <c r="R119" s="8">
        <f t="shared" si="10"/>
        <v>0.65695945945945944</v>
      </c>
      <c r="S119" s="8">
        <f t="shared" si="11"/>
        <v>-0.45695945945945943</v>
      </c>
      <c r="T119" s="8">
        <f t="shared" si="15"/>
        <v>97.092094594594599</v>
      </c>
      <c r="V119" s="4">
        <v>292.60000000000002</v>
      </c>
      <c r="X119" s="4">
        <f t="shared" si="16"/>
        <v>57928.000000000015</v>
      </c>
      <c r="AA119" s="4">
        <v>9.0446050496683004</v>
      </c>
    </row>
    <row r="120" spans="1:27" s="4" customFormat="1" x14ac:dyDescent="0.25">
      <c r="A120" s="57"/>
      <c r="B120" s="9"/>
      <c r="C120" s="6">
        <v>41966</v>
      </c>
      <c r="D120" s="4">
        <v>11.9</v>
      </c>
      <c r="E120" s="4">
        <v>7.8</v>
      </c>
      <c r="F120" s="4">
        <v>16.2</v>
      </c>
      <c r="G120" s="4">
        <f t="shared" si="12"/>
        <v>999.49999999999977</v>
      </c>
      <c r="J120" s="4">
        <v>0.2</v>
      </c>
      <c r="K120" s="4">
        <f t="shared" si="13"/>
        <v>144.89999999999995</v>
      </c>
      <c r="L120" s="4">
        <v>0.9</v>
      </c>
      <c r="M120" s="4">
        <f t="shared" si="14"/>
        <v>113.4</v>
      </c>
      <c r="N120" s="7">
        <v>-0.7</v>
      </c>
      <c r="O120" s="4">
        <f t="shared" si="9"/>
        <v>80.800000000000011</v>
      </c>
      <c r="P120" s="4">
        <v>76</v>
      </c>
      <c r="Q120" s="4">
        <f t="shared" si="17"/>
        <v>0.94729729729729728</v>
      </c>
      <c r="R120" s="8">
        <f t="shared" si="10"/>
        <v>0.85256756756756757</v>
      </c>
      <c r="S120" s="8">
        <f t="shared" si="11"/>
        <v>-0.65256756756756751</v>
      </c>
      <c r="T120" s="8">
        <f t="shared" si="15"/>
        <v>96.439527027027026</v>
      </c>
      <c r="V120" s="4">
        <v>527</v>
      </c>
      <c r="X120" s="4">
        <f t="shared" si="16"/>
        <v>58455.000000000015</v>
      </c>
      <c r="AA120" s="4">
        <v>9.0072916770767009</v>
      </c>
    </row>
    <row r="121" spans="1:27" s="4" customFormat="1" x14ac:dyDescent="0.25">
      <c r="A121" s="57"/>
      <c r="B121" s="9"/>
      <c r="C121" s="6">
        <v>41967</v>
      </c>
      <c r="D121" s="4">
        <v>10.9</v>
      </c>
      <c r="E121" s="4">
        <v>10.6</v>
      </c>
      <c r="F121" s="4">
        <v>11.3</v>
      </c>
      <c r="G121" s="4">
        <f t="shared" si="12"/>
        <v>1010.3999999999997</v>
      </c>
      <c r="J121" s="4">
        <v>0.1</v>
      </c>
      <c r="K121" s="4">
        <f t="shared" si="13"/>
        <v>144.99999999999994</v>
      </c>
      <c r="L121" s="4">
        <v>0.3</v>
      </c>
      <c r="M121" s="4">
        <f t="shared" si="14"/>
        <v>113.7</v>
      </c>
      <c r="N121" s="7">
        <v>-0.19999999999999998</v>
      </c>
      <c r="O121" s="4">
        <f t="shared" si="9"/>
        <v>80.600000000000009</v>
      </c>
      <c r="P121" s="4">
        <v>77</v>
      </c>
      <c r="Q121" s="4">
        <f t="shared" si="17"/>
        <v>0.95608108108108114</v>
      </c>
      <c r="R121" s="8">
        <f t="shared" si="10"/>
        <v>0.28682432432432431</v>
      </c>
      <c r="S121" s="8">
        <f t="shared" si="11"/>
        <v>-0.1868243243243243</v>
      </c>
      <c r="T121" s="8">
        <f t="shared" si="15"/>
        <v>96.252702702702706</v>
      </c>
      <c r="V121" s="4">
        <v>112.1</v>
      </c>
      <c r="X121" s="4">
        <f t="shared" si="16"/>
        <v>58567.100000000013</v>
      </c>
      <c r="AA121" s="4">
        <v>8.9709214363099505</v>
      </c>
    </row>
    <row r="122" spans="1:27" s="4" customFormat="1" x14ac:dyDescent="0.25">
      <c r="A122" s="57"/>
      <c r="B122" s="9"/>
      <c r="C122" s="6">
        <v>41968</v>
      </c>
      <c r="D122" s="4">
        <v>10.9</v>
      </c>
      <c r="E122" s="4">
        <v>10.1</v>
      </c>
      <c r="F122" s="4">
        <v>11.7</v>
      </c>
      <c r="G122" s="4">
        <f t="shared" si="12"/>
        <v>1021.2999999999997</v>
      </c>
      <c r="J122" s="4">
        <v>14</v>
      </c>
      <c r="K122" s="4">
        <f t="shared" si="13"/>
        <v>158.99999999999994</v>
      </c>
      <c r="L122" s="4">
        <v>0.3</v>
      </c>
      <c r="M122" s="4">
        <f t="shared" si="14"/>
        <v>114</v>
      </c>
      <c r="N122" s="4">
        <v>13.7</v>
      </c>
      <c r="O122" s="4">
        <f t="shared" si="9"/>
        <v>94.300000000000011</v>
      </c>
      <c r="P122" s="4">
        <v>78</v>
      </c>
      <c r="Q122" s="4">
        <f t="shared" si="17"/>
        <v>0.96486486486486489</v>
      </c>
      <c r="R122" s="8">
        <f t="shared" si="10"/>
        <v>0.28945945945945944</v>
      </c>
      <c r="S122" s="8">
        <f t="shared" si="11"/>
        <v>13.71054054054054</v>
      </c>
      <c r="T122" s="8">
        <f t="shared" si="15"/>
        <v>109.96324324324324</v>
      </c>
      <c r="V122" s="4">
        <v>129.19999999999999</v>
      </c>
      <c r="X122" s="4">
        <f t="shared" si="16"/>
        <v>58696.30000000001</v>
      </c>
      <c r="AA122" s="4">
        <v>8.9355236137305099</v>
      </c>
    </row>
    <row r="123" spans="1:27" s="4" customFormat="1" x14ac:dyDescent="0.25">
      <c r="A123" s="57"/>
      <c r="B123" s="9"/>
      <c r="C123" s="6">
        <v>41969</v>
      </c>
      <c r="D123" s="4">
        <v>11</v>
      </c>
      <c r="E123" s="4">
        <v>9.9</v>
      </c>
      <c r="F123" s="4">
        <v>13.1</v>
      </c>
      <c r="G123" s="4">
        <f t="shared" si="12"/>
        <v>1032.2999999999997</v>
      </c>
      <c r="J123" s="4">
        <v>0.3</v>
      </c>
      <c r="K123" s="4">
        <f t="shared" si="13"/>
        <v>159.29999999999995</v>
      </c>
      <c r="L123" s="4">
        <v>0.3</v>
      </c>
      <c r="M123" s="4">
        <f t="shared" si="14"/>
        <v>114.3</v>
      </c>
      <c r="N123" s="7">
        <v>0</v>
      </c>
      <c r="O123" s="4">
        <f t="shared" si="9"/>
        <v>94.300000000000011</v>
      </c>
      <c r="P123" s="4">
        <v>79</v>
      </c>
      <c r="Q123" s="4">
        <f t="shared" si="17"/>
        <v>0.97364864864864864</v>
      </c>
      <c r="R123" s="8">
        <f t="shared" si="10"/>
        <v>0.29209459459459458</v>
      </c>
      <c r="S123" s="8">
        <f t="shared" si="11"/>
        <v>7.9054054054054079E-3</v>
      </c>
      <c r="T123" s="8">
        <f t="shared" si="15"/>
        <v>109.97114864864865</v>
      </c>
      <c r="V123" s="4">
        <v>137.69999999999999</v>
      </c>
      <c r="X123" s="4">
        <f t="shared" si="16"/>
        <v>58834.000000000007</v>
      </c>
      <c r="AA123" s="4">
        <v>8.9011274750711706</v>
      </c>
    </row>
    <row r="124" spans="1:27" s="4" customFormat="1" x14ac:dyDescent="0.25">
      <c r="A124" s="57"/>
      <c r="B124" s="9"/>
      <c r="C124" s="6">
        <v>41970</v>
      </c>
      <c r="D124" s="4">
        <v>9</v>
      </c>
      <c r="E124" s="4">
        <v>6.3</v>
      </c>
      <c r="F124" s="4">
        <v>12.8</v>
      </c>
      <c r="G124" s="4">
        <f t="shared" si="12"/>
        <v>1041.2999999999997</v>
      </c>
      <c r="J124" s="4">
        <v>0.3</v>
      </c>
      <c r="K124" s="4">
        <f t="shared" si="13"/>
        <v>159.59999999999997</v>
      </c>
      <c r="L124" s="4">
        <v>0.5</v>
      </c>
      <c r="M124" s="4">
        <f t="shared" si="14"/>
        <v>114.8</v>
      </c>
      <c r="N124" s="7">
        <v>-0.2</v>
      </c>
      <c r="O124" s="4">
        <f t="shared" si="9"/>
        <v>94.100000000000009</v>
      </c>
      <c r="P124" s="4">
        <v>80</v>
      </c>
      <c r="Q124" s="4">
        <f t="shared" si="17"/>
        <v>0.9824324324324325</v>
      </c>
      <c r="R124" s="8">
        <f t="shared" si="10"/>
        <v>0.49121621621621625</v>
      </c>
      <c r="S124" s="8">
        <f t="shared" si="11"/>
        <v>-0.19121621621621626</v>
      </c>
      <c r="T124" s="8">
        <f t="shared" si="15"/>
        <v>109.77993243243243</v>
      </c>
      <c r="V124" s="4">
        <v>378.5</v>
      </c>
      <c r="X124" s="4">
        <f t="shared" si="16"/>
        <v>59212.500000000007</v>
      </c>
      <c r="AA124" s="4">
        <v>8.8677621969999993</v>
      </c>
    </row>
    <row r="125" spans="1:27" s="4" customFormat="1" x14ac:dyDescent="0.25">
      <c r="A125" s="57"/>
      <c r="B125" s="9"/>
      <c r="C125" s="6">
        <v>41971</v>
      </c>
      <c r="D125" s="4">
        <v>12.4</v>
      </c>
      <c r="E125" s="4">
        <v>7.8</v>
      </c>
      <c r="F125" s="4">
        <v>15.8</v>
      </c>
      <c r="G125" s="4">
        <f t="shared" si="12"/>
        <v>1053.6999999999998</v>
      </c>
      <c r="J125" s="4">
        <v>0.4</v>
      </c>
      <c r="K125" s="4">
        <f t="shared" si="13"/>
        <v>159.99999999999997</v>
      </c>
      <c r="L125" s="4">
        <v>1.1000000000000001</v>
      </c>
      <c r="M125" s="4">
        <f t="shared" si="14"/>
        <v>115.89999999999999</v>
      </c>
      <c r="N125" s="7">
        <v>-0.70000000000000007</v>
      </c>
      <c r="O125" s="4">
        <f t="shared" si="9"/>
        <v>93.4</v>
      </c>
      <c r="P125" s="4">
        <v>81</v>
      </c>
      <c r="Q125" s="4">
        <f t="shared" si="17"/>
        <v>0.99121621621621625</v>
      </c>
      <c r="R125" s="8">
        <f t="shared" si="10"/>
        <v>1.0903378378378379</v>
      </c>
      <c r="S125" s="8">
        <f t="shared" si="11"/>
        <v>-0.69033783783783786</v>
      </c>
      <c r="T125" s="8">
        <f t="shared" si="15"/>
        <v>109.08959459459459</v>
      </c>
      <c r="V125" s="4">
        <v>501.2</v>
      </c>
      <c r="X125" s="4">
        <f t="shared" si="16"/>
        <v>59713.700000000004</v>
      </c>
      <c r="AA125" s="4">
        <v>8.8354567955948298</v>
      </c>
    </row>
    <row r="126" spans="1:27" s="29" customFormat="1" ht="15.75" thickBot="1" x14ac:dyDescent="0.3">
      <c r="A126" s="57"/>
      <c r="B126" s="27"/>
      <c r="C126" s="28">
        <v>41972</v>
      </c>
      <c r="D126" s="29">
        <v>9.5</v>
      </c>
      <c r="E126" s="29">
        <v>8.1</v>
      </c>
      <c r="F126" s="29">
        <v>11.4</v>
      </c>
      <c r="G126" s="29">
        <f t="shared" si="12"/>
        <v>1063.1999999999998</v>
      </c>
      <c r="J126" s="29">
        <v>0</v>
      </c>
      <c r="K126" s="29">
        <f t="shared" si="13"/>
        <v>159.99999999999997</v>
      </c>
      <c r="L126" s="29">
        <v>1</v>
      </c>
      <c r="M126" s="29">
        <f t="shared" si="14"/>
        <v>116.89999999999999</v>
      </c>
      <c r="N126" s="30">
        <v>-1</v>
      </c>
      <c r="O126" s="29">
        <f t="shared" si="9"/>
        <v>92.4</v>
      </c>
      <c r="P126" s="29">
        <v>82</v>
      </c>
      <c r="Q126" s="29">
        <f t="shared" si="17"/>
        <v>1</v>
      </c>
      <c r="R126" s="31">
        <f t="shared" si="10"/>
        <v>1</v>
      </c>
      <c r="S126" s="31">
        <f t="shared" si="11"/>
        <v>-1</v>
      </c>
      <c r="T126" s="31">
        <f t="shared" si="15"/>
        <v>108.08959459459459</v>
      </c>
      <c r="V126" s="29">
        <v>510.5</v>
      </c>
      <c r="W126" s="29">
        <f>(X126/100)/I58</f>
        <v>0.56644281414597442</v>
      </c>
      <c r="X126" s="29">
        <f t="shared" si="16"/>
        <v>60224.200000000004</v>
      </c>
      <c r="AA126" s="29">
        <v>8.8042400519551496</v>
      </c>
    </row>
    <row r="127" spans="1:27" s="4" customFormat="1" x14ac:dyDescent="0.25">
      <c r="A127" s="58" t="s">
        <v>43</v>
      </c>
      <c r="B127" s="12"/>
      <c r="C127" s="6">
        <v>41973</v>
      </c>
      <c r="D127" s="4">
        <v>3.8</v>
      </c>
      <c r="E127" s="4">
        <v>3.5</v>
      </c>
      <c r="F127" s="4">
        <v>7</v>
      </c>
      <c r="G127" s="4">
        <f t="shared" si="12"/>
        <v>1066.9999999999998</v>
      </c>
      <c r="H127" s="4">
        <f>D127</f>
        <v>3.8</v>
      </c>
      <c r="I127" s="13" t="s">
        <v>27</v>
      </c>
      <c r="J127" s="4">
        <v>1</v>
      </c>
      <c r="K127" s="4">
        <f t="shared" si="13"/>
        <v>160.99999999999997</v>
      </c>
      <c r="L127" s="4">
        <v>1</v>
      </c>
      <c r="M127" s="4">
        <f t="shared" si="14"/>
        <v>117.89999999999999</v>
      </c>
      <c r="N127" s="7">
        <v>0</v>
      </c>
      <c r="O127" s="4">
        <f t="shared" si="9"/>
        <v>92.4</v>
      </c>
      <c r="P127" s="4">
        <v>83</v>
      </c>
      <c r="Q127" s="4">
        <v>1</v>
      </c>
      <c r="R127" s="8">
        <f t="shared" si="10"/>
        <v>1</v>
      </c>
      <c r="S127" s="8">
        <f t="shared" si="11"/>
        <v>0</v>
      </c>
      <c r="T127" s="8">
        <f t="shared" si="15"/>
        <v>108.08959459459459</v>
      </c>
      <c r="U127" s="13" t="s">
        <v>28</v>
      </c>
      <c r="V127" s="4">
        <v>233.4</v>
      </c>
      <c r="X127" s="4">
        <f t="shared" si="16"/>
        <v>60457.600000000006</v>
      </c>
      <c r="Y127" s="4">
        <f>V127</f>
        <v>233.4</v>
      </c>
      <c r="Z127" s="13" t="s">
        <v>29</v>
      </c>
      <c r="AA127" s="4">
        <v>8.77414043521817</v>
      </c>
    </row>
    <row r="128" spans="1:27" s="4" customFormat="1" x14ac:dyDescent="0.25">
      <c r="A128" s="58"/>
      <c r="B128" s="12"/>
      <c r="C128" s="6">
        <v>41974</v>
      </c>
      <c r="D128" s="4">
        <v>4.2</v>
      </c>
      <c r="E128" s="4">
        <v>2.9</v>
      </c>
      <c r="F128" s="4">
        <v>6.4</v>
      </c>
      <c r="G128" s="4">
        <f t="shared" si="12"/>
        <v>1071.1999999999998</v>
      </c>
      <c r="H128" s="4">
        <f>H127+D128</f>
        <v>8</v>
      </c>
      <c r="I128" s="4">
        <f>MIN(E127:E217)</f>
        <v>-5.6</v>
      </c>
      <c r="J128" s="4">
        <v>0.8</v>
      </c>
      <c r="K128" s="4">
        <f t="shared" si="13"/>
        <v>161.79999999999998</v>
      </c>
      <c r="L128" s="4">
        <v>0.5</v>
      </c>
      <c r="M128" s="4">
        <f t="shared" si="14"/>
        <v>118.39999999999999</v>
      </c>
      <c r="N128" s="4">
        <v>0.30000000000000004</v>
      </c>
      <c r="O128" s="4">
        <f t="shared" si="9"/>
        <v>92.7</v>
      </c>
      <c r="P128" s="4">
        <v>84</v>
      </c>
      <c r="Q128" s="4">
        <v>1</v>
      </c>
      <c r="R128" s="8">
        <f t="shared" si="10"/>
        <v>0.5</v>
      </c>
      <c r="S128" s="8">
        <f t="shared" si="11"/>
        <v>0.30000000000000004</v>
      </c>
      <c r="T128" s="8">
        <f t="shared" si="15"/>
        <v>108.38959459459458</v>
      </c>
      <c r="U128" s="4">
        <v>48</v>
      </c>
      <c r="V128" s="4">
        <v>85.7</v>
      </c>
      <c r="X128" s="4">
        <f t="shared" si="16"/>
        <v>60543.3</v>
      </c>
      <c r="Y128" s="4">
        <f>Y127+V128</f>
        <v>319.10000000000002</v>
      </c>
      <c r="Z128" s="4">
        <v>27777.000000000004</v>
      </c>
      <c r="AA128" s="4">
        <v>8.7451860232837699</v>
      </c>
    </row>
    <row r="129" spans="1:27" s="4" customFormat="1" x14ac:dyDescent="0.25">
      <c r="A129" s="58"/>
      <c r="B129" s="12"/>
      <c r="C129" s="6">
        <v>41975</v>
      </c>
      <c r="D129" s="4">
        <v>3.5</v>
      </c>
      <c r="E129" s="4">
        <v>2.4</v>
      </c>
      <c r="F129" s="4">
        <v>4.4000000000000004</v>
      </c>
      <c r="G129" s="4">
        <f t="shared" si="12"/>
        <v>1074.6999999999998</v>
      </c>
      <c r="H129" s="4">
        <f t="shared" ref="H129:H191" si="18">H128+D129</f>
        <v>11.5</v>
      </c>
      <c r="I129" s="13" t="s">
        <v>30</v>
      </c>
      <c r="J129" s="4">
        <v>1.5</v>
      </c>
      <c r="K129" s="4">
        <f t="shared" si="13"/>
        <v>163.29999999999998</v>
      </c>
      <c r="L129" s="4">
        <v>0.3</v>
      </c>
      <c r="M129" s="4">
        <f t="shared" si="14"/>
        <v>118.69999999999999</v>
      </c>
      <c r="N129" s="4">
        <v>1.2</v>
      </c>
      <c r="O129" s="4">
        <f t="shared" si="9"/>
        <v>93.9</v>
      </c>
      <c r="P129" s="4">
        <v>85</v>
      </c>
      <c r="Q129" s="4">
        <v>1</v>
      </c>
      <c r="R129" s="8">
        <f t="shared" si="10"/>
        <v>0.3</v>
      </c>
      <c r="S129" s="8">
        <f t="shared" si="11"/>
        <v>1.2</v>
      </c>
      <c r="T129" s="8">
        <f t="shared" si="15"/>
        <v>109.58959459459459</v>
      </c>
      <c r="U129" s="13" t="s">
        <v>31</v>
      </c>
      <c r="V129" s="4">
        <v>98.1</v>
      </c>
      <c r="X129" s="4">
        <f t="shared" si="16"/>
        <v>60641.4</v>
      </c>
      <c r="Y129" s="4">
        <f t="shared" ref="Y129:Y192" si="19">Y128+V129</f>
        <v>417.20000000000005</v>
      </c>
      <c r="Z129" s="13" t="s">
        <v>32</v>
      </c>
      <c r="AA129" s="4">
        <v>8.7174044215913895</v>
      </c>
    </row>
    <row r="130" spans="1:27" s="4" customFormat="1" x14ac:dyDescent="0.25">
      <c r="A130" s="58"/>
      <c r="B130" s="12"/>
      <c r="C130" s="6">
        <v>41976</v>
      </c>
      <c r="D130" s="4">
        <v>3.2</v>
      </c>
      <c r="E130" s="4">
        <v>3.1</v>
      </c>
      <c r="F130" s="4">
        <v>3.3</v>
      </c>
      <c r="G130" s="4">
        <f t="shared" si="12"/>
        <v>1077.8999999999999</v>
      </c>
      <c r="H130" s="4">
        <f t="shared" si="18"/>
        <v>14.7</v>
      </c>
      <c r="I130" s="4">
        <f>MAX(F127:F217)</f>
        <v>12.9</v>
      </c>
      <c r="J130" s="4">
        <v>0.3</v>
      </c>
      <c r="K130" s="4">
        <f t="shared" si="13"/>
        <v>163.6</v>
      </c>
      <c r="L130" s="4">
        <v>0.3</v>
      </c>
      <c r="M130" s="4">
        <f t="shared" si="14"/>
        <v>118.99999999999999</v>
      </c>
      <c r="N130" s="7">
        <v>0</v>
      </c>
      <c r="O130" s="4">
        <f t="shared" si="9"/>
        <v>93.9</v>
      </c>
      <c r="P130" s="4">
        <v>86</v>
      </c>
      <c r="Q130" s="4">
        <v>1</v>
      </c>
      <c r="R130" s="8">
        <f t="shared" si="10"/>
        <v>0.3</v>
      </c>
      <c r="S130" s="8">
        <f t="shared" si="11"/>
        <v>0</v>
      </c>
      <c r="T130" s="8">
        <f t="shared" si="15"/>
        <v>109.58959459459459</v>
      </c>
      <c r="U130" s="4">
        <v>0</v>
      </c>
      <c r="V130" s="4">
        <v>122.7</v>
      </c>
      <c r="X130" s="4">
        <f t="shared" si="16"/>
        <v>60764.1</v>
      </c>
      <c r="Y130" s="4">
        <f t="shared" si="19"/>
        <v>539.90000000000009</v>
      </c>
      <c r="Z130" s="11">
        <f>(Z128/100)/I140</f>
        <v>0.69217542985297786</v>
      </c>
      <c r="AA130" s="4">
        <v>8.6908226803288606</v>
      </c>
    </row>
    <row r="131" spans="1:27" s="4" customFormat="1" x14ac:dyDescent="0.25">
      <c r="A131" s="58"/>
      <c r="B131" s="12"/>
      <c r="C131" s="6">
        <v>41977</v>
      </c>
      <c r="D131" s="4">
        <v>3.6</v>
      </c>
      <c r="E131" s="4">
        <v>3</v>
      </c>
      <c r="F131" s="4">
        <v>4</v>
      </c>
      <c r="G131" s="4">
        <f t="shared" si="12"/>
        <v>1081.4999999999998</v>
      </c>
      <c r="H131" s="4">
        <f t="shared" si="18"/>
        <v>18.3</v>
      </c>
      <c r="I131" s="13" t="s">
        <v>33</v>
      </c>
      <c r="J131" s="4">
        <v>0.4</v>
      </c>
      <c r="K131" s="4">
        <f t="shared" si="13"/>
        <v>164</v>
      </c>
      <c r="L131" s="4">
        <v>0.1</v>
      </c>
      <c r="M131" s="4">
        <f t="shared" si="14"/>
        <v>119.09999999999998</v>
      </c>
      <c r="N131" s="4">
        <v>0.30000000000000004</v>
      </c>
      <c r="O131" s="4">
        <f t="shared" si="9"/>
        <v>94.2</v>
      </c>
      <c r="P131" s="4">
        <v>87</v>
      </c>
      <c r="Q131" s="4">
        <v>1</v>
      </c>
      <c r="R131" s="8">
        <f t="shared" si="10"/>
        <v>0.1</v>
      </c>
      <c r="S131" s="8">
        <f t="shared" si="11"/>
        <v>0.30000000000000004</v>
      </c>
      <c r="T131" s="8">
        <f t="shared" si="15"/>
        <v>109.88959459459458</v>
      </c>
      <c r="U131" s="13" t="s">
        <v>34</v>
      </c>
      <c r="V131" s="4">
        <v>101.7</v>
      </c>
      <c r="X131" s="4">
        <f t="shared" si="16"/>
        <v>60865.799999999996</v>
      </c>
      <c r="Y131" s="4">
        <f t="shared" si="19"/>
        <v>641.60000000000014</v>
      </c>
      <c r="Z131" s="13" t="s">
        <v>35</v>
      </c>
      <c r="AA131" s="4">
        <v>8.6654672104890906</v>
      </c>
    </row>
    <row r="132" spans="1:27" s="4" customFormat="1" x14ac:dyDescent="0.25">
      <c r="A132" s="58"/>
      <c r="B132" s="12"/>
      <c r="C132" s="6">
        <v>41978</v>
      </c>
      <c r="D132" s="4">
        <v>4.0999999999999996</v>
      </c>
      <c r="E132" s="4">
        <v>3</v>
      </c>
      <c r="F132" s="4">
        <v>4.5</v>
      </c>
      <c r="G132" s="4">
        <f t="shared" si="12"/>
        <v>1085.5999999999997</v>
      </c>
      <c r="H132" s="4">
        <f t="shared" si="18"/>
        <v>22.4</v>
      </c>
      <c r="I132" s="8">
        <f>AVERAGE(D127:D217)</f>
        <v>4.3582417582417579</v>
      </c>
      <c r="J132" s="4">
        <v>0</v>
      </c>
      <c r="K132" s="4">
        <f t="shared" si="13"/>
        <v>164</v>
      </c>
      <c r="L132" s="4">
        <v>0.1</v>
      </c>
      <c r="M132" s="4">
        <f t="shared" si="14"/>
        <v>119.19999999999997</v>
      </c>
      <c r="N132" s="7">
        <v>-0.1</v>
      </c>
      <c r="O132" s="4">
        <f t="shared" si="9"/>
        <v>94.100000000000009</v>
      </c>
      <c r="P132" s="4">
        <v>88</v>
      </c>
      <c r="Q132" s="4">
        <v>1</v>
      </c>
      <c r="R132" s="8">
        <f t="shared" si="10"/>
        <v>0.1</v>
      </c>
      <c r="S132" s="8">
        <f t="shared" si="11"/>
        <v>-0.1</v>
      </c>
      <c r="T132" s="8">
        <f t="shared" si="15"/>
        <v>109.78959459459459</v>
      </c>
      <c r="U132" s="4">
        <v>0</v>
      </c>
      <c r="V132" s="4">
        <v>153.6</v>
      </c>
      <c r="X132" s="4">
        <f t="shared" si="16"/>
        <v>61019.399999999994</v>
      </c>
      <c r="Y132" s="4">
        <f t="shared" si="19"/>
        <v>795.20000000000016</v>
      </c>
      <c r="Z132" s="4">
        <v>89</v>
      </c>
      <c r="AA132" s="4">
        <v>8.6413636992238096</v>
      </c>
    </row>
    <row r="133" spans="1:27" s="4" customFormat="1" x14ac:dyDescent="0.25">
      <c r="A133" s="58"/>
      <c r="B133" s="12"/>
      <c r="C133" s="6">
        <v>41979</v>
      </c>
      <c r="D133" s="4">
        <v>3.7</v>
      </c>
      <c r="E133" s="4">
        <v>3.2</v>
      </c>
      <c r="F133" s="4">
        <v>6</v>
      </c>
      <c r="G133" s="4">
        <f t="shared" si="12"/>
        <v>1089.2999999999997</v>
      </c>
      <c r="H133" s="4">
        <f t="shared" si="18"/>
        <v>26.099999999999998</v>
      </c>
      <c r="I133" s="13" t="s">
        <v>36</v>
      </c>
      <c r="J133" s="4">
        <v>0</v>
      </c>
      <c r="K133" s="4">
        <f t="shared" si="13"/>
        <v>164</v>
      </c>
      <c r="L133" s="4">
        <v>0.6</v>
      </c>
      <c r="M133" s="4">
        <f t="shared" si="14"/>
        <v>119.79999999999997</v>
      </c>
      <c r="N133" s="7">
        <v>-0.6</v>
      </c>
      <c r="O133" s="4">
        <f t="shared" si="9"/>
        <v>93.500000000000014</v>
      </c>
      <c r="P133" s="4">
        <v>89</v>
      </c>
      <c r="Q133" s="4">
        <v>1</v>
      </c>
      <c r="R133" s="8">
        <f t="shared" si="10"/>
        <v>0.6</v>
      </c>
      <c r="S133" s="8">
        <f t="shared" si="11"/>
        <v>-0.6</v>
      </c>
      <c r="T133" s="8">
        <f t="shared" si="15"/>
        <v>109.1895945945946</v>
      </c>
      <c r="U133" s="13" t="s">
        <v>37</v>
      </c>
      <c r="V133" s="4">
        <v>313.7</v>
      </c>
      <c r="X133" s="4">
        <f t="shared" si="16"/>
        <v>61333.099999999991</v>
      </c>
      <c r="Y133" s="4">
        <f t="shared" si="19"/>
        <v>1108.9000000000001</v>
      </c>
      <c r="AA133" s="4">
        <v>8.6185370249744206</v>
      </c>
    </row>
    <row r="134" spans="1:27" s="4" customFormat="1" x14ac:dyDescent="0.25">
      <c r="A134" s="58"/>
      <c r="B134" s="12"/>
      <c r="C134" s="6">
        <v>41980</v>
      </c>
      <c r="D134" s="4">
        <v>2.7</v>
      </c>
      <c r="E134" s="4">
        <v>-2.9</v>
      </c>
      <c r="F134" s="4">
        <v>6.2</v>
      </c>
      <c r="G134" s="4">
        <f t="shared" si="12"/>
        <v>1091.9999999999998</v>
      </c>
      <c r="H134" s="4">
        <f t="shared" si="18"/>
        <v>28.799999999999997</v>
      </c>
      <c r="I134" s="4">
        <v>28</v>
      </c>
      <c r="J134" s="4">
        <v>1.1000000000000001</v>
      </c>
      <c r="K134" s="4">
        <f t="shared" si="13"/>
        <v>165.1</v>
      </c>
      <c r="L134" s="4">
        <v>0.1</v>
      </c>
      <c r="M134" s="4">
        <f t="shared" si="14"/>
        <v>119.89999999999996</v>
      </c>
      <c r="N134" s="4">
        <v>1</v>
      </c>
      <c r="O134" s="4">
        <f t="shared" ref="O134:O185" si="20">O133+N134</f>
        <v>94.500000000000014</v>
      </c>
      <c r="P134" s="4">
        <v>90</v>
      </c>
      <c r="Q134" s="4">
        <v>1</v>
      </c>
      <c r="R134" s="8">
        <f t="shared" si="10"/>
        <v>0.1</v>
      </c>
      <c r="S134" s="8">
        <f t="shared" si="11"/>
        <v>1</v>
      </c>
      <c r="T134" s="8">
        <f t="shared" si="15"/>
        <v>110.1895945945946</v>
      </c>
      <c r="U134" s="8">
        <f>MIN(T127:T217)</f>
        <v>108.08959459459459</v>
      </c>
      <c r="V134" s="4">
        <v>287.60000000000002</v>
      </c>
      <c r="X134" s="4">
        <f t="shared" si="16"/>
        <v>61620.69999999999</v>
      </c>
      <c r="Y134" s="4">
        <f t="shared" si="19"/>
        <v>1396.5</v>
      </c>
      <c r="AA134" s="4">
        <v>8.5970111728871892</v>
      </c>
    </row>
    <row r="135" spans="1:27" s="4" customFormat="1" x14ac:dyDescent="0.25">
      <c r="A135" s="58"/>
      <c r="B135" s="12"/>
      <c r="C135" s="6">
        <v>41981</v>
      </c>
      <c r="D135" s="4">
        <v>4.3</v>
      </c>
      <c r="E135" s="4">
        <v>3.2</v>
      </c>
      <c r="F135" s="4">
        <v>7</v>
      </c>
      <c r="G135" s="4">
        <f t="shared" si="12"/>
        <v>1096.2999999999997</v>
      </c>
      <c r="H135" s="4">
        <f t="shared" si="18"/>
        <v>33.099999999999994</v>
      </c>
      <c r="I135" s="13" t="s">
        <v>38</v>
      </c>
      <c r="J135" s="4">
        <v>1.8</v>
      </c>
      <c r="K135" s="4">
        <f t="shared" si="13"/>
        <v>166.9</v>
      </c>
      <c r="L135" s="4">
        <v>0.3</v>
      </c>
      <c r="M135" s="4">
        <f t="shared" si="14"/>
        <v>120.19999999999996</v>
      </c>
      <c r="N135" s="4">
        <v>1.5</v>
      </c>
      <c r="O135" s="4">
        <f t="shared" si="20"/>
        <v>96.000000000000014</v>
      </c>
      <c r="P135" s="4">
        <v>91</v>
      </c>
      <c r="Q135" s="4">
        <v>1</v>
      </c>
      <c r="R135" s="8">
        <f t="shared" si="10"/>
        <v>0.3</v>
      </c>
      <c r="S135" s="8">
        <f t="shared" si="11"/>
        <v>1.5</v>
      </c>
      <c r="T135" s="8">
        <f t="shared" si="15"/>
        <v>111.6895945945946</v>
      </c>
      <c r="U135" s="13" t="s">
        <v>39</v>
      </c>
      <c r="V135" s="4">
        <v>139.9</v>
      </c>
      <c r="X135" s="4">
        <f t="shared" si="16"/>
        <v>61760.599999999991</v>
      </c>
      <c r="Y135" s="4">
        <f t="shared" si="19"/>
        <v>1536.4</v>
      </c>
      <c r="AA135" s="4">
        <v>8.5768091510434008</v>
      </c>
    </row>
    <row r="136" spans="1:27" s="4" customFormat="1" x14ac:dyDescent="0.25">
      <c r="A136" s="58"/>
      <c r="B136" s="12"/>
      <c r="C136" s="6">
        <v>41982</v>
      </c>
      <c r="D136" s="4">
        <v>2.2999999999999998</v>
      </c>
      <c r="E136" s="4">
        <v>-0.4</v>
      </c>
      <c r="F136" s="4">
        <v>6</v>
      </c>
      <c r="G136" s="4">
        <f t="shared" si="12"/>
        <v>1098.5999999999997</v>
      </c>
      <c r="H136" s="4">
        <f t="shared" si="18"/>
        <v>35.399999999999991</v>
      </c>
      <c r="I136" s="4">
        <v>0</v>
      </c>
      <c r="J136" s="4">
        <v>0.1</v>
      </c>
      <c r="K136" s="4">
        <f t="shared" si="13"/>
        <v>167</v>
      </c>
      <c r="L136" s="4">
        <v>0.5</v>
      </c>
      <c r="M136" s="4">
        <f t="shared" si="14"/>
        <v>120.69999999999996</v>
      </c>
      <c r="N136" s="7">
        <v>-0.4</v>
      </c>
      <c r="O136" s="4">
        <f t="shared" si="20"/>
        <v>95.600000000000009</v>
      </c>
      <c r="P136" s="4">
        <v>92</v>
      </c>
      <c r="Q136" s="4">
        <v>1</v>
      </c>
      <c r="R136" s="8">
        <f t="shared" si="10"/>
        <v>0.5</v>
      </c>
      <c r="S136" s="8">
        <f t="shared" si="11"/>
        <v>-0.4</v>
      </c>
      <c r="T136" s="8">
        <f t="shared" si="15"/>
        <v>111.28959459459459</v>
      </c>
      <c r="U136" s="8">
        <f>MAX(T127:T217)</f>
        <v>138.9</v>
      </c>
      <c r="V136" s="4">
        <v>633.20000000000005</v>
      </c>
      <c r="X136" s="4">
        <f t="shared" si="16"/>
        <v>62393.799999999988</v>
      </c>
      <c r="Y136" s="4">
        <f t="shared" si="19"/>
        <v>2169.6000000000004</v>
      </c>
      <c r="AA136" s="4">
        <v>8.5579529080532897</v>
      </c>
    </row>
    <row r="137" spans="1:27" s="4" customFormat="1" x14ac:dyDescent="0.25">
      <c r="A137" s="58"/>
      <c r="B137" s="9"/>
      <c r="C137" s="6">
        <v>41983</v>
      </c>
      <c r="D137" s="4">
        <v>7.1</v>
      </c>
      <c r="E137" s="4">
        <v>2</v>
      </c>
      <c r="F137" s="4">
        <v>9.1999999999999993</v>
      </c>
      <c r="G137" s="4">
        <f t="shared" si="12"/>
        <v>1105.6999999999996</v>
      </c>
      <c r="H137" s="4">
        <f t="shared" si="18"/>
        <v>42.499999999999993</v>
      </c>
      <c r="I137" s="13" t="s">
        <v>40</v>
      </c>
      <c r="J137" s="4">
        <v>2.1</v>
      </c>
      <c r="K137" s="4">
        <f t="shared" si="13"/>
        <v>169.1</v>
      </c>
      <c r="L137" s="4">
        <v>0</v>
      </c>
      <c r="M137" s="4">
        <f t="shared" si="14"/>
        <v>120.69999999999996</v>
      </c>
      <c r="N137" s="4">
        <v>2.1</v>
      </c>
      <c r="O137" s="4">
        <f t="shared" si="20"/>
        <v>97.7</v>
      </c>
      <c r="P137" s="4">
        <v>93</v>
      </c>
      <c r="Q137" s="4">
        <v>1</v>
      </c>
      <c r="R137" s="8">
        <f t="shared" si="10"/>
        <v>0</v>
      </c>
      <c r="S137" s="8">
        <f t="shared" si="11"/>
        <v>2.1</v>
      </c>
      <c r="T137" s="8">
        <f t="shared" si="15"/>
        <v>113.38959459459458</v>
      </c>
      <c r="U137" s="13" t="s">
        <v>41</v>
      </c>
      <c r="V137" s="4">
        <v>90</v>
      </c>
      <c r="X137" s="4">
        <f t="shared" si="16"/>
        <v>62483.799999999988</v>
      </c>
      <c r="Y137" s="4">
        <f t="shared" si="19"/>
        <v>2259.6000000000004</v>
      </c>
      <c r="AA137" s="4">
        <v>8.5404632525758704</v>
      </c>
    </row>
    <row r="138" spans="1:27" s="4" customFormat="1" x14ac:dyDescent="0.25">
      <c r="A138" s="58"/>
      <c r="B138" s="9"/>
      <c r="C138" s="6">
        <v>41984</v>
      </c>
      <c r="D138" s="4">
        <v>8.1</v>
      </c>
      <c r="E138" s="4">
        <v>6.2</v>
      </c>
      <c r="F138" s="4">
        <v>10.4</v>
      </c>
      <c r="G138" s="4">
        <f t="shared" si="12"/>
        <v>1113.7999999999995</v>
      </c>
      <c r="H138" s="4">
        <f t="shared" si="18"/>
        <v>50.599999999999994</v>
      </c>
      <c r="I138" s="4">
        <v>46</v>
      </c>
      <c r="J138" s="4">
        <v>0.6</v>
      </c>
      <c r="K138" s="4">
        <f t="shared" si="13"/>
        <v>169.7</v>
      </c>
      <c r="L138" s="4">
        <v>1.1000000000000001</v>
      </c>
      <c r="M138" s="4">
        <f t="shared" si="14"/>
        <v>121.79999999999995</v>
      </c>
      <c r="N138" s="7">
        <v>-0.50000000000000011</v>
      </c>
      <c r="O138" s="4">
        <f t="shared" si="20"/>
        <v>97.2</v>
      </c>
      <c r="P138" s="4">
        <v>94</v>
      </c>
      <c r="Q138" s="4">
        <v>1</v>
      </c>
      <c r="R138" s="8">
        <f t="shared" si="10"/>
        <v>1.1000000000000001</v>
      </c>
      <c r="S138" s="8">
        <f t="shared" si="11"/>
        <v>-0.50000000000000011</v>
      </c>
      <c r="T138" s="8">
        <f t="shared" si="15"/>
        <v>112.88959459459458</v>
      </c>
      <c r="U138" s="11">
        <f>AVERAGE(T127:T217)</f>
        <v>131.67136471636462</v>
      </c>
      <c r="V138" s="4">
        <v>290.89999999999998</v>
      </c>
      <c r="X138" s="4">
        <f t="shared" si="16"/>
        <v>62774.69999999999</v>
      </c>
      <c r="Y138" s="4">
        <f t="shared" si="19"/>
        <v>2550.5000000000005</v>
      </c>
      <c r="AA138" s="4">
        <v>8.5243597753343607</v>
      </c>
    </row>
    <row r="139" spans="1:27" s="4" customFormat="1" x14ac:dyDescent="0.25">
      <c r="A139" s="58"/>
      <c r="B139" s="9"/>
      <c r="C139" s="6">
        <v>41985</v>
      </c>
      <c r="D139" s="4">
        <v>9.5</v>
      </c>
      <c r="E139" s="4">
        <v>8.1</v>
      </c>
      <c r="F139" s="4">
        <v>10.3</v>
      </c>
      <c r="G139" s="4">
        <f t="shared" si="12"/>
        <v>1123.2999999999995</v>
      </c>
      <c r="H139" s="4">
        <f t="shared" si="18"/>
        <v>60.099999999999994</v>
      </c>
      <c r="I139" s="13" t="s">
        <v>42</v>
      </c>
      <c r="J139" s="4">
        <v>1.8</v>
      </c>
      <c r="K139" s="4">
        <f t="shared" si="13"/>
        <v>171.5</v>
      </c>
      <c r="L139" s="4">
        <v>0.7</v>
      </c>
      <c r="M139" s="4">
        <f t="shared" si="14"/>
        <v>122.49999999999996</v>
      </c>
      <c r="N139" s="4">
        <v>1.1000000000000001</v>
      </c>
      <c r="O139" s="4">
        <f t="shared" si="20"/>
        <v>98.3</v>
      </c>
      <c r="P139" s="4">
        <v>95</v>
      </c>
      <c r="Q139" s="4">
        <v>1</v>
      </c>
      <c r="R139" s="8">
        <f t="shared" si="10"/>
        <v>0.7</v>
      </c>
      <c r="S139" s="8">
        <f t="shared" si="11"/>
        <v>1.1000000000000001</v>
      </c>
      <c r="T139" s="8">
        <f t="shared" si="15"/>
        <v>113.98959459459458</v>
      </c>
      <c r="U139" s="13" t="s">
        <v>44</v>
      </c>
      <c r="V139" s="4">
        <v>120.9</v>
      </c>
      <c r="X139" s="4">
        <f t="shared" si="16"/>
        <v>62895.599999999991</v>
      </c>
      <c r="Y139" s="4">
        <f t="shared" si="19"/>
        <v>2671.4000000000005</v>
      </c>
      <c r="AA139" s="4">
        <v>8.5096607741975703</v>
      </c>
    </row>
    <row r="140" spans="1:27" s="4" customFormat="1" x14ac:dyDescent="0.25">
      <c r="A140" s="58"/>
      <c r="B140" s="9"/>
      <c r="C140" s="6">
        <v>41986</v>
      </c>
      <c r="D140" s="4">
        <v>7</v>
      </c>
      <c r="E140" s="4">
        <v>5</v>
      </c>
      <c r="F140" s="4">
        <v>9.1999999999999993</v>
      </c>
      <c r="G140" s="4">
        <f t="shared" si="12"/>
        <v>1130.2999999999995</v>
      </c>
      <c r="H140" s="4">
        <f t="shared" si="18"/>
        <v>67.099999999999994</v>
      </c>
      <c r="I140" s="4">
        <v>401.3</v>
      </c>
      <c r="J140" s="4">
        <v>4.3</v>
      </c>
      <c r="K140" s="4">
        <f t="shared" si="13"/>
        <v>175.8</v>
      </c>
      <c r="L140" s="4">
        <v>0.6</v>
      </c>
      <c r="M140" s="4">
        <f t="shared" si="14"/>
        <v>123.09999999999995</v>
      </c>
      <c r="N140" s="4">
        <v>3.6999999999999997</v>
      </c>
      <c r="O140" s="4">
        <f t="shared" si="20"/>
        <v>102</v>
      </c>
      <c r="P140" s="4">
        <v>96</v>
      </c>
      <c r="Q140" s="4">
        <v>1</v>
      </c>
      <c r="R140" s="8">
        <f t="shared" si="10"/>
        <v>0.6</v>
      </c>
      <c r="S140" s="8">
        <f t="shared" si="11"/>
        <v>3.6999999999999997</v>
      </c>
      <c r="T140" s="8">
        <f t="shared" si="15"/>
        <v>117.68959459459458</v>
      </c>
      <c r="U140" s="8">
        <v>23</v>
      </c>
      <c r="V140" s="4">
        <v>96.2</v>
      </c>
      <c r="X140" s="4">
        <f t="shared" si="16"/>
        <v>62991.799999999988</v>
      </c>
      <c r="Y140" s="4">
        <f t="shared" si="19"/>
        <v>2767.6000000000004</v>
      </c>
      <c r="AA140" s="4">
        <v>8.4963831828926306</v>
      </c>
    </row>
    <row r="141" spans="1:27" s="4" customFormat="1" x14ac:dyDescent="0.25">
      <c r="A141" s="58"/>
      <c r="B141" s="12"/>
      <c r="C141" s="6">
        <v>41987</v>
      </c>
      <c r="D141" s="4">
        <v>1.2</v>
      </c>
      <c r="E141" s="4">
        <v>0.3</v>
      </c>
      <c r="F141" s="4">
        <v>3</v>
      </c>
      <c r="G141" s="4">
        <f t="shared" si="12"/>
        <v>1131.4999999999995</v>
      </c>
      <c r="H141" s="4">
        <f t="shared" si="18"/>
        <v>68.3</v>
      </c>
      <c r="J141" s="4">
        <v>0</v>
      </c>
      <c r="K141" s="4">
        <f t="shared" si="13"/>
        <v>175.8</v>
      </c>
      <c r="L141" s="4">
        <v>0.3</v>
      </c>
      <c r="M141" s="4">
        <f t="shared" si="14"/>
        <v>123.39999999999995</v>
      </c>
      <c r="N141" s="7">
        <v>-0.3</v>
      </c>
      <c r="O141" s="4">
        <f t="shared" si="20"/>
        <v>101.7</v>
      </c>
      <c r="P141" s="4">
        <v>97</v>
      </c>
      <c r="Q141" s="4">
        <v>1</v>
      </c>
      <c r="R141" s="8">
        <f t="shared" si="10"/>
        <v>0.3</v>
      </c>
      <c r="S141" s="8">
        <f t="shared" si="11"/>
        <v>-0.3</v>
      </c>
      <c r="T141" s="8">
        <f t="shared" si="15"/>
        <v>117.38959459459458</v>
      </c>
      <c r="V141" s="4">
        <v>368.2</v>
      </c>
      <c r="X141" s="4">
        <f t="shared" si="16"/>
        <v>63359.999999999985</v>
      </c>
      <c r="Y141" s="4">
        <f t="shared" si="19"/>
        <v>3135.8</v>
      </c>
      <c r="AA141" s="4">
        <v>8.4845425039016593</v>
      </c>
    </row>
    <row r="142" spans="1:27" s="4" customFormat="1" x14ac:dyDescent="0.25">
      <c r="A142" s="58"/>
      <c r="B142" s="12"/>
      <c r="C142" s="6">
        <v>41988</v>
      </c>
      <c r="D142" s="4">
        <v>3</v>
      </c>
      <c r="E142" s="4">
        <v>-2</v>
      </c>
      <c r="F142" s="4">
        <v>6.7</v>
      </c>
      <c r="G142" s="4">
        <f t="shared" si="12"/>
        <v>1134.4999999999995</v>
      </c>
      <c r="H142" s="4">
        <f t="shared" si="18"/>
        <v>71.3</v>
      </c>
      <c r="J142" s="4">
        <v>1.6</v>
      </c>
      <c r="K142" s="4">
        <f t="shared" si="13"/>
        <v>177.4</v>
      </c>
      <c r="L142" s="4">
        <v>0.1</v>
      </c>
      <c r="M142" s="4">
        <f t="shared" si="14"/>
        <v>123.49999999999994</v>
      </c>
      <c r="N142" s="4">
        <v>1.5</v>
      </c>
      <c r="O142" s="4">
        <f t="shared" si="20"/>
        <v>103.2</v>
      </c>
      <c r="P142" s="4">
        <v>98</v>
      </c>
      <c r="Q142" s="4">
        <v>1</v>
      </c>
      <c r="R142" s="8">
        <f t="shared" si="10"/>
        <v>0.1</v>
      </c>
      <c r="S142" s="8">
        <f t="shared" si="11"/>
        <v>1.5</v>
      </c>
      <c r="T142" s="8">
        <f t="shared" si="15"/>
        <v>118.88959459459458</v>
      </c>
      <c r="U142" s="8">
        <f>(U138*100)/138.9</f>
        <v>94.795798931867978</v>
      </c>
      <c r="V142" s="4">
        <v>173.3</v>
      </c>
      <c r="X142" s="4">
        <f t="shared" si="16"/>
        <v>63533.299999999988</v>
      </c>
      <c r="Y142" s="4">
        <f t="shared" si="19"/>
        <v>3309.1000000000004</v>
      </c>
      <c r="AA142" s="4">
        <v>8.4741527460759496</v>
      </c>
    </row>
    <row r="143" spans="1:27" s="4" customFormat="1" x14ac:dyDescent="0.25">
      <c r="A143" s="58"/>
      <c r="B143" s="9"/>
      <c r="C143" s="6">
        <v>41989</v>
      </c>
      <c r="D143" s="4">
        <v>6.3</v>
      </c>
      <c r="E143" s="4">
        <v>4.8</v>
      </c>
      <c r="F143" s="4">
        <v>8</v>
      </c>
      <c r="G143" s="4">
        <f t="shared" si="12"/>
        <v>1140.7999999999995</v>
      </c>
      <c r="H143" s="4">
        <f t="shared" si="18"/>
        <v>77.599999999999994</v>
      </c>
      <c r="J143" s="4">
        <v>5.2</v>
      </c>
      <c r="K143" s="4">
        <f t="shared" si="13"/>
        <v>182.6</v>
      </c>
      <c r="L143" s="4">
        <v>0.1</v>
      </c>
      <c r="M143" s="4">
        <f t="shared" si="14"/>
        <v>123.59999999999994</v>
      </c>
      <c r="N143" s="4">
        <v>5.1000000000000005</v>
      </c>
      <c r="O143" s="4">
        <f t="shared" si="20"/>
        <v>108.3</v>
      </c>
      <c r="P143" s="4">
        <v>99</v>
      </c>
      <c r="Q143" s="4">
        <v>1</v>
      </c>
      <c r="R143" s="8">
        <f t="shared" si="10"/>
        <v>0.1</v>
      </c>
      <c r="S143" s="8">
        <f t="shared" si="11"/>
        <v>5.1000000000000005</v>
      </c>
      <c r="T143" s="8">
        <f t="shared" si="15"/>
        <v>123.98959459459458</v>
      </c>
      <c r="V143" s="4">
        <v>156.1</v>
      </c>
      <c r="X143" s="4">
        <f t="shared" si="16"/>
        <v>63689.399999999987</v>
      </c>
      <c r="Y143" s="4">
        <f t="shared" si="19"/>
        <v>3465.2000000000003</v>
      </c>
      <c r="AA143" s="4">
        <v>8.4652263674748607</v>
      </c>
    </row>
    <row r="144" spans="1:27" s="4" customFormat="1" x14ac:dyDescent="0.25">
      <c r="A144" s="58"/>
      <c r="B144" s="9"/>
      <c r="C144" s="6">
        <v>41990</v>
      </c>
      <c r="D144" s="4">
        <v>9.3000000000000007</v>
      </c>
      <c r="E144" s="4">
        <v>4.9000000000000004</v>
      </c>
      <c r="F144" s="4">
        <v>12.6</v>
      </c>
      <c r="G144" s="4">
        <f t="shared" si="12"/>
        <v>1150.0999999999995</v>
      </c>
      <c r="H144" s="4">
        <f t="shared" si="18"/>
        <v>86.899999999999991</v>
      </c>
      <c r="J144" s="4">
        <v>3</v>
      </c>
      <c r="K144" s="4">
        <f t="shared" si="13"/>
        <v>185.6</v>
      </c>
      <c r="L144" s="4">
        <v>0.2</v>
      </c>
      <c r="M144" s="4">
        <f t="shared" si="14"/>
        <v>123.79999999999994</v>
      </c>
      <c r="N144" s="4">
        <v>2.8</v>
      </c>
      <c r="O144" s="4">
        <f t="shared" si="20"/>
        <v>111.1</v>
      </c>
      <c r="P144" s="4">
        <v>100</v>
      </c>
      <c r="Q144" s="4">
        <v>1</v>
      </c>
      <c r="R144" s="8">
        <f t="shared" si="10"/>
        <v>0.2</v>
      </c>
      <c r="S144" s="8">
        <f t="shared" si="11"/>
        <v>2.8</v>
      </c>
      <c r="T144" s="8">
        <f t="shared" si="15"/>
        <v>126.78959459459458</v>
      </c>
      <c r="V144" s="4">
        <v>106.2</v>
      </c>
      <c r="X144" s="4">
        <f t="shared" si="16"/>
        <v>63795.599999999984</v>
      </c>
      <c r="Y144" s="4">
        <f t="shared" si="19"/>
        <v>3571.4</v>
      </c>
      <c r="AA144" s="4">
        <v>8.4577742239032006</v>
      </c>
    </row>
    <row r="145" spans="1:27" s="4" customFormat="1" x14ac:dyDescent="0.25">
      <c r="A145" s="58"/>
      <c r="B145" s="9"/>
      <c r="C145" s="6">
        <v>41991</v>
      </c>
      <c r="D145" s="4">
        <v>11.9</v>
      </c>
      <c r="E145" s="4">
        <v>11.4</v>
      </c>
      <c r="F145" s="4">
        <v>12.5</v>
      </c>
      <c r="G145" s="4">
        <f t="shared" si="12"/>
        <v>1161.9999999999995</v>
      </c>
      <c r="H145" s="4">
        <f t="shared" si="18"/>
        <v>98.8</v>
      </c>
      <c r="J145" s="4">
        <v>0.6</v>
      </c>
      <c r="K145" s="4">
        <f t="shared" si="13"/>
        <v>186.2</v>
      </c>
      <c r="L145" s="4">
        <v>0.4</v>
      </c>
      <c r="M145" s="4">
        <f t="shared" si="14"/>
        <v>124.19999999999995</v>
      </c>
      <c r="N145" s="4">
        <v>0.19999999999999996</v>
      </c>
      <c r="O145" s="4">
        <f t="shared" si="20"/>
        <v>111.3</v>
      </c>
      <c r="P145" s="4">
        <v>101</v>
      </c>
      <c r="Q145" s="4">
        <v>1</v>
      </c>
      <c r="R145" s="8">
        <f t="shared" si="10"/>
        <v>0.4</v>
      </c>
      <c r="S145" s="8">
        <f t="shared" si="11"/>
        <v>0.19999999999999996</v>
      </c>
      <c r="T145" s="8">
        <f t="shared" si="15"/>
        <v>126.98959459459458</v>
      </c>
      <c r="V145" s="4">
        <v>96.1</v>
      </c>
      <c r="X145" s="4">
        <f t="shared" si="16"/>
        <v>63891.699999999983</v>
      </c>
      <c r="Y145" s="4">
        <f t="shared" si="19"/>
        <v>3667.5</v>
      </c>
      <c r="AA145" s="4">
        <v>8.4518055235815392</v>
      </c>
    </row>
    <row r="146" spans="1:27" s="4" customFormat="1" x14ac:dyDescent="0.25">
      <c r="A146" s="58"/>
      <c r="B146" s="9"/>
      <c r="C146" s="6">
        <v>41992</v>
      </c>
      <c r="D146" s="4">
        <v>10.5</v>
      </c>
      <c r="E146" s="4">
        <v>10.6</v>
      </c>
      <c r="F146" s="4">
        <v>12.2</v>
      </c>
      <c r="G146" s="4">
        <f t="shared" si="12"/>
        <v>1172.4999999999995</v>
      </c>
      <c r="H146" s="4">
        <f t="shared" si="18"/>
        <v>109.3</v>
      </c>
      <c r="J146" s="4">
        <v>2.6</v>
      </c>
      <c r="K146" s="4">
        <f t="shared" si="13"/>
        <v>188.79999999999998</v>
      </c>
      <c r="L146" s="4">
        <v>0.7</v>
      </c>
      <c r="M146" s="4">
        <f t="shared" si="14"/>
        <v>124.89999999999995</v>
      </c>
      <c r="N146" s="4">
        <v>1.9000000000000001</v>
      </c>
      <c r="O146" s="4">
        <f t="shared" si="20"/>
        <v>113.2</v>
      </c>
      <c r="P146" s="4">
        <v>102</v>
      </c>
      <c r="Q146" s="4">
        <v>1</v>
      </c>
      <c r="R146" s="8">
        <f t="shared" si="10"/>
        <v>0.7</v>
      </c>
      <c r="S146" s="8">
        <f t="shared" si="11"/>
        <v>1.9000000000000001</v>
      </c>
      <c r="T146" s="8">
        <f t="shared" si="15"/>
        <v>128.88959459459457</v>
      </c>
      <c r="V146" s="4">
        <v>66.400000000000006</v>
      </c>
      <c r="X146" s="4">
        <f t="shared" si="16"/>
        <v>63958.099999999984</v>
      </c>
      <c r="Y146" s="4">
        <f t="shared" si="19"/>
        <v>3733.9</v>
      </c>
      <c r="AA146" s="4">
        <v>8.4473277883374998</v>
      </c>
    </row>
    <row r="147" spans="1:27" s="4" customFormat="1" x14ac:dyDescent="0.25">
      <c r="A147" s="58"/>
      <c r="B147" s="9"/>
      <c r="C147" s="6">
        <v>41993</v>
      </c>
      <c r="D147" s="4">
        <v>6.9</v>
      </c>
      <c r="E147" s="4">
        <v>5</v>
      </c>
      <c r="F147" s="4">
        <v>8.1</v>
      </c>
      <c r="G147" s="4">
        <f t="shared" si="12"/>
        <v>1179.3999999999996</v>
      </c>
      <c r="H147" s="4">
        <f t="shared" si="18"/>
        <v>116.2</v>
      </c>
      <c r="J147" s="4">
        <v>0</v>
      </c>
      <c r="K147" s="4">
        <f t="shared" si="13"/>
        <v>188.79999999999998</v>
      </c>
      <c r="L147" s="4">
        <v>0.4</v>
      </c>
      <c r="M147" s="4">
        <f t="shared" si="14"/>
        <v>125.29999999999995</v>
      </c>
      <c r="N147" s="7">
        <v>-0.4</v>
      </c>
      <c r="O147" s="4">
        <f t="shared" si="20"/>
        <v>112.8</v>
      </c>
      <c r="P147" s="4">
        <v>103</v>
      </c>
      <c r="Q147" s="4">
        <v>1</v>
      </c>
      <c r="R147" s="8">
        <f t="shared" si="10"/>
        <v>0.4</v>
      </c>
      <c r="S147" s="8">
        <f t="shared" si="11"/>
        <v>-0.4</v>
      </c>
      <c r="T147" s="8">
        <f t="shared" si="15"/>
        <v>128.48959459459456</v>
      </c>
      <c r="V147" s="4">
        <v>106.3</v>
      </c>
      <c r="X147" s="4">
        <f t="shared" si="16"/>
        <v>64064.399999999987</v>
      </c>
      <c r="Y147" s="4">
        <f t="shared" si="19"/>
        <v>3840.2000000000003</v>
      </c>
      <c r="AA147" s="4">
        <v>8.4443468216548592</v>
      </c>
    </row>
    <row r="148" spans="1:27" s="4" customFormat="1" x14ac:dyDescent="0.25">
      <c r="A148" s="58"/>
      <c r="B148" s="9"/>
      <c r="C148" s="6">
        <v>41994</v>
      </c>
      <c r="D148" s="4">
        <v>7.6</v>
      </c>
      <c r="E148" s="4">
        <v>6.7</v>
      </c>
      <c r="F148" s="4">
        <v>8.6999999999999993</v>
      </c>
      <c r="G148" s="4">
        <f t="shared" si="12"/>
        <v>1186.9999999999995</v>
      </c>
      <c r="H148" s="4">
        <f t="shared" si="18"/>
        <v>123.8</v>
      </c>
      <c r="J148" s="4">
        <v>0</v>
      </c>
      <c r="K148" s="4">
        <f t="shared" si="13"/>
        <v>188.79999999999998</v>
      </c>
      <c r="L148" s="4">
        <v>0.7</v>
      </c>
      <c r="M148" s="4">
        <f t="shared" si="14"/>
        <v>125.99999999999996</v>
      </c>
      <c r="N148" s="7">
        <v>-0.7</v>
      </c>
      <c r="O148" s="4">
        <f t="shared" si="20"/>
        <v>112.1</v>
      </c>
      <c r="P148" s="4">
        <v>104</v>
      </c>
      <c r="Q148" s="4">
        <v>1</v>
      </c>
      <c r="R148" s="8">
        <f t="shared" si="10"/>
        <v>0.7</v>
      </c>
      <c r="S148" s="8">
        <f t="shared" si="11"/>
        <v>-0.7</v>
      </c>
      <c r="T148" s="8">
        <f t="shared" si="15"/>
        <v>127.78959459459456</v>
      </c>
      <c r="V148" s="4">
        <v>107.9</v>
      </c>
      <c r="X148" s="4">
        <f t="shared" si="16"/>
        <v>64172.299999999988</v>
      </c>
      <c r="Y148" s="4">
        <f t="shared" si="19"/>
        <v>3948.1000000000004</v>
      </c>
      <c r="AA148" s="4">
        <v>8.4428666838604691</v>
      </c>
    </row>
    <row r="149" spans="1:27" s="4" customFormat="1" x14ac:dyDescent="0.25">
      <c r="A149" s="58"/>
      <c r="B149" s="9"/>
      <c r="C149" s="6">
        <v>41995</v>
      </c>
      <c r="D149" s="4">
        <v>8.4</v>
      </c>
      <c r="E149" s="4">
        <v>7.4</v>
      </c>
      <c r="F149" s="4">
        <v>9.5</v>
      </c>
      <c r="G149" s="4">
        <f t="shared" si="12"/>
        <v>1195.3999999999996</v>
      </c>
      <c r="H149" s="4">
        <f t="shared" si="18"/>
        <v>132.19999999999999</v>
      </c>
      <c r="J149" s="4">
        <v>0</v>
      </c>
      <c r="K149" s="4">
        <f t="shared" si="13"/>
        <v>188.79999999999998</v>
      </c>
      <c r="L149" s="4">
        <v>0.8</v>
      </c>
      <c r="M149" s="4">
        <f t="shared" si="14"/>
        <v>126.79999999999995</v>
      </c>
      <c r="N149" s="7">
        <v>-0.8</v>
      </c>
      <c r="O149" s="4">
        <f t="shared" si="20"/>
        <v>111.3</v>
      </c>
      <c r="P149" s="4">
        <v>105</v>
      </c>
      <c r="Q149" s="4">
        <v>1</v>
      </c>
      <c r="R149" s="8">
        <f t="shared" si="10"/>
        <v>0.8</v>
      </c>
      <c r="S149" s="8">
        <f t="shared" si="11"/>
        <v>-0.8</v>
      </c>
      <c r="T149" s="8">
        <f t="shared" si="15"/>
        <v>126.98959459459456</v>
      </c>
      <c r="V149" s="4">
        <v>108.3</v>
      </c>
      <c r="X149" s="4">
        <f t="shared" si="16"/>
        <v>64280.599999999991</v>
      </c>
      <c r="Y149" s="4">
        <f t="shared" si="19"/>
        <v>4056.4000000000005</v>
      </c>
      <c r="AA149" s="4">
        <v>8.4428896746684305</v>
      </c>
    </row>
    <row r="150" spans="1:27" s="4" customFormat="1" x14ac:dyDescent="0.25">
      <c r="A150" s="58"/>
      <c r="B150" s="9"/>
      <c r="C150" s="6">
        <v>41996</v>
      </c>
      <c r="D150" s="4">
        <v>5.6</v>
      </c>
      <c r="E150" s="4">
        <v>4.5</v>
      </c>
      <c r="F150" s="4">
        <v>7.4</v>
      </c>
      <c r="G150" s="4">
        <f t="shared" si="12"/>
        <v>1200.9999999999995</v>
      </c>
      <c r="H150" s="4">
        <f t="shared" si="18"/>
        <v>137.79999999999998</v>
      </c>
      <c r="J150" s="4">
        <v>0</v>
      </c>
      <c r="K150" s="4">
        <f t="shared" si="13"/>
        <v>188.79999999999998</v>
      </c>
      <c r="L150" s="4">
        <v>0.4</v>
      </c>
      <c r="M150" s="4">
        <f t="shared" si="14"/>
        <v>127.19999999999996</v>
      </c>
      <c r="N150" s="7">
        <v>-0.4</v>
      </c>
      <c r="O150" s="4">
        <f t="shared" si="20"/>
        <v>110.89999999999999</v>
      </c>
      <c r="P150" s="4">
        <v>106</v>
      </c>
      <c r="Q150" s="4">
        <v>1</v>
      </c>
      <c r="R150" s="8">
        <f t="shared" si="10"/>
        <v>0.4</v>
      </c>
      <c r="S150" s="8">
        <f t="shared" si="11"/>
        <v>-0.4</v>
      </c>
      <c r="T150" s="8">
        <f t="shared" si="15"/>
        <v>126.58959459459456</v>
      </c>
      <c r="V150" s="4">
        <v>111</v>
      </c>
      <c r="X150" s="4">
        <f t="shared" si="16"/>
        <v>64391.599999999991</v>
      </c>
      <c r="Y150" s="4">
        <f t="shared" si="19"/>
        <v>4167.4000000000005</v>
      </c>
      <c r="AA150" s="4">
        <v>8.4444163232367497</v>
      </c>
    </row>
    <row r="151" spans="1:27" s="4" customFormat="1" x14ac:dyDescent="0.25">
      <c r="A151" s="58"/>
      <c r="B151" s="9"/>
      <c r="C151" s="6">
        <v>41997</v>
      </c>
      <c r="D151" s="4">
        <v>7.9</v>
      </c>
      <c r="E151" s="4">
        <v>4.7</v>
      </c>
      <c r="F151" s="4">
        <v>8.6</v>
      </c>
      <c r="G151" s="4">
        <f t="shared" si="12"/>
        <v>1208.8999999999996</v>
      </c>
      <c r="H151" s="4">
        <f t="shared" si="18"/>
        <v>145.69999999999999</v>
      </c>
      <c r="J151" s="4">
        <v>1.4</v>
      </c>
      <c r="K151" s="4">
        <f t="shared" si="13"/>
        <v>190.2</v>
      </c>
      <c r="L151" s="4">
        <v>0.1</v>
      </c>
      <c r="M151" s="4">
        <f t="shared" si="14"/>
        <v>127.29999999999995</v>
      </c>
      <c r="N151" s="4">
        <v>1.2999999999999998</v>
      </c>
      <c r="O151" s="4">
        <f t="shared" si="20"/>
        <v>112.19999999999999</v>
      </c>
      <c r="P151" s="4">
        <v>107</v>
      </c>
      <c r="Q151" s="4">
        <v>1</v>
      </c>
      <c r="R151" s="8">
        <f t="shared" si="10"/>
        <v>0.1</v>
      </c>
      <c r="S151" s="8">
        <f t="shared" si="11"/>
        <v>1.2999999999999998</v>
      </c>
      <c r="T151" s="8">
        <f t="shared" si="15"/>
        <v>127.88959459459456</v>
      </c>
      <c r="V151" s="4">
        <v>127.1</v>
      </c>
      <c r="X151" s="4">
        <f t="shared" si="16"/>
        <v>64518.69999999999</v>
      </c>
      <c r="Y151" s="4">
        <f t="shared" si="19"/>
        <v>4294.5000000000009</v>
      </c>
      <c r="AA151" s="4">
        <v>8.4474453858254002</v>
      </c>
    </row>
    <row r="152" spans="1:27" s="4" customFormat="1" x14ac:dyDescent="0.25">
      <c r="A152" s="58"/>
      <c r="B152" s="9"/>
      <c r="C152" s="6">
        <v>41998</v>
      </c>
      <c r="D152" s="4">
        <v>5.4</v>
      </c>
      <c r="E152" s="4">
        <v>4</v>
      </c>
      <c r="F152" s="4">
        <v>8.9</v>
      </c>
      <c r="G152" s="4">
        <f t="shared" si="12"/>
        <v>1214.2999999999997</v>
      </c>
      <c r="H152" s="4">
        <f t="shared" si="18"/>
        <v>151.1</v>
      </c>
      <c r="J152" s="4">
        <v>0</v>
      </c>
      <c r="K152" s="4">
        <f t="shared" si="13"/>
        <v>190.2</v>
      </c>
      <c r="L152" s="4">
        <v>0.4</v>
      </c>
      <c r="M152" s="4">
        <f t="shared" si="14"/>
        <v>127.69999999999996</v>
      </c>
      <c r="N152" s="7">
        <v>-0.4</v>
      </c>
      <c r="O152" s="4">
        <f t="shared" si="20"/>
        <v>111.79999999999998</v>
      </c>
      <c r="P152" s="4">
        <v>108</v>
      </c>
      <c r="Q152" s="4">
        <v>1</v>
      </c>
      <c r="R152" s="8">
        <f t="shared" si="10"/>
        <v>0.4</v>
      </c>
      <c r="S152" s="8">
        <f t="shared" si="11"/>
        <v>-0.4</v>
      </c>
      <c r="T152" s="8">
        <f t="shared" si="15"/>
        <v>127.48959459459455</v>
      </c>
      <c r="V152" s="4">
        <v>268.89999999999998</v>
      </c>
      <c r="X152" s="4">
        <f t="shared" si="16"/>
        <v>64787.599999999991</v>
      </c>
      <c r="Y152" s="4">
        <f t="shared" si="19"/>
        <v>4563.4000000000005</v>
      </c>
      <c r="AA152" s="4">
        <v>8.4519738510766391</v>
      </c>
    </row>
    <row r="153" spans="1:27" s="4" customFormat="1" x14ac:dyDescent="0.25">
      <c r="A153" s="58"/>
      <c r="B153" s="12"/>
      <c r="C153" s="6">
        <v>41999</v>
      </c>
      <c r="D153" s="4">
        <v>2.9</v>
      </c>
      <c r="E153" s="4">
        <v>-1.3</v>
      </c>
      <c r="F153" s="4">
        <v>8.3000000000000007</v>
      </c>
      <c r="G153" s="4">
        <f t="shared" si="12"/>
        <v>1217.1999999999998</v>
      </c>
      <c r="H153" s="4">
        <f t="shared" si="18"/>
        <v>154</v>
      </c>
      <c r="J153" s="4">
        <v>9.1</v>
      </c>
      <c r="K153" s="4">
        <f t="shared" si="13"/>
        <v>199.29999999999998</v>
      </c>
      <c r="L153" s="4">
        <v>0.4</v>
      </c>
      <c r="M153" s="4">
        <f t="shared" si="14"/>
        <v>128.09999999999997</v>
      </c>
      <c r="N153" s="4">
        <v>8.6999999999999993</v>
      </c>
      <c r="O153" s="4">
        <f t="shared" si="20"/>
        <v>120.49999999999999</v>
      </c>
      <c r="P153" s="4">
        <v>109</v>
      </c>
      <c r="Q153" s="4">
        <v>1</v>
      </c>
      <c r="R153" s="8">
        <f t="shared" si="10"/>
        <v>0.4</v>
      </c>
      <c r="S153" s="8">
        <f t="shared" si="11"/>
        <v>8.6999999999999993</v>
      </c>
      <c r="T153" s="8">
        <f t="shared" si="15"/>
        <v>136.18959459459455</v>
      </c>
      <c r="V153" s="4">
        <v>155.19999999999999</v>
      </c>
      <c r="X153" s="4">
        <f t="shared" si="16"/>
        <v>64942.799999999988</v>
      </c>
      <c r="Y153" s="4">
        <f t="shared" si="19"/>
        <v>4718.6000000000004</v>
      </c>
      <c r="AA153" s="4">
        <v>8.4579969528707295</v>
      </c>
    </row>
    <row r="154" spans="1:27" s="4" customFormat="1" x14ac:dyDescent="0.25">
      <c r="A154" s="58"/>
      <c r="B154" s="9"/>
      <c r="C154" s="6">
        <v>42000</v>
      </c>
      <c r="D154" s="4">
        <v>5.8</v>
      </c>
      <c r="E154" s="4">
        <v>4.2</v>
      </c>
      <c r="F154" s="4">
        <v>8.1</v>
      </c>
      <c r="G154" s="4">
        <f t="shared" si="12"/>
        <v>1222.9999999999998</v>
      </c>
      <c r="H154" s="4">
        <f t="shared" si="18"/>
        <v>159.80000000000001</v>
      </c>
      <c r="J154" s="4">
        <v>0.1</v>
      </c>
      <c r="K154" s="4">
        <f t="shared" si="13"/>
        <v>199.39999999999998</v>
      </c>
      <c r="L154" s="4">
        <v>1.2</v>
      </c>
      <c r="M154" s="4">
        <f t="shared" si="14"/>
        <v>129.29999999999995</v>
      </c>
      <c r="N154" s="7">
        <v>-1.0999999999999999</v>
      </c>
      <c r="O154" s="4">
        <f t="shared" si="20"/>
        <v>119.39999999999999</v>
      </c>
      <c r="P154" s="4">
        <v>110</v>
      </c>
      <c r="Q154" s="4">
        <v>1</v>
      </c>
      <c r="R154" s="8">
        <f t="shared" si="10"/>
        <v>1.2</v>
      </c>
      <c r="S154" s="8">
        <f t="shared" si="11"/>
        <v>-1.0999999999999999</v>
      </c>
      <c r="T154" s="8">
        <f t="shared" si="15"/>
        <v>135.08959459459456</v>
      </c>
      <c r="V154" s="4">
        <v>173.5</v>
      </c>
      <c r="X154" s="4">
        <f t="shared" si="16"/>
        <v>65116.299999999988</v>
      </c>
      <c r="Y154" s="4">
        <f t="shared" si="19"/>
        <v>4892.1000000000004</v>
      </c>
      <c r="AA154" s="4">
        <v>8.4655081906423604</v>
      </c>
    </row>
    <row r="155" spans="1:27" s="4" customFormat="1" x14ac:dyDescent="0.25">
      <c r="A155" s="58"/>
      <c r="B155" s="12"/>
      <c r="C155" s="6">
        <v>42001</v>
      </c>
      <c r="D155" s="4">
        <v>-0.3</v>
      </c>
      <c r="E155" s="4">
        <v>-1.5</v>
      </c>
      <c r="F155" s="4">
        <v>1.3</v>
      </c>
      <c r="G155" s="4">
        <v>1223</v>
      </c>
      <c r="H155" s="4">
        <v>159.80000000000001</v>
      </c>
      <c r="J155" s="4">
        <v>0</v>
      </c>
      <c r="K155" s="4">
        <f t="shared" si="13"/>
        <v>199.39999999999998</v>
      </c>
      <c r="L155" s="4">
        <v>0.7</v>
      </c>
      <c r="M155" s="4">
        <f t="shared" si="14"/>
        <v>129.99999999999994</v>
      </c>
      <c r="N155" s="7">
        <v>-0.7</v>
      </c>
      <c r="O155" s="4">
        <f t="shared" si="20"/>
        <v>118.69999999999999</v>
      </c>
      <c r="P155" s="4">
        <v>111</v>
      </c>
      <c r="Q155" s="4">
        <v>1</v>
      </c>
      <c r="R155" s="8">
        <f t="shared" si="10"/>
        <v>0.7</v>
      </c>
      <c r="S155" s="8">
        <f t="shared" si="11"/>
        <v>-0.7</v>
      </c>
      <c r="T155" s="8">
        <f t="shared" si="15"/>
        <v>134.38959459459457</v>
      </c>
      <c r="V155" s="4">
        <v>203.3</v>
      </c>
      <c r="X155" s="4">
        <f t="shared" si="16"/>
        <v>65319.599999999991</v>
      </c>
      <c r="Y155" s="4">
        <f t="shared" si="19"/>
        <v>5095.4000000000005</v>
      </c>
      <c r="AA155" s="4">
        <v>8.4744993569777094</v>
      </c>
    </row>
    <row r="156" spans="1:27" s="4" customFormat="1" x14ac:dyDescent="0.25">
      <c r="A156" s="58"/>
      <c r="B156" s="12"/>
      <c r="C156" s="6">
        <v>42002</v>
      </c>
      <c r="D156" s="4">
        <v>-1.9</v>
      </c>
      <c r="E156" s="4">
        <v>-5.6</v>
      </c>
      <c r="F156" s="4">
        <v>1</v>
      </c>
      <c r="G156" s="4">
        <v>1223</v>
      </c>
      <c r="H156" s="4">
        <v>159.80000000000001</v>
      </c>
      <c r="J156" s="4">
        <v>0</v>
      </c>
      <c r="K156" s="4">
        <f t="shared" si="13"/>
        <v>199.39999999999998</v>
      </c>
      <c r="L156" s="4">
        <v>0.3</v>
      </c>
      <c r="M156" s="4">
        <f t="shared" si="14"/>
        <v>130.29999999999995</v>
      </c>
      <c r="N156" s="7">
        <v>-0.3</v>
      </c>
      <c r="O156" s="4">
        <f t="shared" si="20"/>
        <v>118.39999999999999</v>
      </c>
      <c r="P156" s="4">
        <v>112</v>
      </c>
      <c r="Q156" s="4">
        <v>1</v>
      </c>
      <c r="R156" s="8">
        <f t="shared" si="10"/>
        <v>0.3</v>
      </c>
      <c r="S156" s="8">
        <f t="shared" si="11"/>
        <v>-0.3</v>
      </c>
      <c r="T156" s="8">
        <f t="shared" si="15"/>
        <v>134.08959459459456</v>
      </c>
      <c r="V156" s="4">
        <v>253</v>
      </c>
      <c r="X156" s="4">
        <f t="shared" si="16"/>
        <v>65572.599999999991</v>
      </c>
      <c r="Y156" s="4">
        <f t="shared" si="19"/>
        <v>5348.4000000000005</v>
      </c>
      <c r="AA156" s="4">
        <v>8.4849605722490296</v>
      </c>
    </row>
    <row r="157" spans="1:27" s="4" customFormat="1" x14ac:dyDescent="0.25">
      <c r="A157" s="58"/>
      <c r="B157" s="12"/>
      <c r="C157" s="6">
        <v>42003</v>
      </c>
      <c r="D157" s="4">
        <v>-0.1</v>
      </c>
      <c r="E157" s="4">
        <v>-1.7</v>
      </c>
      <c r="F157" s="4">
        <v>1.7</v>
      </c>
      <c r="G157" s="4">
        <v>1223</v>
      </c>
      <c r="H157" s="4">
        <v>159.80000000000001</v>
      </c>
      <c r="J157" s="4">
        <v>0.1</v>
      </c>
      <c r="K157" s="4">
        <f t="shared" si="13"/>
        <v>199.49999999999997</v>
      </c>
      <c r="L157" s="4">
        <v>0.2</v>
      </c>
      <c r="M157" s="4">
        <f t="shared" si="14"/>
        <v>130.49999999999994</v>
      </c>
      <c r="N157" s="7">
        <v>-0.1</v>
      </c>
      <c r="O157" s="4">
        <f t="shared" si="20"/>
        <v>118.3</v>
      </c>
      <c r="P157" s="4">
        <v>113</v>
      </c>
      <c r="Q157" s="4">
        <v>1</v>
      </c>
      <c r="R157" s="8">
        <f t="shared" si="10"/>
        <v>0.2</v>
      </c>
      <c r="S157" s="8">
        <f t="shared" si="11"/>
        <v>-0.1</v>
      </c>
      <c r="T157" s="8">
        <f t="shared" si="15"/>
        <v>133.98959459459456</v>
      </c>
      <c r="V157" s="4">
        <v>159.6</v>
      </c>
      <c r="X157" s="4">
        <f t="shared" si="16"/>
        <v>65732.2</v>
      </c>
      <c r="Y157" s="4">
        <f t="shared" si="19"/>
        <v>5508.0000000000009</v>
      </c>
      <c r="AA157" s="4">
        <v>8.4968803259845895</v>
      </c>
    </row>
    <row r="158" spans="1:27" s="4" customFormat="1" x14ac:dyDescent="0.25">
      <c r="A158" s="58"/>
      <c r="B158" s="12"/>
      <c r="C158" s="6">
        <v>42004</v>
      </c>
      <c r="D158" s="4">
        <v>-0.2</v>
      </c>
      <c r="E158" s="4">
        <v>-1</v>
      </c>
      <c r="F158" s="4">
        <v>3.4</v>
      </c>
      <c r="G158" s="4">
        <v>1223</v>
      </c>
      <c r="H158" s="4">
        <v>159.80000000000001</v>
      </c>
      <c r="J158" s="4">
        <v>0</v>
      </c>
      <c r="K158" s="4">
        <f t="shared" si="13"/>
        <v>199.49999999999997</v>
      </c>
      <c r="L158" s="4">
        <v>0.5</v>
      </c>
      <c r="M158" s="4">
        <f t="shared" si="14"/>
        <v>130.99999999999994</v>
      </c>
      <c r="N158" s="7">
        <v>-0.5</v>
      </c>
      <c r="O158" s="4">
        <f t="shared" si="20"/>
        <v>117.8</v>
      </c>
      <c r="P158" s="4">
        <v>114</v>
      </c>
      <c r="Q158" s="4">
        <v>1</v>
      </c>
      <c r="R158" s="8">
        <f t="shared" si="10"/>
        <v>0.5</v>
      </c>
      <c r="S158" s="8">
        <f t="shared" si="11"/>
        <v>-0.5</v>
      </c>
      <c r="T158" s="8">
        <f t="shared" si="15"/>
        <v>133.48959459459456</v>
      </c>
      <c r="V158" s="4">
        <v>422.5</v>
      </c>
      <c r="X158" s="4">
        <f t="shared" si="16"/>
        <v>66154.7</v>
      </c>
      <c r="Y158" s="4">
        <f t="shared" si="19"/>
        <v>5930.5000000000009</v>
      </c>
      <c r="AA158" s="4">
        <v>8.5145561522284297</v>
      </c>
    </row>
    <row r="159" spans="1:27" s="4" customFormat="1" x14ac:dyDescent="0.25">
      <c r="A159" s="58"/>
      <c r="B159" s="12"/>
      <c r="C159" s="6">
        <v>42005</v>
      </c>
      <c r="D159" s="4">
        <v>-0.2</v>
      </c>
      <c r="E159" s="4">
        <v>-4.5</v>
      </c>
      <c r="F159" s="4">
        <v>4.7</v>
      </c>
      <c r="G159" s="4">
        <v>1223</v>
      </c>
      <c r="H159" s="4">
        <v>159.80000000000001</v>
      </c>
      <c r="J159" s="4">
        <v>0.2</v>
      </c>
      <c r="K159" s="4">
        <f t="shared" si="13"/>
        <v>199.69999999999996</v>
      </c>
      <c r="L159" s="4">
        <v>0.5</v>
      </c>
      <c r="M159" s="4">
        <f t="shared" si="14"/>
        <v>131.49999999999994</v>
      </c>
      <c r="N159" s="7">
        <v>-0.3</v>
      </c>
      <c r="O159" s="4">
        <f t="shared" si="20"/>
        <v>117.5</v>
      </c>
      <c r="P159" s="4">
        <v>115</v>
      </c>
      <c r="Q159" s="4">
        <v>1</v>
      </c>
      <c r="R159" s="8">
        <f t="shared" si="10"/>
        <v>0.5</v>
      </c>
      <c r="S159" s="8">
        <f t="shared" si="11"/>
        <v>-0.3</v>
      </c>
      <c r="T159" s="8">
        <f t="shared" si="15"/>
        <v>133.18959459459455</v>
      </c>
      <c r="V159" s="4">
        <v>651.1</v>
      </c>
      <c r="X159" s="4">
        <f t="shared" si="16"/>
        <v>66805.8</v>
      </c>
      <c r="Y159" s="4">
        <f t="shared" si="19"/>
        <v>6581.6000000000013</v>
      </c>
      <c r="AA159" s="4">
        <v>8.5297804330323395</v>
      </c>
    </row>
    <row r="160" spans="1:27" s="4" customFormat="1" x14ac:dyDescent="0.25">
      <c r="A160" s="58"/>
      <c r="B160" s="12"/>
      <c r="C160" s="6">
        <v>42006</v>
      </c>
      <c r="D160" s="4">
        <v>3.2</v>
      </c>
      <c r="E160" s="4">
        <v>-0.7</v>
      </c>
      <c r="F160" s="4">
        <v>5</v>
      </c>
      <c r="G160" s="4">
        <f t="shared" si="12"/>
        <v>1226.2</v>
      </c>
      <c r="H160" s="4">
        <f t="shared" si="18"/>
        <v>163</v>
      </c>
      <c r="J160" s="4">
        <v>1.6</v>
      </c>
      <c r="K160" s="4">
        <f t="shared" si="13"/>
        <v>201.29999999999995</v>
      </c>
      <c r="L160" s="4">
        <v>0.1</v>
      </c>
      <c r="M160" s="4">
        <f t="shared" si="14"/>
        <v>131.59999999999994</v>
      </c>
      <c r="N160" s="4">
        <v>1.5</v>
      </c>
      <c r="O160" s="4">
        <f t="shared" si="20"/>
        <v>119</v>
      </c>
      <c r="P160" s="4">
        <v>116</v>
      </c>
      <c r="Q160" s="4">
        <v>1</v>
      </c>
      <c r="R160" s="8">
        <f t="shared" si="10"/>
        <v>0.1</v>
      </c>
      <c r="S160" s="8">
        <f t="shared" si="11"/>
        <v>1.5</v>
      </c>
      <c r="T160" s="8">
        <f t="shared" si="15"/>
        <v>134.68959459459455</v>
      </c>
      <c r="V160" s="4">
        <v>121.4</v>
      </c>
      <c r="X160" s="4">
        <f t="shared" si="16"/>
        <v>66927.199999999997</v>
      </c>
      <c r="Y160" s="4">
        <f t="shared" si="19"/>
        <v>6703.0000000000009</v>
      </c>
      <c r="AA160" s="4">
        <v>8.5464143122505796</v>
      </c>
    </row>
    <row r="161" spans="1:27" s="4" customFormat="1" x14ac:dyDescent="0.25">
      <c r="A161" s="58"/>
      <c r="B161" s="9"/>
      <c r="C161" s="6">
        <v>42007</v>
      </c>
      <c r="D161" s="4">
        <v>9.1999999999999993</v>
      </c>
      <c r="E161" s="4">
        <v>3.9</v>
      </c>
      <c r="F161" s="4">
        <v>12.1</v>
      </c>
      <c r="G161" s="4">
        <f t="shared" si="12"/>
        <v>1235.4000000000001</v>
      </c>
      <c r="H161" s="4">
        <f t="shared" si="18"/>
        <v>172.2</v>
      </c>
      <c r="J161" s="4">
        <v>2.2000000000000002</v>
      </c>
      <c r="K161" s="4">
        <f t="shared" si="13"/>
        <v>203.49999999999994</v>
      </c>
      <c r="L161" s="4">
        <v>0</v>
      </c>
      <c r="M161" s="4">
        <f t="shared" si="14"/>
        <v>131.59999999999994</v>
      </c>
      <c r="N161" s="4">
        <v>2.2000000000000002</v>
      </c>
      <c r="O161" s="4">
        <f t="shared" si="20"/>
        <v>121.2</v>
      </c>
      <c r="P161" s="4">
        <v>117</v>
      </c>
      <c r="Q161" s="4">
        <v>1</v>
      </c>
      <c r="R161" s="8">
        <f t="shared" si="10"/>
        <v>0</v>
      </c>
      <c r="S161" s="8">
        <f t="shared" si="11"/>
        <v>2.2000000000000002</v>
      </c>
      <c r="T161" s="8">
        <f t="shared" si="15"/>
        <v>136.88959459459454</v>
      </c>
      <c r="V161" s="4">
        <v>62.5</v>
      </c>
      <c r="X161" s="4">
        <f t="shared" si="16"/>
        <v>66989.7</v>
      </c>
      <c r="Y161" s="4">
        <f t="shared" si="19"/>
        <v>6765.5000000000009</v>
      </c>
      <c r="AA161" s="4">
        <v>8.5644398804229098</v>
      </c>
    </row>
    <row r="162" spans="1:27" s="4" customFormat="1" x14ac:dyDescent="0.25">
      <c r="A162" s="58"/>
      <c r="B162" s="9"/>
      <c r="C162" s="6">
        <v>42008</v>
      </c>
      <c r="D162" s="4">
        <v>6.3</v>
      </c>
      <c r="E162" s="4">
        <v>3.8</v>
      </c>
      <c r="F162" s="4">
        <v>8.6999999999999993</v>
      </c>
      <c r="G162" s="4">
        <f t="shared" si="12"/>
        <v>1241.7</v>
      </c>
      <c r="H162" s="4">
        <f t="shared" si="18"/>
        <v>178.5</v>
      </c>
      <c r="J162" s="4">
        <v>0.2</v>
      </c>
      <c r="K162" s="4">
        <f t="shared" si="13"/>
        <v>203.69999999999993</v>
      </c>
      <c r="L162" s="4">
        <v>0.1</v>
      </c>
      <c r="M162" s="4">
        <f t="shared" si="14"/>
        <v>131.69999999999993</v>
      </c>
      <c r="N162" s="4">
        <v>0.1</v>
      </c>
      <c r="O162" s="4">
        <f t="shared" si="20"/>
        <v>121.3</v>
      </c>
      <c r="P162" s="4">
        <v>118</v>
      </c>
      <c r="Q162" s="4">
        <v>1</v>
      </c>
      <c r="R162" s="8">
        <f t="shared" si="10"/>
        <v>0.1</v>
      </c>
      <c r="S162" s="8">
        <f t="shared" si="11"/>
        <v>0.1</v>
      </c>
      <c r="T162" s="8">
        <f t="shared" si="15"/>
        <v>136.98959459459454</v>
      </c>
      <c r="V162" s="4">
        <v>108</v>
      </c>
      <c r="X162" s="4">
        <f t="shared" si="16"/>
        <v>67097.7</v>
      </c>
      <c r="Y162" s="4">
        <f t="shared" si="19"/>
        <v>6873.5000000000009</v>
      </c>
      <c r="AA162" s="4">
        <v>8.5838379125656008</v>
      </c>
    </row>
    <row r="163" spans="1:27" s="4" customFormat="1" x14ac:dyDescent="0.25">
      <c r="A163" s="58"/>
      <c r="B163" s="12"/>
      <c r="C163" s="6">
        <v>42009</v>
      </c>
      <c r="D163" s="4">
        <v>1.9</v>
      </c>
      <c r="E163" s="4">
        <v>0.7</v>
      </c>
      <c r="F163" s="4">
        <v>3.2</v>
      </c>
      <c r="G163" s="4">
        <f t="shared" si="12"/>
        <v>1243.6000000000001</v>
      </c>
      <c r="H163" s="4">
        <f t="shared" si="18"/>
        <v>180.4</v>
      </c>
      <c r="J163" s="4">
        <v>0</v>
      </c>
      <c r="K163" s="4">
        <f t="shared" si="13"/>
        <v>203.69999999999993</v>
      </c>
      <c r="L163" s="4">
        <v>0.4</v>
      </c>
      <c r="M163" s="4">
        <f t="shared" si="14"/>
        <v>132.09999999999994</v>
      </c>
      <c r="N163" s="7">
        <v>-0.4</v>
      </c>
      <c r="O163" s="4">
        <f t="shared" si="20"/>
        <v>120.89999999999999</v>
      </c>
      <c r="P163" s="4">
        <v>119</v>
      </c>
      <c r="Q163" s="4">
        <v>1</v>
      </c>
      <c r="R163" s="8">
        <f t="shared" si="10"/>
        <v>0.4</v>
      </c>
      <c r="S163" s="8">
        <f t="shared" si="11"/>
        <v>-0.4</v>
      </c>
      <c r="T163" s="8">
        <f t="shared" si="15"/>
        <v>136.58959459459453</v>
      </c>
      <c r="V163" s="4">
        <v>356.7</v>
      </c>
      <c r="X163" s="4">
        <f t="shared" si="16"/>
        <v>67454.399999999994</v>
      </c>
      <c r="Y163" s="4">
        <f t="shared" si="19"/>
        <v>7230.2000000000007</v>
      </c>
      <c r="AA163" s="4">
        <v>8.6045879420270204</v>
      </c>
    </row>
    <row r="164" spans="1:27" s="4" customFormat="1" x14ac:dyDescent="0.25">
      <c r="A164" s="58"/>
      <c r="B164" s="12"/>
      <c r="C164" s="6">
        <v>42010</v>
      </c>
      <c r="D164" s="4">
        <v>2.2999999999999998</v>
      </c>
      <c r="E164" s="4">
        <v>-1</v>
      </c>
      <c r="F164" s="4">
        <v>5.2</v>
      </c>
      <c r="G164" s="4">
        <f t="shared" si="12"/>
        <v>1245.9000000000001</v>
      </c>
      <c r="H164" s="4">
        <f t="shared" si="18"/>
        <v>182.70000000000002</v>
      </c>
      <c r="J164" s="4">
        <v>1.3</v>
      </c>
      <c r="K164" s="4">
        <f t="shared" si="13"/>
        <v>204.99999999999994</v>
      </c>
      <c r="L164" s="4">
        <v>0.2</v>
      </c>
      <c r="M164" s="4">
        <f t="shared" si="14"/>
        <v>132.29999999999993</v>
      </c>
      <c r="N164" s="4">
        <v>1.1000000000000001</v>
      </c>
      <c r="O164" s="4">
        <f t="shared" si="20"/>
        <v>121.99999999999999</v>
      </c>
      <c r="P164" s="4">
        <v>120</v>
      </c>
      <c r="Q164" s="4">
        <v>1</v>
      </c>
      <c r="R164" s="8">
        <f t="shared" si="10"/>
        <v>0.2</v>
      </c>
      <c r="S164" s="8">
        <f t="shared" si="11"/>
        <v>1.1000000000000001</v>
      </c>
      <c r="T164" s="8">
        <f t="shared" si="15"/>
        <v>137.68959459459452</v>
      </c>
      <c r="V164" s="4">
        <v>192.2</v>
      </c>
      <c r="X164" s="4">
        <f t="shared" si="16"/>
        <v>67646.599999999991</v>
      </c>
      <c r="Y164" s="4">
        <f t="shared" si="19"/>
        <v>7422.4000000000005</v>
      </c>
      <c r="AA164" s="4">
        <v>8.6266683375888604</v>
      </c>
    </row>
    <row r="165" spans="1:27" s="4" customFormat="1" x14ac:dyDescent="0.25">
      <c r="A165" s="58"/>
      <c r="B165" s="9"/>
      <c r="C165" s="6">
        <v>42011</v>
      </c>
      <c r="D165" s="4">
        <v>5.7</v>
      </c>
      <c r="E165" s="4">
        <v>4.5999999999999996</v>
      </c>
      <c r="F165" s="4">
        <v>9.1</v>
      </c>
      <c r="G165" s="4">
        <f t="shared" si="12"/>
        <v>1251.6000000000001</v>
      </c>
      <c r="H165" s="4">
        <f t="shared" si="18"/>
        <v>188.4</v>
      </c>
      <c r="J165" s="4">
        <v>0</v>
      </c>
      <c r="K165" s="4">
        <f t="shared" si="13"/>
        <v>204.99999999999994</v>
      </c>
      <c r="L165" s="4">
        <v>0.4</v>
      </c>
      <c r="M165" s="4">
        <f t="shared" si="14"/>
        <v>132.69999999999993</v>
      </c>
      <c r="N165" s="7">
        <v>-0.4</v>
      </c>
      <c r="O165" s="4">
        <f t="shared" si="20"/>
        <v>121.59999999999998</v>
      </c>
      <c r="P165" s="4">
        <v>121</v>
      </c>
      <c r="Q165" s="4">
        <v>1</v>
      </c>
      <c r="R165" s="8">
        <f t="shared" si="10"/>
        <v>0.4</v>
      </c>
      <c r="S165" s="8">
        <f t="shared" si="11"/>
        <v>-0.4</v>
      </c>
      <c r="T165" s="8">
        <f t="shared" si="15"/>
        <v>137.28959459459452</v>
      </c>
      <c r="V165" s="4">
        <v>204.4</v>
      </c>
      <c r="X165" s="4">
        <f t="shared" si="16"/>
        <v>67850.999999999985</v>
      </c>
      <c r="Y165" s="4">
        <f t="shared" si="19"/>
        <v>7626.8</v>
      </c>
      <c r="AA165" s="4">
        <v>8.6500563832433404</v>
      </c>
    </row>
    <row r="166" spans="1:27" s="4" customFormat="1" x14ac:dyDescent="0.25">
      <c r="A166" s="58"/>
      <c r="B166" s="9"/>
      <c r="C166" s="6">
        <v>42012</v>
      </c>
      <c r="D166" s="4">
        <v>8.1999999999999993</v>
      </c>
      <c r="E166" s="4">
        <v>5.5</v>
      </c>
      <c r="F166" s="4">
        <v>9.6</v>
      </c>
      <c r="G166" s="4">
        <f t="shared" si="12"/>
        <v>1259.8000000000002</v>
      </c>
      <c r="H166" s="4">
        <f t="shared" si="18"/>
        <v>196.6</v>
      </c>
      <c r="J166" s="4">
        <v>2.5</v>
      </c>
      <c r="K166" s="4">
        <f t="shared" si="13"/>
        <v>207.49999999999994</v>
      </c>
      <c r="L166" s="4">
        <v>0.1</v>
      </c>
      <c r="M166" s="4">
        <f t="shared" si="14"/>
        <v>132.79999999999993</v>
      </c>
      <c r="N166" s="4">
        <v>2.4</v>
      </c>
      <c r="O166" s="4">
        <f t="shared" si="20"/>
        <v>123.99999999999999</v>
      </c>
      <c r="P166" s="4">
        <v>122</v>
      </c>
      <c r="Q166" s="4">
        <v>1</v>
      </c>
      <c r="R166" s="8">
        <f t="shared" si="10"/>
        <v>0.1</v>
      </c>
      <c r="S166" s="8">
        <f t="shared" si="11"/>
        <v>2.4</v>
      </c>
      <c r="T166" s="8">
        <f t="shared" si="15"/>
        <v>138.9</v>
      </c>
      <c r="V166" s="4">
        <v>107.5</v>
      </c>
      <c r="X166" s="4">
        <f t="shared" si="16"/>
        <v>67958.499999999985</v>
      </c>
      <c r="Y166" s="4">
        <f t="shared" si="19"/>
        <v>7734.3</v>
      </c>
      <c r="AA166" s="4">
        <v>8.6747283600759602</v>
      </c>
    </row>
    <row r="167" spans="1:27" s="4" customFormat="1" x14ac:dyDescent="0.25">
      <c r="A167" s="58"/>
      <c r="B167" s="9"/>
      <c r="C167" s="6">
        <v>42013</v>
      </c>
      <c r="D167" s="4">
        <v>11</v>
      </c>
      <c r="E167" s="4">
        <v>5.7</v>
      </c>
      <c r="F167" s="4">
        <v>12.9</v>
      </c>
      <c r="G167" s="4">
        <f t="shared" si="12"/>
        <v>1270.8000000000002</v>
      </c>
      <c r="H167" s="4">
        <f t="shared" si="18"/>
        <v>207.6</v>
      </c>
      <c r="J167" s="4">
        <v>1.8</v>
      </c>
      <c r="K167" s="4">
        <f t="shared" si="13"/>
        <v>209.29999999999995</v>
      </c>
      <c r="L167" s="4">
        <v>0.1</v>
      </c>
      <c r="M167" s="4">
        <f t="shared" si="14"/>
        <v>132.89999999999992</v>
      </c>
      <c r="N167" s="4">
        <v>1.7</v>
      </c>
      <c r="O167" s="4">
        <f t="shared" si="20"/>
        <v>125.69999999999999</v>
      </c>
      <c r="P167" s="4">
        <v>123</v>
      </c>
      <c r="Q167" s="4">
        <v>1</v>
      </c>
      <c r="R167" s="8">
        <f t="shared" si="10"/>
        <v>0.1</v>
      </c>
      <c r="S167" s="8">
        <f t="shared" si="11"/>
        <v>1.7</v>
      </c>
      <c r="T167" s="8">
        <f t="shared" si="15"/>
        <v>138.9</v>
      </c>
      <c r="V167" s="4">
        <v>129.4</v>
      </c>
      <c r="X167" s="4">
        <f t="shared" si="16"/>
        <v>68087.89999999998</v>
      </c>
      <c r="Y167" s="4">
        <f t="shared" si="19"/>
        <v>7863.7</v>
      </c>
      <c r="AA167" s="4">
        <v>8.7006596296884506</v>
      </c>
    </row>
    <row r="168" spans="1:27" s="4" customFormat="1" x14ac:dyDescent="0.25">
      <c r="A168" s="58"/>
      <c r="B168" s="9"/>
      <c r="C168" s="6">
        <v>42014</v>
      </c>
      <c r="D168" s="4">
        <v>11.2</v>
      </c>
      <c r="E168" s="4">
        <v>11.4</v>
      </c>
      <c r="F168" s="4">
        <v>12.3</v>
      </c>
      <c r="G168" s="4">
        <f t="shared" si="12"/>
        <v>1282.0000000000002</v>
      </c>
      <c r="H168" s="4">
        <f t="shared" si="18"/>
        <v>218.79999999999998</v>
      </c>
      <c r="J168" s="4">
        <v>4.7</v>
      </c>
      <c r="K168" s="4">
        <f t="shared" si="13"/>
        <v>213.99999999999994</v>
      </c>
      <c r="L168" s="4">
        <v>0.6</v>
      </c>
      <c r="M168" s="4">
        <f t="shared" si="14"/>
        <v>133.49999999999991</v>
      </c>
      <c r="N168" s="4">
        <v>4.1000000000000005</v>
      </c>
      <c r="O168" s="4">
        <f t="shared" si="20"/>
        <v>129.79999999999998</v>
      </c>
      <c r="P168" s="4">
        <v>124</v>
      </c>
      <c r="Q168" s="4">
        <v>1</v>
      </c>
      <c r="R168" s="8">
        <f t="shared" si="10"/>
        <v>0.6</v>
      </c>
      <c r="S168" s="8">
        <f t="shared" si="11"/>
        <v>4.1000000000000005</v>
      </c>
      <c r="T168" s="8">
        <f t="shared" si="15"/>
        <v>138.9</v>
      </c>
      <c r="V168" s="4">
        <v>106</v>
      </c>
      <c r="X168" s="4">
        <f t="shared" si="16"/>
        <v>68193.89999999998</v>
      </c>
      <c r="Y168" s="4">
        <f t="shared" si="19"/>
        <v>7969.7</v>
      </c>
      <c r="AA168" s="4">
        <v>8.7278247186081295</v>
      </c>
    </row>
    <row r="169" spans="1:27" s="4" customFormat="1" x14ac:dyDescent="0.25">
      <c r="A169" s="58"/>
      <c r="B169" s="9"/>
      <c r="C169" s="6">
        <v>42015</v>
      </c>
      <c r="D169" s="4">
        <v>6</v>
      </c>
      <c r="E169" s="4">
        <v>5.2</v>
      </c>
      <c r="F169" s="4">
        <v>7.8</v>
      </c>
      <c r="G169" s="4">
        <f t="shared" si="12"/>
        <v>1288.0000000000002</v>
      </c>
      <c r="H169" s="4">
        <f t="shared" si="18"/>
        <v>224.79999999999998</v>
      </c>
      <c r="J169" s="4">
        <v>0</v>
      </c>
      <c r="K169" s="4">
        <f t="shared" si="13"/>
        <v>213.99999999999994</v>
      </c>
      <c r="L169" s="4">
        <v>0.7</v>
      </c>
      <c r="M169" s="4">
        <f t="shared" si="14"/>
        <v>134.1999999999999</v>
      </c>
      <c r="N169" s="7">
        <v>-0.7</v>
      </c>
      <c r="O169" s="4">
        <f t="shared" si="20"/>
        <v>129.1</v>
      </c>
      <c r="P169" s="4">
        <v>125</v>
      </c>
      <c r="Q169" s="4">
        <v>1</v>
      </c>
      <c r="R169" s="8">
        <f t="shared" si="10"/>
        <v>0.7</v>
      </c>
      <c r="S169" s="8">
        <f t="shared" si="11"/>
        <v>-0.7</v>
      </c>
      <c r="T169" s="8">
        <f t="shared" si="15"/>
        <v>138.20000000000002</v>
      </c>
      <c r="V169" s="4">
        <v>625.1</v>
      </c>
      <c r="X169" s="4">
        <f t="shared" si="16"/>
        <v>68818.999999999985</v>
      </c>
      <c r="Y169" s="4">
        <f t="shared" si="19"/>
        <v>8594.7999999999993</v>
      </c>
      <c r="AA169" s="4">
        <v>8.7561974031467305</v>
      </c>
    </row>
    <row r="170" spans="1:27" s="4" customFormat="1" x14ac:dyDescent="0.25">
      <c r="A170" s="58"/>
      <c r="B170" s="9"/>
      <c r="C170" s="6">
        <v>42016</v>
      </c>
      <c r="D170" s="4">
        <v>6.1</v>
      </c>
      <c r="E170" s="4">
        <v>4.5</v>
      </c>
      <c r="F170" s="4">
        <v>7.5</v>
      </c>
      <c r="G170" s="4">
        <f t="shared" si="12"/>
        <v>1294.1000000000001</v>
      </c>
      <c r="H170" s="4">
        <f t="shared" si="18"/>
        <v>230.89999999999998</v>
      </c>
      <c r="J170" s="4">
        <v>0</v>
      </c>
      <c r="K170" s="4">
        <f t="shared" si="13"/>
        <v>213.99999999999994</v>
      </c>
      <c r="L170" s="4">
        <v>0.9</v>
      </c>
      <c r="M170" s="4">
        <f t="shared" si="14"/>
        <v>135.09999999999991</v>
      </c>
      <c r="N170" s="7">
        <v>-0.9</v>
      </c>
      <c r="O170" s="4">
        <f t="shared" si="20"/>
        <v>128.19999999999999</v>
      </c>
      <c r="P170" s="4">
        <v>126</v>
      </c>
      <c r="Q170" s="4">
        <v>1</v>
      </c>
      <c r="R170" s="8">
        <f t="shared" si="10"/>
        <v>0.9</v>
      </c>
      <c r="S170" s="8">
        <f t="shared" si="11"/>
        <v>-0.9</v>
      </c>
      <c r="T170" s="8">
        <f t="shared" si="15"/>
        <v>137.30000000000001</v>
      </c>
      <c r="V170" s="4">
        <v>298.10000000000002</v>
      </c>
      <c r="X170" s="4">
        <f t="shared" si="16"/>
        <v>69117.099999999991</v>
      </c>
      <c r="Y170" s="4">
        <f t="shared" si="19"/>
        <v>8892.9</v>
      </c>
      <c r="AA170" s="4">
        <v>8.7857507941933104</v>
      </c>
    </row>
    <row r="171" spans="1:27" s="4" customFormat="1" x14ac:dyDescent="0.25">
      <c r="A171" s="58"/>
      <c r="B171" s="9"/>
      <c r="C171" s="6">
        <v>42017</v>
      </c>
      <c r="D171" s="4">
        <v>8.1999999999999993</v>
      </c>
      <c r="E171" s="4">
        <v>6.5</v>
      </c>
      <c r="F171" s="4">
        <v>9.5</v>
      </c>
      <c r="G171" s="4">
        <f t="shared" si="12"/>
        <v>1302.3000000000002</v>
      </c>
      <c r="H171" s="4">
        <f t="shared" si="18"/>
        <v>239.09999999999997</v>
      </c>
      <c r="J171" s="4">
        <v>5.4</v>
      </c>
      <c r="K171" s="4">
        <f t="shared" si="13"/>
        <v>219.39999999999995</v>
      </c>
      <c r="L171" s="4">
        <v>0.8</v>
      </c>
      <c r="M171" s="4">
        <f t="shared" si="14"/>
        <v>135.89999999999992</v>
      </c>
      <c r="N171" s="4">
        <v>4.6000000000000005</v>
      </c>
      <c r="O171" s="4">
        <f t="shared" si="20"/>
        <v>132.79999999999998</v>
      </c>
      <c r="P171" s="4">
        <v>127</v>
      </c>
      <c r="Q171" s="4">
        <v>1</v>
      </c>
      <c r="R171" s="8">
        <f t="shared" si="10"/>
        <v>0.8</v>
      </c>
      <c r="S171" s="8">
        <f t="shared" si="11"/>
        <v>4.6000000000000005</v>
      </c>
      <c r="T171" s="8">
        <f t="shared" si="15"/>
        <v>138.9</v>
      </c>
      <c r="V171" s="4">
        <v>140.80000000000001</v>
      </c>
      <c r="X171" s="4">
        <f t="shared" si="16"/>
        <v>69257.899999999994</v>
      </c>
      <c r="Y171" s="4">
        <f t="shared" si="19"/>
        <v>9033.6999999999989</v>
      </c>
      <c r="AA171" s="4">
        <v>8.8164574214519202</v>
      </c>
    </row>
    <row r="172" spans="1:27" s="4" customFormat="1" x14ac:dyDescent="0.25">
      <c r="A172" s="58"/>
      <c r="B172" s="9"/>
      <c r="C172" s="6">
        <v>42018</v>
      </c>
      <c r="D172" s="4">
        <v>8.3000000000000007</v>
      </c>
      <c r="E172" s="4">
        <v>6.8</v>
      </c>
      <c r="F172" s="4">
        <v>9.4</v>
      </c>
      <c r="G172" s="4">
        <f t="shared" si="12"/>
        <v>1310.6000000000001</v>
      </c>
      <c r="H172" s="4">
        <f t="shared" si="18"/>
        <v>247.39999999999998</v>
      </c>
      <c r="J172" s="4">
        <v>1.7</v>
      </c>
      <c r="K172" s="4">
        <f t="shared" si="13"/>
        <v>221.09999999999994</v>
      </c>
      <c r="L172" s="4">
        <v>1</v>
      </c>
      <c r="M172" s="4">
        <f t="shared" si="14"/>
        <v>136.89999999999992</v>
      </c>
      <c r="N172" s="4">
        <v>0.7</v>
      </c>
      <c r="O172" s="4">
        <f t="shared" si="20"/>
        <v>133.49999999999997</v>
      </c>
      <c r="P172" s="4">
        <v>128</v>
      </c>
      <c r="Q172" s="4">
        <v>1</v>
      </c>
      <c r="R172" s="8">
        <f t="shared" si="10"/>
        <v>1</v>
      </c>
      <c r="S172" s="8">
        <f t="shared" si="11"/>
        <v>0.7</v>
      </c>
      <c r="T172" s="8">
        <f t="shared" si="15"/>
        <v>138.9</v>
      </c>
      <c r="V172" s="4">
        <v>246.1</v>
      </c>
      <c r="X172" s="4">
        <f t="shared" si="16"/>
        <v>69504</v>
      </c>
      <c r="Y172" s="4">
        <f t="shared" si="19"/>
        <v>9279.7999999999993</v>
      </c>
      <c r="AA172" s="4">
        <v>8.8482893166644701</v>
      </c>
    </row>
    <row r="173" spans="1:27" s="4" customFormat="1" x14ac:dyDescent="0.25">
      <c r="A173" s="58"/>
      <c r="B173" s="9"/>
      <c r="C173" s="6">
        <v>42019</v>
      </c>
      <c r="D173" s="4">
        <v>8.8000000000000007</v>
      </c>
      <c r="E173" s="4">
        <v>7.9</v>
      </c>
      <c r="F173" s="4">
        <v>10.6</v>
      </c>
      <c r="G173" s="4">
        <f t="shared" si="12"/>
        <v>1319.4</v>
      </c>
      <c r="H173" s="4">
        <f t="shared" si="18"/>
        <v>256.2</v>
      </c>
      <c r="J173" s="4">
        <v>4.2</v>
      </c>
      <c r="K173" s="4">
        <f t="shared" si="13"/>
        <v>225.29999999999993</v>
      </c>
      <c r="L173" s="4">
        <v>1.5</v>
      </c>
      <c r="M173" s="4">
        <f t="shared" si="14"/>
        <v>138.39999999999992</v>
      </c>
      <c r="N173" s="4">
        <v>2.7</v>
      </c>
      <c r="O173" s="4">
        <f t="shared" si="20"/>
        <v>136.19999999999996</v>
      </c>
      <c r="P173" s="4">
        <v>129</v>
      </c>
      <c r="Q173" s="4">
        <v>1</v>
      </c>
      <c r="R173" s="8">
        <f t="shared" ref="R173:R236" si="21">Q173*L173</f>
        <v>1.5</v>
      </c>
      <c r="S173" s="8">
        <f t="shared" ref="S173:S236" si="22">J173-R173</f>
        <v>2.7</v>
      </c>
      <c r="T173" s="8">
        <f t="shared" si="15"/>
        <v>138.9</v>
      </c>
      <c r="V173" s="4">
        <v>87</v>
      </c>
      <c r="X173" s="4">
        <f t="shared" si="16"/>
        <v>69591</v>
      </c>
      <c r="Y173" s="4">
        <f t="shared" si="19"/>
        <v>9366.7999999999993</v>
      </c>
      <c r="AA173" s="4">
        <v>8.8812180953916293</v>
      </c>
    </row>
    <row r="174" spans="1:27" s="4" customFormat="1" x14ac:dyDescent="0.25">
      <c r="A174" s="58"/>
      <c r="B174" s="9"/>
      <c r="C174" s="6">
        <v>42020</v>
      </c>
      <c r="D174" s="4">
        <v>5.8</v>
      </c>
      <c r="E174" s="4">
        <v>5.3</v>
      </c>
      <c r="F174" s="4">
        <v>7.9</v>
      </c>
      <c r="G174" s="4">
        <f t="shared" si="12"/>
        <v>1325.2</v>
      </c>
      <c r="H174" s="4">
        <f t="shared" si="18"/>
        <v>262</v>
      </c>
      <c r="J174" s="4">
        <v>1.9</v>
      </c>
      <c r="K174" s="4">
        <f t="shared" si="13"/>
        <v>227.19999999999993</v>
      </c>
      <c r="L174" s="4">
        <v>0.5</v>
      </c>
      <c r="M174" s="4">
        <f t="shared" si="14"/>
        <v>138.89999999999992</v>
      </c>
      <c r="N174" s="4">
        <v>1.4</v>
      </c>
      <c r="O174" s="4">
        <f t="shared" si="20"/>
        <v>137.59999999999997</v>
      </c>
      <c r="P174" s="4">
        <v>130</v>
      </c>
      <c r="Q174" s="4">
        <v>1</v>
      </c>
      <c r="R174" s="8">
        <f t="shared" si="21"/>
        <v>0.5</v>
      </c>
      <c r="S174" s="8">
        <f t="shared" si="22"/>
        <v>1.4</v>
      </c>
      <c r="T174" s="8">
        <f t="shared" si="15"/>
        <v>138.9</v>
      </c>
      <c r="V174" s="4">
        <v>258.7</v>
      </c>
      <c r="X174" s="4">
        <f t="shared" si="16"/>
        <v>69849.7</v>
      </c>
      <c r="Y174" s="4">
        <f t="shared" si="19"/>
        <v>9625.5</v>
      </c>
      <c r="AA174" s="4">
        <v>8.9152150369598697</v>
      </c>
    </row>
    <row r="175" spans="1:27" s="4" customFormat="1" x14ac:dyDescent="0.25">
      <c r="A175" s="58"/>
      <c r="B175" s="12"/>
      <c r="C175" s="6">
        <v>42021</v>
      </c>
      <c r="D175" s="4">
        <v>1.7</v>
      </c>
      <c r="E175" s="4">
        <v>1.3</v>
      </c>
      <c r="F175" s="4">
        <v>2.1</v>
      </c>
      <c r="G175" s="4">
        <f t="shared" ref="G175:G238" si="23">G174+D175</f>
        <v>1326.9</v>
      </c>
      <c r="H175" s="4">
        <f t="shared" si="18"/>
        <v>263.7</v>
      </c>
      <c r="J175" s="4">
        <v>0</v>
      </c>
      <c r="K175" s="4">
        <f t="shared" ref="K175:K238" si="24">K174+J175</f>
        <v>227.19999999999993</v>
      </c>
      <c r="L175" s="4">
        <v>0.2</v>
      </c>
      <c r="M175" s="4">
        <f t="shared" ref="M175:M238" si="25">M174+L175</f>
        <v>139.09999999999991</v>
      </c>
      <c r="N175" s="7">
        <v>-0.2</v>
      </c>
      <c r="O175" s="4">
        <f t="shared" si="20"/>
        <v>137.39999999999998</v>
      </c>
      <c r="P175" s="4">
        <v>131</v>
      </c>
      <c r="Q175" s="4">
        <v>1</v>
      </c>
      <c r="R175" s="8">
        <f t="shared" si="21"/>
        <v>0.2</v>
      </c>
      <c r="S175" s="8">
        <f t="shared" si="22"/>
        <v>-0.2</v>
      </c>
      <c r="T175" s="8">
        <f t="shared" ref="T175:T238" si="26">MIN(138.9,(T174+S175))</f>
        <v>138.70000000000002</v>
      </c>
      <c r="V175" s="4">
        <v>301.89999999999998</v>
      </c>
      <c r="X175" s="4">
        <f t="shared" ref="X175:X238" si="27">X174+V175</f>
        <v>70151.599999999991</v>
      </c>
      <c r="Y175" s="4">
        <f t="shared" si="19"/>
        <v>9927.4</v>
      </c>
      <c r="AA175" s="4">
        <v>8.9502511622191392</v>
      </c>
    </row>
    <row r="176" spans="1:27" s="4" customFormat="1" x14ac:dyDescent="0.25">
      <c r="A176" s="58"/>
      <c r="B176" s="12"/>
      <c r="C176" s="6">
        <v>42022</v>
      </c>
      <c r="D176" s="4">
        <v>2.9</v>
      </c>
      <c r="E176" s="4">
        <v>0.4</v>
      </c>
      <c r="F176" s="4">
        <v>7.2</v>
      </c>
      <c r="G176" s="4">
        <f t="shared" si="23"/>
        <v>1329.8000000000002</v>
      </c>
      <c r="H176" s="4">
        <f t="shared" si="18"/>
        <v>266.59999999999997</v>
      </c>
      <c r="J176" s="4">
        <v>0.4</v>
      </c>
      <c r="K176" s="4">
        <f t="shared" si="24"/>
        <v>227.59999999999994</v>
      </c>
      <c r="L176" s="4">
        <v>0.5</v>
      </c>
      <c r="M176" s="4">
        <f t="shared" si="25"/>
        <v>139.59999999999991</v>
      </c>
      <c r="N176" s="7">
        <v>-9.9999999999999978E-2</v>
      </c>
      <c r="O176" s="4">
        <f t="shared" si="20"/>
        <v>137.29999999999998</v>
      </c>
      <c r="P176" s="4">
        <v>132</v>
      </c>
      <c r="Q176" s="4">
        <v>1</v>
      </c>
      <c r="R176" s="8">
        <f t="shared" si="21"/>
        <v>0.5</v>
      </c>
      <c r="S176" s="8">
        <f t="shared" si="22"/>
        <v>-9.9999999999999978E-2</v>
      </c>
      <c r="T176" s="8">
        <f t="shared" si="26"/>
        <v>138.60000000000002</v>
      </c>
      <c r="V176" s="4">
        <v>360.1</v>
      </c>
      <c r="X176" s="4">
        <f t="shared" si="27"/>
        <v>70511.7</v>
      </c>
      <c r="Y176" s="4">
        <f t="shared" si="19"/>
        <v>10287.5</v>
      </c>
      <c r="AA176" s="4">
        <v>8.98629730879391</v>
      </c>
    </row>
    <row r="177" spans="1:27" s="4" customFormat="1" x14ac:dyDescent="0.25">
      <c r="A177" s="58"/>
      <c r="B177" s="9"/>
      <c r="C177" s="6">
        <v>42023</v>
      </c>
      <c r="D177" s="4">
        <v>1.7</v>
      </c>
      <c r="E177" s="4">
        <v>1.3</v>
      </c>
      <c r="F177" s="4">
        <v>2.2999999999999998</v>
      </c>
      <c r="G177" s="4">
        <f t="shared" si="23"/>
        <v>1331.5000000000002</v>
      </c>
      <c r="H177" s="4">
        <f t="shared" si="18"/>
        <v>268.29999999999995</v>
      </c>
      <c r="J177" s="4">
        <v>0.2</v>
      </c>
      <c r="K177" s="4">
        <f t="shared" si="24"/>
        <v>227.79999999999993</v>
      </c>
      <c r="L177" s="4">
        <v>0.2</v>
      </c>
      <c r="M177" s="4">
        <f t="shared" si="25"/>
        <v>139.7999999999999</v>
      </c>
      <c r="N177" s="7">
        <v>0</v>
      </c>
      <c r="O177" s="4">
        <f t="shared" si="20"/>
        <v>137.29999999999998</v>
      </c>
      <c r="P177" s="4">
        <v>133</v>
      </c>
      <c r="Q177" s="4">
        <v>1</v>
      </c>
      <c r="R177" s="8">
        <f t="shared" si="21"/>
        <v>0.2</v>
      </c>
      <c r="S177" s="8">
        <f t="shared" si="22"/>
        <v>0</v>
      </c>
      <c r="T177" s="8">
        <f t="shared" si="26"/>
        <v>138.60000000000002</v>
      </c>
      <c r="V177" s="4">
        <v>109.1</v>
      </c>
      <c r="X177" s="4">
        <f t="shared" si="27"/>
        <v>70620.800000000003</v>
      </c>
      <c r="Y177" s="4">
        <f t="shared" si="19"/>
        <v>10396.6</v>
      </c>
      <c r="AA177" s="4">
        <v>9.0233242035480394</v>
      </c>
    </row>
    <row r="178" spans="1:27" s="4" customFormat="1" x14ac:dyDescent="0.25">
      <c r="A178" s="58"/>
      <c r="B178" s="9"/>
      <c r="C178" s="6">
        <v>42024</v>
      </c>
      <c r="D178" s="4">
        <v>-0.1</v>
      </c>
      <c r="E178" s="4">
        <v>-2.9</v>
      </c>
      <c r="F178" s="4">
        <v>2.4</v>
      </c>
      <c r="G178" s="4">
        <v>1331.5</v>
      </c>
      <c r="H178" s="4">
        <v>268.3</v>
      </c>
      <c r="J178" s="4">
        <v>0</v>
      </c>
      <c r="K178" s="4">
        <f t="shared" si="24"/>
        <v>227.79999999999993</v>
      </c>
      <c r="L178" s="4">
        <v>0.2</v>
      </c>
      <c r="M178" s="4">
        <f t="shared" si="25"/>
        <v>139.99999999999989</v>
      </c>
      <c r="N178" s="7">
        <v>-0.2</v>
      </c>
      <c r="O178" s="4">
        <f t="shared" si="20"/>
        <v>137.1</v>
      </c>
      <c r="P178" s="4">
        <v>134</v>
      </c>
      <c r="Q178" s="4">
        <v>1</v>
      </c>
      <c r="R178" s="8">
        <f t="shared" si="21"/>
        <v>0.2</v>
      </c>
      <c r="S178" s="8">
        <f t="shared" si="22"/>
        <v>-0.2</v>
      </c>
      <c r="T178" s="8">
        <f t="shared" si="26"/>
        <v>138.40000000000003</v>
      </c>
      <c r="V178" s="4">
        <v>388.1</v>
      </c>
      <c r="X178" s="4">
        <f t="shared" si="27"/>
        <v>71008.900000000009</v>
      </c>
      <c r="Y178" s="4">
        <f t="shared" si="19"/>
        <v>10784.7</v>
      </c>
      <c r="AA178" s="4">
        <v>9.0613025320228697</v>
      </c>
    </row>
    <row r="179" spans="1:27" s="4" customFormat="1" x14ac:dyDescent="0.25">
      <c r="A179" s="58"/>
      <c r="B179" s="9"/>
      <c r="C179" s="6">
        <v>42025</v>
      </c>
      <c r="D179" s="4">
        <v>1.3</v>
      </c>
      <c r="E179" s="4">
        <v>-0.9</v>
      </c>
      <c r="F179" s="4">
        <v>5.2</v>
      </c>
      <c r="G179" s="4">
        <f t="shared" si="23"/>
        <v>1332.8</v>
      </c>
      <c r="H179" s="4">
        <f t="shared" si="18"/>
        <v>269.60000000000002</v>
      </c>
      <c r="J179" s="4">
        <v>0</v>
      </c>
      <c r="K179" s="4">
        <f t="shared" si="24"/>
        <v>227.79999999999993</v>
      </c>
      <c r="L179" s="4">
        <v>0.6</v>
      </c>
      <c r="M179" s="4">
        <f t="shared" si="25"/>
        <v>140.59999999999988</v>
      </c>
      <c r="N179" s="7">
        <v>-0.6</v>
      </c>
      <c r="O179" s="4">
        <f t="shared" si="20"/>
        <v>136.5</v>
      </c>
      <c r="P179" s="4">
        <v>135</v>
      </c>
      <c r="Q179" s="4">
        <v>1</v>
      </c>
      <c r="R179" s="8">
        <f t="shared" si="21"/>
        <v>0.6</v>
      </c>
      <c r="S179" s="8">
        <f t="shared" si="22"/>
        <v>-0.6</v>
      </c>
      <c r="T179" s="8">
        <f t="shared" si="26"/>
        <v>137.80000000000004</v>
      </c>
      <c r="V179" s="4">
        <v>289.5</v>
      </c>
      <c r="X179" s="4">
        <f t="shared" si="27"/>
        <v>71298.400000000009</v>
      </c>
      <c r="Y179" s="4">
        <f t="shared" si="19"/>
        <v>11074.2</v>
      </c>
      <c r="AA179" s="4">
        <v>9.1002030046451203</v>
      </c>
    </row>
    <row r="180" spans="1:27" s="4" customFormat="1" x14ac:dyDescent="0.25">
      <c r="A180" s="58"/>
      <c r="B180" s="9"/>
      <c r="C180" s="6">
        <v>42026</v>
      </c>
      <c r="D180" s="4">
        <v>-0.1</v>
      </c>
      <c r="E180" s="4">
        <v>-1</v>
      </c>
      <c r="F180" s="4">
        <v>1</v>
      </c>
      <c r="G180" s="4">
        <v>1332.8</v>
      </c>
      <c r="H180" s="4">
        <v>269.5</v>
      </c>
      <c r="J180" s="4">
        <v>0</v>
      </c>
      <c r="K180" s="4">
        <f t="shared" si="24"/>
        <v>227.79999999999993</v>
      </c>
      <c r="L180" s="4">
        <v>0.3</v>
      </c>
      <c r="M180" s="4">
        <f t="shared" si="25"/>
        <v>140.89999999999989</v>
      </c>
      <c r="N180" s="7">
        <v>-0.3</v>
      </c>
      <c r="O180" s="4">
        <f t="shared" si="20"/>
        <v>136.19999999999999</v>
      </c>
      <c r="P180" s="4">
        <v>136</v>
      </c>
      <c r="Q180" s="4">
        <v>1</v>
      </c>
      <c r="R180" s="8">
        <f t="shared" si="21"/>
        <v>0.3</v>
      </c>
      <c r="S180" s="8">
        <f t="shared" si="22"/>
        <v>-0.3</v>
      </c>
      <c r="T180" s="8">
        <f t="shared" si="26"/>
        <v>137.50000000000003</v>
      </c>
      <c r="V180" s="4">
        <v>453.6</v>
      </c>
      <c r="X180" s="4">
        <f t="shared" si="27"/>
        <v>71752.000000000015</v>
      </c>
      <c r="Y180" s="4">
        <f t="shared" si="19"/>
        <v>11527.800000000001</v>
      </c>
      <c r="AA180" s="4">
        <v>9.1399964195386101</v>
      </c>
    </row>
    <row r="181" spans="1:27" s="4" customFormat="1" x14ac:dyDescent="0.25">
      <c r="A181" s="58"/>
      <c r="B181" s="9"/>
      <c r="C181" s="6">
        <v>42027</v>
      </c>
      <c r="D181" s="4">
        <v>-1</v>
      </c>
      <c r="E181" s="4">
        <v>-1.9</v>
      </c>
      <c r="F181" s="4">
        <v>-0.4</v>
      </c>
      <c r="G181" s="4">
        <v>1338.8</v>
      </c>
      <c r="H181" s="4">
        <v>269.5</v>
      </c>
      <c r="J181" s="4">
        <v>0</v>
      </c>
      <c r="K181" s="4">
        <f t="shared" si="24"/>
        <v>227.79999999999993</v>
      </c>
      <c r="L181" s="4">
        <v>0.3</v>
      </c>
      <c r="M181" s="4">
        <f t="shared" si="25"/>
        <v>141.1999999999999</v>
      </c>
      <c r="N181" s="7">
        <v>-0.3</v>
      </c>
      <c r="O181" s="4">
        <f t="shared" si="20"/>
        <v>135.89999999999998</v>
      </c>
      <c r="P181" s="4">
        <v>137</v>
      </c>
      <c r="Q181" s="4">
        <v>1</v>
      </c>
      <c r="R181" s="8">
        <f t="shared" si="21"/>
        <v>0.3</v>
      </c>
      <c r="S181" s="8">
        <f t="shared" si="22"/>
        <v>-0.3</v>
      </c>
      <c r="T181" s="8">
        <f t="shared" si="26"/>
        <v>137.20000000000002</v>
      </c>
      <c r="V181" s="4">
        <v>313.89999999999998</v>
      </c>
      <c r="X181" s="4">
        <f t="shared" si="27"/>
        <v>72065.900000000009</v>
      </c>
      <c r="Y181" s="4">
        <f t="shared" si="19"/>
        <v>11841.7</v>
      </c>
      <c r="AA181" s="4">
        <v>9.1806537218089002</v>
      </c>
    </row>
    <row r="182" spans="1:27" s="4" customFormat="1" x14ac:dyDescent="0.25">
      <c r="A182" s="58"/>
      <c r="B182" s="9"/>
      <c r="C182" s="6">
        <v>42028</v>
      </c>
      <c r="D182" s="4">
        <v>1</v>
      </c>
      <c r="E182" s="4">
        <v>-1.6</v>
      </c>
      <c r="F182" s="4">
        <v>3.3</v>
      </c>
      <c r="G182" s="4">
        <f t="shared" si="23"/>
        <v>1339.8</v>
      </c>
      <c r="H182" s="4">
        <f t="shared" si="18"/>
        <v>270.5</v>
      </c>
      <c r="J182" s="4">
        <v>1.1000000000000001</v>
      </c>
      <c r="K182" s="4">
        <f t="shared" si="24"/>
        <v>228.89999999999992</v>
      </c>
      <c r="L182" s="4">
        <v>0.2</v>
      </c>
      <c r="M182" s="4">
        <f t="shared" si="25"/>
        <v>141.39999999999989</v>
      </c>
      <c r="N182" s="4">
        <v>0.90000000000000013</v>
      </c>
      <c r="O182" s="4">
        <f t="shared" si="20"/>
        <v>136.79999999999998</v>
      </c>
      <c r="P182" s="4">
        <v>138</v>
      </c>
      <c r="Q182" s="4">
        <v>1</v>
      </c>
      <c r="R182" s="8">
        <f t="shared" si="21"/>
        <v>0.2</v>
      </c>
      <c r="S182" s="8">
        <f t="shared" si="22"/>
        <v>0.90000000000000013</v>
      </c>
      <c r="T182" s="8">
        <f t="shared" si="26"/>
        <v>138.10000000000002</v>
      </c>
      <c r="V182" s="4">
        <v>295.60000000000002</v>
      </c>
      <c r="X182" s="4">
        <f t="shared" si="27"/>
        <v>72361.500000000015</v>
      </c>
      <c r="Y182" s="4">
        <f t="shared" si="19"/>
        <v>12137.300000000001</v>
      </c>
      <c r="AA182" s="4">
        <v>9.2221460592042295</v>
      </c>
    </row>
    <row r="183" spans="1:27" s="4" customFormat="1" x14ac:dyDescent="0.25">
      <c r="A183" s="58"/>
      <c r="B183" s="9"/>
      <c r="C183" s="6">
        <v>42029</v>
      </c>
      <c r="D183" s="4">
        <v>1.3</v>
      </c>
      <c r="E183" s="4">
        <v>-2.8</v>
      </c>
      <c r="F183" s="4">
        <v>5.7</v>
      </c>
      <c r="G183" s="4">
        <f t="shared" si="23"/>
        <v>1341.1</v>
      </c>
      <c r="H183" s="4">
        <f t="shared" si="18"/>
        <v>271.8</v>
      </c>
      <c r="J183" s="4">
        <v>0.2</v>
      </c>
      <c r="K183" s="4">
        <f t="shared" si="24"/>
        <v>229.09999999999991</v>
      </c>
      <c r="L183" s="4">
        <v>0.6</v>
      </c>
      <c r="M183" s="4">
        <f t="shared" si="25"/>
        <v>141.99999999999989</v>
      </c>
      <c r="N183" s="7">
        <v>-0.39999999999999997</v>
      </c>
      <c r="O183" s="4">
        <f t="shared" si="20"/>
        <v>136.39999999999998</v>
      </c>
      <c r="P183" s="4">
        <v>139</v>
      </c>
      <c r="Q183" s="4">
        <v>1</v>
      </c>
      <c r="R183" s="8">
        <f t="shared" si="21"/>
        <v>0.6</v>
      </c>
      <c r="S183" s="8">
        <f t="shared" si="22"/>
        <v>-0.39999999999999997</v>
      </c>
      <c r="T183" s="8">
        <f t="shared" si="26"/>
        <v>137.70000000000002</v>
      </c>
      <c r="V183" s="4">
        <v>689.9</v>
      </c>
      <c r="X183" s="4">
        <f t="shared" si="27"/>
        <v>73051.400000000009</v>
      </c>
      <c r="Y183" s="4">
        <f t="shared" si="19"/>
        <v>12827.2</v>
      </c>
      <c r="AA183" s="4">
        <v>9.2644448340879606</v>
      </c>
    </row>
    <row r="184" spans="1:27" s="4" customFormat="1" x14ac:dyDescent="0.25">
      <c r="A184" s="58"/>
      <c r="B184" s="9"/>
      <c r="C184" s="6">
        <v>42030</v>
      </c>
      <c r="D184" s="4">
        <v>5.2</v>
      </c>
      <c r="E184" s="4">
        <v>1.6</v>
      </c>
      <c r="F184" s="4">
        <v>7.8</v>
      </c>
      <c r="G184" s="4">
        <f t="shared" si="23"/>
        <v>1346.3</v>
      </c>
      <c r="H184" s="4">
        <f t="shared" si="18"/>
        <v>277</v>
      </c>
      <c r="J184" s="4">
        <v>1.5</v>
      </c>
      <c r="K184" s="4">
        <f t="shared" si="24"/>
        <v>230.59999999999991</v>
      </c>
      <c r="L184" s="4">
        <v>0.2</v>
      </c>
      <c r="M184" s="4">
        <f t="shared" si="25"/>
        <v>142.19999999999987</v>
      </c>
      <c r="N184" s="4">
        <v>1.3</v>
      </c>
      <c r="O184" s="4">
        <f t="shared" si="20"/>
        <v>137.69999999999999</v>
      </c>
      <c r="P184" s="4">
        <v>140</v>
      </c>
      <c r="Q184" s="4">
        <v>1</v>
      </c>
      <c r="R184" s="8">
        <f t="shared" si="21"/>
        <v>0.2</v>
      </c>
      <c r="S184" s="8">
        <f t="shared" si="22"/>
        <v>1.3</v>
      </c>
      <c r="T184" s="8">
        <f t="shared" si="26"/>
        <v>138.9</v>
      </c>
      <c r="V184" s="4">
        <v>107</v>
      </c>
      <c r="X184" s="4">
        <f t="shared" si="27"/>
        <v>73158.400000000009</v>
      </c>
      <c r="Y184" s="4">
        <f t="shared" si="19"/>
        <v>12934.2</v>
      </c>
      <c r="AA184" s="4">
        <v>9.3075217516878492</v>
      </c>
    </row>
    <row r="185" spans="1:27" s="4" customFormat="1" x14ac:dyDescent="0.25">
      <c r="A185" s="58"/>
      <c r="B185" s="9"/>
      <c r="C185" s="6">
        <v>42031</v>
      </c>
      <c r="D185" s="4">
        <v>4.8</v>
      </c>
      <c r="E185" s="4">
        <v>1.8</v>
      </c>
      <c r="F185" s="4">
        <v>6.9</v>
      </c>
      <c r="G185" s="4">
        <f t="shared" si="23"/>
        <v>1351.1</v>
      </c>
      <c r="H185" s="4">
        <f t="shared" si="18"/>
        <v>281.8</v>
      </c>
      <c r="J185" s="4">
        <v>0.1</v>
      </c>
      <c r="K185" s="4">
        <f t="shared" si="24"/>
        <v>230.6999999999999</v>
      </c>
      <c r="L185" s="4">
        <v>0.2</v>
      </c>
      <c r="M185" s="4">
        <f t="shared" si="25"/>
        <v>142.39999999999986</v>
      </c>
      <c r="N185" s="7">
        <v>-0.1</v>
      </c>
      <c r="O185" s="4">
        <f t="shared" si="20"/>
        <v>137.6</v>
      </c>
      <c r="P185" s="4">
        <v>141</v>
      </c>
      <c r="Q185" s="4">
        <v>1</v>
      </c>
      <c r="R185" s="8">
        <f t="shared" si="21"/>
        <v>0.2</v>
      </c>
      <c r="S185" s="8">
        <f t="shared" si="22"/>
        <v>-0.1</v>
      </c>
      <c r="T185" s="8">
        <f t="shared" si="26"/>
        <v>138.80000000000001</v>
      </c>
      <c r="V185" s="4">
        <v>281.10000000000002</v>
      </c>
      <c r="X185" s="4">
        <f t="shared" si="27"/>
        <v>73439.500000000015</v>
      </c>
      <c r="Y185" s="4">
        <f t="shared" si="19"/>
        <v>13215.300000000001</v>
      </c>
      <c r="AA185" s="4">
        <v>9.3513488646149803</v>
      </c>
    </row>
    <row r="186" spans="1:27" s="4" customFormat="1" x14ac:dyDescent="0.25">
      <c r="A186" s="58"/>
      <c r="B186" s="9"/>
      <c r="C186" s="6">
        <v>42032</v>
      </c>
      <c r="D186" s="4">
        <v>6.5</v>
      </c>
      <c r="E186" s="4">
        <v>4.8</v>
      </c>
      <c r="F186" s="4">
        <v>9.1999999999999993</v>
      </c>
      <c r="G186" s="4">
        <f t="shared" si="23"/>
        <v>1357.6</v>
      </c>
      <c r="H186" s="4">
        <f t="shared" si="18"/>
        <v>288.3</v>
      </c>
      <c r="J186" s="4">
        <v>3.2</v>
      </c>
      <c r="K186" s="4">
        <f t="shared" si="24"/>
        <v>233.89999999999989</v>
      </c>
      <c r="L186" s="4">
        <v>0.6</v>
      </c>
      <c r="M186" s="4">
        <f t="shared" si="25"/>
        <v>142.99999999999986</v>
      </c>
      <c r="N186" s="4">
        <v>2.6</v>
      </c>
      <c r="O186" s="4">
        <v>138.9</v>
      </c>
      <c r="P186" s="4">
        <v>142</v>
      </c>
      <c r="Q186" s="4">
        <v>1</v>
      </c>
      <c r="R186" s="8">
        <f t="shared" si="21"/>
        <v>0.6</v>
      </c>
      <c r="S186" s="8">
        <f t="shared" si="22"/>
        <v>2.6</v>
      </c>
      <c r="T186" s="8">
        <f t="shared" si="26"/>
        <v>138.9</v>
      </c>
      <c r="V186" s="4">
        <v>307.5</v>
      </c>
      <c r="X186" s="4">
        <f t="shared" si="27"/>
        <v>73747.000000000015</v>
      </c>
      <c r="Y186" s="4">
        <f t="shared" si="19"/>
        <v>13522.800000000001</v>
      </c>
      <c r="AA186" s="4">
        <v>9.3958986136708909</v>
      </c>
    </row>
    <row r="187" spans="1:27" s="4" customFormat="1" x14ac:dyDescent="0.25">
      <c r="A187" s="58"/>
      <c r="B187" s="9"/>
      <c r="C187" s="6">
        <v>42033</v>
      </c>
      <c r="D187" s="4">
        <v>5.2</v>
      </c>
      <c r="E187" s="4">
        <v>5.0999999999999996</v>
      </c>
      <c r="F187" s="4">
        <v>6.3</v>
      </c>
      <c r="G187" s="4">
        <f t="shared" si="23"/>
        <v>1362.8</v>
      </c>
      <c r="H187" s="4">
        <f t="shared" si="18"/>
        <v>293.5</v>
      </c>
      <c r="J187" s="4">
        <v>9.1</v>
      </c>
      <c r="K187" s="4">
        <f t="shared" si="24"/>
        <v>242.99999999999989</v>
      </c>
      <c r="L187" s="4">
        <v>0.7</v>
      </c>
      <c r="M187" s="4">
        <f t="shared" si="25"/>
        <v>143.69999999999985</v>
      </c>
      <c r="N187" s="4">
        <v>8.4</v>
      </c>
      <c r="O187" s="4">
        <v>138.9</v>
      </c>
      <c r="P187" s="4">
        <v>143</v>
      </c>
      <c r="Q187" s="4">
        <v>1</v>
      </c>
      <c r="R187" s="8">
        <f t="shared" si="21"/>
        <v>0.7</v>
      </c>
      <c r="S187" s="8">
        <f t="shared" si="22"/>
        <v>8.4</v>
      </c>
      <c r="T187" s="8">
        <f t="shared" si="26"/>
        <v>138.9</v>
      </c>
      <c r="V187" s="4">
        <v>140.9</v>
      </c>
      <c r="X187" s="4">
        <f t="shared" si="27"/>
        <v>73887.900000000009</v>
      </c>
      <c r="Y187" s="4">
        <f t="shared" si="19"/>
        <v>13663.7</v>
      </c>
      <c r="AA187" s="4">
        <v>9.4411438649839408</v>
      </c>
    </row>
    <row r="188" spans="1:27" s="4" customFormat="1" x14ac:dyDescent="0.25">
      <c r="A188" s="58"/>
      <c r="B188" s="9"/>
      <c r="C188" s="6">
        <v>42034</v>
      </c>
      <c r="D188" s="4">
        <v>2.5</v>
      </c>
      <c r="E188" s="4">
        <v>1.4</v>
      </c>
      <c r="F188" s="4">
        <v>5</v>
      </c>
      <c r="G188" s="4">
        <f t="shared" si="23"/>
        <v>1365.3</v>
      </c>
      <c r="H188" s="4">
        <f t="shared" si="18"/>
        <v>296</v>
      </c>
      <c r="J188" s="4">
        <v>1.1000000000000001</v>
      </c>
      <c r="K188" s="4">
        <f t="shared" si="24"/>
        <v>244.09999999999988</v>
      </c>
      <c r="L188" s="4">
        <v>0.7</v>
      </c>
      <c r="M188" s="4">
        <f t="shared" si="25"/>
        <v>144.39999999999984</v>
      </c>
      <c r="N188" s="4">
        <v>0.40000000000000013</v>
      </c>
      <c r="O188" s="4">
        <v>138.9</v>
      </c>
      <c r="P188" s="4">
        <v>144</v>
      </c>
      <c r="Q188" s="4">
        <v>1</v>
      </c>
      <c r="R188" s="8">
        <f t="shared" si="21"/>
        <v>0.7</v>
      </c>
      <c r="S188" s="8">
        <f t="shared" si="22"/>
        <v>0.40000000000000013</v>
      </c>
      <c r="T188" s="8">
        <f t="shared" si="26"/>
        <v>138.9</v>
      </c>
      <c r="V188" s="4">
        <v>224.8</v>
      </c>
      <c r="X188" s="4">
        <f t="shared" si="27"/>
        <v>74112.700000000012</v>
      </c>
      <c r="Y188" s="4">
        <f t="shared" si="19"/>
        <v>13888.5</v>
      </c>
      <c r="AA188" s="4">
        <v>9.4870579435367901</v>
      </c>
    </row>
    <row r="189" spans="1:27" s="4" customFormat="1" x14ac:dyDescent="0.25">
      <c r="A189" s="58"/>
      <c r="B189" s="9"/>
      <c r="C189" s="6">
        <v>42035</v>
      </c>
      <c r="D189" s="4">
        <v>3.4</v>
      </c>
      <c r="E189" s="4">
        <v>1.4</v>
      </c>
      <c r="F189" s="4">
        <v>5.7</v>
      </c>
      <c r="G189" s="4">
        <f t="shared" si="23"/>
        <v>1368.7</v>
      </c>
      <c r="H189" s="4">
        <f t="shared" si="18"/>
        <v>299.39999999999998</v>
      </c>
      <c r="J189" s="4">
        <v>0.8</v>
      </c>
      <c r="K189" s="4">
        <f t="shared" si="24"/>
        <v>244.89999999999989</v>
      </c>
      <c r="L189" s="4">
        <v>0.5</v>
      </c>
      <c r="M189" s="4">
        <f t="shared" si="25"/>
        <v>144.89999999999984</v>
      </c>
      <c r="N189" s="4">
        <v>0.30000000000000004</v>
      </c>
      <c r="O189" s="4">
        <v>138.9</v>
      </c>
      <c r="P189" s="4">
        <v>145</v>
      </c>
      <c r="Q189" s="4">
        <v>1</v>
      </c>
      <c r="R189" s="8">
        <f t="shared" si="21"/>
        <v>0.5</v>
      </c>
      <c r="S189" s="8">
        <f t="shared" si="22"/>
        <v>0.30000000000000004</v>
      </c>
      <c r="T189" s="8">
        <f t="shared" si="26"/>
        <v>138.9</v>
      </c>
      <c r="V189" s="4">
        <v>394.5</v>
      </c>
      <c r="X189" s="4">
        <f t="shared" si="27"/>
        <v>74507.200000000012</v>
      </c>
      <c r="Y189" s="4">
        <f t="shared" si="19"/>
        <v>14283</v>
      </c>
      <c r="AA189" s="4">
        <v>9.5336146631650198</v>
      </c>
    </row>
    <row r="190" spans="1:27" s="4" customFormat="1" x14ac:dyDescent="0.25">
      <c r="A190" s="58"/>
      <c r="B190" s="9"/>
      <c r="C190" s="6">
        <v>42036</v>
      </c>
      <c r="D190" s="4">
        <v>2.5</v>
      </c>
      <c r="E190" s="4">
        <v>1.1000000000000001</v>
      </c>
      <c r="F190" s="4">
        <v>3</v>
      </c>
      <c r="G190" s="4">
        <f t="shared" si="23"/>
        <v>1371.2</v>
      </c>
      <c r="H190" s="4">
        <f t="shared" si="18"/>
        <v>301.89999999999998</v>
      </c>
      <c r="J190" s="4">
        <v>1.6</v>
      </c>
      <c r="K190" s="4">
        <f t="shared" si="24"/>
        <v>246.49999999999989</v>
      </c>
      <c r="L190" s="4">
        <v>0.4</v>
      </c>
      <c r="M190" s="4">
        <f t="shared" si="25"/>
        <v>145.29999999999984</v>
      </c>
      <c r="N190" s="4">
        <v>1.2000000000000002</v>
      </c>
      <c r="O190" s="4">
        <v>138.9</v>
      </c>
      <c r="P190" s="4">
        <v>146</v>
      </c>
      <c r="Q190" s="4">
        <v>1</v>
      </c>
      <c r="R190" s="8">
        <f t="shared" si="21"/>
        <v>0.4</v>
      </c>
      <c r="S190" s="8">
        <f t="shared" si="22"/>
        <v>1.2000000000000002</v>
      </c>
      <c r="T190" s="8">
        <f t="shared" si="26"/>
        <v>138.9</v>
      </c>
      <c r="V190" s="4">
        <v>234.7</v>
      </c>
      <c r="X190" s="4">
        <f t="shared" si="27"/>
        <v>74741.900000000009</v>
      </c>
      <c r="Y190" s="4">
        <f t="shared" si="19"/>
        <v>14517.7</v>
      </c>
      <c r="AA190" s="4">
        <v>9.5807883531223297</v>
      </c>
    </row>
    <row r="191" spans="1:27" s="4" customFormat="1" x14ac:dyDescent="0.25">
      <c r="A191" s="58"/>
      <c r="B191" s="9"/>
      <c r="C191" s="6">
        <v>42037</v>
      </c>
      <c r="D191" s="4">
        <v>2.1</v>
      </c>
      <c r="E191" s="4">
        <v>1.7</v>
      </c>
      <c r="F191" s="4">
        <v>5.0999999999999996</v>
      </c>
      <c r="G191" s="4">
        <f t="shared" si="23"/>
        <v>1373.3</v>
      </c>
      <c r="H191" s="4">
        <f t="shared" si="18"/>
        <v>304</v>
      </c>
      <c r="J191" s="4">
        <v>0</v>
      </c>
      <c r="K191" s="4">
        <f t="shared" si="24"/>
        <v>246.49999999999989</v>
      </c>
      <c r="L191" s="4">
        <v>0.6</v>
      </c>
      <c r="M191" s="4">
        <f t="shared" si="25"/>
        <v>145.89999999999984</v>
      </c>
      <c r="N191" s="7">
        <v>-0.6</v>
      </c>
      <c r="O191" s="4">
        <f t="shared" ref="O191:O201" si="28">O190+N191</f>
        <v>138.30000000000001</v>
      </c>
      <c r="P191" s="4">
        <v>147</v>
      </c>
      <c r="Q191" s="4">
        <v>1</v>
      </c>
      <c r="R191" s="8">
        <f t="shared" si="21"/>
        <v>0.6</v>
      </c>
      <c r="S191" s="8">
        <f t="shared" si="22"/>
        <v>-0.6</v>
      </c>
      <c r="T191" s="8">
        <f t="shared" si="26"/>
        <v>138.30000000000001</v>
      </c>
      <c r="V191" s="4">
        <v>533.79999999999995</v>
      </c>
      <c r="X191" s="4">
        <f t="shared" si="27"/>
        <v>75275.700000000012</v>
      </c>
      <c r="Y191" s="4">
        <f t="shared" si="19"/>
        <v>15051.5</v>
      </c>
      <c r="AA191" s="4">
        <v>9.6285538813215705</v>
      </c>
    </row>
    <row r="192" spans="1:27" s="4" customFormat="1" x14ac:dyDescent="0.25">
      <c r="A192" s="58"/>
      <c r="B192" s="9"/>
      <c r="C192" s="6">
        <v>42038</v>
      </c>
      <c r="D192" s="4">
        <v>-0.7</v>
      </c>
      <c r="E192" s="4">
        <v>-2.5</v>
      </c>
      <c r="F192" s="4">
        <v>0.4</v>
      </c>
      <c r="G192" s="4">
        <v>1373.3</v>
      </c>
      <c r="H192" s="4">
        <v>304</v>
      </c>
      <c r="J192" s="4">
        <v>0.1</v>
      </c>
      <c r="K192" s="4">
        <f t="shared" si="24"/>
        <v>246.59999999999988</v>
      </c>
      <c r="L192" s="4">
        <v>0.2</v>
      </c>
      <c r="M192" s="4">
        <f t="shared" si="25"/>
        <v>146.09999999999982</v>
      </c>
      <c r="N192" s="7">
        <v>-0.1</v>
      </c>
      <c r="O192" s="4">
        <f t="shared" si="28"/>
        <v>138.20000000000002</v>
      </c>
      <c r="P192" s="4">
        <v>148</v>
      </c>
      <c r="Q192" s="4">
        <v>1</v>
      </c>
      <c r="R192" s="8">
        <f t="shared" si="21"/>
        <v>0.2</v>
      </c>
      <c r="S192" s="8">
        <f t="shared" si="22"/>
        <v>-0.1</v>
      </c>
      <c r="T192" s="8">
        <f t="shared" si="26"/>
        <v>138.20000000000002</v>
      </c>
      <c r="V192" s="4">
        <v>138.4</v>
      </c>
      <c r="X192" s="4">
        <f t="shared" si="27"/>
        <v>75414.100000000006</v>
      </c>
      <c r="Y192" s="4">
        <f t="shared" si="19"/>
        <v>15189.9</v>
      </c>
      <c r="AA192" s="4">
        <v>9.6768866743718895</v>
      </c>
    </row>
    <row r="193" spans="1:28" s="4" customFormat="1" x14ac:dyDescent="0.25">
      <c r="A193" s="58"/>
      <c r="B193" s="9"/>
      <c r="C193" s="6">
        <v>42039</v>
      </c>
      <c r="D193" s="4">
        <v>0.8</v>
      </c>
      <c r="E193" s="4">
        <v>-0.4</v>
      </c>
      <c r="F193" s="4">
        <v>1.7</v>
      </c>
      <c r="G193" s="4">
        <f t="shared" si="23"/>
        <v>1374.1</v>
      </c>
      <c r="H193" s="4">
        <f t="shared" ref="H193:H256" si="29">H192+D193</f>
        <v>304.8</v>
      </c>
      <c r="J193" s="4">
        <v>0</v>
      </c>
      <c r="K193" s="4">
        <f t="shared" si="24"/>
        <v>246.59999999999988</v>
      </c>
      <c r="L193" s="4">
        <v>0.6</v>
      </c>
      <c r="M193" s="4">
        <f t="shared" si="25"/>
        <v>146.69999999999982</v>
      </c>
      <c r="N193" s="7">
        <v>-0.6</v>
      </c>
      <c r="O193" s="4">
        <f t="shared" si="28"/>
        <v>137.60000000000002</v>
      </c>
      <c r="P193" s="4">
        <v>149</v>
      </c>
      <c r="Q193" s="4">
        <v>1</v>
      </c>
      <c r="R193" s="8">
        <f t="shared" si="21"/>
        <v>0.6</v>
      </c>
      <c r="S193" s="8">
        <f t="shared" si="22"/>
        <v>-0.6</v>
      </c>
      <c r="T193" s="8">
        <f t="shared" si="26"/>
        <v>137.60000000000002</v>
      </c>
      <c r="V193" s="4">
        <v>427.5</v>
      </c>
      <c r="X193" s="4">
        <f t="shared" si="27"/>
        <v>75841.600000000006</v>
      </c>
      <c r="Y193" s="4">
        <f t="shared" ref="Y193:Y256" si="30">Y192+V193</f>
        <v>15617.4</v>
      </c>
      <c r="AA193" s="4">
        <v>9.7257627345416804</v>
      </c>
    </row>
    <row r="194" spans="1:28" s="4" customFormat="1" x14ac:dyDescent="0.25">
      <c r="A194" s="58"/>
      <c r="B194" s="9"/>
      <c r="C194" s="6">
        <v>42040</v>
      </c>
      <c r="D194" s="4">
        <v>0.8</v>
      </c>
      <c r="E194" s="4">
        <v>-0.1</v>
      </c>
      <c r="F194" s="4">
        <v>2.9</v>
      </c>
      <c r="G194" s="4">
        <f t="shared" si="23"/>
        <v>1374.8999999999999</v>
      </c>
      <c r="H194" s="4">
        <f t="shared" si="29"/>
        <v>305.60000000000002</v>
      </c>
      <c r="J194" s="4">
        <v>0</v>
      </c>
      <c r="K194" s="4">
        <f t="shared" si="24"/>
        <v>246.59999999999988</v>
      </c>
      <c r="L194" s="4">
        <v>1</v>
      </c>
      <c r="M194" s="4">
        <f t="shared" si="25"/>
        <v>147.69999999999982</v>
      </c>
      <c r="N194" s="7">
        <v>-1</v>
      </c>
      <c r="O194" s="4">
        <f t="shared" si="28"/>
        <v>136.60000000000002</v>
      </c>
      <c r="P194" s="4">
        <v>150</v>
      </c>
      <c r="Q194" s="4">
        <v>1</v>
      </c>
      <c r="R194" s="8">
        <f t="shared" si="21"/>
        <v>1</v>
      </c>
      <c r="S194" s="8">
        <f t="shared" si="22"/>
        <v>-1</v>
      </c>
      <c r="T194" s="8">
        <f t="shared" si="26"/>
        <v>136.60000000000002</v>
      </c>
      <c r="V194" s="4">
        <v>606.70000000000005</v>
      </c>
      <c r="X194" s="4">
        <f t="shared" si="27"/>
        <v>76448.3</v>
      </c>
      <c r="Y194" s="4">
        <f t="shared" si="30"/>
        <v>16224.1</v>
      </c>
      <c r="AA194" s="4">
        <v>9.7751586537838993</v>
      </c>
    </row>
    <row r="195" spans="1:28" s="4" customFormat="1" x14ac:dyDescent="0.25">
      <c r="A195" s="58"/>
      <c r="B195" s="9"/>
      <c r="C195" s="6">
        <v>42041</v>
      </c>
      <c r="D195" s="4">
        <v>-0.2</v>
      </c>
      <c r="E195" s="4">
        <v>-0.9</v>
      </c>
      <c r="F195" s="4">
        <v>0.8</v>
      </c>
      <c r="G195" s="4">
        <v>1374.9</v>
      </c>
      <c r="H195" s="4">
        <v>305.60000000000002</v>
      </c>
      <c r="J195" s="4">
        <v>0</v>
      </c>
      <c r="K195" s="4">
        <f t="shared" si="24"/>
        <v>246.59999999999988</v>
      </c>
      <c r="L195" s="4">
        <v>1.3</v>
      </c>
      <c r="M195" s="4">
        <f t="shared" si="25"/>
        <v>148.99999999999983</v>
      </c>
      <c r="N195" s="7">
        <v>-1.3</v>
      </c>
      <c r="O195" s="4">
        <f t="shared" si="28"/>
        <v>135.30000000000001</v>
      </c>
      <c r="P195" s="4">
        <v>151</v>
      </c>
      <c r="Q195" s="4">
        <v>1</v>
      </c>
      <c r="R195" s="8">
        <f t="shared" si="21"/>
        <v>1.3</v>
      </c>
      <c r="S195" s="8">
        <f t="shared" si="22"/>
        <v>-1.3</v>
      </c>
      <c r="T195" s="8">
        <f t="shared" si="26"/>
        <v>135.30000000000001</v>
      </c>
      <c r="V195" s="4">
        <v>411.8</v>
      </c>
      <c r="X195" s="4">
        <f t="shared" si="27"/>
        <v>76860.100000000006</v>
      </c>
      <c r="Y195" s="4">
        <f t="shared" si="30"/>
        <v>16635.900000000001</v>
      </c>
      <c r="AA195" s="4">
        <v>9.8250516249662798</v>
      </c>
    </row>
    <row r="196" spans="1:28" s="4" customFormat="1" x14ac:dyDescent="0.25">
      <c r="A196" s="58"/>
      <c r="B196" s="9"/>
      <c r="C196" s="6">
        <v>42042</v>
      </c>
      <c r="D196" s="4">
        <v>0.7</v>
      </c>
      <c r="E196" s="4">
        <v>-2.5</v>
      </c>
      <c r="F196" s="4">
        <v>2.7</v>
      </c>
      <c r="G196" s="4">
        <f t="shared" si="23"/>
        <v>1375.6000000000001</v>
      </c>
      <c r="H196" s="4">
        <f t="shared" si="29"/>
        <v>306.3</v>
      </c>
      <c r="J196" s="73">
        <v>0</v>
      </c>
      <c r="K196" s="4">
        <f t="shared" si="24"/>
        <v>246.59999999999988</v>
      </c>
      <c r="L196" s="4">
        <v>1.2</v>
      </c>
      <c r="M196" s="4">
        <f t="shared" si="25"/>
        <v>150.19999999999982</v>
      </c>
      <c r="N196" s="7">
        <v>-1.2</v>
      </c>
      <c r="O196" s="4">
        <f t="shared" si="28"/>
        <v>134.10000000000002</v>
      </c>
      <c r="P196" s="4">
        <v>152</v>
      </c>
      <c r="Q196" s="4">
        <v>1</v>
      </c>
      <c r="R196" s="8">
        <f t="shared" si="21"/>
        <v>1.2</v>
      </c>
      <c r="S196" s="8">
        <f t="shared" si="22"/>
        <v>-1.2</v>
      </c>
      <c r="T196" s="8">
        <f t="shared" si="26"/>
        <v>134.10000000000002</v>
      </c>
      <c r="V196" s="4">
        <v>1118.2</v>
      </c>
      <c r="X196" s="4">
        <f t="shared" si="27"/>
        <v>77978.3</v>
      </c>
      <c r="Y196" s="4">
        <f t="shared" si="30"/>
        <v>17754.100000000002</v>
      </c>
      <c r="AA196" s="4">
        <v>9.8754194504520605</v>
      </c>
      <c r="AB196" s="72" t="s">
        <v>53</v>
      </c>
    </row>
    <row r="197" spans="1:28" s="4" customFormat="1" x14ac:dyDescent="0.25">
      <c r="A197" s="58"/>
      <c r="B197" s="9"/>
      <c r="C197" s="6">
        <v>42043</v>
      </c>
      <c r="D197" s="4">
        <v>3.8</v>
      </c>
      <c r="E197" s="4">
        <v>1.8</v>
      </c>
      <c r="F197" s="4">
        <v>6.1</v>
      </c>
      <c r="G197" s="4">
        <f t="shared" si="23"/>
        <v>1379.4</v>
      </c>
      <c r="H197" s="4">
        <f t="shared" si="29"/>
        <v>310.10000000000002</v>
      </c>
      <c r="J197" s="73">
        <v>0</v>
      </c>
      <c r="K197" s="4">
        <f t="shared" si="24"/>
        <v>246.59999999999988</v>
      </c>
      <c r="L197" s="4">
        <v>0.8</v>
      </c>
      <c r="M197" s="4">
        <f t="shared" si="25"/>
        <v>150.99999999999983</v>
      </c>
      <c r="N197" s="7">
        <v>-0.8</v>
      </c>
      <c r="O197" s="4">
        <f t="shared" si="28"/>
        <v>133.30000000000001</v>
      </c>
      <c r="P197" s="4">
        <v>153</v>
      </c>
      <c r="Q197" s="4">
        <v>1</v>
      </c>
      <c r="R197" s="8">
        <f t="shared" si="21"/>
        <v>0.8</v>
      </c>
      <c r="S197" s="8">
        <f t="shared" si="22"/>
        <v>-0.8</v>
      </c>
      <c r="T197" s="8">
        <f t="shared" si="26"/>
        <v>133.30000000000001</v>
      </c>
      <c r="V197" s="4">
        <v>325.39999999999998</v>
      </c>
      <c r="X197" s="4">
        <f t="shared" si="27"/>
        <v>78303.7</v>
      </c>
      <c r="Y197" s="4">
        <f t="shared" si="30"/>
        <v>18079.500000000004</v>
      </c>
      <c r="AA197" s="4">
        <v>9.92624054817969</v>
      </c>
      <c r="AB197" s="8">
        <f>AVERAGE(T203:T216)</f>
        <v>138.53571428571431</v>
      </c>
    </row>
    <row r="198" spans="1:28" s="4" customFormat="1" x14ac:dyDescent="0.25">
      <c r="A198" s="58"/>
      <c r="B198" s="9"/>
      <c r="C198" s="6">
        <v>42044</v>
      </c>
      <c r="D198" s="4">
        <v>2.7</v>
      </c>
      <c r="E198" s="4">
        <v>-2.1</v>
      </c>
      <c r="F198" s="4">
        <v>6.6</v>
      </c>
      <c r="G198" s="4">
        <f t="shared" si="23"/>
        <v>1382.1000000000001</v>
      </c>
      <c r="H198" s="4">
        <f t="shared" si="29"/>
        <v>312.8</v>
      </c>
      <c r="J198" s="73">
        <v>0</v>
      </c>
      <c r="K198" s="4">
        <f t="shared" si="24"/>
        <v>246.59999999999988</v>
      </c>
      <c r="L198" s="4">
        <v>0.9</v>
      </c>
      <c r="M198" s="4">
        <f t="shared" si="25"/>
        <v>151.89999999999984</v>
      </c>
      <c r="N198" s="7">
        <v>-0.9</v>
      </c>
      <c r="O198" s="4">
        <f t="shared" si="28"/>
        <v>132.4</v>
      </c>
      <c r="P198" s="4">
        <v>154</v>
      </c>
      <c r="Q198" s="4">
        <v>1</v>
      </c>
      <c r="R198" s="8">
        <f t="shared" si="21"/>
        <v>0.9</v>
      </c>
      <c r="S198" s="8">
        <f t="shared" si="22"/>
        <v>-0.9</v>
      </c>
      <c r="T198" s="8">
        <f t="shared" si="26"/>
        <v>132.4</v>
      </c>
      <c r="V198" s="4">
        <v>759.8</v>
      </c>
      <c r="X198" s="4">
        <f t="shared" si="27"/>
        <v>79063.5</v>
      </c>
      <c r="Y198" s="4">
        <f t="shared" si="30"/>
        <v>18839.300000000003</v>
      </c>
      <c r="AA198" s="4">
        <v>9.9774939553903295</v>
      </c>
      <c r="AB198" s="72" t="s">
        <v>54</v>
      </c>
    </row>
    <row r="199" spans="1:28" s="4" customFormat="1" x14ac:dyDescent="0.25">
      <c r="A199" s="58"/>
      <c r="B199" s="9"/>
      <c r="C199" s="6">
        <v>42045</v>
      </c>
      <c r="D199" s="4">
        <v>3.6</v>
      </c>
      <c r="E199" s="4">
        <v>1.6</v>
      </c>
      <c r="F199" s="4">
        <v>6</v>
      </c>
      <c r="G199" s="4">
        <f t="shared" si="23"/>
        <v>1385.7</v>
      </c>
      <c r="H199" s="4">
        <f t="shared" si="29"/>
        <v>316.40000000000003</v>
      </c>
      <c r="J199" s="73">
        <v>0</v>
      </c>
      <c r="K199" s="4">
        <f t="shared" si="24"/>
        <v>246.59999999999988</v>
      </c>
      <c r="L199" s="4">
        <v>0.9</v>
      </c>
      <c r="M199" s="4">
        <f t="shared" si="25"/>
        <v>152.79999999999984</v>
      </c>
      <c r="N199" s="7">
        <v>-0.9</v>
      </c>
      <c r="O199" s="4">
        <f t="shared" si="28"/>
        <v>131.5</v>
      </c>
      <c r="P199" s="4">
        <v>155</v>
      </c>
      <c r="Q199" s="4">
        <v>1</v>
      </c>
      <c r="R199" s="8">
        <f t="shared" si="21"/>
        <v>0.9</v>
      </c>
      <c r="S199" s="8">
        <f t="shared" si="22"/>
        <v>-0.9</v>
      </c>
      <c r="T199" s="8">
        <f t="shared" si="26"/>
        <v>131.5</v>
      </c>
      <c r="V199" s="4">
        <v>531.1</v>
      </c>
      <c r="X199" s="4">
        <f t="shared" si="27"/>
        <v>79594.600000000006</v>
      </c>
      <c r="Y199" s="4">
        <f t="shared" si="30"/>
        <v>19370.400000000001</v>
      </c>
      <c r="AA199" s="4">
        <v>10.029159330152</v>
      </c>
      <c r="AB199" s="4">
        <v>6</v>
      </c>
    </row>
    <row r="200" spans="1:28" s="4" customFormat="1" x14ac:dyDescent="0.25">
      <c r="A200" s="58"/>
      <c r="B200" s="9"/>
      <c r="C200" s="6">
        <v>42046</v>
      </c>
      <c r="D200" s="4">
        <v>0.4</v>
      </c>
      <c r="E200" s="4">
        <v>-1.6</v>
      </c>
      <c r="F200" s="4">
        <v>3.7</v>
      </c>
      <c r="G200" s="4">
        <f t="shared" si="23"/>
        <v>1386.1000000000001</v>
      </c>
      <c r="H200" s="4">
        <f t="shared" si="29"/>
        <v>316.8</v>
      </c>
      <c r="J200" s="73">
        <v>0</v>
      </c>
      <c r="K200" s="4">
        <f t="shared" si="24"/>
        <v>246.59999999999988</v>
      </c>
      <c r="L200" s="4">
        <v>0.8</v>
      </c>
      <c r="M200" s="4">
        <f t="shared" si="25"/>
        <v>153.59999999999985</v>
      </c>
      <c r="N200" s="7">
        <v>-0.8</v>
      </c>
      <c r="O200" s="4">
        <f t="shared" si="28"/>
        <v>130.69999999999999</v>
      </c>
      <c r="P200" s="4">
        <v>156</v>
      </c>
      <c r="Q200" s="4">
        <v>1</v>
      </c>
      <c r="R200" s="8">
        <f t="shared" si="21"/>
        <v>0.8</v>
      </c>
      <c r="S200" s="8">
        <f t="shared" si="22"/>
        <v>-0.8</v>
      </c>
      <c r="T200" s="8">
        <f t="shared" si="26"/>
        <v>130.69999999999999</v>
      </c>
      <c r="V200" s="4">
        <v>796.2</v>
      </c>
      <c r="X200" s="4">
        <f t="shared" si="27"/>
        <v>80390.8</v>
      </c>
      <c r="Y200" s="4">
        <f t="shared" si="30"/>
        <v>20166.600000000002</v>
      </c>
      <c r="AA200" s="4">
        <v>10.081216950827301</v>
      </c>
      <c r="AB200" s="72" t="s">
        <v>55</v>
      </c>
    </row>
    <row r="201" spans="1:28" s="4" customFormat="1" x14ac:dyDescent="0.25">
      <c r="A201" s="58"/>
      <c r="B201" s="9"/>
      <c r="C201" s="6">
        <v>42047</v>
      </c>
      <c r="D201" s="4">
        <v>2.5</v>
      </c>
      <c r="E201" s="4">
        <v>-4.5999999999999996</v>
      </c>
      <c r="F201" s="4">
        <v>7.7</v>
      </c>
      <c r="G201" s="4">
        <f t="shared" si="23"/>
        <v>1388.6000000000001</v>
      </c>
      <c r="H201" s="4">
        <f t="shared" si="29"/>
        <v>319.3</v>
      </c>
      <c r="J201" s="73">
        <v>0</v>
      </c>
      <c r="K201" s="4">
        <f t="shared" si="24"/>
        <v>246.59999999999988</v>
      </c>
      <c r="L201" s="4">
        <v>0.9</v>
      </c>
      <c r="M201" s="4">
        <f t="shared" si="25"/>
        <v>154.49999999999986</v>
      </c>
      <c r="N201" s="7">
        <v>-0.9</v>
      </c>
      <c r="O201" s="4">
        <f t="shared" si="28"/>
        <v>129.79999999999998</v>
      </c>
      <c r="P201" s="4">
        <v>157</v>
      </c>
      <c r="Q201" s="4">
        <v>1</v>
      </c>
      <c r="R201" s="8">
        <f t="shared" si="21"/>
        <v>0.9</v>
      </c>
      <c r="S201" s="8">
        <f t="shared" si="22"/>
        <v>-0.9</v>
      </c>
      <c r="T201" s="8">
        <f t="shared" si="26"/>
        <v>129.79999999999998</v>
      </c>
      <c r="V201" s="4">
        <v>997.5</v>
      </c>
      <c r="X201" s="4">
        <f t="shared" si="27"/>
        <v>81388.3</v>
      </c>
      <c r="Y201" s="4">
        <f t="shared" si="30"/>
        <v>21164.100000000002</v>
      </c>
      <c r="AA201" s="4">
        <v>10.1336477136298</v>
      </c>
      <c r="AB201" s="4">
        <v>2</v>
      </c>
    </row>
    <row r="202" spans="1:28" s="4" customFormat="1" x14ac:dyDescent="0.25">
      <c r="A202" s="58"/>
      <c r="B202" s="9"/>
      <c r="C202" s="6">
        <v>42048</v>
      </c>
      <c r="D202" s="4">
        <v>7</v>
      </c>
      <c r="E202" s="4">
        <v>2.8</v>
      </c>
      <c r="F202" s="4">
        <v>11.4</v>
      </c>
      <c r="G202" s="4">
        <f t="shared" si="23"/>
        <v>1395.6000000000001</v>
      </c>
      <c r="H202" s="4">
        <f t="shared" si="29"/>
        <v>326.3</v>
      </c>
      <c r="J202" s="73">
        <v>11.5</v>
      </c>
      <c r="K202" s="4">
        <f t="shared" si="24"/>
        <v>258.09999999999991</v>
      </c>
      <c r="L202" s="4">
        <v>1.4</v>
      </c>
      <c r="M202" s="4">
        <f t="shared" si="25"/>
        <v>155.89999999999986</v>
      </c>
      <c r="N202" s="4">
        <v>10.1</v>
      </c>
      <c r="O202" s="4">
        <v>138.9</v>
      </c>
      <c r="P202" s="4">
        <v>158</v>
      </c>
      <c r="Q202" s="4">
        <v>1</v>
      </c>
      <c r="R202" s="8">
        <f t="shared" si="21"/>
        <v>1.4</v>
      </c>
      <c r="S202" s="8">
        <f t="shared" si="22"/>
        <v>10.1</v>
      </c>
      <c r="T202" s="8">
        <f t="shared" si="26"/>
        <v>138.9</v>
      </c>
      <c r="V202" s="4">
        <v>787.7</v>
      </c>
      <c r="X202" s="4">
        <f t="shared" si="27"/>
        <v>82176</v>
      </c>
      <c r="Y202" s="4">
        <f t="shared" si="30"/>
        <v>21951.800000000003</v>
      </c>
      <c r="AA202" s="4">
        <v>10.186433128409501</v>
      </c>
      <c r="AB202" s="72" t="s">
        <v>56</v>
      </c>
    </row>
    <row r="203" spans="1:28" s="4" customFormat="1" x14ac:dyDescent="0.25">
      <c r="A203" s="58"/>
      <c r="B203" s="9"/>
      <c r="C203" s="6">
        <v>42049</v>
      </c>
      <c r="D203" s="4">
        <v>6.5</v>
      </c>
      <c r="E203" s="4">
        <v>5.7</v>
      </c>
      <c r="F203" s="4">
        <v>7.8</v>
      </c>
      <c r="G203" s="4">
        <f t="shared" si="23"/>
        <v>1402.1000000000001</v>
      </c>
      <c r="H203" s="4">
        <f t="shared" si="29"/>
        <v>332.8</v>
      </c>
      <c r="J203" s="73">
        <v>6.1</v>
      </c>
      <c r="K203" s="4">
        <f t="shared" si="24"/>
        <v>264.19999999999993</v>
      </c>
      <c r="L203" s="4">
        <v>0.5</v>
      </c>
      <c r="M203" s="4">
        <f t="shared" si="25"/>
        <v>156.39999999999986</v>
      </c>
      <c r="N203" s="4">
        <v>5.6</v>
      </c>
      <c r="O203" s="4">
        <v>138.9</v>
      </c>
      <c r="P203" s="4">
        <v>159</v>
      </c>
      <c r="Q203" s="4">
        <v>1</v>
      </c>
      <c r="R203" s="8">
        <f t="shared" si="21"/>
        <v>0.5</v>
      </c>
      <c r="S203" s="8">
        <f t="shared" si="22"/>
        <v>5.6</v>
      </c>
      <c r="T203" s="75">
        <f t="shared" si="26"/>
        <v>138.9</v>
      </c>
      <c r="V203" s="4">
        <v>128.5</v>
      </c>
      <c r="X203" s="4">
        <f t="shared" si="27"/>
        <v>82304.5</v>
      </c>
      <c r="Y203" s="4">
        <f t="shared" si="30"/>
        <v>22080.300000000003</v>
      </c>
      <c r="AA203" s="4">
        <v>10.2395553128072</v>
      </c>
      <c r="AB203" s="4">
        <v>6</v>
      </c>
    </row>
    <row r="204" spans="1:28" s="4" customFormat="1" x14ac:dyDescent="0.25">
      <c r="A204" s="58"/>
      <c r="B204" s="9"/>
      <c r="C204" s="6">
        <v>42050</v>
      </c>
      <c r="D204" s="4">
        <v>5</v>
      </c>
      <c r="E204" s="4">
        <v>4.0999999999999996</v>
      </c>
      <c r="F204" s="4">
        <v>6.6</v>
      </c>
      <c r="G204" s="4">
        <f t="shared" si="23"/>
        <v>1407.1000000000001</v>
      </c>
      <c r="H204" s="4">
        <f t="shared" si="29"/>
        <v>337.8</v>
      </c>
      <c r="J204" s="73">
        <v>0.1</v>
      </c>
      <c r="K204" s="4">
        <f t="shared" si="24"/>
        <v>264.29999999999995</v>
      </c>
      <c r="L204" s="4">
        <v>0.4</v>
      </c>
      <c r="M204" s="4">
        <f t="shared" si="25"/>
        <v>156.79999999999987</v>
      </c>
      <c r="N204" s="7">
        <v>-0.30000000000000004</v>
      </c>
      <c r="O204" s="4">
        <f>O203+N204</f>
        <v>138.6</v>
      </c>
      <c r="P204" s="4">
        <v>160</v>
      </c>
      <c r="Q204" s="4">
        <v>1</v>
      </c>
      <c r="R204" s="8">
        <f t="shared" si="21"/>
        <v>0.4</v>
      </c>
      <c r="S204" s="8">
        <f t="shared" si="22"/>
        <v>-0.30000000000000004</v>
      </c>
      <c r="T204" s="75">
        <f t="shared" si="26"/>
        <v>138.6</v>
      </c>
      <c r="V204" s="4">
        <v>446.7</v>
      </c>
      <c r="X204" s="4">
        <f t="shared" si="27"/>
        <v>82751.199999999997</v>
      </c>
      <c r="Y204" s="4">
        <f t="shared" si="30"/>
        <v>22527.000000000004</v>
      </c>
      <c r="AA204" s="4">
        <v>10.292996984907401</v>
      </c>
      <c r="AB204" s="72" t="s">
        <v>57</v>
      </c>
    </row>
    <row r="205" spans="1:28" s="4" customFormat="1" x14ac:dyDescent="0.25">
      <c r="A205" s="58"/>
      <c r="B205" s="9"/>
      <c r="C205" s="6">
        <v>42051</v>
      </c>
      <c r="D205" s="4">
        <v>3.6</v>
      </c>
      <c r="E205" s="4">
        <v>0.5</v>
      </c>
      <c r="F205" s="4">
        <v>5.4</v>
      </c>
      <c r="G205" s="4">
        <f t="shared" si="23"/>
        <v>1410.7</v>
      </c>
      <c r="H205" s="4">
        <f t="shared" si="29"/>
        <v>341.40000000000003</v>
      </c>
      <c r="J205" s="73">
        <v>0.7</v>
      </c>
      <c r="K205" s="4">
        <f t="shared" si="24"/>
        <v>264.99999999999994</v>
      </c>
      <c r="L205" s="4">
        <v>0.2</v>
      </c>
      <c r="M205" s="4">
        <f t="shared" si="25"/>
        <v>156.99999999999986</v>
      </c>
      <c r="N205" s="4">
        <v>0.49999999999999994</v>
      </c>
      <c r="O205" s="4">
        <v>138.9</v>
      </c>
      <c r="P205" s="4">
        <v>161</v>
      </c>
      <c r="Q205" s="4">
        <v>1</v>
      </c>
      <c r="R205" s="8">
        <f t="shared" si="21"/>
        <v>0.2</v>
      </c>
      <c r="S205" s="8">
        <f t="shared" si="22"/>
        <v>0.49999999999999994</v>
      </c>
      <c r="T205" s="75">
        <f t="shared" si="26"/>
        <v>138.9</v>
      </c>
      <c r="V205" s="4">
        <v>302.2</v>
      </c>
      <c r="X205" s="4">
        <f t="shared" si="27"/>
        <v>83053.399999999994</v>
      </c>
      <c r="Y205" s="4">
        <f t="shared" si="30"/>
        <v>22829.200000000004</v>
      </c>
      <c r="AA205" s="4">
        <v>10.346741454520799</v>
      </c>
      <c r="AB205" s="4">
        <f>SUM(J207:J216)</f>
        <v>21.700000000000003</v>
      </c>
    </row>
    <row r="206" spans="1:28" s="68" customFormat="1" x14ac:dyDescent="0.25">
      <c r="A206" s="58"/>
      <c r="B206" s="66" t="s">
        <v>52</v>
      </c>
      <c r="C206" s="67">
        <v>42052</v>
      </c>
      <c r="D206" s="68">
        <v>5.8</v>
      </c>
      <c r="E206" s="68">
        <v>4.0999999999999996</v>
      </c>
      <c r="F206" s="68">
        <v>7.1</v>
      </c>
      <c r="G206" s="68">
        <f t="shared" si="23"/>
        <v>1416.5</v>
      </c>
      <c r="H206" s="68">
        <f t="shared" si="29"/>
        <v>347.20000000000005</v>
      </c>
      <c r="J206" s="68">
        <v>0</v>
      </c>
      <c r="K206" s="68">
        <f t="shared" si="24"/>
        <v>264.99999999999994</v>
      </c>
      <c r="L206" s="68">
        <v>0.6</v>
      </c>
      <c r="M206" s="68">
        <f t="shared" si="25"/>
        <v>157.59999999999985</v>
      </c>
      <c r="N206" s="69">
        <v>-0.6</v>
      </c>
      <c r="O206" s="68">
        <f>O205+N206</f>
        <v>138.30000000000001</v>
      </c>
      <c r="P206" s="68">
        <v>162</v>
      </c>
      <c r="Q206" s="68">
        <v>1</v>
      </c>
      <c r="R206" s="70">
        <f t="shared" si="21"/>
        <v>0.6</v>
      </c>
      <c r="S206" s="70">
        <f t="shared" si="22"/>
        <v>-0.6</v>
      </c>
      <c r="T206" s="70">
        <f t="shared" si="26"/>
        <v>138.30000000000001</v>
      </c>
      <c r="V206" s="68">
        <v>331</v>
      </c>
      <c r="X206" s="68">
        <f t="shared" si="27"/>
        <v>83384.399999999994</v>
      </c>
      <c r="Y206" s="68">
        <f t="shared" si="30"/>
        <v>23160.200000000004</v>
      </c>
      <c r="AA206" s="68">
        <v>10.400772613217001</v>
      </c>
    </row>
    <row r="207" spans="1:28" s="4" customFormat="1" x14ac:dyDescent="0.25">
      <c r="A207" s="58"/>
      <c r="B207" s="9"/>
      <c r="C207" s="6">
        <v>42053</v>
      </c>
      <c r="D207" s="4">
        <v>2.9</v>
      </c>
      <c r="E207" s="4">
        <v>1.7</v>
      </c>
      <c r="F207" s="4">
        <v>4.5999999999999996</v>
      </c>
      <c r="G207" s="4">
        <f t="shared" si="23"/>
        <v>1419.4</v>
      </c>
      <c r="H207" s="4">
        <f t="shared" si="29"/>
        <v>350.1</v>
      </c>
      <c r="J207" s="73">
        <v>0</v>
      </c>
      <c r="K207" s="4">
        <f t="shared" si="24"/>
        <v>264.99999999999994</v>
      </c>
      <c r="L207" s="4">
        <v>0.6</v>
      </c>
      <c r="M207" s="4">
        <f t="shared" si="25"/>
        <v>158.19999999999985</v>
      </c>
      <c r="N207" s="7">
        <v>-0.6</v>
      </c>
      <c r="O207" s="4">
        <f>O206+N207</f>
        <v>137.70000000000002</v>
      </c>
      <c r="P207" s="4">
        <v>163</v>
      </c>
      <c r="Q207" s="4">
        <v>1</v>
      </c>
      <c r="R207" s="8">
        <f t="shared" si="21"/>
        <v>0.6</v>
      </c>
      <c r="S207" s="8">
        <f t="shared" si="22"/>
        <v>-0.6</v>
      </c>
      <c r="T207" s="75">
        <f t="shared" si="26"/>
        <v>137.70000000000002</v>
      </c>
      <c r="V207" s="4">
        <v>434.5</v>
      </c>
      <c r="X207" s="4">
        <f t="shared" si="27"/>
        <v>83818.899999999994</v>
      </c>
      <c r="Y207" s="4">
        <f t="shared" si="30"/>
        <v>23594.700000000004</v>
      </c>
      <c r="AA207" s="4">
        <v>10.4550749232247</v>
      </c>
    </row>
    <row r="208" spans="1:28" s="4" customFormat="1" x14ac:dyDescent="0.25">
      <c r="A208" s="58"/>
      <c r="B208" s="9"/>
      <c r="C208" s="6">
        <v>42054</v>
      </c>
      <c r="D208" s="4">
        <v>2.2000000000000002</v>
      </c>
      <c r="E208" s="4">
        <v>-3.6</v>
      </c>
      <c r="F208" s="4">
        <v>5.5</v>
      </c>
      <c r="G208" s="4">
        <f t="shared" si="23"/>
        <v>1421.6000000000001</v>
      </c>
      <c r="H208" s="4">
        <f t="shared" si="29"/>
        <v>352.3</v>
      </c>
      <c r="J208" s="73">
        <v>0.2</v>
      </c>
      <c r="K208" s="4">
        <f t="shared" si="24"/>
        <v>265.19999999999993</v>
      </c>
      <c r="L208" s="4">
        <v>0.2</v>
      </c>
      <c r="M208" s="4">
        <f t="shared" si="25"/>
        <v>158.39999999999984</v>
      </c>
      <c r="N208" s="7">
        <v>0</v>
      </c>
      <c r="O208" s="4">
        <f>O207+N208</f>
        <v>137.70000000000002</v>
      </c>
      <c r="P208" s="4">
        <v>164</v>
      </c>
      <c r="Q208" s="4">
        <v>1</v>
      </c>
      <c r="R208" s="8">
        <f t="shared" si="21"/>
        <v>0.2</v>
      </c>
      <c r="S208" s="8">
        <f t="shared" si="22"/>
        <v>0</v>
      </c>
      <c r="T208" s="75">
        <f t="shared" si="26"/>
        <v>137.70000000000002</v>
      </c>
      <c r="V208" s="4">
        <v>292.8</v>
      </c>
      <c r="X208" s="4">
        <f t="shared" si="27"/>
        <v>84111.7</v>
      </c>
      <c r="Y208" s="4">
        <f t="shared" si="30"/>
        <v>23887.500000000004</v>
      </c>
      <c r="AA208" s="4">
        <v>10.509633405310799</v>
      </c>
    </row>
    <row r="209" spans="1:30" s="4" customFormat="1" x14ac:dyDescent="0.25">
      <c r="A209" s="58"/>
      <c r="B209" s="9"/>
      <c r="C209" s="6">
        <v>42055</v>
      </c>
      <c r="D209" s="4">
        <v>6.4</v>
      </c>
      <c r="E209" s="4">
        <v>4.7</v>
      </c>
      <c r="F209" s="4">
        <v>8.9</v>
      </c>
      <c r="G209" s="4">
        <f t="shared" si="23"/>
        <v>1428.0000000000002</v>
      </c>
      <c r="H209" s="4">
        <f t="shared" si="29"/>
        <v>358.7</v>
      </c>
      <c r="J209" s="73">
        <v>6.2</v>
      </c>
      <c r="K209" s="4">
        <f t="shared" si="24"/>
        <v>271.39999999999992</v>
      </c>
      <c r="L209" s="4">
        <v>1</v>
      </c>
      <c r="M209" s="4">
        <f t="shared" si="25"/>
        <v>159.39999999999984</v>
      </c>
      <c r="N209" s="4">
        <v>5.2</v>
      </c>
      <c r="O209" s="4">
        <v>138.9</v>
      </c>
      <c r="P209" s="4">
        <v>165</v>
      </c>
      <c r="Q209" s="4">
        <v>1</v>
      </c>
      <c r="R209" s="8">
        <f t="shared" si="21"/>
        <v>1</v>
      </c>
      <c r="S209" s="8">
        <f t="shared" si="22"/>
        <v>5.2</v>
      </c>
      <c r="T209" s="75">
        <f t="shared" si="26"/>
        <v>138.9</v>
      </c>
      <c r="V209" s="4">
        <v>265.2</v>
      </c>
      <c r="X209" s="4">
        <f t="shared" si="27"/>
        <v>84376.9</v>
      </c>
      <c r="Y209" s="4">
        <f t="shared" si="30"/>
        <v>24152.700000000004</v>
      </c>
      <c r="AA209" s="4">
        <v>10.564433625742801</v>
      </c>
    </row>
    <row r="210" spans="1:30" s="4" customFormat="1" x14ac:dyDescent="0.25">
      <c r="A210" s="58"/>
      <c r="B210" s="9"/>
      <c r="C210" s="6">
        <v>42056</v>
      </c>
      <c r="D210" s="4">
        <v>3.2</v>
      </c>
      <c r="E210" s="4">
        <v>2</v>
      </c>
      <c r="F210" s="4">
        <v>5.6</v>
      </c>
      <c r="G210" s="4">
        <f t="shared" si="23"/>
        <v>1431.2000000000003</v>
      </c>
      <c r="H210" s="4">
        <f t="shared" si="29"/>
        <v>361.9</v>
      </c>
      <c r="J210" s="73">
        <v>2.2000000000000002</v>
      </c>
      <c r="K210" s="4">
        <f t="shared" si="24"/>
        <v>273.59999999999991</v>
      </c>
      <c r="L210" s="4">
        <v>0.4</v>
      </c>
      <c r="M210" s="4">
        <f t="shared" si="25"/>
        <v>159.79999999999984</v>
      </c>
      <c r="N210" s="4">
        <v>1.8000000000000003</v>
      </c>
      <c r="O210" s="4">
        <v>138.9</v>
      </c>
      <c r="P210" s="4">
        <v>166</v>
      </c>
      <c r="Q210" s="4">
        <v>1</v>
      </c>
      <c r="R210" s="8">
        <f t="shared" si="21"/>
        <v>0.4</v>
      </c>
      <c r="S210" s="8">
        <f t="shared" si="22"/>
        <v>1.8000000000000003</v>
      </c>
      <c r="T210" s="75">
        <f t="shared" si="26"/>
        <v>138.9</v>
      </c>
      <c r="V210" s="4">
        <v>286.39999999999998</v>
      </c>
      <c r="X210" s="4">
        <f t="shared" si="27"/>
        <v>84663.299999999988</v>
      </c>
      <c r="Y210" s="4">
        <f t="shared" si="30"/>
        <v>24439.100000000006</v>
      </c>
      <c r="AA210" s="4">
        <v>10.619461682432901</v>
      </c>
    </row>
    <row r="211" spans="1:30" s="4" customFormat="1" x14ac:dyDescent="0.25">
      <c r="A211" s="58"/>
      <c r="B211" s="9"/>
      <c r="C211" s="6">
        <v>42057</v>
      </c>
      <c r="D211" s="4">
        <v>3.3</v>
      </c>
      <c r="E211" s="4">
        <v>-1.8</v>
      </c>
      <c r="F211" s="4">
        <v>8.5</v>
      </c>
      <c r="G211" s="4">
        <f t="shared" si="23"/>
        <v>1434.5000000000002</v>
      </c>
      <c r="H211" s="4">
        <f t="shared" si="29"/>
        <v>365.2</v>
      </c>
      <c r="J211" s="73">
        <v>1.7</v>
      </c>
      <c r="K211" s="4">
        <f t="shared" si="24"/>
        <v>275.2999999999999</v>
      </c>
      <c r="L211" s="4">
        <v>0.8</v>
      </c>
      <c r="M211" s="4">
        <f t="shared" si="25"/>
        <v>160.59999999999985</v>
      </c>
      <c r="N211" s="4">
        <v>0.89999999999999991</v>
      </c>
      <c r="O211" s="4">
        <v>138.9</v>
      </c>
      <c r="P211" s="4">
        <v>167</v>
      </c>
      <c r="Q211" s="4">
        <v>1</v>
      </c>
      <c r="R211" s="8">
        <f t="shared" si="21"/>
        <v>0.8</v>
      </c>
      <c r="S211" s="8">
        <f t="shared" si="22"/>
        <v>0.89999999999999991</v>
      </c>
      <c r="T211" s="75">
        <f t="shared" si="26"/>
        <v>138.9</v>
      </c>
      <c r="V211" s="4">
        <v>585.6</v>
      </c>
      <c r="X211" s="4">
        <f t="shared" si="27"/>
        <v>85248.9</v>
      </c>
      <c r="Y211" s="4">
        <f t="shared" si="30"/>
        <v>25024.700000000004</v>
      </c>
      <c r="AA211" s="4">
        <v>10.674704190357399</v>
      </c>
    </row>
    <row r="212" spans="1:30" s="4" customFormat="1" x14ac:dyDescent="0.25">
      <c r="A212" s="58"/>
      <c r="B212" s="9"/>
      <c r="C212" s="6">
        <v>42058</v>
      </c>
      <c r="D212" s="4">
        <v>7.4</v>
      </c>
      <c r="E212" s="4">
        <v>4.9000000000000004</v>
      </c>
      <c r="F212" s="4">
        <v>11.2</v>
      </c>
      <c r="G212" s="4">
        <f t="shared" si="23"/>
        <v>1441.9000000000003</v>
      </c>
      <c r="H212" s="4">
        <f t="shared" si="29"/>
        <v>372.59999999999997</v>
      </c>
      <c r="J212" s="73">
        <v>3.3</v>
      </c>
      <c r="K212" s="4">
        <f t="shared" si="24"/>
        <v>278.59999999999991</v>
      </c>
      <c r="L212" s="4">
        <v>1.3</v>
      </c>
      <c r="M212" s="4">
        <f t="shared" si="25"/>
        <v>161.89999999999986</v>
      </c>
      <c r="N212" s="4">
        <v>1.9999999999999998</v>
      </c>
      <c r="O212" s="4">
        <v>138.9</v>
      </c>
      <c r="P212" s="4">
        <v>168</v>
      </c>
      <c r="Q212" s="4">
        <v>1</v>
      </c>
      <c r="R212" s="8">
        <f t="shared" si="21"/>
        <v>1.3</v>
      </c>
      <c r="S212" s="8">
        <f t="shared" si="22"/>
        <v>1.9999999999999998</v>
      </c>
      <c r="T212" s="75">
        <f t="shared" si="26"/>
        <v>138.9</v>
      </c>
      <c r="V212" s="4">
        <v>587.1</v>
      </c>
      <c r="X212" s="4">
        <f t="shared" si="27"/>
        <v>85836</v>
      </c>
      <c r="Y212" s="4">
        <f t="shared" si="30"/>
        <v>25611.800000000003</v>
      </c>
      <c r="AA212" s="4">
        <v>10.730148266337199</v>
      </c>
    </row>
    <row r="213" spans="1:30" s="4" customFormat="1" x14ac:dyDescent="0.25">
      <c r="A213" s="58"/>
      <c r="B213" s="9"/>
      <c r="C213" s="6">
        <v>42059</v>
      </c>
      <c r="D213" s="4">
        <v>4.3</v>
      </c>
      <c r="E213" s="4">
        <v>2.2999999999999998</v>
      </c>
      <c r="F213" s="4">
        <v>7.9</v>
      </c>
      <c r="G213" s="4">
        <f t="shared" si="23"/>
        <v>1446.2000000000003</v>
      </c>
      <c r="H213" s="4">
        <f t="shared" si="29"/>
        <v>376.9</v>
      </c>
      <c r="J213" s="73">
        <v>0.3</v>
      </c>
      <c r="K213" s="4">
        <f t="shared" si="24"/>
        <v>278.89999999999992</v>
      </c>
      <c r="L213" s="4">
        <v>0.9</v>
      </c>
      <c r="M213" s="4">
        <f t="shared" si="25"/>
        <v>162.79999999999987</v>
      </c>
      <c r="N213" s="7">
        <v>-0.60000000000000009</v>
      </c>
      <c r="O213" s="4">
        <f>O212+N213</f>
        <v>138.30000000000001</v>
      </c>
      <c r="P213" s="4">
        <v>169</v>
      </c>
      <c r="Q213" s="4">
        <v>1</v>
      </c>
      <c r="R213" s="8">
        <f t="shared" si="21"/>
        <v>0.9</v>
      </c>
      <c r="S213" s="8">
        <f t="shared" si="22"/>
        <v>-0.60000000000000009</v>
      </c>
      <c r="T213" s="75">
        <f t="shared" si="26"/>
        <v>138.30000000000001</v>
      </c>
      <c r="V213" s="4">
        <v>450.2</v>
      </c>
      <c r="X213" s="4">
        <f t="shared" si="27"/>
        <v>86286.2</v>
      </c>
      <c r="Y213" s="4">
        <f t="shared" si="30"/>
        <v>26062.000000000004</v>
      </c>
      <c r="AA213" s="4">
        <v>10.7857815132604</v>
      </c>
    </row>
    <row r="214" spans="1:30" s="4" customFormat="1" x14ac:dyDescent="0.25">
      <c r="A214" s="58"/>
      <c r="B214" s="9"/>
      <c r="C214" s="6">
        <v>42060</v>
      </c>
      <c r="D214" s="4">
        <v>5.8</v>
      </c>
      <c r="E214" s="4">
        <v>1.2</v>
      </c>
      <c r="F214" s="4">
        <v>9.1</v>
      </c>
      <c r="G214" s="4">
        <f t="shared" si="23"/>
        <v>1452.0000000000002</v>
      </c>
      <c r="H214" s="4">
        <f t="shared" si="29"/>
        <v>382.7</v>
      </c>
      <c r="J214" s="73">
        <v>1.6</v>
      </c>
      <c r="K214" s="4">
        <f t="shared" si="24"/>
        <v>280.49999999999994</v>
      </c>
      <c r="L214" s="4">
        <v>0.3</v>
      </c>
      <c r="M214" s="4">
        <f t="shared" si="25"/>
        <v>163.09999999999988</v>
      </c>
      <c r="N214" s="4">
        <v>1.3</v>
      </c>
      <c r="O214" s="4">
        <v>138.9</v>
      </c>
      <c r="P214" s="4">
        <v>170</v>
      </c>
      <c r="Q214" s="4">
        <v>1</v>
      </c>
      <c r="R214" s="8">
        <f t="shared" si="21"/>
        <v>0.3</v>
      </c>
      <c r="S214" s="8">
        <f t="shared" si="22"/>
        <v>1.3</v>
      </c>
      <c r="T214" s="75">
        <f t="shared" si="26"/>
        <v>138.9</v>
      </c>
      <c r="V214" s="4">
        <v>324.2</v>
      </c>
      <c r="X214" s="4">
        <f t="shared" si="27"/>
        <v>86610.4</v>
      </c>
      <c r="Y214" s="4">
        <f t="shared" si="30"/>
        <v>26386.200000000004</v>
      </c>
      <c r="AA214" s="4">
        <v>10.8415920038211</v>
      </c>
    </row>
    <row r="215" spans="1:30" s="4" customFormat="1" x14ac:dyDescent="0.25">
      <c r="A215" s="58"/>
      <c r="B215" s="9"/>
      <c r="C215" s="6">
        <v>42061</v>
      </c>
      <c r="D215" s="4">
        <v>9.3000000000000007</v>
      </c>
      <c r="E215" s="4">
        <v>7.8</v>
      </c>
      <c r="F215" s="4">
        <v>11</v>
      </c>
      <c r="G215" s="4">
        <f t="shared" si="23"/>
        <v>1461.3000000000002</v>
      </c>
      <c r="H215" s="4">
        <f t="shared" si="29"/>
        <v>392</v>
      </c>
      <c r="J215" s="73">
        <v>6.2</v>
      </c>
      <c r="K215" s="4">
        <f t="shared" si="24"/>
        <v>286.69999999999993</v>
      </c>
      <c r="L215" s="4">
        <v>0.3</v>
      </c>
      <c r="M215" s="4">
        <f t="shared" si="25"/>
        <v>163.39999999999989</v>
      </c>
      <c r="N215" s="4">
        <v>5.9</v>
      </c>
      <c r="O215" s="4">
        <v>138.9</v>
      </c>
      <c r="P215" s="4">
        <v>171</v>
      </c>
      <c r="Q215" s="4">
        <v>1</v>
      </c>
      <c r="R215" s="8">
        <f t="shared" si="21"/>
        <v>0.3</v>
      </c>
      <c r="S215" s="8">
        <f t="shared" si="22"/>
        <v>5.9</v>
      </c>
      <c r="T215" s="75">
        <f t="shared" si="26"/>
        <v>138.9</v>
      </c>
      <c r="V215" s="4">
        <v>239.4</v>
      </c>
      <c r="X215" s="4">
        <f t="shared" si="27"/>
        <v>86849.799999999988</v>
      </c>
      <c r="Y215" s="4">
        <f t="shared" si="30"/>
        <v>26625.600000000006</v>
      </c>
      <c r="AA215" s="4">
        <v>10.8975682638437</v>
      </c>
    </row>
    <row r="216" spans="1:30" s="68" customFormat="1" x14ac:dyDescent="0.25">
      <c r="A216" s="58"/>
      <c r="B216" s="66" t="s">
        <v>50</v>
      </c>
      <c r="C216" s="67">
        <v>42062</v>
      </c>
      <c r="D216" s="68">
        <v>4.7</v>
      </c>
      <c r="E216" s="68">
        <v>4</v>
      </c>
      <c r="F216" s="68">
        <v>7.6</v>
      </c>
      <c r="G216" s="68">
        <f t="shared" si="23"/>
        <v>1466.0000000000002</v>
      </c>
      <c r="H216" s="68">
        <f t="shared" si="29"/>
        <v>396.7</v>
      </c>
      <c r="J216" s="68">
        <v>0</v>
      </c>
      <c r="K216" s="68">
        <f t="shared" si="24"/>
        <v>286.69999999999993</v>
      </c>
      <c r="L216" s="68">
        <v>1.2</v>
      </c>
      <c r="M216" s="68">
        <f t="shared" si="25"/>
        <v>164.59999999999988</v>
      </c>
      <c r="N216" s="69">
        <v>-1.2</v>
      </c>
      <c r="O216" s="68">
        <f>O215+N216</f>
        <v>137.70000000000002</v>
      </c>
      <c r="P216" s="68">
        <v>172</v>
      </c>
      <c r="Q216" s="68">
        <v>1</v>
      </c>
      <c r="R216" s="70">
        <f t="shared" si="21"/>
        <v>1.2</v>
      </c>
      <c r="S216" s="70">
        <f t="shared" si="22"/>
        <v>-1.2</v>
      </c>
      <c r="T216" s="70">
        <f t="shared" si="26"/>
        <v>137.70000000000002</v>
      </c>
      <c r="V216" s="68">
        <v>642.29999999999995</v>
      </c>
      <c r="X216" s="68">
        <f t="shared" si="27"/>
        <v>87492.099999999991</v>
      </c>
      <c r="Y216" s="68">
        <f t="shared" si="30"/>
        <v>27267.900000000005</v>
      </c>
      <c r="AA216" s="68">
        <v>10.953699255256501</v>
      </c>
    </row>
    <row r="217" spans="1:30" s="29" customFormat="1" ht="15.75" thickBot="1" x14ac:dyDescent="0.3">
      <c r="A217" s="58"/>
      <c r="B217" s="27"/>
      <c r="C217" s="28">
        <v>42063</v>
      </c>
      <c r="D217" s="29">
        <v>4.5999999999999996</v>
      </c>
      <c r="E217" s="29">
        <v>-1.7</v>
      </c>
      <c r="F217" s="29">
        <v>10.8</v>
      </c>
      <c r="G217" s="29">
        <f t="shared" si="23"/>
        <v>1470.6000000000001</v>
      </c>
      <c r="H217" s="29">
        <f t="shared" si="29"/>
        <v>401.3</v>
      </c>
      <c r="J217" s="74">
        <v>4.0999999999999996</v>
      </c>
      <c r="K217" s="29">
        <f t="shared" si="24"/>
        <v>290.79999999999995</v>
      </c>
      <c r="L217" s="29">
        <v>0.9</v>
      </c>
      <c r="M217" s="29">
        <f t="shared" si="25"/>
        <v>165.49999999999989</v>
      </c>
      <c r="N217" s="29">
        <v>3.1999999999999997</v>
      </c>
      <c r="O217" s="29">
        <v>138.9</v>
      </c>
      <c r="P217" s="29">
        <v>173</v>
      </c>
      <c r="Q217" s="29">
        <v>1</v>
      </c>
      <c r="R217" s="31">
        <f t="shared" si="21"/>
        <v>0.9</v>
      </c>
      <c r="S217" s="31">
        <f t="shared" si="22"/>
        <v>3.1999999999999997</v>
      </c>
      <c r="T217" s="76">
        <f t="shared" si="26"/>
        <v>138.9</v>
      </c>
      <c r="V217" s="29">
        <v>509.1</v>
      </c>
      <c r="W217" s="29">
        <f>(Y217/100)/I140</f>
        <v>0.69217542985297786</v>
      </c>
      <c r="X217" s="29">
        <f t="shared" si="27"/>
        <v>88001.2</v>
      </c>
      <c r="Y217" s="29">
        <f t="shared" si="30"/>
        <v>27777.000000000004</v>
      </c>
      <c r="AA217" s="29">
        <v>11.0099743587711</v>
      </c>
    </row>
    <row r="218" spans="1:30" s="4" customFormat="1" ht="15" customHeight="1" x14ac:dyDescent="0.25">
      <c r="A218" s="59" t="s">
        <v>45</v>
      </c>
      <c r="B218" s="9"/>
      <c r="C218" s="6">
        <v>42064</v>
      </c>
      <c r="D218" s="4">
        <v>11.1</v>
      </c>
      <c r="E218" s="4">
        <v>7.1</v>
      </c>
      <c r="F218" s="4">
        <v>12.1</v>
      </c>
      <c r="G218" s="4">
        <f t="shared" si="23"/>
        <v>1481.7</v>
      </c>
      <c r="H218" s="4">
        <v>11.1</v>
      </c>
      <c r="I218" s="14" t="s">
        <v>27</v>
      </c>
      <c r="J218" s="73">
        <v>1.3</v>
      </c>
      <c r="K218" s="4">
        <f t="shared" si="24"/>
        <v>292.09999999999997</v>
      </c>
      <c r="L218" s="4">
        <v>0.6</v>
      </c>
      <c r="M218" s="4">
        <f t="shared" si="25"/>
        <v>166.09999999999988</v>
      </c>
      <c r="N218" s="4">
        <v>0.70000000000000007</v>
      </c>
      <c r="O218" s="4">
        <v>138.9</v>
      </c>
      <c r="P218" s="4">
        <v>174</v>
      </c>
      <c r="Q218" s="11">
        <f>1+((P218-173)/40)*(1.15-1)</f>
        <v>1.0037499999999999</v>
      </c>
      <c r="R218" s="8">
        <f t="shared" si="21"/>
        <v>0.60224999999999995</v>
      </c>
      <c r="S218" s="8">
        <f t="shared" si="22"/>
        <v>0.69775000000000009</v>
      </c>
      <c r="T218" s="75">
        <f t="shared" si="26"/>
        <v>138.9</v>
      </c>
      <c r="U218" s="14" t="s">
        <v>28</v>
      </c>
      <c r="V218" s="4">
        <v>413.9</v>
      </c>
      <c r="X218" s="4">
        <f t="shared" si="27"/>
        <v>88415.099999999991</v>
      </c>
      <c r="Y218" s="4">
        <f>V218</f>
        <v>413.9</v>
      </c>
      <c r="Z218" s="14" t="s">
        <v>29</v>
      </c>
      <c r="AA218" s="4">
        <v>11.0663833563225</v>
      </c>
      <c r="AB218" s="72" t="s">
        <v>53</v>
      </c>
    </row>
    <row r="219" spans="1:30" s="4" customFormat="1" x14ac:dyDescent="0.25">
      <c r="A219" s="59"/>
      <c r="B219" s="9"/>
      <c r="C219" s="6">
        <v>42065</v>
      </c>
      <c r="D219" s="4">
        <v>8.1</v>
      </c>
      <c r="E219" s="4">
        <v>6.4</v>
      </c>
      <c r="F219" s="4">
        <v>10.8</v>
      </c>
      <c r="G219" s="4">
        <f t="shared" si="23"/>
        <v>1489.8</v>
      </c>
      <c r="H219" s="4">
        <f t="shared" si="29"/>
        <v>19.2</v>
      </c>
      <c r="I219" s="4">
        <f>MIN(E218:E257)</f>
        <v>-2.2000000000000002</v>
      </c>
      <c r="J219" s="73">
        <v>0</v>
      </c>
      <c r="K219" s="4">
        <f t="shared" si="24"/>
        <v>292.09999999999997</v>
      </c>
      <c r="L219" s="4">
        <v>1.6</v>
      </c>
      <c r="M219" s="4">
        <f t="shared" si="25"/>
        <v>167.69999999999987</v>
      </c>
      <c r="N219" s="7">
        <v>-1.6</v>
      </c>
      <c r="O219" s="4">
        <f t="shared" ref="O219:O279" si="31">O218+N219</f>
        <v>137.30000000000001</v>
      </c>
      <c r="P219" s="4">
        <v>175</v>
      </c>
      <c r="Q219" s="11">
        <f t="shared" ref="Q219:Q257" si="32">1+((P219-173)/40)*(1.15-1)</f>
        <v>1.0075000000000001</v>
      </c>
      <c r="R219" s="8">
        <f t="shared" si="21"/>
        <v>1.6120000000000001</v>
      </c>
      <c r="S219" s="8">
        <f t="shared" si="22"/>
        <v>-1.6120000000000001</v>
      </c>
      <c r="T219" s="75">
        <f t="shared" si="26"/>
        <v>137.28800000000001</v>
      </c>
      <c r="U219" s="4">
        <v>32</v>
      </c>
      <c r="V219" s="4">
        <v>613.1</v>
      </c>
      <c r="X219" s="4">
        <f t="shared" si="27"/>
        <v>89028.2</v>
      </c>
      <c r="Y219" s="4">
        <f t="shared" si="30"/>
        <v>1027</v>
      </c>
      <c r="Z219" s="4">
        <v>39694.799999999996</v>
      </c>
      <c r="AA219" s="4">
        <v>11.122916413316</v>
      </c>
      <c r="AB219" s="8">
        <f>AVERAGE(T213:T226)</f>
        <v>136.2264553571429</v>
      </c>
      <c r="AD219" s="72" t="s">
        <v>53</v>
      </c>
    </row>
    <row r="220" spans="1:30" s="4" customFormat="1" x14ac:dyDescent="0.25">
      <c r="A220" s="59"/>
      <c r="B220" s="9"/>
      <c r="C220" s="6">
        <v>42066</v>
      </c>
      <c r="D220" s="4">
        <v>6.4</v>
      </c>
      <c r="E220" s="4">
        <v>3.7</v>
      </c>
      <c r="F220" s="4">
        <v>11.2</v>
      </c>
      <c r="G220" s="4">
        <f t="shared" si="23"/>
        <v>1496.2</v>
      </c>
      <c r="H220" s="4">
        <f t="shared" si="29"/>
        <v>25.6</v>
      </c>
      <c r="I220" s="14" t="s">
        <v>30</v>
      </c>
      <c r="J220" s="73">
        <v>2</v>
      </c>
      <c r="K220" s="4">
        <f t="shared" si="24"/>
        <v>294.09999999999997</v>
      </c>
      <c r="L220" s="4">
        <v>1.2</v>
      </c>
      <c r="M220" s="4">
        <f t="shared" si="25"/>
        <v>168.89999999999986</v>
      </c>
      <c r="N220" s="4">
        <v>0.8</v>
      </c>
      <c r="O220" s="4">
        <f t="shared" si="31"/>
        <v>138.10000000000002</v>
      </c>
      <c r="P220" s="4">
        <v>176</v>
      </c>
      <c r="Q220" s="11">
        <f t="shared" si="32"/>
        <v>1.01125</v>
      </c>
      <c r="R220" s="8">
        <f t="shared" si="21"/>
        <v>1.2135</v>
      </c>
      <c r="S220" s="8">
        <f t="shared" si="22"/>
        <v>0.78649999999999998</v>
      </c>
      <c r="T220" s="75">
        <f t="shared" si="26"/>
        <v>138.0745</v>
      </c>
      <c r="U220" s="14" t="s">
        <v>31</v>
      </c>
      <c r="V220" s="4">
        <v>411.6</v>
      </c>
      <c r="X220" s="4">
        <f t="shared" si="27"/>
        <v>89439.8</v>
      </c>
      <c r="Y220" s="4">
        <f t="shared" si="30"/>
        <v>1438.6</v>
      </c>
      <c r="Z220" s="14" t="s">
        <v>32</v>
      </c>
      <c r="AA220" s="4">
        <v>11.1795640607248</v>
      </c>
      <c r="AB220" s="72" t="s">
        <v>54</v>
      </c>
      <c r="AD220" s="11">
        <f>(AB197*(80/160))+(AB219*(50/160))+(AB232*(30/160))</f>
        <v>135.24144698660717</v>
      </c>
    </row>
    <row r="221" spans="1:30" s="4" customFormat="1" x14ac:dyDescent="0.25">
      <c r="A221" s="59"/>
      <c r="B221" s="9"/>
      <c r="C221" s="6">
        <v>42067</v>
      </c>
      <c r="D221" s="4">
        <v>4.3</v>
      </c>
      <c r="E221" s="4">
        <v>0.9</v>
      </c>
      <c r="F221" s="4">
        <v>7.7</v>
      </c>
      <c r="G221" s="4">
        <f t="shared" si="23"/>
        <v>1500.5</v>
      </c>
      <c r="H221" s="4">
        <f t="shared" si="29"/>
        <v>29.900000000000002</v>
      </c>
      <c r="I221" s="4">
        <f>MAX(F218:F257)</f>
        <v>20.6</v>
      </c>
      <c r="J221" s="73">
        <v>0.9</v>
      </c>
      <c r="K221" s="4">
        <f t="shared" si="24"/>
        <v>294.99999999999994</v>
      </c>
      <c r="L221" s="4">
        <v>1</v>
      </c>
      <c r="M221" s="4">
        <f t="shared" si="25"/>
        <v>169.89999999999986</v>
      </c>
      <c r="N221" s="7">
        <v>-9.9999999999999978E-2</v>
      </c>
      <c r="O221" s="4">
        <f t="shared" si="31"/>
        <v>138.00000000000003</v>
      </c>
      <c r="P221" s="4">
        <v>177</v>
      </c>
      <c r="Q221" s="11">
        <f t="shared" si="32"/>
        <v>1.0149999999999999</v>
      </c>
      <c r="R221" s="8">
        <f t="shared" si="21"/>
        <v>1.0149999999999999</v>
      </c>
      <c r="S221" s="8">
        <f t="shared" si="22"/>
        <v>-0.11499999999999988</v>
      </c>
      <c r="T221" s="75">
        <f t="shared" si="26"/>
        <v>137.95949999999999</v>
      </c>
      <c r="U221" s="4">
        <v>0</v>
      </c>
      <c r="V221" s="4">
        <v>751.4</v>
      </c>
      <c r="X221" s="4">
        <f t="shared" si="27"/>
        <v>90191.2</v>
      </c>
      <c r="Y221" s="4">
        <f t="shared" si="30"/>
        <v>2190</v>
      </c>
      <c r="Z221" s="11">
        <f>(Z219/100)/I231</f>
        <v>1.2677994251038005</v>
      </c>
      <c r="AA221" s="4">
        <v>11.2363171770773</v>
      </c>
      <c r="AB221" s="4">
        <v>1</v>
      </c>
      <c r="AD221" s="72" t="s">
        <v>54</v>
      </c>
    </row>
    <row r="222" spans="1:30" s="4" customFormat="1" x14ac:dyDescent="0.25">
      <c r="A222" s="59"/>
      <c r="B222" s="9"/>
      <c r="C222" s="6">
        <v>42068</v>
      </c>
      <c r="D222" s="4">
        <v>4.5999999999999996</v>
      </c>
      <c r="E222" s="4">
        <v>0.1</v>
      </c>
      <c r="F222" s="4">
        <v>9.9</v>
      </c>
      <c r="G222" s="4">
        <f t="shared" si="23"/>
        <v>1505.1</v>
      </c>
      <c r="H222" s="4">
        <f t="shared" si="29"/>
        <v>34.5</v>
      </c>
      <c r="I222" s="14" t="s">
        <v>33</v>
      </c>
      <c r="J222" s="73">
        <v>0</v>
      </c>
      <c r="K222" s="4">
        <f t="shared" si="24"/>
        <v>294.99999999999994</v>
      </c>
      <c r="L222" s="4">
        <v>1.5</v>
      </c>
      <c r="M222" s="4">
        <f t="shared" si="25"/>
        <v>171.39999999999986</v>
      </c>
      <c r="N222" s="7">
        <v>-1.5</v>
      </c>
      <c r="O222" s="4">
        <f t="shared" si="31"/>
        <v>136.50000000000003</v>
      </c>
      <c r="P222" s="4">
        <v>178</v>
      </c>
      <c r="Q222" s="11">
        <f t="shared" si="32"/>
        <v>1.01875</v>
      </c>
      <c r="R222" s="8">
        <f t="shared" si="21"/>
        <v>1.5281250000000002</v>
      </c>
      <c r="S222" s="8">
        <f t="shared" si="22"/>
        <v>-1.5281250000000002</v>
      </c>
      <c r="T222" s="75">
        <f t="shared" si="26"/>
        <v>136.431375</v>
      </c>
      <c r="U222" s="14" t="s">
        <v>34</v>
      </c>
      <c r="V222" s="4">
        <v>1127.7</v>
      </c>
      <c r="X222" s="4">
        <f t="shared" si="27"/>
        <v>91318.9</v>
      </c>
      <c r="Y222" s="4">
        <f t="shared" si="30"/>
        <v>3317.7</v>
      </c>
      <c r="Z222" s="14" t="s">
        <v>35</v>
      </c>
      <c r="AA222" s="4">
        <v>11.2931669703688</v>
      </c>
      <c r="AB222" s="72" t="s">
        <v>55</v>
      </c>
      <c r="AD222" s="8">
        <f>(AB199*(80/160))+(AB221*(50/160))+(AB234*(30/160))</f>
        <v>4.25</v>
      </c>
    </row>
    <row r="223" spans="1:30" s="4" customFormat="1" x14ac:dyDescent="0.25">
      <c r="A223" s="59"/>
      <c r="B223" s="9"/>
      <c r="C223" s="6">
        <v>42069</v>
      </c>
      <c r="D223" s="4">
        <v>4.5999999999999996</v>
      </c>
      <c r="E223" s="4">
        <v>-2.1</v>
      </c>
      <c r="F223" s="4">
        <v>10.5</v>
      </c>
      <c r="G223" s="4">
        <f t="shared" si="23"/>
        <v>1509.6999999999998</v>
      </c>
      <c r="H223" s="4">
        <f t="shared" si="29"/>
        <v>39.1</v>
      </c>
      <c r="I223" s="8">
        <f>AVERAGE(D218:D257)</f>
        <v>7.8274999999999988</v>
      </c>
      <c r="J223" s="73">
        <v>0</v>
      </c>
      <c r="K223" s="4">
        <f t="shared" si="24"/>
        <v>294.99999999999994</v>
      </c>
      <c r="L223" s="4">
        <v>1.8</v>
      </c>
      <c r="M223" s="4">
        <f t="shared" si="25"/>
        <v>173.19999999999987</v>
      </c>
      <c r="N223" s="7">
        <v>-1.8</v>
      </c>
      <c r="O223" s="4">
        <f t="shared" si="31"/>
        <v>134.70000000000002</v>
      </c>
      <c r="P223" s="4">
        <v>179</v>
      </c>
      <c r="Q223" s="11">
        <f t="shared" si="32"/>
        <v>1.0225</v>
      </c>
      <c r="R223" s="8">
        <f t="shared" si="21"/>
        <v>1.8405</v>
      </c>
      <c r="S223" s="8">
        <f t="shared" si="22"/>
        <v>-1.8405</v>
      </c>
      <c r="T223" s="75">
        <f t="shared" si="26"/>
        <v>134.59087500000001</v>
      </c>
      <c r="U223" s="4">
        <v>0</v>
      </c>
      <c r="V223" s="4">
        <v>1490.9</v>
      </c>
      <c r="X223" s="4">
        <f t="shared" si="27"/>
        <v>92809.799999999988</v>
      </c>
      <c r="Y223" s="4">
        <f t="shared" si="30"/>
        <v>4808.6000000000004</v>
      </c>
      <c r="Z223" s="4">
        <v>21</v>
      </c>
      <c r="AA223" s="4">
        <v>11.350104959926799</v>
      </c>
      <c r="AB223" s="4">
        <v>6</v>
      </c>
      <c r="AD223" s="72" t="s">
        <v>55</v>
      </c>
    </row>
    <row r="224" spans="1:30" s="4" customFormat="1" x14ac:dyDescent="0.25">
      <c r="A224" s="59"/>
      <c r="B224" s="9"/>
      <c r="C224" s="6">
        <v>42070</v>
      </c>
      <c r="D224" s="4">
        <v>6.4</v>
      </c>
      <c r="E224" s="4">
        <v>-2.2000000000000002</v>
      </c>
      <c r="F224" s="4">
        <v>14.6</v>
      </c>
      <c r="G224" s="4">
        <f t="shared" si="23"/>
        <v>1516.1</v>
      </c>
      <c r="H224" s="4">
        <f t="shared" si="29"/>
        <v>45.5</v>
      </c>
      <c r="I224" s="14" t="s">
        <v>36</v>
      </c>
      <c r="J224" s="73">
        <v>0</v>
      </c>
      <c r="K224" s="4">
        <f t="shared" si="24"/>
        <v>294.99999999999994</v>
      </c>
      <c r="L224" s="4">
        <v>2.2000000000000002</v>
      </c>
      <c r="M224" s="4">
        <f t="shared" si="25"/>
        <v>175.39999999999986</v>
      </c>
      <c r="N224" s="7">
        <v>-2.2000000000000002</v>
      </c>
      <c r="O224" s="4">
        <f t="shared" si="31"/>
        <v>132.50000000000003</v>
      </c>
      <c r="P224" s="4">
        <v>180</v>
      </c>
      <c r="Q224" s="11">
        <f t="shared" si="32"/>
        <v>1.0262499999999999</v>
      </c>
      <c r="R224" s="8">
        <f t="shared" si="21"/>
        <v>2.2577500000000001</v>
      </c>
      <c r="S224" s="8">
        <f t="shared" si="22"/>
        <v>-2.2577500000000001</v>
      </c>
      <c r="T224" s="75">
        <f t="shared" si="26"/>
        <v>132.33312500000002</v>
      </c>
      <c r="U224" s="14" t="s">
        <v>37</v>
      </c>
      <c r="V224" s="4">
        <v>1396.5</v>
      </c>
      <c r="X224" s="4">
        <f t="shared" si="27"/>
        <v>94206.299999999988</v>
      </c>
      <c r="Y224" s="4">
        <f t="shared" si="30"/>
        <v>6205.1</v>
      </c>
      <c r="AA224" s="4">
        <v>11.407122958259199</v>
      </c>
      <c r="AB224" s="72" t="s">
        <v>56</v>
      </c>
      <c r="AD224" s="8">
        <f>(AB201*(80/160))+(AB223*(50/160))+(AB236*(30/160))</f>
        <v>4.375</v>
      </c>
    </row>
    <row r="225" spans="1:30" s="4" customFormat="1" x14ac:dyDescent="0.25">
      <c r="A225" s="59"/>
      <c r="B225" s="9"/>
      <c r="C225" s="6">
        <v>42071</v>
      </c>
      <c r="D225" s="4">
        <v>8</v>
      </c>
      <c r="E225" s="4">
        <v>-1.8</v>
      </c>
      <c r="F225" s="4">
        <v>15.5</v>
      </c>
      <c r="G225" s="4">
        <f t="shared" si="23"/>
        <v>1524.1</v>
      </c>
      <c r="H225" s="4">
        <f t="shared" si="29"/>
        <v>53.5</v>
      </c>
      <c r="I225" s="4">
        <v>6</v>
      </c>
      <c r="J225" s="73">
        <v>0</v>
      </c>
      <c r="K225" s="4">
        <f t="shared" si="24"/>
        <v>294.99999999999994</v>
      </c>
      <c r="L225" s="4">
        <v>2.1</v>
      </c>
      <c r="M225" s="4">
        <f t="shared" si="25"/>
        <v>177.49999999999986</v>
      </c>
      <c r="N225" s="7">
        <v>-2.1</v>
      </c>
      <c r="O225" s="4">
        <f t="shared" si="31"/>
        <v>130.40000000000003</v>
      </c>
      <c r="P225" s="4">
        <v>181</v>
      </c>
      <c r="Q225" s="11">
        <f t="shared" si="32"/>
        <v>1.03</v>
      </c>
      <c r="R225" s="8">
        <f t="shared" si="21"/>
        <v>2.1630000000000003</v>
      </c>
      <c r="S225" s="8">
        <f t="shared" si="22"/>
        <v>-2.1630000000000003</v>
      </c>
      <c r="T225" s="75">
        <f t="shared" si="26"/>
        <v>130.17012500000001</v>
      </c>
      <c r="U225" s="8">
        <f>MIN(T218:T257)</f>
        <v>105.58825000000002</v>
      </c>
      <c r="V225" s="4">
        <v>1509.5</v>
      </c>
      <c r="X225" s="4">
        <f t="shared" si="27"/>
        <v>95715.799999999988</v>
      </c>
      <c r="Y225" s="4">
        <f t="shared" si="30"/>
        <v>7714.6</v>
      </c>
      <c r="AA225" s="4">
        <v>11.464213052906</v>
      </c>
      <c r="AB225" s="4">
        <v>2</v>
      </c>
      <c r="AD225" s="72" t="s">
        <v>56</v>
      </c>
    </row>
    <row r="226" spans="1:30" s="4" customFormat="1" x14ac:dyDescent="0.25">
      <c r="A226" s="59"/>
      <c r="B226" s="9"/>
      <c r="C226" s="6">
        <v>42072</v>
      </c>
      <c r="D226" s="4">
        <v>8.4</v>
      </c>
      <c r="E226" s="4">
        <v>6.2</v>
      </c>
      <c r="F226" s="4">
        <v>11.3</v>
      </c>
      <c r="G226" s="4">
        <f t="shared" si="23"/>
        <v>1532.5</v>
      </c>
      <c r="H226" s="4">
        <f t="shared" si="29"/>
        <v>61.9</v>
      </c>
      <c r="I226" s="14" t="s">
        <v>38</v>
      </c>
      <c r="J226" s="73">
        <v>0</v>
      </c>
      <c r="K226" s="4">
        <f t="shared" si="24"/>
        <v>294.99999999999994</v>
      </c>
      <c r="L226" s="4">
        <v>1.4</v>
      </c>
      <c r="M226" s="4">
        <f t="shared" si="25"/>
        <v>178.89999999999986</v>
      </c>
      <c r="N226" s="7">
        <v>-1.4</v>
      </c>
      <c r="O226" s="4">
        <f t="shared" si="31"/>
        <v>129.00000000000003</v>
      </c>
      <c r="P226" s="4">
        <v>182</v>
      </c>
      <c r="Q226" s="11">
        <f t="shared" si="32"/>
        <v>1.0337499999999999</v>
      </c>
      <c r="R226" s="8">
        <f t="shared" si="21"/>
        <v>1.4472499999999999</v>
      </c>
      <c r="S226" s="8">
        <f t="shared" si="22"/>
        <v>-1.4472499999999999</v>
      </c>
      <c r="T226" s="75">
        <f t="shared" si="26"/>
        <v>128.72287500000002</v>
      </c>
      <c r="U226" s="14" t="s">
        <v>39</v>
      </c>
      <c r="V226" s="4">
        <v>1001.7</v>
      </c>
      <c r="X226" s="4">
        <f t="shared" si="27"/>
        <v>96717.499999999985</v>
      </c>
      <c r="Y226" s="4">
        <f t="shared" si="30"/>
        <v>8716.3000000000011</v>
      </c>
      <c r="AA226" s="4">
        <v>11.521367588318</v>
      </c>
      <c r="AB226" s="72" t="s">
        <v>57</v>
      </c>
      <c r="AD226" s="8">
        <f>(AB203*(80/160))+(AB225*(50/160))+(AB238*(30/160))</f>
        <v>3.625</v>
      </c>
    </row>
    <row r="227" spans="1:30" s="4" customFormat="1" x14ac:dyDescent="0.25">
      <c r="A227" s="59"/>
      <c r="B227" s="9"/>
      <c r="C227" s="6">
        <v>42073</v>
      </c>
      <c r="D227" s="4">
        <v>9.1999999999999993</v>
      </c>
      <c r="E227" s="4">
        <v>4.3</v>
      </c>
      <c r="F227" s="4">
        <v>13.2</v>
      </c>
      <c r="G227" s="4">
        <f t="shared" si="23"/>
        <v>1541.7</v>
      </c>
      <c r="H227" s="4">
        <f t="shared" si="29"/>
        <v>71.099999999999994</v>
      </c>
      <c r="I227" s="4">
        <v>0</v>
      </c>
      <c r="J227" s="73">
        <v>1.8</v>
      </c>
      <c r="K227" s="4">
        <f t="shared" si="24"/>
        <v>296.79999999999995</v>
      </c>
      <c r="L227" s="4">
        <v>0.7</v>
      </c>
      <c r="M227" s="4">
        <f t="shared" si="25"/>
        <v>179.59999999999985</v>
      </c>
      <c r="N227" s="4">
        <v>1.1000000000000001</v>
      </c>
      <c r="O227" s="4">
        <f t="shared" si="31"/>
        <v>130.10000000000002</v>
      </c>
      <c r="P227" s="4">
        <v>183</v>
      </c>
      <c r="Q227" s="11">
        <f t="shared" si="32"/>
        <v>1.0375000000000001</v>
      </c>
      <c r="R227" s="8">
        <f t="shared" si="21"/>
        <v>0.72625000000000006</v>
      </c>
      <c r="S227" s="8">
        <f t="shared" si="22"/>
        <v>1.07375</v>
      </c>
      <c r="T227" s="75">
        <f t="shared" si="26"/>
        <v>129.79662500000001</v>
      </c>
      <c r="U227" s="8">
        <f>MAX(T218:T257)</f>
        <v>138.9</v>
      </c>
      <c r="V227" s="4">
        <v>445.1</v>
      </c>
      <c r="X227" s="4">
        <f t="shared" si="27"/>
        <v>97162.599999999991</v>
      </c>
      <c r="Y227" s="4">
        <f t="shared" si="30"/>
        <v>9161.4000000000015</v>
      </c>
      <c r="AA227" s="4">
        <v>11.5785791477761</v>
      </c>
      <c r="AB227" s="4">
        <f>SUM(J217:J226)</f>
        <v>8.2999999999999989</v>
      </c>
      <c r="AD227" s="72" t="s">
        <v>57</v>
      </c>
    </row>
    <row r="228" spans="1:30" s="4" customFormat="1" x14ac:dyDescent="0.25">
      <c r="A228" s="59"/>
      <c r="B228" s="9"/>
      <c r="C228" s="6">
        <v>42074</v>
      </c>
      <c r="D228" s="4">
        <v>10.4</v>
      </c>
      <c r="E228" s="4">
        <v>8.5</v>
      </c>
      <c r="F228" s="4">
        <v>12.8</v>
      </c>
      <c r="G228" s="4">
        <f t="shared" si="23"/>
        <v>1552.1000000000001</v>
      </c>
      <c r="H228" s="4">
        <f t="shared" si="29"/>
        <v>81.5</v>
      </c>
      <c r="I228" s="14" t="s">
        <v>40</v>
      </c>
      <c r="J228" s="73">
        <v>0</v>
      </c>
      <c r="K228" s="4">
        <f t="shared" si="24"/>
        <v>296.79999999999995</v>
      </c>
      <c r="L228" s="4">
        <v>0.7</v>
      </c>
      <c r="M228" s="4">
        <f t="shared" si="25"/>
        <v>180.29999999999984</v>
      </c>
      <c r="N228" s="7">
        <v>-0.7</v>
      </c>
      <c r="O228" s="4">
        <f t="shared" si="31"/>
        <v>129.40000000000003</v>
      </c>
      <c r="P228" s="4">
        <v>184</v>
      </c>
      <c r="Q228" s="11">
        <f t="shared" si="32"/>
        <v>1.04125</v>
      </c>
      <c r="R228" s="8">
        <f t="shared" si="21"/>
        <v>0.72887499999999994</v>
      </c>
      <c r="S228" s="8">
        <f t="shared" si="22"/>
        <v>-0.72887499999999994</v>
      </c>
      <c r="T228" s="75">
        <f t="shared" si="26"/>
        <v>129.06775000000002</v>
      </c>
      <c r="U228" s="14" t="s">
        <v>41</v>
      </c>
      <c r="V228" s="4">
        <v>471.3</v>
      </c>
      <c r="X228" s="4">
        <f t="shared" si="27"/>
        <v>97633.9</v>
      </c>
      <c r="Y228" s="4">
        <f t="shared" si="30"/>
        <v>9632.7000000000007</v>
      </c>
      <c r="AA228" s="4">
        <v>11.6358405353695</v>
      </c>
      <c r="AD228" s="4">
        <f>(AB205*(80/160))+(AB227*(50/160))+(AB240*(30/160))</f>
        <v>14.100000000000001</v>
      </c>
    </row>
    <row r="229" spans="1:30" s="68" customFormat="1" x14ac:dyDescent="0.25">
      <c r="A229" s="59"/>
      <c r="B229" s="66" t="s">
        <v>51</v>
      </c>
      <c r="C229" s="67">
        <v>42075</v>
      </c>
      <c r="D229" s="68">
        <v>8.5</v>
      </c>
      <c r="E229" s="68">
        <v>1.3</v>
      </c>
      <c r="F229" s="68">
        <v>14.1</v>
      </c>
      <c r="G229" s="68">
        <f t="shared" si="23"/>
        <v>1560.6000000000001</v>
      </c>
      <c r="H229" s="68">
        <f t="shared" si="29"/>
        <v>90</v>
      </c>
      <c r="I229" s="68">
        <v>21</v>
      </c>
      <c r="J229" s="68">
        <v>0</v>
      </c>
      <c r="K229" s="68">
        <f t="shared" si="24"/>
        <v>296.79999999999995</v>
      </c>
      <c r="L229" s="68">
        <v>2.2000000000000002</v>
      </c>
      <c r="M229" s="68">
        <f t="shared" si="25"/>
        <v>182.49999999999983</v>
      </c>
      <c r="N229" s="69">
        <v>-2.2000000000000002</v>
      </c>
      <c r="O229" s="68">
        <f t="shared" si="31"/>
        <v>127.20000000000003</v>
      </c>
      <c r="P229" s="68">
        <v>185</v>
      </c>
      <c r="Q229" s="71">
        <f t="shared" si="32"/>
        <v>1.0449999999999999</v>
      </c>
      <c r="R229" s="70">
        <f t="shared" si="21"/>
        <v>2.2989999999999999</v>
      </c>
      <c r="S229" s="70">
        <f t="shared" si="22"/>
        <v>-2.2989999999999999</v>
      </c>
      <c r="T229" s="70">
        <f t="shared" si="26"/>
        <v>126.76875000000001</v>
      </c>
      <c r="U229" s="71">
        <f>AVERAGE(T218:T257)</f>
        <v>125.23716250000003</v>
      </c>
      <c r="V229" s="68">
        <v>1497.2</v>
      </c>
      <c r="X229" s="68">
        <f t="shared" si="27"/>
        <v>99131.099999999991</v>
      </c>
      <c r="Y229" s="68">
        <f t="shared" si="30"/>
        <v>11129.900000000001</v>
      </c>
      <c r="AA229" s="68">
        <v>11.693144758041599</v>
      </c>
    </row>
    <row r="230" spans="1:30" s="4" customFormat="1" x14ac:dyDescent="0.25">
      <c r="A230" s="59"/>
      <c r="B230" s="9"/>
      <c r="C230" s="6">
        <v>42076</v>
      </c>
      <c r="D230" s="4">
        <v>6.4</v>
      </c>
      <c r="E230" s="4">
        <v>2.7</v>
      </c>
      <c r="F230" s="4">
        <v>10</v>
      </c>
      <c r="G230" s="4">
        <f t="shared" si="23"/>
        <v>1567.0000000000002</v>
      </c>
      <c r="H230" s="4">
        <f t="shared" si="29"/>
        <v>96.4</v>
      </c>
      <c r="I230" s="14" t="s">
        <v>42</v>
      </c>
      <c r="J230" s="73">
        <v>3.4</v>
      </c>
      <c r="K230" s="4">
        <f t="shared" si="24"/>
        <v>300.19999999999993</v>
      </c>
      <c r="L230" s="4">
        <v>0.7</v>
      </c>
      <c r="M230" s="4">
        <f t="shared" si="25"/>
        <v>183.19999999999982</v>
      </c>
      <c r="N230" s="4">
        <v>2.7</v>
      </c>
      <c r="O230" s="4">
        <f t="shared" si="31"/>
        <v>129.90000000000003</v>
      </c>
      <c r="P230" s="4">
        <v>186</v>
      </c>
      <c r="Q230" s="11">
        <f t="shared" si="32"/>
        <v>1.0487500000000001</v>
      </c>
      <c r="R230" s="8">
        <f t="shared" si="21"/>
        <v>0.73412500000000003</v>
      </c>
      <c r="S230" s="8">
        <f t="shared" si="22"/>
        <v>2.6658749999999998</v>
      </c>
      <c r="T230" s="75">
        <f t="shared" si="26"/>
        <v>129.43462500000001</v>
      </c>
      <c r="V230" s="4">
        <v>278</v>
      </c>
      <c r="X230" s="4">
        <f t="shared" si="27"/>
        <v>99409.099999999991</v>
      </c>
      <c r="Y230" s="4">
        <f t="shared" si="30"/>
        <v>11407.900000000001</v>
      </c>
      <c r="AA230" s="4">
        <v>11.750485007715501</v>
      </c>
    </row>
    <row r="231" spans="1:30" s="4" customFormat="1" x14ac:dyDescent="0.25">
      <c r="A231" s="59"/>
      <c r="B231" s="9"/>
      <c r="C231" s="6">
        <v>42077</v>
      </c>
      <c r="D231" s="4">
        <v>4.3</v>
      </c>
      <c r="E231" s="4">
        <v>0.5</v>
      </c>
      <c r="F231" s="4">
        <v>6.7</v>
      </c>
      <c r="G231" s="4">
        <f t="shared" si="23"/>
        <v>1571.3000000000002</v>
      </c>
      <c r="H231" s="4">
        <f t="shared" si="29"/>
        <v>100.7</v>
      </c>
      <c r="I231" s="4">
        <v>313.10000000000002</v>
      </c>
      <c r="J231" s="73">
        <v>0</v>
      </c>
      <c r="K231" s="4">
        <f t="shared" si="24"/>
        <v>300.19999999999993</v>
      </c>
      <c r="L231" s="4">
        <v>1.1000000000000001</v>
      </c>
      <c r="M231" s="4">
        <f t="shared" si="25"/>
        <v>184.29999999999981</v>
      </c>
      <c r="N231" s="7">
        <v>-1.1000000000000001</v>
      </c>
      <c r="O231" s="4">
        <f t="shared" si="31"/>
        <v>128.80000000000004</v>
      </c>
      <c r="P231" s="4">
        <v>187</v>
      </c>
      <c r="Q231" s="11">
        <f t="shared" si="32"/>
        <v>1.0525</v>
      </c>
      <c r="R231" s="8">
        <f t="shared" si="21"/>
        <v>1.1577500000000001</v>
      </c>
      <c r="S231" s="8">
        <f t="shared" si="22"/>
        <v>-1.1577500000000001</v>
      </c>
      <c r="T231" s="75">
        <f t="shared" si="26"/>
        <v>128.27687500000002</v>
      </c>
      <c r="U231" s="8">
        <f>(U229*100)/138.9</f>
        <v>90.163543916486702</v>
      </c>
      <c r="V231" s="4">
        <v>1068.7</v>
      </c>
      <c r="X231" s="4">
        <f t="shared" si="27"/>
        <v>100477.79999999999</v>
      </c>
      <c r="Y231" s="4">
        <f t="shared" si="30"/>
        <v>12476.600000000002</v>
      </c>
      <c r="AA231" s="4">
        <v>11.8078546435056</v>
      </c>
      <c r="AB231" s="72" t="s">
        <v>53</v>
      </c>
    </row>
    <row r="232" spans="1:30" s="4" customFormat="1" x14ac:dyDescent="0.25">
      <c r="A232" s="59"/>
      <c r="B232" s="9"/>
      <c r="C232" s="6">
        <v>42078</v>
      </c>
      <c r="D232" s="4">
        <v>5.4</v>
      </c>
      <c r="E232" s="4">
        <v>3.1</v>
      </c>
      <c r="F232" s="4">
        <v>7.6</v>
      </c>
      <c r="G232" s="4">
        <f t="shared" si="23"/>
        <v>1576.7000000000003</v>
      </c>
      <c r="H232" s="4">
        <f t="shared" si="29"/>
        <v>106.10000000000001</v>
      </c>
      <c r="J232" s="73">
        <v>0</v>
      </c>
      <c r="K232" s="4">
        <f t="shared" si="24"/>
        <v>300.19999999999993</v>
      </c>
      <c r="L232" s="4">
        <v>0.8</v>
      </c>
      <c r="M232" s="4">
        <f t="shared" si="25"/>
        <v>185.09999999999982</v>
      </c>
      <c r="N232" s="7">
        <v>-0.8</v>
      </c>
      <c r="O232" s="4">
        <f t="shared" si="31"/>
        <v>128.00000000000003</v>
      </c>
      <c r="P232" s="4">
        <v>188</v>
      </c>
      <c r="Q232" s="11">
        <f t="shared" si="32"/>
        <v>1.0562499999999999</v>
      </c>
      <c r="R232" s="8">
        <f t="shared" si="21"/>
        <v>0.84499999999999997</v>
      </c>
      <c r="S232" s="8">
        <f t="shared" si="22"/>
        <v>-0.84499999999999997</v>
      </c>
      <c r="T232" s="75">
        <f t="shared" si="26"/>
        <v>127.43187500000002</v>
      </c>
      <c r="V232" s="4">
        <v>704.4</v>
      </c>
      <c r="X232" s="4">
        <f t="shared" si="27"/>
        <v>101182.19999999998</v>
      </c>
      <c r="Y232" s="4">
        <f t="shared" si="30"/>
        <v>13181.000000000002</v>
      </c>
      <c r="AA232" s="4">
        <v>11.865247174022199</v>
      </c>
      <c r="AB232" s="8">
        <f>AVERAGE(T226:T239)</f>
        <v>124.81505357142858</v>
      </c>
    </row>
    <row r="233" spans="1:30" s="4" customFormat="1" x14ac:dyDescent="0.25">
      <c r="A233" s="59"/>
      <c r="B233" s="9"/>
      <c r="C233" s="6">
        <v>42079</v>
      </c>
      <c r="D233" s="4">
        <v>6.3</v>
      </c>
      <c r="E233" s="4">
        <v>1.3</v>
      </c>
      <c r="F233" s="4">
        <v>10.6</v>
      </c>
      <c r="G233" s="4">
        <f t="shared" si="23"/>
        <v>1583.0000000000002</v>
      </c>
      <c r="H233" s="4">
        <f t="shared" si="29"/>
        <v>112.4</v>
      </c>
      <c r="J233" s="73">
        <v>0</v>
      </c>
      <c r="K233" s="4">
        <f t="shared" si="24"/>
        <v>300.19999999999993</v>
      </c>
      <c r="L233" s="4">
        <v>0.8</v>
      </c>
      <c r="M233" s="4">
        <f t="shared" si="25"/>
        <v>185.89999999999984</v>
      </c>
      <c r="N233" s="7">
        <v>-0.8</v>
      </c>
      <c r="O233" s="4">
        <f t="shared" si="31"/>
        <v>127.20000000000003</v>
      </c>
      <c r="P233" s="4">
        <v>189</v>
      </c>
      <c r="Q233" s="11">
        <f t="shared" si="32"/>
        <v>1.06</v>
      </c>
      <c r="R233" s="8">
        <f t="shared" si="21"/>
        <v>0.84800000000000009</v>
      </c>
      <c r="S233" s="8">
        <f t="shared" si="22"/>
        <v>-0.84800000000000009</v>
      </c>
      <c r="T233" s="75">
        <f t="shared" si="26"/>
        <v>126.58387500000002</v>
      </c>
      <c r="V233" s="4">
        <v>657.5</v>
      </c>
      <c r="X233" s="4">
        <f t="shared" si="27"/>
        <v>101839.69999999998</v>
      </c>
      <c r="Y233" s="4">
        <f t="shared" si="30"/>
        <v>13838.500000000002</v>
      </c>
      <c r="AA233" s="4">
        <v>11.922656239771401</v>
      </c>
      <c r="AB233" s="72" t="s">
        <v>54</v>
      </c>
    </row>
    <row r="234" spans="1:30" s="4" customFormat="1" x14ac:dyDescent="0.25">
      <c r="A234" s="59"/>
      <c r="B234" s="9"/>
      <c r="C234" s="6">
        <v>42080</v>
      </c>
      <c r="D234" s="4">
        <v>8.1</v>
      </c>
      <c r="E234" s="4">
        <v>-0.6</v>
      </c>
      <c r="F234" s="4">
        <v>14.7</v>
      </c>
      <c r="G234" s="4">
        <f t="shared" si="23"/>
        <v>1591.1000000000001</v>
      </c>
      <c r="H234" s="4">
        <f t="shared" si="29"/>
        <v>120.5</v>
      </c>
      <c r="J234" s="73">
        <v>0</v>
      </c>
      <c r="K234" s="4">
        <f t="shared" si="24"/>
        <v>300.19999999999993</v>
      </c>
      <c r="L234" s="4">
        <v>2.2000000000000002</v>
      </c>
      <c r="M234" s="4">
        <f t="shared" si="25"/>
        <v>188.09999999999982</v>
      </c>
      <c r="N234" s="7">
        <v>-2.2000000000000002</v>
      </c>
      <c r="O234" s="4">
        <f t="shared" si="31"/>
        <v>125.00000000000003</v>
      </c>
      <c r="P234" s="4">
        <v>190</v>
      </c>
      <c r="Q234" s="11">
        <f t="shared" si="32"/>
        <v>1.06375</v>
      </c>
      <c r="R234" s="8">
        <f t="shared" si="21"/>
        <v>2.3402500000000002</v>
      </c>
      <c r="S234" s="8">
        <f t="shared" si="22"/>
        <v>-2.3402500000000002</v>
      </c>
      <c r="T234" s="75">
        <f t="shared" si="26"/>
        <v>124.24362500000002</v>
      </c>
      <c r="V234" s="4">
        <v>1671.7</v>
      </c>
      <c r="X234" s="4">
        <f t="shared" si="27"/>
        <v>103511.39999999998</v>
      </c>
      <c r="Y234" s="4">
        <f t="shared" si="30"/>
        <v>15510.200000000003</v>
      </c>
      <c r="AA234" s="4">
        <v>11.980075595655601</v>
      </c>
      <c r="AB234" s="4">
        <v>5</v>
      </c>
    </row>
    <row r="235" spans="1:30" s="4" customFormat="1" x14ac:dyDescent="0.25">
      <c r="A235" s="59"/>
      <c r="B235" s="9"/>
      <c r="C235" s="6">
        <v>42081</v>
      </c>
      <c r="D235" s="4">
        <v>10.6</v>
      </c>
      <c r="E235" s="4">
        <v>6</v>
      </c>
      <c r="F235" s="4">
        <v>14.5</v>
      </c>
      <c r="G235" s="4">
        <f t="shared" si="23"/>
        <v>1601.7</v>
      </c>
      <c r="H235" s="4">
        <f t="shared" si="29"/>
        <v>131.1</v>
      </c>
      <c r="J235" s="73">
        <v>0</v>
      </c>
      <c r="K235" s="4">
        <f t="shared" si="24"/>
        <v>300.19999999999993</v>
      </c>
      <c r="L235" s="4">
        <v>1.9</v>
      </c>
      <c r="M235" s="4">
        <f t="shared" si="25"/>
        <v>189.99999999999983</v>
      </c>
      <c r="N235" s="7">
        <v>-1.9</v>
      </c>
      <c r="O235" s="4">
        <f t="shared" si="31"/>
        <v>123.10000000000002</v>
      </c>
      <c r="P235" s="4">
        <v>191</v>
      </c>
      <c r="Q235" s="11">
        <f t="shared" si="32"/>
        <v>1.0674999999999999</v>
      </c>
      <c r="R235" s="8">
        <f t="shared" si="21"/>
        <v>2.0282499999999999</v>
      </c>
      <c r="S235" s="8">
        <f t="shared" si="22"/>
        <v>-2.0282499999999999</v>
      </c>
      <c r="T235" s="75">
        <f t="shared" si="26"/>
        <v>122.21537500000002</v>
      </c>
      <c r="V235" s="4">
        <v>1156.2</v>
      </c>
      <c r="X235" s="4">
        <f t="shared" si="27"/>
        <v>104667.59999999998</v>
      </c>
      <c r="Y235" s="4">
        <f t="shared" si="30"/>
        <v>16666.400000000001</v>
      </c>
      <c r="AA235" s="4">
        <v>12.037499093573899</v>
      </c>
      <c r="AB235" s="72" t="s">
        <v>55</v>
      </c>
    </row>
    <row r="236" spans="1:30" s="4" customFormat="1" x14ac:dyDescent="0.25">
      <c r="A236" s="59"/>
      <c r="B236" s="9"/>
      <c r="C236" s="6">
        <v>42082</v>
      </c>
      <c r="D236" s="4">
        <v>6.8</v>
      </c>
      <c r="E236" s="4">
        <v>4.2</v>
      </c>
      <c r="F236" s="4">
        <v>8.3000000000000007</v>
      </c>
      <c r="G236" s="4">
        <f t="shared" si="23"/>
        <v>1608.5</v>
      </c>
      <c r="H236" s="4">
        <f t="shared" si="29"/>
        <v>137.9</v>
      </c>
      <c r="J236" s="73">
        <v>0</v>
      </c>
      <c r="K236" s="4">
        <f t="shared" si="24"/>
        <v>300.19999999999993</v>
      </c>
      <c r="L236" s="4">
        <v>1.3</v>
      </c>
      <c r="M236" s="4">
        <f t="shared" si="25"/>
        <v>191.29999999999984</v>
      </c>
      <c r="N236" s="7">
        <v>-1.3</v>
      </c>
      <c r="O236" s="4">
        <f t="shared" si="31"/>
        <v>121.80000000000003</v>
      </c>
      <c r="P236" s="4">
        <v>192</v>
      </c>
      <c r="Q236" s="11">
        <f t="shared" si="32"/>
        <v>1.07125</v>
      </c>
      <c r="R236" s="8">
        <f t="shared" si="21"/>
        <v>1.392625</v>
      </c>
      <c r="S236" s="8">
        <f t="shared" si="22"/>
        <v>-1.392625</v>
      </c>
      <c r="T236" s="75">
        <f t="shared" si="26"/>
        <v>120.82275000000003</v>
      </c>
      <c r="V236" s="4">
        <v>972.8</v>
      </c>
      <c r="X236" s="4">
        <f t="shared" si="27"/>
        <v>105640.39999999998</v>
      </c>
      <c r="Y236" s="4">
        <f t="shared" si="30"/>
        <v>17639.2</v>
      </c>
      <c r="AA236" s="4">
        <v>12.0949206651238</v>
      </c>
      <c r="AB236" s="4">
        <v>8</v>
      </c>
    </row>
    <row r="237" spans="1:30" s="4" customFormat="1" x14ac:dyDescent="0.25">
      <c r="A237" s="59"/>
      <c r="B237" s="9"/>
      <c r="C237" s="6">
        <v>42083</v>
      </c>
      <c r="D237" s="4">
        <v>8</v>
      </c>
      <c r="E237" s="4">
        <v>6.3</v>
      </c>
      <c r="F237" s="4">
        <v>11</v>
      </c>
      <c r="G237" s="4">
        <f t="shared" si="23"/>
        <v>1616.5</v>
      </c>
      <c r="H237" s="4">
        <f t="shared" si="29"/>
        <v>145.9</v>
      </c>
      <c r="J237" s="73">
        <v>0</v>
      </c>
      <c r="K237" s="4">
        <f t="shared" si="24"/>
        <v>300.19999999999993</v>
      </c>
      <c r="L237" s="4">
        <v>1.2</v>
      </c>
      <c r="M237" s="4">
        <f t="shared" si="25"/>
        <v>192.49999999999983</v>
      </c>
      <c r="N237" s="7">
        <v>-1.2</v>
      </c>
      <c r="O237" s="4">
        <f t="shared" si="31"/>
        <v>120.60000000000002</v>
      </c>
      <c r="P237" s="4">
        <v>193</v>
      </c>
      <c r="Q237" s="11">
        <f t="shared" si="32"/>
        <v>1.075</v>
      </c>
      <c r="R237" s="8">
        <f t="shared" ref="R237:R300" si="33">Q237*L237</f>
        <v>1.2899999999999998</v>
      </c>
      <c r="S237" s="8">
        <f t="shared" ref="S237:S300" si="34">J237-R237</f>
        <v>-1.2899999999999998</v>
      </c>
      <c r="T237" s="75">
        <f t="shared" si="26"/>
        <v>119.53275000000002</v>
      </c>
      <c r="V237" s="4">
        <v>548.20000000000005</v>
      </c>
      <c r="X237" s="4">
        <f t="shared" si="27"/>
        <v>106188.59999999998</v>
      </c>
      <c r="Y237" s="4">
        <f t="shared" si="30"/>
        <v>18187.400000000001</v>
      </c>
      <c r="AA237" s="4">
        <v>12.1523343044034</v>
      </c>
      <c r="AB237" s="72" t="s">
        <v>56</v>
      </c>
    </row>
    <row r="238" spans="1:30" s="4" customFormat="1" x14ac:dyDescent="0.25">
      <c r="A238" s="59"/>
      <c r="B238" s="9"/>
      <c r="C238" s="6">
        <v>42084</v>
      </c>
      <c r="D238" s="4">
        <v>6.6</v>
      </c>
      <c r="E238" s="4">
        <v>4</v>
      </c>
      <c r="F238" s="4">
        <v>8.4</v>
      </c>
      <c r="G238" s="4">
        <f t="shared" si="23"/>
        <v>1623.1</v>
      </c>
      <c r="H238" s="4">
        <f t="shared" si="29"/>
        <v>152.5</v>
      </c>
      <c r="J238" s="73">
        <v>0.1</v>
      </c>
      <c r="K238" s="4">
        <f t="shared" si="24"/>
        <v>300.29999999999995</v>
      </c>
      <c r="L238" s="4">
        <v>1.4</v>
      </c>
      <c r="M238" s="4">
        <f t="shared" si="25"/>
        <v>193.89999999999984</v>
      </c>
      <c r="N238" s="7">
        <v>-1.2999999999999998</v>
      </c>
      <c r="O238" s="4">
        <f t="shared" si="31"/>
        <v>119.30000000000003</v>
      </c>
      <c r="P238" s="4">
        <v>194</v>
      </c>
      <c r="Q238" s="11">
        <f t="shared" si="32"/>
        <v>1.0787499999999999</v>
      </c>
      <c r="R238" s="8">
        <f t="shared" si="33"/>
        <v>1.5102499999999996</v>
      </c>
      <c r="S238" s="8">
        <f t="shared" si="34"/>
        <v>-1.4102499999999996</v>
      </c>
      <c r="T238" s="75">
        <f t="shared" si="26"/>
        <v>118.12250000000002</v>
      </c>
      <c r="V238" s="4">
        <v>1144.5</v>
      </c>
      <c r="X238" s="4">
        <f t="shared" si="27"/>
        <v>107333.09999999998</v>
      </c>
      <c r="Y238" s="4">
        <f t="shared" si="30"/>
        <v>19331.900000000001</v>
      </c>
      <c r="AA238" s="4">
        <v>12.209734050913401</v>
      </c>
      <c r="AB238" s="4">
        <v>0</v>
      </c>
    </row>
    <row r="239" spans="1:30" s="4" customFormat="1" x14ac:dyDescent="0.25">
      <c r="A239" s="59"/>
      <c r="B239" s="9"/>
      <c r="C239" s="6">
        <v>42085</v>
      </c>
      <c r="D239" s="4">
        <v>6.6</v>
      </c>
      <c r="E239" s="4">
        <v>5</v>
      </c>
      <c r="F239" s="4">
        <v>8.9</v>
      </c>
      <c r="G239" s="4">
        <f t="shared" ref="G239:G302" si="35">G238+D239</f>
        <v>1629.6999999999998</v>
      </c>
      <c r="H239" s="4">
        <f t="shared" si="29"/>
        <v>159.1</v>
      </c>
      <c r="J239" s="73">
        <v>0</v>
      </c>
      <c r="K239" s="4">
        <f t="shared" ref="K239:K302" si="36">K238+J239</f>
        <v>300.29999999999995</v>
      </c>
      <c r="L239" s="4">
        <v>1.6</v>
      </c>
      <c r="M239" s="4">
        <f t="shared" ref="M239:M302" si="37">M238+L239</f>
        <v>195.49999999999983</v>
      </c>
      <c r="N239" s="7">
        <v>-1.6</v>
      </c>
      <c r="O239" s="4">
        <f t="shared" si="31"/>
        <v>117.70000000000003</v>
      </c>
      <c r="P239" s="4">
        <v>195</v>
      </c>
      <c r="Q239" s="11">
        <f t="shared" si="32"/>
        <v>1.0825</v>
      </c>
      <c r="R239" s="8">
        <f t="shared" si="33"/>
        <v>1.7320000000000002</v>
      </c>
      <c r="S239" s="8">
        <f t="shared" si="34"/>
        <v>-1.7320000000000002</v>
      </c>
      <c r="T239" s="75">
        <f t="shared" ref="T239:T302" si="38">MIN(138.9,(T238+S239))</f>
        <v>116.39050000000002</v>
      </c>
      <c r="V239" s="4">
        <v>988.2</v>
      </c>
      <c r="X239" s="4">
        <f t="shared" ref="X239:X302" si="39">X238+V239</f>
        <v>108321.29999999997</v>
      </c>
      <c r="Y239" s="4">
        <f t="shared" si="30"/>
        <v>20320.100000000002</v>
      </c>
      <c r="AA239" s="4">
        <v>12.2671139725558</v>
      </c>
      <c r="AB239" s="72" t="s">
        <v>57</v>
      </c>
    </row>
    <row r="240" spans="1:30" s="4" customFormat="1" x14ac:dyDescent="0.25">
      <c r="A240" s="59"/>
      <c r="B240" s="9"/>
      <c r="C240" s="6">
        <v>42086</v>
      </c>
      <c r="D240" s="4">
        <v>6.9</v>
      </c>
      <c r="E240" s="4">
        <v>-1.7</v>
      </c>
      <c r="F240" s="4">
        <v>13</v>
      </c>
      <c r="G240" s="4">
        <f t="shared" si="35"/>
        <v>1636.6</v>
      </c>
      <c r="H240" s="4">
        <f t="shared" si="29"/>
        <v>166</v>
      </c>
      <c r="J240" s="4">
        <v>1.1000000000000001</v>
      </c>
      <c r="K240" s="4">
        <f t="shared" si="36"/>
        <v>301.39999999999998</v>
      </c>
      <c r="L240" s="4">
        <v>1.6</v>
      </c>
      <c r="M240" s="4">
        <f t="shared" si="37"/>
        <v>197.09999999999982</v>
      </c>
      <c r="N240" s="7">
        <v>-0.5</v>
      </c>
      <c r="O240" s="4">
        <f t="shared" si="31"/>
        <v>117.20000000000003</v>
      </c>
      <c r="P240" s="4">
        <v>196</v>
      </c>
      <c r="Q240" s="11">
        <f t="shared" si="32"/>
        <v>1.0862499999999999</v>
      </c>
      <c r="R240" s="8">
        <f t="shared" si="33"/>
        <v>1.738</v>
      </c>
      <c r="S240" s="8">
        <f t="shared" si="34"/>
        <v>-0.6379999999999999</v>
      </c>
      <c r="T240" s="8">
        <f t="shared" si="38"/>
        <v>115.75250000000001</v>
      </c>
      <c r="V240" s="4">
        <v>1311.8</v>
      </c>
      <c r="X240" s="4">
        <f t="shared" si="39"/>
        <v>109633.09999999998</v>
      </c>
      <c r="Y240" s="4">
        <f t="shared" si="30"/>
        <v>21631.9</v>
      </c>
      <c r="AA240" s="4">
        <v>12.324468148729499</v>
      </c>
      <c r="AB240" s="4">
        <f>SUM(J230:J239)</f>
        <v>3.5</v>
      </c>
    </row>
    <row r="241" spans="1:27" s="4" customFormat="1" x14ac:dyDescent="0.25">
      <c r="A241" s="59"/>
      <c r="B241" s="9"/>
      <c r="C241" s="6">
        <v>42087</v>
      </c>
      <c r="D241" s="4">
        <v>5.2</v>
      </c>
      <c r="E241" s="4">
        <v>4.5</v>
      </c>
      <c r="F241" s="4">
        <v>6.3</v>
      </c>
      <c r="G241" s="4">
        <f t="shared" si="35"/>
        <v>1641.8</v>
      </c>
      <c r="H241" s="4">
        <f t="shared" si="29"/>
        <v>171.2</v>
      </c>
      <c r="J241" s="4">
        <v>9.5</v>
      </c>
      <c r="K241" s="4">
        <f t="shared" si="36"/>
        <v>310.89999999999998</v>
      </c>
      <c r="L241" s="4">
        <v>0.6</v>
      </c>
      <c r="M241" s="4">
        <f t="shared" si="37"/>
        <v>197.69999999999982</v>
      </c>
      <c r="N241" s="4">
        <v>8.9</v>
      </c>
      <c r="O241" s="4">
        <f t="shared" si="31"/>
        <v>126.10000000000004</v>
      </c>
      <c r="P241" s="4">
        <v>197</v>
      </c>
      <c r="Q241" s="11">
        <f t="shared" si="32"/>
        <v>1.0899999999999999</v>
      </c>
      <c r="R241" s="8">
        <f t="shared" si="33"/>
        <v>0.65399999999999991</v>
      </c>
      <c r="S241" s="8">
        <f t="shared" si="34"/>
        <v>8.8460000000000001</v>
      </c>
      <c r="T241" s="8">
        <f t="shared" si="38"/>
        <v>124.59850000000002</v>
      </c>
      <c r="V241" s="4">
        <v>317.3</v>
      </c>
      <c r="X241" s="4">
        <f t="shared" si="39"/>
        <v>109950.39999999998</v>
      </c>
      <c r="Y241" s="4">
        <f t="shared" si="30"/>
        <v>21949.200000000001</v>
      </c>
      <c r="AA241" s="4">
        <v>12.3817906535172</v>
      </c>
    </row>
    <row r="242" spans="1:27" s="4" customFormat="1" x14ac:dyDescent="0.25">
      <c r="A242" s="59"/>
      <c r="B242" s="9"/>
      <c r="C242" s="6">
        <v>42088</v>
      </c>
      <c r="D242" s="4">
        <v>4.0999999999999996</v>
      </c>
      <c r="E242" s="4">
        <v>1.2</v>
      </c>
      <c r="F242" s="4">
        <v>8.4</v>
      </c>
      <c r="G242" s="4">
        <f t="shared" si="35"/>
        <v>1645.8999999999999</v>
      </c>
      <c r="H242" s="4">
        <f t="shared" si="29"/>
        <v>175.29999999999998</v>
      </c>
      <c r="J242" s="4">
        <v>0.5</v>
      </c>
      <c r="K242" s="4">
        <f t="shared" si="36"/>
        <v>311.39999999999998</v>
      </c>
      <c r="L242" s="4">
        <v>1</v>
      </c>
      <c r="M242" s="4">
        <f t="shared" si="37"/>
        <v>198.69999999999982</v>
      </c>
      <c r="N242" s="7">
        <v>-0.5</v>
      </c>
      <c r="O242" s="4">
        <f t="shared" si="31"/>
        <v>125.60000000000004</v>
      </c>
      <c r="P242" s="4">
        <v>198</v>
      </c>
      <c r="Q242" s="11">
        <f t="shared" si="32"/>
        <v>1.09375</v>
      </c>
      <c r="R242" s="8">
        <f t="shared" si="33"/>
        <v>1.09375</v>
      </c>
      <c r="S242" s="8">
        <f t="shared" si="34"/>
        <v>-0.59375</v>
      </c>
      <c r="T242" s="8">
        <f t="shared" si="38"/>
        <v>124.00475000000002</v>
      </c>
      <c r="V242" s="4">
        <v>834.3</v>
      </c>
      <c r="X242" s="4">
        <f t="shared" si="39"/>
        <v>110784.69999999998</v>
      </c>
      <c r="Y242" s="4">
        <f t="shared" si="30"/>
        <v>22783.5</v>
      </c>
      <c r="AA242" s="4">
        <v>12.4390755389645</v>
      </c>
    </row>
    <row r="243" spans="1:27" s="4" customFormat="1" x14ac:dyDescent="0.25">
      <c r="A243" s="59"/>
      <c r="B243" s="9"/>
      <c r="C243" s="6">
        <v>42089</v>
      </c>
      <c r="D243" s="4">
        <v>4.4000000000000004</v>
      </c>
      <c r="E243" s="4">
        <v>-0.8</v>
      </c>
      <c r="F243" s="4">
        <v>9.1</v>
      </c>
      <c r="G243" s="4">
        <f t="shared" si="35"/>
        <v>1650.3</v>
      </c>
      <c r="H243" s="4">
        <f t="shared" si="29"/>
        <v>179.7</v>
      </c>
      <c r="J243" s="4">
        <v>1.5</v>
      </c>
      <c r="K243" s="4">
        <f t="shared" si="36"/>
        <v>312.89999999999998</v>
      </c>
      <c r="L243" s="4">
        <v>0.4</v>
      </c>
      <c r="M243" s="4">
        <f t="shared" si="37"/>
        <v>199.09999999999982</v>
      </c>
      <c r="N243" s="7">
        <v>1.1000000000000001</v>
      </c>
      <c r="O243" s="4">
        <f t="shared" si="31"/>
        <v>126.70000000000003</v>
      </c>
      <c r="P243" s="4">
        <v>199</v>
      </c>
      <c r="Q243" s="11">
        <f t="shared" si="32"/>
        <v>1.0974999999999999</v>
      </c>
      <c r="R243" s="8">
        <f t="shared" si="33"/>
        <v>0.439</v>
      </c>
      <c r="S243" s="8">
        <f t="shared" si="34"/>
        <v>1.0609999999999999</v>
      </c>
      <c r="T243" s="8">
        <f t="shared" si="38"/>
        <v>125.06575000000001</v>
      </c>
      <c r="V243" s="4">
        <v>439.3</v>
      </c>
      <c r="X243" s="4">
        <f t="shared" si="39"/>
        <v>111223.99999999999</v>
      </c>
      <c r="Y243" s="4">
        <f t="shared" si="30"/>
        <v>23222.799999999999</v>
      </c>
      <c r="AA243" s="4">
        <v>12.4963168184469</v>
      </c>
    </row>
    <row r="244" spans="1:27" s="4" customFormat="1" x14ac:dyDescent="0.25">
      <c r="A244" s="59"/>
      <c r="B244" s="9"/>
      <c r="C244" s="6">
        <v>42090</v>
      </c>
      <c r="D244" s="4">
        <v>7.3</v>
      </c>
      <c r="E244" s="4">
        <v>2.5</v>
      </c>
      <c r="F244" s="4">
        <v>11.2</v>
      </c>
      <c r="G244" s="4">
        <f t="shared" si="35"/>
        <v>1657.6</v>
      </c>
      <c r="H244" s="4">
        <f t="shared" si="29"/>
        <v>187</v>
      </c>
      <c r="J244" s="4">
        <v>0.7</v>
      </c>
      <c r="K244" s="4">
        <f t="shared" si="36"/>
        <v>313.59999999999997</v>
      </c>
      <c r="L244" s="4">
        <v>1.1000000000000001</v>
      </c>
      <c r="M244" s="4">
        <f t="shared" si="37"/>
        <v>200.19999999999982</v>
      </c>
      <c r="N244" s="7">
        <v>-0.40000000000000013</v>
      </c>
      <c r="O244" s="4">
        <f t="shared" si="31"/>
        <v>126.30000000000003</v>
      </c>
      <c r="P244" s="4">
        <v>200</v>
      </c>
      <c r="Q244" s="11">
        <f t="shared" si="32"/>
        <v>1.1012499999999998</v>
      </c>
      <c r="R244" s="8">
        <f t="shared" si="33"/>
        <v>1.2113749999999999</v>
      </c>
      <c r="S244" s="8">
        <f t="shared" si="34"/>
        <v>-0.51137499999999991</v>
      </c>
      <c r="T244" s="8">
        <f t="shared" si="38"/>
        <v>124.55437500000001</v>
      </c>
      <c r="V244" s="4">
        <v>762.2</v>
      </c>
      <c r="X244" s="4">
        <f t="shared" si="39"/>
        <v>111986.19999999998</v>
      </c>
      <c r="Y244" s="4">
        <f t="shared" si="30"/>
        <v>23985</v>
      </c>
      <c r="AA244" s="4">
        <v>12.553508450122401</v>
      </c>
    </row>
    <row r="245" spans="1:27" s="4" customFormat="1" x14ac:dyDescent="0.25">
      <c r="A245" s="59"/>
      <c r="B245" s="9"/>
      <c r="C245" s="6">
        <v>42091</v>
      </c>
      <c r="D245" s="4">
        <v>10.9</v>
      </c>
      <c r="E245" s="4">
        <v>7.9</v>
      </c>
      <c r="F245" s="4">
        <v>13.4</v>
      </c>
      <c r="G245" s="4">
        <f t="shared" si="35"/>
        <v>1668.5</v>
      </c>
      <c r="H245" s="4">
        <f t="shared" si="29"/>
        <v>197.9</v>
      </c>
      <c r="J245" s="4">
        <v>0.1</v>
      </c>
      <c r="K245" s="4">
        <f t="shared" si="36"/>
        <v>313.7</v>
      </c>
      <c r="L245" s="4">
        <v>0.7</v>
      </c>
      <c r="M245" s="4">
        <f t="shared" si="37"/>
        <v>200.89999999999981</v>
      </c>
      <c r="N245" s="7">
        <v>-0.6</v>
      </c>
      <c r="O245" s="4">
        <f t="shared" si="31"/>
        <v>125.70000000000003</v>
      </c>
      <c r="P245" s="4">
        <v>201</v>
      </c>
      <c r="Q245" s="11">
        <f t="shared" si="32"/>
        <v>1.105</v>
      </c>
      <c r="R245" s="8">
        <f t="shared" si="33"/>
        <v>0.77349999999999997</v>
      </c>
      <c r="S245" s="8">
        <f t="shared" si="34"/>
        <v>-0.67349999999999999</v>
      </c>
      <c r="T245" s="8">
        <f t="shared" si="38"/>
        <v>123.880875</v>
      </c>
      <c r="V245" s="4">
        <v>426</v>
      </c>
      <c r="X245" s="4">
        <f t="shared" si="39"/>
        <v>112412.19999999998</v>
      </c>
      <c r="Y245" s="4">
        <f t="shared" si="30"/>
        <v>24411</v>
      </c>
      <c r="AA245" s="4">
        <v>12.6106443204696</v>
      </c>
    </row>
    <row r="246" spans="1:27" s="4" customFormat="1" x14ac:dyDescent="0.25">
      <c r="A246" s="59"/>
      <c r="B246" s="9"/>
      <c r="C246" s="6">
        <v>42092</v>
      </c>
      <c r="D246" s="4">
        <v>11.2</v>
      </c>
      <c r="E246" s="4">
        <v>10.199999999999999</v>
      </c>
      <c r="F246" s="4">
        <v>12.1</v>
      </c>
      <c r="G246" s="4">
        <f t="shared" si="35"/>
        <v>1679.7</v>
      </c>
      <c r="H246" s="4">
        <f t="shared" si="29"/>
        <v>209.1</v>
      </c>
      <c r="J246" s="4">
        <v>4.9000000000000004</v>
      </c>
      <c r="K246" s="4">
        <f t="shared" si="36"/>
        <v>318.59999999999997</v>
      </c>
      <c r="L246" s="4">
        <v>0.8</v>
      </c>
      <c r="M246" s="4">
        <f t="shared" si="37"/>
        <v>201.69999999999982</v>
      </c>
      <c r="N246" s="4">
        <v>4.1000000000000005</v>
      </c>
      <c r="O246" s="4">
        <f t="shared" si="31"/>
        <v>129.80000000000004</v>
      </c>
      <c r="P246" s="4">
        <v>202</v>
      </c>
      <c r="Q246" s="11">
        <f t="shared" si="32"/>
        <v>1.1087499999999999</v>
      </c>
      <c r="R246" s="8">
        <f t="shared" si="33"/>
        <v>0.88700000000000001</v>
      </c>
      <c r="S246" s="8">
        <f t="shared" si="34"/>
        <v>4.0129999999999999</v>
      </c>
      <c r="T246" s="8">
        <f t="shared" si="38"/>
        <v>127.89387500000001</v>
      </c>
      <c r="V246" s="4">
        <v>312.60000000000002</v>
      </c>
      <c r="X246" s="4">
        <f t="shared" si="39"/>
        <v>112724.79999999999</v>
      </c>
      <c r="Y246" s="4">
        <f t="shared" si="30"/>
        <v>24723.599999999999</v>
      </c>
      <c r="AA246" s="4">
        <v>12.6677182279088</v>
      </c>
    </row>
    <row r="247" spans="1:27" s="4" customFormat="1" x14ac:dyDescent="0.25">
      <c r="A247" s="59"/>
      <c r="B247" s="9"/>
      <c r="C247" s="6">
        <v>42093</v>
      </c>
      <c r="D247" s="4">
        <v>12.7</v>
      </c>
      <c r="E247" s="4">
        <v>11.2</v>
      </c>
      <c r="F247" s="4">
        <v>14.7</v>
      </c>
      <c r="G247" s="4">
        <f t="shared" si="35"/>
        <v>1692.4</v>
      </c>
      <c r="H247" s="4">
        <f t="shared" si="29"/>
        <v>221.79999999999998</v>
      </c>
      <c r="J247" s="4">
        <v>0.9</v>
      </c>
      <c r="K247" s="4">
        <f t="shared" si="36"/>
        <v>319.49999999999994</v>
      </c>
      <c r="L247" s="4">
        <v>1.6</v>
      </c>
      <c r="M247" s="4">
        <f t="shared" si="37"/>
        <v>203.29999999999981</v>
      </c>
      <c r="N247" s="7">
        <v>-0.70000000000000007</v>
      </c>
      <c r="O247" s="4">
        <f t="shared" si="31"/>
        <v>129.10000000000005</v>
      </c>
      <c r="P247" s="4">
        <v>203</v>
      </c>
      <c r="Q247" s="11">
        <f t="shared" si="32"/>
        <v>1.1124999999999998</v>
      </c>
      <c r="R247" s="8">
        <f t="shared" si="33"/>
        <v>1.7799999999999998</v>
      </c>
      <c r="S247" s="8">
        <f t="shared" si="34"/>
        <v>-0.87999999999999978</v>
      </c>
      <c r="T247" s="8">
        <f t="shared" si="38"/>
        <v>127.01387500000001</v>
      </c>
      <c r="V247" s="4">
        <v>653</v>
      </c>
      <c r="X247" s="4">
        <f t="shared" si="39"/>
        <v>113377.79999999999</v>
      </c>
      <c r="Y247" s="4">
        <f t="shared" si="30"/>
        <v>25376.6</v>
      </c>
      <c r="AA247" s="4">
        <v>12.7247238665067</v>
      </c>
    </row>
    <row r="248" spans="1:27" s="4" customFormat="1" x14ac:dyDescent="0.25">
      <c r="A248" s="59"/>
      <c r="B248" s="9"/>
      <c r="C248" s="6">
        <v>42094</v>
      </c>
      <c r="D248" s="4">
        <v>10.7</v>
      </c>
      <c r="E248" s="4">
        <v>10.6</v>
      </c>
      <c r="F248" s="4">
        <v>12.9</v>
      </c>
      <c r="G248" s="4">
        <f t="shared" si="35"/>
        <v>1703.1000000000001</v>
      </c>
      <c r="H248" s="4">
        <f t="shared" si="29"/>
        <v>232.49999999999997</v>
      </c>
      <c r="J248" s="4">
        <v>0.1</v>
      </c>
      <c r="K248" s="4">
        <f t="shared" si="36"/>
        <v>319.59999999999997</v>
      </c>
      <c r="L248" s="4">
        <v>2.4</v>
      </c>
      <c r="M248" s="4">
        <f t="shared" si="37"/>
        <v>205.69999999999982</v>
      </c>
      <c r="N248" s="7">
        <v>-2.2999999999999998</v>
      </c>
      <c r="O248" s="4">
        <f t="shared" si="31"/>
        <v>126.80000000000005</v>
      </c>
      <c r="P248" s="4">
        <v>204</v>
      </c>
      <c r="Q248" s="11">
        <f t="shared" si="32"/>
        <v>1.11625</v>
      </c>
      <c r="R248" s="8">
        <f t="shared" si="33"/>
        <v>2.6789999999999998</v>
      </c>
      <c r="S248" s="8">
        <f t="shared" si="34"/>
        <v>-2.5789999999999997</v>
      </c>
      <c r="T248" s="8">
        <f t="shared" si="38"/>
        <v>124.43487500000002</v>
      </c>
      <c r="V248" s="4">
        <v>858.8</v>
      </c>
      <c r="X248" s="4">
        <f t="shared" si="39"/>
        <v>114236.59999999999</v>
      </c>
      <c r="Y248" s="4">
        <f t="shared" si="30"/>
        <v>26235.399999999998</v>
      </c>
      <c r="AA248" s="4">
        <v>12.781654809763401</v>
      </c>
    </row>
    <row r="249" spans="1:27" s="4" customFormat="1" x14ac:dyDescent="0.25">
      <c r="A249" s="59"/>
      <c r="B249" s="9"/>
      <c r="C249" s="6">
        <v>42095</v>
      </c>
      <c r="D249" s="4">
        <v>7.7</v>
      </c>
      <c r="E249" s="4">
        <v>4.4000000000000004</v>
      </c>
      <c r="F249" s="4">
        <v>11.1</v>
      </c>
      <c r="G249" s="4">
        <f t="shared" si="35"/>
        <v>1710.8000000000002</v>
      </c>
      <c r="H249" s="4">
        <f t="shared" si="29"/>
        <v>240.19999999999996</v>
      </c>
      <c r="J249" s="4">
        <v>0</v>
      </c>
      <c r="K249" s="4">
        <f t="shared" si="36"/>
        <v>319.59999999999997</v>
      </c>
      <c r="L249" s="4">
        <v>2.4</v>
      </c>
      <c r="M249" s="4">
        <f t="shared" si="37"/>
        <v>208.09999999999982</v>
      </c>
      <c r="N249" s="7">
        <v>-2.4</v>
      </c>
      <c r="O249" s="4">
        <f t="shared" si="31"/>
        <v>124.40000000000005</v>
      </c>
      <c r="P249" s="4">
        <v>205</v>
      </c>
      <c r="Q249" s="11">
        <f t="shared" si="32"/>
        <v>1.1199999999999999</v>
      </c>
      <c r="R249" s="8">
        <f t="shared" si="33"/>
        <v>2.6879999999999997</v>
      </c>
      <c r="S249" s="8">
        <f t="shared" si="34"/>
        <v>-2.6879999999999997</v>
      </c>
      <c r="T249" s="8">
        <f t="shared" si="38"/>
        <v>121.74687500000002</v>
      </c>
      <c r="V249" s="4">
        <v>1455.9</v>
      </c>
      <c r="X249" s="4">
        <f t="shared" si="39"/>
        <v>115692.49999999999</v>
      </c>
      <c r="Y249" s="4">
        <f t="shared" si="30"/>
        <v>27691.3</v>
      </c>
      <c r="AA249" s="4">
        <v>12.8385044944861</v>
      </c>
    </row>
    <row r="250" spans="1:27" s="4" customFormat="1" x14ac:dyDescent="0.25">
      <c r="A250" s="59"/>
      <c r="B250" s="9"/>
      <c r="C250" s="6">
        <v>42096</v>
      </c>
      <c r="D250" s="4">
        <v>9.9</v>
      </c>
      <c r="E250" s="4">
        <v>6.3</v>
      </c>
      <c r="F250" s="4">
        <v>12.7</v>
      </c>
      <c r="G250" s="4">
        <f t="shared" si="35"/>
        <v>1720.7000000000003</v>
      </c>
      <c r="H250" s="4">
        <f t="shared" si="29"/>
        <v>250.09999999999997</v>
      </c>
      <c r="J250" s="4">
        <v>0</v>
      </c>
      <c r="K250" s="4">
        <f t="shared" si="36"/>
        <v>319.59999999999997</v>
      </c>
      <c r="L250" s="4">
        <v>0.9</v>
      </c>
      <c r="M250" s="4">
        <f t="shared" si="37"/>
        <v>208.99999999999983</v>
      </c>
      <c r="N250" s="7">
        <v>-0.9</v>
      </c>
      <c r="O250" s="4">
        <f t="shared" si="31"/>
        <v>123.50000000000004</v>
      </c>
      <c r="P250" s="4">
        <v>206</v>
      </c>
      <c r="Q250" s="11">
        <f t="shared" si="32"/>
        <v>1.1237499999999998</v>
      </c>
      <c r="R250" s="8">
        <f t="shared" si="33"/>
        <v>1.0113749999999999</v>
      </c>
      <c r="S250" s="8">
        <f t="shared" si="34"/>
        <v>-1.0113749999999999</v>
      </c>
      <c r="T250" s="8">
        <f t="shared" si="38"/>
        <v>120.73550000000002</v>
      </c>
      <c r="V250" s="4">
        <v>608</v>
      </c>
      <c r="X250" s="4">
        <f t="shared" si="39"/>
        <v>116300.49999999999</v>
      </c>
      <c r="Y250" s="4">
        <f t="shared" si="30"/>
        <v>28299.3</v>
      </c>
      <c r="AA250" s="4">
        <v>12.8952662047489</v>
      </c>
    </row>
    <row r="251" spans="1:27" s="4" customFormat="1" x14ac:dyDescent="0.25">
      <c r="A251" s="59"/>
      <c r="B251" s="9"/>
      <c r="C251" s="6">
        <v>42097</v>
      </c>
      <c r="D251" s="4">
        <v>9.8000000000000007</v>
      </c>
      <c r="E251" s="4">
        <v>8.6999999999999993</v>
      </c>
      <c r="F251" s="4">
        <v>11.1</v>
      </c>
      <c r="G251" s="4">
        <f t="shared" si="35"/>
        <v>1730.5000000000002</v>
      </c>
      <c r="H251" s="4">
        <f t="shared" si="29"/>
        <v>259.89999999999998</v>
      </c>
      <c r="J251" s="4">
        <v>4.4000000000000004</v>
      </c>
      <c r="K251" s="4">
        <f t="shared" si="36"/>
        <v>323.99999999999994</v>
      </c>
      <c r="L251" s="4">
        <v>0.8</v>
      </c>
      <c r="M251" s="4">
        <f t="shared" si="37"/>
        <v>209.79999999999984</v>
      </c>
      <c r="N251" s="4">
        <v>3.6000000000000005</v>
      </c>
      <c r="O251" s="4">
        <f t="shared" si="31"/>
        <v>127.10000000000004</v>
      </c>
      <c r="P251" s="4">
        <v>207</v>
      </c>
      <c r="Q251" s="11">
        <f t="shared" si="32"/>
        <v>1.1274999999999999</v>
      </c>
      <c r="R251" s="8">
        <f t="shared" si="33"/>
        <v>0.90200000000000002</v>
      </c>
      <c r="S251" s="8">
        <f t="shared" si="34"/>
        <v>3.4980000000000002</v>
      </c>
      <c r="T251" s="8">
        <f t="shared" si="38"/>
        <v>124.23350000000002</v>
      </c>
      <c r="V251" s="4">
        <v>479.6</v>
      </c>
      <c r="X251" s="4">
        <f t="shared" si="39"/>
        <v>116780.09999999999</v>
      </c>
      <c r="Y251" s="4">
        <f t="shared" si="30"/>
        <v>28778.899999999998</v>
      </c>
      <c r="AA251" s="4">
        <v>12.951933055944499</v>
      </c>
    </row>
    <row r="252" spans="1:27" s="4" customFormat="1" x14ac:dyDescent="0.25">
      <c r="A252" s="59"/>
      <c r="B252" s="9"/>
      <c r="C252" s="6">
        <v>42098</v>
      </c>
      <c r="D252" s="4">
        <v>8.8000000000000007</v>
      </c>
      <c r="E252" s="4">
        <v>8.1999999999999993</v>
      </c>
      <c r="F252" s="4">
        <v>11.1</v>
      </c>
      <c r="G252" s="4">
        <f t="shared" si="35"/>
        <v>1739.3000000000002</v>
      </c>
      <c r="H252" s="4">
        <f t="shared" si="29"/>
        <v>268.7</v>
      </c>
      <c r="J252" s="4">
        <v>0.1</v>
      </c>
      <c r="K252" s="4">
        <f t="shared" si="36"/>
        <v>324.09999999999997</v>
      </c>
      <c r="L252" s="4">
        <v>0.8</v>
      </c>
      <c r="M252" s="4">
        <f t="shared" si="37"/>
        <v>210.59999999999985</v>
      </c>
      <c r="N252" s="7">
        <v>-0.70000000000000007</v>
      </c>
      <c r="O252" s="4">
        <f t="shared" si="31"/>
        <v>126.40000000000003</v>
      </c>
      <c r="P252" s="4">
        <v>208</v>
      </c>
      <c r="Q252" s="11">
        <f t="shared" si="32"/>
        <v>1.1312499999999999</v>
      </c>
      <c r="R252" s="8">
        <f t="shared" si="33"/>
        <v>0.90499999999999992</v>
      </c>
      <c r="S252" s="8">
        <f t="shared" si="34"/>
        <v>-0.80499999999999994</v>
      </c>
      <c r="T252" s="8">
        <f t="shared" si="38"/>
        <v>123.42850000000001</v>
      </c>
      <c r="V252" s="4">
        <v>465.6</v>
      </c>
      <c r="W252" s="15"/>
      <c r="X252" s="15">
        <f t="shared" si="39"/>
        <v>117245.7</v>
      </c>
      <c r="Y252" s="4">
        <f t="shared" si="30"/>
        <v>29244.499999999996</v>
      </c>
      <c r="AA252" s="4">
        <v>13.008497978933301</v>
      </c>
    </row>
    <row r="253" spans="1:27" s="4" customFormat="1" ht="15" customHeight="1" x14ac:dyDescent="0.25">
      <c r="A253" s="59"/>
      <c r="B253" s="9"/>
      <c r="C253" s="6">
        <v>42099</v>
      </c>
      <c r="D253" s="4">
        <v>5.8</v>
      </c>
      <c r="E253" s="4">
        <v>1.4</v>
      </c>
      <c r="F253" s="4">
        <v>9.1</v>
      </c>
      <c r="G253" s="4">
        <f t="shared" si="35"/>
        <v>1745.1000000000001</v>
      </c>
      <c r="H253" s="4">
        <f t="shared" si="29"/>
        <v>274.5</v>
      </c>
      <c r="J253" s="4">
        <v>0</v>
      </c>
      <c r="K253" s="4">
        <f t="shared" si="36"/>
        <v>324.09999999999997</v>
      </c>
      <c r="L253" s="4">
        <v>1.8</v>
      </c>
      <c r="M253" s="4">
        <f t="shared" si="37"/>
        <v>212.39999999999986</v>
      </c>
      <c r="N253" s="7">
        <v>-1.8</v>
      </c>
      <c r="O253" s="4">
        <f t="shared" si="31"/>
        <v>124.60000000000004</v>
      </c>
      <c r="P253" s="4">
        <v>209</v>
      </c>
      <c r="Q253" s="11">
        <f t="shared" si="32"/>
        <v>1.135</v>
      </c>
      <c r="R253" s="8">
        <f t="shared" si="33"/>
        <v>2.0430000000000001</v>
      </c>
      <c r="S253" s="8">
        <f t="shared" si="34"/>
        <v>-2.0430000000000001</v>
      </c>
      <c r="T253" s="8">
        <f t="shared" si="38"/>
        <v>121.38550000000001</v>
      </c>
      <c r="U253" s="16"/>
      <c r="V253" s="4">
        <v>1352.6</v>
      </c>
      <c r="X253" s="4">
        <f t="shared" si="39"/>
        <v>118598.3</v>
      </c>
      <c r="Y253" s="4">
        <f t="shared" si="30"/>
        <v>30597.099999999995</v>
      </c>
      <c r="AA253" s="4">
        <v>13.064953704295</v>
      </c>
    </row>
    <row r="254" spans="1:27" s="4" customFormat="1" x14ac:dyDescent="0.25">
      <c r="A254" s="59"/>
      <c r="B254" s="9"/>
      <c r="C254" s="6">
        <v>42100</v>
      </c>
      <c r="D254" s="4">
        <v>7.4</v>
      </c>
      <c r="E254" s="4">
        <v>0.5</v>
      </c>
      <c r="F254" s="4">
        <v>12.3</v>
      </c>
      <c r="G254" s="4">
        <f t="shared" si="35"/>
        <v>1752.5000000000002</v>
      </c>
      <c r="H254" s="4">
        <f t="shared" si="29"/>
        <v>281.89999999999998</v>
      </c>
      <c r="J254" s="4">
        <v>0</v>
      </c>
      <c r="K254" s="4">
        <f t="shared" si="36"/>
        <v>324.09999999999997</v>
      </c>
      <c r="L254" s="4">
        <v>2.9</v>
      </c>
      <c r="M254" s="4">
        <f t="shared" si="37"/>
        <v>215.29999999999987</v>
      </c>
      <c r="N254" s="7">
        <v>-2.9</v>
      </c>
      <c r="O254" s="4">
        <f t="shared" si="31"/>
        <v>121.70000000000003</v>
      </c>
      <c r="P254" s="4">
        <v>210</v>
      </c>
      <c r="Q254" s="11">
        <f t="shared" si="32"/>
        <v>1.1387499999999999</v>
      </c>
      <c r="R254" s="8">
        <f t="shared" si="33"/>
        <v>3.3023749999999996</v>
      </c>
      <c r="S254" s="8">
        <f t="shared" si="34"/>
        <v>-3.3023749999999996</v>
      </c>
      <c r="T254" s="8">
        <f t="shared" si="38"/>
        <v>118.08312500000001</v>
      </c>
      <c r="V254" s="4">
        <v>2223.1999999999998</v>
      </c>
      <c r="X254" s="4">
        <f t="shared" si="39"/>
        <v>120821.5</v>
      </c>
      <c r="Y254" s="4">
        <f t="shared" si="30"/>
        <v>32820.299999999996</v>
      </c>
      <c r="AA254" s="4">
        <v>13.121292746693801</v>
      </c>
    </row>
    <row r="255" spans="1:27" s="4" customFormat="1" x14ac:dyDescent="0.25">
      <c r="A255" s="59"/>
      <c r="B255" s="9"/>
      <c r="C255" s="6">
        <v>42101</v>
      </c>
      <c r="D255" s="4">
        <v>9.1</v>
      </c>
      <c r="E255" s="4">
        <v>1.5</v>
      </c>
      <c r="F255" s="4">
        <v>14.6</v>
      </c>
      <c r="G255" s="4">
        <f t="shared" si="35"/>
        <v>1761.6000000000001</v>
      </c>
      <c r="H255" s="4">
        <f t="shared" si="29"/>
        <v>291</v>
      </c>
      <c r="J255" s="4">
        <v>0</v>
      </c>
      <c r="K255" s="4">
        <f t="shared" si="36"/>
        <v>324.09999999999997</v>
      </c>
      <c r="L255" s="4">
        <v>3.5</v>
      </c>
      <c r="M255" s="4">
        <f t="shared" si="37"/>
        <v>218.79999999999987</v>
      </c>
      <c r="N255" s="7">
        <v>-3.5</v>
      </c>
      <c r="O255" s="4">
        <f t="shared" si="31"/>
        <v>118.20000000000003</v>
      </c>
      <c r="P255" s="4">
        <v>211</v>
      </c>
      <c r="Q255" s="11">
        <f t="shared" si="32"/>
        <v>1.1424999999999998</v>
      </c>
      <c r="R255" s="8">
        <f t="shared" si="33"/>
        <v>3.9987499999999994</v>
      </c>
      <c r="S255" s="8">
        <f t="shared" si="34"/>
        <v>-3.9987499999999994</v>
      </c>
      <c r="T255" s="8">
        <f t="shared" si="38"/>
        <v>114.08437500000001</v>
      </c>
      <c r="V255" s="4">
        <v>2273</v>
      </c>
      <c r="X255" s="4">
        <f t="shared" si="39"/>
        <v>123094.5</v>
      </c>
      <c r="Y255" s="4">
        <f t="shared" si="30"/>
        <v>35093.299999999996</v>
      </c>
      <c r="AA255" s="4">
        <v>13.1775073893659</v>
      </c>
    </row>
    <row r="256" spans="1:27" s="4" customFormat="1" x14ac:dyDescent="0.25">
      <c r="A256" s="59"/>
      <c r="B256" s="9"/>
      <c r="C256" s="6">
        <v>42102</v>
      </c>
      <c r="D256" s="4">
        <v>10.199999999999999</v>
      </c>
      <c r="E256" s="4">
        <v>0.3</v>
      </c>
      <c r="F256" s="4">
        <v>16.8</v>
      </c>
      <c r="G256" s="4">
        <f t="shared" si="35"/>
        <v>1771.8000000000002</v>
      </c>
      <c r="H256" s="4">
        <f t="shared" si="29"/>
        <v>301.2</v>
      </c>
      <c r="J256" s="4">
        <v>0</v>
      </c>
      <c r="K256" s="4">
        <f t="shared" si="36"/>
        <v>324.09999999999997</v>
      </c>
      <c r="L256" s="4">
        <v>3.7</v>
      </c>
      <c r="M256" s="4">
        <f t="shared" si="37"/>
        <v>222.49999999999986</v>
      </c>
      <c r="N256" s="7">
        <v>-3.7</v>
      </c>
      <c r="O256" s="4">
        <f t="shared" si="31"/>
        <v>114.50000000000003</v>
      </c>
      <c r="P256" s="4">
        <v>212</v>
      </c>
      <c r="Q256" s="11">
        <f t="shared" si="32"/>
        <v>1.14625</v>
      </c>
      <c r="R256" s="8">
        <f t="shared" si="33"/>
        <v>4.2411250000000003</v>
      </c>
      <c r="S256" s="8">
        <f t="shared" si="34"/>
        <v>-4.2411250000000003</v>
      </c>
      <c r="T256" s="8">
        <f t="shared" si="38"/>
        <v>109.84325000000001</v>
      </c>
      <c r="V256" s="4">
        <v>2336.1999999999998</v>
      </c>
      <c r="X256" s="4">
        <f t="shared" si="39"/>
        <v>125430.7</v>
      </c>
      <c r="Y256" s="4">
        <f t="shared" si="30"/>
        <v>37429.499999999993</v>
      </c>
      <c r="AA256" s="4">
        <v>13.2335896687428</v>
      </c>
    </row>
    <row r="257" spans="1:27" s="29" customFormat="1" ht="15.75" thickBot="1" x14ac:dyDescent="0.3">
      <c r="A257" s="59"/>
      <c r="B257" s="27"/>
      <c r="C257" s="28">
        <v>42103</v>
      </c>
      <c r="D257" s="29">
        <v>11.9</v>
      </c>
      <c r="E257" s="29">
        <v>1.5</v>
      </c>
      <c r="F257" s="29">
        <v>20.6</v>
      </c>
      <c r="G257" s="29">
        <f t="shared" si="35"/>
        <v>1783.7000000000003</v>
      </c>
      <c r="H257" s="29">
        <f t="shared" ref="H257:H320" si="40">H256+D257</f>
        <v>313.09999999999997</v>
      </c>
      <c r="J257" s="29">
        <v>0</v>
      </c>
      <c r="K257" s="29">
        <f t="shared" si="36"/>
        <v>324.09999999999997</v>
      </c>
      <c r="L257" s="29">
        <v>3.7</v>
      </c>
      <c r="M257" s="29">
        <f t="shared" si="37"/>
        <v>226.19999999999985</v>
      </c>
      <c r="N257" s="30">
        <v>-3.7</v>
      </c>
      <c r="O257" s="29">
        <f t="shared" si="31"/>
        <v>110.80000000000003</v>
      </c>
      <c r="P257" s="29">
        <v>213</v>
      </c>
      <c r="Q257" s="33">
        <f t="shared" si="32"/>
        <v>1.1499999999999999</v>
      </c>
      <c r="R257" s="31">
        <f t="shared" si="33"/>
        <v>4.2549999999999999</v>
      </c>
      <c r="S257" s="31">
        <f t="shared" si="34"/>
        <v>-4.2549999999999999</v>
      </c>
      <c r="T257" s="31">
        <f t="shared" si="38"/>
        <v>105.58825000000002</v>
      </c>
      <c r="V257" s="29">
        <v>2265.3000000000002</v>
      </c>
      <c r="X257" s="29">
        <f t="shared" si="39"/>
        <v>127696</v>
      </c>
      <c r="Y257" s="29">
        <f t="shared" ref="Y257:Y320" si="41">Y256+V257</f>
        <v>39694.799999999996</v>
      </c>
      <c r="AA257" s="29">
        <v>13.289531359225199</v>
      </c>
    </row>
    <row r="258" spans="1:27" s="4" customFormat="1" x14ac:dyDescent="0.25">
      <c r="A258" s="17" t="s">
        <v>46</v>
      </c>
      <c r="B258" s="5"/>
      <c r="C258" s="6">
        <v>42104</v>
      </c>
      <c r="D258" s="4">
        <v>12.4</v>
      </c>
      <c r="E258" s="4">
        <v>5.3</v>
      </c>
      <c r="F258" s="4">
        <v>19</v>
      </c>
      <c r="G258" s="4">
        <f t="shared" si="35"/>
        <v>1796.1000000000004</v>
      </c>
      <c r="H258" s="4">
        <v>12.4</v>
      </c>
      <c r="I258" s="18" t="s">
        <v>27</v>
      </c>
      <c r="J258" s="4">
        <v>0.7</v>
      </c>
      <c r="K258" s="4">
        <f t="shared" si="36"/>
        <v>324.79999999999995</v>
      </c>
      <c r="L258" s="4">
        <v>3</v>
      </c>
      <c r="M258" s="4">
        <f t="shared" si="37"/>
        <v>229.19999999999985</v>
      </c>
      <c r="N258" s="7">
        <v>-2.2999999999999998</v>
      </c>
      <c r="O258" s="4">
        <f t="shared" si="31"/>
        <v>108.50000000000003</v>
      </c>
      <c r="P258" s="4">
        <v>214</v>
      </c>
      <c r="Q258" s="4">
        <v>1.1499999999999999</v>
      </c>
      <c r="R258" s="8">
        <f t="shared" si="33"/>
        <v>3.4499999999999997</v>
      </c>
      <c r="S258" s="8">
        <f t="shared" si="34"/>
        <v>-2.75</v>
      </c>
      <c r="T258" s="8">
        <f t="shared" si="38"/>
        <v>102.83825000000002</v>
      </c>
      <c r="U258" s="18" t="s">
        <v>28</v>
      </c>
      <c r="V258" s="4">
        <v>1740.8</v>
      </c>
      <c r="X258" s="4">
        <f t="shared" si="39"/>
        <v>129436.8</v>
      </c>
      <c r="Y258" s="4">
        <v>1740.8</v>
      </c>
      <c r="Z258" s="18" t="s">
        <v>29</v>
      </c>
      <c r="AA258" s="4">
        <v>13.345323958124199</v>
      </c>
    </row>
    <row r="259" spans="1:27" s="4" customFormat="1" x14ac:dyDescent="0.25">
      <c r="A259" s="17"/>
      <c r="B259" s="5"/>
      <c r="C259" s="6">
        <v>42105</v>
      </c>
      <c r="D259" s="4">
        <v>12.3</v>
      </c>
      <c r="E259" s="4">
        <v>10.3</v>
      </c>
      <c r="F259" s="4">
        <v>14.5</v>
      </c>
      <c r="G259" s="4">
        <f t="shared" si="35"/>
        <v>1808.4000000000003</v>
      </c>
      <c r="H259" s="4">
        <f t="shared" si="40"/>
        <v>24.700000000000003</v>
      </c>
      <c r="I259" s="4">
        <f>MIN(E258:E278)</f>
        <v>3</v>
      </c>
      <c r="J259" s="4">
        <v>0.2</v>
      </c>
      <c r="K259" s="4">
        <f t="shared" si="36"/>
        <v>324.99999999999994</v>
      </c>
      <c r="L259" s="4">
        <v>1.1000000000000001</v>
      </c>
      <c r="M259" s="4">
        <f t="shared" si="37"/>
        <v>230.29999999999984</v>
      </c>
      <c r="N259" s="7">
        <v>-0.90000000000000013</v>
      </c>
      <c r="O259" s="4">
        <f t="shared" si="31"/>
        <v>107.60000000000002</v>
      </c>
      <c r="P259" s="4">
        <v>215</v>
      </c>
      <c r="Q259" s="4">
        <v>1.1499999999999999</v>
      </c>
      <c r="R259" s="8">
        <f t="shared" si="33"/>
        <v>1.2649999999999999</v>
      </c>
      <c r="S259" s="8">
        <f t="shared" si="34"/>
        <v>-1.0649999999999999</v>
      </c>
      <c r="T259" s="8">
        <f t="shared" si="38"/>
        <v>101.77325000000002</v>
      </c>
      <c r="U259" s="4">
        <v>17</v>
      </c>
      <c r="V259" s="4">
        <v>552.4</v>
      </c>
      <c r="X259" s="4">
        <f t="shared" si="39"/>
        <v>129989.2</v>
      </c>
      <c r="Y259" s="4">
        <f t="shared" si="41"/>
        <v>2293.1999999999998</v>
      </c>
      <c r="Z259" s="4">
        <v>34049.000000000007</v>
      </c>
      <c r="AA259" s="4">
        <v>13.400958670790301</v>
      </c>
    </row>
    <row r="260" spans="1:27" s="4" customFormat="1" x14ac:dyDescent="0.25">
      <c r="A260" s="17" t="s">
        <v>47</v>
      </c>
      <c r="B260" s="5"/>
      <c r="C260" s="6">
        <v>42106</v>
      </c>
      <c r="D260" s="4">
        <v>13.1</v>
      </c>
      <c r="E260" s="4">
        <v>8</v>
      </c>
      <c r="F260" s="4">
        <v>18.2</v>
      </c>
      <c r="G260" s="4">
        <f t="shared" si="35"/>
        <v>1821.5000000000002</v>
      </c>
      <c r="H260" s="4">
        <f t="shared" si="40"/>
        <v>37.800000000000004</v>
      </c>
      <c r="I260" s="18" t="s">
        <v>30</v>
      </c>
      <c r="J260" s="4">
        <v>0</v>
      </c>
      <c r="K260" s="4">
        <f t="shared" si="36"/>
        <v>324.99999999999994</v>
      </c>
      <c r="L260" s="4">
        <v>2.9</v>
      </c>
      <c r="M260" s="4">
        <f t="shared" si="37"/>
        <v>233.19999999999985</v>
      </c>
      <c r="N260" s="7">
        <v>-2.9</v>
      </c>
      <c r="O260" s="4">
        <f t="shared" si="31"/>
        <v>104.70000000000002</v>
      </c>
      <c r="P260" s="4">
        <v>216</v>
      </c>
      <c r="Q260" s="4">
        <v>1.1499999999999999</v>
      </c>
      <c r="R260" s="8">
        <f t="shared" si="33"/>
        <v>3.3349999999999995</v>
      </c>
      <c r="S260" s="8">
        <f t="shared" si="34"/>
        <v>-3.3349999999999995</v>
      </c>
      <c r="T260" s="8">
        <f t="shared" si="38"/>
        <v>98.438250000000025</v>
      </c>
      <c r="U260" s="18" t="s">
        <v>31</v>
      </c>
      <c r="V260" s="4">
        <v>1692.8</v>
      </c>
      <c r="X260" s="4">
        <f t="shared" si="39"/>
        <v>131682</v>
      </c>
      <c r="Y260" s="4">
        <f t="shared" si="41"/>
        <v>3986</v>
      </c>
      <c r="Z260" s="18" t="s">
        <v>32</v>
      </c>
      <c r="AA260" s="4">
        <v>13.456426395952001</v>
      </c>
    </row>
    <row r="261" spans="1:27" s="4" customFormat="1" x14ac:dyDescent="0.25">
      <c r="A261" s="17"/>
      <c r="B261" s="5"/>
      <c r="C261" s="6">
        <v>42107</v>
      </c>
      <c r="D261" s="4">
        <v>13.1</v>
      </c>
      <c r="E261" s="4">
        <v>4.8</v>
      </c>
      <c r="F261" s="4">
        <v>20.2</v>
      </c>
      <c r="G261" s="4">
        <f t="shared" si="35"/>
        <v>1834.6000000000001</v>
      </c>
      <c r="H261" s="4">
        <f t="shared" si="40"/>
        <v>50.900000000000006</v>
      </c>
      <c r="I261" s="4">
        <f>MAX(F258:F278)</f>
        <v>25.5</v>
      </c>
      <c r="J261" s="4">
        <v>0</v>
      </c>
      <c r="K261" s="4">
        <f t="shared" si="36"/>
        <v>324.99999999999994</v>
      </c>
      <c r="L261" s="4">
        <v>3.6</v>
      </c>
      <c r="M261" s="4">
        <f t="shared" si="37"/>
        <v>236.79999999999984</v>
      </c>
      <c r="N261" s="7">
        <v>-3.6</v>
      </c>
      <c r="O261" s="4">
        <f t="shared" si="31"/>
        <v>101.10000000000002</v>
      </c>
      <c r="P261" s="4">
        <v>217</v>
      </c>
      <c r="Q261" s="4">
        <v>1.1499999999999999</v>
      </c>
      <c r="R261" s="8">
        <f t="shared" si="33"/>
        <v>4.1399999999999997</v>
      </c>
      <c r="S261" s="8">
        <f t="shared" si="34"/>
        <v>-4.1399999999999997</v>
      </c>
      <c r="T261" s="8">
        <f t="shared" si="38"/>
        <v>94.298250000000024</v>
      </c>
      <c r="U261" s="4">
        <v>0</v>
      </c>
      <c r="V261" s="4">
        <v>2154.6999999999998</v>
      </c>
      <c r="X261" s="4">
        <f t="shared" si="39"/>
        <v>133836.70000000001</v>
      </c>
      <c r="Y261" s="4">
        <f t="shared" si="41"/>
        <v>6140.7</v>
      </c>
      <c r="Z261" s="11">
        <f>(Z259/100)/I271</f>
        <v>1.2681191806331473</v>
      </c>
      <c r="AA261" s="4">
        <v>13.5117177112891</v>
      </c>
    </row>
    <row r="262" spans="1:27" s="4" customFormat="1" x14ac:dyDescent="0.25">
      <c r="A262" s="17"/>
      <c r="B262" s="5"/>
      <c r="C262" s="6">
        <v>42108</v>
      </c>
      <c r="D262" s="4">
        <v>15.3</v>
      </c>
      <c r="E262" s="4">
        <v>5.8</v>
      </c>
      <c r="F262" s="4">
        <v>24</v>
      </c>
      <c r="G262" s="4">
        <f t="shared" si="35"/>
        <v>1849.9</v>
      </c>
      <c r="H262" s="4">
        <f t="shared" si="40"/>
        <v>66.2</v>
      </c>
      <c r="I262" s="18" t="s">
        <v>33</v>
      </c>
      <c r="J262" s="4">
        <v>0</v>
      </c>
      <c r="K262" s="4">
        <f t="shared" si="36"/>
        <v>324.99999999999994</v>
      </c>
      <c r="L262" s="4">
        <v>4.5</v>
      </c>
      <c r="M262" s="4">
        <f t="shared" si="37"/>
        <v>241.29999999999984</v>
      </c>
      <c r="N262" s="7">
        <v>-4.5</v>
      </c>
      <c r="O262" s="4">
        <f t="shared" si="31"/>
        <v>96.600000000000023</v>
      </c>
      <c r="P262" s="4">
        <v>218</v>
      </c>
      <c r="Q262" s="4">
        <v>1.1499999999999999</v>
      </c>
      <c r="R262" s="8">
        <f t="shared" si="33"/>
        <v>5.1749999999999998</v>
      </c>
      <c r="S262" s="8">
        <f t="shared" si="34"/>
        <v>-5.1749999999999998</v>
      </c>
      <c r="T262" s="8">
        <f t="shared" si="38"/>
        <v>89.123250000000027</v>
      </c>
      <c r="U262" s="18" t="s">
        <v>34</v>
      </c>
      <c r="V262" s="4">
        <v>2254.8000000000002</v>
      </c>
      <c r="X262" s="4">
        <f t="shared" si="39"/>
        <v>136091.5</v>
      </c>
      <c r="Y262" s="4">
        <f t="shared" si="41"/>
        <v>8395.5</v>
      </c>
      <c r="Z262" s="18" t="s">
        <v>35</v>
      </c>
      <c r="AA262" s="4">
        <v>13.5668228592686</v>
      </c>
    </row>
    <row r="263" spans="1:27" s="4" customFormat="1" x14ac:dyDescent="0.25">
      <c r="A263" s="17"/>
      <c r="B263" s="5"/>
      <c r="C263" s="6">
        <v>42109</v>
      </c>
      <c r="D263" s="4">
        <v>16.8</v>
      </c>
      <c r="E263" s="4">
        <v>6.9</v>
      </c>
      <c r="F263" s="4">
        <v>25.5</v>
      </c>
      <c r="G263" s="4">
        <f t="shared" si="35"/>
        <v>1866.7</v>
      </c>
      <c r="H263" s="4">
        <f t="shared" si="40"/>
        <v>83</v>
      </c>
      <c r="I263" s="11">
        <f>AVERAGE(D258:D278)</f>
        <v>12.785714285714286</v>
      </c>
      <c r="J263" s="4">
        <v>0</v>
      </c>
      <c r="K263" s="4">
        <f t="shared" si="36"/>
        <v>324.99999999999994</v>
      </c>
      <c r="L263" s="4">
        <v>4.0999999999999996</v>
      </c>
      <c r="M263" s="4">
        <f t="shared" si="37"/>
        <v>245.39999999999984</v>
      </c>
      <c r="N263" s="7">
        <v>-4.0999999999999996</v>
      </c>
      <c r="O263" s="4">
        <f t="shared" si="31"/>
        <v>92.500000000000028</v>
      </c>
      <c r="P263" s="4">
        <v>219</v>
      </c>
      <c r="Q263" s="4">
        <v>1.1499999999999999</v>
      </c>
      <c r="R263" s="8">
        <f t="shared" si="33"/>
        <v>4.714999999999999</v>
      </c>
      <c r="S263" s="8">
        <f t="shared" si="34"/>
        <v>-4.714999999999999</v>
      </c>
      <c r="T263" s="8">
        <f t="shared" si="38"/>
        <v>84.408250000000024</v>
      </c>
      <c r="U263" s="4">
        <v>0</v>
      </c>
      <c r="V263" s="4">
        <v>2161.6</v>
      </c>
      <c r="X263" s="4">
        <f t="shared" si="39"/>
        <v>138253.1</v>
      </c>
      <c r="Y263" s="4">
        <f t="shared" si="41"/>
        <v>10557.1</v>
      </c>
      <c r="Z263" s="4">
        <v>5</v>
      </c>
      <c r="AA263" s="4">
        <v>13.621731733275899</v>
      </c>
    </row>
    <row r="264" spans="1:27" s="4" customFormat="1" x14ac:dyDescent="0.25">
      <c r="A264" s="17"/>
      <c r="B264" s="5"/>
      <c r="C264" s="6">
        <v>42110</v>
      </c>
      <c r="D264" s="4">
        <v>13.8</v>
      </c>
      <c r="E264" s="4">
        <v>9</v>
      </c>
      <c r="F264" s="4">
        <v>19.899999999999999</v>
      </c>
      <c r="G264" s="4">
        <f t="shared" si="35"/>
        <v>1880.5</v>
      </c>
      <c r="H264" s="4">
        <f t="shared" si="40"/>
        <v>96.8</v>
      </c>
      <c r="I264" s="18" t="s">
        <v>36</v>
      </c>
      <c r="J264" s="4">
        <v>0</v>
      </c>
      <c r="K264" s="4">
        <f t="shared" si="36"/>
        <v>324.99999999999994</v>
      </c>
      <c r="L264" s="4">
        <v>2.2000000000000002</v>
      </c>
      <c r="M264" s="4">
        <f t="shared" si="37"/>
        <v>247.59999999999982</v>
      </c>
      <c r="N264" s="7">
        <v>-2.2000000000000002</v>
      </c>
      <c r="O264" s="4">
        <f t="shared" si="31"/>
        <v>90.300000000000026</v>
      </c>
      <c r="P264" s="4">
        <v>220</v>
      </c>
      <c r="Q264" s="4">
        <v>1.1499999999999999</v>
      </c>
      <c r="R264" s="8">
        <f t="shared" si="33"/>
        <v>2.5299999999999998</v>
      </c>
      <c r="S264" s="8">
        <f t="shared" si="34"/>
        <v>-2.5299999999999998</v>
      </c>
      <c r="T264" s="8">
        <f t="shared" si="38"/>
        <v>81.878250000000023</v>
      </c>
      <c r="U264" s="18" t="s">
        <v>37</v>
      </c>
      <c r="V264" s="4">
        <v>1016.8</v>
      </c>
      <c r="X264" s="4">
        <f t="shared" si="39"/>
        <v>139269.9</v>
      </c>
      <c r="Y264" s="4">
        <f t="shared" si="41"/>
        <v>11573.9</v>
      </c>
      <c r="AA264" s="4">
        <v>13.6764338640728</v>
      </c>
    </row>
    <row r="265" spans="1:27" s="4" customFormat="1" x14ac:dyDescent="0.25">
      <c r="A265" s="17"/>
      <c r="B265" s="5"/>
      <c r="C265" s="6">
        <v>42111</v>
      </c>
      <c r="D265" s="4">
        <v>13.2</v>
      </c>
      <c r="E265" s="4">
        <v>10.5</v>
      </c>
      <c r="F265" s="4">
        <v>15.5</v>
      </c>
      <c r="G265" s="4">
        <f t="shared" si="35"/>
        <v>1893.7</v>
      </c>
      <c r="H265" s="4">
        <f t="shared" si="40"/>
        <v>110</v>
      </c>
      <c r="I265" s="4">
        <v>0</v>
      </c>
      <c r="J265" s="4">
        <v>4.2</v>
      </c>
      <c r="K265" s="4">
        <f t="shared" si="36"/>
        <v>329.19999999999993</v>
      </c>
      <c r="L265" s="4">
        <v>1.3</v>
      </c>
      <c r="M265" s="4">
        <f t="shared" si="37"/>
        <v>248.89999999999984</v>
      </c>
      <c r="N265" s="4">
        <v>2.9000000000000004</v>
      </c>
      <c r="O265" s="4">
        <f t="shared" si="31"/>
        <v>93.200000000000031</v>
      </c>
      <c r="P265" s="4">
        <v>221</v>
      </c>
      <c r="Q265" s="4">
        <v>1.1499999999999999</v>
      </c>
      <c r="R265" s="8">
        <f t="shared" si="33"/>
        <v>1.4949999999999999</v>
      </c>
      <c r="S265" s="8">
        <f t="shared" si="34"/>
        <v>2.7050000000000001</v>
      </c>
      <c r="T265" s="8">
        <f t="shared" si="38"/>
        <v>84.583250000000021</v>
      </c>
      <c r="U265" s="8">
        <f>MIN(T258:T278)</f>
        <v>54.908250000000024</v>
      </c>
      <c r="V265" s="4">
        <v>670.7</v>
      </c>
      <c r="X265" s="4">
        <f t="shared" si="39"/>
        <v>139940.6</v>
      </c>
      <c r="Y265" s="4">
        <f t="shared" si="41"/>
        <v>12244.6</v>
      </c>
      <c r="AA265" s="4">
        <v>13.7309184066232</v>
      </c>
    </row>
    <row r="266" spans="1:27" s="4" customFormat="1" x14ac:dyDescent="0.25">
      <c r="A266" s="17"/>
      <c r="B266" s="5"/>
      <c r="C266" s="6">
        <v>42112</v>
      </c>
      <c r="D266" s="4">
        <v>11.9</v>
      </c>
      <c r="E266" s="4">
        <v>8.4</v>
      </c>
      <c r="F266" s="4">
        <v>15.7</v>
      </c>
      <c r="G266" s="4">
        <f t="shared" si="35"/>
        <v>1905.6000000000001</v>
      </c>
      <c r="H266" s="4">
        <f t="shared" si="40"/>
        <v>121.9</v>
      </c>
      <c r="I266" s="18" t="s">
        <v>38</v>
      </c>
      <c r="J266" s="4">
        <v>0</v>
      </c>
      <c r="K266" s="4">
        <f t="shared" si="36"/>
        <v>329.19999999999993</v>
      </c>
      <c r="L266" s="4">
        <v>3.7</v>
      </c>
      <c r="M266" s="4">
        <f t="shared" si="37"/>
        <v>252.59999999999982</v>
      </c>
      <c r="N266" s="7">
        <v>-3.7</v>
      </c>
      <c r="O266" s="4">
        <f t="shared" si="31"/>
        <v>89.500000000000028</v>
      </c>
      <c r="P266" s="4">
        <v>222</v>
      </c>
      <c r="Q266" s="4">
        <v>1.1499999999999999</v>
      </c>
      <c r="R266" s="8">
        <f t="shared" si="33"/>
        <v>4.2549999999999999</v>
      </c>
      <c r="S266" s="8">
        <f t="shared" si="34"/>
        <v>-4.2549999999999999</v>
      </c>
      <c r="T266" s="8">
        <f t="shared" si="38"/>
        <v>80.328250000000025</v>
      </c>
      <c r="U266" s="18" t="s">
        <v>39</v>
      </c>
      <c r="V266" s="4">
        <v>2002.4</v>
      </c>
      <c r="X266" s="4">
        <f t="shared" si="39"/>
        <v>141943</v>
      </c>
      <c r="Y266" s="4">
        <f t="shared" si="41"/>
        <v>14247</v>
      </c>
      <c r="AA266" s="4">
        <v>13.785174127325201</v>
      </c>
    </row>
    <row r="267" spans="1:27" s="4" customFormat="1" x14ac:dyDescent="0.25">
      <c r="A267" s="17"/>
      <c r="B267" s="5"/>
      <c r="C267" s="6">
        <v>42113</v>
      </c>
      <c r="D267" s="4">
        <v>11.2</v>
      </c>
      <c r="E267" s="4">
        <v>4.3</v>
      </c>
      <c r="F267" s="4">
        <v>16.399999999999999</v>
      </c>
      <c r="G267" s="4">
        <f t="shared" si="35"/>
        <v>1916.8000000000002</v>
      </c>
      <c r="H267" s="4">
        <f t="shared" si="40"/>
        <v>133.1</v>
      </c>
      <c r="I267" s="4">
        <v>1</v>
      </c>
      <c r="J267" s="4">
        <v>0</v>
      </c>
      <c r="K267" s="4">
        <f t="shared" si="36"/>
        <v>329.19999999999993</v>
      </c>
      <c r="L267" s="4">
        <v>4</v>
      </c>
      <c r="M267" s="4">
        <f t="shared" si="37"/>
        <v>256.5999999999998</v>
      </c>
      <c r="N267" s="7">
        <v>-4</v>
      </c>
      <c r="O267" s="4">
        <f t="shared" si="31"/>
        <v>85.500000000000028</v>
      </c>
      <c r="P267" s="4">
        <v>223</v>
      </c>
      <c r="Q267" s="4">
        <v>1.1499999999999999</v>
      </c>
      <c r="R267" s="8">
        <f t="shared" si="33"/>
        <v>4.5999999999999996</v>
      </c>
      <c r="S267" s="8">
        <f t="shared" si="34"/>
        <v>-4.5999999999999996</v>
      </c>
      <c r="T267" s="8">
        <f t="shared" si="38"/>
        <v>75.728250000000031</v>
      </c>
      <c r="U267" s="8">
        <f>MAX(T258:T278)</f>
        <v>107.68325000000003</v>
      </c>
      <c r="V267" s="4">
        <v>2497.4</v>
      </c>
      <c r="X267" s="4">
        <f t="shared" si="39"/>
        <v>144440.4</v>
      </c>
      <c r="Y267" s="4">
        <f t="shared" si="41"/>
        <v>16744.400000000001</v>
      </c>
      <c r="AA267" s="4">
        <v>13.8391893916956</v>
      </c>
    </row>
    <row r="268" spans="1:27" s="4" customFormat="1" x14ac:dyDescent="0.25">
      <c r="A268" s="17"/>
      <c r="B268" s="5"/>
      <c r="C268" s="6">
        <v>42114</v>
      </c>
      <c r="D268" s="4">
        <v>13.1</v>
      </c>
      <c r="E268" s="4">
        <v>5.6</v>
      </c>
      <c r="F268" s="4">
        <v>19.7</v>
      </c>
      <c r="G268" s="4">
        <f t="shared" si="35"/>
        <v>1929.9</v>
      </c>
      <c r="H268" s="4">
        <f t="shared" si="40"/>
        <v>146.19999999999999</v>
      </c>
      <c r="I268" s="18" t="s">
        <v>40</v>
      </c>
      <c r="J268" s="4">
        <v>0</v>
      </c>
      <c r="K268" s="4">
        <f t="shared" si="36"/>
        <v>329.19999999999993</v>
      </c>
      <c r="L268" s="4">
        <v>3.4</v>
      </c>
      <c r="M268" s="4">
        <f t="shared" si="37"/>
        <v>259.99999999999977</v>
      </c>
      <c r="N268" s="7">
        <v>-3.4</v>
      </c>
      <c r="O268" s="4">
        <f t="shared" si="31"/>
        <v>82.100000000000023</v>
      </c>
      <c r="P268" s="4">
        <v>224</v>
      </c>
      <c r="Q268" s="4">
        <v>1.1499999999999999</v>
      </c>
      <c r="R268" s="8">
        <f t="shared" si="33"/>
        <v>3.9099999999999997</v>
      </c>
      <c r="S268" s="8">
        <f t="shared" si="34"/>
        <v>-3.9099999999999997</v>
      </c>
      <c r="T268" s="8">
        <f t="shared" si="38"/>
        <v>71.818250000000035</v>
      </c>
      <c r="U268" s="18" t="s">
        <v>41</v>
      </c>
      <c r="V268" s="4">
        <v>1984.9</v>
      </c>
      <c r="X268" s="4">
        <f t="shared" si="39"/>
        <v>146425.29999999999</v>
      </c>
      <c r="Y268" s="4">
        <f t="shared" si="41"/>
        <v>18729.300000000003</v>
      </c>
      <c r="AA268" s="4">
        <v>13.8929521525551</v>
      </c>
    </row>
    <row r="269" spans="1:27" s="4" customFormat="1" x14ac:dyDescent="0.25">
      <c r="A269" s="17"/>
      <c r="B269" s="5"/>
      <c r="C269" s="6">
        <v>42115</v>
      </c>
      <c r="D269" s="4">
        <v>14.7</v>
      </c>
      <c r="E269" s="4">
        <v>6.8</v>
      </c>
      <c r="F269" s="4">
        <v>21.5</v>
      </c>
      <c r="G269" s="4">
        <f t="shared" si="35"/>
        <v>1944.6000000000001</v>
      </c>
      <c r="H269" s="4">
        <f t="shared" si="40"/>
        <v>160.89999999999998</v>
      </c>
      <c r="I269" s="4">
        <v>4</v>
      </c>
      <c r="J269" s="4">
        <v>0</v>
      </c>
      <c r="K269" s="4">
        <f t="shared" si="36"/>
        <v>329.19999999999993</v>
      </c>
      <c r="L269" s="4">
        <v>4.9000000000000004</v>
      </c>
      <c r="M269" s="4">
        <f t="shared" si="37"/>
        <v>264.89999999999975</v>
      </c>
      <c r="N269" s="7">
        <v>-4.9000000000000004</v>
      </c>
      <c r="O269" s="4">
        <f t="shared" si="31"/>
        <v>77.200000000000017</v>
      </c>
      <c r="P269" s="4">
        <v>225</v>
      </c>
      <c r="Q269" s="4">
        <v>1.1499999999999999</v>
      </c>
      <c r="R269" s="8">
        <f t="shared" si="33"/>
        <v>5.6349999999999998</v>
      </c>
      <c r="S269" s="8">
        <f t="shared" si="34"/>
        <v>-5.6349999999999998</v>
      </c>
      <c r="T269" s="8">
        <f t="shared" si="38"/>
        <v>66.183250000000029</v>
      </c>
      <c r="U269" s="11">
        <f>AVERAGE(T258:T278)</f>
        <v>79.712059523809543</v>
      </c>
      <c r="V269" s="4">
        <v>2665.8</v>
      </c>
      <c r="X269" s="4">
        <f t="shared" si="39"/>
        <v>149091.09999999998</v>
      </c>
      <c r="Y269" s="4">
        <f t="shared" si="41"/>
        <v>21395.100000000002</v>
      </c>
      <c r="AA269" s="4">
        <v>13.946449938765401</v>
      </c>
    </row>
    <row r="270" spans="1:27" s="4" customFormat="1" x14ac:dyDescent="0.25">
      <c r="A270" s="17"/>
      <c r="B270" s="5"/>
      <c r="C270" s="6">
        <v>42116</v>
      </c>
      <c r="D270" s="4">
        <v>15.9</v>
      </c>
      <c r="E270" s="4">
        <v>9.1999999999999993</v>
      </c>
      <c r="F270" s="4">
        <v>22</v>
      </c>
      <c r="G270" s="4">
        <f t="shared" si="35"/>
        <v>1960.5000000000002</v>
      </c>
      <c r="H270" s="4">
        <f t="shared" si="40"/>
        <v>176.79999999999998</v>
      </c>
      <c r="I270" s="18" t="s">
        <v>42</v>
      </c>
      <c r="J270" s="4">
        <v>0</v>
      </c>
      <c r="K270" s="4">
        <f t="shared" si="36"/>
        <v>329.19999999999993</v>
      </c>
      <c r="L270" s="4">
        <v>5</v>
      </c>
      <c r="M270" s="4">
        <f t="shared" si="37"/>
        <v>269.89999999999975</v>
      </c>
      <c r="N270" s="7">
        <v>-5</v>
      </c>
      <c r="O270" s="4">
        <f t="shared" si="31"/>
        <v>72.200000000000017</v>
      </c>
      <c r="P270" s="4">
        <v>226</v>
      </c>
      <c r="Q270" s="4">
        <v>1.1499999999999999</v>
      </c>
      <c r="R270" s="8">
        <f t="shared" si="33"/>
        <v>5.75</v>
      </c>
      <c r="S270" s="8">
        <f t="shared" si="34"/>
        <v>-5.75</v>
      </c>
      <c r="T270" s="8">
        <f t="shared" si="38"/>
        <v>60.433250000000029</v>
      </c>
      <c r="V270" s="4">
        <v>2549.3000000000002</v>
      </c>
      <c r="W270" s="15"/>
      <c r="X270" s="15">
        <f t="shared" si="39"/>
        <v>151640.39999999997</v>
      </c>
      <c r="Y270" s="4">
        <f t="shared" si="41"/>
        <v>23944.400000000001</v>
      </c>
      <c r="AA270" s="4">
        <v>13.999669844575299</v>
      </c>
    </row>
    <row r="271" spans="1:27" s="4" customFormat="1" ht="15" customHeight="1" x14ac:dyDescent="0.25">
      <c r="A271" s="17"/>
      <c r="B271" s="5"/>
      <c r="C271" s="6">
        <v>42117</v>
      </c>
      <c r="D271" s="4">
        <v>14.8</v>
      </c>
      <c r="E271" s="4">
        <v>7.9</v>
      </c>
      <c r="F271" s="4">
        <v>20.9</v>
      </c>
      <c r="G271" s="4">
        <f t="shared" si="35"/>
        <v>1975.3000000000002</v>
      </c>
      <c r="H271" s="4">
        <f t="shared" si="40"/>
        <v>191.6</v>
      </c>
      <c r="I271" s="4">
        <v>268.5</v>
      </c>
      <c r="J271" s="4">
        <v>0</v>
      </c>
      <c r="K271" s="4">
        <f t="shared" si="36"/>
        <v>329.19999999999993</v>
      </c>
      <c r="L271" s="4">
        <v>4.5999999999999996</v>
      </c>
      <c r="M271" s="4">
        <f t="shared" si="37"/>
        <v>274.49999999999977</v>
      </c>
      <c r="N271" s="7">
        <v>-4.5999999999999996</v>
      </c>
      <c r="O271" s="4">
        <f t="shared" si="31"/>
        <v>67.600000000000023</v>
      </c>
      <c r="P271" s="4">
        <v>227</v>
      </c>
      <c r="Q271" s="4">
        <v>1.1499999999999999</v>
      </c>
      <c r="R271" s="8">
        <f t="shared" si="33"/>
        <v>5.2899999999999991</v>
      </c>
      <c r="S271" s="8">
        <f t="shared" si="34"/>
        <v>-5.2899999999999991</v>
      </c>
      <c r="T271" s="8">
        <f t="shared" si="38"/>
        <v>55.14325000000003</v>
      </c>
      <c r="U271" s="8">
        <f>(U269*100)/138.9</f>
        <v>57.388091809798084</v>
      </c>
      <c r="V271" s="4">
        <v>2636.8</v>
      </c>
      <c r="X271" s="4">
        <f t="shared" si="39"/>
        <v>154277.19999999995</v>
      </c>
      <c r="Y271" s="4">
        <f t="shared" si="41"/>
        <v>26581.200000000001</v>
      </c>
      <c r="AA271" s="4">
        <v>14.052598519635</v>
      </c>
    </row>
    <row r="272" spans="1:27" s="4" customFormat="1" x14ac:dyDescent="0.25">
      <c r="A272" s="17"/>
      <c r="B272" s="5"/>
      <c r="C272" s="6">
        <v>42118</v>
      </c>
      <c r="D272" s="4">
        <v>12.9</v>
      </c>
      <c r="E272" s="4">
        <v>8.5</v>
      </c>
      <c r="F272" s="4">
        <v>16.100000000000001</v>
      </c>
      <c r="G272" s="4">
        <f t="shared" si="35"/>
        <v>1988.2000000000003</v>
      </c>
      <c r="H272" s="4">
        <f t="shared" si="40"/>
        <v>204.5</v>
      </c>
      <c r="J272" s="4">
        <v>1.9</v>
      </c>
      <c r="K272" s="4">
        <f t="shared" si="36"/>
        <v>331.09999999999991</v>
      </c>
      <c r="L272" s="4">
        <v>0.8</v>
      </c>
      <c r="M272" s="4">
        <f t="shared" si="37"/>
        <v>275.29999999999978</v>
      </c>
      <c r="N272" s="7">
        <v>1.0999999999999999</v>
      </c>
      <c r="O272" s="4">
        <f t="shared" si="31"/>
        <v>68.700000000000017</v>
      </c>
      <c r="P272" s="4">
        <v>228</v>
      </c>
      <c r="Q272" s="4">
        <v>1.1499999999999999</v>
      </c>
      <c r="R272" s="8">
        <f t="shared" si="33"/>
        <v>0.91999999999999993</v>
      </c>
      <c r="S272" s="8">
        <f t="shared" si="34"/>
        <v>0.98</v>
      </c>
      <c r="T272" s="8">
        <f t="shared" si="38"/>
        <v>56.123250000000027</v>
      </c>
      <c r="V272" s="4">
        <v>728.4</v>
      </c>
      <c r="X272" s="4">
        <f t="shared" si="39"/>
        <v>155005.59999999995</v>
      </c>
      <c r="Y272" s="4">
        <f t="shared" si="41"/>
        <v>27309.600000000002</v>
      </c>
      <c r="AA272" s="4">
        <v>14.105222159741199</v>
      </c>
    </row>
    <row r="273" spans="1:27" s="4" customFormat="1" x14ac:dyDescent="0.25">
      <c r="A273" s="17"/>
      <c r="B273" s="5"/>
      <c r="C273" s="6">
        <v>42119</v>
      </c>
      <c r="D273" s="4">
        <v>14.5</v>
      </c>
      <c r="E273" s="4">
        <v>12</v>
      </c>
      <c r="F273" s="4">
        <v>18.8</v>
      </c>
      <c r="G273" s="4">
        <f t="shared" si="35"/>
        <v>2002.7000000000003</v>
      </c>
      <c r="H273" s="4">
        <f t="shared" si="40"/>
        <v>219</v>
      </c>
      <c r="J273" s="4">
        <v>1.2</v>
      </c>
      <c r="K273" s="4">
        <f t="shared" si="36"/>
        <v>332.2999999999999</v>
      </c>
      <c r="L273" s="4">
        <v>2.1</v>
      </c>
      <c r="M273" s="4">
        <f t="shared" si="37"/>
        <v>277.39999999999981</v>
      </c>
      <c r="N273" s="7">
        <v>-0.90000000000000013</v>
      </c>
      <c r="O273" s="4">
        <f t="shared" si="31"/>
        <v>67.800000000000011</v>
      </c>
      <c r="P273" s="4">
        <v>229</v>
      </c>
      <c r="Q273" s="4">
        <v>1.1499999999999999</v>
      </c>
      <c r="R273" s="8">
        <f t="shared" si="33"/>
        <v>2.415</v>
      </c>
      <c r="S273" s="8">
        <f t="shared" si="34"/>
        <v>-1.2150000000000001</v>
      </c>
      <c r="T273" s="8">
        <f t="shared" si="38"/>
        <v>54.908250000000024</v>
      </c>
      <c r="V273" s="4">
        <v>1295</v>
      </c>
      <c r="X273" s="4">
        <f t="shared" si="39"/>
        <v>156300.59999999995</v>
      </c>
      <c r="Y273" s="4">
        <f t="shared" si="41"/>
        <v>28604.600000000002</v>
      </c>
      <c r="AA273" s="4">
        <v>14.157526498382101</v>
      </c>
    </row>
    <row r="274" spans="1:27" s="4" customFormat="1" x14ac:dyDescent="0.25">
      <c r="A274" s="17"/>
      <c r="B274" s="5"/>
      <c r="C274" s="6">
        <v>42120</v>
      </c>
      <c r="D274" s="4">
        <v>12</v>
      </c>
      <c r="E274" s="4">
        <v>8.6</v>
      </c>
      <c r="F274" s="4">
        <v>14.6</v>
      </c>
      <c r="G274" s="4">
        <f t="shared" si="35"/>
        <v>2014.7000000000003</v>
      </c>
      <c r="H274" s="4">
        <f t="shared" si="40"/>
        <v>231</v>
      </c>
      <c r="J274" s="4">
        <v>26.7</v>
      </c>
      <c r="K274" s="4">
        <f t="shared" si="36"/>
        <v>358.99999999999989</v>
      </c>
      <c r="L274" s="4">
        <v>0.9</v>
      </c>
      <c r="M274" s="4">
        <f t="shared" si="37"/>
        <v>278.29999999999978</v>
      </c>
      <c r="N274" s="4">
        <v>25.8</v>
      </c>
      <c r="O274" s="4">
        <f t="shared" si="31"/>
        <v>93.600000000000009</v>
      </c>
      <c r="P274" s="4">
        <v>230</v>
      </c>
      <c r="Q274" s="4">
        <v>1.1499999999999999</v>
      </c>
      <c r="R274" s="8">
        <f t="shared" si="33"/>
        <v>1.0349999999999999</v>
      </c>
      <c r="S274" s="8">
        <f t="shared" si="34"/>
        <v>25.664999999999999</v>
      </c>
      <c r="T274" s="8">
        <f t="shared" si="38"/>
        <v>80.57325000000003</v>
      </c>
      <c r="V274" s="4">
        <v>528.5</v>
      </c>
      <c r="X274" s="4">
        <f t="shared" si="39"/>
        <v>156829.09999999995</v>
      </c>
      <c r="Y274" s="4">
        <f t="shared" si="41"/>
        <v>29133.100000000002</v>
      </c>
      <c r="AA274" s="4">
        <v>14.209496799151999</v>
      </c>
    </row>
    <row r="275" spans="1:27" s="4" customFormat="1" x14ac:dyDescent="0.25">
      <c r="A275" s="17"/>
      <c r="B275" s="5"/>
      <c r="C275" s="6">
        <v>42121</v>
      </c>
      <c r="D275" s="4">
        <v>11</v>
      </c>
      <c r="E275" s="4">
        <v>10.199999999999999</v>
      </c>
      <c r="F275" s="4">
        <v>13.6</v>
      </c>
      <c r="G275" s="4">
        <f t="shared" si="35"/>
        <v>2025.7000000000003</v>
      </c>
      <c r="H275" s="4">
        <f t="shared" si="40"/>
        <v>242</v>
      </c>
      <c r="J275" s="4">
        <v>0</v>
      </c>
      <c r="K275" s="4">
        <f t="shared" si="36"/>
        <v>358.99999999999989</v>
      </c>
      <c r="L275" s="4">
        <v>2</v>
      </c>
      <c r="M275" s="4">
        <f t="shared" si="37"/>
        <v>280.29999999999978</v>
      </c>
      <c r="N275" s="7">
        <v>-2</v>
      </c>
      <c r="O275" s="4">
        <f t="shared" si="31"/>
        <v>91.600000000000009</v>
      </c>
      <c r="P275" s="4">
        <v>231</v>
      </c>
      <c r="Q275" s="4">
        <v>1.1499999999999999</v>
      </c>
      <c r="R275" s="8">
        <f t="shared" si="33"/>
        <v>2.2999999999999998</v>
      </c>
      <c r="S275" s="8">
        <f t="shared" si="34"/>
        <v>-2.2999999999999998</v>
      </c>
      <c r="T275" s="8">
        <f t="shared" si="38"/>
        <v>78.273250000000033</v>
      </c>
      <c r="V275" s="4">
        <v>1260.8</v>
      </c>
      <c r="X275" s="4">
        <f t="shared" si="39"/>
        <v>158089.89999999994</v>
      </c>
      <c r="Y275" s="4">
        <f t="shared" si="41"/>
        <v>30393.9</v>
      </c>
      <c r="AA275" s="4">
        <v>14.2611178491108</v>
      </c>
    </row>
    <row r="276" spans="1:27" s="4" customFormat="1" x14ac:dyDescent="0.25">
      <c r="A276" s="17"/>
      <c r="B276" s="5"/>
      <c r="C276" s="6">
        <v>42122</v>
      </c>
      <c r="D276" s="4">
        <v>7.8</v>
      </c>
      <c r="E276" s="4">
        <v>3.6</v>
      </c>
      <c r="F276" s="4">
        <v>12.4</v>
      </c>
      <c r="G276" s="4">
        <f t="shared" si="35"/>
        <v>2033.5000000000002</v>
      </c>
      <c r="H276" s="4">
        <f t="shared" si="40"/>
        <v>249.8</v>
      </c>
      <c r="J276" s="4">
        <v>0</v>
      </c>
      <c r="K276" s="4">
        <f t="shared" si="36"/>
        <v>358.99999999999989</v>
      </c>
      <c r="L276" s="4">
        <v>2.4</v>
      </c>
      <c r="M276" s="4">
        <f t="shared" si="37"/>
        <v>282.69999999999976</v>
      </c>
      <c r="N276" s="7">
        <v>-2.4</v>
      </c>
      <c r="O276" s="4">
        <f t="shared" si="31"/>
        <v>89.2</v>
      </c>
      <c r="P276" s="4">
        <v>232</v>
      </c>
      <c r="Q276" s="4">
        <v>1.1499999999999999</v>
      </c>
      <c r="R276" s="8">
        <f t="shared" si="33"/>
        <v>2.76</v>
      </c>
      <c r="S276" s="8">
        <f t="shared" si="34"/>
        <v>-2.76</v>
      </c>
      <c r="T276" s="8">
        <f t="shared" si="38"/>
        <v>75.513250000000028</v>
      </c>
      <c r="V276" s="4">
        <v>2076</v>
      </c>
      <c r="X276" s="4">
        <f t="shared" si="39"/>
        <v>160165.89999999994</v>
      </c>
      <c r="Y276" s="4">
        <f t="shared" si="41"/>
        <v>32469.9</v>
      </c>
      <c r="AA276" s="4">
        <v>14.3123739531664</v>
      </c>
    </row>
    <row r="277" spans="1:27" s="4" customFormat="1" x14ac:dyDescent="0.25">
      <c r="A277" s="17"/>
      <c r="B277" s="5"/>
      <c r="C277" s="6">
        <v>42123</v>
      </c>
      <c r="D277" s="4">
        <v>9</v>
      </c>
      <c r="E277" s="4">
        <v>3</v>
      </c>
      <c r="F277" s="4">
        <v>14.1</v>
      </c>
      <c r="G277" s="4">
        <f t="shared" si="35"/>
        <v>2042.5000000000002</v>
      </c>
      <c r="H277" s="4">
        <f t="shared" si="40"/>
        <v>258.8</v>
      </c>
      <c r="J277" s="4">
        <v>0</v>
      </c>
      <c r="K277" s="4">
        <f t="shared" si="36"/>
        <v>358.99999999999989</v>
      </c>
      <c r="L277" s="4">
        <v>1.4</v>
      </c>
      <c r="M277" s="4">
        <f t="shared" si="37"/>
        <v>284.09999999999974</v>
      </c>
      <c r="N277" s="7">
        <v>-1.4</v>
      </c>
      <c r="O277" s="4">
        <f t="shared" si="31"/>
        <v>87.8</v>
      </c>
      <c r="P277" s="4">
        <v>233</v>
      </c>
      <c r="Q277" s="4">
        <v>1.1499999999999999</v>
      </c>
      <c r="R277" s="8">
        <f t="shared" si="33"/>
        <v>1.6099999999999999</v>
      </c>
      <c r="S277" s="8">
        <f t="shared" si="34"/>
        <v>-1.6099999999999999</v>
      </c>
      <c r="T277" s="8">
        <f t="shared" si="38"/>
        <v>73.903250000000028</v>
      </c>
      <c r="V277" s="4">
        <v>988.3</v>
      </c>
      <c r="X277" s="4">
        <f t="shared" si="39"/>
        <v>161154.19999999992</v>
      </c>
      <c r="Y277" s="4">
        <f t="shared" si="41"/>
        <v>33458.200000000004</v>
      </c>
      <c r="AA277" s="4">
        <v>14.3632489295623</v>
      </c>
    </row>
    <row r="278" spans="1:27" s="29" customFormat="1" ht="15.75" thickBot="1" x14ac:dyDescent="0.3">
      <c r="A278" s="34" t="s">
        <v>48</v>
      </c>
      <c r="B278" s="35"/>
      <c r="C278" s="28">
        <v>42124</v>
      </c>
      <c r="D278" s="29">
        <v>9.6999999999999993</v>
      </c>
      <c r="E278" s="29">
        <v>6.2</v>
      </c>
      <c r="F278" s="29">
        <v>12.2</v>
      </c>
      <c r="G278" s="29">
        <f t="shared" si="35"/>
        <v>2052.2000000000003</v>
      </c>
      <c r="H278" s="29">
        <f t="shared" si="40"/>
        <v>268.5</v>
      </c>
      <c r="J278" s="29">
        <v>34.700000000000003</v>
      </c>
      <c r="K278" s="29">
        <f t="shared" si="36"/>
        <v>393.69999999999987</v>
      </c>
      <c r="L278" s="29">
        <v>0.8</v>
      </c>
      <c r="M278" s="29">
        <f t="shared" si="37"/>
        <v>284.89999999999975</v>
      </c>
      <c r="N278" s="29">
        <v>33.900000000000006</v>
      </c>
      <c r="O278" s="29">
        <f t="shared" si="31"/>
        <v>121.7</v>
      </c>
      <c r="P278" s="29">
        <v>234</v>
      </c>
      <c r="Q278" s="29">
        <v>1.1499999999999999</v>
      </c>
      <c r="R278" s="31">
        <f t="shared" si="33"/>
        <v>0.91999999999999993</v>
      </c>
      <c r="S278" s="31">
        <f t="shared" si="34"/>
        <v>33.78</v>
      </c>
      <c r="T278" s="31">
        <f t="shared" si="38"/>
        <v>107.68325000000003</v>
      </c>
      <c r="V278" s="29">
        <v>590.79999999999995</v>
      </c>
      <c r="X278" s="29">
        <f t="shared" si="39"/>
        <v>161744.99999999991</v>
      </c>
      <c r="Y278" s="29">
        <f t="shared" si="41"/>
        <v>34049.000000000007</v>
      </c>
      <c r="AA278" s="29">
        <v>14.413726106554501</v>
      </c>
    </row>
    <row r="279" spans="1:27" s="4" customFormat="1" x14ac:dyDescent="0.25">
      <c r="A279" s="60">
        <v>300</v>
      </c>
      <c r="B279" s="9"/>
      <c r="C279" s="6">
        <v>42125</v>
      </c>
      <c r="D279" s="4">
        <v>13.3</v>
      </c>
      <c r="E279" s="4">
        <v>11.1</v>
      </c>
      <c r="F279" s="4">
        <v>15.2</v>
      </c>
      <c r="G279" s="4">
        <f t="shared" si="35"/>
        <v>2065.5000000000005</v>
      </c>
      <c r="H279" s="4">
        <v>13.3</v>
      </c>
      <c r="I279" s="19" t="s">
        <v>27</v>
      </c>
      <c r="J279" s="4">
        <v>16.5</v>
      </c>
      <c r="K279" s="4">
        <f t="shared" si="36"/>
        <v>410.19999999999987</v>
      </c>
      <c r="L279" s="4">
        <v>0.8</v>
      </c>
      <c r="M279" s="4">
        <f t="shared" si="37"/>
        <v>285.69999999999976</v>
      </c>
      <c r="N279" s="4">
        <v>15.7</v>
      </c>
      <c r="O279" s="4">
        <f t="shared" si="31"/>
        <v>137.4</v>
      </c>
      <c r="P279" s="4">
        <v>235</v>
      </c>
      <c r="Q279" s="4">
        <v>1.1499999999999999</v>
      </c>
      <c r="R279" s="8">
        <f t="shared" si="33"/>
        <v>0.91999999999999993</v>
      </c>
      <c r="S279" s="8">
        <f t="shared" si="34"/>
        <v>15.58</v>
      </c>
      <c r="T279" s="8">
        <f t="shared" si="38"/>
        <v>123.26325000000003</v>
      </c>
      <c r="U279" s="19" t="s">
        <v>28</v>
      </c>
      <c r="V279" s="4">
        <v>474.1</v>
      </c>
      <c r="X279" s="4">
        <f t="shared" si="39"/>
        <v>162219.09999999992</v>
      </c>
      <c r="Y279" s="4">
        <v>474.1</v>
      </c>
      <c r="Z279" s="19" t="s">
        <v>29</v>
      </c>
      <c r="AA279" s="4">
        <v>14.463788320365399</v>
      </c>
    </row>
    <row r="280" spans="1:27" s="4" customFormat="1" x14ac:dyDescent="0.25">
      <c r="A280" s="60"/>
      <c r="B280" s="9"/>
      <c r="C280" s="6">
        <v>42126</v>
      </c>
      <c r="D280" s="4">
        <v>13.1</v>
      </c>
      <c r="E280" s="4">
        <v>12.2</v>
      </c>
      <c r="F280" s="4">
        <v>14</v>
      </c>
      <c r="G280" s="4">
        <f t="shared" si="35"/>
        <v>2078.6000000000004</v>
      </c>
      <c r="H280" s="4">
        <f t="shared" si="40"/>
        <v>26.4</v>
      </c>
      <c r="I280" s="4">
        <f>MIN(E279:E301)</f>
        <v>4.4000000000000004</v>
      </c>
      <c r="J280" s="4">
        <v>17.100000000000001</v>
      </c>
      <c r="K280" s="4">
        <f t="shared" si="36"/>
        <v>427.2999999999999</v>
      </c>
      <c r="L280" s="4">
        <v>0.6</v>
      </c>
      <c r="M280" s="4">
        <f t="shared" si="37"/>
        <v>286.29999999999978</v>
      </c>
      <c r="N280" s="4">
        <v>16.5</v>
      </c>
      <c r="O280" s="4">
        <v>138.9</v>
      </c>
      <c r="P280" s="4">
        <v>236</v>
      </c>
      <c r="Q280" s="4">
        <v>1.1499999999999999</v>
      </c>
      <c r="R280" s="8">
        <f t="shared" si="33"/>
        <v>0.69</v>
      </c>
      <c r="S280" s="8">
        <f t="shared" si="34"/>
        <v>16.41</v>
      </c>
      <c r="T280" s="8">
        <f t="shared" si="38"/>
        <v>138.9</v>
      </c>
      <c r="U280" s="4">
        <v>17</v>
      </c>
      <c r="V280" s="4">
        <v>500.4</v>
      </c>
      <c r="X280" s="4">
        <f t="shared" si="39"/>
        <v>162719.49999999991</v>
      </c>
      <c r="Y280" s="4">
        <f t="shared" si="41"/>
        <v>974.5</v>
      </c>
      <c r="Z280" s="4">
        <v>35738.400000000001</v>
      </c>
      <c r="AA280" s="4">
        <v>14.5134179145061</v>
      </c>
    </row>
    <row r="281" spans="1:27" s="4" customFormat="1" x14ac:dyDescent="0.25">
      <c r="A281" s="60"/>
      <c r="B281" s="9"/>
      <c r="C281" s="6">
        <v>42127</v>
      </c>
      <c r="D281" s="4">
        <v>15</v>
      </c>
      <c r="E281" s="4">
        <v>13.1</v>
      </c>
      <c r="F281" s="4">
        <v>18.2</v>
      </c>
      <c r="G281" s="4">
        <f t="shared" si="35"/>
        <v>2093.6000000000004</v>
      </c>
      <c r="H281" s="4">
        <f t="shared" si="40"/>
        <v>41.4</v>
      </c>
      <c r="I281" s="19" t="s">
        <v>30</v>
      </c>
      <c r="J281" s="4">
        <v>4.4000000000000004</v>
      </c>
      <c r="K281" s="4">
        <f t="shared" si="36"/>
        <v>431.69999999999987</v>
      </c>
      <c r="L281" s="4">
        <v>1.2</v>
      </c>
      <c r="M281" s="4">
        <f t="shared" si="37"/>
        <v>287.49999999999977</v>
      </c>
      <c r="N281" s="4">
        <v>3.2</v>
      </c>
      <c r="O281" s="4">
        <v>138.9</v>
      </c>
      <c r="P281" s="4">
        <v>237</v>
      </c>
      <c r="Q281" s="4">
        <v>1.1499999999999999</v>
      </c>
      <c r="R281" s="8">
        <f t="shared" si="33"/>
        <v>1.38</v>
      </c>
      <c r="S281" s="8">
        <f t="shared" si="34"/>
        <v>3.0200000000000005</v>
      </c>
      <c r="T281" s="8">
        <f t="shared" si="38"/>
        <v>138.9</v>
      </c>
      <c r="U281" s="19" t="s">
        <v>31</v>
      </c>
      <c r="V281" s="4">
        <v>585.9</v>
      </c>
      <c r="X281" s="4">
        <f t="shared" si="39"/>
        <v>163305.39999999991</v>
      </c>
      <c r="Y281" s="4">
        <f t="shared" si="41"/>
        <v>1560.4</v>
      </c>
      <c r="Z281" s="19" t="s">
        <v>32</v>
      </c>
      <c r="AA281" s="4">
        <v>14.562596740558</v>
      </c>
    </row>
    <row r="282" spans="1:27" s="4" customFormat="1" x14ac:dyDescent="0.25">
      <c r="A282" s="60"/>
      <c r="B282" s="9"/>
      <c r="C282" s="6">
        <v>42128</v>
      </c>
      <c r="D282" s="4">
        <v>15.1</v>
      </c>
      <c r="E282" s="4">
        <v>9.1999999999999993</v>
      </c>
      <c r="F282" s="4">
        <v>19.100000000000001</v>
      </c>
      <c r="G282" s="4">
        <f t="shared" si="35"/>
        <v>2108.7000000000003</v>
      </c>
      <c r="H282" s="4">
        <f t="shared" si="40"/>
        <v>56.5</v>
      </c>
      <c r="I282" s="4">
        <f>MAX(F279:F301)</f>
        <v>26.1</v>
      </c>
      <c r="J282" s="4">
        <v>8.6</v>
      </c>
      <c r="K282" s="4">
        <f t="shared" si="36"/>
        <v>440.2999999999999</v>
      </c>
      <c r="L282" s="4">
        <v>1</v>
      </c>
      <c r="M282" s="4">
        <f t="shared" si="37"/>
        <v>288.49999999999977</v>
      </c>
      <c r="N282" s="4">
        <v>7.6</v>
      </c>
      <c r="O282" s="4">
        <v>138.9</v>
      </c>
      <c r="P282" s="4">
        <v>238</v>
      </c>
      <c r="Q282" s="4">
        <v>1.1499999999999999</v>
      </c>
      <c r="R282" s="8">
        <f t="shared" si="33"/>
        <v>1.1499999999999999</v>
      </c>
      <c r="S282" s="8">
        <f t="shared" si="34"/>
        <v>7.4499999999999993</v>
      </c>
      <c r="T282" s="8">
        <f t="shared" si="38"/>
        <v>138.9</v>
      </c>
      <c r="U282" s="4">
        <v>0</v>
      </c>
      <c r="V282" s="4">
        <v>776.6</v>
      </c>
      <c r="X282" s="4">
        <f t="shared" si="39"/>
        <v>164081.99999999991</v>
      </c>
      <c r="Y282" s="4">
        <f t="shared" si="41"/>
        <v>2337</v>
      </c>
      <c r="Z282" s="11">
        <f>(Z280/100)/I292</f>
        <v>1.141072796934866</v>
      </c>
      <c r="AA282" s="4">
        <v>14.6113061605088</v>
      </c>
    </row>
    <row r="283" spans="1:27" s="4" customFormat="1" x14ac:dyDescent="0.25">
      <c r="A283" s="60"/>
      <c r="B283" s="9"/>
      <c r="C283" s="6">
        <v>42129</v>
      </c>
      <c r="D283" s="4">
        <v>14.7</v>
      </c>
      <c r="E283" s="4">
        <v>15.1</v>
      </c>
      <c r="F283" s="4">
        <v>16.2</v>
      </c>
      <c r="G283" s="4">
        <f t="shared" si="35"/>
        <v>2123.4</v>
      </c>
      <c r="H283" s="4">
        <f t="shared" si="40"/>
        <v>71.2</v>
      </c>
      <c r="I283" s="19" t="s">
        <v>33</v>
      </c>
      <c r="J283" s="4">
        <v>0</v>
      </c>
      <c r="K283" s="4">
        <f t="shared" si="36"/>
        <v>440.2999999999999</v>
      </c>
      <c r="L283" s="4">
        <v>3.7</v>
      </c>
      <c r="M283" s="4">
        <f t="shared" si="37"/>
        <v>292.19999999999976</v>
      </c>
      <c r="N283" s="7">
        <v>-3.7</v>
      </c>
      <c r="O283" s="4">
        <f t="shared" ref="O283:O331" si="42">O282+N283</f>
        <v>135.20000000000002</v>
      </c>
      <c r="P283" s="4">
        <v>239</v>
      </c>
      <c r="Q283" s="4">
        <v>1.1499999999999999</v>
      </c>
      <c r="R283" s="8">
        <f t="shared" si="33"/>
        <v>4.2549999999999999</v>
      </c>
      <c r="S283" s="8">
        <f t="shared" si="34"/>
        <v>-4.2549999999999999</v>
      </c>
      <c r="T283" s="8">
        <f t="shared" si="38"/>
        <v>134.64500000000001</v>
      </c>
      <c r="U283" s="19" t="s">
        <v>34</v>
      </c>
      <c r="V283" s="4">
        <v>1952.8</v>
      </c>
      <c r="X283" s="4">
        <f t="shared" si="39"/>
        <v>166034.7999999999</v>
      </c>
      <c r="Y283" s="4">
        <f t="shared" si="41"/>
        <v>4289.8</v>
      </c>
      <c r="Z283" s="19" t="s">
        <v>35</v>
      </c>
      <c r="AA283" s="4">
        <v>14.659527050737999</v>
      </c>
    </row>
    <row r="284" spans="1:27" s="4" customFormat="1" x14ac:dyDescent="0.25">
      <c r="A284" s="60"/>
      <c r="B284" s="9"/>
      <c r="C284" s="6">
        <v>42130</v>
      </c>
      <c r="D284" s="4">
        <v>11.9</v>
      </c>
      <c r="E284" s="4">
        <v>7.8</v>
      </c>
      <c r="F284" s="4">
        <v>15.1</v>
      </c>
      <c r="G284" s="4">
        <f t="shared" si="35"/>
        <v>2135.3000000000002</v>
      </c>
      <c r="H284" s="4">
        <f t="shared" si="40"/>
        <v>83.100000000000009</v>
      </c>
      <c r="I284" s="4">
        <f>AVERAGE(D279:D301)</f>
        <v>13.617391304347828</v>
      </c>
      <c r="J284" s="4">
        <v>1.2</v>
      </c>
      <c r="K284" s="4">
        <f t="shared" si="36"/>
        <v>441.49999999999989</v>
      </c>
      <c r="L284" s="4">
        <v>2.7</v>
      </c>
      <c r="M284" s="4">
        <f t="shared" si="37"/>
        <v>294.89999999999975</v>
      </c>
      <c r="N284" s="7">
        <v>-1.5000000000000002</v>
      </c>
      <c r="O284" s="4">
        <f t="shared" si="42"/>
        <v>133.70000000000002</v>
      </c>
      <c r="P284" s="4">
        <v>240</v>
      </c>
      <c r="Q284" s="4">
        <v>1.1499999999999999</v>
      </c>
      <c r="R284" s="8">
        <f t="shared" si="33"/>
        <v>3.105</v>
      </c>
      <c r="S284" s="8">
        <f t="shared" si="34"/>
        <v>-1.905</v>
      </c>
      <c r="T284" s="8">
        <f t="shared" si="38"/>
        <v>132.74</v>
      </c>
      <c r="U284" s="4">
        <v>0</v>
      </c>
      <c r="V284" s="4">
        <v>1788.9</v>
      </c>
      <c r="X284" s="4">
        <f t="shared" si="39"/>
        <v>167823.6999999999</v>
      </c>
      <c r="Y284" s="4">
        <f t="shared" si="41"/>
        <v>6078.7000000000007</v>
      </c>
      <c r="Z284" s="4">
        <v>5</v>
      </c>
      <c r="AA284" s="4">
        <v>14.707239807747399</v>
      </c>
    </row>
    <row r="285" spans="1:27" s="4" customFormat="1" x14ac:dyDescent="0.25">
      <c r="A285" s="60"/>
      <c r="B285" s="9"/>
      <c r="C285" s="6">
        <v>42131</v>
      </c>
      <c r="D285" s="4">
        <v>11.3</v>
      </c>
      <c r="E285" s="4">
        <v>6.8</v>
      </c>
      <c r="F285" s="4">
        <v>15.5</v>
      </c>
      <c r="G285" s="4">
        <f t="shared" si="35"/>
        <v>2146.6000000000004</v>
      </c>
      <c r="H285" s="4">
        <f t="shared" si="40"/>
        <v>94.4</v>
      </c>
      <c r="I285" s="19" t="s">
        <v>36</v>
      </c>
      <c r="J285" s="4">
        <v>0.4</v>
      </c>
      <c r="K285" s="4">
        <f t="shared" si="36"/>
        <v>441.89999999999986</v>
      </c>
      <c r="L285" s="4">
        <v>3.1</v>
      </c>
      <c r="M285" s="4">
        <f t="shared" si="37"/>
        <v>297.99999999999977</v>
      </c>
      <c r="N285" s="7">
        <v>-2.7</v>
      </c>
      <c r="O285" s="4">
        <f t="shared" si="42"/>
        <v>131.00000000000003</v>
      </c>
      <c r="P285" s="4">
        <v>241</v>
      </c>
      <c r="Q285" s="4">
        <v>1.1499999999999999</v>
      </c>
      <c r="R285" s="8">
        <f t="shared" si="33"/>
        <v>3.5649999999999999</v>
      </c>
      <c r="S285" s="8">
        <f t="shared" si="34"/>
        <v>-3.165</v>
      </c>
      <c r="T285" s="8">
        <f t="shared" si="38"/>
        <v>129.57500000000002</v>
      </c>
      <c r="U285" s="19" t="s">
        <v>37</v>
      </c>
      <c r="V285" s="4">
        <v>2159.6999999999998</v>
      </c>
      <c r="X285" s="4">
        <f t="shared" si="39"/>
        <v>169983.39999999991</v>
      </c>
      <c r="Y285" s="4">
        <f t="shared" si="41"/>
        <v>8238.4000000000015</v>
      </c>
      <c r="AA285" s="4">
        <v>14.7544243557327</v>
      </c>
    </row>
    <row r="286" spans="1:27" s="4" customFormat="1" x14ac:dyDescent="0.25">
      <c r="A286" s="60"/>
      <c r="B286" s="9"/>
      <c r="C286" s="6">
        <v>42132</v>
      </c>
      <c r="D286" s="4">
        <v>13.9</v>
      </c>
      <c r="E286" s="4">
        <v>8</v>
      </c>
      <c r="F286" s="4">
        <v>18.2</v>
      </c>
      <c r="G286" s="4">
        <f t="shared" si="35"/>
        <v>2160.5000000000005</v>
      </c>
      <c r="H286" s="4">
        <f t="shared" si="40"/>
        <v>108.30000000000001</v>
      </c>
      <c r="I286" s="4">
        <v>0</v>
      </c>
      <c r="J286" s="4">
        <v>0.4</v>
      </c>
      <c r="K286" s="4">
        <f t="shared" si="36"/>
        <v>442.29999999999984</v>
      </c>
      <c r="L286" s="4">
        <v>1.2</v>
      </c>
      <c r="M286" s="4">
        <f t="shared" si="37"/>
        <v>299.19999999999976</v>
      </c>
      <c r="N286" s="7">
        <v>-0.79999999999999993</v>
      </c>
      <c r="O286" s="4">
        <f t="shared" si="42"/>
        <v>130.20000000000002</v>
      </c>
      <c r="P286" s="4">
        <v>242</v>
      </c>
      <c r="Q286" s="4">
        <v>1.1499999999999999</v>
      </c>
      <c r="R286" s="8">
        <f t="shared" si="33"/>
        <v>1.38</v>
      </c>
      <c r="S286" s="8">
        <f t="shared" si="34"/>
        <v>-0.97999999999999987</v>
      </c>
      <c r="T286" s="8">
        <f t="shared" si="38"/>
        <v>128.59500000000003</v>
      </c>
      <c r="U286" s="8">
        <f>MIN(T279:T301)</f>
        <v>84.765000000000043</v>
      </c>
      <c r="V286" s="4">
        <v>863.6</v>
      </c>
      <c r="X286" s="4">
        <f t="shared" si="39"/>
        <v>170846.99999999991</v>
      </c>
      <c r="Y286" s="4">
        <f t="shared" si="41"/>
        <v>9102.0000000000018</v>
      </c>
      <c r="AA286" s="4">
        <v>14.8010601560915</v>
      </c>
    </row>
    <row r="287" spans="1:27" s="4" customFormat="1" x14ac:dyDescent="0.25">
      <c r="A287" s="60"/>
      <c r="B287" s="9"/>
      <c r="C287" s="6">
        <v>42133</v>
      </c>
      <c r="D287" s="4">
        <v>15.5</v>
      </c>
      <c r="E287" s="4">
        <v>13.4</v>
      </c>
      <c r="F287" s="4">
        <v>18.8</v>
      </c>
      <c r="G287" s="4">
        <f t="shared" si="35"/>
        <v>2176.0000000000005</v>
      </c>
      <c r="H287" s="4">
        <f t="shared" si="40"/>
        <v>123.80000000000001</v>
      </c>
      <c r="I287" s="19" t="s">
        <v>38</v>
      </c>
      <c r="J287" s="4">
        <v>0</v>
      </c>
      <c r="K287" s="4">
        <f t="shared" si="36"/>
        <v>442.29999999999984</v>
      </c>
      <c r="L287" s="4">
        <v>4</v>
      </c>
      <c r="M287" s="4">
        <f t="shared" si="37"/>
        <v>303.19999999999976</v>
      </c>
      <c r="N287" s="7">
        <v>-4</v>
      </c>
      <c r="O287" s="4">
        <f t="shared" si="42"/>
        <v>126.20000000000002</v>
      </c>
      <c r="P287" s="4">
        <v>243</v>
      </c>
      <c r="Q287" s="4">
        <v>1.1499999999999999</v>
      </c>
      <c r="R287" s="8">
        <f t="shared" si="33"/>
        <v>4.5999999999999996</v>
      </c>
      <c r="S287" s="8">
        <f t="shared" si="34"/>
        <v>-4.5999999999999996</v>
      </c>
      <c r="T287" s="8">
        <f t="shared" si="38"/>
        <v>123.99500000000003</v>
      </c>
      <c r="U287" s="19" t="s">
        <v>39</v>
      </c>
      <c r="V287" s="4">
        <v>2368.9</v>
      </c>
      <c r="X287" s="4">
        <f t="shared" si="39"/>
        <v>173215.89999999991</v>
      </c>
      <c r="Y287" s="4">
        <f t="shared" si="41"/>
        <v>11470.900000000001</v>
      </c>
      <c r="AA287" s="4">
        <v>14.8471262189599</v>
      </c>
    </row>
    <row r="288" spans="1:27" s="4" customFormat="1" x14ac:dyDescent="0.25">
      <c r="A288" s="60"/>
      <c r="B288" s="9"/>
      <c r="C288" s="6">
        <v>42134</v>
      </c>
      <c r="D288" s="4">
        <v>15.5</v>
      </c>
      <c r="E288" s="4">
        <v>9.3000000000000007</v>
      </c>
      <c r="F288" s="4">
        <v>21.8</v>
      </c>
      <c r="G288" s="4">
        <f t="shared" si="35"/>
        <v>2191.5000000000005</v>
      </c>
      <c r="H288" s="4">
        <f t="shared" si="40"/>
        <v>139.30000000000001</v>
      </c>
      <c r="I288" s="4">
        <v>1</v>
      </c>
      <c r="J288" s="4">
        <v>0</v>
      </c>
      <c r="K288" s="4">
        <f t="shared" si="36"/>
        <v>442.29999999999984</v>
      </c>
      <c r="L288" s="4">
        <v>4.0999999999999996</v>
      </c>
      <c r="M288" s="4">
        <f t="shared" si="37"/>
        <v>307.29999999999978</v>
      </c>
      <c r="N288" s="7">
        <v>-4.0999999999999996</v>
      </c>
      <c r="O288" s="4">
        <f t="shared" si="42"/>
        <v>122.10000000000002</v>
      </c>
      <c r="P288" s="4">
        <v>244</v>
      </c>
      <c r="Q288" s="4">
        <v>1.1499999999999999</v>
      </c>
      <c r="R288" s="8">
        <f t="shared" si="33"/>
        <v>4.714999999999999</v>
      </c>
      <c r="S288" s="8">
        <f t="shared" si="34"/>
        <v>-4.714999999999999</v>
      </c>
      <c r="T288" s="8">
        <f t="shared" si="38"/>
        <v>119.28000000000003</v>
      </c>
      <c r="U288" s="8">
        <f>MAX(T279:T301)</f>
        <v>138.9</v>
      </c>
      <c r="V288" s="4">
        <v>2525.4</v>
      </c>
      <c r="X288" s="4">
        <f t="shared" si="39"/>
        <v>175741.2999999999</v>
      </c>
      <c r="Y288" s="4">
        <f t="shared" si="41"/>
        <v>13996.300000000001</v>
      </c>
      <c r="AA288" s="4">
        <v>14.892601116868899</v>
      </c>
    </row>
    <row r="289" spans="1:27" s="4" customFormat="1" x14ac:dyDescent="0.25">
      <c r="A289" s="60"/>
      <c r="B289" s="9"/>
      <c r="C289" s="6">
        <v>42135</v>
      </c>
      <c r="D289" s="4">
        <v>18.8</v>
      </c>
      <c r="E289" s="4">
        <v>10.4</v>
      </c>
      <c r="F289" s="4">
        <v>26.1</v>
      </c>
      <c r="G289" s="4">
        <f t="shared" si="35"/>
        <v>2210.3000000000006</v>
      </c>
      <c r="H289" s="4">
        <f t="shared" si="40"/>
        <v>158.10000000000002</v>
      </c>
      <c r="I289" s="19" t="s">
        <v>40</v>
      </c>
      <c r="J289" s="4">
        <v>0</v>
      </c>
      <c r="K289" s="4">
        <f t="shared" si="36"/>
        <v>442.29999999999984</v>
      </c>
      <c r="L289" s="4">
        <v>4.2</v>
      </c>
      <c r="M289" s="4">
        <f t="shared" si="37"/>
        <v>311.49999999999977</v>
      </c>
      <c r="N289" s="7">
        <v>-4.2</v>
      </c>
      <c r="O289" s="4">
        <f t="shared" si="42"/>
        <v>117.90000000000002</v>
      </c>
      <c r="P289" s="4">
        <v>245</v>
      </c>
      <c r="Q289" s="4">
        <v>1.1499999999999999</v>
      </c>
      <c r="R289" s="8">
        <f t="shared" si="33"/>
        <v>4.83</v>
      </c>
      <c r="S289" s="8">
        <f t="shared" si="34"/>
        <v>-4.83</v>
      </c>
      <c r="T289" s="8">
        <f t="shared" si="38"/>
        <v>114.45000000000003</v>
      </c>
      <c r="U289" s="19" t="s">
        <v>41</v>
      </c>
      <c r="V289" s="4">
        <v>2321.4</v>
      </c>
      <c r="X289" s="4">
        <f t="shared" si="39"/>
        <v>178062.6999999999</v>
      </c>
      <c r="Y289" s="4">
        <f t="shared" si="41"/>
        <v>16317.7</v>
      </c>
      <c r="AA289" s="4">
        <v>14.937463000607799</v>
      </c>
    </row>
    <row r="290" spans="1:27" s="4" customFormat="1" x14ac:dyDescent="0.25">
      <c r="A290" s="60"/>
      <c r="B290" s="9"/>
      <c r="C290" s="6">
        <v>42136</v>
      </c>
      <c r="D290" s="4">
        <v>17.399999999999999</v>
      </c>
      <c r="E290" s="4">
        <v>16</v>
      </c>
      <c r="F290" s="4">
        <v>22.2</v>
      </c>
      <c r="G290" s="4">
        <f t="shared" si="35"/>
        <v>2227.7000000000007</v>
      </c>
      <c r="H290" s="4">
        <f t="shared" si="40"/>
        <v>175.50000000000003</v>
      </c>
      <c r="I290" s="4">
        <v>1</v>
      </c>
      <c r="J290" s="4">
        <v>0</v>
      </c>
      <c r="K290" s="4">
        <f t="shared" si="36"/>
        <v>442.29999999999984</v>
      </c>
      <c r="L290" s="4">
        <v>2.4</v>
      </c>
      <c r="M290" s="4">
        <f t="shared" si="37"/>
        <v>313.89999999999975</v>
      </c>
      <c r="N290" s="7">
        <v>-2.4</v>
      </c>
      <c r="O290" s="4">
        <f t="shared" si="42"/>
        <v>115.50000000000001</v>
      </c>
      <c r="P290" s="4">
        <v>246</v>
      </c>
      <c r="Q290" s="4">
        <v>1.1499999999999999</v>
      </c>
      <c r="R290" s="8">
        <f t="shared" si="33"/>
        <v>2.76</v>
      </c>
      <c r="S290" s="8">
        <f t="shared" si="34"/>
        <v>-2.76</v>
      </c>
      <c r="T290" s="8">
        <f t="shared" si="38"/>
        <v>111.69000000000003</v>
      </c>
      <c r="U290" s="11">
        <f>AVERAGE(T279:T301)</f>
        <v>113.48427173913045</v>
      </c>
      <c r="V290" s="4">
        <v>1208.2</v>
      </c>
      <c r="X290" s="4">
        <f t="shared" si="39"/>
        <v>179270.89999999991</v>
      </c>
      <c r="Y290" s="4">
        <f t="shared" si="41"/>
        <v>17525.900000000001</v>
      </c>
      <c r="AA290" s="4">
        <v>14.9816896173754</v>
      </c>
    </row>
    <row r="291" spans="1:27" s="4" customFormat="1" x14ac:dyDescent="0.25">
      <c r="A291" s="60"/>
      <c r="B291" s="9"/>
      <c r="C291" s="6">
        <v>42137</v>
      </c>
      <c r="D291" s="4">
        <v>16.8</v>
      </c>
      <c r="E291" s="4">
        <v>9.9</v>
      </c>
      <c r="F291" s="4">
        <v>23.8</v>
      </c>
      <c r="G291" s="4">
        <f t="shared" si="35"/>
        <v>2244.5000000000009</v>
      </c>
      <c r="H291" s="4">
        <f t="shared" si="40"/>
        <v>192.30000000000004</v>
      </c>
      <c r="I291" s="19" t="s">
        <v>42</v>
      </c>
      <c r="J291" s="4">
        <v>0</v>
      </c>
      <c r="K291" s="4">
        <f t="shared" si="36"/>
        <v>442.29999999999984</v>
      </c>
      <c r="L291" s="4">
        <v>3.2</v>
      </c>
      <c r="M291" s="4">
        <f t="shared" si="37"/>
        <v>317.09999999999974</v>
      </c>
      <c r="N291" s="7">
        <v>-3.2</v>
      </c>
      <c r="O291" s="4">
        <f t="shared" si="42"/>
        <v>112.30000000000001</v>
      </c>
      <c r="P291" s="4">
        <v>247</v>
      </c>
      <c r="Q291" s="4">
        <v>1.1499999999999999</v>
      </c>
      <c r="R291" s="8">
        <f t="shared" si="33"/>
        <v>3.6799999999999997</v>
      </c>
      <c r="S291" s="8">
        <f t="shared" si="34"/>
        <v>-3.6799999999999997</v>
      </c>
      <c r="T291" s="8">
        <f t="shared" si="38"/>
        <v>108.01000000000002</v>
      </c>
      <c r="V291" s="4">
        <v>1948</v>
      </c>
      <c r="X291" s="4">
        <f t="shared" si="39"/>
        <v>181218.89999999991</v>
      </c>
      <c r="Y291" s="4">
        <f t="shared" si="41"/>
        <v>19473.900000000001</v>
      </c>
      <c r="AA291" s="4">
        <v>15.025258331298</v>
      </c>
    </row>
    <row r="292" spans="1:27" s="4" customFormat="1" x14ac:dyDescent="0.25">
      <c r="A292" s="60"/>
      <c r="B292" s="9"/>
      <c r="C292" s="6">
        <v>42138</v>
      </c>
      <c r="D292" s="4">
        <v>12.6</v>
      </c>
      <c r="E292" s="4">
        <v>12</v>
      </c>
      <c r="F292" s="4">
        <v>15</v>
      </c>
      <c r="G292" s="4">
        <f t="shared" si="35"/>
        <v>2257.1000000000008</v>
      </c>
      <c r="H292" s="4">
        <f t="shared" si="40"/>
        <v>204.90000000000003</v>
      </c>
      <c r="I292" s="4">
        <v>313.2</v>
      </c>
      <c r="J292" s="4">
        <v>3.1</v>
      </c>
      <c r="K292" s="4">
        <f t="shared" si="36"/>
        <v>445.39999999999986</v>
      </c>
      <c r="L292" s="4">
        <v>1.6</v>
      </c>
      <c r="M292" s="4">
        <f t="shared" si="37"/>
        <v>318.69999999999976</v>
      </c>
      <c r="N292" s="4">
        <v>1.5</v>
      </c>
      <c r="O292" s="4">
        <f t="shared" si="42"/>
        <v>113.80000000000001</v>
      </c>
      <c r="P292" s="4">
        <v>248</v>
      </c>
      <c r="Q292" s="4">
        <v>1.1499999999999999</v>
      </c>
      <c r="R292" s="8">
        <f t="shared" si="33"/>
        <v>1.8399999999999999</v>
      </c>
      <c r="S292" s="8">
        <f t="shared" si="34"/>
        <v>1.2600000000000002</v>
      </c>
      <c r="T292" s="8">
        <f t="shared" si="38"/>
        <v>109.27000000000002</v>
      </c>
      <c r="U292" s="8">
        <f>(U290*100)/138.9</f>
        <v>81.702139481015436</v>
      </c>
      <c r="V292" s="4">
        <v>929.6</v>
      </c>
      <c r="X292" s="4">
        <f t="shared" si="39"/>
        <v>182148.49999999991</v>
      </c>
      <c r="Y292" s="4">
        <f t="shared" si="41"/>
        <v>20403.5</v>
      </c>
      <c r="AA292" s="4">
        <v>15.06814614638</v>
      </c>
    </row>
    <row r="293" spans="1:27" s="4" customFormat="1" x14ac:dyDescent="0.25">
      <c r="A293" s="60"/>
      <c r="B293" s="9"/>
      <c r="C293" s="6">
        <v>42139</v>
      </c>
      <c r="D293" s="4">
        <v>11.6</v>
      </c>
      <c r="E293" s="4">
        <v>7.3</v>
      </c>
      <c r="F293" s="4">
        <v>16.100000000000001</v>
      </c>
      <c r="G293" s="4">
        <f t="shared" si="35"/>
        <v>2268.7000000000007</v>
      </c>
      <c r="H293" s="4">
        <f t="shared" si="40"/>
        <v>216.50000000000003</v>
      </c>
      <c r="J293" s="4">
        <v>0</v>
      </c>
      <c r="K293" s="4">
        <f t="shared" si="36"/>
        <v>445.39999999999986</v>
      </c>
      <c r="L293" s="4">
        <v>2.2999999999999998</v>
      </c>
      <c r="M293" s="4">
        <f t="shared" si="37"/>
        <v>320.99999999999977</v>
      </c>
      <c r="N293" s="7">
        <v>-2.2999999999999998</v>
      </c>
      <c r="O293" s="4">
        <f t="shared" si="42"/>
        <v>111.50000000000001</v>
      </c>
      <c r="P293" s="4">
        <v>249</v>
      </c>
      <c r="Q293" s="4">
        <v>1.1499999999999999</v>
      </c>
      <c r="R293" s="8">
        <f t="shared" si="33"/>
        <v>2.6449999999999996</v>
      </c>
      <c r="S293" s="8">
        <f t="shared" si="34"/>
        <v>-2.6449999999999996</v>
      </c>
      <c r="T293" s="8">
        <f t="shared" si="38"/>
        <v>106.62500000000003</v>
      </c>
      <c r="V293" s="4">
        <v>1477.1</v>
      </c>
      <c r="W293" s="15"/>
      <c r="X293" s="15">
        <f t="shared" si="39"/>
        <v>183625.59999999992</v>
      </c>
      <c r="Y293" s="4">
        <f t="shared" si="41"/>
        <v>21880.6</v>
      </c>
      <c r="AA293" s="4">
        <v>15.1103297319513</v>
      </c>
    </row>
    <row r="294" spans="1:27" s="4" customFormat="1" ht="15" customHeight="1" x14ac:dyDescent="0.25">
      <c r="A294" s="60"/>
      <c r="B294" s="9"/>
      <c r="C294" s="6">
        <v>42140</v>
      </c>
      <c r="D294" s="4">
        <v>12.3</v>
      </c>
      <c r="E294" s="4">
        <v>8.1999999999999993</v>
      </c>
      <c r="F294" s="4">
        <v>16.8</v>
      </c>
      <c r="G294" s="4">
        <f t="shared" si="35"/>
        <v>2281.0000000000009</v>
      </c>
      <c r="H294" s="4">
        <f t="shared" si="40"/>
        <v>228.80000000000004</v>
      </c>
      <c r="J294" s="4">
        <v>0</v>
      </c>
      <c r="K294" s="4">
        <f t="shared" si="36"/>
        <v>445.39999999999986</v>
      </c>
      <c r="L294" s="4">
        <v>1.8</v>
      </c>
      <c r="M294" s="4">
        <f t="shared" si="37"/>
        <v>322.79999999999978</v>
      </c>
      <c r="N294" s="7">
        <v>-1.8</v>
      </c>
      <c r="O294" s="4">
        <f t="shared" si="42"/>
        <v>109.70000000000002</v>
      </c>
      <c r="P294" s="4">
        <v>250</v>
      </c>
      <c r="Q294" s="4">
        <v>1.1499999999999999</v>
      </c>
      <c r="R294" s="8">
        <f t="shared" si="33"/>
        <v>2.0699999999999998</v>
      </c>
      <c r="S294" s="8">
        <f t="shared" si="34"/>
        <v>-2.0699999999999998</v>
      </c>
      <c r="T294" s="8">
        <f t="shared" si="38"/>
        <v>104.55500000000004</v>
      </c>
      <c r="U294" s="16"/>
      <c r="V294" s="4">
        <v>1099.2</v>
      </c>
      <c r="X294" s="4">
        <f t="shared" si="39"/>
        <v>184724.79999999993</v>
      </c>
      <c r="Y294" s="4">
        <f t="shared" si="41"/>
        <v>22979.8</v>
      </c>
      <c r="AA294" s="4">
        <v>15.151785450659901</v>
      </c>
    </row>
    <row r="295" spans="1:27" s="4" customFormat="1" x14ac:dyDescent="0.25">
      <c r="A295" s="60"/>
      <c r="B295" s="9"/>
      <c r="C295" s="6">
        <v>42141</v>
      </c>
      <c r="D295" s="4">
        <v>13</v>
      </c>
      <c r="E295" s="4">
        <v>8.1</v>
      </c>
      <c r="F295" s="4">
        <v>18.8</v>
      </c>
      <c r="G295" s="4">
        <f t="shared" si="35"/>
        <v>2294.0000000000009</v>
      </c>
      <c r="H295" s="4">
        <f t="shared" si="40"/>
        <v>241.80000000000004</v>
      </c>
      <c r="J295" s="4">
        <v>0</v>
      </c>
      <c r="K295" s="4">
        <f t="shared" si="36"/>
        <v>445.39999999999986</v>
      </c>
      <c r="L295" s="4">
        <v>4.3</v>
      </c>
      <c r="M295" s="4">
        <f t="shared" si="37"/>
        <v>327.0999999999998</v>
      </c>
      <c r="N295" s="7">
        <v>-4.3</v>
      </c>
      <c r="O295" s="4">
        <f t="shared" si="42"/>
        <v>105.40000000000002</v>
      </c>
      <c r="P295" s="4">
        <v>251</v>
      </c>
      <c r="Q295" s="4">
        <v>1.1499999999999999</v>
      </c>
      <c r="R295" s="8">
        <f t="shared" si="33"/>
        <v>4.9449999999999994</v>
      </c>
      <c r="S295" s="8">
        <f t="shared" si="34"/>
        <v>-4.9449999999999994</v>
      </c>
      <c r="T295" s="8">
        <f t="shared" si="38"/>
        <v>99.610000000000042</v>
      </c>
      <c r="V295" s="4">
        <v>2601.6999999999998</v>
      </c>
      <c r="X295" s="4">
        <f t="shared" si="39"/>
        <v>187326.49999999994</v>
      </c>
      <c r="Y295" s="4">
        <f t="shared" si="41"/>
        <v>25581.5</v>
      </c>
      <c r="AA295" s="4">
        <v>15.192489389051699</v>
      </c>
    </row>
    <row r="296" spans="1:27" s="4" customFormat="1" x14ac:dyDescent="0.25">
      <c r="A296" s="60"/>
      <c r="B296" s="9"/>
      <c r="C296" s="6">
        <v>42142</v>
      </c>
      <c r="D296" s="4">
        <v>13.4</v>
      </c>
      <c r="E296" s="4">
        <v>6.8</v>
      </c>
      <c r="F296" s="4">
        <v>20.3</v>
      </c>
      <c r="G296" s="4">
        <f t="shared" si="35"/>
        <v>2307.400000000001</v>
      </c>
      <c r="H296" s="4">
        <f t="shared" si="40"/>
        <v>255.20000000000005</v>
      </c>
      <c r="J296" s="4">
        <v>0.3</v>
      </c>
      <c r="K296" s="4">
        <f t="shared" si="36"/>
        <v>445.69999999999987</v>
      </c>
      <c r="L296" s="4">
        <v>3.3</v>
      </c>
      <c r="M296" s="4">
        <f t="shared" si="37"/>
        <v>330.39999999999981</v>
      </c>
      <c r="N296" s="7">
        <v>-3</v>
      </c>
      <c r="O296" s="4">
        <f t="shared" si="42"/>
        <v>102.40000000000002</v>
      </c>
      <c r="P296" s="4">
        <v>252</v>
      </c>
      <c r="Q296" s="4">
        <v>1.1499999999999999</v>
      </c>
      <c r="R296" s="8">
        <f t="shared" si="33"/>
        <v>3.7949999999999995</v>
      </c>
      <c r="S296" s="8">
        <f t="shared" si="34"/>
        <v>-3.4949999999999997</v>
      </c>
      <c r="T296" s="8">
        <f t="shared" si="38"/>
        <v>96.115000000000038</v>
      </c>
      <c r="V296" s="4">
        <v>1899.7</v>
      </c>
      <c r="X296" s="4">
        <f t="shared" si="39"/>
        <v>189226.19999999995</v>
      </c>
      <c r="Y296" s="4">
        <f t="shared" si="41"/>
        <v>27481.200000000001</v>
      </c>
      <c r="AA296" s="4">
        <v>15.2324173907634</v>
      </c>
    </row>
    <row r="297" spans="1:27" s="4" customFormat="1" x14ac:dyDescent="0.25">
      <c r="A297" s="60"/>
      <c r="B297" s="9"/>
      <c r="C297" s="6">
        <v>42143</v>
      </c>
      <c r="D297" s="4">
        <v>10</v>
      </c>
      <c r="E297" s="4">
        <v>8.4</v>
      </c>
      <c r="F297" s="4">
        <v>14.7</v>
      </c>
      <c r="G297" s="4">
        <f t="shared" si="35"/>
        <v>2317.400000000001</v>
      </c>
      <c r="H297" s="4">
        <f t="shared" si="40"/>
        <v>265.20000000000005</v>
      </c>
      <c r="J297" s="4">
        <v>1.7</v>
      </c>
      <c r="K297" s="4">
        <f t="shared" si="36"/>
        <v>447.39999999999986</v>
      </c>
      <c r="L297" s="4">
        <v>3.4</v>
      </c>
      <c r="M297" s="4">
        <f t="shared" si="37"/>
        <v>333.79999999999978</v>
      </c>
      <c r="N297" s="7">
        <v>-1.7</v>
      </c>
      <c r="O297" s="4">
        <f t="shared" si="42"/>
        <v>100.70000000000002</v>
      </c>
      <c r="P297" s="4">
        <v>253</v>
      </c>
      <c r="Q297" s="4">
        <v>1.1499999999999999</v>
      </c>
      <c r="R297" s="8">
        <f t="shared" si="33"/>
        <v>3.9099999999999997</v>
      </c>
      <c r="S297" s="8">
        <f t="shared" si="34"/>
        <v>-2.21</v>
      </c>
      <c r="T297" s="8">
        <f t="shared" si="38"/>
        <v>93.905000000000044</v>
      </c>
      <c r="V297" s="4">
        <v>2031.2</v>
      </c>
      <c r="X297" s="4">
        <f t="shared" si="39"/>
        <v>191257.39999999997</v>
      </c>
      <c r="Y297" s="4">
        <f t="shared" si="41"/>
        <v>29512.400000000001</v>
      </c>
      <c r="AA297" s="4">
        <v>15.2715450923428</v>
      </c>
    </row>
    <row r="298" spans="1:27" s="4" customFormat="1" x14ac:dyDescent="0.25">
      <c r="A298" s="60"/>
      <c r="B298" s="9"/>
      <c r="C298" s="6">
        <v>42144</v>
      </c>
      <c r="D298" s="4">
        <v>8.6999999999999993</v>
      </c>
      <c r="E298" s="4">
        <v>5.4</v>
      </c>
      <c r="F298" s="4">
        <v>12.7</v>
      </c>
      <c r="G298" s="4">
        <f t="shared" si="35"/>
        <v>2326.1000000000008</v>
      </c>
      <c r="H298" s="4">
        <f t="shared" si="40"/>
        <v>273.90000000000003</v>
      </c>
      <c r="J298" s="4">
        <v>1.9</v>
      </c>
      <c r="K298" s="4">
        <f t="shared" si="36"/>
        <v>449.29999999999984</v>
      </c>
      <c r="L298" s="4">
        <v>1.6</v>
      </c>
      <c r="M298" s="4">
        <f t="shared" si="37"/>
        <v>335.39999999999981</v>
      </c>
      <c r="N298" s="4">
        <v>0.29999999999999982</v>
      </c>
      <c r="O298" s="4">
        <f t="shared" si="42"/>
        <v>101.00000000000001</v>
      </c>
      <c r="P298" s="4">
        <v>254</v>
      </c>
      <c r="Q298" s="4">
        <v>1.1499999999999999</v>
      </c>
      <c r="R298" s="8">
        <f t="shared" si="33"/>
        <v>1.8399999999999999</v>
      </c>
      <c r="S298" s="8">
        <f t="shared" si="34"/>
        <v>6.0000000000000053E-2</v>
      </c>
      <c r="T298" s="8">
        <f t="shared" si="38"/>
        <v>93.965000000000046</v>
      </c>
      <c r="V298" s="4">
        <v>1147.4000000000001</v>
      </c>
      <c r="X298" s="4">
        <f t="shared" si="39"/>
        <v>192404.79999999996</v>
      </c>
      <c r="Y298" s="4">
        <f t="shared" si="41"/>
        <v>30659.800000000003</v>
      </c>
      <c r="AA298" s="4">
        <v>15.3098479616944</v>
      </c>
    </row>
    <row r="299" spans="1:27" s="4" customFormat="1" x14ac:dyDescent="0.25">
      <c r="A299" s="60"/>
      <c r="B299" s="9"/>
      <c r="C299" s="6">
        <v>42145</v>
      </c>
      <c r="D299" s="4">
        <v>11</v>
      </c>
      <c r="E299" s="4">
        <v>4.4000000000000004</v>
      </c>
      <c r="F299" s="4">
        <v>17.2</v>
      </c>
      <c r="G299" s="4">
        <f t="shared" si="35"/>
        <v>2337.1000000000008</v>
      </c>
      <c r="H299" s="4">
        <f t="shared" si="40"/>
        <v>284.90000000000003</v>
      </c>
      <c r="J299" s="4">
        <v>0</v>
      </c>
      <c r="K299" s="4">
        <f t="shared" si="36"/>
        <v>449.29999999999984</v>
      </c>
      <c r="L299" s="4">
        <v>2.8</v>
      </c>
      <c r="M299" s="4">
        <f t="shared" si="37"/>
        <v>338.19999999999982</v>
      </c>
      <c r="N299" s="7">
        <v>-2.8</v>
      </c>
      <c r="O299" s="4">
        <f t="shared" si="42"/>
        <v>98.200000000000017</v>
      </c>
      <c r="P299" s="4">
        <v>255</v>
      </c>
      <c r="Q299" s="4">
        <v>1.1499999999999999</v>
      </c>
      <c r="R299" s="8">
        <f t="shared" si="33"/>
        <v>3.2199999999999998</v>
      </c>
      <c r="S299" s="8">
        <f t="shared" si="34"/>
        <v>-3.2199999999999998</v>
      </c>
      <c r="T299" s="8">
        <f t="shared" si="38"/>
        <v>90.745000000000047</v>
      </c>
      <c r="V299" s="4">
        <v>1882.5</v>
      </c>
      <c r="X299" s="4">
        <f t="shared" si="39"/>
        <v>194287.29999999996</v>
      </c>
      <c r="Y299" s="4">
        <f t="shared" si="41"/>
        <v>32542.300000000003</v>
      </c>
      <c r="AA299" s="4">
        <v>15.347301339131</v>
      </c>
    </row>
    <row r="300" spans="1:27" s="4" customFormat="1" x14ac:dyDescent="0.25">
      <c r="A300" s="60"/>
      <c r="B300" s="9"/>
      <c r="C300" s="6">
        <v>42146</v>
      </c>
      <c r="D300" s="4">
        <v>13</v>
      </c>
      <c r="E300" s="4">
        <v>5.8</v>
      </c>
      <c r="F300" s="4">
        <v>18.600000000000001</v>
      </c>
      <c r="G300" s="4">
        <f t="shared" si="35"/>
        <v>2350.1000000000008</v>
      </c>
      <c r="H300" s="4">
        <f t="shared" si="40"/>
        <v>297.90000000000003</v>
      </c>
      <c r="J300" s="4">
        <v>0</v>
      </c>
      <c r="K300" s="4">
        <f t="shared" si="36"/>
        <v>449.29999999999984</v>
      </c>
      <c r="L300" s="4">
        <v>2.7</v>
      </c>
      <c r="M300" s="4">
        <f t="shared" si="37"/>
        <v>340.89999999999981</v>
      </c>
      <c r="N300" s="7">
        <v>-2.7</v>
      </c>
      <c r="O300" s="4">
        <f t="shared" si="42"/>
        <v>95.500000000000014</v>
      </c>
      <c r="P300" s="4">
        <v>256</v>
      </c>
      <c r="Q300" s="4">
        <v>1.1499999999999999</v>
      </c>
      <c r="R300" s="8">
        <f t="shared" si="33"/>
        <v>3.105</v>
      </c>
      <c r="S300" s="8">
        <f t="shared" si="34"/>
        <v>-3.105</v>
      </c>
      <c r="T300" s="8">
        <f t="shared" si="38"/>
        <v>87.640000000000043</v>
      </c>
      <c r="V300" s="4">
        <v>1747.5</v>
      </c>
      <c r="X300" s="4">
        <f t="shared" si="39"/>
        <v>196034.79999999996</v>
      </c>
      <c r="Y300" s="4">
        <f t="shared" si="41"/>
        <v>34289.800000000003</v>
      </c>
      <c r="AA300" s="4">
        <v>15.3838804809943</v>
      </c>
    </row>
    <row r="301" spans="1:27" s="29" customFormat="1" ht="15.75" thickBot="1" x14ac:dyDescent="0.3">
      <c r="A301" s="60"/>
      <c r="B301" s="27">
        <v>300</v>
      </c>
      <c r="C301" s="28">
        <v>42147</v>
      </c>
      <c r="D301" s="29">
        <v>15.3</v>
      </c>
      <c r="E301" s="29">
        <v>9.4</v>
      </c>
      <c r="F301" s="29">
        <v>19.899999999999999</v>
      </c>
      <c r="G301" s="29">
        <f t="shared" si="35"/>
        <v>2365.400000000001</v>
      </c>
      <c r="H301" s="29">
        <f t="shared" si="40"/>
        <v>313.20000000000005</v>
      </c>
      <c r="J301" s="29">
        <v>0</v>
      </c>
      <c r="K301" s="29">
        <f t="shared" si="36"/>
        <v>449.29999999999984</v>
      </c>
      <c r="L301" s="29">
        <v>2.5</v>
      </c>
      <c r="M301" s="29">
        <f t="shared" si="37"/>
        <v>343.39999999999981</v>
      </c>
      <c r="N301" s="30">
        <v>-2.5</v>
      </c>
      <c r="O301" s="29">
        <f t="shared" si="42"/>
        <v>93.000000000000014</v>
      </c>
      <c r="P301" s="29">
        <v>257</v>
      </c>
      <c r="Q301" s="29">
        <v>1.1499999999999999</v>
      </c>
      <c r="R301" s="31">
        <f t="shared" ref="R301:R345" si="43">Q301*L301</f>
        <v>2.875</v>
      </c>
      <c r="S301" s="31">
        <f t="shared" ref="S301:S345" si="44">J301-R301</f>
        <v>-2.875</v>
      </c>
      <c r="T301" s="31">
        <f t="shared" si="38"/>
        <v>84.765000000000043</v>
      </c>
      <c r="V301" s="29">
        <v>1448.6</v>
      </c>
      <c r="X301" s="29">
        <f t="shared" si="39"/>
        <v>197483.39999999997</v>
      </c>
      <c r="Y301" s="29">
        <f t="shared" si="41"/>
        <v>35738.400000000001</v>
      </c>
      <c r="AA301" s="29">
        <v>15.419560605788201</v>
      </c>
    </row>
    <row r="302" spans="1:27" s="4" customFormat="1" x14ac:dyDescent="0.25">
      <c r="A302" s="61">
        <v>600</v>
      </c>
      <c r="B302" s="9"/>
      <c r="C302" s="6">
        <v>42148</v>
      </c>
      <c r="D302" s="4">
        <v>16.100000000000001</v>
      </c>
      <c r="E302" s="4">
        <v>11.5</v>
      </c>
      <c r="F302" s="4">
        <v>20.100000000000001</v>
      </c>
      <c r="G302" s="4">
        <f t="shared" si="35"/>
        <v>2381.5000000000009</v>
      </c>
      <c r="H302" s="4">
        <v>16.100000000000001</v>
      </c>
      <c r="I302" s="20" t="s">
        <v>27</v>
      </c>
      <c r="J302" s="4">
        <v>0.2</v>
      </c>
      <c r="K302" s="4">
        <f t="shared" si="36"/>
        <v>449.49999999999983</v>
      </c>
      <c r="L302" s="4">
        <v>3.1</v>
      </c>
      <c r="M302" s="4">
        <f t="shared" si="37"/>
        <v>346.49999999999983</v>
      </c>
      <c r="N302" s="7">
        <v>-2.9</v>
      </c>
      <c r="O302" s="4">
        <f t="shared" si="42"/>
        <v>90.100000000000009</v>
      </c>
      <c r="P302" s="4">
        <v>258</v>
      </c>
      <c r="Q302" s="11">
        <f>1.15+((P302-257)/44)*(0.35-1.15)</f>
        <v>1.1318181818181818</v>
      </c>
      <c r="R302" s="8">
        <f t="shared" si="43"/>
        <v>3.5086363636363638</v>
      </c>
      <c r="S302" s="8">
        <f t="shared" si="44"/>
        <v>-3.3086363636363636</v>
      </c>
      <c r="T302" s="8">
        <f t="shared" si="38"/>
        <v>81.456363636363676</v>
      </c>
      <c r="U302" s="20" t="s">
        <v>28</v>
      </c>
      <c r="V302" s="4">
        <v>1781.7</v>
      </c>
      <c r="X302" s="4">
        <f t="shared" si="39"/>
        <v>199265.09999999998</v>
      </c>
      <c r="Y302" s="4">
        <v>1781.7</v>
      </c>
      <c r="Z302" s="20" t="s">
        <v>29</v>
      </c>
      <c r="AA302" s="4">
        <v>15.454316942747701</v>
      </c>
    </row>
    <row r="303" spans="1:27" s="4" customFormat="1" x14ac:dyDescent="0.25">
      <c r="A303" s="61"/>
      <c r="B303" s="9"/>
      <c r="C303" s="6">
        <v>42149</v>
      </c>
      <c r="D303" s="4">
        <v>15.6</v>
      </c>
      <c r="E303" s="4">
        <v>13.8</v>
      </c>
      <c r="F303" s="4">
        <v>18.8</v>
      </c>
      <c r="G303" s="4">
        <f t="shared" ref="G303:G345" si="45">G302+D303</f>
        <v>2397.1000000000008</v>
      </c>
      <c r="H303" s="4">
        <f t="shared" si="40"/>
        <v>31.700000000000003</v>
      </c>
      <c r="I303" s="4">
        <f>MIN(E302:E320)</f>
        <v>7.1</v>
      </c>
      <c r="J303" s="4">
        <v>0</v>
      </c>
      <c r="K303" s="4">
        <f t="shared" ref="K303:K345" si="46">K302+J303</f>
        <v>449.49999999999983</v>
      </c>
      <c r="L303" s="4">
        <v>2.5</v>
      </c>
      <c r="M303" s="4">
        <f t="shared" ref="M303:M345" si="47">M302+L303</f>
        <v>348.99999999999983</v>
      </c>
      <c r="N303" s="7">
        <v>-2.5</v>
      </c>
      <c r="O303" s="4">
        <f t="shared" si="42"/>
        <v>87.600000000000009</v>
      </c>
      <c r="P303" s="4">
        <v>259</v>
      </c>
      <c r="Q303" s="11">
        <f t="shared" ref="Q303:Q345" si="48">1.15+((P303-257)/44)*(0.35-1.15)</f>
        <v>1.1136363636363635</v>
      </c>
      <c r="R303" s="8">
        <f t="shared" si="43"/>
        <v>2.7840909090909087</v>
      </c>
      <c r="S303" s="8">
        <f t="shared" si="44"/>
        <v>-2.7840909090909087</v>
      </c>
      <c r="T303" s="8">
        <f t="shared" ref="T303:T343" si="49">MIN(138.9,(T302+S303))</f>
        <v>78.67227272727277</v>
      </c>
      <c r="U303" s="4">
        <v>17</v>
      </c>
      <c r="V303" s="4">
        <v>1330.7</v>
      </c>
      <c r="X303" s="4">
        <f t="shared" ref="X303:X345" si="50">X302+V303</f>
        <v>200595.8</v>
      </c>
      <c r="Y303" s="4">
        <f t="shared" si="41"/>
        <v>3112.4</v>
      </c>
      <c r="Z303" s="4">
        <v>34956.1</v>
      </c>
      <c r="AA303" s="4">
        <v>15.488124782742901</v>
      </c>
    </row>
    <row r="304" spans="1:27" s="4" customFormat="1" x14ac:dyDescent="0.25">
      <c r="A304" s="61"/>
      <c r="B304" s="9"/>
      <c r="C304" s="6">
        <v>42150</v>
      </c>
      <c r="D304" s="4">
        <v>13.1</v>
      </c>
      <c r="E304" s="4">
        <v>10.1</v>
      </c>
      <c r="F304" s="4">
        <v>16.7</v>
      </c>
      <c r="G304" s="4">
        <f t="shared" si="45"/>
        <v>2410.2000000000007</v>
      </c>
      <c r="H304" s="4">
        <f t="shared" si="40"/>
        <v>44.800000000000004</v>
      </c>
      <c r="I304" s="20" t="s">
        <v>30</v>
      </c>
      <c r="J304" s="4">
        <v>0</v>
      </c>
      <c r="K304" s="4">
        <f t="shared" si="46"/>
        <v>449.49999999999983</v>
      </c>
      <c r="L304" s="4">
        <v>3.1</v>
      </c>
      <c r="M304" s="4">
        <f t="shared" si="47"/>
        <v>352.09999999999985</v>
      </c>
      <c r="N304" s="7">
        <v>-3.1</v>
      </c>
      <c r="O304" s="4">
        <f t="shared" si="42"/>
        <v>84.500000000000014</v>
      </c>
      <c r="P304" s="4">
        <v>260</v>
      </c>
      <c r="Q304" s="11">
        <f t="shared" si="48"/>
        <v>1.0954545454545455</v>
      </c>
      <c r="R304" s="8">
        <f t="shared" si="43"/>
        <v>3.395909090909091</v>
      </c>
      <c r="S304" s="8">
        <f t="shared" si="44"/>
        <v>-3.395909090909091</v>
      </c>
      <c r="T304" s="8">
        <f t="shared" si="49"/>
        <v>75.276363636363683</v>
      </c>
      <c r="U304" s="20" t="s">
        <v>31</v>
      </c>
      <c r="V304" s="4">
        <v>1947.7</v>
      </c>
      <c r="X304" s="4">
        <f t="shared" si="50"/>
        <v>202543.5</v>
      </c>
      <c r="Y304" s="4">
        <f t="shared" si="41"/>
        <v>5060.1000000000004</v>
      </c>
      <c r="Z304" s="20" t="s">
        <v>32</v>
      </c>
      <c r="AA304" s="4">
        <v>15.5209595313988</v>
      </c>
    </row>
    <row r="305" spans="1:27" s="4" customFormat="1" x14ac:dyDescent="0.25">
      <c r="A305" s="61"/>
      <c r="B305" s="9"/>
      <c r="C305" s="6">
        <v>42151</v>
      </c>
      <c r="D305" s="4">
        <v>14.8</v>
      </c>
      <c r="E305" s="4">
        <v>7.1</v>
      </c>
      <c r="F305" s="4">
        <v>21.4</v>
      </c>
      <c r="G305" s="4">
        <f t="shared" si="45"/>
        <v>2425.0000000000009</v>
      </c>
      <c r="H305" s="4">
        <f t="shared" si="40"/>
        <v>59.600000000000009</v>
      </c>
      <c r="I305" s="4">
        <f>MAX(F302:F320)</f>
        <v>31.6</v>
      </c>
      <c r="J305" s="4">
        <v>0</v>
      </c>
      <c r="K305" s="4">
        <f t="shared" si="46"/>
        <v>449.49999999999983</v>
      </c>
      <c r="L305" s="4">
        <v>2.5</v>
      </c>
      <c r="M305" s="4">
        <f t="shared" si="47"/>
        <v>354.59999999999985</v>
      </c>
      <c r="N305" s="7">
        <v>-2.5</v>
      </c>
      <c r="O305" s="4">
        <f t="shared" si="42"/>
        <v>82.000000000000014</v>
      </c>
      <c r="P305" s="4">
        <v>261</v>
      </c>
      <c r="Q305" s="11">
        <f t="shared" si="48"/>
        <v>1.0772727272727272</v>
      </c>
      <c r="R305" s="8">
        <f t="shared" si="43"/>
        <v>2.6931818181818179</v>
      </c>
      <c r="S305" s="8">
        <f t="shared" si="44"/>
        <v>-2.6931818181818179</v>
      </c>
      <c r="T305" s="8">
        <f t="shared" si="49"/>
        <v>72.58318181818187</v>
      </c>
      <c r="U305" s="4">
        <v>0</v>
      </c>
      <c r="V305" s="4">
        <v>1588.4</v>
      </c>
      <c r="X305" s="4">
        <f t="shared" si="50"/>
        <v>204131.9</v>
      </c>
      <c r="Y305" s="4">
        <f t="shared" si="41"/>
        <v>6648.5</v>
      </c>
      <c r="Z305" s="11">
        <f>(Z303/100)/I315</f>
        <v>1.0869434079601989</v>
      </c>
      <c r="AA305" s="4">
        <v>15.5527967642831</v>
      </c>
    </row>
    <row r="306" spans="1:27" s="4" customFormat="1" x14ac:dyDescent="0.25">
      <c r="A306" s="61"/>
      <c r="B306" s="9"/>
      <c r="C306" s="6">
        <v>42152</v>
      </c>
      <c r="D306" s="4">
        <v>15</v>
      </c>
      <c r="E306" s="4">
        <v>9</v>
      </c>
      <c r="F306" s="4">
        <v>20.100000000000001</v>
      </c>
      <c r="G306" s="4">
        <f t="shared" si="45"/>
        <v>2440.0000000000009</v>
      </c>
      <c r="H306" s="4">
        <f t="shared" si="40"/>
        <v>74.600000000000009</v>
      </c>
      <c r="I306" s="20" t="s">
        <v>33</v>
      </c>
      <c r="J306" s="4">
        <v>0.4</v>
      </c>
      <c r="K306" s="4">
        <f t="shared" si="46"/>
        <v>449.89999999999981</v>
      </c>
      <c r="L306" s="4">
        <v>3.8</v>
      </c>
      <c r="M306" s="4">
        <f t="shared" si="47"/>
        <v>358.39999999999986</v>
      </c>
      <c r="N306" s="7">
        <v>-3.4</v>
      </c>
      <c r="O306" s="4">
        <f t="shared" si="42"/>
        <v>78.600000000000009</v>
      </c>
      <c r="P306" s="4">
        <v>262</v>
      </c>
      <c r="Q306" s="11">
        <f t="shared" si="48"/>
        <v>1.0590909090909091</v>
      </c>
      <c r="R306" s="8">
        <f t="shared" si="43"/>
        <v>4.0245454545454544</v>
      </c>
      <c r="S306" s="8">
        <f t="shared" si="44"/>
        <v>-3.6245454545454545</v>
      </c>
      <c r="T306" s="8">
        <f t="shared" si="49"/>
        <v>68.958636363636415</v>
      </c>
      <c r="U306" s="20" t="s">
        <v>34</v>
      </c>
      <c r="V306" s="4">
        <v>2241.6999999999998</v>
      </c>
      <c r="X306" s="4">
        <f t="shared" si="50"/>
        <v>206373.6</v>
      </c>
      <c r="Y306" s="4">
        <f t="shared" si="41"/>
        <v>8890.2000000000007</v>
      </c>
      <c r="Z306" s="20" t="s">
        <v>35</v>
      </c>
      <c r="AA306" s="4">
        <v>15.583612283995301</v>
      </c>
    </row>
    <row r="307" spans="1:27" s="4" customFormat="1" x14ac:dyDescent="0.25">
      <c r="A307" s="61"/>
      <c r="B307" s="9"/>
      <c r="C307" s="6">
        <v>42153</v>
      </c>
      <c r="D307" s="4">
        <v>15.6</v>
      </c>
      <c r="E307" s="4">
        <v>11.7</v>
      </c>
      <c r="F307" s="4">
        <v>19.100000000000001</v>
      </c>
      <c r="G307" s="4">
        <f t="shared" si="45"/>
        <v>2455.6000000000008</v>
      </c>
      <c r="H307" s="4">
        <f t="shared" si="40"/>
        <v>90.2</v>
      </c>
      <c r="I307" s="8">
        <f>AVERAGE(D302:D320)</f>
        <v>16.926315789473687</v>
      </c>
      <c r="J307" s="4">
        <v>0</v>
      </c>
      <c r="K307" s="4">
        <f t="shared" si="46"/>
        <v>449.89999999999981</v>
      </c>
      <c r="L307" s="4">
        <v>4.4000000000000004</v>
      </c>
      <c r="M307" s="4">
        <f t="shared" si="47"/>
        <v>362.79999999999984</v>
      </c>
      <c r="N307" s="7">
        <v>-4.4000000000000004</v>
      </c>
      <c r="O307" s="4">
        <f t="shared" si="42"/>
        <v>74.2</v>
      </c>
      <c r="P307" s="4">
        <v>263</v>
      </c>
      <c r="Q307" s="11">
        <f t="shared" si="48"/>
        <v>1.0409090909090908</v>
      </c>
      <c r="R307" s="8">
        <f t="shared" si="43"/>
        <v>4.58</v>
      </c>
      <c r="S307" s="8">
        <f t="shared" si="44"/>
        <v>-4.58</v>
      </c>
      <c r="T307" s="8">
        <f t="shared" si="49"/>
        <v>64.378636363636417</v>
      </c>
      <c r="U307" s="4">
        <v>7</v>
      </c>
      <c r="V307" s="4">
        <v>2266.4</v>
      </c>
      <c r="X307" s="4">
        <f t="shared" si="50"/>
        <v>208640</v>
      </c>
      <c r="Y307" s="4">
        <f t="shared" si="41"/>
        <v>11156.6</v>
      </c>
      <c r="Z307" s="4">
        <v>2</v>
      </c>
      <c r="AA307" s="4">
        <v>15.613382178962199</v>
      </c>
    </row>
    <row r="308" spans="1:27" s="4" customFormat="1" x14ac:dyDescent="0.25">
      <c r="A308" s="61"/>
      <c r="B308" s="9"/>
      <c r="C308" s="6">
        <v>42154</v>
      </c>
      <c r="D308" s="4">
        <v>15.7</v>
      </c>
      <c r="E308" s="4">
        <v>13.2</v>
      </c>
      <c r="F308" s="4">
        <v>19.3</v>
      </c>
      <c r="G308" s="4">
        <f t="shared" si="45"/>
        <v>2471.3000000000006</v>
      </c>
      <c r="H308" s="4">
        <f t="shared" si="40"/>
        <v>105.9</v>
      </c>
      <c r="I308" s="20" t="s">
        <v>36</v>
      </c>
      <c r="J308" s="4">
        <v>0</v>
      </c>
      <c r="K308" s="4">
        <f t="shared" si="46"/>
        <v>449.89999999999981</v>
      </c>
      <c r="L308" s="4">
        <v>3.2</v>
      </c>
      <c r="M308" s="4">
        <f t="shared" si="47"/>
        <v>365.99999999999983</v>
      </c>
      <c r="N308" s="7">
        <v>-3.2</v>
      </c>
      <c r="O308" s="4">
        <f t="shared" si="42"/>
        <v>71</v>
      </c>
      <c r="P308" s="4">
        <v>264</v>
      </c>
      <c r="Q308" s="11">
        <f t="shared" si="48"/>
        <v>1.0227272727272727</v>
      </c>
      <c r="R308" s="8">
        <f t="shared" si="43"/>
        <v>3.2727272727272729</v>
      </c>
      <c r="S308" s="8">
        <f t="shared" si="44"/>
        <v>-3.2727272727272729</v>
      </c>
      <c r="T308" s="8">
        <f t="shared" si="49"/>
        <v>61.105909090909144</v>
      </c>
      <c r="U308" s="20" t="s">
        <v>37</v>
      </c>
      <c r="V308" s="4">
        <v>1711.6</v>
      </c>
      <c r="X308" s="4">
        <f t="shared" si="50"/>
        <v>210351.6</v>
      </c>
      <c r="Y308" s="4">
        <f t="shared" si="41"/>
        <v>12868.2</v>
      </c>
      <c r="AA308" s="4">
        <v>15.642082883723599</v>
      </c>
    </row>
    <row r="309" spans="1:27" s="4" customFormat="1" x14ac:dyDescent="0.25">
      <c r="A309" s="61"/>
      <c r="B309" s="9"/>
      <c r="C309" s="6">
        <v>42155</v>
      </c>
      <c r="D309" s="4">
        <v>15</v>
      </c>
      <c r="E309" s="4">
        <v>11.4</v>
      </c>
      <c r="F309" s="4">
        <v>17.899999999999999</v>
      </c>
      <c r="G309" s="4">
        <f t="shared" si="45"/>
        <v>2486.3000000000006</v>
      </c>
      <c r="H309" s="4">
        <f t="shared" si="40"/>
        <v>120.9</v>
      </c>
      <c r="I309" s="4">
        <v>0</v>
      </c>
      <c r="J309" s="4">
        <v>1.7</v>
      </c>
      <c r="K309" s="4">
        <f t="shared" si="46"/>
        <v>451.5999999999998</v>
      </c>
      <c r="L309" s="4">
        <v>1.3</v>
      </c>
      <c r="M309" s="4">
        <f t="shared" si="47"/>
        <v>367.29999999999984</v>
      </c>
      <c r="N309" s="4">
        <v>0.39999999999999991</v>
      </c>
      <c r="O309" s="4">
        <f t="shared" si="42"/>
        <v>71.400000000000006</v>
      </c>
      <c r="P309" s="4">
        <v>265</v>
      </c>
      <c r="Q309" s="11">
        <f t="shared" si="48"/>
        <v>1.0045454545454544</v>
      </c>
      <c r="R309" s="8">
        <f t="shared" si="43"/>
        <v>1.3059090909090907</v>
      </c>
      <c r="S309" s="8">
        <f t="shared" si="44"/>
        <v>0.39409090909090927</v>
      </c>
      <c r="T309" s="8">
        <f t="shared" si="49"/>
        <v>61.50000000000005</v>
      </c>
      <c r="U309" s="8">
        <f>MIN(T302:T320)</f>
        <v>23.846363636363684</v>
      </c>
      <c r="V309" s="4">
        <v>657.1</v>
      </c>
      <c r="X309" s="4">
        <f t="shared" si="50"/>
        <v>211008.7</v>
      </c>
      <c r="Y309" s="4">
        <f t="shared" si="41"/>
        <v>13525.300000000001</v>
      </c>
      <c r="AA309" s="4">
        <v>15.6696912404673</v>
      </c>
    </row>
    <row r="310" spans="1:27" s="4" customFormat="1" x14ac:dyDescent="0.25">
      <c r="A310" s="61"/>
      <c r="B310" s="9"/>
      <c r="C310" s="6">
        <v>42156</v>
      </c>
      <c r="D310" s="4">
        <v>13.9</v>
      </c>
      <c r="E310" s="4">
        <v>10.1</v>
      </c>
      <c r="F310" s="4">
        <v>18.600000000000001</v>
      </c>
      <c r="G310" s="4">
        <f t="shared" si="45"/>
        <v>2500.2000000000007</v>
      </c>
      <c r="H310" s="4">
        <f t="shared" si="40"/>
        <v>134.80000000000001</v>
      </c>
      <c r="I310" s="20" t="s">
        <v>38</v>
      </c>
      <c r="J310" s="4">
        <v>0</v>
      </c>
      <c r="K310" s="4">
        <f t="shared" si="46"/>
        <v>451.5999999999998</v>
      </c>
      <c r="L310" s="4">
        <v>2.6</v>
      </c>
      <c r="M310" s="4">
        <f t="shared" si="47"/>
        <v>369.89999999999986</v>
      </c>
      <c r="N310" s="7">
        <v>-2.6</v>
      </c>
      <c r="O310" s="4">
        <f t="shared" si="42"/>
        <v>68.800000000000011</v>
      </c>
      <c r="P310" s="4">
        <v>266</v>
      </c>
      <c r="Q310" s="11">
        <f t="shared" si="48"/>
        <v>0.98636363636363633</v>
      </c>
      <c r="R310" s="8">
        <f t="shared" si="43"/>
        <v>2.5645454545454545</v>
      </c>
      <c r="S310" s="8">
        <f t="shared" si="44"/>
        <v>-2.5645454545454545</v>
      </c>
      <c r="T310" s="8">
        <f t="shared" si="49"/>
        <v>58.935454545454597</v>
      </c>
      <c r="U310" s="20" t="s">
        <v>39</v>
      </c>
      <c r="V310" s="4">
        <v>1464.9</v>
      </c>
      <c r="X310" s="4">
        <f t="shared" si="50"/>
        <v>212473.60000000001</v>
      </c>
      <c r="Y310" s="4">
        <f t="shared" si="41"/>
        <v>14990.2</v>
      </c>
      <c r="AA310" s="4">
        <v>15.696184561548201</v>
      </c>
    </row>
    <row r="311" spans="1:27" s="4" customFormat="1" x14ac:dyDescent="0.25">
      <c r="A311" s="61"/>
      <c r="B311" s="9"/>
      <c r="C311" s="6">
        <v>42157</v>
      </c>
      <c r="D311" s="4">
        <v>17.899999999999999</v>
      </c>
      <c r="E311" s="4">
        <v>12.3</v>
      </c>
      <c r="F311" s="4">
        <v>22.6</v>
      </c>
      <c r="G311" s="4">
        <f t="shared" si="45"/>
        <v>2518.1000000000008</v>
      </c>
      <c r="H311" s="4">
        <f t="shared" si="40"/>
        <v>152.70000000000002</v>
      </c>
      <c r="I311" s="4">
        <v>3</v>
      </c>
      <c r="J311" s="4">
        <v>0</v>
      </c>
      <c r="K311" s="4">
        <f t="shared" si="46"/>
        <v>451.5999999999998</v>
      </c>
      <c r="L311" s="4">
        <v>4.9000000000000004</v>
      </c>
      <c r="M311" s="4">
        <f t="shared" si="47"/>
        <v>374.79999999999984</v>
      </c>
      <c r="N311" s="7">
        <v>-4.9000000000000004</v>
      </c>
      <c r="O311" s="4">
        <f t="shared" si="42"/>
        <v>63.900000000000013</v>
      </c>
      <c r="P311" s="4">
        <v>267</v>
      </c>
      <c r="Q311" s="11">
        <f t="shared" si="48"/>
        <v>0.96818181818181814</v>
      </c>
      <c r="R311" s="8">
        <f t="shared" si="43"/>
        <v>4.7440909090909091</v>
      </c>
      <c r="S311" s="8">
        <f t="shared" si="44"/>
        <v>-4.7440909090909091</v>
      </c>
      <c r="T311" s="8">
        <f t="shared" si="49"/>
        <v>54.19136363636369</v>
      </c>
      <c r="U311" s="8">
        <f>MAX(T302:T320)</f>
        <v>81.456363636363676</v>
      </c>
      <c r="V311" s="4">
        <v>2199.1</v>
      </c>
      <c r="X311" s="4">
        <f t="shared" si="50"/>
        <v>214672.7</v>
      </c>
      <c r="Y311" s="4">
        <f t="shared" si="41"/>
        <v>17189.3</v>
      </c>
      <c r="AA311" s="4">
        <v>15.7215406927068</v>
      </c>
    </row>
    <row r="312" spans="1:27" s="4" customFormat="1" x14ac:dyDescent="0.25">
      <c r="A312" s="61"/>
      <c r="B312" s="9"/>
      <c r="C312" s="6">
        <v>42158</v>
      </c>
      <c r="D312" s="4">
        <v>18.100000000000001</v>
      </c>
      <c r="E312" s="4">
        <v>15.3</v>
      </c>
      <c r="F312" s="4">
        <v>23</v>
      </c>
      <c r="G312" s="4">
        <f t="shared" si="45"/>
        <v>2536.2000000000007</v>
      </c>
      <c r="H312" s="4">
        <f t="shared" si="40"/>
        <v>170.8</v>
      </c>
      <c r="I312" s="20" t="s">
        <v>40</v>
      </c>
      <c r="J312" s="4">
        <v>0</v>
      </c>
      <c r="K312" s="4">
        <f t="shared" si="46"/>
        <v>451.5999999999998</v>
      </c>
      <c r="L312" s="4">
        <v>1.8</v>
      </c>
      <c r="M312" s="4">
        <f t="shared" si="47"/>
        <v>376.59999999999985</v>
      </c>
      <c r="N312" s="7">
        <v>-1.8</v>
      </c>
      <c r="O312" s="4">
        <f t="shared" si="42"/>
        <v>62.100000000000016</v>
      </c>
      <c r="P312" s="4">
        <v>268</v>
      </c>
      <c r="Q312" s="11">
        <f t="shared" si="48"/>
        <v>0.95</v>
      </c>
      <c r="R312" s="8">
        <f t="shared" si="43"/>
        <v>1.71</v>
      </c>
      <c r="S312" s="8">
        <f t="shared" si="44"/>
        <v>-1.71</v>
      </c>
      <c r="T312" s="8">
        <f t="shared" si="49"/>
        <v>52.481363636363689</v>
      </c>
      <c r="U312" s="20" t="s">
        <v>41</v>
      </c>
      <c r="V312" s="4">
        <v>909.1</v>
      </c>
      <c r="X312" s="4">
        <f t="shared" si="50"/>
        <v>215581.80000000002</v>
      </c>
      <c r="Y312" s="4">
        <f t="shared" si="41"/>
        <v>18098.399999999998</v>
      </c>
      <c r="AA312" s="4">
        <v>15.745738076679499</v>
      </c>
    </row>
    <row r="313" spans="1:27" s="4" customFormat="1" x14ac:dyDescent="0.25">
      <c r="A313" s="61"/>
      <c r="B313" s="9"/>
      <c r="C313" s="6">
        <v>42159</v>
      </c>
      <c r="D313" s="4">
        <v>21.4</v>
      </c>
      <c r="E313" s="4">
        <v>12.5</v>
      </c>
      <c r="F313" s="4">
        <v>30.1</v>
      </c>
      <c r="G313" s="4">
        <f t="shared" si="45"/>
        <v>2557.6000000000008</v>
      </c>
      <c r="H313" s="4">
        <f t="shared" si="40"/>
        <v>192.20000000000002</v>
      </c>
      <c r="I313" s="4">
        <v>0</v>
      </c>
      <c r="J313" s="4">
        <v>0</v>
      </c>
      <c r="K313" s="4">
        <f t="shared" si="46"/>
        <v>451.5999999999998</v>
      </c>
      <c r="L313" s="4">
        <v>5.9</v>
      </c>
      <c r="M313" s="4">
        <f t="shared" si="47"/>
        <v>382.49999999999983</v>
      </c>
      <c r="N313" s="7">
        <v>-5.9</v>
      </c>
      <c r="O313" s="4">
        <f t="shared" si="42"/>
        <v>56.200000000000017</v>
      </c>
      <c r="P313" s="4">
        <v>269</v>
      </c>
      <c r="Q313" s="11">
        <f t="shared" si="48"/>
        <v>0.93181818181818177</v>
      </c>
      <c r="R313" s="8">
        <f t="shared" si="43"/>
        <v>5.497727272727273</v>
      </c>
      <c r="S313" s="8">
        <f t="shared" si="44"/>
        <v>-5.497727272727273</v>
      </c>
      <c r="T313" s="8">
        <f t="shared" si="49"/>
        <v>46.983636363636414</v>
      </c>
      <c r="U313" s="11">
        <f>AVERAGE(T302:T320)</f>
        <v>52.54038277511966</v>
      </c>
      <c r="V313" s="4">
        <v>2999.1</v>
      </c>
      <c r="X313" s="4">
        <f t="shared" si="50"/>
        <v>218580.90000000002</v>
      </c>
      <c r="Y313" s="4">
        <f t="shared" si="41"/>
        <v>21097.499999999996</v>
      </c>
      <c r="AA313" s="4">
        <v>15.7687558168754</v>
      </c>
    </row>
    <row r="314" spans="1:27" s="4" customFormat="1" x14ac:dyDescent="0.25">
      <c r="A314" s="61"/>
      <c r="B314" s="9"/>
      <c r="C314" s="6">
        <v>42160</v>
      </c>
      <c r="D314" s="4">
        <v>23.9</v>
      </c>
      <c r="E314" s="4">
        <v>16.600000000000001</v>
      </c>
      <c r="F314" s="4">
        <v>31.6</v>
      </c>
      <c r="G314" s="4">
        <f t="shared" si="45"/>
        <v>2581.5000000000009</v>
      </c>
      <c r="H314" s="4">
        <f t="shared" si="40"/>
        <v>216.10000000000002</v>
      </c>
      <c r="I314" s="20" t="s">
        <v>42</v>
      </c>
      <c r="J314" s="4">
        <v>0</v>
      </c>
      <c r="K314" s="4">
        <f t="shared" si="46"/>
        <v>451.5999999999998</v>
      </c>
      <c r="L314" s="4">
        <v>5.6</v>
      </c>
      <c r="M314" s="4">
        <f t="shared" si="47"/>
        <v>388.09999999999985</v>
      </c>
      <c r="N314" s="7">
        <v>-5.6</v>
      </c>
      <c r="O314" s="4">
        <f t="shared" si="42"/>
        <v>50.600000000000016</v>
      </c>
      <c r="P314" s="4">
        <v>270</v>
      </c>
      <c r="Q314" s="11">
        <f t="shared" si="48"/>
        <v>0.91363636363636358</v>
      </c>
      <c r="R314" s="8">
        <f t="shared" si="43"/>
        <v>5.1163636363636353</v>
      </c>
      <c r="S314" s="8">
        <f t="shared" si="44"/>
        <v>-5.1163636363636353</v>
      </c>
      <c r="T314" s="8">
        <f t="shared" si="49"/>
        <v>41.867272727272777</v>
      </c>
      <c r="V314" s="4">
        <v>2280.6</v>
      </c>
      <c r="W314" s="15">
        <f>(Y314/100)/I315</f>
        <v>0.72693097014925356</v>
      </c>
      <c r="X314" s="15">
        <f t="shared" si="50"/>
        <v>220861.50000000003</v>
      </c>
      <c r="Y314" s="4">
        <f t="shared" si="41"/>
        <v>23378.099999999995</v>
      </c>
      <c r="AA314" s="4">
        <v>15.7905737407762</v>
      </c>
    </row>
    <row r="315" spans="1:27" s="4" customFormat="1" ht="15" customHeight="1" x14ac:dyDescent="0.25">
      <c r="A315" s="61"/>
      <c r="B315" s="9"/>
      <c r="C315" s="6">
        <v>42161</v>
      </c>
      <c r="D315" s="4">
        <v>17.899999999999999</v>
      </c>
      <c r="E315" s="4">
        <v>14.6</v>
      </c>
      <c r="F315" s="4">
        <v>22.1</v>
      </c>
      <c r="G315" s="4">
        <f t="shared" si="45"/>
        <v>2599.400000000001</v>
      </c>
      <c r="H315" s="4">
        <f t="shared" si="40"/>
        <v>234.00000000000003</v>
      </c>
      <c r="I315" s="4">
        <v>321.60000000000002</v>
      </c>
      <c r="J315" s="4">
        <v>0</v>
      </c>
      <c r="K315" s="4">
        <f t="shared" si="46"/>
        <v>451.5999999999998</v>
      </c>
      <c r="L315" s="4">
        <v>3.9</v>
      </c>
      <c r="M315" s="4">
        <f t="shared" si="47"/>
        <v>391.99999999999983</v>
      </c>
      <c r="N315" s="7">
        <v>-3.9</v>
      </c>
      <c r="O315" s="4">
        <f t="shared" si="42"/>
        <v>46.700000000000017</v>
      </c>
      <c r="P315" s="4">
        <v>271</v>
      </c>
      <c r="Q315" s="11">
        <f t="shared" si="48"/>
        <v>0.89545454545454539</v>
      </c>
      <c r="R315" s="8">
        <f t="shared" si="43"/>
        <v>3.4922727272727268</v>
      </c>
      <c r="S315" s="8">
        <f t="shared" si="44"/>
        <v>-3.4922727272727268</v>
      </c>
      <c r="T315" s="8">
        <f t="shared" si="49"/>
        <v>38.37500000000005</v>
      </c>
      <c r="U315" s="8">
        <f>(U313*100)/138.9</f>
        <v>37.826049514125025</v>
      </c>
      <c r="V315" s="4">
        <v>1668.4</v>
      </c>
      <c r="X315" s="4">
        <f t="shared" si="50"/>
        <v>222529.90000000002</v>
      </c>
      <c r="Y315" s="4">
        <f t="shared" si="41"/>
        <v>25046.499999999996</v>
      </c>
      <c r="AA315" s="4">
        <v>15.8111724627038</v>
      </c>
    </row>
    <row r="316" spans="1:27" s="4" customFormat="1" x14ac:dyDescent="0.25">
      <c r="A316" s="61"/>
      <c r="B316" s="9"/>
      <c r="C316" s="6">
        <v>42162</v>
      </c>
      <c r="D316" s="4">
        <v>17</v>
      </c>
      <c r="E316" s="4">
        <v>12.2</v>
      </c>
      <c r="F316" s="4">
        <v>21.6</v>
      </c>
      <c r="G316" s="4">
        <f t="shared" si="45"/>
        <v>2616.400000000001</v>
      </c>
      <c r="H316" s="4">
        <f t="shared" si="40"/>
        <v>251.00000000000003</v>
      </c>
      <c r="J316" s="4">
        <v>0</v>
      </c>
      <c r="K316" s="4">
        <f t="shared" si="46"/>
        <v>451.5999999999998</v>
      </c>
      <c r="L316" s="4">
        <v>4.5999999999999996</v>
      </c>
      <c r="M316" s="4">
        <f t="shared" si="47"/>
        <v>396.59999999999985</v>
      </c>
      <c r="N316" s="7">
        <v>-4.5999999999999996</v>
      </c>
      <c r="O316" s="4">
        <f t="shared" si="42"/>
        <v>42.100000000000016</v>
      </c>
      <c r="P316" s="4">
        <v>272</v>
      </c>
      <c r="Q316" s="11">
        <f t="shared" si="48"/>
        <v>0.8772727272727272</v>
      </c>
      <c r="R316" s="8">
        <f t="shared" si="43"/>
        <v>4.0354545454545452</v>
      </c>
      <c r="S316" s="8">
        <f t="shared" si="44"/>
        <v>-4.0354545454545452</v>
      </c>
      <c r="T316" s="8">
        <f t="shared" si="49"/>
        <v>34.339545454545501</v>
      </c>
      <c r="V316" s="4">
        <v>1898.7</v>
      </c>
      <c r="X316" s="4">
        <f t="shared" si="50"/>
        <v>224428.60000000003</v>
      </c>
      <c r="Y316" s="4">
        <f t="shared" si="41"/>
        <v>26945.199999999997</v>
      </c>
      <c r="AA316" s="4">
        <v>15.830533445586701</v>
      </c>
    </row>
    <row r="317" spans="1:27" s="4" customFormat="1" x14ac:dyDescent="0.25">
      <c r="A317" s="61"/>
      <c r="B317" s="9"/>
      <c r="C317" s="6">
        <v>42163</v>
      </c>
      <c r="D317" s="4">
        <v>16.399999999999999</v>
      </c>
      <c r="E317" s="4">
        <v>11.7</v>
      </c>
      <c r="F317" s="4">
        <v>21.4</v>
      </c>
      <c r="G317" s="4">
        <f t="shared" si="45"/>
        <v>2632.8000000000011</v>
      </c>
      <c r="H317" s="4">
        <f t="shared" si="40"/>
        <v>267.40000000000003</v>
      </c>
      <c r="J317" s="4">
        <v>0</v>
      </c>
      <c r="K317" s="4">
        <f t="shared" si="46"/>
        <v>451.5999999999998</v>
      </c>
      <c r="L317" s="4">
        <v>6.3</v>
      </c>
      <c r="M317" s="4">
        <f t="shared" si="47"/>
        <v>402.89999999999986</v>
      </c>
      <c r="N317" s="7">
        <v>-6.3</v>
      </c>
      <c r="O317" s="4">
        <f t="shared" si="42"/>
        <v>35.800000000000018</v>
      </c>
      <c r="P317" s="4">
        <v>273</v>
      </c>
      <c r="Q317" s="11">
        <f t="shared" si="48"/>
        <v>0.85909090909090902</v>
      </c>
      <c r="R317" s="8">
        <f t="shared" si="43"/>
        <v>5.4122727272727262</v>
      </c>
      <c r="S317" s="8">
        <f t="shared" si="44"/>
        <v>-5.4122727272727262</v>
      </c>
      <c r="T317" s="8">
        <f t="shared" si="49"/>
        <v>28.927272727272776</v>
      </c>
      <c r="V317" s="4">
        <v>3083.2</v>
      </c>
      <c r="X317" s="4">
        <f t="shared" si="50"/>
        <v>227511.80000000005</v>
      </c>
      <c r="Y317" s="4">
        <f t="shared" si="41"/>
        <v>30028.399999999998</v>
      </c>
      <c r="AA317" s="4">
        <v>15.848639061348299</v>
      </c>
    </row>
    <row r="318" spans="1:27" s="4" customFormat="1" x14ac:dyDescent="0.25">
      <c r="A318" s="61"/>
      <c r="B318" s="9"/>
      <c r="C318" s="6">
        <v>42164</v>
      </c>
      <c r="D318" s="4">
        <v>15.7</v>
      </c>
      <c r="E318" s="4">
        <v>11.4</v>
      </c>
      <c r="F318" s="4">
        <v>19.8</v>
      </c>
      <c r="G318" s="4">
        <f t="shared" si="45"/>
        <v>2648.5000000000009</v>
      </c>
      <c r="H318" s="4">
        <f t="shared" si="40"/>
        <v>283.10000000000002</v>
      </c>
      <c r="J318" s="4">
        <v>0</v>
      </c>
      <c r="K318" s="4">
        <f t="shared" si="46"/>
        <v>451.5999999999998</v>
      </c>
      <c r="L318" s="4">
        <v>5.0999999999999996</v>
      </c>
      <c r="M318" s="4">
        <f t="shared" si="47"/>
        <v>407.99999999999989</v>
      </c>
      <c r="N318" s="7">
        <v>-5.0999999999999996</v>
      </c>
      <c r="O318" s="4">
        <f t="shared" si="42"/>
        <v>30.700000000000017</v>
      </c>
      <c r="P318" s="4">
        <v>274</v>
      </c>
      <c r="Q318" s="11">
        <f t="shared" si="48"/>
        <v>0.84090909090909083</v>
      </c>
      <c r="R318" s="8">
        <f t="shared" si="43"/>
        <v>4.2886363636363631</v>
      </c>
      <c r="S318" s="8">
        <f t="shared" si="44"/>
        <v>-4.2886363636363631</v>
      </c>
      <c r="T318" s="8">
        <f t="shared" si="49"/>
        <v>24.638636363636412</v>
      </c>
      <c r="V318" s="4">
        <v>2487.6999999999998</v>
      </c>
      <c r="X318" s="4">
        <f t="shared" si="50"/>
        <v>229999.50000000006</v>
      </c>
      <c r="Y318" s="4">
        <f t="shared" si="41"/>
        <v>32516.1</v>
      </c>
      <c r="AA318" s="4">
        <v>15.8654726495367</v>
      </c>
    </row>
    <row r="319" spans="1:27" s="4" customFormat="1" x14ac:dyDescent="0.25">
      <c r="A319" s="61"/>
      <c r="B319" s="9"/>
      <c r="C319" s="6">
        <v>42165</v>
      </c>
      <c r="D319" s="4">
        <v>16.7</v>
      </c>
      <c r="E319" s="4">
        <v>12.7</v>
      </c>
      <c r="F319" s="4">
        <v>20</v>
      </c>
      <c r="G319" s="4">
        <f t="shared" si="45"/>
        <v>2665.2000000000007</v>
      </c>
      <c r="H319" s="4">
        <f t="shared" si="40"/>
        <v>299.8</v>
      </c>
      <c r="J319" s="4">
        <v>1.1000000000000001</v>
      </c>
      <c r="K319" s="4">
        <f t="shared" si="46"/>
        <v>452.69999999999982</v>
      </c>
      <c r="L319" s="4">
        <v>2.2999999999999998</v>
      </c>
      <c r="M319" s="4">
        <f t="shared" si="47"/>
        <v>410.2999999999999</v>
      </c>
      <c r="N319" s="7">
        <v>-1.1999999999999997</v>
      </c>
      <c r="O319" s="4">
        <f t="shared" si="42"/>
        <v>29.500000000000018</v>
      </c>
      <c r="P319" s="4">
        <v>275</v>
      </c>
      <c r="Q319" s="11">
        <f t="shared" si="48"/>
        <v>0.82272727272727264</v>
      </c>
      <c r="R319" s="8">
        <f t="shared" si="43"/>
        <v>1.8922727272727269</v>
      </c>
      <c r="S319" s="8">
        <f t="shared" si="44"/>
        <v>-0.7922727272727268</v>
      </c>
      <c r="T319" s="8">
        <f t="shared" si="49"/>
        <v>23.846363636363684</v>
      </c>
      <c r="V319" s="4">
        <v>774.7</v>
      </c>
      <c r="X319" s="4">
        <f t="shared" si="50"/>
        <v>230774.20000000007</v>
      </c>
      <c r="Y319" s="4">
        <f t="shared" si="41"/>
        <v>33290.799999999996</v>
      </c>
      <c r="AA319" s="4">
        <v>15.881018573813099</v>
      </c>
    </row>
    <row r="320" spans="1:27" s="29" customFormat="1" ht="15.75" thickBot="1" x14ac:dyDescent="0.3">
      <c r="A320" s="61"/>
      <c r="B320" s="27">
        <v>600</v>
      </c>
      <c r="C320" s="28">
        <v>42166</v>
      </c>
      <c r="D320" s="29">
        <v>21.8</v>
      </c>
      <c r="E320" s="29">
        <v>15.8</v>
      </c>
      <c r="F320" s="29">
        <v>28.5</v>
      </c>
      <c r="G320" s="29">
        <f t="shared" si="45"/>
        <v>2687.0000000000009</v>
      </c>
      <c r="H320" s="29">
        <f t="shared" si="40"/>
        <v>321.60000000000002</v>
      </c>
      <c r="J320" s="29">
        <v>8.8000000000000007</v>
      </c>
      <c r="K320" s="29">
        <f t="shared" si="46"/>
        <v>461.49999999999983</v>
      </c>
      <c r="L320" s="29">
        <v>3.6</v>
      </c>
      <c r="M320" s="29">
        <f t="shared" si="47"/>
        <v>413.89999999999992</v>
      </c>
      <c r="N320" s="29">
        <v>5.2000000000000011</v>
      </c>
      <c r="O320" s="29">
        <f t="shared" si="42"/>
        <v>34.700000000000017</v>
      </c>
      <c r="P320" s="29">
        <v>276</v>
      </c>
      <c r="Q320" s="33">
        <f t="shared" si="48"/>
        <v>0.80454545454545445</v>
      </c>
      <c r="R320" s="31">
        <f t="shared" si="43"/>
        <v>2.896363636363636</v>
      </c>
      <c r="S320" s="31">
        <f t="shared" si="44"/>
        <v>5.9036363636363642</v>
      </c>
      <c r="T320" s="31">
        <f t="shared" si="49"/>
        <v>29.75000000000005</v>
      </c>
      <c r="V320" s="29">
        <v>1665.3</v>
      </c>
      <c r="X320" s="29">
        <f t="shared" si="50"/>
        <v>232439.50000000006</v>
      </c>
      <c r="Y320" s="29">
        <f t="shared" si="41"/>
        <v>34956.1</v>
      </c>
      <c r="AA320" s="29">
        <v>15.8952622759194</v>
      </c>
    </row>
    <row r="321" spans="1:27" s="4" customFormat="1" x14ac:dyDescent="0.25">
      <c r="A321" s="54">
        <v>1000</v>
      </c>
      <c r="B321" s="9"/>
      <c r="C321" s="6">
        <v>42167</v>
      </c>
      <c r="D321" s="4">
        <v>19.2</v>
      </c>
      <c r="E321" s="4">
        <v>17.2</v>
      </c>
      <c r="F321" s="4">
        <v>22.8</v>
      </c>
      <c r="G321" s="4">
        <f t="shared" si="45"/>
        <v>2706.2000000000007</v>
      </c>
      <c r="H321" s="4">
        <v>19.2</v>
      </c>
      <c r="I321" s="21" t="s">
        <v>27</v>
      </c>
      <c r="J321" s="4">
        <v>0.3</v>
      </c>
      <c r="K321" s="4">
        <f t="shared" si="46"/>
        <v>461.79999999999984</v>
      </c>
      <c r="L321" s="4">
        <v>2.4</v>
      </c>
      <c r="M321" s="4">
        <f t="shared" si="47"/>
        <v>416.2999999999999</v>
      </c>
      <c r="N321" s="7">
        <v>-2.1</v>
      </c>
      <c r="O321" s="4">
        <f t="shared" si="42"/>
        <v>32.600000000000016</v>
      </c>
      <c r="P321" s="4">
        <v>277</v>
      </c>
      <c r="Q321" s="11">
        <f t="shared" si="48"/>
        <v>0.78636363636363638</v>
      </c>
      <c r="R321" s="8">
        <f t="shared" si="43"/>
        <v>1.8872727272727272</v>
      </c>
      <c r="S321" s="8">
        <f t="shared" si="44"/>
        <v>-1.5872727272727272</v>
      </c>
      <c r="T321" s="8">
        <f t="shared" si="49"/>
        <v>28.162727272727324</v>
      </c>
      <c r="U321" s="21" t="s">
        <v>28</v>
      </c>
      <c r="V321" s="4">
        <v>1045.0999999999999</v>
      </c>
      <c r="X321" s="4">
        <f t="shared" si="50"/>
        <v>233484.60000000006</v>
      </c>
      <c r="Y321" s="4">
        <v>1045.0999999999999</v>
      </c>
      <c r="Z321" s="21" t="s">
        <v>29</v>
      </c>
      <c r="AA321" s="4">
        <v>15.908190326753701</v>
      </c>
    </row>
    <row r="322" spans="1:27" s="4" customFormat="1" x14ac:dyDescent="0.25">
      <c r="A322" s="54"/>
      <c r="B322" s="9"/>
      <c r="C322" s="6">
        <v>42168</v>
      </c>
      <c r="D322" s="4">
        <v>19.100000000000001</v>
      </c>
      <c r="E322" s="4">
        <v>14.4</v>
      </c>
      <c r="F322" s="4">
        <v>24.3</v>
      </c>
      <c r="G322" s="4">
        <f t="shared" si="45"/>
        <v>2725.3000000000006</v>
      </c>
      <c r="H322" s="4">
        <f t="shared" ref="H322:H345" si="51">H321+D322</f>
        <v>38.299999999999997</v>
      </c>
      <c r="I322" s="4">
        <f>MIN(E321:E341)</f>
        <v>8.9</v>
      </c>
      <c r="J322" s="4">
        <v>0.1</v>
      </c>
      <c r="K322" s="4">
        <f t="shared" si="46"/>
        <v>461.89999999999986</v>
      </c>
      <c r="L322" s="4">
        <v>3.9</v>
      </c>
      <c r="M322" s="4">
        <f t="shared" si="47"/>
        <v>420.19999999999987</v>
      </c>
      <c r="N322" s="7">
        <v>-3.8</v>
      </c>
      <c r="O322" s="4">
        <f t="shared" si="42"/>
        <v>28.800000000000015</v>
      </c>
      <c r="P322" s="4">
        <v>278</v>
      </c>
      <c r="Q322" s="11">
        <f t="shared" si="48"/>
        <v>0.76818181818181808</v>
      </c>
      <c r="R322" s="8">
        <f t="shared" si="43"/>
        <v>2.9959090909090906</v>
      </c>
      <c r="S322" s="8">
        <f t="shared" si="44"/>
        <v>-2.8959090909090905</v>
      </c>
      <c r="T322" s="8">
        <f t="shared" si="49"/>
        <v>25.266818181818234</v>
      </c>
      <c r="U322" s="4">
        <v>21</v>
      </c>
      <c r="V322" s="4">
        <v>2014.2</v>
      </c>
      <c r="X322" s="4">
        <f t="shared" si="50"/>
        <v>235498.80000000008</v>
      </c>
      <c r="Y322" s="4">
        <f t="shared" ref="Y322:Y345" si="52">Y321+V322</f>
        <v>3059.3</v>
      </c>
      <c r="Z322" s="4">
        <v>43766.700000000004</v>
      </c>
      <c r="AA322" s="4">
        <v>15.9197904741906</v>
      </c>
    </row>
    <row r="323" spans="1:27" s="4" customFormat="1" x14ac:dyDescent="0.25">
      <c r="A323" s="54"/>
      <c r="B323" s="9"/>
      <c r="C323" s="6">
        <v>42169</v>
      </c>
      <c r="D323" s="4">
        <v>16.8</v>
      </c>
      <c r="E323" s="4">
        <v>14.8</v>
      </c>
      <c r="F323" s="4">
        <v>18.3</v>
      </c>
      <c r="G323" s="4">
        <f t="shared" si="45"/>
        <v>2742.1000000000008</v>
      </c>
      <c r="H323" s="4">
        <f t="shared" si="51"/>
        <v>55.099999999999994</v>
      </c>
      <c r="I323" s="21" t="s">
        <v>30</v>
      </c>
      <c r="J323" s="4">
        <v>1.1000000000000001</v>
      </c>
      <c r="K323" s="4">
        <f t="shared" si="46"/>
        <v>462.99999999999989</v>
      </c>
      <c r="L323" s="4">
        <v>2.2000000000000002</v>
      </c>
      <c r="M323" s="4">
        <f t="shared" si="47"/>
        <v>422.39999999999986</v>
      </c>
      <c r="N323" s="7">
        <v>-1.1000000000000001</v>
      </c>
      <c r="O323" s="4">
        <f t="shared" si="42"/>
        <v>27.700000000000014</v>
      </c>
      <c r="P323" s="4">
        <v>279</v>
      </c>
      <c r="Q323" s="11">
        <f t="shared" si="48"/>
        <v>0.75</v>
      </c>
      <c r="R323" s="8">
        <f t="shared" si="43"/>
        <v>1.6500000000000001</v>
      </c>
      <c r="S323" s="8">
        <f t="shared" si="44"/>
        <v>-0.55000000000000004</v>
      </c>
      <c r="T323" s="8">
        <f t="shared" si="49"/>
        <v>24.716818181818233</v>
      </c>
      <c r="U323" s="21" t="s">
        <v>31</v>
      </c>
      <c r="V323" s="4">
        <v>1129.0999999999999</v>
      </c>
      <c r="X323" s="4">
        <f t="shared" si="50"/>
        <v>236627.90000000008</v>
      </c>
      <c r="Y323" s="4">
        <f t="shared" si="52"/>
        <v>4188.3999999999996</v>
      </c>
      <c r="Z323" s="21" t="s">
        <v>32</v>
      </c>
      <c r="AA323" s="4">
        <v>15.9300516873031</v>
      </c>
    </row>
    <row r="324" spans="1:27" s="4" customFormat="1" x14ac:dyDescent="0.25">
      <c r="A324" s="54"/>
      <c r="B324" s="9"/>
      <c r="C324" s="6">
        <v>42170</v>
      </c>
      <c r="D324" s="4">
        <v>16.899999999999999</v>
      </c>
      <c r="E324" s="4">
        <v>13.9</v>
      </c>
      <c r="F324" s="4">
        <v>19.399999999999999</v>
      </c>
      <c r="G324" s="4">
        <f t="shared" si="45"/>
        <v>2759.0000000000009</v>
      </c>
      <c r="H324" s="4">
        <f t="shared" si="51"/>
        <v>72</v>
      </c>
      <c r="I324" s="4">
        <f>MAX(F321:F341)</f>
        <v>36</v>
      </c>
      <c r="J324" s="4">
        <v>0.2</v>
      </c>
      <c r="K324" s="4">
        <f t="shared" si="46"/>
        <v>463.19999999999987</v>
      </c>
      <c r="L324" s="4">
        <v>1</v>
      </c>
      <c r="M324" s="4">
        <f t="shared" si="47"/>
        <v>423.39999999999986</v>
      </c>
      <c r="N324" s="7">
        <v>-0.8</v>
      </c>
      <c r="O324" s="4">
        <f t="shared" si="42"/>
        <v>26.900000000000013</v>
      </c>
      <c r="P324" s="4">
        <v>280</v>
      </c>
      <c r="Q324" s="11">
        <f t="shared" si="48"/>
        <v>0.7318181818181817</v>
      </c>
      <c r="R324" s="8">
        <f t="shared" si="43"/>
        <v>0.7318181818181817</v>
      </c>
      <c r="S324" s="8">
        <f t="shared" si="44"/>
        <v>-0.53181818181818175</v>
      </c>
      <c r="T324" s="8">
        <f t="shared" si="49"/>
        <v>24.185000000000052</v>
      </c>
      <c r="U324" s="4">
        <v>8</v>
      </c>
      <c r="V324" s="4">
        <v>681.1</v>
      </c>
      <c r="X324" s="4">
        <f t="shared" si="50"/>
        <v>237309.00000000009</v>
      </c>
      <c r="Y324" s="4">
        <f t="shared" si="52"/>
        <v>4869.5</v>
      </c>
      <c r="Z324" s="11">
        <f>(Z322/100)/I334</f>
        <v>1.0495611510791367</v>
      </c>
      <c r="AA324" s="4">
        <v>15.938964196657301</v>
      </c>
    </row>
    <row r="325" spans="1:27" s="4" customFormat="1" x14ac:dyDescent="0.25">
      <c r="A325" s="54"/>
      <c r="B325" s="9"/>
      <c r="C325" s="6">
        <v>42171</v>
      </c>
      <c r="D325" s="4">
        <v>17.100000000000001</v>
      </c>
      <c r="E325" s="4">
        <v>13</v>
      </c>
      <c r="F325" s="4">
        <v>21.7</v>
      </c>
      <c r="G325" s="4">
        <f t="shared" si="45"/>
        <v>2776.1000000000008</v>
      </c>
      <c r="H325" s="4">
        <f t="shared" si="51"/>
        <v>89.1</v>
      </c>
      <c r="I325" s="21" t="s">
        <v>33</v>
      </c>
      <c r="J325" s="4">
        <v>0</v>
      </c>
      <c r="K325" s="4">
        <f t="shared" si="46"/>
        <v>463.19999999999987</v>
      </c>
      <c r="L325" s="4">
        <v>4.5999999999999996</v>
      </c>
      <c r="M325" s="4">
        <f t="shared" si="47"/>
        <v>427.99999999999989</v>
      </c>
      <c r="N325" s="7">
        <v>-4.5999999999999996</v>
      </c>
      <c r="O325" s="4">
        <f t="shared" si="42"/>
        <v>22.300000000000011</v>
      </c>
      <c r="P325" s="4">
        <v>281</v>
      </c>
      <c r="Q325" s="11">
        <f t="shared" si="48"/>
        <v>0.71363636363636362</v>
      </c>
      <c r="R325" s="8">
        <f t="shared" si="43"/>
        <v>3.2827272727272723</v>
      </c>
      <c r="S325" s="8">
        <f t="shared" si="44"/>
        <v>-3.2827272727272723</v>
      </c>
      <c r="T325" s="8">
        <f t="shared" si="49"/>
        <v>20.902272727272781</v>
      </c>
      <c r="U325" s="21" t="s">
        <v>34</v>
      </c>
      <c r="V325" s="4">
        <v>2300.3000000000002</v>
      </c>
      <c r="X325" s="4">
        <f t="shared" si="50"/>
        <v>239609.30000000008</v>
      </c>
      <c r="Y325" s="4">
        <f t="shared" si="52"/>
        <v>7169.8</v>
      </c>
      <c r="Z325" s="21" t="s">
        <v>35</v>
      </c>
      <c r="AA325" s="4">
        <v>15.9465195303799</v>
      </c>
    </row>
    <row r="326" spans="1:27" s="4" customFormat="1" x14ac:dyDescent="0.25">
      <c r="A326" s="54"/>
      <c r="B326" s="9"/>
      <c r="C326" s="6">
        <v>42172</v>
      </c>
      <c r="D326" s="4">
        <v>17.7</v>
      </c>
      <c r="E326" s="4">
        <v>10.4</v>
      </c>
      <c r="F326" s="4">
        <v>24.1</v>
      </c>
      <c r="G326" s="4">
        <f t="shared" si="45"/>
        <v>2793.8000000000006</v>
      </c>
      <c r="H326" s="4">
        <f t="shared" si="51"/>
        <v>106.8</v>
      </c>
      <c r="I326" s="8">
        <f>AVERAGE(D321:D341)</f>
        <v>19.857142857142854</v>
      </c>
      <c r="J326" s="4">
        <v>0</v>
      </c>
      <c r="K326" s="4">
        <f t="shared" si="46"/>
        <v>463.19999999999987</v>
      </c>
      <c r="L326" s="4">
        <v>4.7</v>
      </c>
      <c r="M326" s="4">
        <f t="shared" si="47"/>
        <v>432.69999999999987</v>
      </c>
      <c r="N326" s="7">
        <v>-4.7</v>
      </c>
      <c r="O326" s="4">
        <f t="shared" si="42"/>
        <v>17.600000000000012</v>
      </c>
      <c r="P326" s="4">
        <v>282</v>
      </c>
      <c r="Q326" s="11">
        <f t="shared" si="48"/>
        <v>0.69545454545454533</v>
      </c>
      <c r="R326" s="8">
        <f t="shared" si="43"/>
        <v>3.2686363636363631</v>
      </c>
      <c r="S326" s="8">
        <f t="shared" si="44"/>
        <v>-3.2686363636363631</v>
      </c>
      <c r="T326" s="8">
        <f t="shared" si="49"/>
        <v>17.633636363636416</v>
      </c>
      <c r="U326" s="4">
        <v>13</v>
      </c>
      <c r="V326" s="4">
        <v>2422.4</v>
      </c>
      <c r="X326" s="4">
        <f t="shared" si="50"/>
        <v>242031.70000000007</v>
      </c>
      <c r="Y326" s="4">
        <f t="shared" si="52"/>
        <v>9592.2000000000007</v>
      </c>
      <c r="Z326" s="4">
        <v>1</v>
      </c>
      <c r="AA326" s="4">
        <v>15.9527105457221</v>
      </c>
    </row>
    <row r="327" spans="1:27" s="4" customFormat="1" x14ac:dyDescent="0.25">
      <c r="A327" s="54"/>
      <c r="B327" s="9"/>
      <c r="C327" s="6">
        <v>42173</v>
      </c>
      <c r="D327" s="4">
        <v>17.8</v>
      </c>
      <c r="E327" s="4">
        <v>14.1</v>
      </c>
      <c r="F327" s="4">
        <v>21.5</v>
      </c>
      <c r="G327" s="4">
        <f t="shared" si="45"/>
        <v>2811.6000000000008</v>
      </c>
      <c r="H327" s="4">
        <f t="shared" si="51"/>
        <v>124.6</v>
      </c>
      <c r="I327" s="21" t="s">
        <v>36</v>
      </c>
      <c r="J327" s="4">
        <v>0.8</v>
      </c>
      <c r="K327" s="4">
        <f t="shared" si="46"/>
        <v>463.99999999999989</v>
      </c>
      <c r="L327" s="4">
        <v>2</v>
      </c>
      <c r="M327" s="4">
        <f t="shared" si="47"/>
        <v>434.69999999999987</v>
      </c>
      <c r="N327" s="7">
        <v>-1.2</v>
      </c>
      <c r="O327" s="4">
        <f t="shared" si="42"/>
        <v>16.400000000000013</v>
      </c>
      <c r="P327" s="4">
        <v>283</v>
      </c>
      <c r="Q327" s="11">
        <f t="shared" si="48"/>
        <v>0.67727272727272725</v>
      </c>
      <c r="R327" s="8">
        <f t="shared" si="43"/>
        <v>1.3545454545454545</v>
      </c>
      <c r="S327" s="8">
        <f t="shared" si="44"/>
        <v>-0.55454545454545445</v>
      </c>
      <c r="T327" s="8">
        <f t="shared" si="49"/>
        <v>17.079090909090962</v>
      </c>
      <c r="U327" s="21" t="s">
        <v>37</v>
      </c>
      <c r="V327" s="4">
        <v>919.8</v>
      </c>
      <c r="X327" s="4">
        <f t="shared" si="50"/>
        <v>242951.50000000006</v>
      </c>
      <c r="Y327" s="4">
        <f t="shared" si="52"/>
        <v>10512</v>
      </c>
      <c r="AA327" s="4">
        <v>15.9575314558762</v>
      </c>
    </row>
    <row r="328" spans="1:27" s="4" customFormat="1" x14ac:dyDescent="0.25">
      <c r="A328" s="54"/>
      <c r="B328" s="9"/>
      <c r="C328" s="6">
        <v>42174</v>
      </c>
      <c r="D328" s="4">
        <v>17.2</v>
      </c>
      <c r="E328" s="4">
        <v>12.3</v>
      </c>
      <c r="F328" s="4">
        <v>22.4</v>
      </c>
      <c r="G328" s="4">
        <f t="shared" si="45"/>
        <v>2828.8000000000006</v>
      </c>
      <c r="H328" s="4">
        <f t="shared" si="51"/>
        <v>141.79999999999998</v>
      </c>
      <c r="I328" s="4">
        <v>0</v>
      </c>
      <c r="J328" s="4">
        <v>0</v>
      </c>
      <c r="K328" s="4">
        <f t="shared" si="46"/>
        <v>463.99999999999989</v>
      </c>
      <c r="L328" s="4">
        <v>4.8</v>
      </c>
      <c r="M328" s="4">
        <f t="shared" si="47"/>
        <v>439.49999999999989</v>
      </c>
      <c r="N328" s="7">
        <v>-4.8</v>
      </c>
      <c r="O328" s="4">
        <f t="shared" si="42"/>
        <v>11.600000000000012</v>
      </c>
      <c r="P328" s="4">
        <v>284</v>
      </c>
      <c r="Q328" s="11">
        <f t="shared" si="48"/>
        <v>0.65909090909090906</v>
      </c>
      <c r="R328" s="8">
        <f t="shared" si="43"/>
        <v>3.1636363636363636</v>
      </c>
      <c r="S328" s="8">
        <f t="shared" si="44"/>
        <v>-3.1636363636363636</v>
      </c>
      <c r="T328" s="8">
        <f t="shared" si="49"/>
        <v>13.915454545454597</v>
      </c>
      <c r="U328" s="8">
        <f>MIN(T321:T341)</f>
        <v>0</v>
      </c>
      <c r="V328" s="4">
        <v>2545.6999999999998</v>
      </c>
      <c r="X328" s="4">
        <f t="shared" si="50"/>
        <v>245497.20000000007</v>
      </c>
      <c r="Y328" s="4">
        <f t="shared" si="52"/>
        <v>13057.7</v>
      </c>
      <c r="AA328" s="4">
        <v>15.9609778518367</v>
      </c>
    </row>
    <row r="329" spans="1:27" s="4" customFormat="1" x14ac:dyDescent="0.25">
      <c r="A329" s="54"/>
      <c r="B329" s="9"/>
      <c r="C329" s="6">
        <v>42175</v>
      </c>
      <c r="D329" s="4">
        <v>17.5</v>
      </c>
      <c r="E329" s="4">
        <v>10.7</v>
      </c>
      <c r="F329" s="4">
        <v>22.3</v>
      </c>
      <c r="G329" s="4">
        <f t="shared" si="45"/>
        <v>2846.3000000000006</v>
      </c>
      <c r="H329" s="4">
        <f t="shared" si="51"/>
        <v>159.29999999999998</v>
      </c>
      <c r="I329" s="21" t="s">
        <v>38</v>
      </c>
      <c r="J329" s="4">
        <v>0</v>
      </c>
      <c r="K329" s="4">
        <f t="shared" si="46"/>
        <v>463.99999999999989</v>
      </c>
      <c r="L329" s="4">
        <v>3.6</v>
      </c>
      <c r="M329" s="4">
        <f t="shared" si="47"/>
        <v>443.09999999999991</v>
      </c>
      <c r="N329" s="7">
        <v>-3.6</v>
      </c>
      <c r="O329" s="4">
        <f t="shared" si="42"/>
        <v>8.0000000000000124</v>
      </c>
      <c r="P329" s="4">
        <v>285</v>
      </c>
      <c r="Q329" s="11">
        <f t="shared" si="48"/>
        <v>0.64090909090909087</v>
      </c>
      <c r="R329" s="8">
        <f t="shared" si="43"/>
        <v>2.3072727272727271</v>
      </c>
      <c r="S329" s="8">
        <f t="shared" si="44"/>
        <v>-2.3072727272727271</v>
      </c>
      <c r="T329" s="8">
        <f t="shared" si="49"/>
        <v>11.608181818181871</v>
      </c>
      <c r="U329" s="21" t="s">
        <v>39</v>
      </c>
      <c r="V329" s="4">
        <v>2035.4</v>
      </c>
      <c r="X329" s="4">
        <f t="shared" si="50"/>
        <v>247532.60000000006</v>
      </c>
      <c r="Y329" s="4">
        <f t="shared" si="52"/>
        <v>15093.1</v>
      </c>
      <c r="AA329" s="4">
        <v>15.963046719130899</v>
      </c>
    </row>
    <row r="330" spans="1:27" s="4" customFormat="1" x14ac:dyDescent="0.25">
      <c r="A330" s="54"/>
      <c r="B330" s="9"/>
      <c r="C330" s="6">
        <v>42176</v>
      </c>
      <c r="D330" s="4">
        <v>19.100000000000001</v>
      </c>
      <c r="E330" s="4">
        <v>15.4</v>
      </c>
      <c r="F330" s="4">
        <v>23.4</v>
      </c>
      <c r="G330" s="4">
        <f t="shared" si="45"/>
        <v>2865.4000000000005</v>
      </c>
      <c r="H330" s="4">
        <f t="shared" si="51"/>
        <v>178.39999999999998</v>
      </c>
      <c r="I330" s="4">
        <v>9</v>
      </c>
      <c r="J330" s="4">
        <v>0</v>
      </c>
      <c r="K330" s="4">
        <f t="shared" si="46"/>
        <v>463.99999999999989</v>
      </c>
      <c r="L330" s="4">
        <v>4.2</v>
      </c>
      <c r="M330" s="4">
        <f t="shared" si="47"/>
        <v>447.2999999999999</v>
      </c>
      <c r="N330" s="7">
        <v>-4.2</v>
      </c>
      <c r="O330" s="4">
        <f t="shared" si="42"/>
        <v>3.8000000000000123</v>
      </c>
      <c r="P330" s="4">
        <v>286</v>
      </c>
      <c r="Q330" s="11">
        <f t="shared" si="48"/>
        <v>0.62272727272727268</v>
      </c>
      <c r="R330" s="8">
        <f t="shared" si="43"/>
        <v>2.6154545454545453</v>
      </c>
      <c r="S330" s="8">
        <f t="shared" si="44"/>
        <v>-2.6154545454545453</v>
      </c>
      <c r="T330" s="8">
        <f t="shared" si="49"/>
        <v>8.9927272727273255</v>
      </c>
      <c r="U330" s="8">
        <f>MAX(T321:T341)</f>
        <v>28.162727272727324</v>
      </c>
      <c r="V330" s="4">
        <v>2211.9</v>
      </c>
      <c r="X330" s="4">
        <f t="shared" si="50"/>
        <v>249744.50000000006</v>
      </c>
      <c r="Y330" s="4">
        <f t="shared" si="52"/>
        <v>17305</v>
      </c>
      <c r="AA330" s="4">
        <v>15.963736449289</v>
      </c>
    </row>
    <row r="331" spans="1:27" s="4" customFormat="1" x14ac:dyDescent="0.25">
      <c r="A331" s="54"/>
      <c r="B331" s="9"/>
      <c r="C331" s="6">
        <v>42177</v>
      </c>
      <c r="D331" s="4">
        <v>16.100000000000001</v>
      </c>
      <c r="E331" s="4">
        <v>11.3</v>
      </c>
      <c r="F331" s="4">
        <v>23.6</v>
      </c>
      <c r="G331" s="4">
        <f t="shared" si="45"/>
        <v>2881.5000000000005</v>
      </c>
      <c r="H331" s="4">
        <f t="shared" si="51"/>
        <v>194.49999999999997</v>
      </c>
      <c r="I331" s="21" t="s">
        <v>40</v>
      </c>
      <c r="J331" s="4">
        <v>0.3</v>
      </c>
      <c r="K331" s="4">
        <f t="shared" si="46"/>
        <v>464.2999999999999</v>
      </c>
      <c r="L331" s="4">
        <v>3</v>
      </c>
      <c r="M331" s="4">
        <f t="shared" si="47"/>
        <v>450.2999999999999</v>
      </c>
      <c r="N331" s="7">
        <v>-2.7</v>
      </c>
      <c r="O331" s="4">
        <f t="shared" si="42"/>
        <v>1.1000000000000121</v>
      </c>
      <c r="P331" s="4">
        <v>287</v>
      </c>
      <c r="Q331" s="11">
        <f t="shared" si="48"/>
        <v>0.6045454545454545</v>
      </c>
      <c r="R331" s="8">
        <f t="shared" si="43"/>
        <v>1.8136363636363635</v>
      </c>
      <c r="S331" s="8">
        <f t="shared" si="44"/>
        <v>-1.5136363636363634</v>
      </c>
      <c r="T331" s="8">
        <f t="shared" si="49"/>
        <v>7.4790909090909619</v>
      </c>
      <c r="U331" s="21" t="s">
        <v>41</v>
      </c>
      <c r="V331" s="4">
        <v>1437.5</v>
      </c>
      <c r="X331" s="4">
        <f t="shared" si="50"/>
        <v>251182.00000000006</v>
      </c>
      <c r="Y331" s="4">
        <f t="shared" si="52"/>
        <v>18742.5</v>
      </c>
      <c r="AA331" s="4">
        <v>15.9630468459601</v>
      </c>
    </row>
    <row r="332" spans="1:27" s="4" customFormat="1" x14ac:dyDescent="0.25">
      <c r="A332" s="54"/>
      <c r="B332" s="9"/>
      <c r="C332" s="6">
        <v>42178</v>
      </c>
      <c r="D332" s="4">
        <v>14.8</v>
      </c>
      <c r="E332" s="4">
        <v>10.3</v>
      </c>
      <c r="F332" s="4">
        <v>19.600000000000001</v>
      </c>
      <c r="G332" s="4">
        <f t="shared" si="45"/>
        <v>2896.3000000000006</v>
      </c>
      <c r="H332" s="4">
        <f t="shared" si="51"/>
        <v>209.29999999999998</v>
      </c>
      <c r="I332" s="4">
        <v>0</v>
      </c>
      <c r="J332" s="4">
        <v>0</v>
      </c>
      <c r="K332" s="4">
        <f t="shared" si="46"/>
        <v>464.2999999999999</v>
      </c>
      <c r="L332" s="4">
        <v>3.6</v>
      </c>
      <c r="M332" s="4">
        <f t="shared" si="47"/>
        <v>453.89999999999992</v>
      </c>
      <c r="N332" s="7">
        <v>-3.6</v>
      </c>
      <c r="O332" s="4">
        <v>0</v>
      </c>
      <c r="P332" s="4">
        <v>288</v>
      </c>
      <c r="Q332" s="11">
        <f t="shared" si="48"/>
        <v>0.58636363636363631</v>
      </c>
      <c r="R332" s="8">
        <f t="shared" si="43"/>
        <v>2.1109090909090908</v>
      </c>
      <c r="S332" s="8">
        <f t="shared" si="44"/>
        <v>-2.1109090909090908</v>
      </c>
      <c r="T332" s="8">
        <f t="shared" si="49"/>
        <v>5.3681818181818706</v>
      </c>
      <c r="U332" s="11">
        <f>AVERAGE(T321:T341)</f>
        <v>9.9051298701299029</v>
      </c>
      <c r="V332" s="4">
        <v>1966.7</v>
      </c>
      <c r="X332" s="4">
        <f t="shared" si="50"/>
        <v>253148.70000000007</v>
      </c>
      <c r="Y332" s="4">
        <f t="shared" si="52"/>
        <v>20709.2</v>
      </c>
      <c r="AA332" s="4">
        <v>15.9609791256254</v>
      </c>
    </row>
    <row r="333" spans="1:27" s="4" customFormat="1" x14ac:dyDescent="0.25">
      <c r="A333" s="54"/>
      <c r="B333" s="9"/>
      <c r="C333" s="6">
        <v>42179</v>
      </c>
      <c r="D333" s="4">
        <v>17.399999999999999</v>
      </c>
      <c r="E333" s="4">
        <v>8.9</v>
      </c>
      <c r="F333" s="4">
        <v>25.1</v>
      </c>
      <c r="G333" s="4">
        <f t="shared" si="45"/>
        <v>2913.7000000000007</v>
      </c>
      <c r="H333" s="4">
        <f t="shared" si="51"/>
        <v>226.7</v>
      </c>
      <c r="I333" s="21" t="s">
        <v>42</v>
      </c>
      <c r="J333" s="4">
        <v>0</v>
      </c>
      <c r="K333" s="4">
        <f t="shared" si="46"/>
        <v>464.2999999999999</v>
      </c>
      <c r="L333" s="4">
        <v>4.7</v>
      </c>
      <c r="M333" s="4">
        <f t="shared" si="47"/>
        <v>458.59999999999991</v>
      </c>
      <c r="N333" s="7">
        <v>-4.7</v>
      </c>
      <c r="O333" s="4">
        <v>0</v>
      </c>
      <c r="P333" s="4">
        <v>289</v>
      </c>
      <c r="Q333" s="11">
        <f t="shared" si="48"/>
        <v>0.56818181818181812</v>
      </c>
      <c r="R333" s="8">
        <f t="shared" si="43"/>
        <v>2.6704545454545454</v>
      </c>
      <c r="S333" s="8">
        <f t="shared" si="44"/>
        <v>-2.6704545454545454</v>
      </c>
      <c r="T333" s="8">
        <f t="shared" si="49"/>
        <v>2.6977272727273252</v>
      </c>
      <c r="V333" s="4">
        <v>2618.9</v>
      </c>
      <c r="X333" s="4">
        <f t="shared" si="50"/>
        <v>255767.60000000006</v>
      </c>
      <c r="Y333" s="4">
        <f t="shared" si="52"/>
        <v>23328.100000000002</v>
      </c>
      <c r="AA333" s="4">
        <v>15.957535912903101</v>
      </c>
    </row>
    <row r="334" spans="1:27" s="4" customFormat="1" x14ac:dyDescent="0.25">
      <c r="A334" s="54"/>
      <c r="B334" s="9"/>
      <c r="C334" s="6">
        <v>42180</v>
      </c>
      <c r="D334" s="4">
        <v>20.6</v>
      </c>
      <c r="E334" s="4">
        <v>12.1</v>
      </c>
      <c r="F334" s="4">
        <v>27.9</v>
      </c>
      <c r="G334" s="4">
        <f t="shared" si="45"/>
        <v>2934.3000000000006</v>
      </c>
      <c r="H334" s="4">
        <f t="shared" si="51"/>
        <v>247.29999999999998</v>
      </c>
      <c r="I334" s="4">
        <v>417</v>
      </c>
      <c r="J334" s="4">
        <v>0</v>
      </c>
      <c r="K334" s="4">
        <f t="shared" si="46"/>
        <v>464.2999999999999</v>
      </c>
      <c r="L334" s="4">
        <v>5</v>
      </c>
      <c r="M334" s="4">
        <f t="shared" si="47"/>
        <v>463.59999999999991</v>
      </c>
      <c r="N334" s="7">
        <v>-5</v>
      </c>
      <c r="O334" s="4">
        <v>0</v>
      </c>
      <c r="P334" s="4">
        <v>290</v>
      </c>
      <c r="Q334" s="11">
        <f t="shared" si="48"/>
        <v>0.54999999999999993</v>
      </c>
      <c r="R334" s="8">
        <f t="shared" si="43"/>
        <v>2.7499999999999996</v>
      </c>
      <c r="S334" s="8">
        <f t="shared" si="44"/>
        <v>-2.7499999999999996</v>
      </c>
      <c r="T334" s="8">
        <v>0</v>
      </c>
      <c r="U334" s="8">
        <f>(U332*100)/138.9</f>
        <v>7.1311230166521975</v>
      </c>
      <c r="V334" s="4">
        <v>2590.9</v>
      </c>
      <c r="X334" s="4">
        <f t="shared" si="50"/>
        <v>258358.50000000006</v>
      </c>
      <c r="Y334" s="4">
        <f t="shared" si="52"/>
        <v>25919.000000000004</v>
      </c>
      <c r="AA334" s="4">
        <v>15.9527212304833</v>
      </c>
    </row>
    <row r="335" spans="1:27" s="4" customFormat="1" x14ac:dyDescent="0.25">
      <c r="A335" s="54"/>
      <c r="B335" s="9"/>
      <c r="C335" s="6">
        <v>42181</v>
      </c>
      <c r="D335" s="4">
        <v>23.2</v>
      </c>
      <c r="E335" s="4">
        <v>14.5</v>
      </c>
      <c r="F335" s="4">
        <v>30.1</v>
      </c>
      <c r="G335" s="4">
        <f t="shared" si="45"/>
        <v>2957.5000000000005</v>
      </c>
      <c r="H335" s="4">
        <f t="shared" si="51"/>
        <v>270.5</v>
      </c>
      <c r="J335" s="4">
        <v>0</v>
      </c>
      <c r="K335" s="4">
        <f t="shared" si="46"/>
        <v>464.2999999999999</v>
      </c>
      <c r="L335" s="4">
        <v>5.7</v>
      </c>
      <c r="M335" s="4">
        <f t="shared" si="47"/>
        <v>469.2999999999999</v>
      </c>
      <c r="N335" s="7">
        <v>-5.7</v>
      </c>
      <c r="O335" s="4">
        <v>0</v>
      </c>
      <c r="P335" s="4">
        <v>291</v>
      </c>
      <c r="Q335" s="11">
        <f t="shared" si="48"/>
        <v>0.53181818181818175</v>
      </c>
      <c r="R335" s="8">
        <f t="shared" si="43"/>
        <v>3.0313636363636363</v>
      </c>
      <c r="S335" s="8">
        <f t="shared" si="44"/>
        <v>-3.0313636363636363</v>
      </c>
      <c r="T335" s="8">
        <v>0</v>
      </c>
      <c r="V335" s="4">
        <v>2487.6999999999998</v>
      </c>
      <c r="X335" s="4">
        <f t="shared" si="50"/>
        <v>260846.20000000007</v>
      </c>
      <c r="Y335" s="4">
        <f t="shared" si="52"/>
        <v>28406.700000000004</v>
      </c>
      <c r="AA335" s="4">
        <v>15.946540483770599</v>
      </c>
    </row>
    <row r="336" spans="1:27" s="4" customFormat="1" x14ac:dyDescent="0.25">
      <c r="A336" s="54"/>
      <c r="B336" s="9"/>
      <c r="C336" s="6">
        <v>42182</v>
      </c>
      <c r="D336" s="4">
        <v>21.2</v>
      </c>
      <c r="E336" s="4">
        <v>17.3</v>
      </c>
      <c r="F336" s="4">
        <v>26</v>
      </c>
      <c r="G336" s="4">
        <f t="shared" si="45"/>
        <v>2978.7000000000003</v>
      </c>
      <c r="H336" s="4">
        <f t="shared" si="51"/>
        <v>291.7</v>
      </c>
      <c r="J336" s="4">
        <v>0</v>
      </c>
      <c r="K336" s="4">
        <f t="shared" si="46"/>
        <v>464.2999999999999</v>
      </c>
      <c r="L336" s="4">
        <v>4.7</v>
      </c>
      <c r="M336" s="4">
        <f t="shared" si="47"/>
        <v>473.99999999999989</v>
      </c>
      <c r="N336" s="7">
        <v>-4.7</v>
      </c>
      <c r="O336" s="4">
        <v>0</v>
      </c>
      <c r="P336" s="4">
        <v>292</v>
      </c>
      <c r="Q336" s="11">
        <f t="shared" si="48"/>
        <v>0.51363636363636367</v>
      </c>
      <c r="R336" s="8">
        <f t="shared" si="43"/>
        <v>2.4140909090909095</v>
      </c>
      <c r="S336" s="8">
        <f t="shared" si="44"/>
        <v>-2.4140909090909095</v>
      </c>
      <c r="T336" s="8">
        <v>0</v>
      </c>
      <c r="V336" s="4">
        <v>2039.4</v>
      </c>
      <c r="X336" s="4">
        <f t="shared" si="50"/>
        <v>262885.60000000009</v>
      </c>
      <c r="Y336" s="4">
        <f t="shared" si="52"/>
        <v>30446.100000000006</v>
      </c>
      <c r="AA336" s="4">
        <v>15.939000440360401</v>
      </c>
    </row>
    <row r="337" spans="1:27" s="4" customFormat="1" x14ac:dyDescent="0.25">
      <c r="A337" s="54"/>
      <c r="B337" s="9"/>
      <c r="C337" s="6">
        <v>42183</v>
      </c>
      <c r="D337" s="4">
        <v>22.4</v>
      </c>
      <c r="E337" s="4">
        <v>14.5</v>
      </c>
      <c r="F337" s="4">
        <v>29.2</v>
      </c>
      <c r="G337" s="4">
        <f t="shared" si="45"/>
        <v>3001.1000000000004</v>
      </c>
      <c r="H337" s="4">
        <f t="shared" si="51"/>
        <v>314.09999999999997</v>
      </c>
      <c r="J337" s="4">
        <v>0</v>
      </c>
      <c r="K337" s="4">
        <f t="shared" si="46"/>
        <v>464.2999999999999</v>
      </c>
      <c r="L337" s="4">
        <v>6.5</v>
      </c>
      <c r="M337" s="4">
        <f t="shared" si="47"/>
        <v>480.49999999999989</v>
      </c>
      <c r="N337" s="7">
        <v>-6.5</v>
      </c>
      <c r="O337" s="4">
        <v>0</v>
      </c>
      <c r="P337" s="4">
        <v>293</v>
      </c>
      <c r="Q337" s="11">
        <f t="shared" si="48"/>
        <v>0.49545454545454537</v>
      </c>
      <c r="R337" s="8">
        <f t="shared" si="43"/>
        <v>3.2204545454545448</v>
      </c>
      <c r="S337" s="8">
        <f t="shared" si="44"/>
        <v>-3.2204545454545448</v>
      </c>
      <c r="T337" s="8">
        <v>0</v>
      </c>
      <c r="V337" s="4">
        <v>2979.5</v>
      </c>
      <c r="W337" s="15"/>
      <c r="X337" s="15">
        <f t="shared" si="50"/>
        <v>265865.10000000009</v>
      </c>
      <c r="Y337" s="4">
        <f t="shared" si="52"/>
        <v>33425.600000000006</v>
      </c>
      <c r="AA337" s="4">
        <v>15.9301092045072</v>
      </c>
    </row>
    <row r="338" spans="1:27" s="4" customFormat="1" ht="15" customHeight="1" x14ac:dyDescent="0.25">
      <c r="A338" s="54"/>
      <c r="B338" s="22"/>
      <c r="C338" s="6">
        <v>42184</v>
      </c>
      <c r="D338" s="4">
        <v>22.9</v>
      </c>
      <c r="E338" s="4">
        <v>16.7</v>
      </c>
      <c r="F338" s="4">
        <v>29.1</v>
      </c>
      <c r="G338" s="4">
        <f t="shared" si="45"/>
        <v>3024.0000000000005</v>
      </c>
      <c r="H338" s="4">
        <f t="shared" si="51"/>
        <v>336.99999999999994</v>
      </c>
      <c r="J338" s="4">
        <v>0</v>
      </c>
      <c r="K338" s="4">
        <f t="shared" si="46"/>
        <v>464.2999999999999</v>
      </c>
      <c r="L338" s="4">
        <v>6</v>
      </c>
      <c r="M338" s="4">
        <f t="shared" si="47"/>
        <v>486.49999999999989</v>
      </c>
      <c r="N338" s="7">
        <v>-6</v>
      </c>
      <c r="O338" s="4">
        <v>0</v>
      </c>
      <c r="P338" s="4">
        <v>294</v>
      </c>
      <c r="Q338" s="11">
        <f t="shared" si="48"/>
        <v>0.47727272727272718</v>
      </c>
      <c r="R338" s="8">
        <f t="shared" si="43"/>
        <v>2.8636363636363633</v>
      </c>
      <c r="S338" s="8">
        <f t="shared" si="44"/>
        <v>-2.8636363636363633</v>
      </c>
      <c r="T338" s="8">
        <v>0</v>
      </c>
      <c r="V338" s="4">
        <v>2793.2</v>
      </c>
      <c r="X338" s="4">
        <f t="shared" si="50"/>
        <v>268658.3000000001</v>
      </c>
      <c r="Y338" s="4">
        <f t="shared" si="52"/>
        <v>36218.800000000003</v>
      </c>
      <c r="AA338" s="4">
        <v>15.919876186786899</v>
      </c>
    </row>
    <row r="339" spans="1:27" s="4" customFormat="1" x14ac:dyDescent="0.25">
      <c r="A339" s="54"/>
      <c r="B339" s="22"/>
      <c r="C339" s="6">
        <v>42185</v>
      </c>
      <c r="D339" s="4">
        <v>26.2</v>
      </c>
      <c r="E339" s="4">
        <v>18.3</v>
      </c>
      <c r="F339" s="4">
        <v>34.700000000000003</v>
      </c>
      <c r="G339" s="4">
        <f t="shared" si="45"/>
        <v>3050.2000000000003</v>
      </c>
      <c r="H339" s="4">
        <f t="shared" si="51"/>
        <v>363.19999999999993</v>
      </c>
      <c r="J339" s="4">
        <v>0</v>
      </c>
      <c r="K339" s="4">
        <f t="shared" si="46"/>
        <v>464.2999999999999</v>
      </c>
      <c r="L339" s="4">
        <v>8.8000000000000007</v>
      </c>
      <c r="M339" s="4">
        <f t="shared" si="47"/>
        <v>495.2999999999999</v>
      </c>
      <c r="N339" s="7">
        <v>-8.8000000000000007</v>
      </c>
      <c r="O339" s="4">
        <v>0</v>
      </c>
      <c r="P339" s="4">
        <v>295</v>
      </c>
      <c r="Q339" s="11">
        <f t="shared" si="48"/>
        <v>0.45909090909090911</v>
      </c>
      <c r="R339" s="8">
        <f t="shared" si="43"/>
        <v>4.04</v>
      </c>
      <c r="S339" s="8">
        <f t="shared" si="44"/>
        <v>-4.04</v>
      </c>
      <c r="T339" s="8">
        <v>0</v>
      </c>
      <c r="V339" s="4">
        <v>3171.8</v>
      </c>
      <c r="X339" s="4">
        <f t="shared" si="50"/>
        <v>271830.10000000009</v>
      </c>
      <c r="Y339" s="4">
        <f t="shared" si="52"/>
        <v>39390.600000000006</v>
      </c>
      <c r="AA339" s="4">
        <v>15.908312069188501</v>
      </c>
    </row>
    <row r="340" spans="1:27" s="4" customFormat="1" x14ac:dyDescent="0.25">
      <c r="A340" s="54"/>
      <c r="B340" s="22"/>
      <c r="C340" s="6">
        <v>42186</v>
      </c>
      <c r="D340" s="4">
        <v>28.3</v>
      </c>
      <c r="E340" s="4">
        <v>18.100000000000001</v>
      </c>
      <c r="F340" s="4">
        <v>36</v>
      </c>
      <c r="G340" s="4">
        <f t="shared" si="45"/>
        <v>3078.5000000000005</v>
      </c>
      <c r="H340" s="4">
        <f t="shared" si="51"/>
        <v>391.49999999999994</v>
      </c>
      <c r="J340" s="4">
        <v>0.1</v>
      </c>
      <c r="K340" s="4">
        <f t="shared" si="46"/>
        <v>464.39999999999992</v>
      </c>
      <c r="L340" s="4">
        <v>6.8</v>
      </c>
      <c r="M340" s="4">
        <f t="shared" si="47"/>
        <v>502.09999999999991</v>
      </c>
      <c r="N340" s="7">
        <v>-6.7</v>
      </c>
      <c r="O340" s="4">
        <v>0</v>
      </c>
      <c r="P340" s="4">
        <v>296</v>
      </c>
      <c r="Q340" s="11">
        <f t="shared" si="48"/>
        <v>0.44090909090909092</v>
      </c>
      <c r="R340" s="8">
        <f t="shared" si="43"/>
        <v>2.9981818181818181</v>
      </c>
      <c r="S340" s="8">
        <f t="shared" si="44"/>
        <v>-2.898181818181818</v>
      </c>
      <c r="T340" s="8">
        <v>0</v>
      </c>
      <c r="V340" s="4">
        <v>2373.5</v>
      </c>
      <c r="X340" s="4">
        <f t="shared" si="50"/>
        <v>274203.60000000009</v>
      </c>
      <c r="Y340" s="4">
        <f t="shared" si="52"/>
        <v>41764.100000000006</v>
      </c>
      <c r="AA340" s="4">
        <v>15.8954287659003</v>
      </c>
    </row>
    <row r="341" spans="1:27" s="29" customFormat="1" ht="15.75" thickBot="1" x14ac:dyDescent="0.3">
      <c r="A341" s="54"/>
      <c r="B341" s="36">
        <v>1000</v>
      </c>
      <c r="C341" s="28">
        <v>42187</v>
      </c>
      <c r="D341" s="29">
        <v>25.5</v>
      </c>
      <c r="E341" s="29">
        <v>19.2</v>
      </c>
      <c r="F341" s="29">
        <v>32.1</v>
      </c>
      <c r="G341" s="29">
        <f t="shared" si="45"/>
        <v>3104.0000000000005</v>
      </c>
      <c r="H341" s="29">
        <f t="shared" si="51"/>
        <v>416.99999999999994</v>
      </c>
      <c r="J341" s="29">
        <v>0</v>
      </c>
      <c r="K341" s="29">
        <f t="shared" si="46"/>
        <v>464.39999999999992</v>
      </c>
      <c r="L341" s="29">
        <v>5.0999999999999996</v>
      </c>
      <c r="M341" s="29">
        <f t="shared" si="47"/>
        <v>507.19999999999993</v>
      </c>
      <c r="N341" s="30">
        <v>-5.0999999999999996</v>
      </c>
      <c r="O341" s="29">
        <v>0</v>
      </c>
      <c r="P341" s="29">
        <v>297</v>
      </c>
      <c r="Q341" s="33">
        <f t="shared" si="48"/>
        <v>0.42272727272727273</v>
      </c>
      <c r="R341" s="31">
        <f t="shared" si="43"/>
        <v>2.1559090909090908</v>
      </c>
      <c r="S341" s="31">
        <f t="shared" si="44"/>
        <v>-2.1559090909090908</v>
      </c>
      <c r="T341" s="31">
        <v>0</v>
      </c>
      <c r="V341" s="29">
        <v>2002.6</v>
      </c>
      <c r="X341" s="29">
        <f t="shared" si="50"/>
        <v>276206.20000000007</v>
      </c>
      <c r="Y341" s="29">
        <f t="shared" si="52"/>
        <v>43766.700000000004</v>
      </c>
      <c r="AA341" s="29">
        <v>15.8812393800885</v>
      </c>
    </row>
    <row r="342" spans="1:27" s="4" customFormat="1" x14ac:dyDescent="0.25">
      <c r="A342" s="23"/>
      <c r="B342" s="22"/>
      <c r="C342" s="6">
        <v>42188</v>
      </c>
      <c r="D342" s="4">
        <v>26.5</v>
      </c>
      <c r="E342" s="4">
        <v>19.8</v>
      </c>
      <c r="F342" s="4">
        <v>35.1</v>
      </c>
      <c r="G342" s="4">
        <f t="shared" si="45"/>
        <v>3130.5000000000005</v>
      </c>
      <c r="H342" s="4">
        <v>26.5</v>
      </c>
      <c r="J342" s="4">
        <v>0</v>
      </c>
      <c r="K342" s="4">
        <f t="shared" si="46"/>
        <v>464.39999999999992</v>
      </c>
      <c r="L342" s="4">
        <v>6.3</v>
      </c>
      <c r="M342" s="4">
        <f t="shared" si="47"/>
        <v>513.49999999999989</v>
      </c>
      <c r="N342" s="7">
        <v>-6.3</v>
      </c>
      <c r="O342" s="4">
        <v>0</v>
      </c>
      <c r="P342" s="4">
        <v>298</v>
      </c>
      <c r="Q342" s="11">
        <f t="shared" si="48"/>
        <v>0.40454545454545454</v>
      </c>
      <c r="R342" s="8">
        <f t="shared" si="43"/>
        <v>2.5486363636363634</v>
      </c>
      <c r="S342" s="8">
        <f t="shared" si="44"/>
        <v>-2.5486363636363634</v>
      </c>
      <c r="T342" s="8">
        <v>0</v>
      </c>
      <c r="V342" s="4">
        <v>2291.6</v>
      </c>
      <c r="X342" s="4">
        <f t="shared" si="50"/>
        <v>278497.80000000005</v>
      </c>
      <c r="Y342" s="4">
        <f t="shared" si="52"/>
        <v>46058.3</v>
      </c>
      <c r="AA342" s="4">
        <v>15.865758156986301</v>
      </c>
    </row>
    <row r="343" spans="1:27" s="4" customFormat="1" x14ac:dyDescent="0.25">
      <c r="A343" s="23"/>
      <c r="B343" s="22"/>
      <c r="C343" s="6">
        <v>42189</v>
      </c>
      <c r="D343" s="4">
        <v>24.9</v>
      </c>
      <c r="E343" s="4">
        <v>20.9</v>
      </c>
      <c r="F343" s="4">
        <v>29.9</v>
      </c>
      <c r="G343" s="4">
        <f t="shared" si="45"/>
        <v>3155.4000000000005</v>
      </c>
      <c r="H343" s="4">
        <f t="shared" si="51"/>
        <v>51.4</v>
      </c>
      <c r="J343" s="4">
        <v>1.8</v>
      </c>
      <c r="K343" s="4">
        <f t="shared" si="46"/>
        <v>466.19999999999993</v>
      </c>
      <c r="L343" s="4">
        <v>3.6</v>
      </c>
      <c r="M343" s="4">
        <f t="shared" si="47"/>
        <v>517.09999999999991</v>
      </c>
      <c r="N343" s="7">
        <v>-1.8</v>
      </c>
      <c r="O343" s="4">
        <v>0</v>
      </c>
      <c r="P343" s="4">
        <v>299</v>
      </c>
      <c r="Q343" s="11">
        <f t="shared" si="48"/>
        <v>0.38636363636363635</v>
      </c>
      <c r="R343" s="8">
        <f t="shared" si="43"/>
        <v>1.3909090909090909</v>
      </c>
      <c r="S343" s="8">
        <f t="shared" si="44"/>
        <v>0.40909090909090917</v>
      </c>
      <c r="T343" s="8">
        <f t="shared" si="49"/>
        <v>0.40909090909090917</v>
      </c>
      <c r="V343" s="4">
        <v>1593.2</v>
      </c>
      <c r="X343" s="4">
        <f t="shared" si="50"/>
        <v>280091.00000000006</v>
      </c>
      <c r="Y343" s="4">
        <f t="shared" si="52"/>
        <v>47651.5</v>
      </c>
      <c r="AA343" s="4">
        <v>15.849000433636499</v>
      </c>
    </row>
    <row r="344" spans="1:27" s="4" customFormat="1" x14ac:dyDescent="0.25">
      <c r="A344" s="23"/>
      <c r="B344" s="22"/>
      <c r="C344" s="6">
        <v>42190</v>
      </c>
      <c r="D344" s="4">
        <v>21.4</v>
      </c>
      <c r="E344" s="4">
        <v>17.899999999999999</v>
      </c>
      <c r="F344" s="4">
        <v>25.7</v>
      </c>
      <c r="G344" s="4">
        <f t="shared" si="45"/>
        <v>3176.8000000000006</v>
      </c>
      <c r="H344" s="4">
        <f t="shared" si="51"/>
        <v>72.8</v>
      </c>
      <c r="J344" s="4">
        <v>0.1</v>
      </c>
      <c r="K344" s="4">
        <f t="shared" si="46"/>
        <v>466.29999999999995</v>
      </c>
      <c r="L344" s="4">
        <v>3.8</v>
      </c>
      <c r="M344" s="4">
        <f t="shared" si="47"/>
        <v>520.89999999999986</v>
      </c>
      <c r="N344" s="7">
        <v>-3.6999999999999997</v>
      </c>
      <c r="O344" s="4">
        <v>0</v>
      </c>
      <c r="P344" s="4">
        <v>300</v>
      </c>
      <c r="Q344" s="11">
        <f t="shared" si="48"/>
        <v>0.36818181818181817</v>
      </c>
      <c r="R344" s="8">
        <f t="shared" si="43"/>
        <v>1.3990909090909089</v>
      </c>
      <c r="S344" s="8">
        <f t="shared" si="44"/>
        <v>-1.2990909090909089</v>
      </c>
      <c r="T344" s="8">
        <v>0</v>
      </c>
      <c r="V344" s="4">
        <v>1614.4</v>
      </c>
      <c r="X344" s="4">
        <f t="shared" si="50"/>
        <v>281705.40000000008</v>
      </c>
      <c r="Y344" s="4">
        <f t="shared" si="52"/>
        <v>49265.9</v>
      </c>
      <c r="AA344" s="4">
        <v>15.830982585643801</v>
      </c>
    </row>
    <row r="345" spans="1:27" s="4" customFormat="1" x14ac:dyDescent="0.25">
      <c r="A345" s="23"/>
      <c r="B345" s="22"/>
      <c r="C345" s="6">
        <v>42191</v>
      </c>
      <c r="D345" s="4">
        <v>23.2</v>
      </c>
      <c r="E345" s="4">
        <v>15</v>
      </c>
      <c r="F345" s="4">
        <v>31.6</v>
      </c>
      <c r="G345" s="4">
        <f t="shared" si="45"/>
        <v>3200.0000000000005</v>
      </c>
      <c r="H345" s="4">
        <f t="shared" si="51"/>
        <v>96</v>
      </c>
      <c r="J345" s="4">
        <v>0</v>
      </c>
      <c r="K345" s="4">
        <f t="shared" si="46"/>
        <v>466.29999999999995</v>
      </c>
      <c r="L345" s="4">
        <v>6.6</v>
      </c>
      <c r="M345" s="4">
        <f t="shared" si="47"/>
        <v>527.49999999999989</v>
      </c>
      <c r="N345" s="7">
        <v>-6.6</v>
      </c>
      <c r="O345" s="4">
        <v>0</v>
      </c>
      <c r="P345" s="4">
        <v>301</v>
      </c>
      <c r="Q345" s="11">
        <f t="shared" si="48"/>
        <v>0.35</v>
      </c>
      <c r="R345" s="8">
        <f t="shared" si="43"/>
        <v>2.3099999999999996</v>
      </c>
      <c r="S345" s="8">
        <f t="shared" si="44"/>
        <v>-2.3099999999999996</v>
      </c>
      <c r="T345" s="8">
        <v>0</v>
      </c>
      <c r="V345" s="4">
        <v>3001.6</v>
      </c>
      <c r="X345" s="4">
        <f t="shared" si="50"/>
        <v>284707.00000000006</v>
      </c>
      <c r="Y345" s="4">
        <f t="shared" si="52"/>
        <v>52267.5</v>
      </c>
      <c r="AA345" s="4">
        <v>15.8117219713073</v>
      </c>
    </row>
    <row r="346" spans="1:27" s="4" customFormat="1" x14ac:dyDescent="0.25">
      <c r="A346" s="55" t="s">
        <v>49</v>
      </c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4">
        <v>15.791236873511901</v>
      </c>
    </row>
  </sheetData>
  <mergeCells count="14">
    <mergeCell ref="A321:A341"/>
    <mergeCell ref="A346:Z346"/>
    <mergeCell ref="A44:Z44"/>
    <mergeCell ref="A45:A126"/>
    <mergeCell ref="A127:A217"/>
    <mergeCell ref="A218:A257"/>
    <mergeCell ref="A279:A301"/>
    <mergeCell ref="A302:A320"/>
    <mergeCell ref="D1:I2"/>
    <mergeCell ref="J1:U2"/>
    <mergeCell ref="V1:Z2"/>
    <mergeCell ref="P3:T3"/>
    <mergeCell ref="G4:H4"/>
    <mergeCell ref="X4:Y4"/>
  </mergeCells>
  <conditionalFormatting sqref="T1:T4">
    <cfRule type="cellIs" dxfId="17" priority="9" operator="equal">
      <formula>0</formula>
    </cfRule>
    <cfRule type="cellIs" dxfId="16" priority="10" operator="lessThanOrEqual">
      <formula>46.3</formula>
    </cfRule>
  </conditionalFormatting>
  <conditionalFormatting sqref="D5:F43 D45:F345 I52 I54 I56 I58 I140 I136 I134 I138 I231 I225 I227 I229 I265 I267 I269 I271 I286 I288 I290 I292 I309 I311 I313 I315 I328 I330 I332 I334">
    <cfRule type="cellIs" dxfId="15" priority="6" operator="between">
      <formula>0</formula>
      <formula>5</formula>
    </cfRule>
    <cfRule type="cellIs" dxfId="14" priority="7" operator="between">
      <formula>-40</formula>
      <formula>0</formula>
    </cfRule>
    <cfRule type="cellIs" dxfId="13" priority="8" operator="between">
      <formula>25</formula>
      <formula>40</formula>
    </cfRule>
  </conditionalFormatting>
  <conditionalFormatting sqref="V45:V345">
    <cfRule type="cellIs" dxfId="12" priority="4" operator="lessThan">
      <formula>900</formula>
    </cfRule>
    <cfRule type="cellIs" priority="5" operator="greaterThan">
      <formula>900</formula>
    </cfRule>
  </conditionalFormatting>
  <conditionalFormatting sqref="S45:S345">
    <cfRule type="cellIs" dxfId="11" priority="3" operator="lessThanOrEqual">
      <formula>0</formula>
    </cfRule>
  </conditionalFormatting>
  <conditionalFormatting sqref="T5:T346">
    <cfRule type="cellIs" dxfId="10" priority="1" operator="equal">
      <formula>0</formula>
    </cfRule>
    <cfRule type="cellIs" dxfId="9" priority="2" operator="lessThanOrEqual">
      <formula>46.3</formula>
    </cfRule>
  </conditionalFormatting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D346"/>
  <sheetViews>
    <sheetView zoomScale="70" zoomScaleNormal="70" workbookViewId="0">
      <pane xSplit="3" ySplit="4" topLeftCell="D201" activePane="bottomRight" state="frozen"/>
      <selection pane="topRight" activeCell="D1" sqref="D1"/>
      <selection pane="bottomLeft" activeCell="A5" sqref="A5"/>
      <selection pane="bottomRight" activeCell="AD234" sqref="AD234"/>
    </sheetView>
  </sheetViews>
  <sheetFormatPr baseColWidth="10" defaultRowHeight="15" x14ac:dyDescent="0.25"/>
  <sheetData>
    <row r="1" spans="1:26" x14ac:dyDescent="0.25">
      <c r="B1" s="1"/>
      <c r="C1" s="2"/>
      <c r="D1" s="52" t="s">
        <v>0</v>
      </c>
      <c r="E1" s="52"/>
      <c r="F1" s="52"/>
      <c r="G1" s="52"/>
      <c r="H1" s="52"/>
      <c r="I1" s="52"/>
      <c r="J1" s="52" t="s">
        <v>1</v>
      </c>
      <c r="K1" s="52"/>
      <c r="L1" s="52"/>
      <c r="M1" s="52"/>
      <c r="N1" s="52"/>
      <c r="O1" s="52"/>
      <c r="P1" s="52"/>
      <c r="Q1" s="52"/>
      <c r="R1" s="52"/>
      <c r="S1" s="52"/>
      <c r="T1" s="52"/>
      <c r="U1" s="52"/>
      <c r="V1" s="52" t="s">
        <v>2</v>
      </c>
      <c r="W1" s="52"/>
      <c r="X1" s="52"/>
      <c r="Y1" s="52"/>
      <c r="Z1" s="52"/>
    </row>
    <row r="2" spans="1:26" x14ac:dyDescent="0.25">
      <c r="B2" s="1"/>
      <c r="C2" s="2"/>
      <c r="D2" s="52"/>
      <c r="E2" s="52"/>
      <c r="F2" s="52"/>
      <c r="G2" s="52"/>
      <c r="H2" s="52"/>
      <c r="I2" s="52"/>
      <c r="J2" s="52"/>
      <c r="K2" s="52"/>
      <c r="L2" s="52"/>
      <c r="M2" s="52"/>
      <c r="N2" s="52"/>
      <c r="O2" s="52"/>
      <c r="P2" s="52"/>
      <c r="Q2" s="52"/>
      <c r="R2" s="52"/>
      <c r="S2" s="52"/>
      <c r="T2" s="52"/>
      <c r="U2" s="52"/>
      <c r="V2" s="52"/>
      <c r="W2" s="52"/>
      <c r="X2" s="52"/>
      <c r="Y2" s="52"/>
      <c r="Z2" s="52"/>
    </row>
    <row r="3" spans="1:26" x14ac:dyDescent="0.25">
      <c r="B3" s="1"/>
      <c r="C3" s="2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52" t="s">
        <v>3</v>
      </c>
      <c r="Q3" s="52"/>
      <c r="R3" s="52"/>
      <c r="S3" s="52"/>
      <c r="T3" s="52"/>
      <c r="U3" s="3"/>
      <c r="V3" s="3"/>
      <c r="W3" s="3"/>
      <c r="X3" s="3"/>
      <c r="Y3" s="3"/>
      <c r="Z3" s="3"/>
    </row>
    <row r="4" spans="1:26" x14ac:dyDescent="0.25">
      <c r="A4" t="s">
        <v>4</v>
      </c>
      <c r="B4" s="1">
        <v>5</v>
      </c>
      <c r="C4" t="s">
        <v>5</v>
      </c>
      <c r="D4" t="s">
        <v>6</v>
      </c>
      <c r="E4" t="s">
        <v>7</v>
      </c>
      <c r="F4" t="s">
        <v>8</v>
      </c>
      <c r="G4" s="53" t="s">
        <v>9</v>
      </c>
      <c r="H4" s="53"/>
      <c r="I4" t="s">
        <v>10</v>
      </c>
      <c r="J4" t="s">
        <v>11</v>
      </c>
      <c r="K4" t="s">
        <v>12</v>
      </c>
      <c r="L4" t="s">
        <v>13</v>
      </c>
      <c r="M4" t="s">
        <v>14</v>
      </c>
      <c r="N4" t="s">
        <v>15</v>
      </c>
      <c r="O4" t="s">
        <v>16</v>
      </c>
      <c r="P4" t="s">
        <v>17</v>
      </c>
      <c r="Q4" t="s">
        <v>18</v>
      </c>
      <c r="R4" t="s">
        <v>19</v>
      </c>
      <c r="S4" t="s">
        <v>20</v>
      </c>
      <c r="T4" t="s">
        <v>21</v>
      </c>
      <c r="U4" t="s">
        <v>10</v>
      </c>
      <c r="V4" t="s">
        <v>22</v>
      </c>
      <c r="W4" t="s">
        <v>23</v>
      </c>
      <c r="X4" s="53" t="s">
        <v>24</v>
      </c>
      <c r="Y4" s="53"/>
      <c r="Z4" t="s">
        <v>10</v>
      </c>
    </row>
    <row r="5" spans="1:26" s="4" customFormat="1" x14ac:dyDescent="0.25">
      <c r="B5" s="5"/>
      <c r="C5" s="6">
        <v>41852</v>
      </c>
      <c r="D5" s="4">
        <v>21.6</v>
      </c>
      <c r="E5" s="4">
        <v>16.100000000000001</v>
      </c>
      <c r="F5" s="4">
        <v>27.7</v>
      </c>
      <c r="J5" s="4">
        <v>0</v>
      </c>
      <c r="L5" s="4">
        <v>3.2</v>
      </c>
      <c r="N5" s="7">
        <v>-3.2</v>
      </c>
      <c r="O5" s="4">
        <v>0</v>
      </c>
      <c r="T5" s="8"/>
      <c r="V5" s="4">
        <v>1426.3</v>
      </c>
    </row>
    <row r="6" spans="1:26" s="4" customFormat="1" x14ac:dyDescent="0.25">
      <c r="B6" s="5"/>
      <c r="C6" s="6">
        <v>41853</v>
      </c>
      <c r="D6" s="4">
        <v>19.2</v>
      </c>
      <c r="E6" s="4">
        <v>15.2</v>
      </c>
      <c r="F6" s="4">
        <v>23.7</v>
      </c>
      <c r="J6" s="4">
        <v>2.5</v>
      </c>
      <c r="L6" s="4">
        <v>3.1</v>
      </c>
      <c r="N6" s="7">
        <v>-0.60000000000000009</v>
      </c>
      <c r="O6" s="4">
        <v>0</v>
      </c>
      <c r="T6" s="8"/>
      <c r="V6" s="4">
        <v>1436.5</v>
      </c>
    </row>
    <row r="7" spans="1:26" s="4" customFormat="1" x14ac:dyDescent="0.25">
      <c r="B7" s="5"/>
      <c r="C7" s="6">
        <v>41854</v>
      </c>
      <c r="D7" s="4">
        <v>19.7</v>
      </c>
      <c r="E7" s="4">
        <v>15.4</v>
      </c>
      <c r="F7" s="4">
        <v>24.3</v>
      </c>
      <c r="J7" s="4">
        <v>0</v>
      </c>
      <c r="L7" s="4">
        <v>2.8</v>
      </c>
      <c r="N7" s="7">
        <v>-2.8</v>
      </c>
      <c r="O7" s="4">
        <v>0</v>
      </c>
      <c r="T7" s="8"/>
      <c r="V7" s="4">
        <v>1351.4</v>
      </c>
    </row>
    <row r="8" spans="1:26" s="4" customFormat="1" x14ac:dyDescent="0.25">
      <c r="B8" s="5"/>
      <c r="C8" s="6">
        <v>41855</v>
      </c>
      <c r="D8" s="4">
        <v>19</v>
      </c>
      <c r="E8" s="4">
        <v>14.4</v>
      </c>
      <c r="F8" s="4">
        <v>23.8</v>
      </c>
      <c r="J8" s="4">
        <v>0</v>
      </c>
      <c r="L8" s="4">
        <v>3.5</v>
      </c>
      <c r="N8" s="7">
        <v>-3.5</v>
      </c>
      <c r="O8" s="4">
        <v>0</v>
      </c>
      <c r="T8" s="8"/>
      <c r="V8" s="4">
        <v>1590.9</v>
      </c>
    </row>
    <row r="9" spans="1:26" s="4" customFormat="1" x14ac:dyDescent="0.25">
      <c r="B9" s="5"/>
      <c r="C9" s="6">
        <v>41856</v>
      </c>
      <c r="D9" s="4">
        <v>19.600000000000001</v>
      </c>
      <c r="E9" s="4">
        <v>13.7</v>
      </c>
      <c r="F9" s="4">
        <v>25</v>
      </c>
      <c r="J9" s="4">
        <v>0</v>
      </c>
      <c r="L9" s="4">
        <v>4.3</v>
      </c>
      <c r="N9" s="7">
        <v>-4.3</v>
      </c>
      <c r="O9" s="4">
        <v>0</v>
      </c>
      <c r="T9" s="8"/>
      <c r="V9" s="4">
        <v>2214</v>
      </c>
    </row>
    <row r="10" spans="1:26" s="4" customFormat="1" x14ac:dyDescent="0.25">
      <c r="B10" s="5"/>
      <c r="C10" s="6">
        <v>41857</v>
      </c>
      <c r="D10" s="4">
        <v>18.5</v>
      </c>
      <c r="E10" s="4">
        <v>15.9</v>
      </c>
      <c r="F10" s="4">
        <v>21.8</v>
      </c>
      <c r="J10" s="4">
        <v>9.6999999999999993</v>
      </c>
      <c r="L10" s="4">
        <v>1.2</v>
      </c>
      <c r="N10" s="4">
        <v>8.5</v>
      </c>
      <c r="O10" s="4">
        <f>O9+N10</f>
        <v>8.5</v>
      </c>
      <c r="T10" s="8"/>
      <c r="V10" s="4">
        <v>652.1</v>
      </c>
    </row>
    <row r="11" spans="1:26" s="4" customFormat="1" x14ac:dyDescent="0.25">
      <c r="B11" s="5"/>
      <c r="C11" s="6">
        <v>41858</v>
      </c>
      <c r="D11" s="4">
        <v>21</v>
      </c>
      <c r="E11" s="4">
        <v>17.8</v>
      </c>
      <c r="F11" s="4">
        <v>24.3</v>
      </c>
      <c r="J11" s="4">
        <v>1.1000000000000001</v>
      </c>
      <c r="L11" s="4">
        <v>2.7</v>
      </c>
      <c r="N11" s="7">
        <v>-1.6</v>
      </c>
      <c r="O11" s="4">
        <f t="shared" ref="O11:O43" si="0">O10+N11</f>
        <v>6.9</v>
      </c>
      <c r="T11" s="8"/>
      <c r="V11" s="4">
        <v>1262.4000000000001</v>
      </c>
    </row>
    <row r="12" spans="1:26" s="4" customFormat="1" x14ac:dyDescent="0.25">
      <c r="B12" s="5"/>
      <c r="C12" s="6">
        <v>41859</v>
      </c>
      <c r="D12" s="4">
        <v>19.600000000000001</v>
      </c>
      <c r="E12" s="4">
        <v>17.8</v>
      </c>
      <c r="F12" s="4">
        <v>23.8</v>
      </c>
      <c r="J12" s="4">
        <v>18.600000000000001</v>
      </c>
      <c r="L12" s="4">
        <v>2.2999999999999998</v>
      </c>
      <c r="N12" s="4">
        <v>16.3</v>
      </c>
      <c r="O12" s="4">
        <f t="shared" si="0"/>
        <v>23.200000000000003</v>
      </c>
      <c r="T12" s="8"/>
      <c r="V12" s="4">
        <v>767.5</v>
      </c>
    </row>
    <row r="13" spans="1:26" s="4" customFormat="1" x14ac:dyDescent="0.25">
      <c r="B13" s="5"/>
      <c r="C13" s="6">
        <v>41860</v>
      </c>
      <c r="D13" s="4">
        <v>19.100000000000001</v>
      </c>
      <c r="E13" s="4">
        <v>15.1</v>
      </c>
      <c r="F13" s="4">
        <v>22.2</v>
      </c>
      <c r="J13" s="4">
        <v>0.8</v>
      </c>
      <c r="L13" s="4">
        <v>2.8</v>
      </c>
      <c r="N13" s="7">
        <v>-1.9999999999999998</v>
      </c>
      <c r="O13" s="4">
        <f t="shared" si="0"/>
        <v>21.200000000000003</v>
      </c>
      <c r="T13" s="8"/>
      <c r="V13" s="4">
        <v>1603.1</v>
      </c>
    </row>
    <row r="14" spans="1:26" s="4" customFormat="1" x14ac:dyDescent="0.25">
      <c r="B14" s="5"/>
      <c r="C14" s="6">
        <v>41861</v>
      </c>
      <c r="D14" s="4">
        <v>20.2</v>
      </c>
      <c r="E14" s="4">
        <v>17.399999999999999</v>
      </c>
      <c r="F14" s="4">
        <v>26.4</v>
      </c>
      <c r="J14" s="4">
        <v>7.2</v>
      </c>
      <c r="L14" s="4">
        <v>3.4</v>
      </c>
      <c r="N14" s="4">
        <v>3.8000000000000003</v>
      </c>
      <c r="O14" s="4">
        <f t="shared" si="0"/>
        <v>25.000000000000004</v>
      </c>
      <c r="T14" s="8"/>
      <c r="V14" s="4">
        <v>1184.8</v>
      </c>
    </row>
    <row r="15" spans="1:26" s="4" customFormat="1" x14ac:dyDescent="0.25">
      <c r="B15" s="5"/>
      <c r="C15" s="6">
        <v>41862</v>
      </c>
      <c r="D15" s="4">
        <v>17</v>
      </c>
      <c r="E15" s="4">
        <v>13.2</v>
      </c>
      <c r="F15" s="4">
        <v>21.6</v>
      </c>
      <c r="J15" s="4">
        <v>0</v>
      </c>
      <c r="L15" s="4">
        <v>3.4</v>
      </c>
      <c r="N15" s="7">
        <v>-3.4</v>
      </c>
      <c r="O15" s="4">
        <f t="shared" si="0"/>
        <v>21.600000000000005</v>
      </c>
      <c r="T15" s="8"/>
      <c r="V15" s="4">
        <v>1541.1</v>
      </c>
    </row>
    <row r="16" spans="1:26" s="4" customFormat="1" x14ac:dyDescent="0.25">
      <c r="B16" s="5"/>
      <c r="C16" s="6">
        <v>41863</v>
      </c>
      <c r="D16" s="4">
        <v>16</v>
      </c>
      <c r="E16" s="4">
        <v>13</v>
      </c>
      <c r="F16" s="4">
        <v>18.8</v>
      </c>
      <c r="J16" s="4">
        <v>21.9</v>
      </c>
      <c r="L16" s="4">
        <v>1.8</v>
      </c>
      <c r="N16" s="4">
        <v>20.099999999999998</v>
      </c>
      <c r="O16" s="4">
        <f t="shared" si="0"/>
        <v>41.7</v>
      </c>
      <c r="T16" s="8"/>
      <c r="V16" s="4">
        <v>997.6</v>
      </c>
    </row>
    <row r="17" spans="2:22" s="4" customFormat="1" x14ac:dyDescent="0.25">
      <c r="B17" s="5"/>
      <c r="C17" s="6">
        <v>41864</v>
      </c>
      <c r="D17" s="4">
        <v>16.3</v>
      </c>
      <c r="E17" s="4">
        <v>13.4</v>
      </c>
      <c r="F17" s="4">
        <v>18.899999999999999</v>
      </c>
      <c r="J17" s="4">
        <v>10.7</v>
      </c>
      <c r="L17" s="4">
        <v>2</v>
      </c>
      <c r="N17" s="4">
        <v>8.6999999999999993</v>
      </c>
      <c r="O17" s="4">
        <f t="shared" si="0"/>
        <v>50.400000000000006</v>
      </c>
      <c r="T17" s="8"/>
      <c r="V17" s="4">
        <v>1029.7</v>
      </c>
    </row>
    <row r="18" spans="2:22" s="4" customFormat="1" x14ac:dyDescent="0.25">
      <c r="B18" s="5"/>
      <c r="C18" s="6">
        <v>41865</v>
      </c>
      <c r="D18" s="4">
        <v>16.8</v>
      </c>
      <c r="E18" s="4">
        <v>14.1</v>
      </c>
      <c r="F18" s="4">
        <v>20.6</v>
      </c>
      <c r="J18" s="4">
        <v>1.6</v>
      </c>
      <c r="L18" s="4">
        <v>3</v>
      </c>
      <c r="N18" s="7">
        <v>-1.4</v>
      </c>
      <c r="O18" s="4">
        <f t="shared" si="0"/>
        <v>49.000000000000007</v>
      </c>
      <c r="T18" s="8"/>
      <c r="V18" s="4">
        <v>1381</v>
      </c>
    </row>
    <row r="19" spans="2:22" s="4" customFormat="1" x14ac:dyDescent="0.25">
      <c r="B19" s="5"/>
      <c r="C19" s="6">
        <v>41866</v>
      </c>
      <c r="D19" s="4">
        <v>15</v>
      </c>
      <c r="E19" s="4">
        <v>12.2</v>
      </c>
      <c r="F19" s="4">
        <v>18.7</v>
      </c>
      <c r="J19" s="4">
        <v>2.1</v>
      </c>
      <c r="L19" s="4">
        <v>2.2000000000000002</v>
      </c>
      <c r="N19" s="7">
        <v>-0.10000000000000009</v>
      </c>
      <c r="O19" s="4">
        <f t="shared" si="0"/>
        <v>48.900000000000006</v>
      </c>
      <c r="T19" s="8"/>
      <c r="V19" s="4">
        <v>1176.2</v>
      </c>
    </row>
    <row r="20" spans="2:22" s="4" customFormat="1" x14ac:dyDescent="0.25">
      <c r="B20" s="5"/>
      <c r="C20" s="6">
        <v>41867</v>
      </c>
      <c r="D20" s="4">
        <v>15.8</v>
      </c>
      <c r="E20" s="4">
        <v>10.8</v>
      </c>
      <c r="F20" s="4">
        <v>20.6</v>
      </c>
      <c r="J20" s="4">
        <v>0</v>
      </c>
      <c r="L20" s="4">
        <v>3.2</v>
      </c>
      <c r="N20" s="7">
        <v>-3.2</v>
      </c>
      <c r="O20" s="4">
        <f t="shared" si="0"/>
        <v>45.7</v>
      </c>
      <c r="T20" s="8"/>
      <c r="V20" s="4">
        <v>1811.1</v>
      </c>
    </row>
    <row r="21" spans="2:22" s="4" customFormat="1" x14ac:dyDescent="0.25">
      <c r="B21" s="5"/>
      <c r="C21" s="6">
        <v>41868</v>
      </c>
      <c r="D21" s="4">
        <v>15.8</v>
      </c>
      <c r="E21" s="4">
        <v>10</v>
      </c>
      <c r="F21" s="4">
        <v>20.6</v>
      </c>
      <c r="J21" s="4">
        <v>0</v>
      </c>
      <c r="L21" s="4">
        <v>1.9</v>
      </c>
      <c r="N21" s="7">
        <v>-1.9</v>
      </c>
      <c r="O21" s="4">
        <f t="shared" si="0"/>
        <v>43.800000000000004</v>
      </c>
      <c r="T21" s="8"/>
      <c r="V21" s="4">
        <v>992.5</v>
      </c>
    </row>
    <row r="22" spans="2:22" s="4" customFormat="1" x14ac:dyDescent="0.25">
      <c r="B22" s="5"/>
      <c r="C22" s="6">
        <v>41869</v>
      </c>
      <c r="D22" s="4">
        <v>16</v>
      </c>
      <c r="E22" s="4">
        <v>14.6</v>
      </c>
      <c r="F22" s="4">
        <v>19.100000000000001</v>
      </c>
      <c r="J22" s="4">
        <v>0.1</v>
      </c>
      <c r="L22" s="4">
        <v>1.6</v>
      </c>
      <c r="N22" s="7">
        <v>-1.5</v>
      </c>
      <c r="O22" s="4">
        <f t="shared" si="0"/>
        <v>42.300000000000004</v>
      </c>
      <c r="T22" s="8"/>
      <c r="V22" s="4">
        <v>841.7</v>
      </c>
    </row>
    <row r="23" spans="2:22" s="4" customFormat="1" x14ac:dyDescent="0.25">
      <c r="B23" s="5"/>
      <c r="C23" s="6">
        <v>41870</v>
      </c>
      <c r="D23" s="4">
        <v>14.4</v>
      </c>
      <c r="E23" s="4">
        <v>9.1999999999999993</v>
      </c>
      <c r="F23" s="4">
        <v>18.8</v>
      </c>
      <c r="J23" s="4">
        <v>0</v>
      </c>
      <c r="L23" s="4">
        <v>2.8</v>
      </c>
      <c r="N23" s="7">
        <v>-2.8</v>
      </c>
      <c r="O23" s="4">
        <f t="shared" si="0"/>
        <v>39.500000000000007</v>
      </c>
      <c r="T23" s="8"/>
      <c r="V23" s="4">
        <v>1689.1</v>
      </c>
    </row>
    <row r="24" spans="2:22" s="4" customFormat="1" x14ac:dyDescent="0.25">
      <c r="B24" s="5"/>
      <c r="C24" s="6">
        <v>41871</v>
      </c>
      <c r="D24" s="4">
        <v>14.6</v>
      </c>
      <c r="E24" s="4">
        <v>12.6</v>
      </c>
      <c r="F24" s="4">
        <v>19</v>
      </c>
      <c r="J24" s="4">
        <v>0</v>
      </c>
      <c r="L24" s="4">
        <v>3</v>
      </c>
      <c r="N24" s="7">
        <v>-3</v>
      </c>
      <c r="O24" s="4">
        <f t="shared" si="0"/>
        <v>36.500000000000007</v>
      </c>
      <c r="T24" s="8"/>
      <c r="V24" s="4">
        <v>1661.4</v>
      </c>
    </row>
    <row r="25" spans="2:22" s="4" customFormat="1" x14ac:dyDescent="0.25">
      <c r="B25" s="5"/>
      <c r="C25" s="6">
        <v>41872</v>
      </c>
      <c r="D25" s="4">
        <v>13.9</v>
      </c>
      <c r="E25" s="4">
        <v>7.1</v>
      </c>
      <c r="F25" s="4">
        <v>20.3</v>
      </c>
      <c r="J25" s="4">
        <v>0</v>
      </c>
      <c r="L25" s="4">
        <v>1.6</v>
      </c>
      <c r="N25" s="7">
        <v>-1.6</v>
      </c>
      <c r="O25" s="4">
        <f t="shared" si="0"/>
        <v>34.900000000000006</v>
      </c>
      <c r="T25" s="8"/>
      <c r="V25" s="4">
        <v>1008.9</v>
      </c>
    </row>
    <row r="26" spans="2:22" s="4" customFormat="1" x14ac:dyDescent="0.25">
      <c r="B26" s="5"/>
      <c r="C26" s="6">
        <v>41873</v>
      </c>
      <c r="D26" s="4">
        <v>15.1</v>
      </c>
      <c r="E26" s="4">
        <v>9.3000000000000007</v>
      </c>
      <c r="F26" s="4">
        <v>20.6</v>
      </c>
      <c r="J26" s="4">
        <v>0</v>
      </c>
      <c r="L26" s="4">
        <v>3</v>
      </c>
      <c r="N26" s="7">
        <v>-3</v>
      </c>
      <c r="O26" s="4">
        <f t="shared" si="0"/>
        <v>31.900000000000006</v>
      </c>
      <c r="T26" s="8"/>
      <c r="V26" s="4">
        <v>1580.8</v>
      </c>
    </row>
    <row r="27" spans="2:22" s="4" customFormat="1" x14ac:dyDescent="0.25">
      <c r="B27" s="5"/>
      <c r="C27" s="6">
        <v>41874</v>
      </c>
      <c r="D27" s="4">
        <v>14.4</v>
      </c>
      <c r="E27" s="4">
        <v>11.9</v>
      </c>
      <c r="F27" s="4">
        <v>18.3</v>
      </c>
      <c r="J27" s="4">
        <v>0</v>
      </c>
      <c r="L27" s="4">
        <v>1.9</v>
      </c>
      <c r="N27" s="7">
        <v>-1.9</v>
      </c>
      <c r="O27" s="4">
        <f t="shared" si="0"/>
        <v>30.000000000000007</v>
      </c>
      <c r="T27" s="8"/>
      <c r="V27" s="4">
        <v>985.7</v>
      </c>
    </row>
    <row r="28" spans="2:22" s="4" customFormat="1" x14ac:dyDescent="0.25">
      <c r="B28" s="5"/>
      <c r="C28" s="6">
        <v>41875</v>
      </c>
      <c r="D28" s="4">
        <v>14.5</v>
      </c>
      <c r="E28" s="4">
        <v>7.7</v>
      </c>
      <c r="F28" s="4">
        <v>19.899999999999999</v>
      </c>
      <c r="J28" s="4">
        <v>1.3</v>
      </c>
      <c r="L28" s="4">
        <v>2.1</v>
      </c>
      <c r="N28" s="7">
        <v>-0.8</v>
      </c>
      <c r="O28" s="4">
        <f t="shared" si="0"/>
        <v>29.200000000000006</v>
      </c>
      <c r="T28" s="8"/>
      <c r="V28" s="4">
        <v>1232</v>
      </c>
    </row>
    <row r="29" spans="2:22" s="4" customFormat="1" x14ac:dyDescent="0.25">
      <c r="B29" s="5"/>
      <c r="C29" s="6">
        <v>41876</v>
      </c>
      <c r="D29" s="4">
        <v>17</v>
      </c>
      <c r="E29" s="4">
        <v>12.3</v>
      </c>
      <c r="F29" s="4">
        <v>20.5</v>
      </c>
      <c r="J29" s="4">
        <v>13.1</v>
      </c>
      <c r="L29" s="4">
        <v>0.8</v>
      </c>
      <c r="N29" s="4">
        <v>12.299999999999999</v>
      </c>
      <c r="O29" s="4">
        <f t="shared" si="0"/>
        <v>41.500000000000007</v>
      </c>
      <c r="T29" s="8"/>
      <c r="V29" s="4">
        <v>434.9</v>
      </c>
    </row>
    <row r="30" spans="2:22" s="4" customFormat="1" x14ac:dyDescent="0.25">
      <c r="B30" s="5"/>
      <c r="C30" s="6">
        <v>41877</v>
      </c>
      <c r="D30" s="4">
        <v>18</v>
      </c>
      <c r="E30" s="4">
        <v>16.399999999999999</v>
      </c>
      <c r="F30" s="4">
        <v>21</v>
      </c>
      <c r="J30" s="4">
        <v>1.1000000000000001</v>
      </c>
      <c r="L30" s="4">
        <v>2.9</v>
      </c>
      <c r="N30" s="7">
        <v>-1.7999999999999998</v>
      </c>
      <c r="O30" s="4">
        <f t="shared" si="0"/>
        <v>39.70000000000001</v>
      </c>
      <c r="T30" s="8"/>
      <c r="V30" s="4">
        <v>1409.1</v>
      </c>
    </row>
    <row r="31" spans="2:22" s="4" customFormat="1" x14ac:dyDescent="0.25">
      <c r="B31" s="5"/>
      <c r="C31" s="6">
        <v>41878</v>
      </c>
      <c r="D31" s="4">
        <v>17.7</v>
      </c>
      <c r="E31" s="4">
        <v>13.6</v>
      </c>
      <c r="F31" s="4">
        <v>20.399999999999999</v>
      </c>
      <c r="J31" s="4">
        <v>0.1</v>
      </c>
      <c r="L31" s="4">
        <v>1.7</v>
      </c>
      <c r="N31" s="7">
        <v>-1.5999999999999999</v>
      </c>
      <c r="O31" s="4">
        <f t="shared" si="0"/>
        <v>38.100000000000009</v>
      </c>
      <c r="T31" s="8"/>
      <c r="V31" s="4">
        <v>1030.8</v>
      </c>
    </row>
    <row r="32" spans="2:22" s="4" customFormat="1" x14ac:dyDescent="0.25">
      <c r="B32" s="5"/>
      <c r="C32" s="6">
        <v>41879</v>
      </c>
      <c r="D32" s="4">
        <v>19.8</v>
      </c>
      <c r="E32" s="4">
        <v>16.7</v>
      </c>
      <c r="F32" s="4">
        <v>23.7</v>
      </c>
      <c r="J32" s="4">
        <v>0</v>
      </c>
      <c r="L32" s="4">
        <v>2.2999999999999998</v>
      </c>
      <c r="N32" s="7">
        <v>-2.2999999999999998</v>
      </c>
      <c r="O32" s="4">
        <f t="shared" si="0"/>
        <v>35.800000000000011</v>
      </c>
      <c r="T32" s="8"/>
      <c r="V32" s="4">
        <v>1106.8</v>
      </c>
    </row>
    <row r="33" spans="1:27" s="4" customFormat="1" x14ac:dyDescent="0.25">
      <c r="B33" s="5"/>
      <c r="C33" s="6">
        <v>41880</v>
      </c>
      <c r="D33" s="4">
        <v>17.5</v>
      </c>
      <c r="E33" s="4">
        <v>14.3</v>
      </c>
      <c r="F33" s="4">
        <v>21.7</v>
      </c>
      <c r="J33" s="4">
        <v>0.1</v>
      </c>
      <c r="L33" s="4">
        <v>2</v>
      </c>
      <c r="N33" s="7">
        <v>-1.9</v>
      </c>
      <c r="O33" s="4">
        <f t="shared" si="0"/>
        <v>33.900000000000013</v>
      </c>
      <c r="T33" s="8"/>
      <c r="V33" s="4">
        <v>992.6</v>
      </c>
    </row>
    <row r="34" spans="1:27" s="4" customFormat="1" x14ac:dyDescent="0.25">
      <c r="B34" s="5"/>
      <c r="C34" s="6">
        <v>41881</v>
      </c>
      <c r="D34" s="4">
        <v>16.600000000000001</v>
      </c>
      <c r="E34" s="4">
        <v>11.8</v>
      </c>
      <c r="F34" s="4">
        <v>21.5</v>
      </c>
      <c r="J34" s="4">
        <v>0</v>
      </c>
      <c r="L34" s="4">
        <v>1.7</v>
      </c>
      <c r="N34" s="7">
        <v>-1.7</v>
      </c>
      <c r="O34" s="4">
        <f t="shared" si="0"/>
        <v>32.20000000000001</v>
      </c>
      <c r="T34" s="8"/>
      <c r="V34" s="4">
        <v>1016.1</v>
      </c>
    </row>
    <row r="35" spans="1:27" s="4" customFormat="1" x14ac:dyDescent="0.25">
      <c r="B35" s="5"/>
      <c r="C35" s="6">
        <v>41882</v>
      </c>
      <c r="D35" s="4">
        <v>16.8</v>
      </c>
      <c r="E35" s="4">
        <v>14.5</v>
      </c>
      <c r="F35" s="4">
        <v>20.2</v>
      </c>
      <c r="J35" s="4">
        <v>0</v>
      </c>
      <c r="L35" s="4">
        <v>2.4</v>
      </c>
      <c r="N35" s="7">
        <v>-2.4</v>
      </c>
      <c r="O35" s="4">
        <f t="shared" si="0"/>
        <v>29.800000000000011</v>
      </c>
      <c r="T35" s="8"/>
      <c r="V35" s="4">
        <v>995.5</v>
      </c>
    </row>
    <row r="36" spans="1:27" s="4" customFormat="1" x14ac:dyDescent="0.25">
      <c r="B36" s="5"/>
      <c r="C36" s="6">
        <v>41883</v>
      </c>
      <c r="D36" s="4">
        <v>15.9</v>
      </c>
      <c r="E36" s="4">
        <v>10.1</v>
      </c>
      <c r="F36" s="4">
        <v>21.3</v>
      </c>
      <c r="J36" s="4">
        <v>0</v>
      </c>
      <c r="L36" s="4">
        <v>3.3</v>
      </c>
      <c r="N36" s="7">
        <v>-3.3</v>
      </c>
      <c r="O36" s="4">
        <f t="shared" si="0"/>
        <v>26.500000000000011</v>
      </c>
      <c r="T36" s="8"/>
      <c r="V36" s="4">
        <v>1868.7</v>
      </c>
    </row>
    <row r="37" spans="1:27" s="4" customFormat="1" x14ac:dyDescent="0.25">
      <c r="B37" s="5"/>
      <c r="C37" s="6">
        <v>41884</v>
      </c>
      <c r="D37" s="4">
        <v>17.399999999999999</v>
      </c>
      <c r="E37" s="4">
        <v>11.7</v>
      </c>
      <c r="F37" s="4">
        <v>23.4</v>
      </c>
      <c r="J37" s="4">
        <v>0</v>
      </c>
      <c r="L37" s="4">
        <v>2.6</v>
      </c>
      <c r="N37" s="7">
        <v>-2.6</v>
      </c>
      <c r="O37" s="4">
        <f t="shared" si="0"/>
        <v>23.900000000000009</v>
      </c>
      <c r="T37" s="8"/>
      <c r="V37" s="4">
        <v>1275.8</v>
      </c>
    </row>
    <row r="38" spans="1:27" s="4" customFormat="1" x14ac:dyDescent="0.25">
      <c r="B38" s="5"/>
      <c r="C38" s="6">
        <v>41885</v>
      </c>
      <c r="D38" s="4">
        <v>18.2</v>
      </c>
      <c r="E38" s="4">
        <v>12.8</v>
      </c>
      <c r="F38" s="4">
        <v>23.6</v>
      </c>
      <c r="J38" s="4">
        <v>0</v>
      </c>
      <c r="L38" s="4">
        <v>4.4000000000000004</v>
      </c>
      <c r="N38" s="7">
        <v>-4.4000000000000004</v>
      </c>
      <c r="O38" s="4">
        <f t="shared" si="0"/>
        <v>19.500000000000007</v>
      </c>
      <c r="T38" s="8"/>
      <c r="V38" s="4">
        <v>2289.6</v>
      </c>
    </row>
    <row r="39" spans="1:27" s="4" customFormat="1" x14ac:dyDescent="0.25">
      <c r="B39" s="5"/>
      <c r="C39" s="6">
        <v>41886</v>
      </c>
      <c r="D39" s="4">
        <v>17.3</v>
      </c>
      <c r="E39" s="4">
        <v>12.1</v>
      </c>
      <c r="F39" s="4">
        <v>22.3</v>
      </c>
      <c r="J39" s="4">
        <v>0</v>
      </c>
      <c r="L39" s="4">
        <v>2.8</v>
      </c>
      <c r="N39" s="7">
        <v>-2.8</v>
      </c>
      <c r="O39" s="4">
        <f t="shared" si="0"/>
        <v>16.700000000000006</v>
      </c>
      <c r="T39" s="8"/>
      <c r="V39" s="4">
        <v>1620.4</v>
      </c>
      <c r="AA39" s="4">
        <v>13.2663387096298</v>
      </c>
    </row>
    <row r="40" spans="1:27" s="4" customFormat="1" x14ac:dyDescent="0.25">
      <c r="B40" s="5"/>
      <c r="C40" s="6">
        <v>41887</v>
      </c>
      <c r="D40" s="4">
        <v>17.8</v>
      </c>
      <c r="E40" s="4">
        <v>11</v>
      </c>
      <c r="F40" s="4">
        <v>23.5</v>
      </c>
      <c r="J40" s="4">
        <v>0</v>
      </c>
      <c r="L40" s="4">
        <v>2.4</v>
      </c>
      <c r="N40" s="7">
        <v>-2.4</v>
      </c>
      <c r="O40" s="4">
        <f t="shared" si="0"/>
        <v>14.300000000000006</v>
      </c>
      <c r="T40" s="8"/>
      <c r="V40" s="4">
        <v>1255.5999999999999</v>
      </c>
      <c r="AA40" s="4">
        <v>13.211102106095399</v>
      </c>
    </row>
    <row r="41" spans="1:27" s="4" customFormat="1" x14ac:dyDescent="0.25">
      <c r="B41" s="5"/>
      <c r="C41" s="6">
        <v>41888</v>
      </c>
      <c r="D41" s="4">
        <v>20.3</v>
      </c>
      <c r="E41" s="4">
        <v>17.100000000000001</v>
      </c>
      <c r="F41" s="4">
        <v>24.7</v>
      </c>
      <c r="J41" s="4">
        <v>0</v>
      </c>
      <c r="L41" s="4">
        <v>1.2</v>
      </c>
      <c r="N41" s="7">
        <v>-1.2</v>
      </c>
      <c r="O41" s="4">
        <f t="shared" si="0"/>
        <v>13.100000000000007</v>
      </c>
      <c r="T41" s="8"/>
      <c r="V41" s="4">
        <v>801.6</v>
      </c>
      <c r="AA41" s="4">
        <v>13.155735795728701</v>
      </c>
    </row>
    <row r="42" spans="1:27" s="4" customFormat="1" x14ac:dyDescent="0.25">
      <c r="B42" s="5"/>
      <c r="C42" s="6">
        <v>41889</v>
      </c>
      <c r="D42" s="4">
        <v>19.8</v>
      </c>
      <c r="E42" s="4">
        <v>12.8</v>
      </c>
      <c r="F42" s="4">
        <v>26.4</v>
      </c>
      <c r="J42" s="4">
        <v>0</v>
      </c>
      <c r="L42" s="4">
        <v>3.8</v>
      </c>
      <c r="N42" s="7">
        <v>-3.8</v>
      </c>
      <c r="O42" s="4">
        <f t="shared" si="0"/>
        <v>9.3000000000000078</v>
      </c>
      <c r="T42" s="8"/>
      <c r="V42" s="4">
        <v>2056.5</v>
      </c>
      <c r="AA42" s="4">
        <v>13.1002473725603</v>
      </c>
    </row>
    <row r="43" spans="1:27" s="4" customFormat="1" x14ac:dyDescent="0.25">
      <c r="B43" s="5"/>
      <c r="C43" s="6">
        <v>41890</v>
      </c>
      <c r="D43" s="4">
        <v>20.2</v>
      </c>
      <c r="E43" s="4">
        <v>13.6</v>
      </c>
      <c r="F43" s="4">
        <v>26.8</v>
      </c>
      <c r="J43" s="4">
        <v>0</v>
      </c>
      <c r="L43" s="4">
        <v>4.2</v>
      </c>
      <c r="N43" s="7">
        <v>-4.2</v>
      </c>
      <c r="O43" s="4">
        <f t="shared" si="0"/>
        <v>5.1000000000000076</v>
      </c>
      <c r="T43" s="8">
        <v>5.0999999999999996</v>
      </c>
      <c r="V43" s="4">
        <v>1962</v>
      </c>
      <c r="AA43" s="4">
        <v>13.0446441822443</v>
      </c>
    </row>
    <row r="44" spans="1:27" s="4" customFormat="1" x14ac:dyDescent="0.25">
      <c r="A44" s="56" t="s">
        <v>25</v>
      </c>
      <c r="B44" s="56"/>
      <c r="C44" s="56"/>
      <c r="D44" s="56"/>
      <c r="E44" s="56"/>
      <c r="F44" s="56"/>
      <c r="G44" s="56"/>
      <c r="H44" s="56"/>
      <c r="I44" s="56"/>
      <c r="J44" s="56"/>
      <c r="K44" s="56"/>
      <c r="L44" s="56"/>
      <c r="M44" s="56"/>
      <c r="N44" s="56"/>
      <c r="O44" s="56"/>
      <c r="P44" s="56"/>
      <c r="Q44" s="56"/>
      <c r="R44" s="56"/>
      <c r="S44" s="56"/>
      <c r="T44" s="56"/>
      <c r="U44" s="56"/>
      <c r="V44" s="56"/>
      <c r="W44" s="56"/>
      <c r="X44" s="56"/>
      <c r="Y44" s="56"/>
      <c r="Z44" s="56"/>
      <c r="AA44" s="4">
        <v>12.988933336825401</v>
      </c>
    </row>
    <row r="45" spans="1:27" s="4" customFormat="1" x14ac:dyDescent="0.25">
      <c r="A45" s="57" t="s">
        <v>26</v>
      </c>
      <c r="B45" s="9"/>
      <c r="C45" s="6">
        <v>41891</v>
      </c>
      <c r="D45" s="4">
        <v>18.8</v>
      </c>
      <c r="E45" s="4">
        <v>14.5</v>
      </c>
      <c r="F45" s="4">
        <v>25.3</v>
      </c>
      <c r="G45" s="4">
        <f>D45</f>
        <v>18.8</v>
      </c>
      <c r="I45" s="10" t="s">
        <v>27</v>
      </c>
      <c r="J45" s="4">
        <v>0</v>
      </c>
      <c r="K45" s="4">
        <f>J45</f>
        <v>0</v>
      </c>
      <c r="L45" s="4">
        <v>3.3</v>
      </c>
      <c r="M45" s="4">
        <f>L45</f>
        <v>3.3</v>
      </c>
      <c r="N45" s="7">
        <v>-3.3</v>
      </c>
      <c r="O45" s="4">
        <f>O43+N45</f>
        <v>1.8000000000000078</v>
      </c>
      <c r="P45" s="4">
        <v>1</v>
      </c>
      <c r="Q45" s="4">
        <v>0.35</v>
      </c>
      <c r="R45" s="8">
        <f t="shared" ref="R45:R108" si="1">Q45*L45</f>
        <v>1.1549999999999998</v>
      </c>
      <c r="S45" s="8">
        <f t="shared" ref="S45:S108" si="2">J45-R45</f>
        <v>-1.1549999999999998</v>
      </c>
      <c r="T45" s="8">
        <f>T43+S45</f>
        <v>3.9449999999999998</v>
      </c>
      <c r="U45" s="10" t="s">
        <v>28</v>
      </c>
      <c r="V45" s="4">
        <v>1354.1</v>
      </c>
      <c r="X45" s="4">
        <f>V45</f>
        <v>1354.1</v>
      </c>
      <c r="Z45" s="10" t="s">
        <v>29</v>
      </c>
      <c r="AA45" s="4">
        <v>12.933121729611999</v>
      </c>
    </row>
    <row r="46" spans="1:27" s="4" customFormat="1" x14ac:dyDescent="0.25">
      <c r="A46" s="57"/>
      <c r="B46" s="9"/>
      <c r="C46" s="6">
        <v>41892</v>
      </c>
      <c r="D46" s="4">
        <v>16.399999999999999</v>
      </c>
      <c r="E46" s="4">
        <v>10.3</v>
      </c>
      <c r="F46" s="4">
        <v>21.7</v>
      </c>
      <c r="G46" s="4">
        <f>G45+D46</f>
        <v>35.200000000000003</v>
      </c>
      <c r="I46" s="4">
        <f>MIN(E45:E126)</f>
        <v>0.5</v>
      </c>
      <c r="J46" s="4">
        <v>0</v>
      </c>
      <c r="K46" s="4">
        <f>K45+J46</f>
        <v>0</v>
      </c>
      <c r="L46" s="4">
        <v>3.7</v>
      </c>
      <c r="M46" s="4">
        <f>M45+L46</f>
        <v>7</v>
      </c>
      <c r="N46" s="7">
        <v>-3.7</v>
      </c>
      <c r="O46" s="4">
        <v>0</v>
      </c>
      <c r="P46" s="4">
        <v>2</v>
      </c>
      <c r="Q46" s="4">
        <v>0.35</v>
      </c>
      <c r="R46" s="8">
        <f t="shared" si="1"/>
        <v>1.2949999999999999</v>
      </c>
      <c r="S46" s="8">
        <f t="shared" si="2"/>
        <v>-1.2949999999999999</v>
      </c>
      <c r="T46" s="8">
        <f>MIN(138.9,(T45+S46))</f>
        <v>2.65</v>
      </c>
      <c r="U46" s="4">
        <v>55</v>
      </c>
      <c r="V46" s="4">
        <v>2153.4</v>
      </c>
      <c r="X46" s="4">
        <f>X45+V46</f>
        <v>3507.5</v>
      </c>
      <c r="Z46" s="4">
        <v>60224.200000000004</v>
      </c>
      <c r="AA46" s="4">
        <v>12.8772160501405</v>
      </c>
    </row>
    <row r="47" spans="1:27" s="4" customFormat="1" x14ac:dyDescent="0.25">
      <c r="A47" s="57"/>
      <c r="B47" s="9"/>
      <c r="C47" s="6">
        <v>41893</v>
      </c>
      <c r="D47" s="4">
        <v>15.2</v>
      </c>
      <c r="E47" s="4">
        <v>9.6999999999999993</v>
      </c>
      <c r="F47" s="4">
        <v>20.6</v>
      </c>
      <c r="G47" s="4">
        <f t="shared" ref="G47:G110" si="3">G46+D47</f>
        <v>50.400000000000006</v>
      </c>
      <c r="I47" s="10" t="s">
        <v>30</v>
      </c>
      <c r="J47" s="4">
        <v>0</v>
      </c>
      <c r="K47" s="4">
        <f t="shared" ref="K47:K110" si="4">K46+J47</f>
        <v>0</v>
      </c>
      <c r="L47" s="4">
        <v>4</v>
      </c>
      <c r="M47" s="4">
        <f t="shared" ref="M47:M110" si="5">M46+L47</f>
        <v>11</v>
      </c>
      <c r="N47" s="7">
        <v>-4</v>
      </c>
      <c r="O47" s="4">
        <v>0</v>
      </c>
      <c r="P47" s="4">
        <v>3</v>
      </c>
      <c r="Q47" s="4">
        <v>0.35</v>
      </c>
      <c r="R47" s="8">
        <f t="shared" si="1"/>
        <v>1.4</v>
      </c>
      <c r="S47" s="8">
        <f t="shared" si="2"/>
        <v>-1.4</v>
      </c>
      <c r="T47" s="8">
        <f t="shared" ref="T47:T110" si="6">MIN(138.9,(T46+S47))</f>
        <v>1.25</v>
      </c>
      <c r="U47" s="10" t="s">
        <v>31</v>
      </c>
      <c r="V47" s="4">
        <v>2186.8000000000002</v>
      </c>
      <c r="X47" s="4">
        <f t="shared" ref="X47:X110" si="7">X46+V47</f>
        <v>5694.3</v>
      </c>
      <c r="Z47" s="10" t="s">
        <v>32</v>
      </c>
      <c r="AA47" s="4">
        <v>12.8212227992249</v>
      </c>
    </row>
    <row r="48" spans="1:27" s="4" customFormat="1" x14ac:dyDescent="0.25">
      <c r="A48" s="57"/>
      <c r="B48" s="9"/>
      <c r="C48" s="6">
        <v>41894</v>
      </c>
      <c r="D48" s="4">
        <v>15.9</v>
      </c>
      <c r="E48" s="4">
        <v>10.8</v>
      </c>
      <c r="F48" s="4">
        <v>20.9</v>
      </c>
      <c r="G48" s="4">
        <f t="shared" si="3"/>
        <v>66.300000000000011</v>
      </c>
      <c r="I48" s="4">
        <f>MAX(F45:F126)</f>
        <v>26.9</v>
      </c>
      <c r="J48" s="4">
        <v>0</v>
      </c>
      <c r="K48" s="4">
        <f t="shared" si="4"/>
        <v>0</v>
      </c>
      <c r="L48" s="4">
        <v>4</v>
      </c>
      <c r="M48" s="4">
        <f t="shared" si="5"/>
        <v>15</v>
      </c>
      <c r="N48" s="7">
        <v>-4</v>
      </c>
      <c r="O48" s="4">
        <v>0</v>
      </c>
      <c r="P48" s="4">
        <v>4</v>
      </c>
      <c r="Q48" s="4">
        <v>0.35</v>
      </c>
      <c r="R48" s="8">
        <f t="shared" si="1"/>
        <v>1.4</v>
      </c>
      <c r="S48" s="8">
        <f t="shared" si="2"/>
        <v>-1.4</v>
      </c>
      <c r="T48" s="8">
        <v>0</v>
      </c>
      <c r="U48" s="4">
        <v>8</v>
      </c>
      <c r="V48" s="4">
        <v>2056.6</v>
      </c>
      <c r="X48" s="4">
        <f t="shared" si="7"/>
        <v>7750.9</v>
      </c>
      <c r="Z48" s="11">
        <f>(Z46/100)/I58</f>
        <v>0.56644281414597442</v>
      </c>
      <c r="AA48" s="4">
        <v>12.765148304082</v>
      </c>
    </row>
    <row r="49" spans="1:27" s="4" customFormat="1" x14ac:dyDescent="0.25">
      <c r="A49" s="57"/>
      <c r="B49" s="9"/>
      <c r="C49" s="6">
        <v>41895</v>
      </c>
      <c r="D49" s="4">
        <v>17.399999999999999</v>
      </c>
      <c r="E49" s="4">
        <v>11.1</v>
      </c>
      <c r="F49" s="4">
        <v>22.6</v>
      </c>
      <c r="G49" s="4">
        <f t="shared" si="3"/>
        <v>83.700000000000017</v>
      </c>
      <c r="I49" s="10" t="s">
        <v>33</v>
      </c>
      <c r="J49" s="4">
        <v>0</v>
      </c>
      <c r="K49" s="4">
        <f t="shared" si="4"/>
        <v>0</v>
      </c>
      <c r="L49" s="4">
        <v>2.2000000000000002</v>
      </c>
      <c r="M49" s="4">
        <f t="shared" si="5"/>
        <v>17.2</v>
      </c>
      <c r="N49" s="7">
        <v>-2.2000000000000002</v>
      </c>
      <c r="O49" s="4">
        <v>0</v>
      </c>
      <c r="P49" s="4">
        <v>5</v>
      </c>
      <c r="Q49" s="4">
        <v>0.35</v>
      </c>
      <c r="R49" s="8">
        <f t="shared" si="1"/>
        <v>0.77</v>
      </c>
      <c r="S49" s="8">
        <f t="shared" si="2"/>
        <v>-0.77</v>
      </c>
      <c r="T49" s="8">
        <v>0</v>
      </c>
      <c r="U49" s="10" t="s">
        <v>34</v>
      </c>
      <c r="V49" s="4">
        <v>1068.7</v>
      </c>
      <c r="X49" s="4">
        <f t="shared" si="7"/>
        <v>8819.6</v>
      </c>
      <c r="Z49" s="10" t="s">
        <v>35</v>
      </c>
      <c r="AA49" s="4">
        <v>12.708998733528301</v>
      </c>
    </row>
    <row r="50" spans="1:27" s="4" customFormat="1" x14ac:dyDescent="0.25">
      <c r="A50" s="57"/>
      <c r="B50" s="9"/>
      <c r="C50" s="6">
        <v>41896</v>
      </c>
      <c r="D50" s="4">
        <v>18.3</v>
      </c>
      <c r="E50" s="4">
        <v>13.8</v>
      </c>
      <c r="F50" s="4">
        <v>22.9</v>
      </c>
      <c r="G50" s="4">
        <f t="shared" si="3"/>
        <v>102.00000000000001</v>
      </c>
      <c r="I50" s="8">
        <f>AVERAGE(D45:D126)</f>
        <v>12.965853658536583</v>
      </c>
      <c r="J50" s="4">
        <v>0</v>
      </c>
      <c r="K50" s="4">
        <f t="shared" si="4"/>
        <v>0</v>
      </c>
      <c r="L50" s="4">
        <v>3.3</v>
      </c>
      <c r="M50" s="4">
        <f t="shared" si="5"/>
        <v>20.5</v>
      </c>
      <c r="N50" s="7">
        <v>-3.3</v>
      </c>
      <c r="O50" s="4">
        <v>0</v>
      </c>
      <c r="P50" s="4">
        <v>6</v>
      </c>
      <c r="Q50" s="4">
        <v>0.35</v>
      </c>
      <c r="R50" s="8">
        <f t="shared" si="1"/>
        <v>1.1549999999999998</v>
      </c>
      <c r="S50" s="8">
        <f t="shared" si="2"/>
        <v>-1.1549999999999998</v>
      </c>
      <c r="T50" s="8">
        <v>0</v>
      </c>
      <c r="U50" s="4">
        <v>21</v>
      </c>
      <c r="V50" s="4">
        <v>1715.3</v>
      </c>
      <c r="X50" s="4">
        <f t="shared" si="7"/>
        <v>10534.9</v>
      </c>
      <c r="Z50" s="4">
        <v>57</v>
      </c>
      <c r="AA50" s="4">
        <v>12.652780113243701</v>
      </c>
    </row>
    <row r="51" spans="1:27" s="4" customFormat="1" x14ac:dyDescent="0.25">
      <c r="A51" s="57"/>
      <c r="B51" s="9"/>
      <c r="C51" s="6">
        <v>41897</v>
      </c>
      <c r="D51" s="4">
        <v>18.8</v>
      </c>
      <c r="E51" s="4">
        <v>13</v>
      </c>
      <c r="F51" s="4">
        <v>25.2</v>
      </c>
      <c r="G51" s="4">
        <f t="shared" si="3"/>
        <v>120.80000000000001</v>
      </c>
      <c r="I51" s="10" t="s">
        <v>36</v>
      </c>
      <c r="J51" s="4">
        <v>0</v>
      </c>
      <c r="K51" s="4">
        <f t="shared" si="4"/>
        <v>0</v>
      </c>
      <c r="L51" s="4">
        <v>3.6</v>
      </c>
      <c r="M51" s="4">
        <f t="shared" si="5"/>
        <v>24.1</v>
      </c>
      <c r="N51" s="7">
        <v>-3.6</v>
      </c>
      <c r="O51" s="4">
        <v>0</v>
      </c>
      <c r="P51" s="4">
        <v>7</v>
      </c>
      <c r="Q51" s="4">
        <v>0.35</v>
      </c>
      <c r="R51" s="8">
        <f t="shared" si="1"/>
        <v>1.26</v>
      </c>
      <c r="S51" s="8">
        <f t="shared" si="2"/>
        <v>-1.26</v>
      </c>
      <c r="T51" s="8">
        <v>0</v>
      </c>
      <c r="U51" s="10" t="s">
        <v>37</v>
      </c>
      <c r="V51" s="4">
        <v>1886.3</v>
      </c>
      <c r="X51" s="4">
        <f t="shared" si="7"/>
        <v>12421.199999999999</v>
      </c>
      <c r="AA51" s="4">
        <v>12.5964983411</v>
      </c>
    </row>
    <row r="52" spans="1:27" s="4" customFormat="1" x14ac:dyDescent="0.25">
      <c r="A52" s="57"/>
      <c r="B52" s="9"/>
      <c r="C52" s="6">
        <v>41898</v>
      </c>
      <c r="D52" s="4">
        <v>19.899999999999999</v>
      </c>
      <c r="E52" s="4">
        <v>12.3</v>
      </c>
      <c r="F52" s="4">
        <v>26.9</v>
      </c>
      <c r="G52" s="4">
        <f t="shared" si="3"/>
        <v>140.70000000000002</v>
      </c>
      <c r="I52" s="4">
        <v>0</v>
      </c>
      <c r="J52" s="4">
        <v>0</v>
      </c>
      <c r="K52" s="4">
        <f t="shared" si="4"/>
        <v>0</v>
      </c>
      <c r="L52" s="4">
        <v>3.5</v>
      </c>
      <c r="M52" s="4">
        <f t="shared" si="5"/>
        <v>27.6</v>
      </c>
      <c r="N52" s="7">
        <v>-3.5</v>
      </c>
      <c r="O52" s="4">
        <v>0</v>
      </c>
      <c r="P52" s="4">
        <v>8</v>
      </c>
      <c r="Q52" s="4">
        <v>0.35</v>
      </c>
      <c r="R52" s="8">
        <f t="shared" si="1"/>
        <v>1.2249999999999999</v>
      </c>
      <c r="S52" s="8">
        <f t="shared" si="2"/>
        <v>-1.2249999999999999</v>
      </c>
      <c r="T52" s="8">
        <v>0</v>
      </c>
      <c r="U52" s="8">
        <v>0</v>
      </c>
      <c r="V52" s="4">
        <v>1796</v>
      </c>
      <c r="X52" s="4">
        <f t="shared" si="7"/>
        <v>14217.199999999999</v>
      </c>
      <c r="AA52" s="4">
        <v>12.540159202552699</v>
      </c>
    </row>
    <row r="53" spans="1:27" s="4" customFormat="1" x14ac:dyDescent="0.25">
      <c r="A53" s="57"/>
      <c r="B53" s="9"/>
      <c r="C53" s="6">
        <v>41899</v>
      </c>
      <c r="D53" s="4">
        <v>20.100000000000001</v>
      </c>
      <c r="E53" s="4">
        <v>16.2</v>
      </c>
      <c r="F53" s="4">
        <v>25.2</v>
      </c>
      <c r="G53" s="4">
        <f t="shared" si="3"/>
        <v>160.80000000000001</v>
      </c>
      <c r="I53" s="10" t="s">
        <v>38</v>
      </c>
      <c r="J53" s="4">
        <v>0.1</v>
      </c>
      <c r="K53" s="4">
        <f t="shared" si="4"/>
        <v>0.1</v>
      </c>
      <c r="L53" s="4">
        <v>1.9</v>
      </c>
      <c r="M53" s="4">
        <f t="shared" si="5"/>
        <v>29.5</v>
      </c>
      <c r="N53" s="7">
        <v>-1.7999999999999998</v>
      </c>
      <c r="O53" s="4">
        <v>0</v>
      </c>
      <c r="P53" s="4">
        <v>9</v>
      </c>
      <c r="Q53" s="4">
        <f>0.35+((P53-8)/74)*(1-0.35)</f>
        <v>0.35878378378378378</v>
      </c>
      <c r="R53" s="8">
        <f t="shared" si="1"/>
        <v>0.68168918918918919</v>
      </c>
      <c r="S53" s="8">
        <f t="shared" si="2"/>
        <v>-0.58168918918918922</v>
      </c>
      <c r="T53" s="8">
        <v>0</v>
      </c>
      <c r="U53" s="10" t="s">
        <v>39</v>
      </c>
      <c r="V53" s="4">
        <v>974.7</v>
      </c>
      <c r="X53" s="4">
        <f t="shared" si="7"/>
        <v>15191.9</v>
      </c>
      <c r="AA53" s="4">
        <v>12.4837683860955</v>
      </c>
    </row>
    <row r="54" spans="1:27" s="4" customFormat="1" x14ac:dyDescent="0.25">
      <c r="A54" s="57"/>
      <c r="B54" s="9"/>
      <c r="C54" s="6">
        <v>41900</v>
      </c>
      <c r="D54" s="4">
        <v>18.600000000000001</v>
      </c>
      <c r="E54" s="4">
        <v>15.3</v>
      </c>
      <c r="F54" s="4">
        <v>23</v>
      </c>
      <c r="G54" s="4">
        <f t="shared" si="3"/>
        <v>179.4</v>
      </c>
      <c r="I54" s="4">
        <v>4</v>
      </c>
      <c r="J54" s="4">
        <v>0.2</v>
      </c>
      <c r="K54" s="4">
        <f t="shared" si="4"/>
        <v>0.30000000000000004</v>
      </c>
      <c r="L54" s="4">
        <v>1.2</v>
      </c>
      <c r="M54" s="4">
        <f t="shared" si="5"/>
        <v>30.7</v>
      </c>
      <c r="N54" s="7">
        <v>-1</v>
      </c>
      <c r="O54" s="4">
        <v>0</v>
      </c>
      <c r="P54" s="4">
        <v>10</v>
      </c>
      <c r="Q54" s="4">
        <f t="shared" ref="Q54:Q117" si="8">0.35+((P54-8)/74)*(1-0.35)</f>
        <v>0.36756756756756753</v>
      </c>
      <c r="R54" s="8">
        <f t="shared" si="1"/>
        <v>0.44108108108108102</v>
      </c>
      <c r="S54" s="8">
        <f t="shared" si="2"/>
        <v>-0.24108108108108101</v>
      </c>
      <c r="T54" s="8">
        <v>0</v>
      </c>
      <c r="U54" s="8">
        <f>MAX(T45:T126)</f>
        <v>109.97114864864865</v>
      </c>
      <c r="V54" s="4">
        <v>585.6</v>
      </c>
      <c r="X54" s="4">
        <f t="shared" si="7"/>
        <v>15777.5</v>
      </c>
      <c r="AA54" s="4">
        <v>12.4273314987796</v>
      </c>
    </row>
    <row r="55" spans="1:27" s="4" customFormat="1" x14ac:dyDescent="0.25">
      <c r="A55" s="57"/>
      <c r="B55" s="9"/>
      <c r="C55" s="6">
        <v>41901</v>
      </c>
      <c r="D55" s="4">
        <v>16.399999999999999</v>
      </c>
      <c r="E55" s="4">
        <v>12.6</v>
      </c>
      <c r="F55" s="4">
        <v>19.600000000000001</v>
      </c>
      <c r="G55" s="4">
        <f t="shared" si="3"/>
        <v>195.8</v>
      </c>
      <c r="I55" s="10" t="s">
        <v>40</v>
      </c>
      <c r="J55" s="4">
        <v>1.8</v>
      </c>
      <c r="K55" s="4">
        <f t="shared" si="4"/>
        <v>2.1</v>
      </c>
      <c r="L55" s="4">
        <v>1.1000000000000001</v>
      </c>
      <c r="M55" s="4">
        <f t="shared" si="5"/>
        <v>31.8</v>
      </c>
      <c r="N55" s="4">
        <v>0.7</v>
      </c>
      <c r="O55" s="4">
        <f>O54+N55</f>
        <v>0.7</v>
      </c>
      <c r="P55" s="4">
        <v>11</v>
      </c>
      <c r="Q55" s="4">
        <f t="shared" si="8"/>
        <v>0.37635135135135134</v>
      </c>
      <c r="R55" s="8">
        <f t="shared" si="1"/>
        <v>0.4139864864864865</v>
      </c>
      <c r="S55" s="8">
        <f t="shared" si="2"/>
        <v>1.3860135135135137</v>
      </c>
      <c r="T55" s="8">
        <f t="shared" si="6"/>
        <v>1.3860135135135137</v>
      </c>
      <c r="U55" s="10" t="s">
        <v>41</v>
      </c>
      <c r="V55" s="4">
        <v>540.70000000000005</v>
      </c>
      <c r="X55" s="4">
        <f t="shared" si="7"/>
        <v>16318.2</v>
      </c>
      <c r="AA55" s="4">
        <v>12.370854081798599</v>
      </c>
    </row>
    <row r="56" spans="1:27" s="4" customFormat="1" x14ac:dyDescent="0.25">
      <c r="A56" s="57"/>
      <c r="B56" s="9"/>
      <c r="C56" s="6">
        <v>41902</v>
      </c>
      <c r="D56" s="4">
        <v>17.899999999999999</v>
      </c>
      <c r="E56" s="4">
        <v>14.8</v>
      </c>
      <c r="F56" s="4">
        <v>21.5</v>
      </c>
      <c r="G56" s="4">
        <f t="shared" si="3"/>
        <v>213.70000000000002</v>
      </c>
      <c r="I56" s="4">
        <v>6</v>
      </c>
      <c r="J56" s="4">
        <v>0.8</v>
      </c>
      <c r="K56" s="4">
        <f t="shared" si="4"/>
        <v>2.9000000000000004</v>
      </c>
      <c r="L56" s="4">
        <v>0.8</v>
      </c>
      <c r="M56" s="4">
        <f t="shared" si="5"/>
        <v>32.6</v>
      </c>
      <c r="N56" s="7">
        <v>0</v>
      </c>
      <c r="O56" s="4">
        <f>O55+N56</f>
        <v>0.7</v>
      </c>
      <c r="P56" s="4">
        <v>12</v>
      </c>
      <c r="Q56" s="4">
        <f t="shared" si="8"/>
        <v>0.38513513513513509</v>
      </c>
      <c r="R56" s="8">
        <f t="shared" si="1"/>
        <v>0.30810810810810807</v>
      </c>
      <c r="S56" s="8">
        <f t="shared" si="2"/>
        <v>0.49189189189189197</v>
      </c>
      <c r="T56" s="8">
        <f t="shared" si="6"/>
        <v>1.8779054054054056</v>
      </c>
      <c r="U56" s="11">
        <f>AVERAGE(T45:T126)</f>
        <v>52.984108437705999</v>
      </c>
      <c r="V56" s="4">
        <v>483.2</v>
      </c>
      <c r="X56" s="4">
        <f t="shared" si="7"/>
        <v>16801.400000000001</v>
      </c>
      <c r="AA56" s="4">
        <v>12.3143416261419</v>
      </c>
    </row>
    <row r="57" spans="1:27" s="4" customFormat="1" x14ac:dyDescent="0.25">
      <c r="A57" s="57"/>
      <c r="B57" s="9"/>
      <c r="C57" s="6">
        <v>41903</v>
      </c>
      <c r="D57" s="4">
        <v>17</v>
      </c>
      <c r="E57" s="4">
        <v>14.6</v>
      </c>
      <c r="F57" s="4">
        <v>21.8</v>
      </c>
      <c r="G57" s="4">
        <f t="shared" si="3"/>
        <v>230.70000000000002</v>
      </c>
      <c r="I57" s="10" t="s">
        <v>42</v>
      </c>
      <c r="J57" s="4">
        <v>6</v>
      </c>
      <c r="K57" s="4">
        <f t="shared" si="4"/>
        <v>8.9</v>
      </c>
      <c r="L57" s="4">
        <v>1.3</v>
      </c>
      <c r="M57" s="4">
        <f t="shared" si="5"/>
        <v>33.9</v>
      </c>
      <c r="N57" s="4">
        <v>4.7</v>
      </c>
      <c r="O57" s="4">
        <f>O56+N57</f>
        <v>5.4</v>
      </c>
      <c r="P57" s="4">
        <v>13</v>
      </c>
      <c r="Q57" s="4">
        <f t="shared" si="8"/>
        <v>0.39391891891891889</v>
      </c>
      <c r="R57" s="8">
        <f t="shared" si="1"/>
        <v>0.51209459459459461</v>
      </c>
      <c r="S57" s="8">
        <f t="shared" si="2"/>
        <v>5.4879054054054057</v>
      </c>
      <c r="T57" s="8">
        <f t="shared" si="6"/>
        <v>7.3658108108108111</v>
      </c>
      <c r="V57" s="4">
        <v>677.4</v>
      </c>
      <c r="X57" s="4">
        <f t="shared" si="7"/>
        <v>17478.800000000003</v>
      </c>
      <c r="AA57" s="4">
        <v>12.257799588320299</v>
      </c>
    </row>
    <row r="58" spans="1:27" s="4" customFormat="1" x14ac:dyDescent="0.25">
      <c r="A58" s="57"/>
      <c r="B58" s="9"/>
      <c r="C58" s="6">
        <v>41904</v>
      </c>
      <c r="D58" s="4">
        <v>12.9</v>
      </c>
      <c r="E58" s="4">
        <v>9.1999999999999993</v>
      </c>
      <c r="F58" s="4">
        <v>17.7</v>
      </c>
      <c r="G58" s="4">
        <f t="shared" si="3"/>
        <v>243.60000000000002</v>
      </c>
      <c r="I58" s="4">
        <v>1063.2</v>
      </c>
      <c r="J58" s="4">
        <v>0</v>
      </c>
      <c r="K58" s="4">
        <f t="shared" si="4"/>
        <v>8.9</v>
      </c>
      <c r="L58" s="4">
        <v>2.1</v>
      </c>
      <c r="M58" s="4">
        <f t="shared" si="5"/>
        <v>36</v>
      </c>
      <c r="N58" s="7">
        <v>-2.1</v>
      </c>
      <c r="O58" s="4">
        <f>O57+N58</f>
        <v>3.3000000000000003</v>
      </c>
      <c r="P58" s="4">
        <v>14</v>
      </c>
      <c r="Q58" s="4">
        <f t="shared" si="8"/>
        <v>0.4027027027027027</v>
      </c>
      <c r="R58" s="8">
        <f t="shared" si="1"/>
        <v>0.8456756756756757</v>
      </c>
      <c r="S58" s="8">
        <f t="shared" si="2"/>
        <v>-0.8456756756756757</v>
      </c>
      <c r="T58" s="8">
        <f t="shared" si="6"/>
        <v>6.5201351351351358</v>
      </c>
      <c r="U58" s="8">
        <f>(U56*100)/138.9</f>
        <v>38.145506434633546</v>
      </c>
      <c r="V58" s="4">
        <v>1320.4</v>
      </c>
      <c r="X58" s="4">
        <f t="shared" si="7"/>
        <v>18799.200000000004</v>
      </c>
      <c r="AA58" s="4">
        <v>12.2012334061661</v>
      </c>
    </row>
    <row r="59" spans="1:27" s="4" customFormat="1" x14ac:dyDescent="0.25">
      <c r="A59" s="57"/>
      <c r="B59" s="9"/>
      <c r="C59" s="6">
        <v>41905</v>
      </c>
      <c r="D59" s="4">
        <v>12.5</v>
      </c>
      <c r="E59" s="4">
        <v>8.6</v>
      </c>
      <c r="F59" s="4">
        <v>17.100000000000001</v>
      </c>
      <c r="G59" s="4">
        <f t="shared" si="3"/>
        <v>256.10000000000002</v>
      </c>
      <c r="J59" s="4">
        <v>0</v>
      </c>
      <c r="K59" s="4">
        <f t="shared" si="4"/>
        <v>8.9</v>
      </c>
      <c r="L59" s="4">
        <v>2.7</v>
      </c>
      <c r="M59" s="4">
        <f t="shared" si="5"/>
        <v>38.700000000000003</v>
      </c>
      <c r="N59" s="7">
        <v>-2.7</v>
      </c>
      <c r="O59" s="4">
        <f>O58+N59</f>
        <v>0.60000000000000009</v>
      </c>
      <c r="P59" s="4">
        <v>15</v>
      </c>
      <c r="Q59" s="4">
        <f t="shared" si="8"/>
        <v>0.41148648648648645</v>
      </c>
      <c r="R59" s="8">
        <f t="shared" si="1"/>
        <v>1.1110135135135135</v>
      </c>
      <c r="S59" s="8">
        <f t="shared" si="2"/>
        <v>-1.1110135135135135</v>
      </c>
      <c r="T59" s="8">
        <f t="shared" si="6"/>
        <v>5.4091216216216225</v>
      </c>
      <c r="V59" s="4">
        <v>1587</v>
      </c>
      <c r="X59" s="4">
        <f t="shared" si="7"/>
        <v>20386.200000000004</v>
      </c>
      <c r="AA59" s="4">
        <v>12.1446485147136</v>
      </c>
    </row>
    <row r="60" spans="1:27" s="4" customFormat="1" x14ac:dyDescent="0.25">
      <c r="A60" s="57"/>
      <c r="B60" s="9"/>
      <c r="C60" s="6">
        <v>41906</v>
      </c>
      <c r="D60" s="4">
        <v>11.7</v>
      </c>
      <c r="E60" s="4">
        <v>5.8</v>
      </c>
      <c r="F60" s="4">
        <v>18.100000000000001</v>
      </c>
      <c r="G60" s="4">
        <f t="shared" si="3"/>
        <v>267.8</v>
      </c>
      <c r="J60" s="4">
        <v>1.3</v>
      </c>
      <c r="K60" s="4">
        <f t="shared" si="4"/>
        <v>10.200000000000001</v>
      </c>
      <c r="L60" s="4">
        <v>2.4</v>
      </c>
      <c r="M60" s="4">
        <f t="shared" si="5"/>
        <v>41.1</v>
      </c>
      <c r="N60" s="7">
        <v>-1.0999999999999999</v>
      </c>
      <c r="O60" s="4">
        <v>0</v>
      </c>
      <c r="P60" s="4">
        <v>16</v>
      </c>
      <c r="Q60" s="4">
        <f t="shared" si="8"/>
        <v>0.42027027027027025</v>
      </c>
      <c r="R60" s="8">
        <f t="shared" si="1"/>
        <v>1.0086486486486486</v>
      </c>
      <c r="S60" s="8">
        <f t="shared" si="2"/>
        <v>0.29135135135135148</v>
      </c>
      <c r="T60" s="8">
        <f t="shared" si="6"/>
        <v>5.7004729729729737</v>
      </c>
      <c r="V60" s="4">
        <v>1397.8</v>
      </c>
      <c r="X60" s="4">
        <f t="shared" si="7"/>
        <v>21784.000000000004</v>
      </c>
      <c r="AA60" s="4">
        <v>12.0880503621631</v>
      </c>
    </row>
    <row r="61" spans="1:27" s="4" customFormat="1" x14ac:dyDescent="0.25">
      <c r="A61" s="57"/>
      <c r="B61" s="9"/>
      <c r="C61" s="6">
        <v>41907</v>
      </c>
      <c r="D61" s="4">
        <v>12.2</v>
      </c>
      <c r="E61" s="4">
        <v>5.9</v>
      </c>
      <c r="F61" s="4">
        <v>18.899999999999999</v>
      </c>
      <c r="G61" s="4">
        <f t="shared" si="3"/>
        <v>280</v>
      </c>
      <c r="J61" s="4">
        <v>0.1</v>
      </c>
      <c r="K61" s="4">
        <f t="shared" si="4"/>
        <v>10.3</v>
      </c>
      <c r="L61" s="4">
        <v>2.1</v>
      </c>
      <c r="M61" s="4">
        <f t="shared" si="5"/>
        <v>43.2</v>
      </c>
      <c r="N61" s="7">
        <v>-2</v>
      </c>
      <c r="O61" s="4">
        <v>0</v>
      </c>
      <c r="P61" s="4">
        <v>17</v>
      </c>
      <c r="Q61" s="4">
        <f t="shared" si="8"/>
        <v>0.42905405405405406</v>
      </c>
      <c r="R61" s="8">
        <f t="shared" si="1"/>
        <v>0.90101351351351355</v>
      </c>
      <c r="S61" s="8">
        <f t="shared" si="2"/>
        <v>-0.80101351351351358</v>
      </c>
      <c r="T61" s="8">
        <f t="shared" si="6"/>
        <v>4.89945945945946</v>
      </c>
      <c r="V61" s="4">
        <v>1184.8</v>
      </c>
      <c r="X61" s="4">
        <f t="shared" si="7"/>
        <v>22968.800000000003</v>
      </c>
      <c r="AA61" s="4">
        <v>12.0314444259325</v>
      </c>
    </row>
    <row r="62" spans="1:27" s="4" customFormat="1" x14ac:dyDescent="0.25">
      <c r="A62" s="57"/>
      <c r="B62" s="9"/>
      <c r="C62" s="6">
        <v>41908</v>
      </c>
      <c r="D62" s="4">
        <v>13.3</v>
      </c>
      <c r="E62" s="4">
        <v>5.0999999999999996</v>
      </c>
      <c r="F62" s="4">
        <v>21.8</v>
      </c>
      <c r="G62" s="4">
        <f t="shared" si="3"/>
        <v>293.3</v>
      </c>
      <c r="J62" s="4">
        <v>0</v>
      </c>
      <c r="K62" s="4">
        <f t="shared" si="4"/>
        <v>10.3</v>
      </c>
      <c r="L62" s="4">
        <v>3.1</v>
      </c>
      <c r="M62" s="4">
        <f t="shared" si="5"/>
        <v>46.300000000000004</v>
      </c>
      <c r="N62" s="7">
        <v>-3.1</v>
      </c>
      <c r="O62" s="4">
        <v>0</v>
      </c>
      <c r="P62" s="4">
        <v>18</v>
      </c>
      <c r="Q62" s="4">
        <f t="shared" si="8"/>
        <v>0.43783783783783781</v>
      </c>
      <c r="R62" s="8">
        <f t="shared" si="1"/>
        <v>1.3572972972972972</v>
      </c>
      <c r="S62" s="8">
        <f t="shared" si="2"/>
        <v>-1.3572972972972972</v>
      </c>
      <c r="T62" s="8">
        <f t="shared" si="6"/>
        <v>3.5421621621621631</v>
      </c>
      <c r="V62" s="4">
        <v>1758.2</v>
      </c>
      <c r="X62" s="4">
        <f t="shared" si="7"/>
        <v>24727.000000000004</v>
      </c>
      <c r="AA62" s="4">
        <v>11.9748362288019</v>
      </c>
    </row>
    <row r="63" spans="1:27" s="4" customFormat="1" x14ac:dyDescent="0.25">
      <c r="A63" s="57"/>
      <c r="B63" s="9"/>
      <c r="C63" s="6">
        <v>41909</v>
      </c>
      <c r="D63" s="4">
        <v>16.100000000000001</v>
      </c>
      <c r="E63" s="4">
        <v>9.5</v>
      </c>
      <c r="F63" s="4">
        <v>22.8</v>
      </c>
      <c r="G63" s="4">
        <f t="shared" si="3"/>
        <v>309.40000000000003</v>
      </c>
      <c r="J63" s="4">
        <v>0</v>
      </c>
      <c r="K63" s="4">
        <f t="shared" si="4"/>
        <v>10.3</v>
      </c>
      <c r="L63" s="4">
        <v>3.3</v>
      </c>
      <c r="M63" s="4">
        <f t="shared" si="5"/>
        <v>49.6</v>
      </c>
      <c r="N63" s="7">
        <v>-3.3</v>
      </c>
      <c r="O63" s="4">
        <v>0</v>
      </c>
      <c r="P63" s="4">
        <v>19</v>
      </c>
      <c r="Q63" s="4">
        <f t="shared" si="8"/>
        <v>0.44662162162162161</v>
      </c>
      <c r="R63" s="8">
        <f t="shared" si="1"/>
        <v>1.4738513513513511</v>
      </c>
      <c r="S63" s="8">
        <f t="shared" si="2"/>
        <v>-1.4738513513513511</v>
      </c>
      <c r="T63" s="8">
        <f t="shared" si="6"/>
        <v>2.0683108108108117</v>
      </c>
      <c r="V63" s="4">
        <v>1667.9</v>
      </c>
      <c r="X63" s="4">
        <f t="shared" si="7"/>
        <v>26394.900000000005</v>
      </c>
      <c r="AA63" s="4">
        <v>11.9182313551541</v>
      </c>
    </row>
    <row r="64" spans="1:27" s="4" customFormat="1" x14ac:dyDescent="0.25">
      <c r="A64" s="57"/>
      <c r="B64" s="9"/>
      <c r="C64" s="6">
        <v>41910</v>
      </c>
      <c r="D64" s="4">
        <v>16.5</v>
      </c>
      <c r="E64" s="4">
        <v>10.1</v>
      </c>
      <c r="F64" s="4">
        <v>23.3</v>
      </c>
      <c r="G64" s="4">
        <f t="shared" si="3"/>
        <v>325.90000000000003</v>
      </c>
      <c r="J64" s="4">
        <v>1.8</v>
      </c>
      <c r="K64" s="4">
        <f t="shared" si="4"/>
        <v>12.100000000000001</v>
      </c>
      <c r="L64" s="4">
        <v>1.8</v>
      </c>
      <c r="M64" s="4">
        <f t="shared" si="5"/>
        <v>51.4</v>
      </c>
      <c r="N64" s="7">
        <v>0</v>
      </c>
      <c r="O64" s="4">
        <f>O63+N64</f>
        <v>0</v>
      </c>
      <c r="P64" s="4">
        <v>20</v>
      </c>
      <c r="Q64" s="4">
        <f t="shared" si="8"/>
        <v>0.45540540540540542</v>
      </c>
      <c r="R64" s="8">
        <f t="shared" si="1"/>
        <v>0.81972972972972979</v>
      </c>
      <c r="S64" s="8">
        <f t="shared" si="2"/>
        <v>0.98027027027027025</v>
      </c>
      <c r="T64" s="8">
        <f t="shared" si="6"/>
        <v>3.0485810810810818</v>
      </c>
      <c r="V64" s="4">
        <v>988.2</v>
      </c>
      <c r="X64" s="4">
        <f t="shared" si="7"/>
        <v>27383.100000000006</v>
      </c>
      <c r="AA64" s="4">
        <v>11.861635467316299</v>
      </c>
    </row>
    <row r="65" spans="1:27" s="4" customFormat="1" x14ac:dyDescent="0.25">
      <c r="A65" s="57"/>
      <c r="B65" s="9"/>
      <c r="C65" s="6">
        <v>41911</v>
      </c>
      <c r="D65" s="4">
        <v>16.899999999999999</v>
      </c>
      <c r="E65" s="4">
        <v>16</v>
      </c>
      <c r="F65" s="4">
        <v>20.2</v>
      </c>
      <c r="G65" s="4">
        <f t="shared" si="3"/>
        <v>342.8</v>
      </c>
      <c r="J65" s="4">
        <v>0.3</v>
      </c>
      <c r="K65" s="4">
        <f t="shared" si="4"/>
        <v>12.400000000000002</v>
      </c>
      <c r="L65" s="4">
        <v>0.9</v>
      </c>
      <c r="M65" s="4">
        <f t="shared" si="5"/>
        <v>52.3</v>
      </c>
      <c r="N65" s="7">
        <v>-0.60000000000000009</v>
      </c>
      <c r="O65" s="4">
        <v>0</v>
      </c>
      <c r="P65" s="4">
        <v>21</v>
      </c>
      <c r="Q65" s="4">
        <f t="shared" si="8"/>
        <v>0.46418918918918917</v>
      </c>
      <c r="R65" s="8">
        <f t="shared" si="1"/>
        <v>0.41777027027027025</v>
      </c>
      <c r="S65" s="8">
        <f t="shared" si="2"/>
        <v>-0.11777027027027026</v>
      </c>
      <c r="T65" s="8">
        <f t="shared" si="6"/>
        <v>2.9308108108108115</v>
      </c>
      <c r="V65" s="4">
        <v>305.60000000000002</v>
      </c>
      <c r="X65" s="4">
        <f t="shared" si="7"/>
        <v>27688.700000000004</v>
      </c>
      <c r="AA65" s="4">
        <v>11.8050543220041</v>
      </c>
    </row>
    <row r="66" spans="1:27" s="4" customFormat="1" x14ac:dyDescent="0.25">
      <c r="A66" s="57"/>
      <c r="B66" s="9"/>
      <c r="C66" s="6">
        <v>41912</v>
      </c>
      <c r="D66" s="4">
        <v>16.3</v>
      </c>
      <c r="E66" s="4">
        <v>12.9</v>
      </c>
      <c r="F66" s="4">
        <v>22</v>
      </c>
      <c r="G66" s="4">
        <f t="shared" si="3"/>
        <v>359.1</v>
      </c>
      <c r="J66" s="4">
        <v>0.2</v>
      </c>
      <c r="K66" s="4">
        <f t="shared" si="4"/>
        <v>12.600000000000001</v>
      </c>
      <c r="L66" s="4">
        <v>2</v>
      </c>
      <c r="M66" s="4">
        <f t="shared" si="5"/>
        <v>54.3</v>
      </c>
      <c r="N66" s="7">
        <v>-1.8</v>
      </c>
      <c r="O66" s="4">
        <v>0</v>
      </c>
      <c r="P66" s="4">
        <v>22</v>
      </c>
      <c r="Q66" s="4">
        <f t="shared" si="8"/>
        <v>0.47297297297297297</v>
      </c>
      <c r="R66" s="8">
        <f t="shared" si="1"/>
        <v>0.94594594594594594</v>
      </c>
      <c r="S66" s="8">
        <f t="shared" si="2"/>
        <v>-0.74594594594594588</v>
      </c>
      <c r="T66" s="8">
        <f t="shared" si="6"/>
        <v>2.1848648648648656</v>
      </c>
      <c r="V66" s="4">
        <v>1090.3</v>
      </c>
      <c r="X66" s="4">
        <f t="shared" si="7"/>
        <v>28779.000000000004</v>
      </c>
      <c r="AA66" s="4">
        <v>11.7484937868727</v>
      </c>
    </row>
    <row r="67" spans="1:27" s="4" customFormat="1" x14ac:dyDescent="0.25">
      <c r="A67" s="57"/>
      <c r="B67" s="9"/>
      <c r="C67" s="6">
        <v>41913</v>
      </c>
      <c r="D67" s="4">
        <v>15</v>
      </c>
      <c r="E67" s="4">
        <v>9.4</v>
      </c>
      <c r="F67" s="4">
        <v>22.2</v>
      </c>
      <c r="G67" s="4">
        <f t="shared" si="3"/>
        <v>374.1</v>
      </c>
      <c r="J67" s="4">
        <v>0</v>
      </c>
      <c r="K67" s="4">
        <f t="shared" si="4"/>
        <v>12.600000000000001</v>
      </c>
      <c r="L67" s="4">
        <v>2.2999999999999998</v>
      </c>
      <c r="M67" s="4">
        <f t="shared" si="5"/>
        <v>56.599999999999994</v>
      </c>
      <c r="N67" s="7">
        <v>-2.2999999999999998</v>
      </c>
      <c r="O67" s="4">
        <v>0</v>
      </c>
      <c r="P67" s="4">
        <v>23</v>
      </c>
      <c r="Q67" s="4">
        <f t="shared" si="8"/>
        <v>0.48175675675675678</v>
      </c>
      <c r="R67" s="8">
        <f t="shared" si="1"/>
        <v>1.1080405405405405</v>
      </c>
      <c r="S67" s="8">
        <f t="shared" si="2"/>
        <v>-1.1080405405405405</v>
      </c>
      <c r="T67" s="8">
        <f t="shared" si="6"/>
        <v>1.0768243243243252</v>
      </c>
      <c r="V67" s="4">
        <v>1238.8</v>
      </c>
      <c r="X67" s="4">
        <f t="shared" si="7"/>
        <v>30017.800000000003</v>
      </c>
      <c r="AA67" s="4">
        <v>11.6919598571753</v>
      </c>
    </row>
    <row r="68" spans="1:27" s="4" customFormat="1" x14ac:dyDescent="0.25">
      <c r="A68" s="57"/>
      <c r="B68" s="9"/>
      <c r="C68" s="6">
        <v>41914</v>
      </c>
      <c r="D68" s="4">
        <v>15.2</v>
      </c>
      <c r="E68" s="4">
        <v>8.6</v>
      </c>
      <c r="F68" s="4">
        <v>23.2</v>
      </c>
      <c r="G68" s="4">
        <f t="shared" si="3"/>
        <v>389.3</v>
      </c>
      <c r="J68" s="4">
        <v>0.1</v>
      </c>
      <c r="K68" s="4">
        <f t="shared" si="4"/>
        <v>12.700000000000001</v>
      </c>
      <c r="L68" s="4">
        <v>2.5</v>
      </c>
      <c r="M68" s="4">
        <f t="shared" si="5"/>
        <v>59.099999999999994</v>
      </c>
      <c r="N68" s="7">
        <v>-2.4</v>
      </c>
      <c r="O68" s="4">
        <v>0</v>
      </c>
      <c r="P68" s="4">
        <v>24</v>
      </c>
      <c r="Q68" s="4">
        <f t="shared" si="8"/>
        <v>0.49054054054054053</v>
      </c>
      <c r="R68" s="8">
        <f t="shared" si="1"/>
        <v>1.2263513513513513</v>
      </c>
      <c r="S68" s="8">
        <f t="shared" si="2"/>
        <v>-1.1263513513513512</v>
      </c>
      <c r="T68" s="8">
        <f t="shared" si="6"/>
        <v>-4.9527027027026049E-2</v>
      </c>
      <c r="V68" s="4">
        <v>1382</v>
      </c>
      <c r="X68" s="4">
        <f t="shared" si="7"/>
        <v>31399.800000000003</v>
      </c>
      <c r="AA68" s="4">
        <v>11.6354586725309</v>
      </c>
    </row>
    <row r="69" spans="1:27" s="4" customFormat="1" x14ac:dyDescent="0.25">
      <c r="A69" s="57"/>
      <c r="B69" s="9"/>
      <c r="C69" s="6">
        <v>41915</v>
      </c>
      <c r="D69" s="4">
        <v>15</v>
      </c>
      <c r="E69" s="4">
        <v>8.9</v>
      </c>
      <c r="F69" s="4">
        <v>23.3</v>
      </c>
      <c r="G69" s="4">
        <f t="shared" si="3"/>
        <v>404.3</v>
      </c>
      <c r="J69" s="4">
        <v>0</v>
      </c>
      <c r="K69" s="4">
        <f t="shared" si="4"/>
        <v>12.700000000000001</v>
      </c>
      <c r="L69" s="4">
        <v>2.9</v>
      </c>
      <c r="M69" s="4">
        <f t="shared" si="5"/>
        <v>61.999999999999993</v>
      </c>
      <c r="N69" s="7">
        <v>-2.9</v>
      </c>
      <c r="O69" s="4">
        <v>0</v>
      </c>
      <c r="P69" s="4">
        <v>25</v>
      </c>
      <c r="Q69" s="4">
        <f t="shared" si="8"/>
        <v>0.49932432432432428</v>
      </c>
      <c r="R69" s="8">
        <f t="shared" si="1"/>
        <v>1.4480405405405403</v>
      </c>
      <c r="S69" s="8">
        <f t="shared" si="2"/>
        <v>-1.4480405405405403</v>
      </c>
      <c r="T69" s="8">
        <v>0</v>
      </c>
      <c r="V69" s="4">
        <v>1517.1</v>
      </c>
      <c r="X69" s="4">
        <f t="shared" si="7"/>
        <v>32916.9</v>
      </c>
      <c r="AA69" s="4">
        <v>11.5789965338003</v>
      </c>
    </row>
    <row r="70" spans="1:27" s="4" customFormat="1" x14ac:dyDescent="0.25">
      <c r="A70" s="57"/>
      <c r="B70" s="9"/>
      <c r="C70" s="6">
        <v>41916</v>
      </c>
      <c r="D70" s="4">
        <v>15.1</v>
      </c>
      <c r="E70" s="4">
        <v>8</v>
      </c>
      <c r="F70" s="4">
        <v>23.9</v>
      </c>
      <c r="G70" s="4">
        <f t="shared" si="3"/>
        <v>419.40000000000003</v>
      </c>
      <c r="J70" s="4">
        <v>8.4</v>
      </c>
      <c r="K70" s="4">
        <f t="shared" si="4"/>
        <v>21.1</v>
      </c>
      <c r="L70" s="4">
        <v>2.2999999999999998</v>
      </c>
      <c r="M70" s="4">
        <f t="shared" si="5"/>
        <v>64.3</v>
      </c>
      <c r="N70" s="4">
        <v>6.1000000000000005</v>
      </c>
      <c r="O70" s="4">
        <f t="shared" ref="O70:O133" si="9">O69+N70</f>
        <v>6.1000000000000005</v>
      </c>
      <c r="P70" s="4">
        <v>26</v>
      </c>
      <c r="Q70" s="4">
        <f t="shared" si="8"/>
        <v>0.50810810810810814</v>
      </c>
      <c r="R70" s="8">
        <f t="shared" si="1"/>
        <v>1.1686486486486487</v>
      </c>
      <c r="S70" s="8">
        <f t="shared" si="2"/>
        <v>7.2313513513513517</v>
      </c>
      <c r="T70" s="8">
        <f t="shared" si="6"/>
        <v>7.2313513513513517</v>
      </c>
      <c r="V70" s="4">
        <v>1120.0999999999999</v>
      </c>
      <c r="X70" s="4">
        <f t="shared" si="7"/>
        <v>34037</v>
      </c>
      <c r="AA70" s="4">
        <v>11.522579920069299</v>
      </c>
    </row>
    <row r="71" spans="1:27" s="4" customFormat="1" x14ac:dyDescent="0.25">
      <c r="A71" s="57"/>
      <c r="B71" s="9"/>
      <c r="C71" s="6">
        <v>41917</v>
      </c>
      <c r="D71" s="4">
        <v>11.7</v>
      </c>
      <c r="E71" s="4">
        <v>10.4</v>
      </c>
      <c r="F71" s="4">
        <v>13.5</v>
      </c>
      <c r="G71" s="4">
        <f t="shared" si="3"/>
        <v>431.1</v>
      </c>
      <c r="J71" s="4">
        <v>0</v>
      </c>
      <c r="K71" s="4">
        <f t="shared" si="4"/>
        <v>21.1</v>
      </c>
      <c r="L71" s="4">
        <v>1.1000000000000001</v>
      </c>
      <c r="M71" s="4">
        <f t="shared" si="5"/>
        <v>65.399999999999991</v>
      </c>
      <c r="N71" s="7">
        <v>-1.1000000000000001</v>
      </c>
      <c r="O71" s="4">
        <f t="shared" si="9"/>
        <v>5</v>
      </c>
      <c r="P71" s="4">
        <v>27</v>
      </c>
      <c r="Q71" s="4">
        <f t="shared" si="8"/>
        <v>0.51689189189189189</v>
      </c>
      <c r="R71" s="8">
        <f t="shared" si="1"/>
        <v>0.56858108108108107</v>
      </c>
      <c r="S71" s="8">
        <f t="shared" si="2"/>
        <v>-0.56858108108108107</v>
      </c>
      <c r="T71" s="8">
        <f t="shared" si="6"/>
        <v>6.6627702702702702</v>
      </c>
      <c r="V71" s="4">
        <v>481.7</v>
      </c>
      <c r="X71" s="4">
        <f t="shared" si="7"/>
        <v>34518.699999999997</v>
      </c>
      <c r="AA71" s="4">
        <v>11.466215505736001</v>
      </c>
    </row>
    <row r="72" spans="1:27" s="4" customFormat="1" x14ac:dyDescent="0.25">
      <c r="A72" s="57"/>
      <c r="B72" s="9"/>
      <c r="C72" s="6">
        <v>41918</v>
      </c>
      <c r="D72" s="4">
        <v>11.4</v>
      </c>
      <c r="E72" s="4">
        <v>6.6</v>
      </c>
      <c r="F72" s="4">
        <v>13.8</v>
      </c>
      <c r="G72" s="4">
        <f t="shared" si="3"/>
        <v>442.5</v>
      </c>
      <c r="J72" s="4">
        <v>15.2</v>
      </c>
      <c r="K72" s="4">
        <f t="shared" si="4"/>
        <v>36.299999999999997</v>
      </c>
      <c r="L72" s="4">
        <v>0.5</v>
      </c>
      <c r="M72" s="4">
        <f t="shared" si="5"/>
        <v>65.899999999999991</v>
      </c>
      <c r="N72" s="4">
        <v>14.7</v>
      </c>
      <c r="O72" s="4">
        <f t="shared" si="9"/>
        <v>19.7</v>
      </c>
      <c r="P72" s="4">
        <v>28</v>
      </c>
      <c r="Q72" s="4">
        <f t="shared" si="8"/>
        <v>0.52567567567567564</v>
      </c>
      <c r="R72" s="8">
        <f t="shared" si="1"/>
        <v>0.26283783783783782</v>
      </c>
      <c r="S72" s="8">
        <f t="shared" si="2"/>
        <v>14.937162162162162</v>
      </c>
      <c r="T72" s="8">
        <f t="shared" si="6"/>
        <v>21.599932432432432</v>
      </c>
      <c r="V72" s="4">
        <v>450.1</v>
      </c>
      <c r="X72" s="4">
        <f t="shared" si="7"/>
        <v>34968.799999999996</v>
      </c>
      <c r="AA72" s="4">
        <v>11.409910177696601</v>
      </c>
    </row>
    <row r="73" spans="1:27" s="4" customFormat="1" x14ac:dyDescent="0.25">
      <c r="A73" s="57"/>
      <c r="B73" s="9"/>
      <c r="C73" s="6">
        <v>41919</v>
      </c>
      <c r="D73" s="4">
        <v>13.8</v>
      </c>
      <c r="E73" s="4">
        <v>13.6</v>
      </c>
      <c r="F73" s="4">
        <v>14.4</v>
      </c>
      <c r="G73" s="4">
        <f t="shared" si="3"/>
        <v>456.3</v>
      </c>
      <c r="J73" s="4">
        <v>17</v>
      </c>
      <c r="K73" s="4">
        <f t="shared" si="4"/>
        <v>53.3</v>
      </c>
      <c r="L73" s="4">
        <v>0.9</v>
      </c>
      <c r="M73" s="4">
        <f t="shared" si="5"/>
        <v>66.8</v>
      </c>
      <c r="N73" s="4">
        <v>16.100000000000001</v>
      </c>
      <c r="O73" s="4">
        <f t="shared" si="9"/>
        <v>35.799999999999997</v>
      </c>
      <c r="P73" s="4">
        <v>29</v>
      </c>
      <c r="Q73" s="4">
        <f t="shared" si="8"/>
        <v>0.53445945945945939</v>
      </c>
      <c r="R73" s="8">
        <f t="shared" si="1"/>
        <v>0.48101351351351346</v>
      </c>
      <c r="S73" s="8">
        <f t="shared" si="2"/>
        <v>16.518986486486487</v>
      </c>
      <c r="T73" s="8">
        <f t="shared" si="6"/>
        <v>38.118918918918922</v>
      </c>
      <c r="V73" s="4">
        <v>287.89999999999998</v>
      </c>
      <c r="X73" s="4">
        <f t="shared" si="7"/>
        <v>35256.699999999997</v>
      </c>
      <c r="AA73" s="4">
        <v>11.353671052625099</v>
      </c>
    </row>
    <row r="74" spans="1:27" s="4" customFormat="1" x14ac:dyDescent="0.25">
      <c r="A74" s="57"/>
      <c r="B74" s="9"/>
      <c r="C74" s="6">
        <v>41920</v>
      </c>
      <c r="D74" s="4">
        <v>16.3</v>
      </c>
      <c r="E74" s="4">
        <v>13.2</v>
      </c>
      <c r="F74" s="4">
        <v>21.1</v>
      </c>
      <c r="G74" s="4">
        <f t="shared" si="3"/>
        <v>472.6</v>
      </c>
      <c r="J74" s="4">
        <v>21.2</v>
      </c>
      <c r="K74" s="4">
        <f t="shared" si="4"/>
        <v>74.5</v>
      </c>
      <c r="L74" s="4">
        <v>1.4</v>
      </c>
      <c r="M74" s="4">
        <f t="shared" si="5"/>
        <v>68.2</v>
      </c>
      <c r="N74" s="4">
        <v>19.8</v>
      </c>
      <c r="O74" s="4">
        <f t="shared" si="9"/>
        <v>55.599999999999994</v>
      </c>
      <c r="P74" s="4">
        <v>30</v>
      </c>
      <c r="Q74" s="4">
        <f t="shared" si="8"/>
        <v>0.54324324324324325</v>
      </c>
      <c r="R74" s="8">
        <f t="shared" si="1"/>
        <v>0.76054054054054054</v>
      </c>
      <c r="S74" s="8">
        <f t="shared" si="2"/>
        <v>20.43945945945946</v>
      </c>
      <c r="T74" s="8">
        <f t="shared" si="6"/>
        <v>58.558378378378379</v>
      </c>
      <c r="V74" s="4">
        <v>332.3</v>
      </c>
      <c r="X74" s="4">
        <f t="shared" si="7"/>
        <v>35589</v>
      </c>
      <c r="AA74" s="4">
        <v>11.297505494335701</v>
      </c>
    </row>
    <row r="75" spans="1:27" s="4" customFormat="1" x14ac:dyDescent="0.25">
      <c r="A75" s="57"/>
      <c r="B75" s="9"/>
      <c r="C75" s="6">
        <v>41921</v>
      </c>
      <c r="D75" s="4">
        <v>15.5</v>
      </c>
      <c r="E75" s="4">
        <v>14.7</v>
      </c>
      <c r="F75" s="4">
        <v>18.8</v>
      </c>
      <c r="G75" s="4">
        <f t="shared" si="3"/>
        <v>488.1</v>
      </c>
      <c r="J75" s="4">
        <v>1.4</v>
      </c>
      <c r="K75" s="4">
        <f t="shared" si="4"/>
        <v>75.900000000000006</v>
      </c>
      <c r="L75" s="4">
        <v>1.8</v>
      </c>
      <c r="M75" s="4">
        <f t="shared" si="5"/>
        <v>70</v>
      </c>
      <c r="N75" s="7">
        <v>-0.40000000000000013</v>
      </c>
      <c r="O75" s="4">
        <f t="shared" si="9"/>
        <v>55.199999999999996</v>
      </c>
      <c r="P75" s="4">
        <v>31</v>
      </c>
      <c r="Q75" s="4">
        <f t="shared" si="8"/>
        <v>0.552027027027027</v>
      </c>
      <c r="R75" s="8">
        <f t="shared" si="1"/>
        <v>0.99364864864864866</v>
      </c>
      <c r="S75" s="8">
        <f t="shared" si="2"/>
        <v>0.40635135135135125</v>
      </c>
      <c r="T75" s="8">
        <f t="shared" si="6"/>
        <v>58.964729729729733</v>
      </c>
      <c r="V75" s="4">
        <v>722.8</v>
      </c>
      <c r="X75" s="4">
        <f t="shared" si="7"/>
        <v>36311.800000000003</v>
      </c>
      <c r="AA75" s="4">
        <v>11.241421131219001</v>
      </c>
    </row>
    <row r="76" spans="1:27" s="4" customFormat="1" x14ac:dyDescent="0.25">
      <c r="A76" s="57"/>
      <c r="B76" s="9"/>
      <c r="C76" s="6">
        <v>41922</v>
      </c>
      <c r="D76" s="4">
        <v>14.2</v>
      </c>
      <c r="E76" s="4">
        <v>12</v>
      </c>
      <c r="F76" s="4">
        <v>16.899999999999999</v>
      </c>
      <c r="G76" s="4">
        <f t="shared" si="3"/>
        <v>502.3</v>
      </c>
      <c r="J76" s="4">
        <v>0.2</v>
      </c>
      <c r="K76" s="4">
        <f t="shared" si="4"/>
        <v>76.100000000000009</v>
      </c>
      <c r="L76" s="4">
        <v>1.2</v>
      </c>
      <c r="M76" s="4">
        <f t="shared" si="5"/>
        <v>71.2</v>
      </c>
      <c r="N76" s="7">
        <v>-1</v>
      </c>
      <c r="O76" s="4">
        <f t="shared" si="9"/>
        <v>54.199999999999996</v>
      </c>
      <c r="P76" s="4">
        <v>32</v>
      </c>
      <c r="Q76" s="4">
        <f t="shared" si="8"/>
        <v>0.56081081081081074</v>
      </c>
      <c r="R76" s="8">
        <f t="shared" si="1"/>
        <v>0.67297297297297287</v>
      </c>
      <c r="S76" s="8">
        <f t="shared" si="2"/>
        <v>-0.47297297297297286</v>
      </c>
      <c r="T76" s="8">
        <f t="shared" si="6"/>
        <v>58.491756756756757</v>
      </c>
      <c r="V76" s="4">
        <v>682.5</v>
      </c>
      <c r="X76" s="4">
        <f t="shared" si="7"/>
        <v>36994.300000000003</v>
      </c>
      <c r="AA76" s="4">
        <v>11.185425873737699</v>
      </c>
    </row>
    <row r="77" spans="1:27" s="4" customFormat="1" x14ac:dyDescent="0.25">
      <c r="A77" s="57"/>
      <c r="B77" s="9"/>
      <c r="C77" s="6">
        <v>41923</v>
      </c>
      <c r="D77" s="4">
        <v>13.8</v>
      </c>
      <c r="E77" s="4">
        <v>12.3</v>
      </c>
      <c r="F77" s="4">
        <v>17.399999999999999</v>
      </c>
      <c r="G77" s="4">
        <f t="shared" si="3"/>
        <v>516.1</v>
      </c>
      <c r="J77" s="4">
        <v>0.1</v>
      </c>
      <c r="K77" s="4">
        <f t="shared" si="4"/>
        <v>76.2</v>
      </c>
      <c r="L77" s="4">
        <v>1.5</v>
      </c>
      <c r="M77" s="4">
        <f t="shared" si="5"/>
        <v>72.7</v>
      </c>
      <c r="N77" s="7">
        <v>-1.4</v>
      </c>
      <c r="O77" s="4">
        <f t="shared" si="9"/>
        <v>52.8</v>
      </c>
      <c r="P77" s="4">
        <v>33</v>
      </c>
      <c r="Q77" s="4">
        <f t="shared" si="8"/>
        <v>0.56959459459459461</v>
      </c>
      <c r="R77" s="8">
        <f t="shared" si="1"/>
        <v>0.85439189189189191</v>
      </c>
      <c r="S77" s="8">
        <f t="shared" si="2"/>
        <v>-0.75439189189189193</v>
      </c>
      <c r="T77" s="8">
        <f t="shared" si="6"/>
        <v>57.737364864864865</v>
      </c>
      <c r="V77" s="4">
        <v>845.2</v>
      </c>
      <c r="X77" s="4">
        <f t="shared" si="7"/>
        <v>37839.5</v>
      </c>
      <c r="AA77" s="4">
        <v>11.1295279319661</v>
      </c>
    </row>
    <row r="78" spans="1:27" s="4" customFormat="1" x14ac:dyDescent="0.25">
      <c r="A78" s="57"/>
      <c r="B78" s="9"/>
      <c r="C78" s="6">
        <v>41924</v>
      </c>
      <c r="D78" s="4">
        <v>13.8</v>
      </c>
      <c r="E78" s="4">
        <v>10.3</v>
      </c>
      <c r="F78" s="4">
        <v>16</v>
      </c>
      <c r="G78" s="4">
        <f t="shared" si="3"/>
        <v>529.9</v>
      </c>
      <c r="J78" s="4">
        <v>6.3</v>
      </c>
      <c r="K78" s="4">
        <f t="shared" si="4"/>
        <v>82.5</v>
      </c>
      <c r="L78" s="4">
        <v>0.5</v>
      </c>
      <c r="M78" s="4">
        <f t="shared" si="5"/>
        <v>73.2</v>
      </c>
      <c r="N78" s="4">
        <v>5.8</v>
      </c>
      <c r="O78" s="4">
        <f t="shared" si="9"/>
        <v>58.599999999999994</v>
      </c>
      <c r="P78" s="4">
        <v>34</v>
      </c>
      <c r="Q78" s="4">
        <f t="shared" si="8"/>
        <v>0.57837837837837835</v>
      </c>
      <c r="R78" s="8">
        <f t="shared" si="1"/>
        <v>0.28918918918918918</v>
      </c>
      <c r="S78" s="8">
        <f t="shared" si="2"/>
        <v>6.0108108108108107</v>
      </c>
      <c r="T78" s="8">
        <f t="shared" si="6"/>
        <v>63.748175675675675</v>
      </c>
      <c r="V78" s="4">
        <v>280.5</v>
      </c>
      <c r="X78" s="4">
        <f t="shared" si="7"/>
        <v>38120</v>
      </c>
      <c r="AA78" s="4">
        <v>11.0737358331531</v>
      </c>
    </row>
    <row r="79" spans="1:27" s="4" customFormat="1" x14ac:dyDescent="0.25">
      <c r="A79" s="57"/>
      <c r="B79" s="9"/>
      <c r="C79" s="6">
        <v>41925</v>
      </c>
      <c r="D79" s="4">
        <v>13.8</v>
      </c>
      <c r="E79" s="4">
        <v>12</v>
      </c>
      <c r="F79" s="4">
        <v>18.600000000000001</v>
      </c>
      <c r="G79" s="4">
        <f t="shared" si="3"/>
        <v>543.69999999999993</v>
      </c>
      <c r="J79" s="4">
        <v>0</v>
      </c>
      <c r="K79" s="4">
        <f t="shared" si="4"/>
        <v>82.5</v>
      </c>
      <c r="L79" s="4">
        <v>1.9</v>
      </c>
      <c r="M79" s="4">
        <f t="shared" si="5"/>
        <v>75.100000000000009</v>
      </c>
      <c r="N79" s="7">
        <v>-1.9</v>
      </c>
      <c r="O79" s="4">
        <f t="shared" si="9"/>
        <v>56.699999999999996</v>
      </c>
      <c r="P79" s="4">
        <v>35</v>
      </c>
      <c r="Q79" s="4">
        <f t="shared" si="8"/>
        <v>0.5871621621621621</v>
      </c>
      <c r="R79" s="8">
        <f t="shared" si="1"/>
        <v>1.115608108108108</v>
      </c>
      <c r="S79" s="8">
        <f t="shared" si="2"/>
        <v>-1.115608108108108</v>
      </c>
      <c r="T79" s="8">
        <f t="shared" si="6"/>
        <v>62.63256756756757</v>
      </c>
      <c r="V79" s="4">
        <v>687.1</v>
      </c>
      <c r="X79" s="4">
        <f t="shared" si="7"/>
        <v>38807.1</v>
      </c>
      <c r="AA79" s="4">
        <v>11.0180584392887</v>
      </c>
    </row>
    <row r="80" spans="1:27" s="4" customFormat="1" x14ac:dyDescent="0.25">
      <c r="A80" s="57"/>
      <c r="B80" s="9"/>
      <c r="C80" s="6">
        <v>41926</v>
      </c>
      <c r="D80" s="4">
        <v>11.1</v>
      </c>
      <c r="E80" s="4">
        <v>6.9</v>
      </c>
      <c r="F80" s="4">
        <v>16.100000000000001</v>
      </c>
      <c r="G80" s="4">
        <f t="shared" si="3"/>
        <v>554.79999999999995</v>
      </c>
      <c r="J80" s="4">
        <v>0.1</v>
      </c>
      <c r="K80" s="4">
        <f t="shared" si="4"/>
        <v>82.6</v>
      </c>
      <c r="L80" s="4">
        <v>0.8</v>
      </c>
      <c r="M80" s="4">
        <f t="shared" si="5"/>
        <v>75.900000000000006</v>
      </c>
      <c r="N80" s="7">
        <v>-0.70000000000000007</v>
      </c>
      <c r="O80" s="4">
        <f t="shared" si="9"/>
        <v>55.999999999999993</v>
      </c>
      <c r="P80" s="4">
        <v>36</v>
      </c>
      <c r="Q80" s="4">
        <f t="shared" si="8"/>
        <v>0.59594594594594597</v>
      </c>
      <c r="R80" s="8">
        <f t="shared" si="1"/>
        <v>0.47675675675675677</v>
      </c>
      <c r="S80" s="8">
        <f t="shared" si="2"/>
        <v>-0.37675675675675679</v>
      </c>
      <c r="T80" s="8">
        <f t="shared" si="6"/>
        <v>62.255810810810814</v>
      </c>
      <c r="V80" s="4">
        <v>707.7</v>
      </c>
      <c r="X80" s="4">
        <f t="shared" si="7"/>
        <v>39514.799999999996</v>
      </c>
      <c r="AA80" s="4">
        <v>10.9625049646466</v>
      </c>
    </row>
    <row r="81" spans="1:27" s="4" customFormat="1" x14ac:dyDescent="0.25">
      <c r="A81" s="57"/>
      <c r="B81" s="9"/>
      <c r="C81" s="6">
        <v>41927</v>
      </c>
      <c r="D81" s="4">
        <v>14</v>
      </c>
      <c r="E81" s="4">
        <v>11.1</v>
      </c>
      <c r="F81" s="4">
        <v>16.100000000000001</v>
      </c>
      <c r="G81" s="4">
        <f t="shared" si="3"/>
        <v>568.79999999999995</v>
      </c>
      <c r="J81" s="4">
        <v>1.4</v>
      </c>
      <c r="K81" s="4">
        <f t="shared" si="4"/>
        <v>84</v>
      </c>
      <c r="L81" s="4">
        <v>0.3</v>
      </c>
      <c r="M81" s="4">
        <f t="shared" si="5"/>
        <v>76.2</v>
      </c>
      <c r="N81" s="4">
        <v>1.0999999999999999</v>
      </c>
      <c r="O81" s="4">
        <f t="shared" si="9"/>
        <v>57.099999999999994</v>
      </c>
      <c r="P81" s="4">
        <v>37</v>
      </c>
      <c r="Q81" s="4">
        <f t="shared" si="8"/>
        <v>0.60472972972972971</v>
      </c>
      <c r="R81" s="8">
        <f t="shared" si="1"/>
        <v>0.1814189189189189</v>
      </c>
      <c r="S81" s="8">
        <f t="shared" si="2"/>
        <v>1.2185810810810811</v>
      </c>
      <c r="T81" s="8">
        <f t="shared" si="6"/>
        <v>63.474391891891898</v>
      </c>
      <c r="V81" s="4">
        <v>231.9</v>
      </c>
      <c r="X81" s="4">
        <f t="shared" si="7"/>
        <v>39746.699999999997</v>
      </c>
      <c r="AA81" s="4">
        <v>10.9070849932738</v>
      </c>
    </row>
    <row r="82" spans="1:27" s="4" customFormat="1" x14ac:dyDescent="0.25">
      <c r="A82" s="57"/>
      <c r="B82" s="9"/>
      <c r="C82" s="6">
        <v>41928</v>
      </c>
      <c r="D82" s="4">
        <v>15.7</v>
      </c>
      <c r="E82" s="4">
        <v>14.1</v>
      </c>
      <c r="F82" s="4">
        <v>18.7</v>
      </c>
      <c r="G82" s="4">
        <f t="shared" si="3"/>
        <v>584.5</v>
      </c>
      <c r="J82" s="4">
        <v>12.7</v>
      </c>
      <c r="K82" s="4">
        <f t="shared" si="4"/>
        <v>96.7</v>
      </c>
      <c r="L82" s="4">
        <v>0.8</v>
      </c>
      <c r="M82" s="4">
        <f t="shared" si="5"/>
        <v>77</v>
      </c>
      <c r="N82" s="4">
        <v>11.899999999999999</v>
      </c>
      <c r="O82" s="4">
        <f t="shared" si="9"/>
        <v>69</v>
      </c>
      <c r="P82" s="4">
        <v>38</v>
      </c>
      <c r="Q82" s="4">
        <f t="shared" si="8"/>
        <v>0.61351351351351346</v>
      </c>
      <c r="R82" s="8">
        <f t="shared" si="1"/>
        <v>0.49081081081081079</v>
      </c>
      <c r="S82" s="8">
        <f t="shared" si="2"/>
        <v>12.209189189189189</v>
      </c>
      <c r="T82" s="8">
        <f t="shared" si="6"/>
        <v>75.683581081081087</v>
      </c>
      <c r="V82" s="4">
        <v>371.3</v>
      </c>
      <c r="X82" s="4">
        <f t="shared" si="7"/>
        <v>40118</v>
      </c>
      <c r="AA82" s="4">
        <v>10.851808496395099</v>
      </c>
    </row>
    <row r="83" spans="1:27" s="4" customFormat="1" x14ac:dyDescent="0.25">
      <c r="A83" s="57"/>
      <c r="B83" s="9"/>
      <c r="C83" s="6">
        <v>41929</v>
      </c>
      <c r="D83" s="4">
        <v>15.3</v>
      </c>
      <c r="E83" s="4">
        <v>13.6</v>
      </c>
      <c r="F83" s="4">
        <v>18</v>
      </c>
      <c r="G83" s="4">
        <f t="shared" si="3"/>
        <v>599.79999999999995</v>
      </c>
      <c r="J83" s="4">
        <v>0.1</v>
      </c>
      <c r="K83" s="4">
        <f t="shared" si="4"/>
        <v>96.8</v>
      </c>
      <c r="L83" s="4">
        <v>0.6</v>
      </c>
      <c r="M83" s="4">
        <f t="shared" si="5"/>
        <v>77.599999999999994</v>
      </c>
      <c r="N83" s="7">
        <v>-0.5</v>
      </c>
      <c r="O83" s="4">
        <f t="shared" si="9"/>
        <v>68.5</v>
      </c>
      <c r="P83" s="4">
        <v>39</v>
      </c>
      <c r="Q83" s="4">
        <f t="shared" si="8"/>
        <v>0.62229729729729732</v>
      </c>
      <c r="R83" s="8">
        <f t="shared" si="1"/>
        <v>0.37337837837837839</v>
      </c>
      <c r="S83" s="8">
        <f t="shared" si="2"/>
        <v>-0.27337837837837842</v>
      </c>
      <c r="T83" s="8">
        <f t="shared" si="6"/>
        <v>75.410202702702705</v>
      </c>
      <c r="V83" s="4">
        <v>304.3</v>
      </c>
      <c r="X83" s="4">
        <f t="shared" si="7"/>
        <v>40422.300000000003</v>
      </c>
      <c r="AA83" s="4">
        <v>10.796685849693899</v>
      </c>
    </row>
    <row r="84" spans="1:27" s="4" customFormat="1" x14ac:dyDescent="0.25">
      <c r="A84" s="57"/>
      <c r="B84" s="9"/>
      <c r="C84" s="6">
        <v>41930</v>
      </c>
      <c r="D84" s="4">
        <v>17.3</v>
      </c>
      <c r="E84" s="4">
        <v>12.7</v>
      </c>
      <c r="F84" s="4">
        <v>24.1</v>
      </c>
      <c r="G84" s="4">
        <f t="shared" si="3"/>
        <v>617.09999999999991</v>
      </c>
      <c r="J84" s="4">
        <v>0</v>
      </c>
      <c r="K84" s="4">
        <f t="shared" si="4"/>
        <v>96.8</v>
      </c>
      <c r="L84" s="4">
        <v>2.8</v>
      </c>
      <c r="M84" s="4">
        <f t="shared" si="5"/>
        <v>80.399999999999991</v>
      </c>
      <c r="N84" s="7">
        <v>-2.8</v>
      </c>
      <c r="O84" s="4">
        <f t="shared" si="9"/>
        <v>65.7</v>
      </c>
      <c r="P84" s="4">
        <v>40</v>
      </c>
      <c r="Q84" s="4">
        <f t="shared" si="8"/>
        <v>0.63108108108108107</v>
      </c>
      <c r="R84" s="8">
        <f t="shared" si="1"/>
        <v>1.767027027027027</v>
      </c>
      <c r="S84" s="8">
        <f t="shared" si="2"/>
        <v>-1.767027027027027</v>
      </c>
      <c r="T84" s="8">
        <f t="shared" si="6"/>
        <v>73.643175675675678</v>
      </c>
      <c r="V84" s="4">
        <v>1300</v>
      </c>
      <c r="X84" s="4">
        <f t="shared" si="7"/>
        <v>41722.300000000003</v>
      </c>
      <c r="AA84" s="4">
        <v>10.741727850428701</v>
      </c>
    </row>
    <row r="85" spans="1:27" s="4" customFormat="1" x14ac:dyDescent="0.25">
      <c r="A85" s="57"/>
      <c r="B85" s="9"/>
      <c r="C85" s="6">
        <v>41931</v>
      </c>
      <c r="D85" s="4">
        <v>17.100000000000001</v>
      </c>
      <c r="E85" s="4">
        <v>13</v>
      </c>
      <c r="F85" s="4">
        <v>22.9</v>
      </c>
      <c r="G85" s="4">
        <f t="shared" si="3"/>
        <v>634.19999999999993</v>
      </c>
      <c r="J85" s="4">
        <v>0.4</v>
      </c>
      <c r="K85" s="4">
        <f t="shared" si="4"/>
        <v>97.2</v>
      </c>
      <c r="L85" s="4">
        <v>2.2999999999999998</v>
      </c>
      <c r="M85" s="4">
        <f t="shared" si="5"/>
        <v>82.699999999999989</v>
      </c>
      <c r="N85" s="7">
        <v>-1.9</v>
      </c>
      <c r="O85" s="4">
        <f t="shared" si="9"/>
        <v>63.800000000000004</v>
      </c>
      <c r="P85" s="4">
        <v>41</v>
      </c>
      <c r="Q85" s="4">
        <f t="shared" si="8"/>
        <v>0.63986486486486482</v>
      </c>
      <c r="R85" s="8">
        <f t="shared" si="1"/>
        <v>1.471689189189189</v>
      </c>
      <c r="S85" s="8">
        <f t="shared" si="2"/>
        <v>-1.0716891891891889</v>
      </c>
      <c r="T85" s="8">
        <f t="shared" si="6"/>
        <v>72.571486486486492</v>
      </c>
      <c r="V85" s="4">
        <v>1239.5</v>
      </c>
      <c r="X85" s="4">
        <f t="shared" si="7"/>
        <v>42961.8</v>
      </c>
      <c r="AA85" s="4">
        <v>10.6869457343384</v>
      </c>
    </row>
    <row r="86" spans="1:27" s="4" customFormat="1" x14ac:dyDescent="0.25">
      <c r="A86" s="57"/>
      <c r="B86" s="9"/>
      <c r="C86" s="6">
        <v>41932</v>
      </c>
      <c r="D86" s="4">
        <v>15</v>
      </c>
      <c r="E86" s="4">
        <v>12.2</v>
      </c>
      <c r="F86" s="4">
        <v>19.2</v>
      </c>
      <c r="G86" s="4">
        <f t="shared" si="3"/>
        <v>649.19999999999993</v>
      </c>
      <c r="J86" s="4">
        <v>0.5</v>
      </c>
      <c r="K86" s="4">
        <f t="shared" si="4"/>
        <v>97.7</v>
      </c>
      <c r="L86" s="4">
        <v>0.9</v>
      </c>
      <c r="M86" s="4">
        <f t="shared" si="5"/>
        <v>83.6</v>
      </c>
      <c r="N86" s="7">
        <v>-0.4</v>
      </c>
      <c r="O86" s="4">
        <f t="shared" si="9"/>
        <v>63.400000000000006</v>
      </c>
      <c r="P86" s="4">
        <v>42</v>
      </c>
      <c r="Q86" s="4">
        <f t="shared" si="8"/>
        <v>0.64864864864864868</v>
      </c>
      <c r="R86" s="8">
        <f t="shared" si="1"/>
        <v>0.58378378378378382</v>
      </c>
      <c r="S86" s="8">
        <f t="shared" si="2"/>
        <v>-8.3783783783783816E-2</v>
      </c>
      <c r="T86" s="8">
        <f t="shared" si="6"/>
        <v>72.487702702702705</v>
      </c>
      <c r="V86" s="4">
        <v>466.5</v>
      </c>
      <c r="X86" s="4">
        <f t="shared" si="7"/>
        <v>43428.3</v>
      </c>
      <c r="AA86" s="4">
        <v>10.6323511922853</v>
      </c>
    </row>
    <row r="87" spans="1:27" s="4" customFormat="1" x14ac:dyDescent="0.25">
      <c r="A87" s="57"/>
      <c r="B87" s="9"/>
      <c r="C87" s="6">
        <v>41933</v>
      </c>
      <c r="D87" s="4">
        <v>13.8</v>
      </c>
      <c r="E87" s="4">
        <v>11.7</v>
      </c>
      <c r="F87" s="4">
        <v>18.600000000000001</v>
      </c>
      <c r="G87" s="4">
        <f t="shared" si="3"/>
        <v>662.99999999999989</v>
      </c>
      <c r="J87" s="4">
        <v>0.3</v>
      </c>
      <c r="K87" s="4">
        <f t="shared" si="4"/>
        <v>98</v>
      </c>
      <c r="L87" s="4">
        <v>1.7</v>
      </c>
      <c r="M87" s="4">
        <f t="shared" si="5"/>
        <v>85.3</v>
      </c>
      <c r="N87" s="7">
        <v>-1.4</v>
      </c>
      <c r="O87" s="4">
        <f t="shared" si="9"/>
        <v>62.000000000000007</v>
      </c>
      <c r="P87" s="4">
        <v>43</v>
      </c>
      <c r="Q87" s="4">
        <f t="shared" si="8"/>
        <v>0.65743243243243243</v>
      </c>
      <c r="R87" s="8">
        <f t="shared" si="1"/>
        <v>1.117635135135135</v>
      </c>
      <c r="S87" s="8">
        <f t="shared" si="2"/>
        <v>-0.81763513513513497</v>
      </c>
      <c r="T87" s="8">
        <f t="shared" si="6"/>
        <v>71.670067567567571</v>
      </c>
      <c r="V87" s="4">
        <v>328.4</v>
      </c>
      <c r="X87" s="4">
        <f t="shared" si="7"/>
        <v>43756.700000000004</v>
      </c>
      <c r="AA87" s="4">
        <v>10.577956386579601</v>
      </c>
    </row>
    <row r="88" spans="1:27" s="4" customFormat="1" x14ac:dyDescent="0.25">
      <c r="A88" s="57"/>
      <c r="B88" s="9"/>
      <c r="C88" s="6">
        <v>41934</v>
      </c>
      <c r="D88" s="4">
        <v>9.6999999999999993</v>
      </c>
      <c r="E88" s="4">
        <v>6.5</v>
      </c>
      <c r="F88" s="4">
        <v>14</v>
      </c>
      <c r="G88" s="4">
        <f t="shared" si="3"/>
        <v>672.69999999999993</v>
      </c>
      <c r="J88" s="4">
        <v>0</v>
      </c>
      <c r="K88" s="4">
        <f t="shared" si="4"/>
        <v>98</v>
      </c>
      <c r="L88" s="4">
        <v>1.2</v>
      </c>
      <c r="M88" s="4">
        <f t="shared" si="5"/>
        <v>86.5</v>
      </c>
      <c r="N88" s="7">
        <v>-1.2</v>
      </c>
      <c r="O88" s="4">
        <f t="shared" si="9"/>
        <v>60.800000000000004</v>
      </c>
      <c r="P88" s="4">
        <v>44</v>
      </c>
      <c r="Q88" s="4">
        <f t="shared" si="8"/>
        <v>0.66621621621621618</v>
      </c>
      <c r="R88" s="8">
        <f t="shared" si="1"/>
        <v>0.7994594594594594</v>
      </c>
      <c r="S88" s="8">
        <f t="shared" si="2"/>
        <v>-0.7994594594594594</v>
      </c>
      <c r="T88" s="8">
        <f t="shared" si="6"/>
        <v>70.870608108108115</v>
      </c>
      <c r="V88" s="4">
        <v>568.1</v>
      </c>
      <c r="X88" s="4">
        <f t="shared" si="7"/>
        <v>44324.800000000003</v>
      </c>
      <c r="AA88" s="4">
        <v>10.5237739669244</v>
      </c>
    </row>
    <row r="89" spans="1:27" s="4" customFormat="1" x14ac:dyDescent="0.25">
      <c r="A89" s="57"/>
      <c r="B89" s="9"/>
      <c r="C89" s="6">
        <v>41935</v>
      </c>
      <c r="D89" s="4">
        <v>10.6</v>
      </c>
      <c r="E89" s="4">
        <v>6.2</v>
      </c>
      <c r="F89" s="4">
        <v>13.8</v>
      </c>
      <c r="G89" s="4">
        <f t="shared" si="3"/>
        <v>683.3</v>
      </c>
      <c r="J89" s="4">
        <v>0</v>
      </c>
      <c r="K89" s="4">
        <f t="shared" si="4"/>
        <v>98</v>
      </c>
      <c r="L89" s="4">
        <v>0.7</v>
      </c>
      <c r="M89" s="4">
        <f t="shared" si="5"/>
        <v>87.2</v>
      </c>
      <c r="N89" s="7">
        <v>-0.7</v>
      </c>
      <c r="O89" s="4">
        <f t="shared" si="9"/>
        <v>60.1</v>
      </c>
      <c r="P89" s="4">
        <v>45</v>
      </c>
      <c r="Q89" s="4">
        <f t="shared" si="8"/>
        <v>0.67500000000000004</v>
      </c>
      <c r="R89" s="8">
        <f t="shared" si="1"/>
        <v>0.47249999999999998</v>
      </c>
      <c r="S89" s="8">
        <f t="shared" si="2"/>
        <v>-0.47249999999999998</v>
      </c>
      <c r="T89" s="8">
        <f t="shared" si="6"/>
        <v>70.398108108108119</v>
      </c>
      <c r="V89" s="4">
        <v>269.5</v>
      </c>
      <c r="X89" s="4">
        <f t="shared" si="7"/>
        <v>44594.3</v>
      </c>
      <c r="AA89" s="4">
        <v>10.4698170859131</v>
      </c>
    </row>
    <row r="90" spans="1:27" s="4" customFormat="1" x14ac:dyDescent="0.25">
      <c r="A90" s="57"/>
      <c r="B90" s="9"/>
      <c r="C90" s="6">
        <v>41936</v>
      </c>
      <c r="D90" s="4">
        <v>12.5</v>
      </c>
      <c r="E90" s="4">
        <v>10.8</v>
      </c>
      <c r="F90" s="4">
        <v>15.9</v>
      </c>
      <c r="G90" s="4">
        <f t="shared" si="3"/>
        <v>695.8</v>
      </c>
      <c r="J90" s="4">
        <v>0</v>
      </c>
      <c r="K90" s="4">
        <f t="shared" si="4"/>
        <v>98</v>
      </c>
      <c r="L90" s="4">
        <v>0.9</v>
      </c>
      <c r="M90" s="4">
        <f t="shared" si="5"/>
        <v>88.100000000000009</v>
      </c>
      <c r="N90" s="7">
        <v>-0.9</v>
      </c>
      <c r="O90" s="4">
        <f t="shared" si="9"/>
        <v>59.2</v>
      </c>
      <c r="P90" s="4">
        <v>46</v>
      </c>
      <c r="Q90" s="4">
        <f t="shared" si="8"/>
        <v>0.68378378378378368</v>
      </c>
      <c r="R90" s="8">
        <f t="shared" si="1"/>
        <v>0.61540540540540534</v>
      </c>
      <c r="S90" s="8">
        <f t="shared" si="2"/>
        <v>-0.61540540540540534</v>
      </c>
      <c r="T90" s="8">
        <f t="shared" si="6"/>
        <v>69.782702702702707</v>
      </c>
      <c r="V90" s="4">
        <v>163.9</v>
      </c>
      <c r="X90" s="4">
        <f t="shared" si="7"/>
        <v>44758.200000000004</v>
      </c>
      <c r="AA90" s="4">
        <v>10.4160994140073</v>
      </c>
    </row>
    <row r="91" spans="1:27" s="4" customFormat="1" x14ac:dyDescent="0.25">
      <c r="A91" s="57"/>
      <c r="B91" s="9"/>
      <c r="C91" s="6">
        <v>41937</v>
      </c>
      <c r="D91" s="4">
        <v>13.2</v>
      </c>
      <c r="E91" s="4">
        <v>11.3</v>
      </c>
      <c r="F91" s="4">
        <v>15.4</v>
      </c>
      <c r="G91" s="4">
        <f t="shared" si="3"/>
        <v>709</v>
      </c>
      <c r="J91" s="4">
        <v>1.1000000000000001</v>
      </c>
      <c r="K91" s="4">
        <f t="shared" si="4"/>
        <v>99.1</v>
      </c>
      <c r="L91" s="4">
        <v>0.3</v>
      </c>
      <c r="M91" s="4">
        <f t="shared" si="5"/>
        <v>88.4</v>
      </c>
      <c r="N91" s="4">
        <v>0.8</v>
      </c>
      <c r="O91" s="4">
        <f t="shared" si="9"/>
        <v>60</v>
      </c>
      <c r="P91" s="4">
        <v>47</v>
      </c>
      <c r="Q91" s="4">
        <f t="shared" si="8"/>
        <v>0.69256756756756754</v>
      </c>
      <c r="R91" s="8">
        <f t="shared" si="1"/>
        <v>0.20777027027027026</v>
      </c>
      <c r="S91" s="8">
        <f t="shared" si="2"/>
        <v>0.8922297297297298</v>
      </c>
      <c r="T91" s="8">
        <f t="shared" si="6"/>
        <v>70.674932432432442</v>
      </c>
      <c r="V91" s="4">
        <v>255.4</v>
      </c>
      <c r="X91" s="4">
        <f t="shared" si="7"/>
        <v>45013.600000000006</v>
      </c>
      <c r="AA91" s="4">
        <v>10.362635153916701</v>
      </c>
    </row>
    <row r="92" spans="1:27" s="4" customFormat="1" x14ac:dyDescent="0.25">
      <c r="A92" s="57"/>
      <c r="B92" s="9"/>
      <c r="C92" s="6">
        <v>41938</v>
      </c>
      <c r="D92" s="4">
        <v>12.8</v>
      </c>
      <c r="E92" s="4">
        <v>11.7</v>
      </c>
      <c r="F92" s="4">
        <v>17.3</v>
      </c>
      <c r="G92" s="4">
        <f t="shared" si="3"/>
        <v>721.8</v>
      </c>
      <c r="J92" s="4">
        <v>0.1</v>
      </c>
      <c r="K92" s="4">
        <f t="shared" si="4"/>
        <v>99.199999999999989</v>
      </c>
      <c r="L92" s="4">
        <v>1.2</v>
      </c>
      <c r="M92" s="4">
        <f t="shared" si="5"/>
        <v>89.600000000000009</v>
      </c>
      <c r="N92" s="7">
        <v>-1.0999999999999999</v>
      </c>
      <c r="O92" s="4">
        <f t="shared" si="9"/>
        <v>58.9</v>
      </c>
      <c r="P92" s="4">
        <v>48</v>
      </c>
      <c r="Q92" s="4">
        <f t="shared" si="8"/>
        <v>0.7013513513513514</v>
      </c>
      <c r="R92" s="8">
        <f t="shared" si="1"/>
        <v>0.84162162162162168</v>
      </c>
      <c r="S92" s="8">
        <f t="shared" si="2"/>
        <v>-0.74162162162162171</v>
      </c>
      <c r="T92" s="8">
        <f t="shared" si="6"/>
        <v>69.933310810810823</v>
      </c>
      <c r="V92" s="4">
        <v>693.8</v>
      </c>
      <c r="X92" s="4">
        <f t="shared" si="7"/>
        <v>45707.400000000009</v>
      </c>
      <c r="AA92" s="4">
        <v>10.309439054295501</v>
      </c>
    </row>
    <row r="93" spans="1:27" s="4" customFormat="1" x14ac:dyDescent="0.25">
      <c r="A93" s="57"/>
      <c r="B93" s="9"/>
      <c r="C93" s="6">
        <v>41939</v>
      </c>
      <c r="D93" s="4">
        <v>10.3</v>
      </c>
      <c r="E93" s="4">
        <v>6.6</v>
      </c>
      <c r="F93" s="4">
        <v>13.9</v>
      </c>
      <c r="G93" s="4">
        <f t="shared" si="3"/>
        <v>732.09999999999991</v>
      </c>
      <c r="J93" s="4">
        <v>0.1</v>
      </c>
      <c r="K93" s="4">
        <f t="shared" si="4"/>
        <v>99.299999999999983</v>
      </c>
      <c r="L93" s="4">
        <v>1</v>
      </c>
      <c r="M93" s="4">
        <f t="shared" si="5"/>
        <v>90.600000000000009</v>
      </c>
      <c r="N93" s="7">
        <v>-0.9</v>
      </c>
      <c r="O93" s="4">
        <f t="shared" si="9"/>
        <v>58</v>
      </c>
      <c r="P93" s="4">
        <v>49</v>
      </c>
      <c r="Q93" s="4">
        <f t="shared" si="8"/>
        <v>0.71013513513513515</v>
      </c>
      <c r="R93" s="8">
        <f t="shared" si="1"/>
        <v>0.71013513513513515</v>
      </c>
      <c r="S93" s="8">
        <f t="shared" si="2"/>
        <v>-0.61013513513513518</v>
      </c>
      <c r="T93" s="8">
        <f t="shared" si="6"/>
        <v>69.323175675675685</v>
      </c>
      <c r="V93" s="4">
        <v>703.7</v>
      </c>
      <c r="X93" s="4">
        <f t="shared" si="7"/>
        <v>46411.100000000006</v>
      </c>
      <c r="AA93" s="4">
        <v>10.2565264226662</v>
      </c>
    </row>
    <row r="94" spans="1:27" s="4" customFormat="1" x14ac:dyDescent="0.25">
      <c r="A94" s="57"/>
      <c r="B94" s="9"/>
      <c r="C94" s="6">
        <v>41940</v>
      </c>
      <c r="D94" s="4">
        <v>10.7</v>
      </c>
      <c r="E94" s="4">
        <v>9.6999999999999993</v>
      </c>
      <c r="F94" s="4">
        <v>14</v>
      </c>
      <c r="G94" s="4">
        <f t="shared" si="3"/>
        <v>742.8</v>
      </c>
      <c r="J94" s="4">
        <v>0.2</v>
      </c>
      <c r="K94" s="4">
        <f t="shared" si="4"/>
        <v>99.499999999999986</v>
      </c>
      <c r="L94" s="4">
        <v>1.1000000000000001</v>
      </c>
      <c r="M94" s="4">
        <f t="shared" si="5"/>
        <v>91.7</v>
      </c>
      <c r="N94" s="7">
        <v>-0.90000000000000013</v>
      </c>
      <c r="O94" s="4">
        <f t="shared" si="9"/>
        <v>57.1</v>
      </c>
      <c r="P94" s="4">
        <v>50</v>
      </c>
      <c r="Q94" s="4">
        <f t="shared" si="8"/>
        <v>0.7189189189189189</v>
      </c>
      <c r="R94" s="8">
        <f t="shared" si="1"/>
        <v>0.79081081081081084</v>
      </c>
      <c r="S94" s="8">
        <f t="shared" si="2"/>
        <v>-0.59081081081081077</v>
      </c>
      <c r="T94" s="8">
        <f t="shared" si="6"/>
        <v>68.732364864864877</v>
      </c>
      <c r="V94" s="4">
        <v>708.6</v>
      </c>
      <c r="X94" s="4">
        <f t="shared" si="7"/>
        <v>47119.700000000004</v>
      </c>
      <c r="AA94" s="4">
        <v>10.2039131374726</v>
      </c>
    </row>
    <row r="95" spans="1:27" s="4" customFormat="1" x14ac:dyDescent="0.25">
      <c r="A95" s="57"/>
      <c r="B95" s="9"/>
      <c r="C95" s="6">
        <v>41941</v>
      </c>
      <c r="D95" s="4">
        <v>10.9</v>
      </c>
      <c r="E95" s="4">
        <v>4.2</v>
      </c>
      <c r="F95" s="4">
        <v>17.8</v>
      </c>
      <c r="G95" s="4">
        <f t="shared" si="3"/>
        <v>753.69999999999993</v>
      </c>
      <c r="J95" s="4">
        <v>0.2</v>
      </c>
      <c r="K95" s="4">
        <f t="shared" si="4"/>
        <v>99.699999999999989</v>
      </c>
      <c r="L95" s="4">
        <v>1.5</v>
      </c>
      <c r="M95" s="4">
        <f t="shared" si="5"/>
        <v>93.2</v>
      </c>
      <c r="N95" s="7">
        <v>-1.3</v>
      </c>
      <c r="O95" s="4">
        <f t="shared" si="9"/>
        <v>55.800000000000004</v>
      </c>
      <c r="P95" s="4">
        <v>51</v>
      </c>
      <c r="Q95" s="4">
        <f t="shared" si="8"/>
        <v>0.72770270270270265</v>
      </c>
      <c r="R95" s="8">
        <f t="shared" si="1"/>
        <v>1.091554054054054</v>
      </c>
      <c r="S95" s="8">
        <f t="shared" si="2"/>
        <v>-0.89155405405405408</v>
      </c>
      <c r="T95" s="8">
        <f t="shared" si="6"/>
        <v>67.840810810810822</v>
      </c>
      <c r="V95" s="4">
        <v>898.3</v>
      </c>
      <c r="X95" s="4">
        <f t="shared" si="7"/>
        <v>48018.000000000007</v>
      </c>
      <c r="AA95" s="4">
        <v>10.151615659159599</v>
      </c>
    </row>
    <row r="96" spans="1:27" s="4" customFormat="1" x14ac:dyDescent="0.25">
      <c r="A96" s="57"/>
      <c r="B96" s="9"/>
      <c r="C96" s="6">
        <v>41942</v>
      </c>
      <c r="D96" s="4">
        <v>13</v>
      </c>
      <c r="E96" s="4">
        <v>8.3000000000000007</v>
      </c>
      <c r="F96" s="4">
        <v>19</v>
      </c>
      <c r="G96" s="4">
        <f t="shared" si="3"/>
        <v>766.69999999999993</v>
      </c>
      <c r="J96" s="4">
        <v>0.1</v>
      </c>
      <c r="K96" s="4">
        <f t="shared" si="4"/>
        <v>99.799999999999983</v>
      </c>
      <c r="L96" s="4">
        <v>1.2</v>
      </c>
      <c r="M96" s="4">
        <f t="shared" si="5"/>
        <v>94.4</v>
      </c>
      <c r="N96" s="7">
        <v>-1.0999999999999999</v>
      </c>
      <c r="O96" s="4">
        <f t="shared" si="9"/>
        <v>54.7</v>
      </c>
      <c r="P96" s="4">
        <v>52</v>
      </c>
      <c r="Q96" s="4">
        <f t="shared" si="8"/>
        <v>0.73648648648648651</v>
      </c>
      <c r="R96" s="8">
        <f t="shared" si="1"/>
        <v>0.88378378378378375</v>
      </c>
      <c r="S96" s="8">
        <f t="shared" si="2"/>
        <v>-0.78378378378378377</v>
      </c>
      <c r="T96" s="8">
        <f t="shared" si="6"/>
        <v>67.057027027027033</v>
      </c>
      <c r="V96" s="4">
        <v>498.5</v>
      </c>
      <c r="X96" s="4">
        <f t="shared" si="7"/>
        <v>48516.500000000007</v>
      </c>
      <c r="AA96" s="4">
        <v>10.0996510401721</v>
      </c>
    </row>
    <row r="97" spans="1:27" s="4" customFormat="1" x14ac:dyDescent="0.25">
      <c r="A97" s="57"/>
      <c r="B97" s="9"/>
      <c r="C97" s="6">
        <v>41943</v>
      </c>
      <c r="D97" s="4">
        <v>14.2</v>
      </c>
      <c r="E97" s="4">
        <v>8.4</v>
      </c>
      <c r="F97" s="4">
        <v>21.9</v>
      </c>
      <c r="G97" s="4">
        <f t="shared" si="3"/>
        <v>780.9</v>
      </c>
      <c r="J97" s="4">
        <v>0.1</v>
      </c>
      <c r="K97" s="4">
        <f t="shared" si="4"/>
        <v>99.899999999999977</v>
      </c>
      <c r="L97" s="4">
        <v>2.1</v>
      </c>
      <c r="M97" s="4">
        <f t="shared" si="5"/>
        <v>96.5</v>
      </c>
      <c r="N97" s="7">
        <v>-2</v>
      </c>
      <c r="O97" s="4">
        <f t="shared" si="9"/>
        <v>52.7</v>
      </c>
      <c r="P97" s="4">
        <v>53</v>
      </c>
      <c r="Q97" s="4">
        <f t="shared" si="8"/>
        <v>0.74527027027027026</v>
      </c>
      <c r="R97" s="8">
        <f t="shared" si="1"/>
        <v>1.5650675675675676</v>
      </c>
      <c r="S97" s="8">
        <f t="shared" si="2"/>
        <v>-1.4650675675675675</v>
      </c>
      <c r="T97" s="8">
        <f t="shared" si="6"/>
        <v>65.59195945945946</v>
      </c>
      <c r="V97" s="4">
        <v>973.5</v>
      </c>
      <c r="X97" s="4">
        <f t="shared" si="7"/>
        <v>49490.000000000007</v>
      </c>
      <c r="AA97" s="4">
        <v>10.048036933755901</v>
      </c>
    </row>
    <row r="98" spans="1:27" s="4" customFormat="1" x14ac:dyDescent="0.25">
      <c r="A98" s="57"/>
      <c r="B98" s="9"/>
      <c r="C98" s="6">
        <v>41944</v>
      </c>
      <c r="D98" s="4">
        <v>13.9</v>
      </c>
      <c r="E98" s="4">
        <v>9.1999999999999993</v>
      </c>
      <c r="F98" s="4">
        <v>18.8</v>
      </c>
      <c r="G98" s="4">
        <f t="shared" si="3"/>
        <v>794.8</v>
      </c>
      <c r="J98" s="4">
        <v>0</v>
      </c>
      <c r="K98" s="4">
        <f t="shared" si="4"/>
        <v>99.899999999999977</v>
      </c>
      <c r="L98" s="4">
        <v>1.7</v>
      </c>
      <c r="M98" s="4">
        <f t="shared" si="5"/>
        <v>98.2</v>
      </c>
      <c r="N98" s="7">
        <v>-1.7</v>
      </c>
      <c r="O98" s="4">
        <f t="shared" si="9"/>
        <v>51</v>
      </c>
      <c r="P98" s="4">
        <v>54</v>
      </c>
      <c r="Q98" s="4">
        <f t="shared" si="8"/>
        <v>0.75405405405405401</v>
      </c>
      <c r="R98" s="8">
        <f t="shared" si="1"/>
        <v>1.2818918918918918</v>
      </c>
      <c r="S98" s="8">
        <f t="shared" si="2"/>
        <v>-1.2818918918918918</v>
      </c>
      <c r="T98" s="8">
        <f t="shared" si="6"/>
        <v>64.310067567567572</v>
      </c>
      <c r="V98" s="4">
        <v>1002.3</v>
      </c>
      <c r="X98" s="4">
        <f t="shared" si="7"/>
        <v>50492.30000000001</v>
      </c>
      <c r="AA98" s="4">
        <v>9.9967916014417408</v>
      </c>
    </row>
    <row r="99" spans="1:27" s="4" customFormat="1" x14ac:dyDescent="0.25">
      <c r="A99" s="57"/>
      <c r="B99" s="9"/>
      <c r="C99" s="6">
        <v>41945</v>
      </c>
      <c r="D99" s="4">
        <v>13.9</v>
      </c>
      <c r="E99" s="4">
        <v>11.5</v>
      </c>
      <c r="F99" s="4">
        <v>16</v>
      </c>
      <c r="G99" s="4">
        <f t="shared" si="3"/>
        <v>808.69999999999993</v>
      </c>
      <c r="J99" s="4">
        <v>1.6</v>
      </c>
      <c r="K99" s="4">
        <f t="shared" si="4"/>
        <v>101.49999999999997</v>
      </c>
      <c r="L99" s="4">
        <v>0.5</v>
      </c>
      <c r="M99" s="4">
        <f t="shared" si="5"/>
        <v>98.7</v>
      </c>
      <c r="N99" s="4">
        <v>1.1000000000000001</v>
      </c>
      <c r="O99" s="4">
        <f t="shared" si="9"/>
        <v>52.1</v>
      </c>
      <c r="P99" s="4">
        <v>55</v>
      </c>
      <c r="Q99" s="4">
        <f t="shared" si="8"/>
        <v>0.76283783783783776</v>
      </c>
      <c r="R99" s="8">
        <f t="shared" si="1"/>
        <v>0.38141891891891888</v>
      </c>
      <c r="S99" s="8">
        <f t="shared" si="2"/>
        <v>1.2185810810810813</v>
      </c>
      <c r="T99" s="8">
        <f t="shared" si="6"/>
        <v>65.528648648648655</v>
      </c>
      <c r="V99" s="4">
        <v>348.5</v>
      </c>
      <c r="X99" s="4">
        <f t="shared" si="7"/>
        <v>50840.80000000001</v>
      </c>
      <c r="AA99" s="4">
        <v>9.9459339190856593</v>
      </c>
    </row>
    <row r="100" spans="1:27" s="4" customFormat="1" x14ac:dyDescent="0.25">
      <c r="A100" s="57"/>
      <c r="B100" s="9"/>
      <c r="C100" s="6">
        <v>41946</v>
      </c>
      <c r="D100" s="4">
        <v>12.3</v>
      </c>
      <c r="E100" s="4">
        <v>11.6</v>
      </c>
      <c r="F100" s="4">
        <v>14.5</v>
      </c>
      <c r="G100" s="4">
        <f t="shared" si="3"/>
        <v>820.99999999999989</v>
      </c>
      <c r="J100" s="4">
        <v>16.3</v>
      </c>
      <c r="K100" s="4">
        <f t="shared" si="4"/>
        <v>117.79999999999997</v>
      </c>
      <c r="L100" s="4">
        <v>1</v>
      </c>
      <c r="M100" s="4">
        <f t="shared" si="5"/>
        <v>99.7</v>
      </c>
      <c r="N100" s="4">
        <v>15.3</v>
      </c>
      <c r="O100" s="4">
        <f t="shared" si="9"/>
        <v>67.400000000000006</v>
      </c>
      <c r="P100" s="4">
        <v>56</v>
      </c>
      <c r="Q100" s="4">
        <f t="shared" si="8"/>
        <v>0.77162162162162162</v>
      </c>
      <c r="R100" s="8">
        <f t="shared" si="1"/>
        <v>0.77162162162162162</v>
      </c>
      <c r="S100" s="8">
        <f t="shared" si="2"/>
        <v>15.528378378378379</v>
      </c>
      <c r="T100" s="8">
        <f t="shared" si="6"/>
        <v>81.057027027027033</v>
      </c>
      <c r="V100" s="4">
        <v>224.5</v>
      </c>
      <c r="X100" s="4">
        <f t="shared" si="7"/>
        <v>51065.30000000001</v>
      </c>
      <c r="AA100" s="4">
        <v>9.8954833813339693</v>
      </c>
    </row>
    <row r="101" spans="1:27" s="4" customFormat="1" x14ac:dyDescent="0.25">
      <c r="A101" s="57"/>
      <c r="B101" s="9"/>
      <c r="C101" s="6">
        <v>41947</v>
      </c>
      <c r="D101" s="4">
        <v>8.8000000000000007</v>
      </c>
      <c r="E101" s="4">
        <v>8.3000000000000007</v>
      </c>
      <c r="F101" s="4">
        <v>11.9</v>
      </c>
      <c r="G101" s="4">
        <f t="shared" si="3"/>
        <v>829.79999999999984</v>
      </c>
      <c r="J101" s="4">
        <v>0.1</v>
      </c>
      <c r="K101" s="4">
        <f t="shared" si="4"/>
        <v>117.89999999999996</v>
      </c>
      <c r="L101" s="4">
        <v>1</v>
      </c>
      <c r="M101" s="4">
        <f t="shared" si="5"/>
        <v>100.7</v>
      </c>
      <c r="N101" s="7">
        <v>-0.9</v>
      </c>
      <c r="O101" s="4">
        <f t="shared" si="9"/>
        <v>66.5</v>
      </c>
      <c r="P101" s="4">
        <v>57</v>
      </c>
      <c r="Q101" s="4">
        <f t="shared" si="8"/>
        <v>0.78040540540540548</v>
      </c>
      <c r="R101" s="8">
        <f t="shared" si="1"/>
        <v>0.78040540540540548</v>
      </c>
      <c r="S101" s="8">
        <f t="shared" si="2"/>
        <v>-0.68040540540540551</v>
      </c>
      <c r="T101" s="8">
        <f t="shared" si="6"/>
        <v>80.376621621621624</v>
      </c>
      <c r="V101" s="4">
        <v>747.5</v>
      </c>
      <c r="X101" s="4">
        <f t="shared" si="7"/>
        <v>51812.80000000001</v>
      </c>
      <c r="AA101" s="4">
        <v>9.8454601043774108</v>
      </c>
    </row>
    <row r="102" spans="1:27" s="4" customFormat="1" x14ac:dyDescent="0.25">
      <c r="A102" s="57"/>
      <c r="B102" s="9"/>
      <c r="C102" s="6">
        <v>41948</v>
      </c>
      <c r="D102" s="4">
        <v>5.9</v>
      </c>
      <c r="E102" s="4">
        <v>2.2999999999999998</v>
      </c>
      <c r="F102" s="4">
        <v>10.4</v>
      </c>
      <c r="G102" s="4">
        <f t="shared" si="3"/>
        <v>835.69999999999982</v>
      </c>
      <c r="J102" s="4">
        <v>2</v>
      </c>
      <c r="K102" s="4">
        <f t="shared" si="4"/>
        <v>119.89999999999996</v>
      </c>
      <c r="L102" s="4">
        <v>0.8</v>
      </c>
      <c r="M102" s="4">
        <f t="shared" si="5"/>
        <v>101.5</v>
      </c>
      <c r="N102" s="4">
        <v>1.2</v>
      </c>
      <c r="O102" s="4">
        <f t="shared" si="9"/>
        <v>67.7</v>
      </c>
      <c r="P102" s="4">
        <v>58</v>
      </c>
      <c r="Q102" s="4">
        <f t="shared" si="8"/>
        <v>0.78918918918918912</v>
      </c>
      <c r="R102" s="8">
        <f t="shared" si="1"/>
        <v>0.63135135135135134</v>
      </c>
      <c r="S102" s="8">
        <f t="shared" si="2"/>
        <v>1.3686486486486487</v>
      </c>
      <c r="T102" s="8">
        <f t="shared" si="6"/>
        <v>81.745270270270268</v>
      </c>
      <c r="V102" s="4">
        <v>621.20000000000005</v>
      </c>
      <c r="X102" s="4">
        <f t="shared" si="7"/>
        <v>52434.000000000007</v>
      </c>
      <c r="AA102" s="4">
        <v>9.7958848268537206</v>
      </c>
    </row>
    <row r="103" spans="1:27" s="4" customFormat="1" x14ac:dyDescent="0.25">
      <c r="A103" s="57"/>
      <c r="B103" s="9"/>
      <c r="C103" s="6">
        <v>41949</v>
      </c>
      <c r="D103" s="4">
        <v>6</v>
      </c>
      <c r="E103" s="4">
        <v>0.5</v>
      </c>
      <c r="F103" s="4">
        <v>10.4</v>
      </c>
      <c r="G103" s="4">
        <f t="shared" si="3"/>
        <v>841.69999999999982</v>
      </c>
      <c r="J103" s="4">
        <v>0.6</v>
      </c>
      <c r="K103" s="4">
        <f t="shared" si="4"/>
        <v>120.49999999999996</v>
      </c>
      <c r="L103" s="4">
        <v>0.5</v>
      </c>
      <c r="M103" s="4">
        <f t="shared" si="5"/>
        <v>102</v>
      </c>
      <c r="N103" s="4">
        <v>9.9999999999999978E-2</v>
      </c>
      <c r="O103" s="4">
        <f t="shared" si="9"/>
        <v>67.8</v>
      </c>
      <c r="P103" s="4">
        <v>59</v>
      </c>
      <c r="Q103" s="4">
        <f t="shared" si="8"/>
        <v>0.79797297297297298</v>
      </c>
      <c r="R103" s="8">
        <f t="shared" si="1"/>
        <v>0.39898648648648649</v>
      </c>
      <c r="S103" s="8">
        <f t="shared" si="2"/>
        <v>0.20101351351351349</v>
      </c>
      <c r="T103" s="8">
        <f t="shared" si="6"/>
        <v>81.946283783783784</v>
      </c>
      <c r="V103" s="4">
        <v>546.79999999999995</v>
      </c>
      <c r="X103" s="4">
        <f t="shared" si="7"/>
        <v>52980.80000000001</v>
      </c>
      <c r="AA103" s="4">
        <v>9.7467789087550205</v>
      </c>
    </row>
    <row r="104" spans="1:27" s="4" customFormat="1" x14ac:dyDescent="0.25">
      <c r="A104" s="57"/>
      <c r="B104" s="9"/>
      <c r="C104" s="6">
        <v>41950</v>
      </c>
      <c r="D104" s="4">
        <v>10.1</v>
      </c>
      <c r="E104" s="4">
        <v>7.5</v>
      </c>
      <c r="F104" s="4">
        <v>14</v>
      </c>
      <c r="G104" s="4">
        <f t="shared" si="3"/>
        <v>851.79999999999984</v>
      </c>
      <c r="J104" s="4">
        <v>0.5</v>
      </c>
      <c r="K104" s="4">
        <f t="shared" si="4"/>
        <v>120.99999999999996</v>
      </c>
      <c r="L104" s="4">
        <v>1.3</v>
      </c>
      <c r="M104" s="4">
        <f t="shared" si="5"/>
        <v>103.3</v>
      </c>
      <c r="N104" s="7">
        <v>-0.8</v>
      </c>
      <c r="O104" s="4">
        <f t="shared" si="9"/>
        <v>67</v>
      </c>
      <c r="P104" s="4">
        <v>60</v>
      </c>
      <c r="Q104" s="4">
        <f t="shared" si="8"/>
        <v>0.80675675675675684</v>
      </c>
      <c r="R104" s="8">
        <f t="shared" si="1"/>
        <v>1.0487837837837839</v>
      </c>
      <c r="S104" s="8">
        <f t="shared" si="2"/>
        <v>-0.5487837837837839</v>
      </c>
      <c r="T104" s="8">
        <f t="shared" si="6"/>
        <v>81.397499999999994</v>
      </c>
      <c r="V104" s="4">
        <v>392.3</v>
      </c>
      <c r="X104" s="4">
        <f t="shared" si="7"/>
        <v>53373.100000000013</v>
      </c>
      <c r="AA104" s="4">
        <v>9.6981643281934709</v>
      </c>
    </row>
    <row r="105" spans="1:27" s="4" customFormat="1" x14ac:dyDescent="0.25">
      <c r="A105" s="57"/>
      <c r="B105" s="9"/>
      <c r="C105" s="6">
        <v>41951</v>
      </c>
      <c r="D105" s="4">
        <v>10.9</v>
      </c>
      <c r="E105" s="4">
        <v>8</v>
      </c>
      <c r="F105" s="4">
        <v>14.3</v>
      </c>
      <c r="G105" s="4">
        <f t="shared" si="3"/>
        <v>862.69999999999982</v>
      </c>
      <c r="J105" s="4">
        <v>0.4</v>
      </c>
      <c r="K105" s="4">
        <f t="shared" si="4"/>
        <v>121.39999999999996</v>
      </c>
      <c r="L105" s="4">
        <v>1</v>
      </c>
      <c r="M105" s="4">
        <f t="shared" si="5"/>
        <v>104.3</v>
      </c>
      <c r="N105" s="7">
        <v>-0.6</v>
      </c>
      <c r="O105" s="4">
        <f t="shared" si="9"/>
        <v>66.400000000000006</v>
      </c>
      <c r="P105" s="4">
        <v>61</v>
      </c>
      <c r="Q105" s="4">
        <f t="shared" si="8"/>
        <v>0.81554054054054048</v>
      </c>
      <c r="R105" s="8">
        <f t="shared" si="1"/>
        <v>0.81554054054054048</v>
      </c>
      <c r="S105" s="8">
        <f t="shared" si="2"/>
        <v>-0.41554054054054046</v>
      </c>
      <c r="T105" s="8">
        <f t="shared" si="6"/>
        <v>80.981959459459446</v>
      </c>
      <c r="V105" s="4">
        <v>392.6</v>
      </c>
      <c r="X105" s="4">
        <f t="shared" si="7"/>
        <v>53765.700000000012</v>
      </c>
      <c r="AA105" s="4">
        <v>9.6500636758766998</v>
      </c>
    </row>
    <row r="106" spans="1:27" s="4" customFormat="1" x14ac:dyDescent="0.25">
      <c r="A106" s="57"/>
      <c r="B106" s="9"/>
      <c r="C106" s="6">
        <v>41952</v>
      </c>
      <c r="D106" s="4">
        <v>9.4</v>
      </c>
      <c r="E106" s="4">
        <v>8.8000000000000007</v>
      </c>
      <c r="F106" s="4">
        <v>11.9</v>
      </c>
      <c r="G106" s="4">
        <f t="shared" si="3"/>
        <v>872.0999999999998</v>
      </c>
      <c r="J106" s="4">
        <v>0</v>
      </c>
      <c r="K106" s="4">
        <f t="shared" si="4"/>
        <v>121.39999999999996</v>
      </c>
      <c r="L106" s="4">
        <v>0.7</v>
      </c>
      <c r="M106" s="4">
        <f t="shared" si="5"/>
        <v>105</v>
      </c>
      <c r="N106" s="7">
        <v>-0.7</v>
      </c>
      <c r="O106" s="4">
        <f t="shared" si="9"/>
        <v>65.7</v>
      </c>
      <c r="P106" s="4">
        <v>62</v>
      </c>
      <c r="Q106" s="4">
        <f t="shared" si="8"/>
        <v>0.82432432432432434</v>
      </c>
      <c r="R106" s="8">
        <f t="shared" si="1"/>
        <v>0.57702702702702702</v>
      </c>
      <c r="S106" s="8">
        <f t="shared" si="2"/>
        <v>-0.57702702702702702</v>
      </c>
      <c r="T106" s="8">
        <f t="shared" si="6"/>
        <v>80.404932432432417</v>
      </c>
      <c r="V106" s="4">
        <v>262.10000000000002</v>
      </c>
      <c r="X106" s="4">
        <f t="shared" si="7"/>
        <v>54027.80000000001</v>
      </c>
      <c r="AA106" s="4">
        <v>9.6025001471440703</v>
      </c>
    </row>
    <row r="107" spans="1:27" s="4" customFormat="1" x14ac:dyDescent="0.25">
      <c r="A107" s="57"/>
      <c r="B107" s="9"/>
      <c r="C107" s="6">
        <v>41953</v>
      </c>
      <c r="D107" s="4">
        <v>6.7</v>
      </c>
      <c r="E107" s="4">
        <v>4</v>
      </c>
      <c r="F107" s="4">
        <v>9.8000000000000007</v>
      </c>
      <c r="G107" s="4">
        <f t="shared" si="3"/>
        <v>878.79999999999984</v>
      </c>
      <c r="J107" s="4">
        <v>0.1</v>
      </c>
      <c r="K107" s="4">
        <f t="shared" si="4"/>
        <v>121.49999999999996</v>
      </c>
      <c r="L107" s="4">
        <v>0.4</v>
      </c>
      <c r="M107" s="4">
        <f t="shared" si="5"/>
        <v>105.4</v>
      </c>
      <c r="N107" s="7">
        <v>-0.30000000000000004</v>
      </c>
      <c r="O107" s="4">
        <f t="shared" si="9"/>
        <v>65.400000000000006</v>
      </c>
      <c r="P107" s="4">
        <v>63</v>
      </c>
      <c r="Q107" s="4">
        <f t="shared" si="8"/>
        <v>0.83310810810810809</v>
      </c>
      <c r="R107" s="8">
        <f t="shared" si="1"/>
        <v>0.33324324324324328</v>
      </c>
      <c r="S107" s="8">
        <f t="shared" si="2"/>
        <v>-0.23324324324324328</v>
      </c>
      <c r="T107" s="8">
        <f t="shared" si="6"/>
        <v>80.171689189189181</v>
      </c>
      <c r="V107" s="4">
        <v>272.2</v>
      </c>
      <c r="X107" s="4">
        <f t="shared" si="7"/>
        <v>54300.000000000007</v>
      </c>
      <c r="AA107" s="4">
        <v>9.5554975314147406</v>
      </c>
    </row>
    <row r="108" spans="1:27" s="4" customFormat="1" x14ac:dyDescent="0.25">
      <c r="A108" s="57"/>
      <c r="B108" s="9"/>
      <c r="C108" s="6">
        <v>41954</v>
      </c>
      <c r="D108" s="4">
        <v>9.4</v>
      </c>
      <c r="E108" s="4">
        <v>4.8</v>
      </c>
      <c r="F108" s="4">
        <v>13.1</v>
      </c>
      <c r="G108" s="4">
        <f t="shared" si="3"/>
        <v>888.19999999999982</v>
      </c>
      <c r="J108" s="4">
        <v>0.7</v>
      </c>
      <c r="K108" s="4">
        <f t="shared" si="4"/>
        <v>122.19999999999996</v>
      </c>
      <c r="L108" s="4">
        <v>0.7</v>
      </c>
      <c r="M108" s="4">
        <f t="shared" si="5"/>
        <v>106.10000000000001</v>
      </c>
      <c r="N108" s="7">
        <v>0</v>
      </c>
      <c r="O108" s="4">
        <f t="shared" si="9"/>
        <v>65.400000000000006</v>
      </c>
      <c r="P108" s="4">
        <v>64</v>
      </c>
      <c r="Q108" s="4">
        <f t="shared" si="8"/>
        <v>0.84189189189189184</v>
      </c>
      <c r="R108" s="8">
        <f t="shared" si="1"/>
        <v>0.58932432432432424</v>
      </c>
      <c r="S108" s="8">
        <f t="shared" si="2"/>
        <v>0.11067567567567571</v>
      </c>
      <c r="T108" s="8">
        <f t="shared" si="6"/>
        <v>80.28236486486486</v>
      </c>
      <c r="V108" s="4">
        <v>229.6</v>
      </c>
      <c r="X108" s="4">
        <f t="shared" si="7"/>
        <v>54529.600000000006</v>
      </c>
      <c r="AA108" s="4">
        <v>9.5090801989006994</v>
      </c>
    </row>
    <row r="109" spans="1:27" s="4" customFormat="1" x14ac:dyDescent="0.25">
      <c r="A109" s="57"/>
      <c r="B109" s="9"/>
      <c r="C109" s="6">
        <v>41955</v>
      </c>
      <c r="D109" s="4">
        <v>10.4</v>
      </c>
      <c r="E109" s="4">
        <v>8.9</v>
      </c>
      <c r="F109" s="4">
        <v>14</v>
      </c>
      <c r="G109" s="4">
        <f t="shared" si="3"/>
        <v>898.5999999999998</v>
      </c>
      <c r="J109" s="4">
        <v>0.2</v>
      </c>
      <c r="K109" s="4">
        <f t="shared" si="4"/>
        <v>122.39999999999996</v>
      </c>
      <c r="L109" s="4">
        <v>1.3</v>
      </c>
      <c r="M109" s="4">
        <f t="shared" si="5"/>
        <v>107.4</v>
      </c>
      <c r="N109" s="7">
        <v>-1.1000000000000001</v>
      </c>
      <c r="O109" s="4">
        <f t="shared" si="9"/>
        <v>64.300000000000011</v>
      </c>
      <c r="P109" s="4">
        <v>65</v>
      </c>
      <c r="Q109" s="4">
        <f t="shared" si="8"/>
        <v>0.8506756756756757</v>
      </c>
      <c r="R109" s="8">
        <f t="shared" ref="R109:R172" si="10">Q109*L109</f>
        <v>1.1058783783783785</v>
      </c>
      <c r="S109" s="8">
        <f t="shared" ref="S109:S172" si="11">J109-R109</f>
        <v>-0.90587837837837859</v>
      </c>
      <c r="T109" s="8">
        <f t="shared" si="6"/>
        <v>79.376486486486485</v>
      </c>
      <c r="V109" s="4">
        <v>700</v>
      </c>
      <c r="X109" s="4">
        <f t="shared" si="7"/>
        <v>55229.600000000006</v>
      </c>
      <c r="AA109" s="4">
        <v>9.4632730844407895</v>
      </c>
    </row>
    <row r="110" spans="1:27" s="4" customFormat="1" x14ac:dyDescent="0.25">
      <c r="A110" s="57"/>
      <c r="B110" s="9"/>
      <c r="C110" s="6">
        <v>41956</v>
      </c>
      <c r="D110" s="4">
        <v>10</v>
      </c>
      <c r="E110" s="4">
        <v>6</v>
      </c>
      <c r="F110" s="4">
        <v>13.4</v>
      </c>
      <c r="G110" s="4">
        <f t="shared" si="3"/>
        <v>908.5999999999998</v>
      </c>
      <c r="J110" s="4">
        <v>0</v>
      </c>
      <c r="K110" s="4">
        <f t="shared" si="4"/>
        <v>122.39999999999996</v>
      </c>
      <c r="L110" s="4">
        <v>0.8</v>
      </c>
      <c r="M110" s="4">
        <f t="shared" si="5"/>
        <v>108.2</v>
      </c>
      <c r="N110" s="7">
        <v>-0.8</v>
      </c>
      <c r="O110" s="4">
        <f t="shared" si="9"/>
        <v>63.500000000000014</v>
      </c>
      <c r="P110" s="4">
        <v>66</v>
      </c>
      <c r="Q110" s="4">
        <f t="shared" si="8"/>
        <v>0.85945945945945945</v>
      </c>
      <c r="R110" s="8">
        <f t="shared" si="10"/>
        <v>0.68756756756756765</v>
      </c>
      <c r="S110" s="8">
        <f t="shared" si="11"/>
        <v>-0.68756756756756765</v>
      </c>
      <c r="T110" s="8">
        <f t="shared" si="6"/>
        <v>78.688918918918915</v>
      </c>
      <c r="V110" s="4">
        <v>561.79999999999995</v>
      </c>
      <c r="X110" s="4">
        <f t="shared" si="7"/>
        <v>55791.400000000009</v>
      </c>
      <c r="AA110" s="4">
        <v>9.4181016683168792</v>
      </c>
    </row>
    <row r="111" spans="1:27" s="4" customFormat="1" x14ac:dyDescent="0.25">
      <c r="A111" s="57"/>
      <c r="B111" s="9"/>
      <c r="C111" s="6">
        <v>41957</v>
      </c>
      <c r="D111" s="4">
        <v>10.4</v>
      </c>
      <c r="E111" s="4">
        <v>9.6999999999999993</v>
      </c>
      <c r="F111" s="4">
        <v>11.6</v>
      </c>
      <c r="G111" s="4">
        <f t="shared" ref="G111:G174" si="12">G110+D111</f>
        <v>918.99999999999977</v>
      </c>
      <c r="J111" s="4">
        <v>4.5</v>
      </c>
      <c r="K111" s="4">
        <f t="shared" ref="K111:K174" si="13">K110+J111</f>
        <v>126.89999999999996</v>
      </c>
      <c r="L111" s="4">
        <v>0.4</v>
      </c>
      <c r="M111" s="4">
        <f t="shared" ref="M111:M174" si="14">M110+L111</f>
        <v>108.60000000000001</v>
      </c>
      <c r="N111" s="4">
        <v>4.0999999999999996</v>
      </c>
      <c r="O111" s="4">
        <f t="shared" si="9"/>
        <v>67.600000000000009</v>
      </c>
      <c r="P111" s="4">
        <v>67</v>
      </c>
      <c r="Q111" s="4">
        <f t="shared" si="8"/>
        <v>0.8682432432432432</v>
      </c>
      <c r="R111" s="8">
        <f t="shared" si="10"/>
        <v>0.3472972972972973</v>
      </c>
      <c r="S111" s="8">
        <f t="shared" si="11"/>
        <v>4.1527027027027028</v>
      </c>
      <c r="T111" s="8">
        <f t="shared" ref="T111:T174" si="15">MIN(138.9,(T110+S111))</f>
        <v>82.841621621621613</v>
      </c>
      <c r="V111" s="4">
        <v>203.5</v>
      </c>
      <c r="X111" s="4">
        <f t="shared" ref="X111:X174" si="16">X110+V111</f>
        <v>55994.900000000009</v>
      </c>
      <c r="AA111" s="4">
        <v>9.3735919539195294</v>
      </c>
    </row>
    <row r="112" spans="1:27" s="4" customFormat="1" x14ac:dyDescent="0.25">
      <c r="A112" s="57"/>
      <c r="B112" s="9"/>
      <c r="C112" s="6">
        <v>41958</v>
      </c>
      <c r="D112" s="4">
        <v>10</v>
      </c>
      <c r="E112" s="4">
        <v>9.1</v>
      </c>
      <c r="F112" s="4">
        <v>12.2</v>
      </c>
      <c r="G112" s="4">
        <f t="shared" si="12"/>
        <v>928.99999999999977</v>
      </c>
      <c r="J112" s="4">
        <v>1</v>
      </c>
      <c r="K112" s="4">
        <f t="shared" si="13"/>
        <v>127.89999999999996</v>
      </c>
      <c r="L112" s="4">
        <v>0.6</v>
      </c>
      <c r="M112" s="4">
        <f t="shared" si="14"/>
        <v>109.2</v>
      </c>
      <c r="N112" s="4">
        <v>0.4</v>
      </c>
      <c r="O112" s="4">
        <f t="shared" si="9"/>
        <v>68.000000000000014</v>
      </c>
      <c r="P112" s="4">
        <v>68</v>
      </c>
      <c r="Q112" s="4">
        <f t="shared" si="8"/>
        <v>0.87702702702702706</v>
      </c>
      <c r="R112" s="8">
        <f t="shared" si="10"/>
        <v>0.52621621621621617</v>
      </c>
      <c r="S112" s="8">
        <f t="shared" si="11"/>
        <v>0.47378378378378383</v>
      </c>
      <c r="T112" s="8">
        <f t="shared" si="15"/>
        <v>83.3154054054054</v>
      </c>
      <c r="V112" s="4">
        <v>201</v>
      </c>
      <c r="X112" s="4">
        <f t="shared" si="16"/>
        <v>56195.900000000009</v>
      </c>
      <c r="AA112" s="4">
        <v>9.3297704421394307</v>
      </c>
    </row>
    <row r="113" spans="1:27" s="4" customFormat="1" x14ac:dyDescent="0.25">
      <c r="A113" s="57"/>
      <c r="B113" s="9"/>
      <c r="C113" s="6">
        <v>41959</v>
      </c>
      <c r="D113" s="4">
        <v>8.9</v>
      </c>
      <c r="E113" s="4">
        <v>8.1</v>
      </c>
      <c r="F113" s="4">
        <v>10.3</v>
      </c>
      <c r="G113" s="4">
        <f t="shared" si="12"/>
        <v>937.89999999999975</v>
      </c>
      <c r="J113" s="4">
        <v>7.2</v>
      </c>
      <c r="K113" s="4">
        <f t="shared" si="13"/>
        <v>135.09999999999997</v>
      </c>
      <c r="L113" s="4">
        <v>0.6</v>
      </c>
      <c r="M113" s="4">
        <f t="shared" si="14"/>
        <v>109.8</v>
      </c>
      <c r="N113" s="4">
        <v>6.6000000000000005</v>
      </c>
      <c r="O113" s="4">
        <f t="shared" si="9"/>
        <v>74.600000000000009</v>
      </c>
      <c r="P113" s="4">
        <v>69</v>
      </c>
      <c r="Q113" s="4">
        <f t="shared" si="8"/>
        <v>0.88581081081081081</v>
      </c>
      <c r="R113" s="8">
        <f t="shared" si="10"/>
        <v>0.53148648648648644</v>
      </c>
      <c r="S113" s="8">
        <f t="shared" si="11"/>
        <v>6.6685135135135134</v>
      </c>
      <c r="T113" s="8">
        <f t="shared" si="15"/>
        <v>89.983918918918917</v>
      </c>
      <c r="V113" s="4">
        <v>142.30000000000001</v>
      </c>
      <c r="X113" s="4">
        <f t="shared" si="16"/>
        <v>56338.200000000012</v>
      </c>
      <c r="AA113" s="4">
        <v>9.2866641023712209</v>
      </c>
    </row>
    <row r="114" spans="1:27" s="4" customFormat="1" x14ac:dyDescent="0.25">
      <c r="A114" s="57"/>
      <c r="B114" s="9"/>
      <c r="C114" s="6">
        <v>41960</v>
      </c>
      <c r="D114" s="4">
        <v>8.6</v>
      </c>
      <c r="E114" s="4">
        <v>8.1999999999999993</v>
      </c>
      <c r="F114" s="4">
        <v>9.6999999999999993</v>
      </c>
      <c r="G114" s="4">
        <f t="shared" si="12"/>
        <v>946.49999999999977</v>
      </c>
      <c r="J114" s="4">
        <v>6.8</v>
      </c>
      <c r="K114" s="4">
        <f t="shared" si="13"/>
        <v>141.89999999999998</v>
      </c>
      <c r="L114" s="4">
        <v>0.3</v>
      </c>
      <c r="M114" s="4">
        <f t="shared" si="14"/>
        <v>110.1</v>
      </c>
      <c r="N114" s="4">
        <v>6.5</v>
      </c>
      <c r="O114" s="4">
        <f t="shared" si="9"/>
        <v>81.100000000000009</v>
      </c>
      <c r="P114" s="4">
        <v>70</v>
      </c>
      <c r="Q114" s="4">
        <f t="shared" si="8"/>
        <v>0.89459459459459456</v>
      </c>
      <c r="R114" s="8">
        <f t="shared" si="10"/>
        <v>0.26837837837837836</v>
      </c>
      <c r="S114" s="8">
        <f t="shared" si="11"/>
        <v>6.5316216216216212</v>
      </c>
      <c r="T114" s="8">
        <f t="shared" si="15"/>
        <v>96.515540540540542</v>
      </c>
      <c r="V114" s="4">
        <v>151.80000000000001</v>
      </c>
      <c r="X114" s="4">
        <f t="shared" si="16"/>
        <v>56490.000000000015</v>
      </c>
      <c r="AA114" s="4">
        <v>9.2443003400289498</v>
      </c>
    </row>
    <row r="115" spans="1:27" s="4" customFormat="1" x14ac:dyDescent="0.25">
      <c r="A115" s="57"/>
      <c r="B115" s="9"/>
      <c r="C115" s="6">
        <v>41961</v>
      </c>
      <c r="D115" s="4">
        <v>8.1999999999999993</v>
      </c>
      <c r="E115" s="4">
        <v>7.7</v>
      </c>
      <c r="F115" s="4">
        <v>9.9</v>
      </c>
      <c r="G115" s="4">
        <f t="shared" si="12"/>
        <v>954.69999999999982</v>
      </c>
      <c r="J115" s="4">
        <v>2</v>
      </c>
      <c r="K115" s="4">
        <f t="shared" si="13"/>
        <v>143.89999999999998</v>
      </c>
      <c r="L115" s="4">
        <v>0.3</v>
      </c>
      <c r="M115" s="4">
        <f t="shared" si="14"/>
        <v>110.39999999999999</v>
      </c>
      <c r="N115" s="4">
        <v>1.7</v>
      </c>
      <c r="O115" s="4">
        <f t="shared" si="9"/>
        <v>82.800000000000011</v>
      </c>
      <c r="P115" s="4">
        <v>71</v>
      </c>
      <c r="Q115" s="4">
        <f t="shared" si="8"/>
        <v>0.90337837837837831</v>
      </c>
      <c r="R115" s="8">
        <f t="shared" si="10"/>
        <v>0.27101351351351349</v>
      </c>
      <c r="S115" s="8">
        <f t="shared" si="11"/>
        <v>1.7289864864864866</v>
      </c>
      <c r="T115" s="8">
        <f t="shared" si="15"/>
        <v>98.244527027027033</v>
      </c>
      <c r="V115" s="4">
        <v>124.2</v>
      </c>
      <c r="X115" s="4">
        <f t="shared" si="16"/>
        <v>56614.200000000012</v>
      </c>
      <c r="AA115" s="4">
        <v>9.2027069604874896</v>
      </c>
    </row>
    <row r="116" spans="1:27" s="4" customFormat="1" x14ac:dyDescent="0.25">
      <c r="A116" s="57"/>
      <c r="B116" s="9"/>
      <c r="C116" s="6">
        <v>41962</v>
      </c>
      <c r="D116" s="4">
        <v>7.1</v>
      </c>
      <c r="E116" s="4">
        <v>5.7</v>
      </c>
      <c r="F116" s="4">
        <v>8.3000000000000007</v>
      </c>
      <c r="G116" s="4">
        <f t="shared" si="12"/>
        <v>961.79999999999984</v>
      </c>
      <c r="J116" s="4">
        <v>0.2</v>
      </c>
      <c r="K116" s="4">
        <f t="shared" si="13"/>
        <v>144.09999999999997</v>
      </c>
      <c r="L116" s="4">
        <v>0.2</v>
      </c>
      <c r="M116" s="4">
        <f t="shared" si="14"/>
        <v>110.6</v>
      </c>
      <c r="N116" s="7">
        <v>0</v>
      </c>
      <c r="O116" s="4">
        <f t="shared" si="9"/>
        <v>82.800000000000011</v>
      </c>
      <c r="P116" s="4">
        <v>72</v>
      </c>
      <c r="Q116" s="4">
        <f t="shared" si="8"/>
        <v>0.91216216216216217</v>
      </c>
      <c r="R116" s="8">
        <f t="shared" si="10"/>
        <v>0.18243243243243246</v>
      </c>
      <c r="S116" s="8">
        <f t="shared" si="11"/>
        <v>1.7567567567567555E-2</v>
      </c>
      <c r="T116" s="8">
        <f t="shared" si="15"/>
        <v>98.2620945945946</v>
      </c>
      <c r="V116" s="4">
        <v>210.8</v>
      </c>
      <c r="X116" s="4">
        <f t="shared" si="16"/>
        <v>56825.000000000015</v>
      </c>
      <c r="AA116" s="4">
        <v>9.1619121293816601</v>
      </c>
    </row>
    <row r="117" spans="1:27" s="4" customFormat="1" x14ac:dyDescent="0.25">
      <c r="A117" s="57"/>
      <c r="B117" s="9"/>
      <c r="C117" s="6">
        <v>41963</v>
      </c>
      <c r="D117" s="4">
        <v>7.9</v>
      </c>
      <c r="E117" s="4">
        <v>6.4</v>
      </c>
      <c r="F117" s="4">
        <v>10</v>
      </c>
      <c r="G117" s="4">
        <f t="shared" si="12"/>
        <v>969.69999999999982</v>
      </c>
      <c r="J117" s="4">
        <v>0.1</v>
      </c>
      <c r="K117" s="4">
        <f t="shared" si="13"/>
        <v>144.19999999999996</v>
      </c>
      <c r="L117" s="4">
        <v>0.3</v>
      </c>
      <c r="M117" s="4">
        <f t="shared" si="14"/>
        <v>110.89999999999999</v>
      </c>
      <c r="N117" s="7">
        <v>-0.19999999999999998</v>
      </c>
      <c r="O117" s="4">
        <f t="shared" si="9"/>
        <v>82.600000000000009</v>
      </c>
      <c r="P117" s="4">
        <v>73</v>
      </c>
      <c r="Q117" s="4">
        <f t="shared" si="8"/>
        <v>0.92094594594594592</v>
      </c>
      <c r="R117" s="8">
        <f t="shared" si="10"/>
        <v>0.27628378378378377</v>
      </c>
      <c r="S117" s="8">
        <f t="shared" si="11"/>
        <v>-0.17628378378378376</v>
      </c>
      <c r="T117" s="8">
        <f t="shared" si="15"/>
        <v>98.085810810810813</v>
      </c>
      <c r="V117" s="4">
        <v>241.4</v>
      </c>
      <c r="X117" s="4">
        <f t="shared" si="16"/>
        <v>57066.400000000016</v>
      </c>
      <c r="AA117" s="4">
        <v>9.1219443292142106</v>
      </c>
    </row>
    <row r="118" spans="1:27" s="4" customFormat="1" x14ac:dyDescent="0.25">
      <c r="A118" s="57"/>
      <c r="B118" s="9"/>
      <c r="C118" s="6">
        <v>41964</v>
      </c>
      <c r="D118" s="4">
        <v>7.9</v>
      </c>
      <c r="E118" s="4">
        <v>4.0999999999999996</v>
      </c>
      <c r="F118" s="4">
        <v>11.4</v>
      </c>
      <c r="G118" s="4">
        <f t="shared" si="12"/>
        <v>977.5999999999998</v>
      </c>
      <c r="J118" s="4">
        <v>0.3</v>
      </c>
      <c r="K118" s="4">
        <f t="shared" si="13"/>
        <v>144.49999999999997</v>
      </c>
      <c r="L118" s="4">
        <v>0.9</v>
      </c>
      <c r="M118" s="4">
        <f t="shared" si="14"/>
        <v>111.8</v>
      </c>
      <c r="N118" s="7">
        <v>-0.60000000000000009</v>
      </c>
      <c r="O118" s="4">
        <f t="shared" si="9"/>
        <v>82.000000000000014</v>
      </c>
      <c r="P118" s="4">
        <v>74</v>
      </c>
      <c r="Q118" s="4">
        <f t="shared" ref="Q118:Q126" si="17">0.35+((P118-8)/74)*(1-0.35)</f>
        <v>0.92972972972972967</v>
      </c>
      <c r="R118" s="8">
        <f t="shared" si="10"/>
        <v>0.83675675675675676</v>
      </c>
      <c r="S118" s="8">
        <f t="shared" si="11"/>
        <v>-0.53675675675675683</v>
      </c>
      <c r="T118" s="8">
        <f t="shared" si="15"/>
        <v>97.549054054054054</v>
      </c>
      <c r="V118" s="4">
        <v>569</v>
      </c>
      <c r="X118" s="4">
        <f t="shared" si="16"/>
        <v>57635.400000000016</v>
      </c>
      <c r="AA118" s="4">
        <v>9.08283231224625</v>
      </c>
    </row>
    <row r="119" spans="1:27" s="4" customFormat="1" x14ac:dyDescent="0.25">
      <c r="A119" s="57"/>
      <c r="B119" s="9"/>
      <c r="C119" s="6">
        <v>41965</v>
      </c>
      <c r="D119" s="4">
        <v>10</v>
      </c>
      <c r="E119" s="4">
        <v>6</v>
      </c>
      <c r="F119" s="4">
        <v>14.5</v>
      </c>
      <c r="G119" s="4">
        <f t="shared" si="12"/>
        <v>987.5999999999998</v>
      </c>
      <c r="J119" s="4">
        <v>0.2</v>
      </c>
      <c r="K119" s="4">
        <f t="shared" si="13"/>
        <v>144.69999999999996</v>
      </c>
      <c r="L119" s="4">
        <v>0.7</v>
      </c>
      <c r="M119" s="4">
        <f t="shared" si="14"/>
        <v>112.5</v>
      </c>
      <c r="N119" s="7">
        <v>-0.49999999999999994</v>
      </c>
      <c r="O119" s="4">
        <f t="shared" si="9"/>
        <v>81.500000000000014</v>
      </c>
      <c r="P119" s="4">
        <v>75</v>
      </c>
      <c r="Q119" s="4">
        <f t="shared" si="17"/>
        <v>0.93851351351351353</v>
      </c>
      <c r="R119" s="8">
        <f t="shared" si="10"/>
        <v>0.65695945945945944</v>
      </c>
      <c r="S119" s="8">
        <f t="shared" si="11"/>
        <v>-0.45695945945945943</v>
      </c>
      <c r="T119" s="8">
        <f t="shared" si="15"/>
        <v>97.092094594594599</v>
      </c>
      <c r="V119" s="4">
        <v>292.60000000000002</v>
      </c>
      <c r="X119" s="4">
        <f t="shared" si="16"/>
        <v>57928.000000000015</v>
      </c>
      <c r="AA119" s="4">
        <v>9.0446050496683004</v>
      </c>
    </row>
    <row r="120" spans="1:27" s="4" customFormat="1" x14ac:dyDescent="0.25">
      <c r="A120" s="57"/>
      <c r="B120" s="9"/>
      <c r="C120" s="6">
        <v>41966</v>
      </c>
      <c r="D120" s="4">
        <v>11.9</v>
      </c>
      <c r="E120" s="4">
        <v>7.8</v>
      </c>
      <c r="F120" s="4">
        <v>16.2</v>
      </c>
      <c r="G120" s="4">
        <f t="shared" si="12"/>
        <v>999.49999999999977</v>
      </c>
      <c r="J120" s="4">
        <v>0.2</v>
      </c>
      <c r="K120" s="4">
        <f t="shared" si="13"/>
        <v>144.89999999999995</v>
      </c>
      <c r="L120" s="4">
        <v>0.9</v>
      </c>
      <c r="M120" s="4">
        <f t="shared" si="14"/>
        <v>113.4</v>
      </c>
      <c r="N120" s="7">
        <v>-0.7</v>
      </c>
      <c r="O120" s="4">
        <f t="shared" si="9"/>
        <v>80.800000000000011</v>
      </c>
      <c r="P120" s="4">
        <v>76</v>
      </c>
      <c r="Q120" s="4">
        <f t="shared" si="17"/>
        <v>0.94729729729729728</v>
      </c>
      <c r="R120" s="8">
        <f t="shared" si="10"/>
        <v>0.85256756756756757</v>
      </c>
      <c r="S120" s="8">
        <f t="shared" si="11"/>
        <v>-0.65256756756756751</v>
      </c>
      <c r="T120" s="8">
        <f t="shared" si="15"/>
        <v>96.439527027027026</v>
      </c>
      <c r="V120" s="4">
        <v>527</v>
      </c>
      <c r="X120" s="4">
        <f t="shared" si="16"/>
        <v>58455.000000000015</v>
      </c>
      <c r="AA120" s="4">
        <v>9.0072916770767009</v>
      </c>
    </row>
    <row r="121" spans="1:27" s="4" customFormat="1" x14ac:dyDescent="0.25">
      <c r="A121" s="57"/>
      <c r="B121" s="9"/>
      <c r="C121" s="6">
        <v>41967</v>
      </c>
      <c r="D121" s="4">
        <v>10.9</v>
      </c>
      <c r="E121" s="4">
        <v>10.6</v>
      </c>
      <c r="F121" s="4">
        <v>11.3</v>
      </c>
      <c r="G121" s="4">
        <f t="shared" si="12"/>
        <v>1010.3999999999997</v>
      </c>
      <c r="J121" s="4">
        <v>0.1</v>
      </c>
      <c r="K121" s="4">
        <f t="shared" si="13"/>
        <v>144.99999999999994</v>
      </c>
      <c r="L121" s="4">
        <v>0.3</v>
      </c>
      <c r="M121" s="4">
        <f t="shared" si="14"/>
        <v>113.7</v>
      </c>
      <c r="N121" s="7">
        <v>-0.19999999999999998</v>
      </c>
      <c r="O121" s="4">
        <f t="shared" si="9"/>
        <v>80.600000000000009</v>
      </c>
      <c r="P121" s="4">
        <v>77</v>
      </c>
      <c r="Q121" s="4">
        <f t="shared" si="17"/>
        <v>0.95608108108108114</v>
      </c>
      <c r="R121" s="8">
        <f t="shared" si="10"/>
        <v>0.28682432432432431</v>
      </c>
      <c r="S121" s="8">
        <f t="shared" si="11"/>
        <v>-0.1868243243243243</v>
      </c>
      <c r="T121" s="8">
        <f t="shared" si="15"/>
        <v>96.252702702702706</v>
      </c>
      <c r="V121" s="4">
        <v>112.1</v>
      </c>
      <c r="X121" s="4">
        <f t="shared" si="16"/>
        <v>58567.100000000013</v>
      </c>
      <c r="AA121" s="4">
        <v>8.9709214363099505</v>
      </c>
    </row>
    <row r="122" spans="1:27" s="4" customFormat="1" x14ac:dyDescent="0.25">
      <c r="A122" s="57"/>
      <c r="B122" s="9"/>
      <c r="C122" s="6">
        <v>41968</v>
      </c>
      <c r="D122" s="4">
        <v>10.9</v>
      </c>
      <c r="E122" s="4">
        <v>10.1</v>
      </c>
      <c r="F122" s="4">
        <v>11.7</v>
      </c>
      <c r="G122" s="4">
        <f t="shared" si="12"/>
        <v>1021.2999999999997</v>
      </c>
      <c r="J122" s="4">
        <v>14</v>
      </c>
      <c r="K122" s="4">
        <f t="shared" si="13"/>
        <v>158.99999999999994</v>
      </c>
      <c r="L122" s="4">
        <v>0.3</v>
      </c>
      <c r="M122" s="4">
        <f t="shared" si="14"/>
        <v>114</v>
      </c>
      <c r="N122" s="4">
        <v>13.7</v>
      </c>
      <c r="O122" s="4">
        <f t="shared" si="9"/>
        <v>94.300000000000011</v>
      </c>
      <c r="P122" s="4">
        <v>78</v>
      </c>
      <c r="Q122" s="4">
        <f t="shared" si="17"/>
        <v>0.96486486486486489</v>
      </c>
      <c r="R122" s="8">
        <f t="shared" si="10"/>
        <v>0.28945945945945944</v>
      </c>
      <c r="S122" s="8">
        <f t="shared" si="11"/>
        <v>13.71054054054054</v>
      </c>
      <c r="T122" s="8">
        <f t="shared" si="15"/>
        <v>109.96324324324324</v>
      </c>
      <c r="V122" s="4">
        <v>129.19999999999999</v>
      </c>
      <c r="X122" s="4">
        <f t="shared" si="16"/>
        <v>58696.30000000001</v>
      </c>
      <c r="AA122" s="4">
        <v>8.9355236137305099</v>
      </c>
    </row>
    <row r="123" spans="1:27" s="4" customFormat="1" x14ac:dyDescent="0.25">
      <c r="A123" s="57"/>
      <c r="B123" s="9"/>
      <c r="C123" s="6">
        <v>41969</v>
      </c>
      <c r="D123" s="4">
        <v>11</v>
      </c>
      <c r="E123" s="4">
        <v>9.9</v>
      </c>
      <c r="F123" s="4">
        <v>13.1</v>
      </c>
      <c r="G123" s="4">
        <f t="shared" si="12"/>
        <v>1032.2999999999997</v>
      </c>
      <c r="J123" s="4">
        <v>0.3</v>
      </c>
      <c r="K123" s="4">
        <f t="shared" si="13"/>
        <v>159.29999999999995</v>
      </c>
      <c r="L123" s="4">
        <v>0.3</v>
      </c>
      <c r="M123" s="4">
        <f t="shared" si="14"/>
        <v>114.3</v>
      </c>
      <c r="N123" s="7">
        <v>0</v>
      </c>
      <c r="O123" s="4">
        <f t="shared" si="9"/>
        <v>94.300000000000011</v>
      </c>
      <c r="P123" s="4">
        <v>79</v>
      </c>
      <c r="Q123" s="4">
        <f t="shared" si="17"/>
        <v>0.97364864864864864</v>
      </c>
      <c r="R123" s="8">
        <f t="shared" si="10"/>
        <v>0.29209459459459458</v>
      </c>
      <c r="S123" s="8">
        <f t="shared" si="11"/>
        <v>7.9054054054054079E-3</v>
      </c>
      <c r="T123" s="8">
        <f t="shared" si="15"/>
        <v>109.97114864864865</v>
      </c>
      <c r="V123" s="4">
        <v>137.69999999999999</v>
      </c>
      <c r="X123" s="4">
        <f t="shared" si="16"/>
        <v>58834.000000000007</v>
      </c>
      <c r="AA123" s="4">
        <v>8.9011274750711706</v>
      </c>
    </row>
    <row r="124" spans="1:27" s="4" customFormat="1" x14ac:dyDescent="0.25">
      <c r="A124" s="57"/>
      <c r="B124" s="9"/>
      <c r="C124" s="6">
        <v>41970</v>
      </c>
      <c r="D124" s="4">
        <v>9</v>
      </c>
      <c r="E124" s="4">
        <v>6.3</v>
      </c>
      <c r="F124" s="4">
        <v>12.8</v>
      </c>
      <c r="G124" s="4">
        <f t="shared" si="12"/>
        <v>1041.2999999999997</v>
      </c>
      <c r="J124" s="4">
        <v>0.3</v>
      </c>
      <c r="K124" s="4">
        <f t="shared" si="13"/>
        <v>159.59999999999997</v>
      </c>
      <c r="L124" s="4">
        <v>0.5</v>
      </c>
      <c r="M124" s="4">
        <f t="shared" si="14"/>
        <v>114.8</v>
      </c>
      <c r="N124" s="7">
        <v>-0.2</v>
      </c>
      <c r="O124" s="4">
        <f t="shared" si="9"/>
        <v>94.100000000000009</v>
      </c>
      <c r="P124" s="4">
        <v>80</v>
      </c>
      <c r="Q124" s="4">
        <f t="shared" si="17"/>
        <v>0.9824324324324325</v>
      </c>
      <c r="R124" s="8">
        <f t="shared" si="10"/>
        <v>0.49121621621621625</v>
      </c>
      <c r="S124" s="8">
        <f t="shared" si="11"/>
        <v>-0.19121621621621626</v>
      </c>
      <c r="T124" s="8">
        <f t="shared" si="15"/>
        <v>109.77993243243243</v>
      </c>
      <c r="V124" s="4">
        <v>378.5</v>
      </c>
      <c r="X124" s="4">
        <f t="shared" si="16"/>
        <v>59212.500000000007</v>
      </c>
      <c r="AA124" s="4">
        <v>8.8677621969999993</v>
      </c>
    </row>
    <row r="125" spans="1:27" s="4" customFormat="1" x14ac:dyDescent="0.25">
      <c r="A125" s="57"/>
      <c r="B125" s="9"/>
      <c r="C125" s="6">
        <v>41971</v>
      </c>
      <c r="D125" s="4">
        <v>12.4</v>
      </c>
      <c r="E125" s="4">
        <v>7.8</v>
      </c>
      <c r="F125" s="4">
        <v>15.8</v>
      </c>
      <c r="G125" s="4">
        <f t="shared" si="12"/>
        <v>1053.6999999999998</v>
      </c>
      <c r="J125" s="4">
        <v>0.4</v>
      </c>
      <c r="K125" s="4">
        <f t="shared" si="13"/>
        <v>159.99999999999997</v>
      </c>
      <c r="L125" s="4">
        <v>1.1000000000000001</v>
      </c>
      <c r="M125" s="4">
        <f t="shared" si="14"/>
        <v>115.89999999999999</v>
      </c>
      <c r="N125" s="7">
        <v>-0.70000000000000007</v>
      </c>
      <c r="O125" s="4">
        <f t="shared" si="9"/>
        <v>93.4</v>
      </c>
      <c r="P125" s="4">
        <v>81</v>
      </c>
      <c r="Q125" s="4">
        <f t="shared" si="17"/>
        <v>0.99121621621621625</v>
      </c>
      <c r="R125" s="8">
        <f t="shared" si="10"/>
        <v>1.0903378378378379</v>
      </c>
      <c r="S125" s="8">
        <f t="shared" si="11"/>
        <v>-0.69033783783783786</v>
      </c>
      <c r="T125" s="8">
        <f t="shared" si="15"/>
        <v>109.08959459459459</v>
      </c>
      <c r="V125" s="4">
        <v>501.2</v>
      </c>
      <c r="X125" s="4">
        <f t="shared" si="16"/>
        <v>59713.700000000004</v>
      </c>
      <c r="AA125" s="4">
        <v>8.8354567955948298</v>
      </c>
    </row>
    <row r="126" spans="1:27" s="29" customFormat="1" ht="15.75" thickBot="1" x14ac:dyDescent="0.3">
      <c r="A126" s="57"/>
      <c r="B126" s="27"/>
      <c r="C126" s="28">
        <v>41972</v>
      </c>
      <c r="D126" s="29">
        <v>9.5</v>
      </c>
      <c r="E126" s="29">
        <v>8.1</v>
      </c>
      <c r="F126" s="29">
        <v>11.4</v>
      </c>
      <c r="G126" s="29">
        <f t="shared" si="12"/>
        <v>1063.1999999999998</v>
      </c>
      <c r="J126" s="29">
        <v>0</v>
      </c>
      <c r="K126" s="29">
        <f t="shared" si="13"/>
        <v>159.99999999999997</v>
      </c>
      <c r="L126" s="29">
        <v>1</v>
      </c>
      <c r="M126" s="29">
        <f t="shared" si="14"/>
        <v>116.89999999999999</v>
      </c>
      <c r="N126" s="30">
        <v>-1</v>
      </c>
      <c r="O126" s="29">
        <f t="shared" si="9"/>
        <v>92.4</v>
      </c>
      <c r="P126" s="29">
        <v>82</v>
      </c>
      <c r="Q126" s="29">
        <f t="shared" si="17"/>
        <v>1</v>
      </c>
      <c r="R126" s="31">
        <f t="shared" si="10"/>
        <v>1</v>
      </c>
      <c r="S126" s="31">
        <f t="shared" si="11"/>
        <v>-1</v>
      </c>
      <c r="T126" s="31">
        <f t="shared" si="15"/>
        <v>108.08959459459459</v>
      </c>
      <c r="V126" s="29">
        <v>510.5</v>
      </c>
      <c r="W126" s="29">
        <f>(X126/100)/I58</f>
        <v>0.56644281414597442</v>
      </c>
      <c r="X126" s="29">
        <f t="shared" si="16"/>
        <v>60224.200000000004</v>
      </c>
      <c r="AA126" s="29">
        <v>8.8042400519551496</v>
      </c>
    </row>
    <row r="127" spans="1:27" s="4" customFormat="1" x14ac:dyDescent="0.25">
      <c r="A127" s="58" t="s">
        <v>43</v>
      </c>
      <c r="B127" s="12"/>
      <c r="C127" s="6">
        <v>41973</v>
      </c>
      <c r="D127" s="4">
        <v>3.8</v>
      </c>
      <c r="E127" s="4">
        <v>3.5</v>
      </c>
      <c r="F127" s="4">
        <v>7</v>
      </c>
      <c r="G127" s="4">
        <f t="shared" si="12"/>
        <v>1066.9999999999998</v>
      </c>
      <c r="H127" s="4">
        <f>D127</f>
        <v>3.8</v>
      </c>
      <c r="I127" s="13" t="s">
        <v>27</v>
      </c>
      <c r="J127" s="4">
        <v>1</v>
      </c>
      <c r="K127" s="4">
        <f t="shared" si="13"/>
        <v>160.99999999999997</v>
      </c>
      <c r="L127" s="4">
        <v>1</v>
      </c>
      <c r="M127" s="4">
        <f t="shared" si="14"/>
        <v>117.89999999999999</v>
      </c>
      <c r="N127" s="7">
        <v>0</v>
      </c>
      <c r="O127" s="4">
        <f t="shared" si="9"/>
        <v>92.4</v>
      </c>
      <c r="P127" s="4">
        <v>83</v>
      </c>
      <c r="Q127" s="4">
        <v>1</v>
      </c>
      <c r="R127" s="8">
        <f t="shared" si="10"/>
        <v>1</v>
      </c>
      <c r="S127" s="8">
        <f t="shared" si="11"/>
        <v>0</v>
      </c>
      <c r="T127" s="8">
        <f t="shared" si="15"/>
        <v>108.08959459459459</v>
      </c>
      <c r="U127" s="13" t="s">
        <v>28</v>
      </c>
      <c r="V127" s="4">
        <v>233.4</v>
      </c>
      <c r="X127" s="4">
        <f t="shared" si="16"/>
        <v>60457.600000000006</v>
      </c>
      <c r="Y127" s="4">
        <f>V127</f>
        <v>233.4</v>
      </c>
      <c r="Z127" s="13" t="s">
        <v>29</v>
      </c>
      <c r="AA127" s="4">
        <v>8.77414043521817</v>
      </c>
    </row>
    <row r="128" spans="1:27" s="4" customFormat="1" x14ac:dyDescent="0.25">
      <c r="A128" s="58"/>
      <c r="B128" s="12"/>
      <c r="C128" s="6">
        <v>41974</v>
      </c>
      <c r="D128" s="4">
        <v>4.2</v>
      </c>
      <c r="E128" s="4">
        <v>2.9</v>
      </c>
      <c r="F128" s="4">
        <v>6.4</v>
      </c>
      <c r="G128" s="4">
        <f t="shared" si="12"/>
        <v>1071.1999999999998</v>
      </c>
      <c r="H128" s="4">
        <f>H127+D128</f>
        <v>8</v>
      </c>
      <c r="I128" s="4">
        <f>MIN(E127:E217)</f>
        <v>-5.6</v>
      </c>
      <c r="J128" s="4">
        <v>0.8</v>
      </c>
      <c r="K128" s="4">
        <f t="shared" si="13"/>
        <v>161.79999999999998</v>
      </c>
      <c r="L128" s="4">
        <v>0.5</v>
      </c>
      <c r="M128" s="4">
        <f t="shared" si="14"/>
        <v>118.39999999999999</v>
      </c>
      <c r="N128" s="4">
        <v>0.30000000000000004</v>
      </c>
      <c r="O128" s="4">
        <f t="shared" si="9"/>
        <v>92.7</v>
      </c>
      <c r="P128" s="4">
        <v>84</v>
      </c>
      <c r="Q128" s="4">
        <v>1</v>
      </c>
      <c r="R128" s="8">
        <f t="shared" si="10"/>
        <v>0.5</v>
      </c>
      <c r="S128" s="8">
        <f t="shared" si="11"/>
        <v>0.30000000000000004</v>
      </c>
      <c r="T128" s="8">
        <f t="shared" si="15"/>
        <v>108.38959459459458</v>
      </c>
      <c r="U128" s="4">
        <v>48</v>
      </c>
      <c r="V128" s="4">
        <v>85.7</v>
      </c>
      <c r="X128" s="4">
        <f t="shared" si="16"/>
        <v>60543.3</v>
      </c>
      <c r="Y128" s="4">
        <f>Y127+V128</f>
        <v>319.10000000000002</v>
      </c>
      <c r="Z128" s="4">
        <v>27777.000000000004</v>
      </c>
      <c r="AA128" s="4">
        <v>8.7451860232837699</v>
      </c>
    </row>
    <row r="129" spans="1:27" s="4" customFormat="1" x14ac:dyDescent="0.25">
      <c r="A129" s="58"/>
      <c r="B129" s="12"/>
      <c r="C129" s="6">
        <v>41975</v>
      </c>
      <c r="D129" s="4">
        <v>3.5</v>
      </c>
      <c r="E129" s="4">
        <v>2.4</v>
      </c>
      <c r="F129" s="4">
        <v>4.4000000000000004</v>
      </c>
      <c r="G129" s="4">
        <f t="shared" si="12"/>
        <v>1074.6999999999998</v>
      </c>
      <c r="H129" s="4">
        <f t="shared" ref="H129:H191" si="18">H128+D129</f>
        <v>11.5</v>
      </c>
      <c r="I129" s="13" t="s">
        <v>30</v>
      </c>
      <c r="J129" s="4">
        <v>1.5</v>
      </c>
      <c r="K129" s="4">
        <f t="shared" si="13"/>
        <v>163.29999999999998</v>
      </c>
      <c r="L129" s="4">
        <v>0.3</v>
      </c>
      <c r="M129" s="4">
        <f t="shared" si="14"/>
        <v>118.69999999999999</v>
      </c>
      <c r="N129" s="4">
        <v>1.2</v>
      </c>
      <c r="O129" s="4">
        <f t="shared" si="9"/>
        <v>93.9</v>
      </c>
      <c r="P129" s="4">
        <v>85</v>
      </c>
      <c r="Q129" s="4">
        <v>1</v>
      </c>
      <c r="R129" s="8">
        <f t="shared" si="10"/>
        <v>0.3</v>
      </c>
      <c r="S129" s="8">
        <f t="shared" si="11"/>
        <v>1.2</v>
      </c>
      <c r="T129" s="8">
        <f t="shared" si="15"/>
        <v>109.58959459459459</v>
      </c>
      <c r="U129" s="13" t="s">
        <v>31</v>
      </c>
      <c r="V129" s="4">
        <v>98.1</v>
      </c>
      <c r="X129" s="4">
        <f t="shared" si="16"/>
        <v>60641.4</v>
      </c>
      <c r="Y129" s="4">
        <f t="shared" ref="Y129:Y192" si="19">Y128+V129</f>
        <v>417.20000000000005</v>
      </c>
      <c r="Z129" s="13" t="s">
        <v>32</v>
      </c>
      <c r="AA129" s="4">
        <v>8.7174044215913895</v>
      </c>
    </row>
    <row r="130" spans="1:27" s="4" customFormat="1" x14ac:dyDescent="0.25">
      <c r="A130" s="58"/>
      <c r="B130" s="12"/>
      <c r="C130" s="6">
        <v>41976</v>
      </c>
      <c r="D130" s="4">
        <v>3.2</v>
      </c>
      <c r="E130" s="4">
        <v>3.1</v>
      </c>
      <c r="F130" s="4">
        <v>3.3</v>
      </c>
      <c r="G130" s="4">
        <f t="shared" si="12"/>
        <v>1077.8999999999999</v>
      </c>
      <c r="H130" s="4">
        <f t="shared" si="18"/>
        <v>14.7</v>
      </c>
      <c r="I130" s="4">
        <f>MAX(F127:F217)</f>
        <v>12.9</v>
      </c>
      <c r="J130" s="4">
        <v>0.3</v>
      </c>
      <c r="K130" s="4">
        <f t="shared" si="13"/>
        <v>163.6</v>
      </c>
      <c r="L130" s="4">
        <v>0.3</v>
      </c>
      <c r="M130" s="4">
        <f t="shared" si="14"/>
        <v>118.99999999999999</v>
      </c>
      <c r="N130" s="7">
        <v>0</v>
      </c>
      <c r="O130" s="4">
        <f t="shared" si="9"/>
        <v>93.9</v>
      </c>
      <c r="P130" s="4">
        <v>86</v>
      </c>
      <c r="Q130" s="4">
        <v>1</v>
      </c>
      <c r="R130" s="8">
        <f t="shared" si="10"/>
        <v>0.3</v>
      </c>
      <c r="S130" s="8">
        <f t="shared" si="11"/>
        <v>0</v>
      </c>
      <c r="T130" s="8">
        <f t="shared" si="15"/>
        <v>109.58959459459459</v>
      </c>
      <c r="U130" s="4">
        <v>0</v>
      </c>
      <c r="V130" s="4">
        <v>122.7</v>
      </c>
      <c r="X130" s="4">
        <f t="shared" si="16"/>
        <v>60764.1</v>
      </c>
      <c r="Y130" s="4">
        <f t="shared" si="19"/>
        <v>539.90000000000009</v>
      </c>
      <c r="Z130" s="11">
        <f>(Z128/100)/I140</f>
        <v>0.69217542985297786</v>
      </c>
      <c r="AA130" s="4">
        <v>8.6908226803288606</v>
      </c>
    </row>
    <row r="131" spans="1:27" s="4" customFormat="1" x14ac:dyDescent="0.25">
      <c r="A131" s="58"/>
      <c r="B131" s="12"/>
      <c r="C131" s="6">
        <v>41977</v>
      </c>
      <c r="D131" s="4">
        <v>3.6</v>
      </c>
      <c r="E131" s="4">
        <v>3</v>
      </c>
      <c r="F131" s="4">
        <v>4</v>
      </c>
      <c r="G131" s="4">
        <f t="shared" si="12"/>
        <v>1081.4999999999998</v>
      </c>
      <c r="H131" s="4">
        <f t="shared" si="18"/>
        <v>18.3</v>
      </c>
      <c r="I131" s="13" t="s">
        <v>33</v>
      </c>
      <c r="J131" s="4">
        <v>0.4</v>
      </c>
      <c r="K131" s="4">
        <f t="shared" si="13"/>
        <v>164</v>
      </c>
      <c r="L131" s="4">
        <v>0.1</v>
      </c>
      <c r="M131" s="4">
        <f t="shared" si="14"/>
        <v>119.09999999999998</v>
      </c>
      <c r="N131" s="4">
        <v>0.30000000000000004</v>
      </c>
      <c r="O131" s="4">
        <f t="shared" si="9"/>
        <v>94.2</v>
      </c>
      <c r="P131" s="4">
        <v>87</v>
      </c>
      <c r="Q131" s="4">
        <v>1</v>
      </c>
      <c r="R131" s="8">
        <f t="shared" si="10"/>
        <v>0.1</v>
      </c>
      <c r="S131" s="8">
        <f t="shared" si="11"/>
        <v>0.30000000000000004</v>
      </c>
      <c r="T131" s="8">
        <f t="shared" si="15"/>
        <v>109.88959459459458</v>
      </c>
      <c r="U131" s="13" t="s">
        <v>34</v>
      </c>
      <c r="V131" s="4">
        <v>101.7</v>
      </c>
      <c r="X131" s="4">
        <f t="shared" si="16"/>
        <v>60865.799999999996</v>
      </c>
      <c r="Y131" s="4">
        <f t="shared" si="19"/>
        <v>641.60000000000014</v>
      </c>
      <c r="Z131" s="13" t="s">
        <v>35</v>
      </c>
      <c r="AA131" s="4">
        <v>8.6654672104890906</v>
      </c>
    </row>
    <row r="132" spans="1:27" s="4" customFormat="1" x14ac:dyDescent="0.25">
      <c r="A132" s="58"/>
      <c r="B132" s="12"/>
      <c r="C132" s="6">
        <v>41978</v>
      </c>
      <c r="D132" s="4">
        <v>4.0999999999999996</v>
      </c>
      <c r="E132" s="4">
        <v>3</v>
      </c>
      <c r="F132" s="4">
        <v>4.5</v>
      </c>
      <c r="G132" s="4">
        <f t="shared" si="12"/>
        <v>1085.5999999999997</v>
      </c>
      <c r="H132" s="4">
        <f t="shared" si="18"/>
        <v>22.4</v>
      </c>
      <c r="I132" s="8">
        <f>AVERAGE(D127:D217)</f>
        <v>4.3582417582417579</v>
      </c>
      <c r="J132" s="4">
        <v>0</v>
      </c>
      <c r="K132" s="4">
        <f t="shared" si="13"/>
        <v>164</v>
      </c>
      <c r="L132" s="4">
        <v>0.1</v>
      </c>
      <c r="M132" s="4">
        <f t="shared" si="14"/>
        <v>119.19999999999997</v>
      </c>
      <c r="N132" s="7">
        <v>-0.1</v>
      </c>
      <c r="O132" s="4">
        <f t="shared" si="9"/>
        <v>94.100000000000009</v>
      </c>
      <c r="P132" s="4">
        <v>88</v>
      </c>
      <c r="Q132" s="4">
        <v>1</v>
      </c>
      <c r="R132" s="8">
        <f t="shared" si="10"/>
        <v>0.1</v>
      </c>
      <c r="S132" s="8">
        <f t="shared" si="11"/>
        <v>-0.1</v>
      </c>
      <c r="T132" s="8">
        <f t="shared" si="15"/>
        <v>109.78959459459459</v>
      </c>
      <c r="U132" s="4">
        <v>0</v>
      </c>
      <c r="V132" s="4">
        <v>153.6</v>
      </c>
      <c r="X132" s="4">
        <f t="shared" si="16"/>
        <v>61019.399999999994</v>
      </c>
      <c r="Y132" s="4">
        <f t="shared" si="19"/>
        <v>795.20000000000016</v>
      </c>
      <c r="Z132" s="4">
        <v>89</v>
      </c>
      <c r="AA132" s="4">
        <v>8.6413636992238096</v>
      </c>
    </row>
    <row r="133" spans="1:27" s="4" customFormat="1" x14ac:dyDescent="0.25">
      <c r="A133" s="58"/>
      <c r="B133" s="12"/>
      <c r="C133" s="6">
        <v>41979</v>
      </c>
      <c r="D133" s="4">
        <v>3.7</v>
      </c>
      <c r="E133" s="4">
        <v>3.2</v>
      </c>
      <c r="F133" s="4">
        <v>6</v>
      </c>
      <c r="G133" s="4">
        <f t="shared" si="12"/>
        <v>1089.2999999999997</v>
      </c>
      <c r="H133" s="4">
        <f t="shared" si="18"/>
        <v>26.099999999999998</v>
      </c>
      <c r="I133" s="13" t="s">
        <v>36</v>
      </c>
      <c r="J133" s="4">
        <v>0</v>
      </c>
      <c r="K133" s="4">
        <f t="shared" si="13"/>
        <v>164</v>
      </c>
      <c r="L133" s="4">
        <v>0.6</v>
      </c>
      <c r="M133" s="4">
        <f t="shared" si="14"/>
        <v>119.79999999999997</v>
      </c>
      <c r="N133" s="7">
        <v>-0.6</v>
      </c>
      <c r="O133" s="4">
        <f t="shared" si="9"/>
        <v>93.500000000000014</v>
      </c>
      <c r="P133" s="4">
        <v>89</v>
      </c>
      <c r="Q133" s="4">
        <v>1</v>
      </c>
      <c r="R133" s="8">
        <f t="shared" si="10"/>
        <v>0.6</v>
      </c>
      <c r="S133" s="8">
        <f t="shared" si="11"/>
        <v>-0.6</v>
      </c>
      <c r="T133" s="8">
        <f t="shared" si="15"/>
        <v>109.1895945945946</v>
      </c>
      <c r="U133" s="13" t="s">
        <v>37</v>
      </c>
      <c r="V133" s="4">
        <v>313.7</v>
      </c>
      <c r="X133" s="4">
        <f t="shared" si="16"/>
        <v>61333.099999999991</v>
      </c>
      <c r="Y133" s="4">
        <f t="shared" si="19"/>
        <v>1108.9000000000001</v>
      </c>
      <c r="AA133" s="4">
        <v>8.6185370249744206</v>
      </c>
    </row>
    <row r="134" spans="1:27" s="4" customFormat="1" x14ac:dyDescent="0.25">
      <c r="A134" s="58"/>
      <c r="B134" s="12"/>
      <c r="C134" s="6">
        <v>41980</v>
      </c>
      <c r="D134" s="4">
        <v>2.7</v>
      </c>
      <c r="E134" s="4">
        <v>-2.9</v>
      </c>
      <c r="F134" s="4">
        <v>6.2</v>
      </c>
      <c r="G134" s="4">
        <f t="shared" si="12"/>
        <v>1091.9999999999998</v>
      </c>
      <c r="H134" s="4">
        <f t="shared" si="18"/>
        <v>28.799999999999997</v>
      </c>
      <c r="I134" s="4">
        <v>28</v>
      </c>
      <c r="J134" s="4">
        <v>1.1000000000000001</v>
      </c>
      <c r="K134" s="4">
        <f t="shared" si="13"/>
        <v>165.1</v>
      </c>
      <c r="L134" s="4">
        <v>0.1</v>
      </c>
      <c r="M134" s="4">
        <f t="shared" si="14"/>
        <v>119.89999999999996</v>
      </c>
      <c r="N134" s="4">
        <v>1</v>
      </c>
      <c r="O134" s="4">
        <f t="shared" ref="O134:O185" si="20">O133+N134</f>
        <v>94.500000000000014</v>
      </c>
      <c r="P134" s="4">
        <v>90</v>
      </c>
      <c r="Q134" s="4">
        <v>1</v>
      </c>
      <c r="R134" s="8">
        <f t="shared" si="10"/>
        <v>0.1</v>
      </c>
      <c r="S134" s="8">
        <f t="shared" si="11"/>
        <v>1</v>
      </c>
      <c r="T134" s="8">
        <f t="shared" si="15"/>
        <v>110.1895945945946</v>
      </c>
      <c r="U134" s="8">
        <f>MIN(T127:T217)</f>
        <v>108.08959459459459</v>
      </c>
      <c r="V134" s="4">
        <v>287.60000000000002</v>
      </c>
      <c r="X134" s="4">
        <f t="shared" si="16"/>
        <v>61620.69999999999</v>
      </c>
      <c r="Y134" s="4">
        <f t="shared" si="19"/>
        <v>1396.5</v>
      </c>
      <c r="AA134" s="4">
        <v>8.5970111728871892</v>
      </c>
    </row>
    <row r="135" spans="1:27" s="4" customFormat="1" x14ac:dyDescent="0.25">
      <c r="A135" s="58"/>
      <c r="B135" s="12"/>
      <c r="C135" s="6">
        <v>41981</v>
      </c>
      <c r="D135" s="4">
        <v>4.3</v>
      </c>
      <c r="E135" s="4">
        <v>3.2</v>
      </c>
      <c r="F135" s="4">
        <v>7</v>
      </c>
      <c r="G135" s="4">
        <f t="shared" si="12"/>
        <v>1096.2999999999997</v>
      </c>
      <c r="H135" s="4">
        <f t="shared" si="18"/>
        <v>33.099999999999994</v>
      </c>
      <c r="I135" s="13" t="s">
        <v>38</v>
      </c>
      <c r="J135" s="4">
        <v>1.8</v>
      </c>
      <c r="K135" s="4">
        <f t="shared" si="13"/>
        <v>166.9</v>
      </c>
      <c r="L135" s="4">
        <v>0.3</v>
      </c>
      <c r="M135" s="4">
        <f t="shared" si="14"/>
        <v>120.19999999999996</v>
      </c>
      <c r="N135" s="4">
        <v>1.5</v>
      </c>
      <c r="O135" s="4">
        <f t="shared" si="20"/>
        <v>96.000000000000014</v>
      </c>
      <c r="P135" s="4">
        <v>91</v>
      </c>
      <c r="Q135" s="4">
        <v>1</v>
      </c>
      <c r="R135" s="8">
        <f t="shared" si="10"/>
        <v>0.3</v>
      </c>
      <c r="S135" s="8">
        <f t="shared" si="11"/>
        <v>1.5</v>
      </c>
      <c r="T135" s="8">
        <f t="shared" si="15"/>
        <v>111.6895945945946</v>
      </c>
      <c r="U135" s="13" t="s">
        <v>39</v>
      </c>
      <c r="V135" s="4">
        <v>139.9</v>
      </c>
      <c r="X135" s="4">
        <f t="shared" si="16"/>
        <v>61760.599999999991</v>
      </c>
      <c r="Y135" s="4">
        <f t="shared" si="19"/>
        <v>1536.4</v>
      </c>
      <c r="AA135" s="4">
        <v>8.5768091510434008</v>
      </c>
    </row>
    <row r="136" spans="1:27" s="4" customFormat="1" x14ac:dyDescent="0.25">
      <c r="A136" s="58"/>
      <c r="B136" s="12"/>
      <c r="C136" s="6">
        <v>41982</v>
      </c>
      <c r="D136" s="4">
        <v>2.2999999999999998</v>
      </c>
      <c r="E136" s="4">
        <v>-0.4</v>
      </c>
      <c r="F136" s="4">
        <v>6</v>
      </c>
      <c r="G136" s="4">
        <f t="shared" si="12"/>
        <v>1098.5999999999997</v>
      </c>
      <c r="H136" s="4">
        <f t="shared" si="18"/>
        <v>35.399999999999991</v>
      </c>
      <c r="I136" s="4">
        <v>0</v>
      </c>
      <c r="J136" s="4">
        <v>0.1</v>
      </c>
      <c r="K136" s="4">
        <f t="shared" si="13"/>
        <v>167</v>
      </c>
      <c r="L136" s="4">
        <v>0.5</v>
      </c>
      <c r="M136" s="4">
        <f t="shared" si="14"/>
        <v>120.69999999999996</v>
      </c>
      <c r="N136" s="7">
        <v>-0.4</v>
      </c>
      <c r="O136" s="4">
        <f t="shared" si="20"/>
        <v>95.600000000000009</v>
      </c>
      <c r="P136" s="4">
        <v>92</v>
      </c>
      <c r="Q136" s="4">
        <v>1</v>
      </c>
      <c r="R136" s="8">
        <f t="shared" si="10"/>
        <v>0.5</v>
      </c>
      <c r="S136" s="8">
        <f t="shared" si="11"/>
        <v>-0.4</v>
      </c>
      <c r="T136" s="8">
        <f t="shared" si="15"/>
        <v>111.28959459459459</v>
      </c>
      <c r="U136" s="8">
        <f>MAX(T127:T217)</f>
        <v>138.9</v>
      </c>
      <c r="V136" s="4">
        <v>633.20000000000005</v>
      </c>
      <c r="X136" s="4">
        <f t="shared" si="16"/>
        <v>62393.799999999988</v>
      </c>
      <c r="Y136" s="4">
        <f t="shared" si="19"/>
        <v>2169.6000000000004</v>
      </c>
      <c r="AA136" s="4">
        <v>8.5579529080532897</v>
      </c>
    </row>
    <row r="137" spans="1:27" s="4" customFormat="1" x14ac:dyDescent="0.25">
      <c r="A137" s="58"/>
      <c r="B137" s="9"/>
      <c r="C137" s="6">
        <v>41983</v>
      </c>
      <c r="D137" s="4">
        <v>7.1</v>
      </c>
      <c r="E137" s="4">
        <v>2</v>
      </c>
      <c r="F137" s="4">
        <v>9.1999999999999993</v>
      </c>
      <c r="G137" s="4">
        <f t="shared" si="12"/>
        <v>1105.6999999999996</v>
      </c>
      <c r="H137" s="4">
        <f t="shared" si="18"/>
        <v>42.499999999999993</v>
      </c>
      <c r="I137" s="13" t="s">
        <v>40</v>
      </c>
      <c r="J137" s="4">
        <v>2.1</v>
      </c>
      <c r="K137" s="4">
        <f t="shared" si="13"/>
        <v>169.1</v>
      </c>
      <c r="L137" s="4">
        <v>0</v>
      </c>
      <c r="M137" s="4">
        <f t="shared" si="14"/>
        <v>120.69999999999996</v>
      </c>
      <c r="N137" s="4">
        <v>2.1</v>
      </c>
      <c r="O137" s="4">
        <f t="shared" si="20"/>
        <v>97.7</v>
      </c>
      <c r="P137" s="4">
        <v>93</v>
      </c>
      <c r="Q137" s="4">
        <v>1</v>
      </c>
      <c r="R137" s="8">
        <f t="shared" si="10"/>
        <v>0</v>
      </c>
      <c r="S137" s="8">
        <f t="shared" si="11"/>
        <v>2.1</v>
      </c>
      <c r="T137" s="8">
        <f t="shared" si="15"/>
        <v>113.38959459459458</v>
      </c>
      <c r="U137" s="13" t="s">
        <v>41</v>
      </c>
      <c r="V137" s="4">
        <v>90</v>
      </c>
      <c r="X137" s="4">
        <f t="shared" si="16"/>
        <v>62483.799999999988</v>
      </c>
      <c r="Y137" s="4">
        <f t="shared" si="19"/>
        <v>2259.6000000000004</v>
      </c>
      <c r="AA137" s="4">
        <v>8.5404632525758704</v>
      </c>
    </row>
    <row r="138" spans="1:27" s="4" customFormat="1" x14ac:dyDescent="0.25">
      <c r="A138" s="58"/>
      <c r="B138" s="9"/>
      <c r="C138" s="6">
        <v>41984</v>
      </c>
      <c r="D138" s="4">
        <v>8.1</v>
      </c>
      <c r="E138" s="4">
        <v>6.2</v>
      </c>
      <c r="F138" s="4">
        <v>10.4</v>
      </c>
      <c r="G138" s="4">
        <f t="shared" si="12"/>
        <v>1113.7999999999995</v>
      </c>
      <c r="H138" s="4">
        <f t="shared" si="18"/>
        <v>50.599999999999994</v>
      </c>
      <c r="I138" s="4">
        <v>46</v>
      </c>
      <c r="J138" s="4">
        <v>0.6</v>
      </c>
      <c r="K138" s="4">
        <f t="shared" si="13"/>
        <v>169.7</v>
      </c>
      <c r="L138" s="4">
        <v>1.1000000000000001</v>
      </c>
      <c r="M138" s="4">
        <f t="shared" si="14"/>
        <v>121.79999999999995</v>
      </c>
      <c r="N138" s="7">
        <v>-0.50000000000000011</v>
      </c>
      <c r="O138" s="4">
        <f t="shared" si="20"/>
        <v>97.2</v>
      </c>
      <c r="P138" s="4">
        <v>94</v>
      </c>
      <c r="Q138" s="4">
        <v>1</v>
      </c>
      <c r="R138" s="8">
        <f t="shared" si="10"/>
        <v>1.1000000000000001</v>
      </c>
      <c r="S138" s="8">
        <f t="shared" si="11"/>
        <v>-0.50000000000000011</v>
      </c>
      <c r="T138" s="8">
        <f t="shared" si="15"/>
        <v>112.88959459459458</v>
      </c>
      <c r="U138" s="11">
        <f>AVERAGE(T127:T217)</f>
        <v>131.67136471636462</v>
      </c>
      <c r="V138" s="4">
        <v>290.89999999999998</v>
      </c>
      <c r="X138" s="4">
        <f t="shared" si="16"/>
        <v>62774.69999999999</v>
      </c>
      <c r="Y138" s="4">
        <f t="shared" si="19"/>
        <v>2550.5000000000005</v>
      </c>
      <c r="AA138" s="4">
        <v>8.5243597753343607</v>
      </c>
    </row>
    <row r="139" spans="1:27" s="4" customFormat="1" x14ac:dyDescent="0.25">
      <c r="A139" s="58"/>
      <c r="B139" s="9"/>
      <c r="C139" s="6">
        <v>41985</v>
      </c>
      <c r="D139" s="4">
        <v>9.5</v>
      </c>
      <c r="E139" s="4">
        <v>8.1</v>
      </c>
      <c r="F139" s="4">
        <v>10.3</v>
      </c>
      <c r="G139" s="4">
        <f t="shared" si="12"/>
        <v>1123.2999999999995</v>
      </c>
      <c r="H139" s="4">
        <f t="shared" si="18"/>
        <v>60.099999999999994</v>
      </c>
      <c r="I139" s="13" t="s">
        <v>42</v>
      </c>
      <c r="J139" s="4">
        <v>1.8</v>
      </c>
      <c r="K139" s="4">
        <f t="shared" si="13"/>
        <v>171.5</v>
      </c>
      <c r="L139" s="4">
        <v>0.7</v>
      </c>
      <c r="M139" s="4">
        <f t="shared" si="14"/>
        <v>122.49999999999996</v>
      </c>
      <c r="N139" s="4">
        <v>1.1000000000000001</v>
      </c>
      <c r="O139" s="4">
        <f t="shared" si="20"/>
        <v>98.3</v>
      </c>
      <c r="P139" s="4">
        <v>95</v>
      </c>
      <c r="Q139" s="4">
        <v>1</v>
      </c>
      <c r="R139" s="8">
        <f t="shared" si="10"/>
        <v>0.7</v>
      </c>
      <c r="S139" s="8">
        <f t="shared" si="11"/>
        <v>1.1000000000000001</v>
      </c>
      <c r="T139" s="8">
        <f t="shared" si="15"/>
        <v>113.98959459459458</v>
      </c>
      <c r="U139" s="13" t="s">
        <v>44</v>
      </c>
      <c r="V139" s="4">
        <v>120.9</v>
      </c>
      <c r="X139" s="4">
        <f t="shared" si="16"/>
        <v>62895.599999999991</v>
      </c>
      <c r="Y139" s="4">
        <f t="shared" si="19"/>
        <v>2671.4000000000005</v>
      </c>
      <c r="AA139" s="4">
        <v>8.5096607741975703</v>
      </c>
    </row>
    <row r="140" spans="1:27" s="4" customFormat="1" x14ac:dyDescent="0.25">
      <c r="A140" s="58"/>
      <c r="B140" s="9"/>
      <c r="C140" s="6">
        <v>41986</v>
      </c>
      <c r="D140" s="4">
        <v>7</v>
      </c>
      <c r="E140" s="4">
        <v>5</v>
      </c>
      <c r="F140" s="4">
        <v>9.1999999999999993</v>
      </c>
      <c r="G140" s="4">
        <f t="shared" si="12"/>
        <v>1130.2999999999995</v>
      </c>
      <c r="H140" s="4">
        <f t="shared" si="18"/>
        <v>67.099999999999994</v>
      </c>
      <c r="I140" s="4">
        <v>401.3</v>
      </c>
      <c r="J140" s="4">
        <v>4.3</v>
      </c>
      <c r="K140" s="4">
        <f t="shared" si="13"/>
        <v>175.8</v>
      </c>
      <c r="L140" s="4">
        <v>0.6</v>
      </c>
      <c r="M140" s="4">
        <f t="shared" si="14"/>
        <v>123.09999999999995</v>
      </c>
      <c r="N140" s="4">
        <v>3.6999999999999997</v>
      </c>
      <c r="O140" s="4">
        <f t="shared" si="20"/>
        <v>102</v>
      </c>
      <c r="P140" s="4">
        <v>96</v>
      </c>
      <c r="Q140" s="4">
        <v>1</v>
      </c>
      <c r="R140" s="8">
        <f t="shared" si="10"/>
        <v>0.6</v>
      </c>
      <c r="S140" s="8">
        <f t="shared" si="11"/>
        <v>3.6999999999999997</v>
      </c>
      <c r="T140" s="8">
        <f t="shared" si="15"/>
        <v>117.68959459459458</v>
      </c>
      <c r="U140" s="8">
        <v>23</v>
      </c>
      <c r="V140" s="4">
        <v>96.2</v>
      </c>
      <c r="X140" s="4">
        <f t="shared" si="16"/>
        <v>62991.799999999988</v>
      </c>
      <c r="Y140" s="4">
        <f t="shared" si="19"/>
        <v>2767.6000000000004</v>
      </c>
      <c r="AA140" s="4">
        <v>8.4963831828926306</v>
      </c>
    </row>
    <row r="141" spans="1:27" s="4" customFormat="1" x14ac:dyDescent="0.25">
      <c r="A141" s="58"/>
      <c r="B141" s="12"/>
      <c r="C141" s="6">
        <v>41987</v>
      </c>
      <c r="D141" s="4">
        <v>1.2</v>
      </c>
      <c r="E141" s="4">
        <v>0.3</v>
      </c>
      <c r="F141" s="4">
        <v>3</v>
      </c>
      <c r="G141" s="4">
        <f t="shared" si="12"/>
        <v>1131.4999999999995</v>
      </c>
      <c r="H141" s="4">
        <f t="shared" si="18"/>
        <v>68.3</v>
      </c>
      <c r="J141" s="4">
        <v>0</v>
      </c>
      <c r="K141" s="4">
        <f t="shared" si="13"/>
        <v>175.8</v>
      </c>
      <c r="L141" s="4">
        <v>0.3</v>
      </c>
      <c r="M141" s="4">
        <f t="shared" si="14"/>
        <v>123.39999999999995</v>
      </c>
      <c r="N141" s="7">
        <v>-0.3</v>
      </c>
      <c r="O141" s="4">
        <f t="shared" si="20"/>
        <v>101.7</v>
      </c>
      <c r="P141" s="4">
        <v>97</v>
      </c>
      <c r="Q141" s="4">
        <v>1</v>
      </c>
      <c r="R141" s="8">
        <f t="shared" si="10"/>
        <v>0.3</v>
      </c>
      <c r="S141" s="8">
        <f t="shared" si="11"/>
        <v>-0.3</v>
      </c>
      <c r="T141" s="8">
        <f t="shared" si="15"/>
        <v>117.38959459459458</v>
      </c>
      <c r="V141" s="4">
        <v>368.2</v>
      </c>
      <c r="X141" s="4">
        <f t="shared" si="16"/>
        <v>63359.999999999985</v>
      </c>
      <c r="Y141" s="4">
        <f t="shared" si="19"/>
        <v>3135.8</v>
      </c>
      <c r="AA141" s="4">
        <v>8.4845425039016593</v>
      </c>
    </row>
    <row r="142" spans="1:27" s="4" customFormat="1" x14ac:dyDescent="0.25">
      <c r="A142" s="58"/>
      <c r="B142" s="12"/>
      <c r="C142" s="6">
        <v>41988</v>
      </c>
      <c r="D142" s="4">
        <v>3</v>
      </c>
      <c r="E142" s="4">
        <v>-2</v>
      </c>
      <c r="F142" s="4">
        <v>6.7</v>
      </c>
      <c r="G142" s="4">
        <f t="shared" si="12"/>
        <v>1134.4999999999995</v>
      </c>
      <c r="H142" s="4">
        <f t="shared" si="18"/>
        <v>71.3</v>
      </c>
      <c r="J142" s="4">
        <v>1.6</v>
      </c>
      <c r="K142" s="4">
        <f t="shared" si="13"/>
        <v>177.4</v>
      </c>
      <c r="L142" s="4">
        <v>0.1</v>
      </c>
      <c r="M142" s="4">
        <f t="shared" si="14"/>
        <v>123.49999999999994</v>
      </c>
      <c r="N142" s="4">
        <v>1.5</v>
      </c>
      <c r="O142" s="4">
        <f t="shared" si="20"/>
        <v>103.2</v>
      </c>
      <c r="P142" s="4">
        <v>98</v>
      </c>
      <c r="Q142" s="4">
        <v>1</v>
      </c>
      <c r="R142" s="8">
        <f t="shared" si="10"/>
        <v>0.1</v>
      </c>
      <c r="S142" s="8">
        <f t="shared" si="11"/>
        <v>1.5</v>
      </c>
      <c r="T142" s="8">
        <f t="shared" si="15"/>
        <v>118.88959459459458</v>
      </c>
      <c r="U142" s="8">
        <f>(U138*100)/138.9</f>
        <v>94.795798931867978</v>
      </c>
      <c r="V142" s="4">
        <v>173.3</v>
      </c>
      <c r="X142" s="4">
        <f t="shared" si="16"/>
        <v>63533.299999999988</v>
      </c>
      <c r="Y142" s="4">
        <f t="shared" si="19"/>
        <v>3309.1000000000004</v>
      </c>
      <c r="AA142" s="4">
        <v>8.4741527460759496</v>
      </c>
    </row>
    <row r="143" spans="1:27" s="4" customFormat="1" x14ac:dyDescent="0.25">
      <c r="A143" s="58"/>
      <c r="B143" s="9"/>
      <c r="C143" s="6">
        <v>41989</v>
      </c>
      <c r="D143" s="4">
        <v>6.3</v>
      </c>
      <c r="E143" s="4">
        <v>4.8</v>
      </c>
      <c r="F143" s="4">
        <v>8</v>
      </c>
      <c r="G143" s="4">
        <f t="shared" si="12"/>
        <v>1140.7999999999995</v>
      </c>
      <c r="H143" s="4">
        <f t="shared" si="18"/>
        <v>77.599999999999994</v>
      </c>
      <c r="J143" s="4">
        <v>5.2</v>
      </c>
      <c r="K143" s="4">
        <f t="shared" si="13"/>
        <v>182.6</v>
      </c>
      <c r="L143" s="4">
        <v>0.1</v>
      </c>
      <c r="M143" s="4">
        <f t="shared" si="14"/>
        <v>123.59999999999994</v>
      </c>
      <c r="N143" s="4">
        <v>5.1000000000000005</v>
      </c>
      <c r="O143" s="4">
        <f t="shared" si="20"/>
        <v>108.3</v>
      </c>
      <c r="P143" s="4">
        <v>99</v>
      </c>
      <c r="Q143" s="4">
        <v>1</v>
      </c>
      <c r="R143" s="8">
        <f t="shared" si="10"/>
        <v>0.1</v>
      </c>
      <c r="S143" s="8">
        <f t="shared" si="11"/>
        <v>5.1000000000000005</v>
      </c>
      <c r="T143" s="8">
        <f t="shared" si="15"/>
        <v>123.98959459459458</v>
      </c>
      <c r="V143" s="4">
        <v>156.1</v>
      </c>
      <c r="X143" s="4">
        <f t="shared" si="16"/>
        <v>63689.399999999987</v>
      </c>
      <c r="Y143" s="4">
        <f t="shared" si="19"/>
        <v>3465.2000000000003</v>
      </c>
      <c r="AA143" s="4">
        <v>8.4652263674748607</v>
      </c>
    </row>
    <row r="144" spans="1:27" s="4" customFormat="1" x14ac:dyDescent="0.25">
      <c r="A144" s="58"/>
      <c r="B144" s="9"/>
      <c r="C144" s="6">
        <v>41990</v>
      </c>
      <c r="D144" s="4">
        <v>9.3000000000000007</v>
      </c>
      <c r="E144" s="4">
        <v>4.9000000000000004</v>
      </c>
      <c r="F144" s="4">
        <v>12.6</v>
      </c>
      <c r="G144" s="4">
        <f t="shared" si="12"/>
        <v>1150.0999999999995</v>
      </c>
      <c r="H144" s="4">
        <f t="shared" si="18"/>
        <v>86.899999999999991</v>
      </c>
      <c r="J144" s="4">
        <v>3</v>
      </c>
      <c r="K144" s="4">
        <f t="shared" si="13"/>
        <v>185.6</v>
      </c>
      <c r="L144" s="4">
        <v>0.2</v>
      </c>
      <c r="M144" s="4">
        <f t="shared" si="14"/>
        <v>123.79999999999994</v>
      </c>
      <c r="N144" s="4">
        <v>2.8</v>
      </c>
      <c r="O144" s="4">
        <f t="shared" si="20"/>
        <v>111.1</v>
      </c>
      <c r="P144" s="4">
        <v>100</v>
      </c>
      <c r="Q144" s="4">
        <v>1</v>
      </c>
      <c r="R144" s="8">
        <f t="shared" si="10"/>
        <v>0.2</v>
      </c>
      <c r="S144" s="8">
        <f t="shared" si="11"/>
        <v>2.8</v>
      </c>
      <c r="T144" s="8">
        <f t="shared" si="15"/>
        <v>126.78959459459458</v>
      </c>
      <c r="V144" s="4">
        <v>106.2</v>
      </c>
      <c r="X144" s="4">
        <f t="shared" si="16"/>
        <v>63795.599999999984</v>
      </c>
      <c r="Y144" s="4">
        <f t="shared" si="19"/>
        <v>3571.4</v>
      </c>
      <c r="AA144" s="4">
        <v>8.4577742239032006</v>
      </c>
    </row>
    <row r="145" spans="1:27" s="4" customFormat="1" x14ac:dyDescent="0.25">
      <c r="A145" s="58"/>
      <c r="B145" s="9"/>
      <c r="C145" s="6">
        <v>41991</v>
      </c>
      <c r="D145" s="4">
        <v>11.9</v>
      </c>
      <c r="E145" s="4">
        <v>11.4</v>
      </c>
      <c r="F145" s="4">
        <v>12.5</v>
      </c>
      <c r="G145" s="4">
        <f t="shared" si="12"/>
        <v>1161.9999999999995</v>
      </c>
      <c r="H145" s="4">
        <f t="shared" si="18"/>
        <v>98.8</v>
      </c>
      <c r="J145" s="4">
        <v>0.6</v>
      </c>
      <c r="K145" s="4">
        <f t="shared" si="13"/>
        <v>186.2</v>
      </c>
      <c r="L145" s="4">
        <v>0.4</v>
      </c>
      <c r="M145" s="4">
        <f t="shared" si="14"/>
        <v>124.19999999999995</v>
      </c>
      <c r="N145" s="4">
        <v>0.19999999999999996</v>
      </c>
      <c r="O145" s="4">
        <f t="shared" si="20"/>
        <v>111.3</v>
      </c>
      <c r="P145" s="4">
        <v>101</v>
      </c>
      <c r="Q145" s="4">
        <v>1</v>
      </c>
      <c r="R145" s="8">
        <f t="shared" si="10"/>
        <v>0.4</v>
      </c>
      <c r="S145" s="8">
        <f t="shared" si="11"/>
        <v>0.19999999999999996</v>
      </c>
      <c r="T145" s="8">
        <f t="shared" si="15"/>
        <v>126.98959459459458</v>
      </c>
      <c r="V145" s="4">
        <v>96.1</v>
      </c>
      <c r="X145" s="4">
        <f t="shared" si="16"/>
        <v>63891.699999999983</v>
      </c>
      <c r="Y145" s="4">
        <f t="shared" si="19"/>
        <v>3667.5</v>
      </c>
      <c r="AA145" s="4">
        <v>8.4518055235815392</v>
      </c>
    </row>
    <row r="146" spans="1:27" s="4" customFormat="1" x14ac:dyDescent="0.25">
      <c r="A146" s="58"/>
      <c r="B146" s="9"/>
      <c r="C146" s="6">
        <v>41992</v>
      </c>
      <c r="D146" s="4">
        <v>10.5</v>
      </c>
      <c r="E146" s="4">
        <v>10.6</v>
      </c>
      <c r="F146" s="4">
        <v>12.2</v>
      </c>
      <c r="G146" s="4">
        <f t="shared" si="12"/>
        <v>1172.4999999999995</v>
      </c>
      <c r="H146" s="4">
        <f t="shared" si="18"/>
        <v>109.3</v>
      </c>
      <c r="J146" s="4">
        <v>2.6</v>
      </c>
      <c r="K146" s="4">
        <f t="shared" si="13"/>
        <v>188.79999999999998</v>
      </c>
      <c r="L146" s="4">
        <v>0.7</v>
      </c>
      <c r="M146" s="4">
        <f t="shared" si="14"/>
        <v>124.89999999999995</v>
      </c>
      <c r="N146" s="4">
        <v>1.9000000000000001</v>
      </c>
      <c r="O146" s="4">
        <f t="shared" si="20"/>
        <v>113.2</v>
      </c>
      <c r="P146" s="4">
        <v>102</v>
      </c>
      <c r="Q146" s="4">
        <v>1</v>
      </c>
      <c r="R146" s="8">
        <f t="shared" si="10"/>
        <v>0.7</v>
      </c>
      <c r="S146" s="8">
        <f t="shared" si="11"/>
        <v>1.9000000000000001</v>
      </c>
      <c r="T146" s="8">
        <f t="shared" si="15"/>
        <v>128.88959459459457</v>
      </c>
      <c r="V146" s="4">
        <v>66.400000000000006</v>
      </c>
      <c r="X146" s="4">
        <f t="shared" si="16"/>
        <v>63958.099999999984</v>
      </c>
      <c r="Y146" s="4">
        <f t="shared" si="19"/>
        <v>3733.9</v>
      </c>
      <c r="AA146" s="4">
        <v>8.4473277883374998</v>
      </c>
    </row>
    <row r="147" spans="1:27" s="4" customFormat="1" x14ac:dyDescent="0.25">
      <c r="A147" s="58"/>
      <c r="B147" s="9"/>
      <c r="C147" s="6">
        <v>41993</v>
      </c>
      <c r="D147" s="4">
        <v>6.9</v>
      </c>
      <c r="E147" s="4">
        <v>5</v>
      </c>
      <c r="F147" s="4">
        <v>8.1</v>
      </c>
      <c r="G147" s="4">
        <f t="shared" si="12"/>
        <v>1179.3999999999996</v>
      </c>
      <c r="H147" s="4">
        <f t="shared" si="18"/>
        <v>116.2</v>
      </c>
      <c r="J147" s="4">
        <v>0</v>
      </c>
      <c r="K147" s="4">
        <f t="shared" si="13"/>
        <v>188.79999999999998</v>
      </c>
      <c r="L147" s="4">
        <v>0.4</v>
      </c>
      <c r="M147" s="4">
        <f t="shared" si="14"/>
        <v>125.29999999999995</v>
      </c>
      <c r="N147" s="7">
        <v>-0.4</v>
      </c>
      <c r="O147" s="4">
        <f t="shared" si="20"/>
        <v>112.8</v>
      </c>
      <c r="P147" s="4">
        <v>103</v>
      </c>
      <c r="Q147" s="4">
        <v>1</v>
      </c>
      <c r="R147" s="8">
        <f t="shared" si="10"/>
        <v>0.4</v>
      </c>
      <c r="S147" s="8">
        <f t="shared" si="11"/>
        <v>-0.4</v>
      </c>
      <c r="T147" s="8">
        <f t="shared" si="15"/>
        <v>128.48959459459456</v>
      </c>
      <c r="V147" s="4">
        <v>106.3</v>
      </c>
      <c r="X147" s="4">
        <f t="shared" si="16"/>
        <v>64064.399999999987</v>
      </c>
      <c r="Y147" s="4">
        <f t="shared" si="19"/>
        <v>3840.2000000000003</v>
      </c>
      <c r="AA147" s="4">
        <v>8.4443468216548592</v>
      </c>
    </row>
    <row r="148" spans="1:27" s="4" customFormat="1" x14ac:dyDescent="0.25">
      <c r="A148" s="58"/>
      <c r="B148" s="9"/>
      <c r="C148" s="6">
        <v>41994</v>
      </c>
      <c r="D148" s="4">
        <v>7.6</v>
      </c>
      <c r="E148" s="4">
        <v>6.7</v>
      </c>
      <c r="F148" s="4">
        <v>8.6999999999999993</v>
      </c>
      <c r="G148" s="4">
        <f t="shared" si="12"/>
        <v>1186.9999999999995</v>
      </c>
      <c r="H148" s="4">
        <f t="shared" si="18"/>
        <v>123.8</v>
      </c>
      <c r="J148" s="4">
        <v>0</v>
      </c>
      <c r="K148" s="4">
        <f t="shared" si="13"/>
        <v>188.79999999999998</v>
      </c>
      <c r="L148" s="4">
        <v>0.7</v>
      </c>
      <c r="M148" s="4">
        <f t="shared" si="14"/>
        <v>125.99999999999996</v>
      </c>
      <c r="N148" s="7">
        <v>-0.7</v>
      </c>
      <c r="O148" s="4">
        <f t="shared" si="20"/>
        <v>112.1</v>
      </c>
      <c r="P148" s="4">
        <v>104</v>
      </c>
      <c r="Q148" s="4">
        <v>1</v>
      </c>
      <c r="R148" s="8">
        <f t="shared" si="10"/>
        <v>0.7</v>
      </c>
      <c r="S148" s="8">
        <f t="shared" si="11"/>
        <v>-0.7</v>
      </c>
      <c r="T148" s="8">
        <f t="shared" si="15"/>
        <v>127.78959459459456</v>
      </c>
      <c r="V148" s="4">
        <v>107.9</v>
      </c>
      <c r="X148" s="4">
        <f t="shared" si="16"/>
        <v>64172.299999999988</v>
      </c>
      <c r="Y148" s="4">
        <f t="shared" si="19"/>
        <v>3948.1000000000004</v>
      </c>
      <c r="AA148" s="4">
        <v>8.4428666838604691</v>
      </c>
    </row>
    <row r="149" spans="1:27" s="4" customFormat="1" x14ac:dyDescent="0.25">
      <c r="A149" s="58"/>
      <c r="B149" s="9"/>
      <c r="C149" s="6">
        <v>41995</v>
      </c>
      <c r="D149" s="4">
        <v>8.4</v>
      </c>
      <c r="E149" s="4">
        <v>7.4</v>
      </c>
      <c r="F149" s="4">
        <v>9.5</v>
      </c>
      <c r="G149" s="4">
        <f t="shared" si="12"/>
        <v>1195.3999999999996</v>
      </c>
      <c r="H149" s="4">
        <f t="shared" si="18"/>
        <v>132.19999999999999</v>
      </c>
      <c r="J149" s="4">
        <v>0</v>
      </c>
      <c r="K149" s="4">
        <f t="shared" si="13"/>
        <v>188.79999999999998</v>
      </c>
      <c r="L149" s="4">
        <v>0.8</v>
      </c>
      <c r="M149" s="4">
        <f t="shared" si="14"/>
        <v>126.79999999999995</v>
      </c>
      <c r="N149" s="7">
        <v>-0.8</v>
      </c>
      <c r="O149" s="4">
        <f t="shared" si="20"/>
        <v>111.3</v>
      </c>
      <c r="P149" s="4">
        <v>105</v>
      </c>
      <c r="Q149" s="4">
        <v>1</v>
      </c>
      <c r="R149" s="8">
        <f t="shared" si="10"/>
        <v>0.8</v>
      </c>
      <c r="S149" s="8">
        <f t="shared" si="11"/>
        <v>-0.8</v>
      </c>
      <c r="T149" s="8">
        <f t="shared" si="15"/>
        <v>126.98959459459456</v>
      </c>
      <c r="V149" s="4">
        <v>108.3</v>
      </c>
      <c r="X149" s="4">
        <f t="shared" si="16"/>
        <v>64280.599999999991</v>
      </c>
      <c r="Y149" s="4">
        <f t="shared" si="19"/>
        <v>4056.4000000000005</v>
      </c>
      <c r="AA149" s="4">
        <v>8.4428896746684305</v>
      </c>
    </row>
    <row r="150" spans="1:27" s="4" customFormat="1" x14ac:dyDescent="0.25">
      <c r="A150" s="58"/>
      <c r="B150" s="9"/>
      <c r="C150" s="6">
        <v>41996</v>
      </c>
      <c r="D150" s="4">
        <v>5.6</v>
      </c>
      <c r="E150" s="4">
        <v>4.5</v>
      </c>
      <c r="F150" s="4">
        <v>7.4</v>
      </c>
      <c r="G150" s="4">
        <f t="shared" si="12"/>
        <v>1200.9999999999995</v>
      </c>
      <c r="H150" s="4">
        <f t="shared" si="18"/>
        <v>137.79999999999998</v>
      </c>
      <c r="J150" s="4">
        <v>0</v>
      </c>
      <c r="K150" s="4">
        <f t="shared" si="13"/>
        <v>188.79999999999998</v>
      </c>
      <c r="L150" s="4">
        <v>0.4</v>
      </c>
      <c r="M150" s="4">
        <f t="shared" si="14"/>
        <v>127.19999999999996</v>
      </c>
      <c r="N150" s="7">
        <v>-0.4</v>
      </c>
      <c r="O150" s="4">
        <f t="shared" si="20"/>
        <v>110.89999999999999</v>
      </c>
      <c r="P150" s="4">
        <v>106</v>
      </c>
      <c r="Q150" s="4">
        <v>1</v>
      </c>
      <c r="R150" s="8">
        <f t="shared" si="10"/>
        <v>0.4</v>
      </c>
      <c r="S150" s="8">
        <f t="shared" si="11"/>
        <v>-0.4</v>
      </c>
      <c r="T150" s="8">
        <f t="shared" si="15"/>
        <v>126.58959459459456</v>
      </c>
      <c r="V150" s="4">
        <v>111</v>
      </c>
      <c r="X150" s="4">
        <f t="shared" si="16"/>
        <v>64391.599999999991</v>
      </c>
      <c r="Y150" s="4">
        <f t="shared" si="19"/>
        <v>4167.4000000000005</v>
      </c>
      <c r="AA150" s="4">
        <v>8.4444163232367497</v>
      </c>
    </row>
    <row r="151" spans="1:27" s="4" customFormat="1" x14ac:dyDescent="0.25">
      <c r="A151" s="58"/>
      <c r="B151" s="9"/>
      <c r="C151" s="6">
        <v>41997</v>
      </c>
      <c r="D151" s="4">
        <v>7.9</v>
      </c>
      <c r="E151" s="4">
        <v>4.7</v>
      </c>
      <c r="F151" s="4">
        <v>8.6</v>
      </c>
      <c r="G151" s="4">
        <f t="shared" si="12"/>
        <v>1208.8999999999996</v>
      </c>
      <c r="H151" s="4">
        <f t="shared" si="18"/>
        <v>145.69999999999999</v>
      </c>
      <c r="J151" s="4">
        <v>1.4</v>
      </c>
      <c r="K151" s="4">
        <f t="shared" si="13"/>
        <v>190.2</v>
      </c>
      <c r="L151" s="4">
        <v>0.1</v>
      </c>
      <c r="M151" s="4">
        <f t="shared" si="14"/>
        <v>127.29999999999995</v>
      </c>
      <c r="N151" s="4">
        <v>1.2999999999999998</v>
      </c>
      <c r="O151" s="4">
        <f t="shared" si="20"/>
        <v>112.19999999999999</v>
      </c>
      <c r="P151" s="4">
        <v>107</v>
      </c>
      <c r="Q151" s="4">
        <v>1</v>
      </c>
      <c r="R151" s="8">
        <f t="shared" si="10"/>
        <v>0.1</v>
      </c>
      <c r="S151" s="8">
        <f t="shared" si="11"/>
        <v>1.2999999999999998</v>
      </c>
      <c r="T151" s="8">
        <f t="shared" si="15"/>
        <v>127.88959459459456</v>
      </c>
      <c r="V151" s="4">
        <v>127.1</v>
      </c>
      <c r="X151" s="4">
        <f t="shared" si="16"/>
        <v>64518.69999999999</v>
      </c>
      <c r="Y151" s="4">
        <f t="shared" si="19"/>
        <v>4294.5000000000009</v>
      </c>
      <c r="AA151" s="4">
        <v>8.4474453858254002</v>
      </c>
    </row>
    <row r="152" spans="1:27" s="4" customFormat="1" x14ac:dyDescent="0.25">
      <c r="A152" s="58"/>
      <c r="B152" s="9"/>
      <c r="C152" s="6">
        <v>41998</v>
      </c>
      <c r="D152" s="4">
        <v>5.4</v>
      </c>
      <c r="E152" s="4">
        <v>4</v>
      </c>
      <c r="F152" s="4">
        <v>8.9</v>
      </c>
      <c r="G152" s="4">
        <f t="shared" si="12"/>
        <v>1214.2999999999997</v>
      </c>
      <c r="H152" s="4">
        <f t="shared" si="18"/>
        <v>151.1</v>
      </c>
      <c r="J152" s="4">
        <v>0</v>
      </c>
      <c r="K152" s="4">
        <f t="shared" si="13"/>
        <v>190.2</v>
      </c>
      <c r="L152" s="4">
        <v>0.4</v>
      </c>
      <c r="M152" s="4">
        <f t="shared" si="14"/>
        <v>127.69999999999996</v>
      </c>
      <c r="N152" s="7">
        <v>-0.4</v>
      </c>
      <c r="O152" s="4">
        <f t="shared" si="20"/>
        <v>111.79999999999998</v>
      </c>
      <c r="P152" s="4">
        <v>108</v>
      </c>
      <c r="Q152" s="4">
        <v>1</v>
      </c>
      <c r="R152" s="8">
        <f t="shared" si="10"/>
        <v>0.4</v>
      </c>
      <c r="S152" s="8">
        <f t="shared" si="11"/>
        <v>-0.4</v>
      </c>
      <c r="T152" s="8">
        <f t="shared" si="15"/>
        <v>127.48959459459455</v>
      </c>
      <c r="V152" s="4">
        <v>268.89999999999998</v>
      </c>
      <c r="X152" s="4">
        <f t="shared" si="16"/>
        <v>64787.599999999991</v>
      </c>
      <c r="Y152" s="4">
        <f t="shared" si="19"/>
        <v>4563.4000000000005</v>
      </c>
      <c r="AA152" s="4">
        <v>8.4519738510766391</v>
      </c>
    </row>
    <row r="153" spans="1:27" s="4" customFormat="1" x14ac:dyDescent="0.25">
      <c r="A153" s="58"/>
      <c r="B153" s="12"/>
      <c r="C153" s="6">
        <v>41999</v>
      </c>
      <c r="D153" s="4">
        <v>2.9</v>
      </c>
      <c r="E153" s="4">
        <v>-1.3</v>
      </c>
      <c r="F153" s="4">
        <v>8.3000000000000007</v>
      </c>
      <c r="G153" s="4">
        <f t="shared" si="12"/>
        <v>1217.1999999999998</v>
      </c>
      <c r="H153" s="4">
        <f t="shared" si="18"/>
        <v>154</v>
      </c>
      <c r="J153" s="4">
        <v>9.1</v>
      </c>
      <c r="K153" s="4">
        <f t="shared" si="13"/>
        <v>199.29999999999998</v>
      </c>
      <c r="L153" s="4">
        <v>0.4</v>
      </c>
      <c r="M153" s="4">
        <f t="shared" si="14"/>
        <v>128.09999999999997</v>
      </c>
      <c r="N153" s="4">
        <v>8.6999999999999993</v>
      </c>
      <c r="O153" s="4">
        <f t="shared" si="20"/>
        <v>120.49999999999999</v>
      </c>
      <c r="P153" s="4">
        <v>109</v>
      </c>
      <c r="Q153" s="4">
        <v>1</v>
      </c>
      <c r="R153" s="8">
        <f t="shared" si="10"/>
        <v>0.4</v>
      </c>
      <c r="S153" s="8">
        <f t="shared" si="11"/>
        <v>8.6999999999999993</v>
      </c>
      <c r="T153" s="8">
        <f t="shared" si="15"/>
        <v>136.18959459459455</v>
      </c>
      <c r="V153" s="4">
        <v>155.19999999999999</v>
      </c>
      <c r="X153" s="4">
        <f t="shared" si="16"/>
        <v>64942.799999999988</v>
      </c>
      <c r="Y153" s="4">
        <f t="shared" si="19"/>
        <v>4718.6000000000004</v>
      </c>
      <c r="AA153" s="4">
        <v>8.4579969528707295</v>
      </c>
    </row>
    <row r="154" spans="1:27" s="4" customFormat="1" x14ac:dyDescent="0.25">
      <c r="A154" s="58"/>
      <c r="B154" s="9"/>
      <c r="C154" s="6">
        <v>42000</v>
      </c>
      <c r="D154" s="4">
        <v>5.8</v>
      </c>
      <c r="E154" s="4">
        <v>4.2</v>
      </c>
      <c r="F154" s="4">
        <v>8.1</v>
      </c>
      <c r="G154" s="4">
        <f t="shared" si="12"/>
        <v>1222.9999999999998</v>
      </c>
      <c r="H154" s="4">
        <f t="shared" si="18"/>
        <v>159.80000000000001</v>
      </c>
      <c r="J154" s="4">
        <v>0.1</v>
      </c>
      <c r="K154" s="4">
        <f t="shared" si="13"/>
        <v>199.39999999999998</v>
      </c>
      <c r="L154" s="4">
        <v>1.2</v>
      </c>
      <c r="M154" s="4">
        <f t="shared" si="14"/>
        <v>129.29999999999995</v>
      </c>
      <c r="N154" s="7">
        <v>-1.0999999999999999</v>
      </c>
      <c r="O154" s="4">
        <f t="shared" si="20"/>
        <v>119.39999999999999</v>
      </c>
      <c r="P154" s="4">
        <v>110</v>
      </c>
      <c r="Q154" s="4">
        <v>1</v>
      </c>
      <c r="R154" s="8">
        <f t="shared" si="10"/>
        <v>1.2</v>
      </c>
      <c r="S154" s="8">
        <f t="shared" si="11"/>
        <v>-1.0999999999999999</v>
      </c>
      <c r="T154" s="8">
        <f t="shared" si="15"/>
        <v>135.08959459459456</v>
      </c>
      <c r="V154" s="4">
        <v>173.5</v>
      </c>
      <c r="X154" s="4">
        <f t="shared" si="16"/>
        <v>65116.299999999988</v>
      </c>
      <c r="Y154" s="4">
        <f t="shared" si="19"/>
        <v>4892.1000000000004</v>
      </c>
      <c r="AA154" s="4">
        <v>8.4655081906423604</v>
      </c>
    </row>
    <row r="155" spans="1:27" s="4" customFormat="1" x14ac:dyDescent="0.25">
      <c r="A155" s="58"/>
      <c r="B155" s="12"/>
      <c r="C155" s="6">
        <v>42001</v>
      </c>
      <c r="D155" s="4">
        <v>-0.3</v>
      </c>
      <c r="E155" s="4">
        <v>-1.5</v>
      </c>
      <c r="F155" s="4">
        <v>1.3</v>
      </c>
      <c r="G155" s="4">
        <v>1223</v>
      </c>
      <c r="H155" s="4">
        <v>159.80000000000001</v>
      </c>
      <c r="J155" s="4">
        <v>0</v>
      </c>
      <c r="K155" s="4">
        <f t="shared" si="13"/>
        <v>199.39999999999998</v>
      </c>
      <c r="L155" s="4">
        <v>0.7</v>
      </c>
      <c r="M155" s="4">
        <f t="shared" si="14"/>
        <v>129.99999999999994</v>
      </c>
      <c r="N155" s="7">
        <v>-0.7</v>
      </c>
      <c r="O155" s="4">
        <f t="shared" si="20"/>
        <v>118.69999999999999</v>
      </c>
      <c r="P155" s="4">
        <v>111</v>
      </c>
      <c r="Q155" s="4">
        <v>1</v>
      </c>
      <c r="R155" s="8">
        <f t="shared" si="10"/>
        <v>0.7</v>
      </c>
      <c r="S155" s="8">
        <f t="shared" si="11"/>
        <v>-0.7</v>
      </c>
      <c r="T155" s="8">
        <f t="shared" si="15"/>
        <v>134.38959459459457</v>
      </c>
      <c r="V155" s="4">
        <v>203.3</v>
      </c>
      <c r="X155" s="4">
        <f t="shared" si="16"/>
        <v>65319.599999999991</v>
      </c>
      <c r="Y155" s="4">
        <f t="shared" si="19"/>
        <v>5095.4000000000005</v>
      </c>
      <c r="AA155" s="4">
        <v>8.4744993569777094</v>
      </c>
    </row>
    <row r="156" spans="1:27" s="4" customFormat="1" x14ac:dyDescent="0.25">
      <c r="A156" s="58"/>
      <c r="B156" s="12"/>
      <c r="C156" s="6">
        <v>42002</v>
      </c>
      <c r="D156" s="4">
        <v>-1.9</v>
      </c>
      <c r="E156" s="4">
        <v>-5.6</v>
      </c>
      <c r="F156" s="4">
        <v>1</v>
      </c>
      <c r="G156" s="4">
        <v>1223</v>
      </c>
      <c r="H156" s="4">
        <v>159.80000000000001</v>
      </c>
      <c r="J156" s="4">
        <v>0</v>
      </c>
      <c r="K156" s="4">
        <f t="shared" si="13"/>
        <v>199.39999999999998</v>
      </c>
      <c r="L156" s="4">
        <v>0.3</v>
      </c>
      <c r="M156" s="4">
        <f t="shared" si="14"/>
        <v>130.29999999999995</v>
      </c>
      <c r="N156" s="7">
        <v>-0.3</v>
      </c>
      <c r="O156" s="4">
        <f t="shared" si="20"/>
        <v>118.39999999999999</v>
      </c>
      <c r="P156" s="4">
        <v>112</v>
      </c>
      <c r="Q156" s="4">
        <v>1</v>
      </c>
      <c r="R156" s="8">
        <f t="shared" si="10"/>
        <v>0.3</v>
      </c>
      <c r="S156" s="8">
        <f t="shared" si="11"/>
        <v>-0.3</v>
      </c>
      <c r="T156" s="8">
        <f t="shared" si="15"/>
        <v>134.08959459459456</v>
      </c>
      <c r="V156" s="4">
        <v>253</v>
      </c>
      <c r="X156" s="4">
        <f t="shared" si="16"/>
        <v>65572.599999999991</v>
      </c>
      <c r="Y156" s="4">
        <f t="shared" si="19"/>
        <v>5348.4000000000005</v>
      </c>
      <c r="AA156" s="4">
        <v>8.4849605722490296</v>
      </c>
    </row>
    <row r="157" spans="1:27" s="4" customFormat="1" x14ac:dyDescent="0.25">
      <c r="A157" s="58"/>
      <c r="B157" s="12"/>
      <c r="C157" s="6">
        <v>42003</v>
      </c>
      <c r="D157" s="4">
        <v>-0.1</v>
      </c>
      <c r="E157" s="4">
        <v>-1.7</v>
      </c>
      <c r="F157" s="4">
        <v>1.7</v>
      </c>
      <c r="G157" s="4">
        <v>1223</v>
      </c>
      <c r="H157" s="4">
        <v>159.80000000000001</v>
      </c>
      <c r="J157" s="4">
        <v>0.1</v>
      </c>
      <c r="K157" s="4">
        <f t="shared" si="13"/>
        <v>199.49999999999997</v>
      </c>
      <c r="L157" s="4">
        <v>0.2</v>
      </c>
      <c r="M157" s="4">
        <f t="shared" si="14"/>
        <v>130.49999999999994</v>
      </c>
      <c r="N157" s="7">
        <v>-0.1</v>
      </c>
      <c r="O157" s="4">
        <f t="shared" si="20"/>
        <v>118.3</v>
      </c>
      <c r="P157" s="4">
        <v>113</v>
      </c>
      <c r="Q157" s="4">
        <v>1</v>
      </c>
      <c r="R157" s="8">
        <f t="shared" si="10"/>
        <v>0.2</v>
      </c>
      <c r="S157" s="8">
        <f t="shared" si="11"/>
        <v>-0.1</v>
      </c>
      <c r="T157" s="8">
        <f t="shared" si="15"/>
        <v>133.98959459459456</v>
      </c>
      <c r="V157" s="4">
        <v>159.6</v>
      </c>
      <c r="X157" s="4">
        <f t="shared" si="16"/>
        <v>65732.2</v>
      </c>
      <c r="Y157" s="4">
        <f t="shared" si="19"/>
        <v>5508.0000000000009</v>
      </c>
      <c r="AA157" s="4">
        <v>8.4968803259845895</v>
      </c>
    </row>
    <row r="158" spans="1:27" s="4" customFormat="1" x14ac:dyDescent="0.25">
      <c r="A158" s="58"/>
      <c r="B158" s="12"/>
      <c r="C158" s="6">
        <v>42004</v>
      </c>
      <c r="D158" s="4">
        <v>-0.2</v>
      </c>
      <c r="E158" s="4">
        <v>-1</v>
      </c>
      <c r="F158" s="4">
        <v>3.4</v>
      </c>
      <c r="G158" s="4">
        <v>1223</v>
      </c>
      <c r="H158" s="4">
        <v>159.80000000000001</v>
      </c>
      <c r="J158" s="4">
        <v>0</v>
      </c>
      <c r="K158" s="4">
        <f t="shared" si="13"/>
        <v>199.49999999999997</v>
      </c>
      <c r="L158" s="4">
        <v>0.5</v>
      </c>
      <c r="M158" s="4">
        <f t="shared" si="14"/>
        <v>130.99999999999994</v>
      </c>
      <c r="N158" s="7">
        <v>-0.5</v>
      </c>
      <c r="O158" s="4">
        <f t="shared" si="20"/>
        <v>117.8</v>
      </c>
      <c r="P158" s="4">
        <v>114</v>
      </c>
      <c r="Q158" s="4">
        <v>1</v>
      </c>
      <c r="R158" s="8">
        <f t="shared" si="10"/>
        <v>0.5</v>
      </c>
      <c r="S158" s="8">
        <f t="shared" si="11"/>
        <v>-0.5</v>
      </c>
      <c r="T158" s="8">
        <f t="shared" si="15"/>
        <v>133.48959459459456</v>
      </c>
      <c r="V158" s="4">
        <v>422.5</v>
      </c>
      <c r="X158" s="4">
        <f t="shared" si="16"/>
        <v>66154.7</v>
      </c>
      <c r="Y158" s="4">
        <f t="shared" si="19"/>
        <v>5930.5000000000009</v>
      </c>
      <c r="AA158" s="4">
        <v>8.5145561522284297</v>
      </c>
    </row>
    <row r="159" spans="1:27" s="4" customFormat="1" x14ac:dyDescent="0.25">
      <c r="A159" s="58"/>
      <c r="B159" s="12"/>
      <c r="C159" s="6">
        <v>42005</v>
      </c>
      <c r="D159" s="4">
        <v>-0.2</v>
      </c>
      <c r="E159" s="4">
        <v>-4.5</v>
      </c>
      <c r="F159" s="4">
        <v>4.7</v>
      </c>
      <c r="G159" s="4">
        <v>1223</v>
      </c>
      <c r="H159" s="4">
        <v>159.80000000000001</v>
      </c>
      <c r="J159" s="4">
        <v>0.2</v>
      </c>
      <c r="K159" s="4">
        <f t="shared" si="13"/>
        <v>199.69999999999996</v>
      </c>
      <c r="L159" s="4">
        <v>0.5</v>
      </c>
      <c r="M159" s="4">
        <f t="shared" si="14"/>
        <v>131.49999999999994</v>
      </c>
      <c r="N159" s="7">
        <v>-0.3</v>
      </c>
      <c r="O159" s="4">
        <f t="shared" si="20"/>
        <v>117.5</v>
      </c>
      <c r="P159" s="4">
        <v>115</v>
      </c>
      <c r="Q159" s="4">
        <v>1</v>
      </c>
      <c r="R159" s="8">
        <f t="shared" si="10"/>
        <v>0.5</v>
      </c>
      <c r="S159" s="8">
        <f t="shared" si="11"/>
        <v>-0.3</v>
      </c>
      <c r="T159" s="8">
        <f t="shared" si="15"/>
        <v>133.18959459459455</v>
      </c>
      <c r="V159" s="4">
        <v>651.1</v>
      </c>
      <c r="X159" s="4">
        <f t="shared" si="16"/>
        <v>66805.8</v>
      </c>
      <c r="Y159" s="4">
        <f t="shared" si="19"/>
        <v>6581.6000000000013</v>
      </c>
      <c r="AA159" s="4">
        <v>8.5297804330323395</v>
      </c>
    </row>
    <row r="160" spans="1:27" s="4" customFormat="1" x14ac:dyDescent="0.25">
      <c r="A160" s="58"/>
      <c r="B160" s="12"/>
      <c r="C160" s="6">
        <v>42006</v>
      </c>
      <c r="D160" s="4">
        <v>3.2</v>
      </c>
      <c r="E160" s="4">
        <v>-0.7</v>
      </c>
      <c r="F160" s="4">
        <v>5</v>
      </c>
      <c r="G160" s="4">
        <f t="shared" si="12"/>
        <v>1226.2</v>
      </c>
      <c r="H160" s="4">
        <f t="shared" si="18"/>
        <v>163</v>
      </c>
      <c r="J160" s="4">
        <v>1.6</v>
      </c>
      <c r="K160" s="4">
        <f t="shared" si="13"/>
        <v>201.29999999999995</v>
      </c>
      <c r="L160" s="4">
        <v>0.1</v>
      </c>
      <c r="M160" s="4">
        <f t="shared" si="14"/>
        <v>131.59999999999994</v>
      </c>
      <c r="N160" s="4">
        <v>1.5</v>
      </c>
      <c r="O160" s="4">
        <f t="shared" si="20"/>
        <v>119</v>
      </c>
      <c r="P160" s="4">
        <v>116</v>
      </c>
      <c r="Q160" s="4">
        <v>1</v>
      </c>
      <c r="R160" s="8">
        <f t="shared" si="10"/>
        <v>0.1</v>
      </c>
      <c r="S160" s="8">
        <f t="shared" si="11"/>
        <v>1.5</v>
      </c>
      <c r="T160" s="8">
        <f t="shared" si="15"/>
        <v>134.68959459459455</v>
      </c>
      <c r="V160" s="4">
        <v>121.4</v>
      </c>
      <c r="X160" s="4">
        <f t="shared" si="16"/>
        <v>66927.199999999997</v>
      </c>
      <c r="Y160" s="4">
        <f t="shared" si="19"/>
        <v>6703.0000000000009</v>
      </c>
      <c r="AA160" s="4">
        <v>8.5464143122505796</v>
      </c>
    </row>
    <row r="161" spans="1:27" s="4" customFormat="1" x14ac:dyDescent="0.25">
      <c r="A161" s="58"/>
      <c r="B161" s="9"/>
      <c r="C161" s="6">
        <v>42007</v>
      </c>
      <c r="D161" s="4">
        <v>9.1999999999999993</v>
      </c>
      <c r="E161" s="4">
        <v>3.9</v>
      </c>
      <c r="F161" s="4">
        <v>12.1</v>
      </c>
      <c r="G161" s="4">
        <f t="shared" si="12"/>
        <v>1235.4000000000001</v>
      </c>
      <c r="H161" s="4">
        <f t="shared" si="18"/>
        <v>172.2</v>
      </c>
      <c r="J161" s="4">
        <v>2.2000000000000002</v>
      </c>
      <c r="K161" s="4">
        <f t="shared" si="13"/>
        <v>203.49999999999994</v>
      </c>
      <c r="L161" s="4">
        <v>0</v>
      </c>
      <c r="M161" s="4">
        <f t="shared" si="14"/>
        <v>131.59999999999994</v>
      </c>
      <c r="N161" s="4">
        <v>2.2000000000000002</v>
      </c>
      <c r="O161" s="4">
        <f t="shared" si="20"/>
        <v>121.2</v>
      </c>
      <c r="P161" s="4">
        <v>117</v>
      </c>
      <c r="Q161" s="4">
        <v>1</v>
      </c>
      <c r="R161" s="8">
        <f t="shared" si="10"/>
        <v>0</v>
      </c>
      <c r="S161" s="8">
        <f t="shared" si="11"/>
        <v>2.2000000000000002</v>
      </c>
      <c r="T161" s="8">
        <f t="shared" si="15"/>
        <v>136.88959459459454</v>
      </c>
      <c r="V161" s="4">
        <v>62.5</v>
      </c>
      <c r="X161" s="4">
        <f t="shared" si="16"/>
        <v>66989.7</v>
      </c>
      <c r="Y161" s="4">
        <f t="shared" si="19"/>
        <v>6765.5000000000009</v>
      </c>
      <c r="AA161" s="4">
        <v>8.5644398804229098</v>
      </c>
    </row>
    <row r="162" spans="1:27" s="4" customFormat="1" x14ac:dyDescent="0.25">
      <c r="A162" s="58"/>
      <c r="B162" s="9"/>
      <c r="C162" s="6">
        <v>42008</v>
      </c>
      <c r="D162" s="4">
        <v>6.3</v>
      </c>
      <c r="E162" s="4">
        <v>3.8</v>
      </c>
      <c r="F162" s="4">
        <v>8.6999999999999993</v>
      </c>
      <c r="G162" s="4">
        <f t="shared" si="12"/>
        <v>1241.7</v>
      </c>
      <c r="H162" s="4">
        <f t="shared" si="18"/>
        <v>178.5</v>
      </c>
      <c r="J162" s="4">
        <v>0.2</v>
      </c>
      <c r="K162" s="4">
        <f t="shared" si="13"/>
        <v>203.69999999999993</v>
      </c>
      <c r="L162" s="4">
        <v>0.1</v>
      </c>
      <c r="M162" s="4">
        <f t="shared" si="14"/>
        <v>131.69999999999993</v>
      </c>
      <c r="N162" s="4">
        <v>0.1</v>
      </c>
      <c r="O162" s="4">
        <f t="shared" si="20"/>
        <v>121.3</v>
      </c>
      <c r="P162" s="4">
        <v>118</v>
      </c>
      <c r="Q162" s="4">
        <v>1</v>
      </c>
      <c r="R162" s="8">
        <f t="shared" si="10"/>
        <v>0.1</v>
      </c>
      <c r="S162" s="8">
        <f t="shared" si="11"/>
        <v>0.1</v>
      </c>
      <c r="T162" s="8">
        <f t="shared" si="15"/>
        <v>136.98959459459454</v>
      </c>
      <c r="V162" s="4">
        <v>108</v>
      </c>
      <c r="X162" s="4">
        <f t="shared" si="16"/>
        <v>67097.7</v>
      </c>
      <c r="Y162" s="4">
        <f t="shared" si="19"/>
        <v>6873.5000000000009</v>
      </c>
      <c r="AA162" s="4">
        <v>8.5838379125656008</v>
      </c>
    </row>
    <row r="163" spans="1:27" s="4" customFormat="1" x14ac:dyDescent="0.25">
      <c r="A163" s="58"/>
      <c r="B163" s="12"/>
      <c r="C163" s="6">
        <v>42009</v>
      </c>
      <c r="D163" s="4">
        <v>1.9</v>
      </c>
      <c r="E163" s="4">
        <v>0.7</v>
      </c>
      <c r="F163" s="4">
        <v>3.2</v>
      </c>
      <c r="G163" s="4">
        <f t="shared" si="12"/>
        <v>1243.6000000000001</v>
      </c>
      <c r="H163" s="4">
        <f t="shared" si="18"/>
        <v>180.4</v>
      </c>
      <c r="J163" s="4">
        <v>0</v>
      </c>
      <c r="K163" s="4">
        <f t="shared" si="13"/>
        <v>203.69999999999993</v>
      </c>
      <c r="L163" s="4">
        <v>0.4</v>
      </c>
      <c r="M163" s="4">
        <f t="shared" si="14"/>
        <v>132.09999999999994</v>
      </c>
      <c r="N163" s="7">
        <v>-0.4</v>
      </c>
      <c r="O163" s="4">
        <f t="shared" si="20"/>
        <v>120.89999999999999</v>
      </c>
      <c r="P163" s="4">
        <v>119</v>
      </c>
      <c r="Q163" s="4">
        <v>1</v>
      </c>
      <c r="R163" s="8">
        <f t="shared" si="10"/>
        <v>0.4</v>
      </c>
      <c r="S163" s="8">
        <f t="shared" si="11"/>
        <v>-0.4</v>
      </c>
      <c r="T163" s="8">
        <f t="shared" si="15"/>
        <v>136.58959459459453</v>
      </c>
      <c r="V163" s="4">
        <v>356.7</v>
      </c>
      <c r="X163" s="4">
        <f t="shared" si="16"/>
        <v>67454.399999999994</v>
      </c>
      <c r="Y163" s="4">
        <f t="shared" si="19"/>
        <v>7230.2000000000007</v>
      </c>
      <c r="AA163" s="4">
        <v>8.6045879420270204</v>
      </c>
    </row>
    <row r="164" spans="1:27" s="4" customFormat="1" x14ac:dyDescent="0.25">
      <c r="A164" s="58"/>
      <c r="B164" s="12"/>
      <c r="C164" s="6">
        <v>42010</v>
      </c>
      <c r="D164" s="4">
        <v>2.2999999999999998</v>
      </c>
      <c r="E164" s="4">
        <v>-1</v>
      </c>
      <c r="F164" s="4">
        <v>5.2</v>
      </c>
      <c r="G164" s="4">
        <f t="shared" si="12"/>
        <v>1245.9000000000001</v>
      </c>
      <c r="H164" s="4">
        <f t="shared" si="18"/>
        <v>182.70000000000002</v>
      </c>
      <c r="J164" s="4">
        <v>1.3</v>
      </c>
      <c r="K164" s="4">
        <f t="shared" si="13"/>
        <v>204.99999999999994</v>
      </c>
      <c r="L164" s="4">
        <v>0.2</v>
      </c>
      <c r="M164" s="4">
        <f t="shared" si="14"/>
        <v>132.29999999999993</v>
      </c>
      <c r="N164" s="4">
        <v>1.1000000000000001</v>
      </c>
      <c r="O164" s="4">
        <f t="shared" si="20"/>
        <v>121.99999999999999</v>
      </c>
      <c r="P164" s="4">
        <v>120</v>
      </c>
      <c r="Q164" s="4">
        <v>1</v>
      </c>
      <c r="R164" s="8">
        <f t="shared" si="10"/>
        <v>0.2</v>
      </c>
      <c r="S164" s="8">
        <f t="shared" si="11"/>
        <v>1.1000000000000001</v>
      </c>
      <c r="T164" s="8">
        <f t="shared" si="15"/>
        <v>137.68959459459452</v>
      </c>
      <c r="V164" s="4">
        <v>192.2</v>
      </c>
      <c r="X164" s="4">
        <f t="shared" si="16"/>
        <v>67646.599999999991</v>
      </c>
      <c r="Y164" s="4">
        <f t="shared" si="19"/>
        <v>7422.4000000000005</v>
      </c>
      <c r="AA164" s="4">
        <v>8.6266683375888604</v>
      </c>
    </row>
    <row r="165" spans="1:27" s="4" customFormat="1" x14ac:dyDescent="0.25">
      <c r="A165" s="58"/>
      <c r="B165" s="9"/>
      <c r="C165" s="6">
        <v>42011</v>
      </c>
      <c r="D165" s="4">
        <v>5.7</v>
      </c>
      <c r="E165" s="4">
        <v>4.5999999999999996</v>
      </c>
      <c r="F165" s="4">
        <v>9.1</v>
      </c>
      <c r="G165" s="4">
        <f t="shared" si="12"/>
        <v>1251.6000000000001</v>
      </c>
      <c r="H165" s="4">
        <f t="shared" si="18"/>
        <v>188.4</v>
      </c>
      <c r="J165" s="4">
        <v>0</v>
      </c>
      <c r="K165" s="4">
        <f t="shared" si="13"/>
        <v>204.99999999999994</v>
      </c>
      <c r="L165" s="4">
        <v>0.4</v>
      </c>
      <c r="M165" s="4">
        <f t="shared" si="14"/>
        <v>132.69999999999993</v>
      </c>
      <c r="N165" s="7">
        <v>-0.4</v>
      </c>
      <c r="O165" s="4">
        <f t="shared" si="20"/>
        <v>121.59999999999998</v>
      </c>
      <c r="P165" s="4">
        <v>121</v>
      </c>
      <c r="Q165" s="4">
        <v>1</v>
      </c>
      <c r="R165" s="8">
        <f t="shared" si="10"/>
        <v>0.4</v>
      </c>
      <c r="S165" s="8">
        <f t="shared" si="11"/>
        <v>-0.4</v>
      </c>
      <c r="T165" s="8">
        <f t="shared" si="15"/>
        <v>137.28959459459452</v>
      </c>
      <c r="V165" s="4">
        <v>204.4</v>
      </c>
      <c r="X165" s="4">
        <f t="shared" si="16"/>
        <v>67850.999999999985</v>
      </c>
      <c r="Y165" s="4">
        <f t="shared" si="19"/>
        <v>7626.8</v>
      </c>
      <c r="AA165" s="4">
        <v>8.6500563832433404</v>
      </c>
    </row>
    <row r="166" spans="1:27" s="4" customFormat="1" x14ac:dyDescent="0.25">
      <c r="A166" s="58"/>
      <c r="B166" s="9"/>
      <c r="C166" s="6">
        <v>42012</v>
      </c>
      <c r="D166" s="4">
        <v>8.1999999999999993</v>
      </c>
      <c r="E166" s="4">
        <v>5.5</v>
      </c>
      <c r="F166" s="4">
        <v>9.6</v>
      </c>
      <c r="G166" s="4">
        <f t="shared" si="12"/>
        <v>1259.8000000000002</v>
      </c>
      <c r="H166" s="4">
        <f t="shared" si="18"/>
        <v>196.6</v>
      </c>
      <c r="J166" s="4">
        <v>2.5</v>
      </c>
      <c r="K166" s="4">
        <f t="shared" si="13"/>
        <v>207.49999999999994</v>
      </c>
      <c r="L166" s="4">
        <v>0.1</v>
      </c>
      <c r="M166" s="4">
        <f t="shared" si="14"/>
        <v>132.79999999999993</v>
      </c>
      <c r="N166" s="4">
        <v>2.4</v>
      </c>
      <c r="O166" s="4">
        <f t="shared" si="20"/>
        <v>123.99999999999999</v>
      </c>
      <c r="P166" s="4">
        <v>122</v>
      </c>
      <c r="Q166" s="4">
        <v>1</v>
      </c>
      <c r="R166" s="8">
        <f t="shared" si="10"/>
        <v>0.1</v>
      </c>
      <c r="S166" s="8">
        <f t="shared" si="11"/>
        <v>2.4</v>
      </c>
      <c r="T166" s="8">
        <f t="shared" si="15"/>
        <v>138.9</v>
      </c>
      <c r="V166" s="4">
        <v>107.5</v>
      </c>
      <c r="X166" s="4">
        <f t="shared" si="16"/>
        <v>67958.499999999985</v>
      </c>
      <c r="Y166" s="4">
        <f t="shared" si="19"/>
        <v>7734.3</v>
      </c>
      <c r="AA166" s="4">
        <v>8.6747283600759602</v>
      </c>
    </row>
    <row r="167" spans="1:27" s="4" customFormat="1" x14ac:dyDescent="0.25">
      <c r="A167" s="58"/>
      <c r="B167" s="9"/>
      <c r="C167" s="6">
        <v>42013</v>
      </c>
      <c r="D167" s="4">
        <v>11</v>
      </c>
      <c r="E167" s="4">
        <v>5.7</v>
      </c>
      <c r="F167" s="4">
        <v>12.9</v>
      </c>
      <c r="G167" s="4">
        <f t="shared" si="12"/>
        <v>1270.8000000000002</v>
      </c>
      <c r="H167" s="4">
        <f t="shared" si="18"/>
        <v>207.6</v>
      </c>
      <c r="J167" s="4">
        <v>1.8</v>
      </c>
      <c r="K167" s="4">
        <f t="shared" si="13"/>
        <v>209.29999999999995</v>
      </c>
      <c r="L167" s="4">
        <v>0.1</v>
      </c>
      <c r="M167" s="4">
        <f t="shared" si="14"/>
        <v>132.89999999999992</v>
      </c>
      <c r="N167" s="4">
        <v>1.7</v>
      </c>
      <c r="O167" s="4">
        <f t="shared" si="20"/>
        <v>125.69999999999999</v>
      </c>
      <c r="P167" s="4">
        <v>123</v>
      </c>
      <c r="Q167" s="4">
        <v>1</v>
      </c>
      <c r="R167" s="8">
        <f t="shared" si="10"/>
        <v>0.1</v>
      </c>
      <c r="S167" s="8">
        <f t="shared" si="11"/>
        <v>1.7</v>
      </c>
      <c r="T167" s="8">
        <f t="shared" si="15"/>
        <v>138.9</v>
      </c>
      <c r="V167" s="4">
        <v>129.4</v>
      </c>
      <c r="X167" s="4">
        <f t="shared" si="16"/>
        <v>68087.89999999998</v>
      </c>
      <c r="Y167" s="4">
        <f t="shared" si="19"/>
        <v>7863.7</v>
      </c>
      <c r="AA167" s="4">
        <v>8.7006596296884506</v>
      </c>
    </row>
    <row r="168" spans="1:27" s="4" customFormat="1" x14ac:dyDescent="0.25">
      <c r="A168" s="58"/>
      <c r="B168" s="9"/>
      <c r="C168" s="6">
        <v>42014</v>
      </c>
      <c r="D168" s="4">
        <v>11.2</v>
      </c>
      <c r="E168" s="4">
        <v>11.4</v>
      </c>
      <c r="F168" s="4">
        <v>12.3</v>
      </c>
      <c r="G168" s="4">
        <f t="shared" si="12"/>
        <v>1282.0000000000002</v>
      </c>
      <c r="H168" s="4">
        <f t="shared" si="18"/>
        <v>218.79999999999998</v>
      </c>
      <c r="J168" s="4">
        <v>4.7</v>
      </c>
      <c r="K168" s="4">
        <f t="shared" si="13"/>
        <v>213.99999999999994</v>
      </c>
      <c r="L168" s="4">
        <v>0.6</v>
      </c>
      <c r="M168" s="4">
        <f t="shared" si="14"/>
        <v>133.49999999999991</v>
      </c>
      <c r="N168" s="4">
        <v>4.1000000000000005</v>
      </c>
      <c r="O168" s="4">
        <f t="shared" si="20"/>
        <v>129.79999999999998</v>
      </c>
      <c r="P168" s="4">
        <v>124</v>
      </c>
      <c r="Q168" s="4">
        <v>1</v>
      </c>
      <c r="R168" s="8">
        <f t="shared" si="10"/>
        <v>0.6</v>
      </c>
      <c r="S168" s="8">
        <f t="shared" si="11"/>
        <v>4.1000000000000005</v>
      </c>
      <c r="T168" s="8">
        <f t="shared" si="15"/>
        <v>138.9</v>
      </c>
      <c r="V168" s="4">
        <v>106</v>
      </c>
      <c r="X168" s="4">
        <f t="shared" si="16"/>
        <v>68193.89999999998</v>
      </c>
      <c r="Y168" s="4">
        <f t="shared" si="19"/>
        <v>7969.7</v>
      </c>
      <c r="AA168" s="4">
        <v>8.7278247186081295</v>
      </c>
    </row>
    <row r="169" spans="1:27" s="4" customFormat="1" x14ac:dyDescent="0.25">
      <c r="A169" s="58"/>
      <c r="B169" s="9"/>
      <c r="C169" s="6">
        <v>42015</v>
      </c>
      <c r="D169" s="4">
        <v>6</v>
      </c>
      <c r="E169" s="4">
        <v>5.2</v>
      </c>
      <c r="F169" s="4">
        <v>7.8</v>
      </c>
      <c r="G169" s="4">
        <f t="shared" si="12"/>
        <v>1288.0000000000002</v>
      </c>
      <c r="H169" s="4">
        <f t="shared" si="18"/>
        <v>224.79999999999998</v>
      </c>
      <c r="J169" s="4">
        <v>0</v>
      </c>
      <c r="K169" s="4">
        <f t="shared" si="13"/>
        <v>213.99999999999994</v>
      </c>
      <c r="L169" s="4">
        <v>0.7</v>
      </c>
      <c r="M169" s="4">
        <f t="shared" si="14"/>
        <v>134.1999999999999</v>
      </c>
      <c r="N169" s="7">
        <v>-0.7</v>
      </c>
      <c r="O169" s="4">
        <f t="shared" si="20"/>
        <v>129.1</v>
      </c>
      <c r="P169" s="4">
        <v>125</v>
      </c>
      <c r="Q169" s="4">
        <v>1</v>
      </c>
      <c r="R169" s="8">
        <f t="shared" si="10"/>
        <v>0.7</v>
      </c>
      <c r="S169" s="8">
        <f t="shared" si="11"/>
        <v>-0.7</v>
      </c>
      <c r="T169" s="8">
        <f t="shared" si="15"/>
        <v>138.20000000000002</v>
      </c>
      <c r="V169" s="4">
        <v>625.1</v>
      </c>
      <c r="X169" s="4">
        <f t="shared" si="16"/>
        <v>68818.999999999985</v>
      </c>
      <c r="Y169" s="4">
        <f t="shared" si="19"/>
        <v>8594.7999999999993</v>
      </c>
      <c r="AA169" s="4">
        <v>8.7561974031467305</v>
      </c>
    </row>
    <row r="170" spans="1:27" s="4" customFormat="1" x14ac:dyDescent="0.25">
      <c r="A170" s="58"/>
      <c r="B170" s="9"/>
      <c r="C170" s="6">
        <v>42016</v>
      </c>
      <c r="D170" s="4">
        <v>6.1</v>
      </c>
      <c r="E170" s="4">
        <v>4.5</v>
      </c>
      <c r="F170" s="4">
        <v>7.5</v>
      </c>
      <c r="G170" s="4">
        <f t="shared" si="12"/>
        <v>1294.1000000000001</v>
      </c>
      <c r="H170" s="4">
        <f t="shared" si="18"/>
        <v>230.89999999999998</v>
      </c>
      <c r="J170" s="4">
        <v>0</v>
      </c>
      <c r="K170" s="4">
        <f t="shared" si="13"/>
        <v>213.99999999999994</v>
      </c>
      <c r="L170" s="4">
        <v>0.9</v>
      </c>
      <c r="M170" s="4">
        <f t="shared" si="14"/>
        <v>135.09999999999991</v>
      </c>
      <c r="N170" s="7">
        <v>-0.9</v>
      </c>
      <c r="O170" s="4">
        <f t="shared" si="20"/>
        <v>128.19999999999999</v>
      </c>
      <c r="P170" s="4">
        <v>126</v>
      </c>
      <c r="Q170" s="4">
        <v>1</v>
      </c>
      <c r="R170" s="8">
        <f t="shared" si="10"/>
        <v>0.9</v>
      </c>
      <c r="S170" s="8">
        <f t="shared" si="11"/>
        <v>-0.9</v>
      </c>
      <c r="T170" s="8">
        <f t="shared" si="15"/>
        <v>137.30000000000001</v>
      </c>
      <c r="V170" s="4">
        <v>298.10000000000002</v>
      </c>
      <c r="X170" s="4">
        <f t="shared" si="16"/>
        <v>69117.099999999991</v>
      </c>
      <c r="Y170" s="4">
        <f t="shared" si="19"/>
        <v>8892.9</v>
      </c>
      <c r="AA170" s="4">
        <v>8.7857507941933104</v>
      </c>
    </row>
    <row r="171" spans="1:27" s="4" customFormat="1" x14ac:dyDescent="0.25">
      <c r="A171" s="58"/>
      <c r="B171" s="9"/>
      <c r="C171" s="6">
        <v>42017</v>
      </c>
      <c r="D171" s="4">
        <v>8.1999999999999993</v>
      </c>
      <c r="E171" s="4">
        <v>6.5</v>
      </c>
      <c r="F171" s="4">
        <v>9.5</v>
      </c>
      <c r="G171" s="4">
        <f t="shared" si="12"/>
        <v>1302.3000000000002</v>
      </c>
      <c r="H171" s="4">
        <f t="shared" si="18"/>
        <v>239.09999999999997</v>
      </c>
      <c r="J171" s="4">
        <v>5.4</v>
      </c>
      <c r="K171" s="4">
        <f t="shared" si="13"/>
        <v>219.39999999999995</v>
      </c>
      <c r="L171" s="4">
        <v>0.8</v>
      </c>
      <c r="M171" s="4">
        <f t="shared" si="14"/>
        <v>135.89999999999992</v>
      </c>
      <c r="N171" s="4">
        <v>4.6000000000000005</v>
      </c>
      <c r="O171" s="4">
        <f t="shared" si="20"/>
        <v>132.79999999999998</v>
      </c>
      <c r="P171" s="4">
        <v>127</v>
      </c>
      <c r="Q171" s="4">
        <v>1</v>
      </c>
      <c r="R171" s="8">
        <f t="shared" si="10"/>
        <v>0.8</v>
      </c>
      <c r="S171" s="8">
        <f t="shared" si="11"/>
        <v>4.6000000000000005</v>
      </c>
      <c r="T171" s="8">
        <f t="shared" si="15"/>
        <v>138.9</v>
      </c>
      <c r="V171" s="4">
        <v>140.80000000000001</v>
      </c>
      <c r="X171" s="4">
        <f t="shared" si="16"/>
        <v>69257.899999999994</v>
      </c>
      <c r="Y171" s="4">
        <f t="shared" si="19"/>
        <v>9033.6999999999989</v>
      </c>
      <c r="AA171" s="4">
        <v>8.8164574214519202</v>
      </c>
    </row>
    <row r="172" spans="1:27" s="4" customFormat="1" x14ac:dyDescent="0.25">
      <c r="A172" s="58"/>
      <c r="B172" s="9"/>
      <c r="C172" s="6">
        <v>42018</v>
      </c>
      <c r="D172" s="4">
        <v>8.3000000000000007</v>
      </c>
      <c r="E172" s="4">
        <v>6.8</v>
      </c>
      <c r="F172" s="4">
        <v>9.4</v>
      </c>
      <c r="G172" s="4">
        <f t="shared" si="12"/>
        <v>1310.6000000000001</v>
      </c>
      <c r="H172" s="4">
        <f t="shared" si="18"/>
        <v>247.39999999999998</v>
      </c>
      <c r="J172" s="4">
        <v>1.7</v>
      </c>
      <c r="K172" s="4">
        <f t="shared" si="13"/>
        <v>221.09999999999994</v>
      </c>
      <c r="L172" s="4">
        <v>1</v>
      </c>
      <c r="M172" s="4">
        <f t="shared" si="14"/>
        <v>136.89999999999992</v>
      </c>
      <c r="N172" s="4">
        <v>0.7</v>
      </c>
      <c r="O172" s="4">
        <f t="shared" si="20"/>
        <v>133.49999999999997</v>
      </c>
      <c r="P172" s="4">
        <v>128</v>
      </c>
      <c r="Q172" s="4">
        <v>1</v>
      </c>
      <c r="R172" s="8">
        <f t="shared" si="10"/>
        <v>1</v>
      </c>
      <c r="S172" s="8">
        <f t="shared" si="11"/>
        <v>0.7</v>
      </c>
      <c r="T172" s="8">
        <f t="shared" si="15"/>
        <v>138.9</v>
      </c>
      <c r="V172" s="4">
        <v>246.1</v>
      </c>
      <c r="X172" s="4">
        <f t="shared" si="16"/>
        <v>69504</v>
      </c>
      <c r="Y172" s="4">
        <f t="shared" si="19"/>
        <v>9279.7999999999993</v>
      </c>
      <c r="AA172" s="4">
        <v>8.8482893166644701</v>
      </c>
    </row>
    <row r="173" spans="1:27" s="4" customFormat="1" x14ac:dyDescent="0.25">
      <c r="A173" s="58"/>
      <c r="B173" s="9"/>
      <c r="C173" s="6">
        <v>42019</v>
      </c>
      <c r="D173" s="4">
        <v>8.8000000000000007</v>
      </c>
      <c r="E173" s="4">
        <v>7.9</v>
      </c>
      <c r="F173" s="4">
        <v>10.6</v>
      </c>
      <c r="G173" s="4">
        <f t="shared" si="12"/>
        <v>1319.4</v>
      </c>
      <c r="H173" s="4">
        <f t="shared" si="18"/>
        <v>256.2</v>
      </c>
      <c r="J173" s="4">
        <v>4.2</v>
      </c>
      <c r="K173" s="4">
        <f t="shared" si="13"/>
        <v>225.29999999999993</v>
      </c>
      <c r="L173" s="4">
        <v>1.5</v>
      </c>
      <c r="M173" s="4">
        <f t="shared" si="14"/>
        <v>138.39999999999992</v>
      </c>
      <c r="N173" s="4">
        <v>2.7</v>
      </c>
      <c r="O173" s="4">
        <f t="shared" si="20"/>
        <v>136.19999999999996</v>
      </c>
      <c r="P173" s="4">
        <v>129</v>
      </c>
      <c r="Q173" s="4">
        <v>1</v>
      </c>
      <c r="R173" s="8">
        <f t="shared" ref="R173:R236" si="21">Q173*L173</f>
        <v>1.5</v>
      </c>
      <c r="S173" s="8">
        <f t="shared" ref="S173:S236" si="22">J173-R173</f>
        <v>2.7</v>
      </c>
      <c r="T173" s="8">
        <f t="shared" si="15"/>
        <v>138.9</v>
      </c>
      <c r="V173" s="4">
        <v>87</v>
      </c>
      <c r="X173" s="4">
        <f t="shared" si="16"/>
        <v>69591</v>
      </c>
      <c r="Y173" s="4">
        <f t="shared" si="19"/>
        <v>9366.7999999999993</v>
      </c>
      <c r="AA173" s="4">
        <v>8.8812180953916293</v>
      </c>
    </row>
    <row r="174" spans="1:27" s="4" customFormat="1" x14ac:dyDescent="0.25">
      <c r="A174" s="58"/>
      <c r="B174" s="9"/>
      <c r="C174" s="6">
        <v>42020</v>
      </c>
      <c r="D174" s="4">
        <v>5.8</v>
      </c>
      <c r="E174" s="4">
        <v>5.3</v>
      </c>
      <c r="F174" s="4">
        <v>7.9</v>
      </c>
      <c r="G174" s="4">
        <f t="shared" si="12"/>
        <v>1325.2</v>
      </c>
      <c r="H174" s="4">
        <f t="shared" si="18"/>
        <v>262</v>
      </c>
      <c r="J174" s="4">
        <v>1.9</v>
      </c>
      <c r="K174" s="4">
        <f t="shared" si="13"/>
        <v>227.19999999999993</v>
      </c>
      <c r="L174" s="4">
        <v>0.5</v>
      </c>
      <c r="M174" s="4">
        <f t="shared" si="14"/>
        <v>138.89999999999992</v>
      </c>
      <c r="N174" s="4">
        <v>1.4</v>
      </c>
      <c r="O174" s="4">
        <f t="shared" si="20"/>
        <v>137.59999999999997</v>
      </c>
      <c r="P174" s="4">
        <v>130</v>
      </c>
      <c r="Q174" s="4">
        <v>1</v>
      </c>
      <c r="R174" s="8">
        <f t="shared" si="21"/>
        <v>0.5</v>
      </c>
      <c r="S174" s="8">
        <f t="shared" si="22"/>
        <v>1.4</v>
      </c>
      <c r="T174" s="8">
        <f t="shared" si="15"/>
        <v>138.9</v>
      </c>
      <c r="V174" s="4">
        <v>258.7</v>
      </c>
      <c r="X174" s="4">
        <f t="shared" si="16"/>
        <v>69849.7</v>
      </c>
      <c r="Y174" s="4">
        <f t="shared" si="19"/>
        <v>9625.5</v>
      </c>
      <c r="AA174" s="4">
        <v>8.9152150369598697</v>
      </c>
    </row>
    <row r="175" spans="1:27" s="4" customFormat="1" x14ac:dyDescent="0.25">
      <c r="A175" s="58"/>
      <c r="B175" s="12"/>
      <c r="C175" s="6">
        <v>42021</v>
      </c>
      <c r="D175" s="4">
        <v>1.7</v>
      </c>
      <c r="E175" s="4">
        <v>1.3</v>
      </c>
      <c r="F175" s="4">
        <v>2.1</v>
      </c>
      <c r="G175" s="4">
        <f t="shared" ref="G175:G238" si="23">G174+D175</f>
        <v>1326.9</v>
      </c>
      <c r="H175" s="4">
        <f t="shared" si="18"/>
        <v>263.7</v>
      </c>
      <c r="J175" s="4">
        <v>0</v>
      </c>
      <c r="K175" s="4">
        <f t="shared" ref="K175:K238" si="24">K174+J175</f>
        <v>227.19999999999993</v>
      </c>
      <c r="L175" s="4">
        <v>0.2</v>
      </c>
      <c r="M175" s="4">
        <f t="shared" ref="M175:M238" si="25">M174+L175</f>
        <v>139.09999999999991</v>
      </c>
      <c r="N175" s="7">
        <v>-0.2</v>
      </c>
      <c r="O175" s="4">
        <f t="shared" si="20"/>
        <v>137.39999999999998</v>
      </c>
      <c r="P175" s="4">
        <v>131</v>
      </c>
      <c r="Q175" s="4">
        <v>1</v>
      </c>
      <c r="R175" s="8">
        <f t="shared" si="21"/>
        <v>0.2</v>
      </c>
      <c r="S175" s="8">
        <f t="shared" si="22"/>
        <v>-0.2</v>
      </c>
      <c r="T175" s="8">
        <f t="shared" ref="T175:T238" si="26">MIN(138.9,(T174+S175))</f>
        <v>138.70000000000002</v>
      </c>
      <c r="V175" s="4">
        <v>301.89999999999998</v>
      </c>
      <c r="X175" s="4">
        <f t="shared" ref="X175:X238" si="27">X174+V175</f>
        <v>70151.599999999991</v>
      </c>
      <c r="Y175" s="4">
        <f t="shared" si="19"/>
        <v>9927.4</v>
      </c>
      <c r="AA175" s="4">
        <v>8.9502511622191392</v>
      </c>
    </row>
    <row r="176" spans="1:27" s="4" customFormat="1" x14ac:dyDescent="0.25">
      <c r="A176" s="58"/>
      <c r="B176" s="12"/>
      <c r="C176" s="6">
        <v>42022</v>
      </c>
      <c r="D176" s="4">
        <v>2.9</v>
      </c>
      <c r="E176" s="4">
        <v>0.4</v>
      </c>
      <c r="F176" s="4">
        <v>7.2</v>
      </c>
      <c r="G176" s="4">
        <f t="shared" si="23"/>
        <v>1329.8000000000002</v>
      </c>
      <c r="H176" s="4">
        <f t="shared" si="18"/>
        <v>266.59999999999997</v>
      </c>
      <c r="J176" s="4">
        <v>0.4</v>
      </c>
      <c r="K176" s="4">
        <f t="shared" si="24"/>
        <v>227.59999999999994</v>
      </c>
      <c r="L176" s="4">
        <v>0.5</v>
      </c>
      <c r="M176" s="4">
        <f t="shared" si="25"/>
        <v>139.59999999999991</v>
      </c>
      <c r="N176" s="7">
        <v>-9.9999999999999978E-2</v>
      </c>
      <c r="O176" s="4">
        <f t="shared" si="20"/>
        <v>137.29999999999998</v>
      </c>
      <c r="P176" s="4">
        <v>132</v>
      </c>
      <c r="Q176" s="4">
        <v>1</v>
      </c>
      <c r="R176" s="8">
        <f t="shared" si="21"/>
        <v>0.5</v>
      </c>
      <c r="S176" s="8">
        <f t="shared" si="22"/>
        <v>-9.9999999999999978E-2</v>
      </c>
      <c r="T176" s="8">
        <f t="shared" si="26"/>
        <v>138.60000000000002</v>
      </c>
      <c r="V176" s="4">
        <v>360.1</v>
      </c>
      <c r="X176" s="4">
        <f t="shared" si="27"/>
        <v>70511.7</v>
      </c>
      <c r="Y176" s="4">
        <f t="shared" si="19"/>
        <v>10287.5</v>
      </c>
      <c r="AA176" s="4">
        <v>8.98629730879391</v>
      </c>
    </row>
    <row r="177" spans="1:27" s="4" customFormat="1" x14ac:dyDescent="0.25">
      <c r="A177" s="58"/>
      <c r="B177" s="9"/>
      <c r="C177" s="6">
        <v>42023</v>
      </c>
      <c r="D177" s="4">
        <v>1.7</v>
      </c>
      <c r="E177" s="4">
        <v>1.3</v>
      </c>
      <c r="F177" s="4">
        <v>2.2999999999999998</v>
      </c>
      <c r="G177" s="4">
        <f t="shared" si="23"/>
        <v>1331.5000000000002</v>
      </c>
      <c r="H177" s="4">
        <f t="shared" si="18"/>
        <v>268.29999999999995</v>
      </c>
      <c r="J177" s="4">
        <v>0.2</v>
      </c>
      <c r="K177" s="4">
        <f t="shared" si="24"/>
        <v>227.79999999999993</v>
      </c>
      <c r="L177" s="4">
        <v>0.2</v>
      </c>
      <c r="M177" s="4">
        <f t="shared" si="25"/>
        <v>139.7999999999999</v>
      </c>
      <c r="N177" s="7">
        <v>0</v>
      </c>
      <c r="O177" s="4">
        <f t="shared" si="20"/>
        <v>137.29999999999998</v>
      </c>
      <c r="P177" s="4">
        <v>133</v>
      </c>
      <c r="Q177" s="4">
        <v>1</v>
      </c>
      <c r="R177" s="8">
        <f t="shared" si="21"/>
        <v>0.2</v>
      </c>
      <c r="S177" s="8">
        <f t="shared" si="22"/>
        <v>0</v>
      </c>
      <c r="T177" s="8">
        <f t="shared" si="26"/>
        <v>138.60000000000002</v>
      </c>
      <c r="V177" s="4">
        <v>109.1</v>
      </c>
      <c r="X177" s="4">
        <f t="shared" si="27"/>
        <v>70620.800000000003</v>
      </c>
      <c r="Y177" s="4">
        <f t="shared" si="19"/>
        <v>10396.6</v>
      </c>
      <c r="AA177" s="4">
        <v>9.0233242035480394</v>
      </c>
    </row>
    <row r="178" spans="1:27" s="4" customFormat="1" x14ac:dyDescent="0.25">
      <c r="A178" s="58"/>
      <c r="B178" s="9"/>
      <c r="C178" s="6">
        <v>42024</v>
      </c>
      <c r="D178" s="4">
        <v>-0.1</v>
      </c>
      <c r="E178" s="4">
        <v>-2.9</v>
      </c>
      <c r="F178" s="4">
        <v>2.4</v>
      </c>
      <c r="G178" s="4">
        <v>1331.5</v>
      </c>
      <c r="H178" s="4">
        <v>268.3</v>
      </c>
      <c r="J178" s="4">
        <v>0</v>
      </c>
      <c r="K178" s="4">
        <f t="shared" si="24"/>
        <v>227.79999999999993</v>
      </c>
      <c r="L178" s="4">
        <v>0.2</v>
      </c>
      <c r="M178" s="4">
        <f t="shared" si="25"/>
        <v>139.99999999999989</v>
      </c>
      <c r="N178" s="7">
        <v>-0.2</v>
      </c>
      <c r="O178" s="4">
        <f t="shared" si="20"/>
        <v>137.1</v>
      </c>
      <c r="P178" s="4">
        <v>134</v>
      </c>
      <c r="Q178" s="4">
        <v>1</v>
      </c>
      <c r="R178" s="8">
        <f t="shared" si="21"/>
        <v>0.2</v>
      </c>
      <c r="S178" s="8">
        <f t="shared" si="22"/>
        <v>-0.2</v>
      </c>
      <c r="T178" s="8">
        <f t="shared" si="26"/>
        <v>138.40000000000003</v>
      </c>
      <c r="V178" s="4">
        <v>388.1</v>
      </c>
      <c r="X178" s="4">
        <f t="shared" si="27"/>
        <v>71008.900000000009</v>
      </c>
      <c r="Y178" s="4">
        <f t="shared" si="19"/>
        <v>10784.7</v>
      </c>
      <c r="AA178" s="4">
        <v>9.0613025320228697</v>
      </c>
    </row>
    <row r="179" spans="1:27" s="4" customFormat="1" x14ac:dyDescent="0.25">
      <c r="A179" s="58"/>
      <c r="B179" s="9"/>
      <c r="C179" s="6">
        <v>42025</v>
      </c>
      <c r="D179" s="4">
        <v>1.3</v>
      </c>
      <c r="E179" s="4">
        <v>-0.9</v>
      </c>
      <c r="F179" s="4">
        <v>5.2</v>
      </c>
      <c r="G179" s="4">
        <f t="shared" si="23"/>
        <v>1332.8</v>
      </c>
      <c r="H179" s="4">
        <f t="shared" si="18"/>
        <v>269.60000000000002</v>
      </c>
      <c r="J179" s="4">
        <v>0</v>
      </c>
      <c r="K179" s="4">
        <f t="shared" si="24"/>
        <v>227.79999999999993</v>
      </c>
      <c r="L179" s="4">
        <v>0.6</v>
      </c>
      <c r="M179" s="4">
        <f t="shared" si="25"/>
        <v>140.59999999999988</v>
      </c>
      <c r="N179" s="7">
        <v>-0.6</v>
      </c>
      <c r="O179" s="4">
        <f t="shared" si="20"/>
        <v>136.5</v>
      </c>
      <c r="P179" s="4">
        <v>135</v>
      </c>
      <c r="Q179" s="4">
        <v>1</v>
      </c>
      <c r="R179" s="8">
        <f t="shared" si="21"/>
        <v>0.6</v>
      </c>
      <c r="S179" s="8">
        <f t="shared" si="22"/>
        <v>-0.6</v>
      </c>
      <c r="T179" s="8">
        <f t="shared" si="26"/>
        <v>137.80000000000004</v>
      </c>
      <c r="V179" s="4">
        <v>289.5</v>
      </c>
      <c r="X179" s="4">
        <f t="shared" si="27"/>
        <v>71298.400000000009</v>
      </c>
      <c r="Y179" s="4">
        <f t="shared" si="19"/>
        <v>11074.2</v>
      </c>
      <c r="AA179" s="4">
        <v>9.1002030046451203</v>
      </c>
    </row>
    <row r="180" spans="1:27" s="4" customFormat="1" x14ac:dyDescent="0.25">
      <c r="A180" s="58"/>
      <c r="B180" s="9"/>
      <c r="C180" s="6">
        <v>42026</v>
      </c>
      <c r="D180" s="4">
        <v>-0.1</v>
      </c>
      <c r="E180" s="4">
        <v>-1</v>
      </c>
      <c r="F180" s="4">
        <v>1</v>
      </c>
      <c r="G180" s="4">
        <v>1332.8</v>
      </c>
      <c r="H180" s="4">
        <v>269.5</v>
      </c>
      <c r="J180" s="4">
        <v>0</v>
      </c>
      <c r="K180" s="4">
        <f t="shared" si="24"/>
        <v>227.79999999999993</v>
      </c>
      <c r="L180" s="4">
        <v>0.3</v>
      </c>
      <c r="M180" s="4">
        <f t="shared" si="25"/>
        <v>140.89999999999989</v>
      </c>
      <c r="N180" s="7">
        <v>-0.3</v>
      </c>
      <c r="O180" s="4">
        <f t="shared" si="20"/>
        <v>136.19999999999999</v>
      </c>
      <c r="P180" s="4">
        <v>136</v>
      </c>
      <c r="Q180" s="4">
        <v>1</v>
      </c>
      <c r="R180" s="8">
        <f t="shared" si="21"/>
        <v>0.3</v>
      </c>
      <c r="S180" s="8">
        <f t="shared" si="22"/>
        <v>-0.3</v>
      </c>
      <c r="T180" s="8">
        <f t="shared" si="26"/>
        <v>137.50000000000003</v>
      </c>
      <c r="V180" s="4">
        <v>453.6</v>
      </c>
      <c r="X180" s="4">
        <f t="shared" si="27"/>
        <v>71752.000000000015</v>
      </c>
      <c r="Y180" s="4">
        <f t="shared" si="19"/>
        <v>11527.800000000001</v>
      </c>
      <c r="AA180" s="4">
        <v>9.1399964195386101</v>
      </c>
    </row>
    <row r="181" spans="1:27" s="4" customFormat="1" x14ac:dyDescent="0.25">
      <c r="A181" s="58"/>
      <c r="B181" s="9"/>
      <c r="C181" s="6">
        <v>42027</v>
      </c>
      <c r="D181" s="4">
        <v>-1</v>
      </c>
      <c r="E181" s="4">
        <v>-1.9</v>
      </c>
      <c r="F181" s="4">
        <v>-0.4</v>
      </c>
      <c r="G181" s="4">
        <v>1338.8</v>
      </c>
      <c r="H181" s="4">
        <v>269.5</v>
      </c>
      <c r="J181" s="4">
        <v>0</v>
      </c>
      <c r="K181" s="4">
        <f t="shared" si="24"/>
        <v>227.79999999999993</v>
      </c>
      <c r="L181" s="4">
        <v>0.3</v>
      </c>
      <c r="M181" s="4">
        <f t="shared" si="25"/>
        <v>141.1999999999999</v>
      </c>
      <c r="N181" s="7">
        <v>-0.3</v>
      </c>
      <c r="O181" s="4">
        <f t="shared" si="20"/>
        <v>135.89999999999998</v>
      </c>
      <c r="P181" s="4">
        <v>137</v>
      </c>
      <c r="Q181" s="4">
        <v>1</v>
      </c>
      <c r="R181" s="8">
        <f t="shared" si="21"/>
        <v>0.3</v>
      </c>
      <c r="S181" s="8">
        <f t="shared" si="22"/>
        <v>-0.3</v>
      </c>
      <c r="T181" s="8">
        <f t="shared" si="26"/>
        <v>137.20000000000002</v>
      </c>
      <c r="V181" s="4">
        <v>313.89999999999998</v>
      </c>
      <c r="X181" s="4">
        <f t="shared" si="27"/>
        <v>72065.900000000009</v>
      </c>
      <c r="Y181" s="4">
        <f t="shared" si="19"/>
        <v>11841.7</v>
      </c>
      <c r="AA181" s="4">
        <v>9.1806537218089002</v>
      </c>
    </row>
    <row r="182" spans="1:27" s="4" customFormat="1" x14ac:dyDescent="0.25">
      <c r="A182" s="58"/>
      <c r="B182" s="9"/>
      <c r="C182" s="6">
        <v>42028</v>
      </c>
      <c r="D182" s="4">
        <v>1</v>
      </c>
      <c r="E182" s="4">
        <v>-1.6</v>
      </c>
      <c r="F182" s="4">
        <v>3.3</v>
      </c>
      <c r="G182" s="4">
        <f t="shared" si="23"/>
        <v>1339.8</v>
      </c>
      <c r="H182" s="4">
        <f t="shared" si="18"/>
        <v>270.5</v>
      </c>
      <c r="J182" s="4">
        <v>1.1000000000000001</v>
      </c>
      <c r="K182" s="4">
        <f t="shared" si="24"/>
        <v>228.89999999999992</v>
      </c>
      <c r="L182" s="4">
        <v>0.2</v>
      </c>
      <c r="M182" s="4">
        <f t="shared" si="25"/>
        <v>141.39999999999989</v>
      </c>
      <c r="N182" s="4">
        <v>0.90000000000000013</v>
      </c>
      <c r="O182" s="4">
        <f t="shared" si="20"/>
        <v>136.79999999999998</v>
      </c>
      <c r="P182" s="4">
        <v>138</v>
      </c>
      <c r="Q182" s="4">
        <v>1</v>
      </c>
      <c r="R182" s="8">
        <f t="shared" si="21"/>
        <v>0.2</v>
      </c>
      <c r="S182" s="8">
        <f t="shared" si="22"/>
        <v>0.90000000000000013</v>
      </c>
      <c r="T182" s="8">
        <f t="shared" si="26"/>
        <v>138.10000000000002</v>
      </c>
      <c r="V182" s="4">
        <v>295.60000000000002</v>
      </c>
      <c r="X182" s="4">
        <f t="shared" si="27"/>
        <v>72361.500000000015</v>
      </c>
      <c r="Y182" s="4">
        <f t="shared" si="19"/>
        <v>12137.300000000001</v>
      </c>
      <c r="AA182" s="4">
        <v>9.2221460592042295</v>
      </c>
    </row>
    <row r="183" spans="1:27" s="4" customFormat="1" x14ac:dyDescent="0.25">
      <c r="A183" s="58"/>
      <c r="B183" s="9"/>
      <c r="C183" s="6">
        <v>42029</v>
      </c>
      <c r="D183" s="4">
        <v>1.3</v>
      </c>
      <c r="E183" s="4">
        <v>-2.8</v>
      </c>
      <c r="F183" s="4">
        <v>5.7</v>
      </c>
      <c r="G183" s="4">
        <f t="shared" si="23"/>
        <v>1341.1</v>
      </c>
      <c r="H183" s="4">
        <f t="shared" si="18"/>
        <v>271.8</v>
      </c>
      <c r="J183" s="4">
        <v>0.2</v>
      </c>
      <c r="K183" s="4">
        <f t="shared" si="24"/>
        <v>229.09999999999991</v>
      </c>
      <c r="L183" s="4">
        <v>0.6</v>
      </c>
      <c r="M183" s="4">
        <f t="shared" si="25"/>
        <v>141.99999999999989</v>
      </c>
      <c r="N183" s="7">
        <v>-0.39999999999999997</v>
      </c>
      <c r="O183" s="4">
        <f t="shared" si="20"/>
        <v>136.39999999999998</v>
      </c>
      <c r="P183" s="4">
        <v>139</v>
      </c>
      <c r="Q183" s="4">
        <v>1</v>
      </c>
      <c r="R183" s="8">
        <f t="shared" si="21"/>
        <v>0.6</v>
      </c>
      <c r="S183" s="8">
        <f t="shared" si="22"/>
        <v>-0.39999999999999997</v>
      </c>
      <c r="T183" s="8">
        <f t="shared" si="26"/>
        <v>137.70000000000002</v>
      </c>
      <c r="V183" s="4">
        <v>689.9</v>
      </c>
      <c r="X183" s="4">
        <f t="shared" si="27"/>
        <v>73051.400000000009</v>
      </c>
      <c r="Y183" s="4">
        <f t="shared" si="19"/>
        <v>12827.2</v>
      </c>
      <c r="AA183" s="4">
        <v>9.2644448340879606</v>
      </c>
    </row>
    <row r="184" spans="1:27" s="4" customFormat="1" x14ac:dyDescent="0.25">
      <c r="A184" s="58"/>
      <c r="B184" s="9"/>
      <c r="C184" s="6">
        <v>42030</v>
      </c>
      <c r="D184" s="4">
        <v>5.2</v>
      </c>
      <c r="E184" s="4">
        <v>1.6</v>
      </c>
      <c r="F184" s="4">
        <v>7.8</v>
      </c>
      <c r="G184" s="4">
        <f t="shared" si="23"/>
        <v>1346.3</v>
      </c>
      <c r="H184" s="4">
        <f t="shared" si="18"/>
        <v>277</v>
      </c>
      <c r="J184" s="4">
        <v>1.5</v>
      </c>
      <c r="K184" s="4">
        <f t="shared" si="24"/>
        <v>230.59999999999991</v>
      </c>
      <c r="L184" s="4">
        <v>0.2</v>
      </c>
      <c r="M184" s="4">
        <f t="shared" si="25"/>
        <v>142.19999999999987</v>
      </c>
      <c r="N184" s="4">
        <v>1.3</v>
      </c>
      <c r="O184" s="4">
        <f t="shared" si="20"/>
        <v>137.69999999999999</v>
      </c>
      <c r="P184" s="4">
        <v>140</v>
      </c>
      <c r="Q184" s="4">
        <v>1</v>
      </c>
      <c r="R184" s="8">
        <f t="shared" si="21"/>
        <v>0.2</v>
      </c>
      <c r="S184" s="8">
        <f t="shared" si="22"/>
        <v>1.3</v>
      </c>
      <c r="T184" s="8">
        <f t="shared" si="26"/>
        <v>138.9</v>
      </c>
      <c r="V184" s="4">
        <v>107</v>
      </c>
      <c r="X184" s="4">
        <f t="shared" si="27"/>
        <v>73158.400000000009</v>
      </c>
      <c r="Y184" s="4">
        <f t="shared" si="19"/>
        <v>12934.2</v>
      </c>
      <c r="AA184" s="4">
        <v>9.3075217516878492</v>
      </c>
    </row>
    <row r="185" spans="1:27" s="4" customFormat="1" x14ac:dyDescent="0.25">
      <c r="A185" s="58"/>
      <c r="B185" s="9"/>
      <c r="C185" s="6">
        <v>42031</v>
      </c>
      <c r="D185" s="4">
        <v>4.8</v>
      </c>
      <c r="E185" s="4">
        <v>1.8</v>
      </c>
      <c r="F185" s="4">
        <v>6.9</v>
      </c>
      <c r="G185" s="4">
        <f t="shared" si="23"/>
        <v>1351.1</v>
      </c>
      <c r="H185" s="4">
        <f t="shared" si="18"/>
        <v>281.8</v>
      </c>
      <c r="J185" s="4">
        <v>0.1</v>
      </c>
      <c r="K185" s="4">
        <f t="shared" si="24"/>
        <v>230.6999999999999</v>
      </c>
      <c r="L185" s="4">
        <v>0.2</v>
      </c>
      <c r="M185" s="4">
        <f t="shared" si="25"/>
        <v>142.39999999999986</v>
      </c>
      <c r="N185" s="7">
        <v>-0.1</v>
      </c>
      <c r="O185" s="4">
        <f t="shared" si="20"/>
        <v>137.6</v>
      </c>
      <c r="P185" s="4">
        <v>141</v>
      </c>
      <c r="Q185" s="4">
        <v>1</v>
      </c>
      <c r="R185" s="8">
        <f t="shared" si="21"/>
        <v>0.2</v>
      </c>
      <c r="S185" s="8">
        <f t="shared" si="22"/>
        <v>-0.1</v>
      </c>
      <c r="T185" s="8">
        <f t="shared" si="26"/>
        <v>138.80000000000001</v>
      </c>
      <c r="V185" s="4">
        <v>281.10000000000002</v>
      </c>
      <c r="X185" s="4">
        <f t="shared" si="27"/>
        <v>73439.500000000015</v>
      </c>
      <c r="Y185" s="4">
        <f t="shared" si="19"/>
        <v>13215.300000000001</v>
      </c>
      <c r="AA185" s="4">
        <v>9.3513488646149803</v>
      </c>
    </row>
    <row r="186" spans="1:27" s="4" customFormat="1" x14ac:dyDescent="0.25">
      <c r="A186" s="58"/>
      <c r="B186" s="9"/>
      <c r="C186" s="6">
        <v>42032</v>
      </c>
      <c r="D186" s="4">
        <v>6.5</v>
      </c>
      <c r="E186" s="4">
        <v>4.8</v>
      </c>
      <c r="F186" s="4">
        <v>9.1999999999999993</v>
      </c>
      <c r="G186" s="4">
        <f t="shared" si="23"/>
        <v>1357.6</v>
      </c>
      <c r="H186" s="4">
        <f t="shared" si="18"/>
        <v>288.3</v>
      </c>
      <c r="J186" s="4">
        <v>3.2</v>
      </c>
      <c r="K186" s="4">
        <f t="shared" si="24"/>
        <v>233.89999999999989</v>
      </c>
      <c r="L186" s="4">
        <v>0.6</v>
      </c>
      <c r="M186" s="4">
        <f t="shared" si="25"/>
        <v>142.99999999999986</v>
      </c>
      <c r="N186" s="4">
        <v>2.6</v>
      </c>
      <c r="O186" s="4">
        <v>138.9</v>
      </c>
      <c r="P186" s="4">
        <v>142</v>
      </c>
      <c r="Q186" s="4">
        <v>1</v>
      </c>
      <c r="R186" s="8">
        <f t="shared" si="21"/>
        <v>0.6</v>
      </c>
      <c r="S186" s="8">
        <f t="shared" si="22"/>
        <v>2.6</v>
      </c>
      <c r="T186" s="8">
        <f t="shared" si="26"/>
        <v>138.9</v>
      </c>
      <c r="V186" s="4">
        <v>307.5</v>
      </c>
      <c r="X186" s="4">
        <f t="shared" si="27"/>
        <v>73747.000000000015</v>
      </c>
      <c r="Y186" s="4">
        <f t="shared" si="19"/>
        <v>13522.800000000001</v>
      </c>
      <c r="AA186" s="4">
        <v>9.3958986136708909</v>
      </c>
    </row>
    <row r="187" spans="1:27" s="4" customFormat="1" x14ac:dyDescent="0.25">
      <c r="A187" s="58"/>
      <c r="B187" s="9"/>
      <c r="C187" s="6">
        <v>42033</v>
      </c>
      <c r="D187" s="4">
        <v>5.2</v>
      </c>
      <c r="E187" s="4">
        <v>5.0999999999999996</v>
      </c>
      <c r="F187" s="4">
        <v>6.3</v>
      </c>
      <c r="G187" s="4">
        <f t="shared" si="23"/>
        <v>1362.8</v>
      </c>
      <c r="H187" s="4">
        <f t="shared" si="18"/>
        <v>293.5</v>
      </c>
      <c r="J187" s="4">
        <v>9.1</v>
      </c>
      <c r="K187" s="4">
        <f t="shared" si="24"/>
        <v>242.99999999999989</v>
      </c>
      <c r="L187" s="4">
        <v>0.7</v>
      </c>
      <c r="M187" s="4">
        <f t="shared" si="25"/>
        <v>143.69999999999985</v>
      </c>
      <c r="N187" s="4">
        <v>8.4</v>
      </c>
      <c r="O187" s="4">
        <v>138.9</v>
      </c>
      <c r="P187" s="4">
        <v>143</v>
      </c>
      <c r="Q187" s="4">
        <v>1</v>
      </c>
      <c r="R187" s="8">
        <f t="shared" si="21"/>
        <v>0.7</v>
      </c>
      <c r="S187" s="8">
        <f t="shared" si="22"/>
        <v>8.4</v>
      </c>
      <c r="T187" s="8">
        <f t="shared" si="26"/>
        <v>138.9</v>
      </c>
      <c r="V187" s="4">
        <v>140.9</v>
      </c>
      <c r="X187" s="4">
        <f t="shared" si="27"/>
        <v>73887.900000000009</v>
      </c>
      <c r="Y187" s="4">
        <f t="shared" si="19"/>
        <v>13663.7</v>
      </c>
      <c r="AA187" s="4">
        <v>9.4411438649839408</v>
      </c>
    </row>
    <row r="188" spans="1:27" s="4" customFormat="1" x14ac:dyDescent="0.25">
      <c r="A188" s="58"/>
      <c r="B188" s="9"/>
      <c r="C188" s="6">
        <v>42034</v>
      </c>
      <c r="D188" s="4">
        <v>2.5</v>
      </c>
      <c r="E188" s="4">
        <v>1.4</v>
      </c>
      <c r="F188" s="4">
        <v>5</v>
      </c>
      <c r="G188" s="4">
        <f t="shared" si="23"/>
        <v>1365.3</v>
      </c>
      <c r="H188" s="4">
        <f t="shared" si="18"/>
        <v>296</v>
      </c>
      <c r="J188" s="4">
        <v>1.1000000000000001</v>
      </c>
      <c r="K188" s="4">
        <f t="shared" si="24"/>
        <v>244.09999999999988</v>
      </c>
      <c r="L188" s="4">
        <v>0.7</v>
      </c>
      <c r="M188" s="4">
        <f t="shared" si="25"/>
        <v>144.39999999999984</v>
      </c>
      <c r="N188" s="4">
        <v>0.40000000000000013</v>
      </c>
      <c r="O188" s="4">
        <v>138.9</v>
      </c>
      <c r="P188" s="4">
        <v>144</v>
      </c>
      <c r="Q188" s="4">
        <v>1</v>
      </c>
      <c r="R188" s="8">
        <f t="shared" si="21"/>
        <v>0.7</v>
      </c>
      <c r="S188" s="8">
        <f t="shared" si="22"/>
        <v>0.40000000000000013</v>
      </c>
      <c r="T188" s="8">
        <f t="shared" si="26"/>
        <v>138.9</v>
      </c>
      <c r="V188" s="4">
        <v>224.8</v>
      </c>
      <c r="X188" s="4">
        <f t="shared" si="27"/>
        <v>74112.700000000012</v>
      </c>
      <c r="Y188" s="4">
        <f t="shared" si="19"/>
        <v>13888.5</v>
      </c>
      <c r="AA188" s="4">
        <v>9.4870579435367901</v>
      </c>
    </row>
    <row r="189" spans="1:27" s="4" customFormat="1" x14ac:dyDescent="0.25">
      <c r="A189" s="58"/>
      <c r="B189" s="9"/>
      <c r="C189" s="6">
        <v>42035</v>
      </c>
      <c r="D189" s="4">
        <v>3.4</v>
      </c>
      <c r="E189" s="4">
        <v>1.4</v>
      </c>
      <c r="F189" s="4">
        <v>5.7</v>
      </c>
      <c r="G189" s="4">
        <f t="shared" si="23"/>
        <v>1368.7</v>
      </c>
      <c r="H189" s="4">
        <f t="shared" si="18"/>
        <v>299.39999999999998</v>
      </c>
      <c r="J189" s="4">
        <v>0.8</v>
      </c>
      <c r="K189" s="4">
        <f t="shared" si="24"/>
        <v>244.89999999999989</v>
      </c>
      <c r="L189" s="4">
        <v>0.5</v>
      </c>
      <c r="M189" s="4">
        <f t="shared" si="25"/>
        <v>144.89999999999984</v>
      </c>
      <c r="N189" s="4">
        <v>0.30000000000000004</v>
      </c>
      <c r="O189" s="4">
        <v>138.9</v>
      </c>
      <c r="P189" s="4">
        <v>145</v>
      </c>
      <c r="Q189" s="4">
        <v>1</v>
      </c>
      <c r="R189" s="8">
        <f t="shared" si="21"/>
        <v>0.5</v>
      </c>
      <c r="S189" s="8">
        <f t="shared" si="22"/>
        <v>0.30000000000000004</v>
      </c>
      <c r="T189" s="8">
        <f t="shared" si="26"/>
        <v>138.9</v>
      </c>
      <c r="V189" s="4">
        <v>394.5</v>
      </c>
      <c r="X189" s="4">
        <f t="shared" si="27"/>
        <v>74507.200000000012</v>
      </c>
      <c r="Y189" s="4">
        <f t="shared" si="19"/>
        <v>14283</v>
      </c>
      <c r="AA189" s="4">
        <v>9.5336146631650198</v>
      </c>
    </row>
    <row r="190" spans="1:27" s="4" customFormat="1" x14ac:dyDescent="0.25">
      <c r="A190" s="58"/>
      <c r="B190" s="9"/>
      <c r="C190" s="6">
        <v>42036</v>
      </c>
      <c r="D190" s="4">
        <v>2.5</v>
      </c>
      <c r="E190" s="4">
        <v>1.1000000000000001</v>
      </c>
      <c r="F190" s="4">
        <v>3</v>
      </c>
      <c r="G190" s="4">
        <f t="shared" si="23"/>
        <v>1371.2</v>
      </c>
      <c r="H190" s="4">
        <f t="shared" si="18"/>
        <v>301.89999999999998</v>
      </c>
      <c r="J190" s="4">
        <v>1.6</v>
      </c>
      <c r="K190" s="4">
        <f t="shared" si="24"/>
        <v>246.49999999999989</v>
      </c>
      <c r="L190" s="4">
        <v>0.4</v>
      </c>
      <c r="M190" s="4">
        <f t="shared" si="25"/>
        <v>145.29999999999984</v>
      </c>
      <c r="N190" s="4">
        <v>1.2000000000000002</v>
      </c>
      <c r="O190" s="4">
        <v>138.9</v>
      </c>
      <c r="P190" s="4">
        <v>146</v>
      </c>
      <c r="Q190" s="4">
        <v>1</v>
      </c>
      <c r="R190" s="8">
        <f t="shared" si="21"/>
        <v>0.4</v>
      </c>
      <c r="S190" s="8">
        <f t="shared" si="22"/>
        <v>1.2000000000000002</v>
      </c>
      <c r="T190" s="8">
        <f t="shared" si="26"/>
        <v>138.9</v>
      </c>
      <c r="V190" s="4">
        <v>234.7</v>
      </c>
      <c r="X190" s="4">
        <f t="shared" si="27"/>
        <v>74741.900000000009</v>
      </c>
      <c r="Y190" s="4">
        <f t="shared" si="19"/>
        <v>14517.7</v>
      </c>
      <c r="AA190" s="4">
        <v>9.5807883531223297</v>
      </c>
    </row>
    <row r="191" spans="1:27" s="4" customFormat="1" x14ac:dyDescent="0.25">
      <c r="A191" s="58"/>
      <c r="B191" s="9"/>
      <c r="C191" s="6">
        <v>42037</v>
      </c>
      <c r="D191" s="4">
        <v>2.1</v>
      </c>
      <c r="E191" s="4">
        <v>1.7</v>
      </c>
      <c r="F191" s="4">
        <v>5.0999999999999996</v>
      </c>
      <c r="G191" s="4">
        <f t="shared" si="23"/>
        <v>1373.3</v>
      </c>
      <c r="H191" s="4">
        <f t="shared" si="18"/>
        <v>304</v>
      </c>
      <c r="J191" s="4">
        <v>0</v>
      </c>
      <c r="K191" s="4">
        <f t="shared" si="24"/>
        <v>246.49999999999989</v>
      </c>
      <c r="L191" s="4">
        <v>0.6</v>
      </c>
      <c r="M191" s="4">
        <f t="shared" si="25"/>
        <v>145.89999999999984</v>
      </c>
      <c r="N191" s="7">
        <v>-0.6</v>
      </c>
      <c r="O191" s="4">
        <f t="shared" ref="O191:O201" si="28">O190+N191</f>
        <v>138.30000000000001</v>
      </c>
      <c r="P191" s="4">
        <v>147</v>
      </c>
      <c r="Q191" s="4">
        <v>1</v>
      </c>
      <c r="R191" s="8">
        <f t="shared" si="21"/>
        <v>0.6</v>
      </c>
      <c r="S191" s="8">
        <f t="shared" si="22"/>
        <v>-0.6</v>
      </c>
      <c r="T191" s="8">
        <f t="shared" si="26"/>
        <v>138.30000000000001</v>
      </c>
      <c r="V191" s="4">
        <v>533.79999999999995</v>
      </c>
      <c r="X191" s="4">
        <f t="shared" si="27"/>
        <v>75275.700000000012</v>
      </c>
      <c r="Y191" s="4">
        <f t="shared" si="19"/>
        <v>15051.5</v>
      </c>
      <c r="AA191" s="4">
        <v>9.6285538813215705</v>
      </c>
    </row>
    <row r="192" spans="1:27" s="4" customFormat="1" x14ac:dyDescent="0.25">
      <c r="A192" s="58"/>
      <c r="B192" s="9"/>
      <c r="C192" s="6">
        <v>42038</v>
      </c>
      <c r="D192" s="4">
        <v>-0.7</v>
      </c>
      <c r="E192" s="4">
        <v>-2.5</v>
      </c>
      <c r="F192" s="4">
        <v>0.4</v>
      </c>
      <c r="G192" s="4">
        <v>1373.3</v>
      </c>
      <c r="H192" s="4">
        <v>304</v>
      </c>
      <c r="J192" s="4">
        <v>0.1</v>
      </c>
      <c r="K192" s="4">
        <f t="shared" si="24"/>
        <v>246.59999999999988</v>
      </c>
      <c r="L192" s="4">
        <v>0.2</v>
      </c>
      <c r="M192" s="4">
        <f t="shared" si="25"/>
        <v>146.09999999999982</v>
      </c>
      <c r="N192" s="7">
        <v>-0.1</v>
      </c>
      <c r="O192" s="4">
        <f t="shared" si="28"/>
        <v>138.20000000000002</v>
      </c>
      <c r="P192" s="4">
        <v>148</v>
      </c>
      <c r="Q192" s="4">
        <v>1</v>
      </c>
      <c r="R192" s="8">
        <f t="shared" si="21"/>
        <v>0.2</v>
      </c>
      <c r="S192" s="8">
        <f t="shared" si="22"/>
        <v>-0.1</v>
      </c>
      <c r="T192" s="8">
        <f t="shared" si="26"/>
        <v>138.20000000000002</v>
      </c>
      <c r="V192" s="4">
        <v>138.4</v>
      </c>
      <c r="X192" s="4">
        <f t="shared" si="27"/>
        <v>75414.100000000006</v>
      </c>
      <c r="Y192" s="4">
        <f t="shared" si="19"/>
        <v>15189.9</v>
      </c>
      <c r="AA192" s="4">
        <v>9.6768866743718895</v>
      </c>
    </row>
    <row r="193" spans="1:28" s="4" customFormat="1" x14ac:dyDescent="0.25">
      <c r="A193" s="58"/>
      <c r="B193" s="9"/>
      <c r="C193" s="6">
        <v>42039</v>
      </c>
      <c r="D193" s="4">
        <v>0.8</v>
      </c>
      <c r="E193" s="4">
        <v>-0.4</v>
      </c>
      <c r="F193" s="4">
        <v>1.7</v>
      </c>
      <c r="G193" s="4">
        <f t="shared" si="23"/>
        <v>1374.1</v>
      </c>
      <c r="H193" s="4">
        <f t="shared" ref="H193:H256" si="29">H192+D193</f>
        <v>304.8</v>
      </c>
      <c r="J193" s="4">
        <v>0</v>
      </c>
      <c r="K193" s="4">
        <f t="shared" si="24"/>
        <v>246.59999999999988</v>
      </c>
      <c r="L193" s="4">
        <v>0.6</v>
      </c>
      <c r="M193" s="4">
        <f t="shared" si="25"/>
        <v>146.69999999999982</v>
      </c>
      <c r="N193" s="7">
        <v>-0.6</v>
      </c>
      <c r="O193" s="4">
        <f t="shared" si="28"/>
        <v>137.60000000000002</v>
      </c>
      <c r="P193" s="4">
        <v>149</v>
      </c>
      <c r="Q193" s="4">
        <v>1</v>
      </c>
      <c r="R193" s="8">
        <f t="shared" si="21"/>
        <v>0.6</v>
      </c>
      <c r="S193" s="8">
        <f t="shared" si="22"/>
        <v>-0.6</v>
      </c>
      <c r="T193" s="8">
        <f t="shared" si="26"/>
        <v>137.60000000000002</v>
      </c>
      <c r="V193" s="4">
        <v>427.5</v>
      </c>
      <c r="X193" s="4">
        <f t="shared" si="27"/>
        <v>75841.600000000006</v>
      </c>
      <c r="Y193" s="4">
        <f t="shared" ref="Y193:Y256" si="30">Y192+V193</f>
        <v>15617.4</v>
      </c>
      <c r="AA193" s="4">
        <v>9.7257627345416804</v>
      </c>
    </row>
    <row r="194" spans="1:28" s="4" customFormat="1" x14ac:dyDescent="0.25">
      <c r="A194" s="58"/>
      <c r="B194" s="9"/>
      <c r="C194" s="6">
        <v>42040</v>
      </c>
      <c r="D194" s="4">
        <v>0.8</v>
      </c>
      <c r="E194" s="4">
        <v>-0.1</v>
      </c>
      <c r="F194" s="4">
        <v>2.9</v>
      </c>
      <c r="G194" s="4">
        <f t="shared" si="23"/>
        <v>1374.8999999999999</v>
      </c>
      <c r="H194" s="4">
        <f t="shared" si="29"/>
        <v>305.60000000000002</v>
      </c>
      <c r="J194" s="4">
        <v>0</v>
      </c>
      <c r="K194" s="4">
        <f t="shared" si="24"/>
        <v>246.59999999999988</v>
      </c>
      <c r="L194" s="4">
        <v>1</v>
      </c>
      <c r="M194" s="4">
        <f t="shared" si="25"/>
        <v>147.69999999999982</v>
      </c>
      <c r="N194" s="7">
        <v>-1</v>
      </c>
      <c r="O194" s="4">
        <f t="shared" si="28"/>
        <v>136.60000000000002</v>
      </c>
      <c r="P194" s="4">
        <v>150</v>
      </c>
      <c r="Q194" s="4">
        <v>1</v>
      </c>
      <c r="R194" s="8">
        <f t="shared" si="21"/>
        <v>1</v>
      </c>
      <c r="S194" s="8">
        <f t="shared" si="22"/>
        <v>-1</v>
      </c>
      <c r="T194" s="8">
        <f t="shared" si="26"/>
        <v>136.60000000000002</v>
      </c>
      <c r="V194" s="4">
        <v>606.70000000000005</v>
      </c>
      <c r="X194" s="4">
        <f t="shared" si="27"/>
        <v>76448.3</v>
      </c>
      <c r="Y194" s="4">
        <f t="shared" si="30"/>
        <v>16224.1</v>
      </c>
      <c r="AA194" s="4">
        <v>9.7751586537838993</v>
      </c>
    </row>
    <row r="195" spans="1:28" s="4" customFormat="1" x14ac:dyDescent="0.25">
      <c r="A195" s="58"/>
      <c r="B195" s="9"/>
      <c r="C195" s="6">
        <v>42041</v>
      </c>
      <c r="D195" s="4">
        <v>-0.2</v>
      </c>
      <c r="E195" s="4">
        <v>-0.9</v>
      </c>
      <c r="F195" s="4">
        <v>0.8</v>
      </c>
      <c r="G195" s="4">
        <v>1374.9</v>
      </c>
      <c r="H195" s="4">
        <v>305.60000000000002</v>
      </c>
      <c r="J195" s="4">
        <v>0</v>
      </c>
      <c r="K195" s="4">
        <f t="shared" si="24"/>
        <v>246.59999999999988</v>
      </c>
      <c r="L195" s="4">
        <v>1.3</v>
      </c>
      <c r="M195" s="4">
        <f t="shared" si="25"/>
        <v>148.99999999999983</v>
      </c>
      <c r="N195" s="7">
        <v>-1.3</v>
      </c>
      <c r="O195" s="4">
        <f t="shared" si="28"/>
        <v>135.30000000000001</v>
      </c>
      <c r="P195" s="4">
        <v>151</v>
      </c>
      <c r="Q195" s="4">
        <v>1</v>
      </c>
      <c r="R195" s="8">
        <f t="shared" si="21"/>
        <v>1.3</v>
      </c>
      <c r="S195" s="8">
        <f t="shared" si="22"/>
        <v>-1.3</v>
      </c>
      <c r="T195" s="8">
        <f t="shared" si="26"/>
        <v>135.30000000000001</v>
      </c>
      <c r="V195" s="4">
        <v>411.8</v>
      </c>
      <c r="X195" s="4">
        <f t="shared" si="27"/>
        <v>76860.100000000006</v>
      </c>
      <c r="Y195" s="4">
        <f t="shared" si="30"/>
        <v>16635.900000000001</v>
      </c>
      <c r="AA195" s="4">
        <v>9.8250516249662798</v>
      </c>
    </row>
    <row r="196" spans="1:28" s="4" customFormat="1" x14ac:dyDescent="0.25">
      <c r="A196" s="58"/>
      <c r="B196" s="9"/>
      <c r="C196" s="6">
        <v>42042</v>
      </c>
      <c r="D196" s="4">
        <v>0.7</v>
      </c>
      <c r="E196" s="4">
        <v>-2.5</v>
      </c>
      <c r="F196" s="4">
        <v>2.7</v>
      </c>
      <c r="G196" s="4">
        <f t="shared" si="23"/>
        <v>1375.6000000000001</v>
      </c>
      <c r="H196" s="4">
        <f t="shared" si="29"/>
        <v>306.3</v>
      </c>
      <c r="J196" s="4">
        <v>0</v>
      </c>
      <c r="K196" s="4">
        <f t="shared" si="24"/>
        <v>246.59999999999988</v>
      </c>
      <c r="L196" s="4">
        <v>1.2</v>
      </c>
      <c r="M196" s="4">
        <f t="shared" si="25"/>
        <v>150.19999999999982</v>
      </c>
      <c r="N196" s="7">
        <v>-1.2</v>
      </c>
      <c r="O196" s="4">
        <f t="shared" si="28"/>
        <v>134.10000000000002</v>
      </c>
      <c r="P196" s="4">
        <v>152</v>
      </c>
      <c r="Q196" s="4">
        <v>1</v>
      </c>
      <c r="R196" s="8">
        <f t="shared" si="21"/>
        <v>1.2</v>
      </c>
      <c r="S196" s="8">
        <f t="shared" si="22"/>
        <v>-1.2</v>
      </c>
      <c r="T196" s="8">
        <f t="shared" si="26"/>
        <v>134.10000000000002</v>
      </c>
      <c r="V196" s="4">
        <v>1118.2</v>
      </c>
      <c r="X196" s="4">
        <f t="shared" si="27"/>
        <v>77978.3</v>
      </c>
      <c r="Y196" s="4">
        <f t="shared" si="30"/>
        <v>17754.100000000002</v>
      </c>
      <c r="AA196" s="4">
        <v>9.8754194504520605</v>
      </c>
    </row>
    <row r="197" spans="1:28" s="4" customFormat="1" x14ac:dyDescent="0.25">
      <c r="A197" s="58"/>
      <c r="B197" s="9"/>
      <c r="C197" s="6">
        <v>42043</v>
      </c>
      <c r="D197" s="4">
        <v>3.8</v>
      </c>
      <c r="E197" s="4">
        <v>1.8</v>
      </c>
      <c r="F197" s="4">
        <v>6.1</v>
      </c>
      <c r="G197" s="4">
        <f t="shared" si="23"/>
        <v>1379.4</v>
      </c>
      <c r="H197" s="4">
        <f t="shared" si="29"/>
        <v>310.10000000000002</v>
      </c>
      <c r="J197" s="4">
        <v>0</v>
      </c>
      <c r="K197" s="4">
        <f t="shared" si="24"/>
        <v>246.59999999999988</v>
      </c>
      <c r="L197" s="4">
        <v>0.8</v>
      </c>
      <c r="M197" s="4">
        <f t="shared" si="25"/>
        <v>150.99999999999983</v>
      </c>
      <c r="N197" s="7">
        <v>-0.8</v>
      </c>
      <c r="O197" s="4">
        <f t="shared" si="28"/>
        <v>133.30000000000001</v>
      </c>
      <c r="P197" s="4">
        <v>153</v>
      </c>
      <c r="Q197" s="4">
        <v>1</v>
      </c>
      <c r="R197" s="8">
        <f t="shared" si="21"/>
        <v>0.8</v>
      </c>
      <c r="S197" s="8">
        <f t="shared" si="22"/>
        <v>-0.8</v>
      </c>
      <c r="T197" s="8">
        <f t="shared" si="26"/>
        <v>133.30000000000001</v>
      </c>
      <c r="V197" s="4">
        <v>325.39999999999998</v>
      </c>
      <c r="X197" s="4">
        <f t="shared" si="27"/>
        <v>78303.7</v>
      </c>
      <c r="Y197" s="4">
        <f t="shared" si="30"/>
        <v>18079.500000000004</v>
      </c>
      <c r="AA197" s="4">
        <v>9.92624054817969</v>
      </c>
    </row>
    <row r="198" spans="1:28" s="4" customFormat="1" x14ac:dyDescent="0.25">
      <c r="A198" s="58"/>
      <c r="B198" s="9"/>
      <c r="C198" s="6">
        <v>42044</v>
      </c>
      <c r="D198" s="4">
        <v>2.7</v>
      </c>
      <c r="E198" s="4">
        <v>-2.1</v>
      </c>
      <c r="F198" s="4">
        <v>6.6</v>
      </c>
      <c r="G198" s="4">
        <f t="shared" si="23"/>
        <v>1382.1000000000001</v>
      </c>
      <c r="H198" s="4">
        <f t="shared" si="29"/>
        <v>312.8</v>
      </c>
      <c r="J198" s="4">
        <v>0</v>
      </c>
      <c r="K198" s="4">
        <f t="shared" si="24"/>
        <v>246.59999999999988</v>
      </c>
      <c r="L198" s="4">
        <v>0.9</v>
      </c>
      <c r="M198" s="4">
        <f t="shared" si="25"/>
        <v>151.89999999999984</v>
      </c>
      <c r="N198" s="7">
        <v>-0.9</v>
      </c>
      <c r="O198" s="4">
        <f t="shared" si="28"/>
        <v>132.4</v>
      </c>
      <c r="P198" s="4">
        <v>154</v>
      </c>
      <c r="Q198" s="4">
        <v>1</v>
      </c>
      <c r="R198" s="8">
        <f t="shared" si="21"/>
        <v>0.9</v>
      </c>
      <c r="S198" s="8">
        <f t="shared" si="22"/>
        <v>-0.9</v>
      </c>
      <c r="T198" s="8">
        <f t="shared" si="26"/>
        <v>132.4</v>
      </c>
      <c r="V198" s="4">
        <v>759.8</v>
      </c>
      <c r="X198" s="4">
        <f t="shared" si="27"/>
        <v>79063.5</v>
      </c>
      <c r="Y198" s="4">
        <f t="shared" si="30"/>
        <v>18839.300000000003</v>
      </c>
      <c r="AA198" s="4">
        <v>9.9774939553903295</v>
      </c>
    </row>
    <row r="199" spans="1:28" s="4" customFormat="1" x14ac:dyDescent="0.25">
      <c r="A199" s="58"/>
      <c r="B199" s="9"/>
      <c r="C199" s="6">
        <v>42045</v>
      </c>
      <c r="D199" s="4">
        <v>3.6</v>
      </c>
      <c r="E199" s="4">
        <v>1.6</v>
      </c>
      <c r="F199" s="4">
        <v>6</v>
      </c>
      <c r="G199" s="4">
        <f t="shared" si="23"/>
        <v>1385.7</v>
      </c>
      <c r="H199" s="4">
        <f t="shared" si="29"/>
        <v>316.40000000000003</v>
      </c>
      <c r="J199" s="4">
        <v>0</v>
      </c>
      <c r="K199" s="4">
        <f t="shared" si="24"/>
        <v>246.59999999999988</v>
      </c>
      <c r="L199" s="4">
        <v>0.9</v>
      </c>
      <c r="M199" s="4">
        <f t="shared" si="25"/>
        <v>152.79999999999984</v>
      </c>
      <c r="N199" s="7">
        <v>-0.9</v>
      </c>
      <c r="O199" s="4">
        <f t="shared" si="28"/>
        <v>131.5</v>
      </c>
      <c r="P199" s="4">
        <v>155</v>
      </c>
      <c r="Q199" s="4">
        <v>1</v>
      </c>
      <c r="R199" s="8">
        <f t="shared" si="21"/>
        <v>0.9</v>
      </c>
      <c r="S199" s="8">
        <f t="shared" si="22"/>
        <v>-0.9</v>
      </c>
      <c r="T199" s="8">
        <f t="shared" si="26"/>
        <v>131.5</v>
      </c>
      <c r="V199" s="4">
        <v>531.1</v>
      </c>
      <c r="X199" s="4">
        <f t="shared" si="27"/>
        <v>79594.600000000006</v>
      </c>
      <c r="Y199" s="4">
        <f t="shared" si="30"/>
        <v>19370.400000000001</v>
      </c>
      <c r="AA199" s="4">
        <v>10.029159330152</v>
      </c>
    </row>
    <row r="200" spans="1:28" s="4" customFormat="1" x14ac:dyDescent="0.25">
      <c r="A200" s="58"/>
      <c r="B200" s="9"/>
      <c r="C200" s="6">
        <v>42046</v>
      </c>
      <c r="D200" s="4">
        <v>0.4</v>
      </c>
      <c r="E200" s="4">
        <v>-1.6</v>
      </c>
      <c r="F200" s="4">
        <v>3.7</v>
      </c>
      <c r="G200" s="4">
        <f t="shared" si="23"/>
        <v>1386.1000000000001</v>
      </c>
      <c r="H200" s="4">
        <f t="shared" si="29"/>
        <v>316.8</v>
      </c>
      <c r="J200" s="4">
        <v>0</v>
      </c>
      <c r="K200" s="4">
        <f t="shared" si="24"/>
        <v>246.59999999999988</v>
      </c>
      <c r="L200" s="4">
        <v>0.8</v>
      </c>
      <c r="M200" s="4">
        <f t="shared" si="25"/>
        <v>153.59999999999985</v>
      </c>
      <c r="N200" s="7">
        <v>-0.8</v>
      </c>
      <c r="O200" s="4">
        <f t="shared" si="28"/>
        <v>130.69999999999999</v>
      </c>
      <c r="P200" s="4">
        <v>156</v>
      </c>
      <c r="Q200" s="4">
        <v>1</v>
      </c>
      <c r="R200" s="8">
        <f t="shared" si="21"/>
        <v>0.8</v>
      </c>
      <c r="S200" s="8">
        <f t="shared" si="22"/>
        <v>-0.8</v>
      </c>
      <c r="T200" s="8">
        <f t="shared" si="26"/>
        <v>130.69999999999999</v>
      </c>
      <c r="V200" s="4">
        <v>796.2</v>
      </c>
      <c r="X200" s="4">
        <f t="shared" si="27"/>
        <v>80390.8</v>
      </c>
      <c r="Y200" s="4">
        <f t="shared" si="30"/>
        <v>20166.600000000002</v>
      </c>
      <c r="AA200" s="4">
        <v>10.081216950827301</v>
      </c>
    </row>
    <row r="201" spans="1:28" s="4" customFormat="1" x14ac:dyDescent="0.25">
      <c r="A201" s="58"/>
      <c r="B201" s="9"/>
      <c r="C201" s="6">
        <v>42047</v>
      </c>
      <c r="D201" s="4">
        <v>2.5</v>
      </c>
      <c r="E201" s="4">
        <v>-4.5999999999999996</v>
      </c>
      <c r="F201" s="4">
        <v>7.7</v>
      </c>
      <c r="G201" s="4">
        <f t="shared" si="23"/>
        <v>1388.6000000000001</v>
      </c>
      <c r="H201" s="4">
        <f t="shared" si="29"/>
        <v>319.3</v>
      </c>
      <c r="J201" s="4">
        <v>0</v>
      </c>
      <c r="K201" s="4">
        <f t="shared" si="24"/>
        <v>246.59999999999988</v>
      </c>
      <c r="L201" s="4">
        <v>0.9</v>
      </c>
      <c r="M201" s="4">
        <f t="shared" si="25"/>
        <v>154.49999999999986</v>
      </c>
      <c r="N201" s="7">
        <v>-0.9</v>
      </c>
      <c r="O201" s="4">
        <f t="shared" si="28"/>
        <v>129.79999999999998</v>
      </c>
      <c r="P201" s="4">
        <v>157</v>
      </c>
      <c r="Q201" s="4">
        <v>1</v>
      </c>
      <c r="R201" s="8">
        <f t="shared" si="21"/>
        <v>0.9</v>
      </c>
      <c r="S201" s="8">
        <f t="shared" si="22"/>
        <v>-0.9</v>
      </c>
      <c r="T201" s="8">
        <f t="shared" si="26"/>
        <v>129.79999999999998</v>
      </c>
      <c r="V201" s="4">
        <v>997.5</v>
      </c>
      <c r="X201" s="4">
        <f t="shared" si="27"/>
        <v>81388.3</v>
      </c>
      <c r="Y201" s="4">
        <f t="shared" si="30"/>
        <v>21164.100000000002</v>
      </c>
      <c r="AA201" s="4">
        <v>10.1336477136298</v>
      </c>
    </row>
    <row r="202" spans="1:28" s="4" customFormat="1" x14ac:dyDescent="0.25">
      <c r="A202" s="58"/>
      <c r="B202" s="9"/>
      <c r="C202" s="6">
        <v>42048</v>
      </c>
      <c r="D202" s="4">
        <v>7</v>
      </c>
      <c r="E202" s="4">
        <v>2.8</v>
      </c>
      <c r="F202" s="4">
        <v>11.4</v>
      </c>
      <c r="G202" s="4">
        <f t="shared" si="23"/>
        <v>1395.6000000000001</v>
      </c>
      <c r="H202" s="4">
        <f t="shared" si="29"/>
        <v>326.3</v>
      </c>
      <c r="J202" s="4">
        <v>11.5</v>
      </c>
      <c r="K202" s="4">
        <f t="shared" si="24"/>
        <v>258.09999999999991</v>
      </c>
      <c r="L202" s="4">
        <v>1.4</v>
      </c>
      <c r="M202" s="4">
        <f t="shared" si="25"/>
        <v>155.89999999999986</v>
      </c>
      <c r="N202" s="4">
        <v>10.1</v>
      </c>
      <c r="O202" s="4">
        <v>138.9</v>
      </c>
      <c r="P202" s="4">
        <v>158</v>
      </c>
      <c r="Q202" s="4">
        <v>1</v>
      </c>
      <c r="R202" s="8">
        <f t="shared" si="21"/>
        <v>1.4</v>
      </c>
      <c r="S202" s="8">
        <f t="shared" si="22"/>
        <v>10.1</v>
      </c>
      <c r="T202" s="8">
        <f t="shared" si="26"/>
        <v>138.9</v>
      </c>
      <c r="V202" s="4">
        <v>787.7</v>
      </c>
      <c r="X202" s="4">
        <f t="shared" si="27"/>
        <v>82176</v>
      </c>
      <c r="Y202" s="4">
        <f t="shared" si="30"/>
        <v>21951.800000000003</v>
      </c>
      <c r="AA202" s="4">
        <v>10.186433128409501</v>
      </c>
    </row>
    <row r="203" spans="1:28" s="4" customFormat="1" x14ac:dyDescent="0.25">
      <c r="A203" s="58"/>
      <c r="B203" s="9"/>
      <c r="C203" s="6">
        <v>42049</v>
      </c>
      <c r="D203" s="4">
        <v>6.5</v>
      </c>
      <c r="E203" s="4">
        <v>5.7</v>
      </c>
      <c r="F203" s="4">
        <v>7.8</v>
      </c>
      <c r="G203" s="4">
        <f t="shared" si="23"/>
        <v>1402.1000000000001</v>
      </c>
      <c r="H203" s="4">
        <f t="shared" si="29"/>
        <v>332.8</v>
      </c>
      <c r="J203" s="4">
        <v>6.1</v>
      </c>
      <c r="K203" s="4">
        <f t="shared" si="24"/>
        <v>264.19999999999993</v>
      </c>
      <c r="L203" s="4">
        <v>0.5</v>
      </c>
      <c r="M203" s="4">
        <f t="shared" si="25"/>
        <v>156.39999999999986</v>
      </c>
      <c r="N203" s="4">
        <v>5.6</v>
      </c>
      <c r="O203" s="4">
        <v>138.9</v>
      </c>
      <c r="P203" s="4">
        <v>159</v>
      </c>
      <c r="Q203" s="4">
        <v>1</v>
      </c>
      <c r="R203" s="8">
        <f t="shared" si="21"/>
        <v>0.5</v>
      </c>
      <c r="S203" s="8">
        <f t="shared" si="22"/>
        <v>5.6</v>
      </c>
      <c r="T203" s="8">
        <f t="shared" si="26"/>
        <v>138.9</v>
      </c>
      <c r="V203" s="4">
        <v>128.5</v>
      </c>
      <c r="X203" s="4">
        <f t="shared" si="27"/>
        <v>82304.5</v>
      </c>
      <c r="Y203" s="4">
        <f t="shared" si="30"/>
        <v>22080.300000000003</v>
      </c>
      <c r="AA203" s="4">
        <v>10.2395553128072</v>
      </c>
    </row>
    <row r="204" spans="1:28" s="4" customFormat="1" x14ac:dyDescent="0.25">
      <c r="A204" s="58"/>
      <c r="B204" s="9"/>
      <c r="C204" s="6">
        <v>42050</v>
      </c>
      <c r="D204" s="4">
        <v>5</v>
      </c>
      <c r="E204" s="4">
        <v>4.0999999999999996</v>
      </c>
      <c r="F204" s="4">
        <v>6.6</v>
      </c>
      <c r="G204" s="4">
        <f t="shared" si="23"/>
        <v>1407.1000000000001</v>
      </c>
      <c r="H204" s="4">
        <f t="shared" si="29"/>
        <v>337.8</v>
      </c>
      <c r="J204" s="4">
        <v>0.1</v>
      </c>
      <c r="K204" s="4">
        <f t="shared" si="24"/>
        <v>264.29999999999995</v>
      </c>
      <c r="L204" s="4">
        <v>0.4</v>
      </c>
      <c r="M204" s="4">
        <f t="shared" si="25"/>
        <v>156.79999999999987</v>
      </c>
      <c r="N204" s="7">
        <v>-0.30000000000000004</v>
      </c>
      <c r="O204" s="4">
        <f>O203+N204</f>
        <v>138.6</v>
      </c>
      <c r="P204" s="4">
        <v>160</v>
      </c>
      <c r="Q204" s="4">
        <v>1</v>
      </c>
      <c r="R204" s="8">
        <f t="shared" si="21"/>
        <v>0.4</v>
      </c>
      <c r="S204" s="8">
        <f t="shared" si="22"/>
        <v>-0.30000000000000004</v>
      </c>
      <c r="T204" s="8">
        <f t="shared" si="26"/>
        <v>138.6</v>
      </c>
      <c r="V204" s="4">
        <v>446.7</v>
      </c>
      <c r="X204" s="4">
        <f t="shared" si="27"/>
        <v>82751.199999999997</v>
      </c>
      <c r="Y204" s="4">
        <f t="shared" si="30"/>
        <v>22527.000000000004</v>
      </c>
      <c r="AA204" s="4">
        <v>10.292996984907401</v>
      </c>
    </row>
    <row r="205" spans="1:28" s="4" customFormat="1" x14ac:dyDescent="0.25">
      <c r="A205" s="58"/>
      <c r="B205" s="9"/>
      <c r="C205" s="6">
        <v>42051</v>
      </c>
      <c r="D205" s="4">
        <v>3.6</v>
      </c>
      <c r="E205" s="4">
        <v>0.5</v>
      </c>
      <c r="F205" s="4">
        <v>5.4</v>
      </c>
      <c r="G205" s="4">
        <f t="shared" si="23"/>
        <v>1410.7</v>
      </c>
      <c r="H205" s="4">
        <f t="shared" si="29"/>
        <v>341.40000000000003</v>
      </c>
      <c r="J205" s="4">
        <v>0.7</v>
      </c>
      <c r="K205" s="4">
        <f t="shared" si="24"/>
        <v>264.99999999999994</v>
      </c>
      <c r="L205" s="4">
        <v>0.2</v>
      </c>
      <c r="M205" s="4">
        <f t="shared" si="25"/>
        <v>156.99999999999986</v>
      </c>
      <c r="N205" s="4">
        <v>0.49999999999999994</v>
      </c>
      <c r="O205" s="4">
        <v>138.9</v>
      </c>
      <c r="P205" s="4">
        <v>161</v>
      </c>
      <c r="Q205" s="4">
        <v>1</v>
      </c>
      <c r="R205" s="8">
        <f t="shared" si="21"/>
        <v>0.2</v>
      </c>
      <c r="S205" s="8">
        <f t="shared" si="22"/>
        <v>0.49999999999999994</v>
      </c>
      <c r="T205" s="8">
        <f t="shared" si="26"/>
        <v>138.9</v>
      </c>
      <c r="V205" s="4">
        <v>302.2</v>
      </c>
      <c r="X205" s="4">
        <f t="shared" si="27"/>
        <v>83053.399999999994</v>
      </c>
      <c r="Y205" s="4">
        <f t="shared" si="30"/>
        <v>22829.200000000004</v>
      </c>
      <c r="AA205" s="4">
        <v>10.346741454520799</v>
      </c>
    </row>
    <row r="206" spans="1:28" s="4" customFormat="1" x14ac:dyDescent="0.25">
      <c r="A206" s="58"/>
      <c r="B206" s="9"/>
      <c r="C206" s="6">
        <v>42052</v>
      </c>
      <c r="D206" s="4">
        <v>5.8</v>
      </c>
      <c r="E206" s="4">
        <v>4.0999999999999996</v>
      </c>
      <c r="F206" s="4">
        <v>7.1</v>
      </c>
      <c r="G206" s="4">
        <f t="shared" si="23"/>
        <v>1416.5</v>
      </c>
      <c r="H206" s="4">
        <f t="shared" si="29"/>
        <v>347.20000000000005</v>
      </c>
      <c r="J206" s="73">
        <v>0</v>
      </c>
      <c r="K206" s="4">
        <f t="shared" si="24"/>
        <v>264.99999999999994</v>
      </c>
      <c r="L206" s="4">
        <v>0.6</v>
      </c>
      <c r="M206" s="4">
        <f t="shared" si="25"/>
        <v>157.59999999999985</v>
      </c>
      <c r="N206" s="7">
        <v>-0.6</v>
      </c>
      <c r="O206" s="4">
        <f>O205+N206</f>
        <v>138.30000000000001</v>
      </c>
      <c r="P206" s="4">
        <v>162</v>
      </c>
      <c r="Q206" s="4">
        <v>1</v>
      </c>
      <c r="R206" s="8">
        <f t="shared" si="21"/>
        <v>0.6</v>
      </c>
      <c r="S206" s="8">
        <f t="shared" si="22"/>
        <v>-0.6</v>
      </c>
      <c r="T206" s="8">
        <f t="shared" si="26"/>
        <v>138.30000000000001</v>
      </c>
      <c r="V206" s="4">
        <v>331</v>
      </c>
      <c r="X206" s="4">
        <f t="shared" si="27"/>
        <v>83384.399999999994</v>
      </c>
      <c r="Y206" s="4">
        <f t="shared" si="30"/>
        <v>23160.200000000004</v>
      </c>
      <c r="AA206" s="4">
        <v>10.400772613217001</v>
      </c>
      <c r="AB206" s="72" t="s">
        <v>53</v>
      </c>
    </row>
    <row r="207" spans="1:28" s="4" customFormat="1" x14ac:dyDescent="0.25">
      <c r="A207" s="58"/>
      <c r="B207" s="9"/>
      <c r="C207" s="6">
        <v>42053</v>
      </c>
      <c r="D207" s="4">
        <v>2.9</v>
      </c>
      <c r="E207" s="4">
        <v>1.7</v>
      </c>
      <c r="F207" s="4">
        <v>4.5999999999999996</v>
      </c>
      <c r="G207" s="4">
        <f t="shared" si="23"/>
        <v>1419.4</v>
      </c>
      <c r="H207" s="4">
        <f t="shared" si="29"/>
        <v>350.1</v>
      </c>
      <c r="J207" s="73">
        <v>0</v>
      </c>
      <c r="K207" s="4">
        <f t="shared" si="24"/>
        <v>264.99999999999994</v>
      </c>
      <c r="L207" s="4">
        <v>0.6</v>
      </c>
      <c r="M207" s="4">
        <f t="shared" si="25"/>
        <v>158.19999999999985</v>
      </c>
      <c r="N207" s="7">
        <v>-0.6</v>
      </c>
      <c r="O207" s="4">
        <f>O206+N207</f>
        <v>137.70000000000002</v>
      </c>
      <c r="P207" s="4">
        <v>163</v>
      </c>
      <c r="Q207" s="4">
        <v>1</v>
      </c>
      <c r="R207" s="8">
        <f t="shared" si="21"/>
        <v>0.6</v>
      </c>
      <c r="S207" s="8">
        <f t="shared" si="22"/>
        <v>-0.6</v>
      </c>
      <c r="T207" s="8">
        <f t="shared" si="26"/>
        <v>137.70000000000002</v>
      </c>
      <c r="V207" s="4">
        <v>434.5</v>
      </c>
      <c r="X207" s="4">
        <f t="shared" si="27"/>
        <v>83818.899999999994</v>
      </c>
      <c r="Y207" s="4">
        <f t="shared" si="30"/>
        <v>23594.700000000004</v>
      </c>
      <c r="AA207" s="4">
        <v>10.4550749232247</v>
      </c>
      <c r="AB207" s="8">
        <f>AVERAGE(T213:T226)</f>
        <v>136.22807491289197</v>
      </c>
    </row>
    <row r="208" spans="1:28" s="4" customFormat="1" x14ac:dyDescent="0.25">
      <c r="A208" s="58"/>
      <c r="B208" s="9"/>
      <c r="C208" s="6">
        <v>42054</v>
      </c>
      <c r="D208" s="4">
        <v>2.2000000000000002</v>
      </c>
      <c r="E208" s="4">
        <v>-3.6</v>
      </c>
      <c r="F208" s="4">
        <v>5.5</v>
      </c>
      <c r="G208" s="4">
        <f t="shared" si="23"/>
        <v>1421.6000000000001</v>
      </c>
      <c r="H208" s="4">
        <f t="shared" si="29"/>
        <v>352.3</v>
      </c>
      <c r="J208" s="73">
        <v>0.2</v>
      </c>
      <c r="K208" s="4">
        <f t="shared" si="24"/>
        <v>265.19999999999993</v>
      </c>
      <c r="L208" s="4">
        <v>0.2</v>
      </c>
      <c r="M208" s="4">
        <f t="shared" si="25"/>
        <v>158.39999999999984</v>
      </c>
      <c r="N208" s="7">
        <v>0</v>
      </c>
      <c r="O208" s="4">
        <f>O207+N208</f>
        <v>137.70000000000002</v>
      </c>
      <c r="P208" s="4">
        <v>164</v>
      </c>
      <c r="Q208" s="4">
        <v>1</v>
      </c>
      <c r="R208" s="8">
        <f t="shared" si="21"/>
        <v>0.2</v>
      </c>
      <c r="S208" s="8">
        <f t="shared" si="22"/>
        <v>0</v>
      </c>
      <c r="T208" s="8">
        <f t="shared" si="26"/>
        <v>137.70000000000002</v>
      </c>
      <c r="V208" s="4">
        <v>292.8</v>
      </c>
      <c r="X208" s="4">
        <f t="shared" si="27"/>
        <v>84111.7</v>
      </c>
      <c r="Y208" s="4">
        <f t="shared" si="30"/>
        <v>23887.500000000004</v>
      </c>
      <c r="AA208" s="4">
        <v>10.509633405310799</v>
      </c>
      <c r="AB208" s="72" t="s">
        <v>54</v>
      </c>
    </row>
    <row r="209" spans="1:30" s="4" customFormat="1" x14ac:dyDescent="0.25">
      <c r="A209" s="58"/>
      <c r="B209" s="9"/>
      <c r="C209" s="6">
        <v>42055</v>
      </c>
      <c r="D209" s="4">
        <v>6.4</v>
      </c>
      <c r="E209" s="4">
        <v>4.7</v>
      </c>
      <c r="F209" s="4">
        <v>8.9</v>
      </c>
      <c r="G209" s="4">
        <f t="shared" si="23"/>
        <v>1428.0000000000002</v>
      </c>
      <c r="H209" s="4">
        <f t="shared" si="29"/>
        <v>358.7</v>
      </c>
      <c r="J209" s="73">
        <v>6.2</v>
      </c>
      <c r="K209" s="4">
        <f t="shared" si="24"/>
        <v>271.39999999999992</v>
      </c>
      <c r="L209" s="4">
        <v>1</v>
      </c>
      <c r="M209" s="4">
        <f t="shared" si="25"/>
        <v>159.39999999999984</v>
      </c>
      <c r="N209" s="4">
        <v>5.2</v>
      </c>
      <c r="O209" s="4">
        <v>138.9</v>
      </c>
      <c r="P209" s="4">
        <v>165</v>
      </c>
      <c r="Q209" s="4">
        <v>1</v>
      </c>
      <c r="R209" s="8">
        <f t="shared" si="21"/>
        <v>1</v>
      </c>
      <c r="S209" s="8">
        <f t="shared" si="22"/>
        <v>5.2</v>
      </c>
      <c r="T209" s="8">
        <f t="shared" si="26"/>
        <v>138.9</v>
      </c>
      <c r="V209" s="4">
        <v>265.2</v>
      </c>
      <c r="X209" s="4">
        <f t="shared" si="27"/>
        <v>84376.9</v>
      </c>
      <c r="Y209" s="4">
        <f t="shared" si="30"/>
        <v>24152.700000000004</v>
      </c>
      <c r="AA209" s="4">
        <v>10.564433625742801</v>
      </c>
      <c r="AB209" s="4">
        <v>2</v>
      </c>
    </row>
    <row r="210" spans="1:30" s="4" customFormat="1" x14ac:dyDescent="0.25">
      <c r="A210" s="58"/>
      <c r="B210" s="9"/>
      <c r="C210" s="6">
        <v>42056</v>
      </c>
      <c r="D210" s="4">
        <v>3.2</v>
      </c>
      <c r="E210" s="4">
        <v>2</v>
      </c>
      <c r="F210" s="4">
        <v>5.6</v>
      </c>
      <c r="G210" s="4">
        <f t="shared" si="23"/>
        <v>1431.2000000000003</v>
      </c>
      <c r="H210" s="4">
        <f t="shared" si="29"/>
        <v>361.9</v>
      </c>
      <c r="J210" s="73">
        <v>2.2000000000000002</v>
      </c>
      <c r="K210" s="4">
        <f t="shared" si="24"/>
        <v>273.59999999999991</v>
      </c>
      <c r="L210" s="4">
        <v>0.4</v>
      </c>
      <c r="M210" s="4">
        <f t="shared" si="25"/>
        <v>159.79999999999984</v>
      </c>
      <c r="N210" s="4">
        <v>1.8000000000000003</v>
      </c>
      <c r="O210" s="4">
        <v>138.9</v>
      </c>
      <c r="P210" s="4">
        <v>166</v>
      </c>
      <c r="Q210" s="4">
        <v>1</v>
      </c>
      <c r="R210" s="8">
        <f t="shared" si="21"/>
        <v>0.4</v>
      </c>
      <c r="S210" s="8">
        <f t="shared" si="22"/>
        <v>1.8000000000000003</v>
      </c>
      <c r="T210" s="8">
        <f t="shared" si="26"/>
        <v>138.9</v>
      </c>
      <c r="V210" s="4">
        <v>286.39999999999998</v>
      </c>
      <c r="X210" s="4">
        <f t="shared" si="27"/>
        <v>84663.299999999988</v>
      </c>
      <c r="Y210" s="4">
        <f t="shared" si="30"/>
        <v>24439.100000000006</v>
      </c>
      <c r="AA210" s="4">
        <v>10.619461682432901</v>
      </c>
      <c r="AB210" s="72" t="s">
        <v>55</v>
      </c>
    </row>
    <row r="211" spans="1:30" s="4" customFormat="1" x14ac:dyDescent="0.25">
      <c r="A211" s="58"/>
      <c r="B211" s="9"/>
      <c r="C211" s="6">
        <v>42057</v>
      </c>
      <c r="D211" s="4">
        <v>3.3</v>
      </c>
      <c r="E211" s="4">
        <v>-1.8</v>
      </c>
      <c r="F211" s="4">
        <v>8.5</v>
      </c>
      <c r="G211" s="4">
        <f t="shared" si="23"/>
        <v>1434.5000000000002</v>
      </c>
      <c r="H211" s="4">
        <f t="shared" si="29"/>
        <v>365.2</v>
      </c>
      <c r="J211" s="73">
        <v>1.7</v>
      </c>
      <c r="K211" s="4">
        <f t="shared" si="24"/>
        <v>275.2999999999999</v>
      </c>
      <c r="L211" s="4">
        <v>0.8</v>
      </c>
      <c r="M211" s="4">
        <f t="shared" si="25"/>
        <v>160.59999999999985</v>
      </c>
      <c r="N211" s="4">
        <v>0.89999999999999991</v>
      </c>
      <c r="O211" s="4">
        <v>138.9</v>
      </c>
      <c r="P211" s="4">
        <v>167</v>
      </c>
      <c r="Q211" s="4">
        <v>1</v>
      </c>
      <c r="R211" s="8">
        <f t="shared" si="21"/>
        <v>0.8</v>
      </c>
      <c r="S211" s="8">
        <f t="shared" si="22"/>
        <v>0.89999999999999991</v>
      </c>
      <c r="T211" s="8">
        <f t="shared" si="26"/>
        <v>138.9</v>
      </c>
      <c r="V211" s="4">
        <v>585.6</v>
      </c>
      <c r="X211" s="4">
        <f t="shared" si="27"/>
        <v>85248.9</v>
      </c>
      <c r="Y211" s="4">
        <f t="shared" si="30"/>
        <v>25024.700000000004</v>
      </c>
      <c r="AA211" s="4">
        <v>10.674704190357399</v>
      </c>
      <c r="AB211" s="4">
        <v>6</v>
      </c>
    </row>
    <row r="212" spans="1:30" s="4" customFormat="1" x14ac:dyDescent="0.25">
      <c r="A212" s="58"/>
      <c r="B212" s="9"/>
      <c r="C212" s="6">
        <v>42058</v>
      </c>
      <c r="D212" s="4">
        <v>7.4</v>
      </c>
      <c r="E212" s="4">
        <v>4.9000000000000004</v>
      </c>
      <c r="F212" s="4">
        <v>11.2</v>
      </c>
      <c r="G212" s="4">
        <f t="shared" si="23"/>
        <v>1441.9000000000003</v>
      </c>
      <c r="H212" s="4">
        <f t="shared" si="29"/>
        <v>372.59999999999997</v>
      </c>
      <c r="J212" s="73">
        <v>3.3</v>
      </c>
      <c r="K212" s="4">
        <f t="shared" si="24"/>
        <v>278.59999999999991</v>
      </c>
      <c r="L212" s="4">
        <v>1.3</v>
      </c>
      <c r="M212" s="4">
        <f t="shared" si="25"/>
        <v>161.89999999999986</v>
      </c>
      <c r="N212" s="4">
        <v>1.9999999999999998</v>
      </c>
      <c r="O212" s="4">
        <v>138.9</v>
      </c>
      <c r="P212" s="4">
        <v>168</v>
      </c>
      <c r="Q212" s="4">
        <v>1</v>
      </c>
      <c r="R212" s="8">
        <f t="shared" si="21"/>
        <v>1.3</v>
      </c>
      <c r="S212" s="8">
        <f t="shared" si="22"/>
        <v>1.9999999999999998</v>
      </c>
      <c r="T212" s="8">
        <f t="shared" si="26"/>
        <v>138.9</v>
      </c>
      <c r="V212" s="4">
        <v>587.1</v>
      </c>
      <c r="X212" s="4">
        <f t="shared" si="27"/>
        <v>85836</v>
      </c>
      <c r="Y212" s="4">
        <f t="shared" si="30"/>
        <v>25611.800000000003</v>
      </c>
      <c r="AA212" s="4">
        <v>10.730148266337199</v>
      </c>
      <c r="AB212" s="72" t="s">
        <v>56</v>
      </c>
    </row>
    <row r="213" spans="1:30" s="4" customFormat="1" x14ac:dyDescent="0.25">
      <c r="A213" s="58"/>
      <c r="B213" s="9"/>
      <c r="C213" s="6">
        <v>42059</v>
      </c>
      <c r="D213" s="4">
        <v>4.3</v>
      </c>
      <c r="E213" s="4">
        <v>2.2999999999999998</v>
      </c>
      <c r="F213" s="4">
        <v>7.9</v>
      </c>
      <c r="G213" s="4">
        <f t="shared" si="23"/>
        <v>1446.2000000000003</v>
      </c>
      <c r="H213" s="4">
        <f t="shared" si="29"/>
        <v>376.9</v>
      </c>
      <c r="J213" s="73">
        <v>0.3</v>
      </c>
      <c r="K213" s="4">
        <f t="shared" si="24"/>
        <v>278.89999999999992</v>
      </c>
      <c r="L213" s="4">
        <v>0.9</v>
      </c>
      <c r="M213" s="4">
        <f t="shared" si="25"/>
        <v>162.79999999999987</v>
      </c>
      <c r="N213" s="7">
        <v>-0.60000000000000009</v>
      </c>
      <c r="O213" s="4">
        <f>O212+N213</f>
        <v>138.30000000000001</v>
      </c>
      <c r="P213" s="4">
        <v>169</v>
      </c>
      <c r="Q213" s="4">
        <v>1</v>
      </c>
      <c r="R213" s="8">
        <f t="shared" si="21"/>
        <v>0.9</v>
      </c>
      <c r="S213" s="8">
        <f t="shared" si="22"/>
        <v>-0.60000000000000009</v>
      </c>
      <c r="T213" s="75">
        <f t="shared" si="26"/>
        <v>138.30000000000001</v>
      </c>
      <c r="V213" s="4">
        <v>450.2</v>
      </c>
      <c r="X213" s="4">
        <f t="shared" si="27"/>
        <v>86286.2</v>
      </c>
      <c r="Y213" s="4">
        <f t="shared" si="30"/>
        <v>26062.000000000004</v>
      </c>
      <c r="AA213" s="4">
        <v>10.7857815132604</v>
      </c>
      <c r="AB213" s="4">
        <v>2</v>
      </c>
    </row>
    <row r="214" spans="1:30" s="4" customFormat="1" x14ac:dyDescent="0.25">
      <c r="A214" s="58"/>
      <c r="B214" s="9"/>
      <c r="C214" s="6">
        <v>42060</v>
      </c>
      <c r="D214" s="4">
        <v>5.8</v>
      </c>
      <c r="E214" s="4">
        <v>1.2</v>
      </c>
      <c r="F214" s="4">
        <v>9.1</v>
      </c>
      <c r="G214" s="4">
        <f t="shared" si="23"/>
        <v>1452.0000000000002</v>
      </c>
      <c r="H214" s="4">
        <f t="shared" si="29"/>
        <v>382.7</v>
      </c>
      <c r="J214" s="73">
        <v>1.6</v>
      </c>
      <c r="K214" s="4">
        <f t="shared" si="24"/>
        <v>280.49999999999994</v>
      </c>
      <c r="L214" s="4">
        <v>0.3</v>
      </c>
      <c r="M214" s="4">
        <f t="shared" si="25"/>
        <v>163.09999999999988</v>
      </c>
      <c r="N214" s="4">
        <v>1.3</v>
      </c>
      <c r="O214" s="4">
        <v>138.9</v>
      </c>
      <c r="P214" s="4">
        <v>170</v>
      </c>
      <c r="Q214" s="4">
        <v>1</v>
      </c>
      <c r="R214" s="8">
        <f t="shared" si="21"/>
        <v>0.3</v>
      </c>
      <c r="S214" s="8">
        <f t="shared" si="22"/>
        <v>1.3</v>
      </c>
      <c r="T214" s="75">
        <f t="shared" si="26"/>
        <v>138.9</v>
      </c>
      <c r="V214" s="4">
        <v>324.2</v>
      </c>
      <c r="X214" s="4">
        <f t="shared" si="27"/>
        <v>86610.4</v>
      </c>
      <c r="Y214" s="4">
        <f t="shared" si="30"/>
        <v>26386.200000000004</v>
      </c>
      <c r="AA214" s="4">
        <v>10.8415920038211</v>
      </c>
      <c r="AB214" s="72" t="s">
        <v>57</v>
      </c>
    </row>
    <row r="215" spans="1:30" s="4" customFormat="1" x14ac:dyDescent="0.25">
      <c r="A215" s="58"/>
      <c r="B215" s="9"/>
      <c r="C215" s="6">
        <v>42061</v>
      </c>
      <c r="D215" s="4">
        <v>9.3000000000000007</v>
      </c>
      <c r="E215" s="4">
        <v>7.8</v>
      </c>
      <c r="F215" s="4">
        <v>11</v>
      </c>
      <c r="G215" s="4">
        <f t="shared" si="23"/>
        <v>1461.3000000000002</v>
      </c>
      <c r="H215" s="4">
        <f t="shared" si="29"/>
        <v>392</v>
      </c>
      <c r="J215" s="73">
        <v>6.2</v>
      </c>
      <c r="K215" s="4">
        <f t="shared" si="24"/>
        <v>286.69999999999993</v>
      </c>
      <c r="L215" s="4">
        <v>0.3</v>
      </c>
      <c r="M215" s="4">
        <f t="shared" si="25"/>
        <v>163.39999999999989</v>
      </c>
      <c r="N215" s="4">
        <v>5.9</v>
      </c>
      <c r="O215" s="4">
        <v>138.9</v>
      </c>
      <c r="P215" s="4">
        <v>171</v>
      </c>
      <c r="Q215" s="4">
        <v>1</v>
      </c>
      <c r="R215" s="8">
        <f t="shared" si="21"/>
        <v>0.3</v>
      </c>
      <c r="S215" s="8">
        <f t="shared" si="22"/>
        <v>5.9</v>
      </c>
      <c r="T215" s="75">
        <f t="shared" si="26"/>
        <v>138.9</v>
      </c>
      <c r="V215" s="4">
        <v>239.4</v>
      </c>
      <c r="X215" s="4">
        <f t="shared" si="27"/>
        <v>86849.799999999988</v>
      </c>
      <c r="Y215" s="4">
        <f t="shared" si="30"/>
        <v>26625.600000000006</v>
      </c>
      <c r="AA215" s="4">
        <v>10.8975682638437</v>
      </c>
      <c r="AB215" s="4">
        <f>SUM(J217:J226)</f>
        <v>8.2999999999999989</v>
      </c>
    </row>
    <row r="216" spans="1:30" s="68" customFormat="1" x14ac:dyDescent="0.25">
      <c r="A216" s="58"/>
      <c r="B216" s="66" t="s">
        <v>50</v>
      </c>
      <c r="C216" s="67">
        <v>42062</v>
      </c>
      <c r="D216" s="68">
        <v>4.7</v>
      </c>
      <c r="E216" s="68">
        <v>4</v>
      </c>
      <c r="F216" s="68">
        <v>7.6</v>
      </c>
      <c r="G216" s="68">
        <f t="shared" si="23"/>
        <v>1466.0000000000002</v>
      </c>
      <c r="H216" s="68">
        <f t="shared" si="29"/>
        <v>396.7</v>
      </c>
      <c r="J216" s="68">
        <v>0</v>
      </c>
      <c r="K216" s="68">
        <f t="shared" si="24"/>
        <v>286.69999999999993</v>
      </c>
      <c r="L216" s="68">
        <v>1.2</v>
      </c>
      <c r="M216" s="68">
        <f t="shared" si="25"/>
        <v>164.59999999999988</v>
      </c>
      <c r="N216" s="69">
        <v>-1.2</v>
      </c>
      <c r="O216" s="68">
        <f>O215+N216</f>
        <v>137.70000000000002</v>
      </c>
      <c r="P216" s="68">
        <v>172</v>
      </c>
      <c r="Q216" s="68">
        <v>1</v>
      </c>
      <c r="R216" s="70">
        <f t="shared" si="21"/>
        <v>1.2</v>
      </c>
      <c r="S216" s="70">
        <f t="shared" si="22"/>
        <v>-1.2</v>
      </c>
      <c r="T216" s="70">
        <f t="shared" si="26"/>
        <v>137.70000000000002</v>
      </c>
      <c r="V216" s="68">
        <v>642.29999999999995</v>
      </c>
      <c r="X216" s="68">
        <f t="shared" si="27"/>
        <v>87492.099999999991</v>
      </c>
      <c r="Y216" s="68">
        <f t="shared" si="30"/>
        <v>27267.900000000005</v>
      </c>
      <c r="AA216" s="68">
        <v>10.953699255256501</v>
      </c>
    </row>
    <row r="217" spans="1:30" s="29" customFormat="1" ht="15.75" thickBot="1" x14ac:dyDescent="0.3">
      <c r="A217" s="58"/>
      <c r="B217" s="27"/>
      <c r="C217" s="28">
        <v>42063</v>
      </c>
      <c r="D217" s="29">
        <v>4.5999999999999996</v>
      </c>
      <c r="E217" s="29">
        <v>-1.7</v>
      </c>
      <c r="F217" s="29">
        <v>10.8</v>
      </c>
      <c r="G217" s="29">
        <f t="shared" si="23"/>
        <v>1470.6000000000001</v>
      </c>
      <c r="H217" s="29">
        <f t="shared" si="29"/>
        <v>401.3</v>
      </c>
      <c r="J217" s="74">
        <v>4.0999999999999996</v>
      </c>
      <c r="K217" s="29">
        <f t="shared" si="24"/>
        <v>290.79999999999995</v>
      </c>
      <c r="L217" s="29">
        <v>0.9</v>
      </c>
      <c r="M217" s="29">
        <f t="shared" si="25"/>
        <v>165.49999999999989</v>
      </c>
      <c r="N217" s="29">
        <v>3.1999999999999997</v>
      </c>
      <c r="O217" s="29">
        <v>138.9</v>
      </c>
      <c r="P217" s="29">
        <v>173</v>
      </c>
      <c r="Q217" s="29">
        <v>1</v>
      </c>
      <c r="R217" s="31">
        <f t="shared" si="21"/>
        <v>0.9</v>
      </c>
      <c r="S217" s="31">
        <f t="shared" si="22"/>
        <v>3.1999999999999997</v>
      </c>
      <c r="T217" s="76">
        <f t="shared" si="26"/>
        <v>138.9</v>
      </c>
      <c r="V217" s="29">
        <v>509.1</v>
      </c>
      <c r="W217" s="29">
        <f>(Y217/100)/I140</f>
        <v>0.69217542985297786</v>
      </c>
      <c r="X217" s="29">
        <f t="shared" si="27"/>
        <v>88001.2</v>
      </c>
      <c r="Y217" s="29">
        <f t="shared" si="30"/>
        <v>27777.000000000004</v>
      </c>
      <c r="AA217" s="29">
        <v>11.0099743587711</v>
      </c>
    </row>
    <row r="218" spans="1:30" s="4" customFormat="1" ht="15" customHeight="1" x14ac:dyDescent="0.25">
      <c r="A218" s="59" t="s">
        <v>45</v>
      </c>
      <c r="B218" s="9"/>
      <c r="C218" s="6">
        <v>42064</v>
      </c>
      <c r="D218" s="4">
        <v>11.1</v>
      </c>
      <c r="E218" s="4">
        <v>7.1</v>
      </c>
      <c r="F218" s="4">
        <v>12.1</v>
      </c>
      <c r="G218" s="4">
        <f t="shared" si="23"/>
        <v>1481.7</v>
      </c>
      <c r="H218" s="4">
        <v>11.1</v>
      </c>
      <c r="I218" s="14" t="s">
        <v>27</v>
      </c>
      <c r="J218" s="73">
        <v>1.3</v>
      </c>
      <c r="K218" s="4">
        <f t="shared" si="24"/>
        <v>292.09999999999997</v>
      </c>
      <c r="L218" s="4">
        <v>0.6</v>
      </c>
      <c r="M218" s="4">
        <f t="shared" si="25"/>
        <v>166.09999999999988</v>
      </c>
      <c r="N218" s="4">
        <v>0.70000000000000007</v>
      </c>
      <c r="O218" s="4">
        <v>138.9</v>
      </c>
      <c r="P218" s="4">
        <v>174</v>
      </c>
      <c r="Q218" s="11">
        <f>1+((P218-173)/41)*(1.15-1)</f>
        <v>1.0036585365853659</v>
      </c>
      <c r="R218" s="8">
        <f t="shared" si="21"/>
        <v>0.60219512195121949</v>
      </c>
      <c r="S218" s="8">
        <f t="shared" si="22"/>
        <v>0.69780487804878055</v>
      </c>
      <c r="T218" s="75">
        <f t="shared" si="26"/>
        <v>138.9</v>
      </c>
      <c r="U218" s="14" t="s">
        <v>28</v>
      </c>
      <c r="V218" s="4">
        <v>413.9</v>
      </c>
      <c r="X218" s="4">
        <f t="shared" si="27"/>
        <v>88415.099999999991</v>
      </c>
      <c r="Y218" s="4">
        <f>V218</f>
        <v>413.9</v>
      </c>
      <c r="Z218" s="14" t="s">
        <v>29</v>
      </c>
      <c r="AA218" s="4">
        <v>11.0663833563225</v>
      </c>
    </row>
    <row r="219" spans="1:30" s="4" customFormat="1" x14ac:dyDescent="0.25">
      <c r="A219" s="59"/>
      <c r="B219" s="9"/>
      <c r="C219" s="6">
        <v>42065</v>
      </c>
      <c r="D219" s="4">
        <v>8.1</v>
      </c>
      <c r="E219" s="4">
        <v>6.4</v>
      </c>
      <c r="F219" s="4">
        <v>10.8</v>
      </c>
      <c r="G219" s="4">
        <f t="shared" si="23"/>
        <v>1489.8</v>
      </c>
      <c r="H219" s="4">
        <f t="shared" si="29"/>
        <v>19.2</v>
      </c>
      <c r="I219" s="4">
        <f>MIN(E218:E258)</f>
        <v>-2.2000000000000002</v>
      </c>
      <c r="J219" s="73">
        <v>0</v>
      </c>
      <c r="K219" s="4">
        <f t="shared" si="24"/>
        <v>292.09999999999997</v>
      </c>
      <c r="L219" s="4">
        <v>1.6</v>
      </c>
      <c r="M219" s="4">
        <f t="shared" si="25"/>
        <v>167.69999999999987</v>
      </c>
      <c r="N219" s="7">
        <v>-1.6</v>
      </c>
      <c r="O219" s="4">
        <f t="shared" ref="O219:O279" si="31">O218+N219</f>
        <v>137.30000000000001</v>
      </c>
      <c r="P219" s="4">
        <v>175</v>
      </c>
      <c r="Q219" s="11">
        <f t="shared" ref="Q219:Q258" si="32">1+((P219-173)/41)*(1.15-1)</f>
        <v>1.0073170731707317</v>
      </c>
      <c r="R219" s="8">
        <f t="shared" si="21"/>
        <v>1.6117073170731708</v>
      </c>
      <c r="S219" s="8">
        <f t="shared" si="22"/>
        <v>-1.6117073170731708</v>
      </c>
      <c r="T219" s="75">
        <f t="shared" si="26"/>
        <v>137.28829268292682</v>
      </c>
      <c r="U219" s="4">
        <v>32</v>
      </c>
      <c r="V219" s="4">
        <v>613.1</v>
      </c>
      <c r="X219" s="4">
        <f t="shared" si="27"/>
        <v>89028.2</v>
      </c>
      <c r="Y219" s="4">
        <f t="shared" si="30"/>
        <v>1027</v>
      </c>
      <c r="Z219" s="4">
        <v>41435.599999999999</v>
      </c>
      <c r="AA219" s="4">
        <v>11.122916413316</v>
      </c>
      <c r="AB219" s="72" t="s">
        <v>53</v>
      </c>
      <c r="AD219" s="72" t="s">
        <v>53</v>
      </c>
    </row>
    <row r="220" spans="1:30" s="4" customFormat="1" x14ac:dyDescent="0.25">
      <c r="A220" s="59"/>
      <c r="B220" s="9"/>
      <c r="C220" s="6">
        <v>42066</v>
      </c>
      <c r="D220" s="4">
        <v>6.4</v>
      </c>
      <c r="E220" s="4">
        <v>3.7</v>
      </c>
      <c r="F220" s="4">
        <v>11.2</v>
      </c>
      <c r="G220" s="4">
        <f t="shared" si="23"/>
        <v>1496.2</v>
      </c>
      <c r="H220" s="4">
        <f t="shared" si="29"/>
        <v>25.6</v>
      </c>
      <c r="I220" s="14" t="s">
        <v>30</v>
      </c>
      <c r="J220" s="73">
        <v>2</v>
      </c>
      <c r="K220" s="4">
        <f t="shared" si="24"/>
        <v>294.09999999999997</v>
      </c>
      <c r="L220" s="4">
        <v>1.2</v>
      </c>
      <c r="M220" s="4">
        <f t="shared" si="25"/>
        <v>168.89999999999986</v>
      </c>
      <c r="N220" s="4">
        <v>0.8</v>
      </c>
      <c r="O220" s="4">
        <f t="shared" si="31"/>
        <v>138.10000000000002</v>
      </c>
      <c r="P220" s="4">
        <v>176</v>
      </c>
      <c r="Q220" s="11">
        <f t="shared" si="32"/>
        <v>1.0109756097560976</v>
      </c>
      <c r="R220" s="8">
        <f t="shared" si="21"/>
        <v>1.213170731707317</v>
      </c>
      <c r="S220" s="8">
        <f t="shared" si="22"/>
        <v>0.78682926829268296</v>
      </c>
      <c r="T220" s="75">
        <f t="shared" si="26"/>
        <v>138.0751219512195</v>
      </c>
      <c r="U220" s="14" t="s">
        <v>31</v>
      </c>
      <c r="V220" s="4">
        <v>411.6</v>
      </c>
      <c r="X220" s="4">
        <f t="shared" si="27"/>
        <v>89439.8</v>
      </c>
      <c r="Y220" s="4">
        <f t="shared" si="30"/>
        <v>1438.6</v>
      </c>
      <c r="Z220" s="14" t="s">
        <v>32</v>
      </c>
      <c r="AA220" s="4">
        <v>11.1795640607248</v>
      </c>
      <c r="AB220" s="8">
        <f>AVERAGE(T226:T239)</f>
        <v>124.8319337979094</v>
      </c>
      <c r="AD220" s="11">
        <f>(AB207*(50/80))+(AB220*(30/80))</f>
        <v>131.9545219947735</v>
      </c>
    </row>
    <row r="221" spans="1:30" s="4" customFormat="1" x14ac:dyDescent="0.25">
      <c r="A221" s="59"/>
      <c r="B221" s="9"/>
      <c r="C221" s="6">
        <v>42067</v>
      </c>
      <c r="D221" s="4">
        <v>4.3</v>
      </c>
      <c r="E221" s="4">
        <v>0.9</v>
      </c>
      <c r="F221" s="4">
        <v>7.7</v>
      </c>
      <c r="G221" s="4">
        <f t="shared" si="23"/>
        <v>1500.5</v>
      </c>
      <c r="H221" s="4">
        <f t="shared" si="29"/>
        <v>29.900000000000002</v>
      </c>
      <c r="I221" s="4">
        <f>MAX(F218:F258)</f>
        <v>20.6</v>
      </c>
      <c r="J221" s="73">
        <v>0.9</v>
      </c>
      <c r="K221" s="4">
        <f t="shared" si="24"/>
        <v>294.99999999999994</v>
      </c>
      <c r="L221" s="4">
        <v>1</v>
      </c>
      <c r="M221" s="4">
        <f t="shared" si="25"/>
        <v>169.89999999999986</v>
      </c>
      <c r="N221" s="7">
        <v>-9.9999999999999978E-2</v>
      </c>
      <c r="O221" s="4">
        <f t="shared" si="31"/>
        <v>138.00000000000003</v>
      </c>
      <c r="P221" s="4">
        <v>177</v>
      </c>
      <c r="Q221" s="11">
        <f t="shared" si="32"/>
        <v>1.0146341463414634</v>
      </c>
      <c r="R221" s="8">
        <f t="shared" si="21"/>
        <v>1.0146341463414634</v>
      </c>
      <c r="S221" s="8">
        <f t="shared" si="22"/>
        <v>-0.11463414634146341</v>
      </c>
      <c r="T221" s="75">
        <f t="shared" si="26"/>
        <v>137.96048780487803</v>
      </c>
      <c r="U221" s="4">
        <v>0</v>
      </c>
      <c r="V221" s="4">
        <v>751.4</v>
      </c>
      <c r="X221" s="4">
        <f t="shared" si="27"/>
        <v>90191.2</v>
      </c>
      <c r="Y221" s="4">
        <f t="shared" si="30"/>
        <v>2190</v>
      </c>
      <c r="Z221" s="11">
        <f>(Z219/100)/I231</f>
        <v>1.2729831029185867</v>
      </c>
      <c r="AA221" s="4">
        <v>11.2363171770773</v>
      </c>
      <c r="AB221" s="72" t="s">
        <v>54</v>
      </c>
      <c r="AD221" s="72" t="s">
        <v>54</v>
      </c>
    </row>
    <row r="222" spans="1:30" s="4" customFormat="1" x14ac:dyDescent="0.25">
      <c r="A222" s="59"/>
      <c r="B222" s="9"/>
      <c r="C222" s="6">
        <v>42068</v>
      </c>
      <c r="D222" s="4">
        <v>4.5999999999999996</v>
      </c>
      <c r="E222" s="4">
        <v>0.1</v>
      </c>
      <c r="F222" s="4">
        <v>9.9</v>
      </c>
      <c r="G222" s="4">
        <f t="shared" si="23"/>
        <v>1505.1</v>
      </c>
      <c r="H222" s="4">
        <f t="shared" si="29"/>
        <v>34.5</v>
      </c>
      <c r="I222" s="14" t="s">
        <v>33</v>
      </c>
      <c r="J222" s="73">
        <v>0</v>
      </c>
      <c r="K222" s="4">
        <f t="shared" si="24"/>
        <v>294.99999999999994</v>
      </c>
      <c r="L222" s="4">
        <v>1.5</v>
      </c>
      <c r="M222" s="4">
        <f t="shared" si="25"/>
        <v>171.39999999999986</v>
      </c>
      <c r="N222" s="7">
        <v>-1.5</v>
      </c>
      <c r="O222" s="4">
        <f t="shared" si="31"/>
        <v>136.50000000000003</v>
      </c>
      <c r="P222" s="4">
        <v>178</v>
      </c>
      <c r="Q222" s="11">
        <f t="shared" si="32"/>
        <v>1.0182926829268293</v>
      </c>
      <c r="R222" s="8">
        <f t="shared" si="21"/>
        <v>1.5274390243902438</v>
      </c>
      <c r="S222" s="8">
        <f t="shared" si="22"/>
        <v>-1.5274390243902438</v>
      </c>
      <c r="T222" s="75">
        <f t="shared" si="26"/>
        <v>136.43304878048778</v>
      </c>
      <c r="U222" s="14" t="s">
        <v>34</v>
      </c>
      <c r="V222" s="4">
        <v>1127.7</v>
      </c>
      <c r="X222" s="4">
        <f t="shared" si="27"/>
        <v>91318.9</v>
      </c>
      <c r="Y222" s="4">
        <f t="shared" si="30"/>
        <v>3317.7</v>
      </c>
      <c r="Z222" s="14" t="s">
        <v>35</v>
      </c>
      <c r="AA222" s="4">
        <v>11.2931669703688</v>
      </c>
      <c r="AB222" s="4">
        <v>5</v>
      </c>
      <c r="AD222" s="8">
        <f>(AB209*(50/80))+(AB222*(30/80))</f>
        <v>3.125</v>
      </c>
    </row>
    <row r="223" spans="1:30" s="4" customFormat="1" x14ac:dyDescent="0.25">
      <c r="A223" s="59"/>
      <c r="B223" s="9"/>
      <c r="C223" s="6">
        <v>42069</v>
      </c>
      <c r="D223" s="4">
        <v>4.5999999999999996</v>
      </c>
      <c r="E223" s="4">
        <v>-2.1</v>
      </c>
      <c r="F223" s="4">
        <v>10.5</v>
      </c>
      <c r="G223" s="4">
        <f t="shared" si="23"/>
        <v>1509.6999999999998</v>
      </c>
      <c r="H223" s="4">
        <f t="shared" si="29"/>
        <v>39.1</v>
      </c>
      <c r="I223" s="8">
        <f>AVERAGE(D218:D258)</f>
        <v>7.9390243902439011</v>
      </c>
      <c r="J223" s="73">
        <v>0</v>
      </c>
      <c r="K223" s="4">
        <f t="shared" si="24"/>
        <v>294.99999999999994</v>
      </c>
      <c r="L223" s="4">
        <v>1.8</v>
      </c>
      <c r="M223" s="4">
        <f t="shared" si="25"/>
        <v>173.19999999999987</v>
      </c>
      <c r="N223" s="7">
        <v>-1.8</v>
      </c>
      <c r="O223" s="4">
        <f t="shared" si="31"/>
        <v>134.70000000000002</v>
      </c>
      <c r="P223" s="4">
        <v>179</v>
      </c>
      <c r="Q223" s="11">
        <f t="shared" si="32"/>
        <v>1.0219512195121951</v>
      </c>
      <c r="R223" s="8">
        <f t="shared" si="21"/>
        <v>1.8395121951219513</v>
      </c>
      <c r="S223" s="8">
        <f t="shared" si="22"/>
        <v>-1.8395121951219513</v>
      </c>
      <c r="T223" s="75">
        <f t="shared" si="26"/>
        <v>134.59353658536583</v>
      </c>
      <c r="U223" s="4">
        <v>0</v>
      </c>
      <c r="V223" s="4">
        <v>1490.9</v>
      </c>
      <c r="X223" s="4">
        <f t="shared" si="27"/>
        <v>92809.799999999988</v>
      </c>
      <c r="Y223" s="4">
        <f t="shared" si="30"/>
        <v>4808.6000000000004</v>
      </c>
      <c r="Z223" s="4">
        <v>21</v>
      </c>
      <c r="AA223" s="4">
        <v>11.350104959926799</v>
      </c>
      <c r="AB223" s="72" t="s">
        <v>55</v>
      </c>
      <c r="AD223" s="72" t="s">
        <v>55</v>
      </c>
    </row>
    <row r="224" spans="1:30" s="4" customFormat="1" x14ac:dyDescent="0.25">
      <c r="A224" s="59"/>
      <c r="B224" s="9"/>
      <c r="C224" s="6">
        <v>42070</v>
      </c>
      <c r="D224" s="4">
        <v>6.4</v>
      </c>
      <c r="E224" s="4">
        <v>-2.2000000000000002</v>
      </c>
      <c r="F224" s="4">
        <v>14.6</v>
      </c>
      <c r="G224" s="4">
        <f t="shared" si="23"/>
        <v>1516.1</v>
      </c>
      <c r="H224" s="4">
        <f t="shared" si="29"/>
        <v>45.5</v>
      </c>
      <c r="I224" s="14" t="s">
        <v>36</v>
      </c>
      <c r="J224" s="73">
        <v>0</v>
      </c>
      <c r="K224" s="4">
        <f t="shared" si="24"/>
        <v>294.99999999999994</v>
      </c>
      <c r="L224" s="4">
        <v>2.2000000000000002</v>
      </c>
      <c r="M224" s="4">
        <f t="shared" si="25"/>
        <v>175.39999999999986</v>
      </c>
      <c r="N224" s="7">
        <v>-2.2000000000000002</v>
      </c>
      <c r="O224" s="4">
        <f t="shared" si="31"/>
        <v>132.50000000000003</v>
      </c>
      <c r="P224" s="4">
        <v>180</v>
      </c>
      <c r="Q224" s="11">
        <f t="shared" si="32"/>
        <v>1.025609756097561</v>
      </c>
      <c r="R224" s="8">
        <f t="shared" si="21"/>
        <v>2.2563414634146346</v>
      </c>
      <c r="S224" s="8">
        <f t="shared" si="22"/>
        <v>-2.2563414634146346</v>
      </c>
      <c r="T224" s="75">
        <f t="shared" si="26"/>
        <v>132.3371951219512</v>
      </c>
      <c r="U224" s="14" t="s">
        <v>37</v>
      </c>
      <c r="V224" s="4">
        <v>1396.5</v>
      </c>
      <c r="X224" s="4">
        <f t="shared" si="27"/>
        <v>94206.299999999988</v>
      </c>
      <c r="Y224" s="4">
        <f t="shared" si="30"/>
        <v>6205.1</v>
      </c>
      <c r="AA224" s="4">
        <v>11.407122958259199</v>
      </c>
      <c r="AB224" s="4">
        <v>8</v>
      </c>
      <c r="AD224" s="8">
        <f>(AB211*(50/80))+(AB224*(30/80))</f>
        <v>6.75</v>
      </c>
    </row>
    <row r="225" spans="1:30" s="4" customFormat="1" x14ac:dyDescent="0.25">
      <c r="A225" s="59"/>
      <c r="B225" s="9"/>
      <c r="C225" s="6">
        <v>42071</v>
      </c>
      <c r="D225" s="4">
        <v>8</v>
      </c>
      <c r="E225" s="4">
        <v>-1.8</v>
      </c>
      <c r="F225" s="4">
        <v>15.5</v>
      </c>
      <c r="G225" s="4">
        <f t="shared" si="23"/>
        <v>1524.1</v>
      </c>
      <c r="H225" s="4">
        <f t="shared" si="29"/>
        <v>53.5</v>
      </c>
      <c r="I225" s="4">
        <v>6</v>
      </c>
      <c r="J225" s="73">
        <v>0</v>
      </c>
      <c r="K225" s="4">
        <f t="shared" si="24"/>
        <v>294.99999999999994</v>
      </c>
      <c r="L225" s="4">
        <v>2.1</v>
      </c>
      <c r="M225" s="4">
        <f t="shared" si="25"/>
        <v>177.49999999999986</v>
      </c>
      <c r="N225" s="7">
        <v>-2.1</v>
      </c>
      <c r="O225" s="4">
        <f t="shared" si="31"/>
        <v>130.40000000000003</v>
      </c>
      <c r="P225" s="4">
        <v>181</v>
      </c>
      <c r="Q225" s="11">
        <f t="shared" si="32"/>
        <v>1.0292682926829269</v>
      </c>
      <c r="R225" s="8">
        <f t="shared" si="21"/>
        <v>2.1614634146341465</v>
      </c>
      <c r="S225" s="8">
        <f t="shared" si="22"/>
        <v>-2.1614634146341465</v>
      </c>
      <c r="T225" s="75">
        <f t="shared" si="26"/>
        <v>130.17573170731706</v>
      </c>
      <c r="U225" s="8">
        <f>MIN(T218:T258)</f>
        <v>102.9653658536585</v>
      </c>
      <c r="V225" s="4">
        <v>1509.5</v>
      </c>
      <c r="X225" s="4">
        <f t="shared" si="27"/>
        <v>95715.799999999988</v>
      </c>
      <c r="Y225" s="4">
        <f t="shared" si="30"/>
        <v>7714.6</v>
      </c>
      <c r="AA225" s="4">
        <v>11.464213052906</v>
      </c>
      <c r="AB225" s="72" t="s">
        <v>56</v>
      </c>
      <c r="AD225" s="72" t="s">
        <v>56</v>
      </c>
    </row>
    <row r="226" spans="1:30" s="4" customFormat="1" x14ac:dyDescent="0.25">
      <c r="A226" s="59"/>
      <c r="B226" s="9"/>
      <c r="C226" s="6">
        <v>42072</v>
      </c>
      <c r="D226" s="4">
        <v>8.4</v>
      </c>
      <c r="E226" s="4">
        <v>6.2</v>
      </c>
      <c r="F226" s="4">
        <v>11.3</v>
      </c>
      <c r="G226" s="4">
        <f t="shared" si="23"/>
        <v>1532.5</v>
      </c>
      <c r="H226" s="4">
        <f t="shared" si="29"/>
        <v>61.9</v>
      </c>
      <c r="I226" s="14" t="s">
        <v>38</v>
      </c>
      <c r="J226" s="73">
        <v>0</v>
      </c>
      <c r="K226" s="4">
        <f t="shared" si="24"/>
        <v>294.99999999999994</v>
      </c>
      <c r="L226" s="4">
        <v>1.4</v>
      </c>
      <c r="M226" s="4">
        <f t="shared" si="25"/>
        <v>178.89999999999986</v>
      </c>
      <c r="N226" s="7">
        <v>-1.4</v>
      </c>
      <c r="O226" s="4">
        <f t="shared" si="31"/>
        <v>129.00000000000003</v>
      </c>
      <c r="P226" s="4">
        <v>182</v>
      </c>
      <c r="Q226" s="11">
        <f t="shared" si="32"/>
        <v>1.0329268292682927</v>
      </c>
      <c r="R226" s="8">
        <f t="shared" si="21"/>
        <v>1.4460975609756097</v>
      </c>
      <c r="S226" s="8">
        <f t="shared" si="22"/>
        <v>-1.4460975609756097</v>
      </c>
      <c r="T226" s="75">
        <f t="shared" si="26"/>
        <v>128.72963414634145</v>
      </c>
      <c r="U226" s="14" t="s">
        <v>39</v>
      </c>
      <c r="V226" s="4">
        <v>1001.7</v>
      </c>
      <c r="X226" s="4">
        <f t="shared" si="27"/>
        <v>96717.499999999985</v>
      </c>
      <c r="Y226" s="4">
        <f t="shared" si="30"/>
        <v>8716.3000000000011</v>
      </c>
      <c r="AA226" s="4">
        <v>11.521367588318</v>
      </c>
      <c r="AB226" s="4">
        <v>0</v>
      </c>
      <c r="AD226" s="8">
        <f>(AB213*(50/80))+(AB226*(30/80))</f>
        <v>1.25</v>
      </c>
    </row>
    <row r="227" spans="1:30" s="4" customFormat="1" x14ac:dyDescent="0.25">
      <c r="A227" s="59"/>
      <c r="B227" s="9"/>
      <c r="C227" s="6">
        <v>42073</v>
      </c>
      <c r="D227" s="4">
        <v>9.1999999999999993</v>
      </c>
      <c r="E227" s="4">
        <v>4.3</v>
      </c>
      <c r="F227" s="4">
        <v>13.2</v>
      </c>
      <c r="G227" s="4">
        <f t="shared" si="23"/>
        <v>1541.7</v>
      </c>
      <c r="H227" s="4">
        <f t="shared" si="29"/>
        <v>71.099999999999994</v>
      </c>
      <c r="I227" s="4">
        <v>0</v>
      </c>
      <c r="J227" s="73">
        <v>1.8</v>
      </c>
      <c r="K227" s="4">
        <f t="shared" si="24"/>
        <v>296.79999999999995</v>
      </c>
      <c r="L227" s="4">
        <v>0.7</v>
      </c>
      <c r="M227" s="4">
        <f t="shared" si="25"/>
        <v>179.59999999999985</v>
      </c>
      <c r="N227" s="4">
        <v>1.1000000000000001</v>
      </c>
      <c r="O227" s="4">
        <f t="shared" si="31"/>
        <v>130.10000000000002</v>
      </c>
      <c r="P227" s="4">
        <v>183</v>
      </c>
      <c r="Q227" s="11">
        <f t="shared" si="32"/>
        <v>1.0365853658536586</v>
      </c>
      <c r="R227" s="8">
        <f t="shared" si="21"/>
        <v>0.72560975609756095</v>
      </c>
      <c r="S227" s="8">
        <f t="shared" si="22"/>
        <v>1.0743902439024391</v>
      </c>
      <c r="T227" s="75">
        <f t="shared" si="26"/>
        <v>129.80402439024388</v>
      </c>
      <c r="U227" s="8">
        <f>MAX(T218:T258)</f>
        <v>138.9</v>
      </c>
      <c r="V227" s="4">
        <v>445.1</v>
      </c>
      <c r="X227" s="4">
        <f t="shared" si="27"/>
        <v>97162.599999999991</v>
      </c>
      <c r="Y227" s="4">
        <f t="shared" si="30"/>
        <v>9161.4000000000015</v>
      </c>
      <c r="AA227" s="4">
        <v>11.5785791477761</v>
      </c>
      <c r="AB227" s="72" t="s">
        <v>57</v>
      </c>
      <c r="AD227" s="72" t="s">
        <v>57</v>
      </c>
    </row>
    <row r="228" spans="1:30" s="4" customFormat="1" x14ac:dyDescent="0.25">
      <c r="A228" s="59"/>
      <c r="B228" s="9"/>
      <c r="C228" s="6">
        <v>42074</v>
      </c>
      <c r="D228" s="4">
        <v>10.4</v>
      </c>
      <c r="E228" s="4">
        <v>8.5</v>
      </c>
      <c r="F228" s="4">
        <v>12.8</v>
      </c>
      <c r="G228" s="4">
        <f t="shared" si="23"/>
        <v>1552.1000000000001</v>
      </c>
      <c r="H228" s="4">
        <f t="shared" si="29"/>
        <v>81.5</v>
      </c>
      <c r="I228" s="14" t="s">
        <v>40</v>
      </c>
      <c r="J228" s="73">
        <v>0</v>
      </c>
      <c r="K228" s="4">
        <f t="shared" si="24"/>
        <v>296.79999999999995</v>
      </c>
      <c r="L228" s="4">
        <v>0.7</v>
      </c>
      <c r="M228" s="4">
        <f t="shared" si="25"/>
        <v>180.29999999999984</v>
      </c>
      <c r="N228" s="7">
        <v>-0.7</v>
      </c>
      <c r="O228" s="4">
        <f t="shared" si="31"/>
        <v>129.40000000000003</v>
      </c>
      <c r="P228" s="4">
        <v>184</v>
      </c>
      <c r="Q228" s="11">
        <f t="shared" si="32"/>
        <v>1.0402439024390244</v>
      </c>
      <c r="R228" s="8">
        <f t="shared" si="21"/>
        <v>0.72817073170731705</v>
      </c>
      <c r="S228" s="8">
        <f t="shared" si="22"/>
        <v>-0.72817073170731705</v>
      </c>
      <c r="T228" s="75">
        <f t="shared" si="26"/>
        <v>129.07585365853657</v>
      </c>
      <c r="U228" s="14" t="s">
        <v>41</v>
      </c>
      <c r="V228" s="4">
        <v>471.3</v>
      </c>
      <c r="X228" s="4">
        <f t="shared" si="27"/>
        <v>97633.9</v>
      </c>
      <c r="Y228" s="4">
        <f t="shared" si="30"/>
        <v>9632.7000000000007</v>
      </c>
      <c r="AA228" s="4">
        <v>11.6358405353695</v>
      </c>
      <c r="AB228" s="4">
        <f>SUM(J230:J239)</f>
        <v>3.5</v>
      </c>
      <c r="AD228" s="4">
        <f>(AB215*(50/80))+(AB228*(30/80))</f>
        <v>6.4999999999999991</v>
      </c>
    </row>
    <row r="229" spans="1:30" s="68" customFormat="1" x14ac:dyDescent="0.25">
      <c r="A229" s="59"/>
      <c r="B229" s="66" t="s">
        <v>51</v>
      </c>
      <c r="C229" s="67">
        <v>42075</v>
      </c>
      <c r="D229" s="68">
        <v>8.5</v>
      </c>
      <c r="E229" s="68">
        <v>1.3</v>
      </c>
      <c r="F229" s="68">
        <v>14.1</v>
      </c>
      <c r="G229" s="68">
        <f t="shared" si="23"/>
        <v>1560.6000000000001</v>
      </c>
      <c r="H229" s="68">
        <f t="shared" si="29"/>
        <v>90</v>
      </c>
      <c r="I229" s="68">
        <v>21</v>
      </c>
      <c r="J229" s="68">
        <v>0</v>
      </c>
      <c r="K229" s="68">
        <f t="shared" si="24"/>
        <v>296.79999999999995</v>
      </c>
      <c r="L229" s="68">
        <v>2.2000000000000002</v>
      </c>
      <c r="M229" s="68">
        <f t="shared" si="25"/>
        <v>182.49999999999983</v>
      </c>
      <c r="N229" s="69">
        <v>-2.2000000000000002</v>
      </c>
      <c r="O229" s="68">
        <f t="shared" si="31"/>
        <v>127.20000000000003</v>
      </c>
      <c r="P229" s="68">
        <v>185</v>
      </c>
      <c r="Q229" s="71">
        <f t="shared" si="32"/>
        <v>1.0439024390243903</v>
      </c>
      <c r="R229" s="70">
        <f t="shared" si="21"/>
        <v>2.2965853658536588</v>
      </c>
      <c r="S229" s="70">
        <f t="shared" si="22"/>
        <v>-2.2965853658536588</v>
      </c>
      <c r="T229" s="70">
        <f t="shared" si="26"/>
        <v>126.77926829268291</v>
      </c>
      <c r="U229" s="71">
        <f>AVERAGE(T218:T258)</f>
        <v>124.72875669244496</v>
      </c>
      <c r="V229" s="68">
        <v>1497.2</v>
      </c>
      <c r="X229" s="68">
        <f t="shared" si="27"/>
        <v>99131.099999999991</v>
      </c>
      <c r="Y229" s="68">
        <f t="shared" si="30"/>
        <v>11129.900000000001</v>
      </c>
      <c r="AA229" s="68">
        <v>11.693144758041599</v>
      </c>
    </row>
    <row r="230" spans="1:30" s="4" customFormat="1" x14ac:dyDescent="0.25">
      <c r="A230" s="59"/>
      <c r="B230" s="9"/>
      <c r="C230" s="6">
        <v>42076</v>
      </c>
      <c r="D230" s="4">
        <v>6.4</v>
      </c>
      <c r="E230" s="4">
        <v>2.7</v>
      </c>
      <c r="F230" s="4">
        <v>10</v>
      </c>
      <c r="G230" s="4">
        <f t="shared" si="23"/>
        <v>1567.0000000000002</v>
      </c>
      <c r="H230" s="4">
        <f t="shared" si="29"/>
        <v>96.4</v>
      </c>
      <c r="I230" s="14" t="s">
        <v>42</v>
      </c>
      <c r="J230" s="73">
        <v>3.4</v>
      </c>
      <c r="K230" s="4">
        <f t="shared" si="24"/>
        <v>300.19999999999993</v>
      </c>
      <c r="L230" s="4">
        <v>0.7</v>
      </c>
      <c r="M230" s="4">
        <f t="shared" si="25"/>
        <v>183.19999999999982</v>
      </c>
      <c r="N230" s="4">
        <v>2.7</v>
      </c>
      <c r="O230" s="4">
        <f t="shared" si="31"/>
        <v>129.90000000000003</v>
      </c>
      <c r="P230" s="4">
        <v>186</v>
      </c>
      <c r="Q230" s="11">
        <f t="shared" si="32"/>
        <v>1.0475609756097561</v>
      </c>
      <c r="R230" s="8">
        <f t="shared" si="21"/>
        <v>0.73329268292682925</v>
      </c>
      <c r="S230" s="8">
        <f t="shared" si="22"/>
        <v>2.6667073170731705</v>
      </c>
      <c r="T230" s="75">
        <f t="shared" si="26"/>
        <v>129.44597560975609</v>
      </c>
      <c r="V230" s="4">
        <v>278</v>
      </c>
      <c r="X230" s="4">
        <f t="shared" si="27"/>
        <v>99409.099999999991</v>
      </c>
      <c r="Y230" s="4">
        <f t="shared" si="30"/>
        <v>11407.900000000001</v>
      </c>
      <c r="AA230" s="4">
        <v>11.750485007715501</v>
      </c>
    </row>
    <row r="231" spans="1:30" s="4" customFormat="1" x14ac:dyDescent="0.25">
      <c r="A231" s="59"/>
      <c r="B231" s="9"/>
      <c r="C231" s="6">
        <v>42077</v>
      </c>
      <c r="D231" s="4">
        <v>4.3</v>
      </c>
      <c r="E231" s="4">
        <v>0.5</v>
      </c>
      <c r="F231" s="4">
        <v>6.7</v>
      </c>
      <c r="G231" s="4">
        <f t="shared" si="23"/>
        <v>1571.3000000000002</v>
      </c>
      <c r="H231" s="4">
        <f t="shared" si="29"/>
        <v>100.7</v>
      </c>
      <c r="I231" s="4">
        <v>325.5</v>
      </c>
      <c r="J231" s="73">
        <v>0</v>
      </c>
      <c r="K231" s="4">
        <f t="shared" si="24"/>
        <v>300.19999999999993</v>
      </c>
      <c r="L231" s="4">
        <v>1.1000000000000001</v>
      </c>
      <c r="M231" s="4">
        <f t="shared" si="25"/>
        <v>184.29999999999981</v>
      </c>
      <c r="N231" s="7">
        <v>-1.1000000000000001</v>
      </c>
      <c r="O231" s="4">
        <f t="shared" si="31"/>
        <v>128.80000000000004</v>
      </c>
      <c r="P231" s="4">
        <v>187</v>
      </c>
      <c r="Q231" s="11">
        <f t="shared" si="32"/>
        <v>1.051219512195122</v>
      </c>
      <c r="R231" s="8">
        <f t="shared" si="21"/>
        <v>1.1563414634146343</v>
      </c>
      <c r="S231" s="8">
        <f t="shared" si="22"/>
        <v>-1.1563414634146343</v>
      </c>
      <c r="T231" s="75">
        <f t="shared" si="26"/>
        <v>128.28963414634146</v>
      </c>
      <c r="U231" s="8">
        <f>(U229*100)/138.9</f>
        <v>89.797521016879017</v>
      </c>
      <c r="V231" s="4">
        <v>1068.7</v>
      </c>
      <c r="X231" s="4">
        <f t="shared" si="27"/>
        <v>100477.79999999999</v>
      </c>
      <c r="Y231" s="4">
        <f t="shared" si="30"/>
        <v>12476.600000000002</v>
      </c>
      <c r="AA231" s="4">
        <v>11.8078546435056</v>
      </c>
    </row>
    <row r="232" spans="1:30" s="4" customFormat="1" x14ac:dyDescent="0.25">
      <c r="A232" s="59"/>
      <c r="B232" s="9"/>
      <c r="C232" s="6">
        <v>42078</v>
      </c>
      <c r="D232" s="4">
        <v>5.4</v>
      </c>
      <c r="E232" s="4">
        <v>3.1</v>
      </c>
      <c r="F232" s="4">
        <v>7.6</v>
      </c>
      <c r="G232" s="4">
        <f t="shared" si="23"/>
        <v>1576.7000000000003</v>
      </c>
      <c r="H232" s="4">
        <f t="shared" si="29"/>
        <v>106.10000000000001</v>
      </c>
      <c r="J232" s="73">
        <v>0</v>
      </c>
      <c r="K232" s="4">
        <f t="shared" si="24"/>
        <v>300.19999999999993</v>
      </c>
      <c r="L232" s="4">
        <v>0.8</v>
      </c>
      <c r="M232" s="4">
        <f t="shared" si="25"/>
        <v>185.09999999999982</v>
      </c>
      <c r="N232" s="7">
        <v>-0.8</v>
      </c>
      <c r="O232" s="4">
        <f t="shared" si="31"/>
        <v>128.00000000000003</v>
      </c>
      <c r="P232" s="4">
        <v>188</v>
      </c>
      <c r="Q232" s="11">
        <f t="shared" si="32"/>
        <v>1.0548780487804879</v>
      </c>
      <c r="R232" s="8">
        <f t="shared" si="21"/>
        <v>0.84390243902439033</v>
      </c>
      <c r="S232" s="8">
        <f t="shared" si="22"/>
        <v>-0.84390243902439033</v>
      </c>
      <c r="T232" s="75">
        <f t="shared" si="26"/>
        <v>127.44573170731707</v>
      </c>
      <c r="V232" s="4">
        <v>704.4</v>
      </c>
      <c r="X232" s="4">
        <f t="shared" si="27"/>
        <v>101182.19999999998</v>
      </c>
      <c r="Y232" s="4">
        <f t="shared" si="30"/>
        <v>13181.000000000002</v>
      </c>
      <c r="AA232" s="4">
        <v>11.865247174022199</v>
      </c>
    </row>
    <row r="233" spans="1:30" s="4" customFormat="1" x14ac:dyDescent="0.25">
      <c r="A233" s="59"/>
      <c r="B233" s="9"/>
      <c r="C233" s="6">
        <v>42079</v>
      </c>
      <c r="D233" s="4">
        <v>6.3</v>
      </c>
      <c r="E233" s="4">
        <v>1.3</v>
      </c>
      <c r="F233" s="4">
        <v>10.6</v>
      </c>
      <c r="G233" s="4">
        <f t="shared" si="23"/>
        <v>1583.0000000000002</v>
      </c>
      <c r="H233" s="4">
        <f t="shared" si="29"/>
        <v>112.4</v>
      </c>
      <c r="J233" s="73">
        <v>0</v>
      </c>
      <c r="K233" s="4">
        <f t="shared" si="24"/>
        <v>300.19999999999993</v>
      </c>
      <c r="L233" s="4">
        <v>0.8</v>
      </c>
      <c r="M233" s="4">
        <f t="shared" si="25"/>
        <v>185.89999999999984</v>
      </c>
      <c r="N233" s="7">
        <v>-0.8</v>
      </c>
      <c r="O233" s="4">
        <f t="shared" si="31"/>
        <v>127.20000000000003</v>
      </c>
      <c r="P233" s="4">
        <v>189</v>
      </c>
      <c r="Q233" s="11">
        <f t="shared" si="32"/>
        <v>1.0585365853658537</v>
      </c>
      <c r="R233" s="8">
        <f t="shared" si="21"/>
        <v>0.84682926829268301</v>
      </c>
      <c r="S233" s="8">
        <f t="shared" si="22"/>
        <v>-0.84682926829268301</v>
      </c>
      <c r="T233" s="75">
        <f t="shared" si="26"/>
        <v>126.59890243902439</v>
      </c>
      <c r="V233" s="4">
        <v>657.5</v>
      </c>
      <c r="X233" s="4">
        <f t="shared" si="27"/>
        <v>101839.69999999998</v>
      </c>
      <c r="Y233" s="4">
        <f t="shared" si="30"/>
        <v>13838.500000000002</v>
      </c>
      <c r="AA233" s="4">
        <v>11.922656239771401</v>
      </c>
    </row>
    <row r="234" spans="1:30" s="4" customFormat="1" x14ac:dyDescent="0.25">
      <c r="A234" s="59"/>
      <c r="B234" s="9"/>
      <c r="C234" s="6">
        <v>42080</v>
      </c>
      <c r="D234" s="4">
        <v>8.1</v>
      </c>
      <c r="E234" s="4">
        <v>-0.6</v>
      </c>
      <c r="F234" s="4">
        <v>14.7</v>
      </c>
      <c r="G234" s="4">
        <f t="shared" si="23"/>
        <v>1591.1000000000001</v>
      </c>
      <c r="H234" s="4">
        <f t="shared" si="29"/>
        <v>120.5</v>
      </c>
      <c r="J234" s="73">
        <v>0</v>
      </c>
      <c r="K234" s="4">
        <f t="shared" si="24"/>
        <v>300.19999999999993</v>
      </c>
      <c r="L234" s="4">
        <v>2.2000000000000002</v>
      </c>
      <c r="M234" s="4">
        <f t="shared" si="25"/>
        <v>188.09999999999982</v>
      </c>
      <c r="N234" s="7">
        <v>-2.2000000000000002</v>
      </c>
      <c r="O234" s="4">
        <f t="shared" si="31"/>
        <v>125.00000000000003</v>
      </c>
      <c r="P234" s="4">
        <v>190</v>
      </c>
      <c r="Q234" s="11">
        <f t="shared" si="32"/>
        <v>1.0621951219512196</v>
      </c>
      <c r="R234" s="8">
        <f t="shared" si="21"/>
        <v>2.3368292682926834</v>
      </c>
      <c r="S234" s="8">
        <f t="shared" si="22"/>
        <v>-2.3368292682926834</v>
      </c>
      <c r="T234" s="75">
        <f t="shared" si="26"/>
        <v>124.2620731707317</v>
      </c>
      <c r="V234" s="4">
        <v>1671.7</v>
      </c>
      <c r="X234" s="4">
        <f t="shared" si="27"/>
        <v>103511.39999999998</v>
      </c>
      <c r="Y234" s="4">
        <f t="shared" si="30"/>
        <v>15510.200000000003</v>
      </c>
      <c r="AA234" s="4">
        <v>11.980075595655601</v>
      </c>
    </row>
    <row r="235" spans="1:30" s="4" customFormat="1" x14ac:dyDescent="0.25">
      <c r="A235" s="59"/>
      <c r="B235" s="9"/>
      <c r="C235" s="6">
        <v>42081</v>
      </c>
      <c r="D235" s="4">
        <v>10.6</v>
      </c>
      <c r="E235" s="4">
        <v>6</v>
      </c>
      <c r="F235" s="4">
        <v>14.5</v>
      </c>
      <c r="G235" s="4">
        <f t="shared" si="23"/>
        <v>1601.7</v>
      </c>
      <c r="H235" s="4">
        <f t="shared" si="29"/>
        <v>131.1</v>
      </c>
      <c r="J235" s="73">
        <v>0</v>
      </c>
      <c r="K235" s="4">
        <f t="shared" si="24"/>
        <v>300.19999999999993</v>
      </c>
      <c r="L235" s="4">
        <v>1.9</v>
      </c>
      <c r="M235" s="4">
        <f t="shared" si="25"/>
        <v>189.99999999999983</v>
      </c>
      <c r="N235" s="7">
        <v>-1.9</v>
      </c>
      <c r="O235" s="4">
        <f t="shared" si="31"/>
        <v>123.10000000000002</v>
      </c>
      <c r="P235" s="4">
        <v>191</v>
      </c>
      <c r="Q235" s="11">
        <f t="shared" si="32"/>
        <v>1.0658536585365854</v>
      </c>
      <c r="R235" s="8">
        <f t="shared" si="21"/>
        <v>2.025121951219512</v>
      </c>
      <c r="S235" s="8">
        <f t="shared" si="22"/>
        <v>-2.025121951219512</v>
      </c>
      <c r="T235" s="75">
        <f t="shared" si="26"/>
        <v>122.23695121951218</v>
      </c>
      <c r="V235" s="4">
        <v>1156.2</v>
      </c>
      <c r="X235" s="4">
        <f t="shared" si="27"/>
        <v>104667.59999999998</v>
      </c>
      <c r="Y235" s="4">
        <f t="shared" si="30"/>
        <v>16666.400000000001</v>
      </c>
      <c r="AA235" s="4">
        <v>12.037499093573899</v>
      </c>
    </row>
    <row r="236" spans="1:30" s="4" customFormat="1" x14ac:dyDescent="0.25">
      <c r="A236" s="59"/>
      <c r="B236" s="9"/>
      <c r="C236" s="6">
        <v>42082</v>
      </c>
      <c r="D236" s="4">
        <v>6.8</v>
      </c>
      <c r="E236" s="4">
        <v>4.2</v>
      </c>
      <c r="F236" s="4">
        <v>8.3000000000000007</v>
      </c>
      <c r="G236" s="4">
        <f t="shared" si="23"/>
        <v>1608.5</v>
      </c>
      <c r="H236" s="4">
        <f t="shared" si="29"/>
        <v>137.9</v>
      </c>
      <c r="J236" s="73">
        <v>0</v>
      </c>
      <c r="K236" s="4">
        <f t="shared" si="24"/>
        <v>300.19999999999993</v>
      </c>
      <c r="L236" s="4">
        <v>1.3</v>
      </c>
      <c r="M236" s="4">
        <f t="shared" si="25"/>
        <v>191.29999999999984</v>
      </c>
      <c r="N236" s="7">
        <v>-1.3</v>
      </c>
      <c r="O236" s="4">
        <f t="shared" si="31"/>
        <v>121.80000000000003</v>
      </c>
      <c r="P236" s="4">
        <v>192</v>
      </c>
      <c r="Q236" s="11">
        <f t="shared" si="32"/>
        <v>1.0695121951219513</v>
      </c>
      <c r="R236" s="8">
        <f t="shared" si="21"/>
        <v>1.3903658536585368</v>
      </c>
      <c r="S236" s="8">
        <f t="shared" si="22"/>
        <v>-1.3903658536585368</v>
      </c>
      <c r="T236" s="75">
        <f t="shared" si="26"/>
        <v>120.84658536585364</v>
      </c>
      <c r="V236" s="4">
        <v>972.8</v>
      </c>
      <c r="X236" s="4">
        <f t="shared" si="27"/>
        <v>105640.39999999998</v>
      </c>
      <c r="Y236" s="4">
        <f t="shared" si="30"/>
        <v>17639.2</v>
      </c>
      <c r="AA236" s="4">
        <v>12.0949206651238</v>
      </c>
    </row>
    <row r="237" spans="1:30" s="4" customFormat="1" x14ac:dyDescent="0.25">
      <c r="A237" s="59"/>
      <c r="B237" s="9"/>
      <c r="C237" s="6">
        <v>42083</v>
      </c>
      <c r="D237" s="4">
        <v>8</v>
      </c>
      <c r="E237" s="4">
        <v>6.3</v>
      </c>
      <c r="F237" s="4">
        <v>11</v>
      </c>
      <c r="G237" s="4">
        <f t="shared" si="23"/>
        <v>1616.5</v>
      </c>
      <c r="H237" s="4">
        <f t="shared" si="29"/>
        <v>145.9</v>
      </c>
      <c r="J237" s="73">
        <v>0</v>
      </c>
      <c r="K237" s="4">
        <f t="shared" si="24"/>
        <v>300.19999999999993</v>
      </c>
      <c r="L237" s="4">
        <v>1.2</v>
      </c>
      <c r="M237" s="4">
        <f t="shared" si="25"/>
        <v>192.49999999999983</v>
      </c>
      <c r="N237" s="7">
        <v>-1.2</v>
      </c>
      <c r="O237" s="4">
        <f t="shared" si="31"/>
        <v>120.60000000000002</v>
      </c>
      <c r="P237" s="4">
        <v>193</v>
      </c>
      <c r="Q237" s="11">
        <f t="shared" si="32"/>
        <v>1.0731707317073171</v>
      </c>
      <c r="R237" s="8">
        <f t="shared" ref="R237:R300" si="33">Q237*L237</f>
        <v>1.2878048780487805</v>
      </c>
      <c r="S237" s="8">
        <f t="shared" ref="S237:S300" si="34">J237-R237</f>
        <v>-1.2878048780487805</v>
      </c>
      <c r="T237" s="75">
        <f t="shared" si="26"/>
        <v>119.55878048780487</v>
      </c>
      <c r="V237" s="4">
        <v>548.20000000000005</v>
      </c>
      <c r="X237" s="4">
        <f t="shared" si="27"/>
        <v>106188.59999999998</v>
      </c>
      <c r="Y237" s="4">
        <f t="shared" si="30"/>
        <v>18187.400000000001</v>
      </c>
      <c r="AA237" s="4">
        <v>12.1523343044034</v>
      </c>
    </row>
    <row r="238" spans="1:30" s="4" customFormat="1" x14ac:dyDescent="0.25">
      <c r="A238" s="59"/>
      <c r="B238" s="9"/>
      <c r="C238" s="6">
        <v>42084</v>
      </c>
      <c r="D238" s="4">
        <v>6.6</v>
      </c>
      <c r="E238" s="4">
        <v>4</v>
      </c>
      <c r="F238" s="4">
        <v>8.4</v>
      </c>
      <c r="G238" s="4">
        <f t="shared" si="23"/>
        <v>1623.1</v>
      </c>
      <c r="H238" s="4">
        <f t="shared" si="29"/>
        <v>152.5</v>
      </c>
      <c r="J238" s="73">
        <v>0.1</v>
      </c>
      <c r="K238" s="4">
        <f t="shared" si="24"/>
        <v>300.29999999999995</v>
      </c>
      <c r="L238" s="4">
        <v>1.4</v>
      </c>
      <c r="M238" s="4">
        <f t="shared" si="25"/>
        <v>193.89999999999984</v>
      </c>
      <c r="N238" s="7">
        <v>-1.2999999999999998</v>
      </c>
      <c r="O238" s="4">
        <f t="shared" si="31"/>
        <v>119.30000000000003</v>
      </c>
      <c r="P238" s="4">
        <v>194</v>
      </c>
      <c r="Q238" s="11">
        <f t="shared" si="32"/>
        <v>1.0768292682926828</v>
      </c>
      <c r="R238" s="8">
        <f t="shared" si="33"/>
        <v>1.5075609756097559</v>
      </c>
      <c r="S238" s="8">
        <f t="shared" si="34"/>
        <v>-1.4075609756097558</v>
      </c>
      <c r="T238" s="75">
        <f t="shared" si="26"/>
        <v>118.15121951219511</v>
      </c>
      <c r="V238" s="4">
        <v>1144.5</v>
      </c>
      <c r="X238" s="4">
        <f t="shared" si="27"/>
        <v>107333.09999999998</v>
      </c>
      <c r="Y238" s="4">
        <f t="shared" si="30"/>
        <v>19331.900000000001</v>
      </c>
      <c r="AA238" s="4">
        <v>12.209734050913401</v>
      </c>
    </row>
    <row r="239" spans="1:30" s="4" customFormat="1" x14ac:dyDescent="0.25">
      <c r="A239" s="59"/>
      <c r="B239" s="9"/>
      <c r="C239" s="6">
        <v>42085</v>
      </c>
      <c r="D239" s="4">
        <v>6.6</v>
      </c>
      <c r="E239" s="4">
        <v>5</v>
      </c>
      <c r="F239" s="4">
        <v>8.9</v>
      </c>
      <c r="G239" s="4">
        <f t="shared" ref="G239:G302" si="35">G238+D239</f>
        <v>1629.6999999999998</v>
      </c>
      <c r="H239" s="4">
        <f t="shared" si="29"/>
        <v>159.1</v>
      </c>
      <c r="J239" s="73">
        <v>0</v>
      </c>
      <c r="K239" s="4">
        <f t="shared" ref="K239:K302" si="36">K238+J239</f>
        <v>300.29999999999995</v>
      </c>
      <c r="L239" s="4">
        <v>1.6</v>
      </c>
      <c r="M239" s="4">
        <f t="shared" ref="M239:M302" si="37">M238+L239</f>
        <v>195.49999999999983</v>
      </c>
      <c r="N239" s="7">
        <v>-1.6</v>
      </c>
      <c r="O239" s="4">
        <f t="shared" si="31"/>
        <v>117.70000000000003</v>
      </c>
      <c r="P239" s="4">
        <v>195</v>
      </c>
      <c r="Q239" s="11">
        <f t="shared" si="32"/>
        <v>1.0804878048780489</v>
      </c>
      <c r="R239" s="8">
        <f t="shared" si="33"/>
        <v>1.7287804878048783</v>
      </c>
      <c r="S239" s="8">
        <f t="shared" si="34"/>
        <v>-1.7287804878048783</v>
      </c>
      <c r="T239" s="75">
        <f t="shared" ref="T239:T302" si="38">MIN(138.9,(T238+S239))</f>
        <v>116.42243902439023</v>
      </c>
      <c r="V239" s="4">
        <v>988.2</v>
      </c>
      <c r="X239" s="4">
        <f t="shared" ref="X239:X302" si="39">X238+V239</f>
        <v>108321.29999999997</v>
      </c>
      <c r="Y239" s="4">
        <f t="shared" si="30"/>
        <v>20320.100000000002</v>
      </c>
      <c r="AA239" s="4">
        <v>12.2671139725558</v>
      </c>
    </row>
    <row r="240" spans="1:30" s="4" customFormat="1" x14ac:dyDescent="0.25">
      <c r="A240" s="59"/>
      <c r="B240" s="9"/>
      <c r="C240" s="6">
        <v>42086</v>
      </c>
      <c r="D240" s="4">
        <v>6.9</v>
      </c>
      <c r="E240" s="4">
        <v>-1.7</v>
      </c>
      <c r="F240" s="4">
        <v>13</v>
      </c>
      <c r="G240" s="4">
        <f t="shared" si="35"/>
        <v>1636.6</v>
      </c>
      <c r="H240" s="4">
        <f t="shared" si="29"/>
        <v>166</v>
      </c>
      <c r="J240" s="4">
        <v>1.1000000000000001</v>
      </c>
      <c r="K240" s="4">
        <f t="shared" si="36"/>
        <v>301.39999999999998</v>
      </c>
      <c r="L240" s="4">
        <v>1.6</v>
      </c>
      <c r="M240" s="4">
        <f t="shared" si="37"/>
        <v>197.09999999999982</v>
      </c>
      <c r="N240" s="7">
        <v>-0.5</v>
      </c>
      <c r="O240" s="4">
        <f t="shared" si="31"/>
        <v>117.20000000000003</v>
      </c>
      <c r="P240" s="4">
        <v>196</v>
      </c>
      <c r="Q240" s="11">
        <f t="shared" si="32"/>
        <v>1.0841463414634145</v>
      </c>
      <c r="R240" s="8">
        <f t="shared" si="33"/>
        <v>1.7346341463414632</v>
      </c>
      <c r="S240" s="8">
        <f t="shared" si="34"/>
        <v>-0.63463414634146309</v>
      </c>
      <c r="T240" s="8">
        <f t="shared" si="38"/>
        <v>115.78780487804876</v>
      </c>
      <c r="V240" s="4">
        <v>1311.8</v>
      </c>
      <c r="X240" s="4">
        <f t="shared" si="39"/>
        <v>109633.09999999998</v>
      </c>
      <c r="Y240" s="4">
        <f t="shared" si="30"/>
        <v>21631.9</v>
      </c>
      <c r="AA240" s="4">
        <v>12.324468148729499</v>
      </c>
    </row>
    <row r="241" spans="1:27" s="4" customFormat="1" x14ac:dyDescent="0.25">
      <c r="A241" s="59"/>
      <c r="B241" s="9"/>
      <c r="C241" s="6">
        <v>42087</v>
      </c>
      <c r="D241" s="4">
        <v>5.2</v>
      </c>
      <c r="E241" s="4">
        <v>4.5</v>
      </c>
      <c r="F241" s="4">
        <v>6.3</v>
      </c>
      <c r="G241" s="4">
        <f t="shared" si="35"/>
        <v>1641.8</v>
      </c>
      <c r="H241" s="4">
        <f t="shared" si="29"/>
        <v>171.2</v>
      </c>
      <c r="J241" s="4">
        <v>9.5</v>
      </c>
      <c r="K241" s="4">
        <f t="shared" si="36"/>
        <v>310.89999999999998</v>
      </c>
      <c r="L241" s="4">
        <v>0.6</v>
      </c>
      <c r="M241" s="4">
        <f t="shared" si="37"/>
        <v>197.69999999999982</v>
      </c>
      <c r="N241" s="4">
        <v>8.9</v>
      </c>
      <c r="O241" s="4">
        <f t="shared" si="31"/>
        <v>126.10000000000004</v>
      </c>
      <c r="P241" s="4">
        <v>197</v>
      </c>
      <c r="Q241" s="11">
        <f t="shared" si="32"/>
        <v>1.0878048780487803</v>
      </c>
      <c r="R241" s="8">
        <f t="shared" si="33"/>
        <v>0.65268292682926821</v>
      </c>
      <c r="S241" s="8">
        <f t="shared" si="34"/>
        <v>8.847317073170732</v>
      </c>
      <c r="T241" s="8">
        <f t="shared" si="38"/>
        <v>124.63512195121949</v>
      </c>
      <c r="V241" s="4">
        <v>317.3</v>
      </c>
      <c r="X241" s="4">
        <f t="shared" si="39"/>
        <v>109950.39999999998</v>
      </c>
      <c r="Y241" s="4">
        <f t="shared" si="30"/>
        <v>21949.200000000001</v>
      </c>
      <c r="AA241" s="4">
        <v>12.3817906535172</v>
      </c>
    </row>
    <row r="242" spans="1:27" s="4" customFormat="1" x14ac:dyDescent="0.25">
      <c r="A242" s="59"/>
      <c r="B242" s="9"/>
      <c r="C242" s="6">
        <v>42088</v>
      </c>
      <c r="D242" s="4">
        <v>4.0999999999999996</v>
      </c>
      <c r="E242" s="4">
        <v>1.2</v>
      </c>
      <c r="F242" s="4">
        <v>8.4</v>
      </c>
      <c r="G242" s="4">
        <f t="shared" si="35"/>
        <v>1645.8999999999999</v>
      </c>
      <c r="H242" s="4">
        <f t="shared" si="29"/>
        <v>175.29999999999998</v>
      </c>
      <c r="J242" s="4">
        <v>0.5</v>
      </c>
      <c r="K242" s="4">
        <f t="shared" si="36"/>
        <v>311.39999999999998</v>
      </c>
      <c r="L242" s="4">
        <v>1</v>
      </c>
      <c r="M242" s="4">
        <f t="shared" si="37"/>
        <v>198.69999999999982</v>
      </c>
      <c r="N242" s="7">
        <v>-0.5</v>
      </c>
      <c r="O242" s="4">
        <f t="shared" si="31"/>
        <v>125.60000000000004</v>
      </c>
      <c r="P242" s="4">
        <v>198</v>
      </c>
      <c r="Q242" s="11">
        <f t="shared" si="32"/>
        <v>1.0914634146341462</v>
      </c>
      <c r="R242" s="8">
        <f t="shared" si="33"/>
        <v>1.0914634146341462</v>
      </c>
      <c r="S242" s="8">
        <f t="shared" si="34"/>
        <v>-0.5914634146341462</v>
      </c>
      <c r="T242" s="8">
        <f t="shared" si="38"/>
        <v>124.04365853658534</v>
      </c>
      <c r="V242" s="4">
        <v>834.3</v>
      </c>
      <c r="X242" s="4">
        <f t="shared" si="39"/>
        <v>110784.69999999998</v>
      </c>
      <c r="Y242" s="4">
        <f t="shared" si="30"/>
        <v>22783.5</v>
      </c>
      <c r="AA242" s="4">
        <v>12.4390755389645</v>
      </c>
    </row>
    <row r="243" spans="1:27" s="4" customFormat="1" x14ac:dyDescent="0.25">
      <c r="A243" s="59"/>
      <c r="B243" s="9"/>
      <c r="C243" s="6">
        <v>42089</v>
      </c>
      <c r="D243" s="4">
        <v>4.4000000000000004</v>
      </c>
      <c r="E243" s="4">
        <v>-0.8</v>
      </c>
      <c r="F243" s="4">
        <v>9.1</v>
      </c>
      <c r="G243" s="4">
        <f t="shared" si="35"/>
        <v>1650.3</v>
      </c>
      <c r="H243" s="4">
        <f t="shared" si="29"/>
        <v>179.7</v>
      </c>
      <c r="J243" s="4">
        <v>1.5</v>
      </c>
      <c r="K243" s="4">
        <f t="shared" si="36"/>
        <v>312.89999999999998</v>
      </c>
      <c r="L243" s="4">
        <v>0.4</v>
      </c>
      <c r="M243" s="4">
        <f t="shared" si="37"/>
        <v>199.09999999999982</v>
      </c>
      <c r="N243" s="7">
        <v>1.1000000000000001</v>
      </c>
      <c r="O243" s="4">
        <f t="shared" si="31"/>
        <v>126.70000000000003</v>
      </c>
      <c r="P243" s="4">
        <v>199</v>
      </c>
      <c r="Q243" s="11">
        <f t="shared" si="32"/>
        <v>1.0951219512195121</v>
      </c>
      <c r="R243" s="8">
        <f t="shared" si="33"/>
        <v>0.43804878048780482</v>
      </c>
      <c r="S243" s="8">
        <f t="shared" si="34"/>
        <v>1.0619512195121952</v>
      </c>
      <c r="T243" s="8">
        <f t="shared" si="38"/>
        <v>125.10560975609754</v>
      </c>
      <c r="V243" s="4">
        <v>439.3</v>
      </c>
      <c r="X243" s="4">
        <f t="shared" si="39"/>
        <v>111223.99999999999</v>
      </c>
      <c r="Y243" s="4">
        <f t="shared" si="30"/>
        <v>23222.799999999999</v>
      </c>
      <c r="AA243" s="4">
        <v>12.4963168184469</v>
      </c>
    </row>
    <row r="244" spans="1:27" s="4" customFormat="1" x14ac:dyDescent="0.25">
      <c r="A244" s="59"/>
      <c r="B244" s="9"/>
      <c r="C244" s="6">
        <v>42090</v>
      </c>
      <c r="D244" s="4">
        <v>7.3</v>
      </c>
      <c r="E244" s="4">
        <v>2.5</v>
      </c>
      <c r="F244" s="4">
        <v>11.2</v>
      </c>
      <c r="G244" s="4">
        <f t="shared" si="35"/>
        <v>1657.6</v>
      </c>
      <c r="H244" s="4">
        <f t="shared" si="29"/>
        <v>187</v>
      </c>
      <c r="J244" s="4">
        <v>0.7</v>
      </c>
      <c r="K244" s="4">
        <f t="shared" si="36"/>
        <v>313.59999999999997</v>
      </c>
      <c r="L244" s="4">
        <v>1.1000000000000001</v>
      </c>
      <c r="M244" s="4">
        <f t="shared" si="37"/>
        <v>200.19999999999982</v>
      </c>
      <c r="N244" s="7">
        <v>-0.40000000000000013</v>
      </c>
      <c r="O244" s="4">
        <f t="shared" si="31"/>
        <v>126.30000000000003</v>
      </c>
      <c r="P244" s="4">
        <v>200</v>
      </c>
      <c r="Q244" s="11">
        <f t="shared" si="32"/>
        <v>1.0987804878048779</v>
      </c>
      <c r="R244" s="8">
        <f t="shared" si="33"/>
        <v>1.2086585365853657</v>
      </c>
      <c r="S244" s="8">
        <f t="shared" si="34"/>
        <v>-0.50865853658536575</v>
      </c>
      <c r="T244" s="8">
        <f t="shared" si="38"/>
        <v>124.59695121951216</v>
      </c>
      <c r="V244" s="4">
        <v>762.2</v>
      </c>
      <c r="X244" s="4">
        <f t="shared" si="39"/>
        <v>111986.19999999998</v>
      </c>
      <c r="Y244" s="4">
        <f t="shared" si="30"/>
        <v>23985</v>
      </c>
      <c r="AA244" s="4">
        <v>12.553508450122401</v>
      </c>
    </row>
    <row r="245" spans="1:27" s="4" customFormat="1" x14ac:dyDescent="0.25">
      <c r="A245" s="59"/>
      <c r="B245" s="9"/>
      <c r="C245" s="6">
        <v>42091</v>
      </c>
      <c r="D245" s="4">
        <v>10.9</v>
      </c>
      <c r="E245" s="4">
        <v>7.9</v>
      </c>
      <c r="F245" s="4">
        <v>13.4</v>
      </c>
      <c r="G245" s="4">
        <f t="shared" si="35"/>
        <v>1668.5</v>
      </c>
      <c r="H245" s="4">
        <f t="shared" si="29"/>
        <v>197.9</v>
      </c>
      <c r="J245" s="4">
        <v>0.1</v>
      </c>
      <c r="K245" s="4">
        <f t="shared" si="36"/>
        <v>313.7</v>
      </c>
      <c r="L245" s="4">
        <v>0.7</v>
      </c>
      <c r="M245" s="4">
        <f t="shared" si="37"/>
        <v>200.89999999999981</v>
      </c>
      <c r="N245" s="7">
        <v>-0.6</v>
      </c>
      <c r="O245" s="4">
        <f t="shared" si="31"/>
        <v>125.70000000000003</v>
      </c>
      <c r="P245" s="4">
        <v>201</v>
      </c>
      <c r="Q245" s="11">
        <f t="shared" si="32"/>
        <v>1.1024390243902438</v>
      </c>
      <c r="R245" s="8">
        <f t="shared" si="33"/>
        <v>0.77170731707317064</v>
      </c>
      <c r="S245" s="8">
        <f t="shared" si="34"/>
        <v>-0.67170731707317066</v>
      </c>
      <c r="T245" s="8">
        <f t="shared" si="38"/>
        <v>123.92524390243899</v>
      </c>
      <c r="V245" s="4">
        <v>426</v>
      </c>
      <c r="X245" s="4">
        <f t="shared" si="39"/>
        <v>112412.19999999998</v>
      </c>
      <c r="Y245" s="4">
        <f t="shared" si="30"/>
        <v>24411</v>
      </c>
      <c r="AA245" s="4">
        <v>12.6106443204696</v>
      </c>
    </row>
    <row r="246" spans="1:27" s="4" customFormat="1" x14ac:dyDescent="0.25">
      <c r="A246" s="59"/>
      <c r="B246" s="9"/>
      <c r="C246" s="6">
        <v>42092</v>
      </c>
      <c r="D246" s="4">
        <v>11.2</v>
      </c>
      <c r="E246" s="4">
        <v>10.199999999999999</v>
      </c>
      <c r="F246" s="4">
        <v>12.1</v>
      </c>
      <c r="G246" s="4">
        <f t="shared" si="35"/>
        <v>1679.7</v>
      </c>
      <c r="H246" s="4">
        <f t="shared" si="29"/>
        <v>209.1</v>
      </c>
      <c r="J246" s="4">
        <v>4.9000000000000004</v>
      </c>
      <c r="K246" s="4">
        <f t="shared" si="36"/>
        <v>318.59999999999997</v>
      </c>
      <c r="L246" s="4">
        <v>0.8</v>
      </c>
      <c r="M246" s="4">
        <f t="shared" si="37"/>
        <v>201.69999999999982</v>
      </c>
      <c r="N246" s="4">
        <v>4.1000000000000005</v>
      </c>
      <c r="O246" s="4">
        <f t="shared" si="31"/>
        <v>129.80000000000004</v>
      </c>
      <c r="P246" s="4">
        <v>202</v>
      </c>
      <c r="Q246" s="11">
        <f t="shared" si="32"/>
        <v>1.1060975609756096</v>
      </c>
      <c r="R246" s="8">
        <f t="shared" si="33"/>
        <v>0.8848780487804877</v>
      </c>
      <c r="S246" s="8">
        <f t="shared" si="34"/>
        <v>4.0151219512195127</v>
      </c>
      <c r="T246" s="8">
        <f t="shared" si="38"/>
        <v>127.94036585365851</v>
      </c>
      <c r="V246" s="4">
        <v>312.60000000000002</v>
      </c>
      <c r="X246" s="4">
        <f t="shared" si="39"/>
        <v>112724.79999999999</v>
      </c>
      <c r="Y246" s="4">
        <f t="shared" si="30"/>
        <v>24723.599999999999</v>
      </c>
      <c r="AA246" s="4">
        <v>12.6677182279088</v>
      </c>
    </row>
    <row r="247" spans="1:27" s="4" customFormat="1" x14ac:dyDescent="0.25">
      <c r="A247" s="59"/>
      <c r="B247" s="9"/>
      <c r="C247" s="6">
        <v>42093</v>
      </c>
      <c r="D247" s="4">
        <v>12.7</v>
      </c>
      <c r="E247" s="4">
        <v>11.2</v>
      </c>
      <c r="F247" s="4">
        <v>14.7</v>
      </c>
      <c r="G247" s="4">
        <f t="shared" si="35"/>
        <v>1692.4</v>
      </c>
      <c r="H247" s="4">
        <f t="shared" si="29"/>
        <v>221.79999999999998</v>
      </c>
      <c r="J247" s="4">
        <v>0.9</v>
      </c>
      <c r="K247" s="4">
        <f t="shared" si="36"/>
        <v>319.49999999999994</v>
      </c>
      <c r="L247" s="4">
        <v>1.6</v>
      </c>
      <c r="M247" s="4">
        <f t="shared" si="37"/>
        <v>203.29999999999981</v>
      </c>
      <c r="N247" s="7">
        <v>-0.70000000000000007</v>
      </c>
      <c r="O247" s="4">
        <f t="shared" si="31"/>
        <v>129.10000000000005</v>
      </c>
      <c r="P247" s="4">
        <v>203</v>
      </c>
      <c r="Q247" s="11">
        <f t="shared" si="32"/>
        <v>1.1097560975609755</v>
      </c>
      <c r="R247" s="8">
        <f t="shared" si="33"/>
        <v>1.7756097560975608</v>
      </c>
      <c r="S247" s="8">
        <f t="shared" si="34"/>
        <v>-0.87560975609756075</v>
      </c>
      <c r="T247" s="8">
        <f t="shared" si="38"/>
        <v>127.06475609756095</v>
      </c>
      <c r="V247" s="4">
        <v>653</v>
      </c>
      <c r="X247" s="4">
        <f t="shared" si="39"/>
        <v>113377.79999999999</v>
      </c>
      <c r="Y247" s="4">
        <f t="shared" si="30"/>
        <v>25376.6</v>
      </c>
      <c r="AA247" s="4">
        <v>12.7247238665067</v>
      </c>
    </row>
    <row r="248" spans="1:27" s="4" customFormat="1" x14ac:dyDescent="0.25">
      <c r="A248" s="59"/>
      <c r="B248" s="9"/>
      <c r="C248" s="6">
        <v>42094</v>
      </c>
      <c r="D248" s="4">
        <v>10.7</v>
      </c>
      <c r="E248" s="4">
        <v>10.6</v>
      </c>
      <c r="F248" s="4">
        <v>12.9</v>
      </c>
      <c r="G248" s="4">
        <f t="shared" si="35"/>
        <v>1703.1000000000001</v>
      </c>
      <c r="H248" s="4">
        <f t="shared" si="29"/>
        <v>232.49999999999997</v>
      </c>
      <c r="J248" s="4">
        <v>0.1</v>
      </c>
      <c r="K248" s="4">
        <f t="shared" si="36"/>
        <v>319.59999999999997</v>
      </c>
      <c r="L248" s="4">
        <v>2.4</v>
      </c>
      <c r="M248" s="4">
        <f t="shared" si="37"/>
        <v>205.69999999999982</v>
      </c>
      <c r="N248" s="7">
        <v>-2.2999999999999998</v>
      </c>
      <c r="O248" s="4">
        <f t="shared" si="31"/>
        <v>126.80000000000005</v>
      </c>
      <c r="P248" s="4">
        <v>204</v>
      </c>
      <c r="Q248" s="11">
        <f t="shared" si="32"/>
        <v>1.1134146341463413</v>
      </c>
      <c r="R248" s="8">
        <f t="shared" si="33"/>
        <v>2.6721951219512192</v>
      </c>
      <c r="S248" s="8">
        <f t="shared" si="34"/>
        <v>-2.5721951219512191</v>
      </c>
      <c r="T248" s="8">
        <f t="shared" si="38"/>
        <v>124.49256097560972</v>
      </c>
      <c r="V248" s="4">
        <v>858.8</v>
      </c>
      <c r="X248" s="4">
        <f t="shared" si="39"/>
        <v>114236.59999999999</v>
      </c>
      <c r="Y248" s="4">
        <f t="shared" si="30"/>
        <v>26235.399999999998</v>
      </c>
      <c r="AA248" s="4">
        <v>12.781654809763401</v>
      </c>
    </row>
    <row r="249" spans="1:27" s="4" customFormat="1" x14ac:dyDescent="0.25">
      <c r="A249" s="59"/>
      <c r="B249" s="9"/>
      <c r="C249" s="6">
        <v>42095</v>
      </c>
      <c r="D249" s="4">
        <v>7.7</v>
      </c>
      <c r="E249" s="4">
        <v>4.4000000000000004</v>
      </c>
      <c r="F249" s="4">
        <v>11.1</v>
      </c>
      <c r="G249" s="4">
        <f t="shared" si="35"/>
        <v>1710.8000000000002</v>
      </c>
      <c r="H249" s="4">
        <f t="shared" si="29"/>
        <v>240.19999999999996</v>
      </c>
      <c r="J249" s="4">
        <v>0</v>
      </c>
      <c r="K249" s="4">
        <f t="shared" si="36"/>
        <v>319.59999999999997</v>
      </c>
      <c r="L249" s="4">
        <v>2.4</v>
      </c>
      <c r="M249" s="4">
        <f t="shared" si="37"/>
        <v>208.09999999999982</v>
      </c>
      <c r="N249" s="7">
        <v>-2.4</v>
      </c>
      <c r="O249" s="4">
        <f t="shared" si="31"/>
        <v>124.40000000000005</v>
      </c>
      <c r="P249" s="4">
        <v>205</v>
      </c>
      <c r="Q249" s="11">
        <f t="shared" si="32"/>
        <v>1.1170731707317072</v>
      </c>
      <c r="R249" s="8">
        <f t="shared" si="33"/>
        <v>2.6809756097560973</v>
      </c>
      <c r="S249" s="8">
        <f t="shared" si="34"/>
        <v>-2.6809756097560973</v>
      </c>
      <c r="T249" s="8">
        <f t="shared" si="38"/>
        <v>121.81158536585362</v>
      </c>
      <c r="V249" s="4">
        <v>1455.9</v>
      </c>
      <c r="X249" s="4">
        <f t="shared" si="39"/>
        <v>115692.49999999999</v>
      </c>
      <c r="Y249" s="4">
        <f t="shared" si="30"/>
        <v>27691.3</v>
      </c>
      <c r="AA249" s="4">
        <v>12.8385044944861</v>
      </c>
    </row>
    <row r="250" spans="1:27" s="4" customFormat="1" x14ac:dyDescent="0.25">
      <c r="A250" s="59"/>
      <c r="B250" s="9"/>
      <c r="C250" s="6">
        <v>42096</v>
      </c>
      <c r="D250" s="4">
        <v>9.9</v>
      </c>
      <c r="E250" s="4">
        <v>6.3</v>
      </c>
      <c r="F250" s="4">
        <v>12.7</v>
      </c>
      <c r="G250" s="4">
        <f t="shared" si="35"/>
        <v>1720.7000000000003</v>
      </c>
      <c r="H250" s="4">
        <f t="shared" si="29"/>
        <v>250.09999999999997</v>
      </c>
      <c r="J250" s="4">
        <v>0</v>
      </c>
      <c r="K250" s="4">
        <f t="shared" si="36"/>
        <v>319.59999999999997</v>
      </c>
      <c r="L250" s="4">
        <v>0.9</v>
      </c>
      <c r="M250" s="4">
        <f t="shared" si="37"/>
        <v>208.99999999999983</v>
      </c>
      <c r="N250" s="7">
        <v>-0.9</v>
      </c>
      <c r="O250" s="4">
        <f t="shared" si="31"/>
        <v>123.50000000000004</v>
      </c>
      <c r="P250" s="4">
        <v>206</v>
      </c>
      <c r="Q250" s="11">
        <f t="shared" si="32"/>
        <v>1.1207317073170731</v>
      </c>
      <c r="R250" s="8">
        <f t="shared" si="33"/>
        <v>1.0086585365853658</v>
      </c>
      <c r="S250" s="8">
        <f t="shared" si="34"/>
        <v>-1.0086585365853658</v>
      </c>
      <c r="T250" s="8">
        <f t="shared" si="38"/>
        <v>120.80292682926824</v>
      </c>
      <c r="V250" s="4">
        <v>608</v>
      </c>
      <c r="X250" s="4">
        <f t="shared" si="39"/>
        <v>116300.49999999999</v>
      </c>
      <c r="Y250" s="4">
        <f t="shared" si="30"/>
        <v>28299.3</v>
      </c>
      <c r="AA250" s="4">
        <v>12.8952662047489</v>
      </c>
    </row>
    <row r="251" spans="1:27" s="4" customFormat="1" x14ac:dyDescent="0.25">
      <c r="A251" s="59"/>
      <c r="B251" s="9"/>
      <c r="C251" s="6">
        <v>42097</v>
      </c>
      <c r="D251" s="4">
        <v>9.8000000000000007</v>
      </c>
      <c r="E251" s="4">
        <v>8.6999999999999993</v>
      </c>
      <c r="F251" s="4">
        <v>11.1</v>
      </c>
      <c r="G251" s="4">
        <f t="shared" si="35"/>
        <v>1730.5000000000002</v>
      </c>
      <c r="H251" s="4">
        <f t="shared" si="29"/>
        <v>259.89999999999998</v>
      </c>
      <c r="J251" s="4">
        <v>4.4000000000000004</v>
      </c>
      <c r="K251" s="4">
        <f t="shared" si="36"/>
        <v>323.99999999999994</v>
      </c>
      <c r="L251" s="4">
        <v>0.8</v>
      </c>
      <c r="M251" s="4">
        <f t="shared" si="37"/>
        <v>209.79999999999984</v>
      </c>
      <c r="N251" s="4">
        <v>3.6000000000000005</v>
      </c>
      <c r="O251" s="4">
        <f t="shared" si="31"/>
        <v>127.10000000000004</v>
      </c>
      <c r="P251" s="4">
        <v>207</v>
      </c>
      <c r="Q251" s="11">
        <f t="shared" si="32"/>
        <v>1.1243902439024389</v>
      </c>
      <c r="R251" s="8">
        <f t="shared" si="33"/>
        <v>0.89951219512195113</v>
      </c>
      <c r="S251" s="8">
        <f t="shared" si="34"/>
        <v>3.5004878048780492</v>
      </c>
      <c r="T251" s="8">
        <f t="shared" si="38"/>
        <v>124.30341463414629</v>
      </c>
      <c r="V251" s="4">
        <v>479.6</v>
      </c>
      <c r="X251" s="4">
        <f t="shared" si="39"/>
        <v>116780.09999999999</v>
      </c>
      <c r="Y251" s="4">
        <f t="shared" si="30"/>
        <v>28778.899999999998</v>
      </c>
      <c r="AA251" s="4">
        <v>12.951933055944499</v>
      </c>
    </row>
    <row r="252" spans="1:27" s="4" customFormat="1" x14ac:dyDescent="0.25">
      <c r="A252" s="59"/>
      <c r="B252" s="9"/>
      <c r="C252" s="6">
        <v>42098</v>
      </c>
      <c r="D252" s="4">
        <v>8.8000000000000007</v>
      </c>
      <c r="E252" s="4">
        <v>8.1999999999999993</v>
      </c>
      <c r="F252" s="4">
        <v>11.1</v>
      </c>
      <c r="G252" s="4">
        <f t="shared" si="35"/>
        <v>1739.3000000000002</v>
      </c>
      <c r="H252" s="4">
        <f t="shared" si="29"/>
        <v>268.7</v>
      </c>
      <c r="J252" s="4">
        <v>0.1</v>
      </c>
      <c r="K252" s="4">
        <f t="shared" si="36"/>
        <v>324.09999999999997</v>
      </c>
      <c r="L252" s="4">
        <v>0.8</v>
      </c>
      <c r="M252" s="4">
        <f t="shared" si="37"/>
        <v>210.59999999999985</v>
      </c>
      <c r="N252" s="7">
        <v>-0.70000000000000007</v>
      </c>
      <c r="O252" s="4">
        <f t="shared" si="31"/>
        <v>126.40000000000003</v>
      </c>
      <c r="P252" s="4">
        <v>208</v>
      </c>
      <c r="Q252" s="11">
        <f t="shared" si="32"/>
        <v>1.1280487804878048</v>
      </c>
      <c r="R252" s="8">
        <f t="shared" si="33"/>
        <v>0.90243902439024382</v>
      </c>
      <c r="S252" s="8">
        <f t="shared" si="34"/>
        <v>-0.80243902439024384</v>
      </c>
      <c r="T252" s="8">
        <f t="shared" si="38"/>
        <v>123.50097560975605</v>
      </c>
      <c r="V252" s="4">
        <v>465.6</v>
      </c>
      <c r="W252" s="15"/>
      <c r="X252" s="15">
        <f t="shared" si="39"/>
        <v>117245.7</v>
      </c>
      <c r="Y252" s="4">
        <f t="shared" si="30"/>
        <v>29244.499999999996</v>
      </c>
      <c r="AA252" s="4">
        <v>13.008497978933301</v>
      </c>
    </row>
    <row r="253" spans="1:27" s="4" customFormat="1" ht="15" customHeight="1" x14ac:dyDescent="0.25">
      <c r="A253" s="59"/>
      <c r="B253" s="9"/>
      <c r="C253" s="6">
        <v>42099</v>
      </c>
      <c r="D253" s="4">
        <v>5.8</v>
      </c>
      <c r="E253" s="4">
        <v>1.4</v>
      </c>
      <c r="F253" s="4">
        <v>9.1</v>
      </c>
      <c r="G253" s="4">
        <f t="shared" si="35"/>
        <v>1745.1000000000001</v>
      </c>
      <c r="H253" s="4">
        <f t="shared" si="29"/>
        <v>274.5</v>
      </c>
      <c r="J253" s="4">
        <v>0</v>
      </c>
      <c r="K253" s="4">
        <f t="shared" si="36"/>
        <v>324.09999999999997</v>
      </c>
      <c r="L253" s="4">
        <v>1.8</v>
      </c>
      <c r="M253" s="4">
        <f t="shared" si="37"/>
        <v>212.39999999999986</v>
      </c>
      <c r="N253" s="7">
        <v>-1.8</v>
      </c>
      <c r="O253" s="4">
        <f t="shared" si="31"/>
        <v>124.60000000000004</v>
      </c>
      <c r="P253" s="4">
        <v>209</v>
      </c>
      <c r="Q253" s="11">
        <f t="shared" si="32"/>
        <v>1.1317073170731706</v>
      </c>
      <c r="R253" s="8">
        <f t="shared" si="33"/>
        <v>2.0370731707317074</v>
      </c>
      <c r="S253" s="8">
        <f t="shared" si="34"/>
        <v>-2.0370731707317074</v>
      </c>
      <c r="T253" s="8">
        <f t="shared" si="38"/>
        <v>121.46390243902435</v>
      </c>
      <c r="U253" s="16"/>
      <c r="V253" s="4">
        <v>1352.6</v>
      </c>
      <c r="X253" s="4">
        <f t="shared" si="39"/>
        <v>118598.3</v>
      </c>
      <c r="Y253" s="4">
        <f t="shared" si="30"/>
        <v>30597.099999999995</v>
      </c>
      <c r="AA253" s="4">
        <v>13.064953704295</v>
      </c>
    </row>
    <row r="254" spans="1:27" s="4" customFormat="1" x14ac:dyDescent="0.25">
      <c r="A254" s="59"/>
      <c r="B254" s="9"/>
      <c r="C254" s="6">
        <v>42100</v>
      </c>
      <c r="D254" s="4">
        <v>7.4</v>
      </c>
      <c r="E254" s="4">
        <v>0.5</v>
      </c>
      <c r="F254" s="4">
        <v>12.3</v>
      </c>
      <c r="G254" s="4">
        <f t="shared" si="35"/>
        <v>1752.5000000000002</v>
      </c>
      <c r="H254" s="4">
        <f t="shared" si="29"/>
        <v>281.89999999999998</v>
      </c>
      <c r="J254" s="4">
        <v>0</v>
      </c>
      <c r="K254" s="4">
        <f t="shared" si="36"/>
        <v>324.09999999999997</v>
      </c>
      <c r="L254" s="4">
        <v>2.9</v>
      </c>
      <c r="M254" s="4">
        <f t="shared" si="37"/>
        <v>215.29999999999987</v>
      </c>
      <c r="N254" s="7">
        <v>-2.9</v>
      </c>
      <c r="O254" s="4">
        <f t="shared" si="31"/>
        <v>121.70000000000003</v>
      </c>
      <c r="P254" s="4">
        <v>210</v>
      </c>
      <c r="Q254" s="11">
        <f t="shared" si="32"/>
        <v>1.1353658536585365</v>
      </c>
      <c r="R254" s="8">
        <f t="shared" si="33"/>
        <v>3.2925609756097556</v>
      </c>
      <c r="S254" s="8">
        <f t="shared" si="34"/>
        <v>-3.2925609756097556</v>
      </c>
      <c r="T254" s="8">
        <f t="shared" si="38"/>
        <v>118.17134146341459</v>
      </c>
      <c r="V254" s="4">
        <v>2223.1999999999998</v>
      </c>
      <c r="X254" s="4">
        <f t="shared" si="39"/>
        <v>120821.5</v>
      </c>
      <c r="Y254" s="4">
        <f t="shared" si="30"/>
        <v>32820.299999999996</v>
      </c>
      <c r="AA254" s="4">
        <v>13.121292746693801</v>
      </c>
    </row>
    <row r="255" spans="1:27" s="4" customFormat="1" x14ac:dyDescent="0.25">
      <c r="A255" s="59"/>
      <c r="B255" s="9"/>
      <c r="C255" s="6">
        <v>42101</v>
      </c>
      <c r="D255" s="4">
        <v>9.1</v>
      </c>
      <c r="E255" s="4">
        <v>1.5</v>
      </c>
      <c r="F255" s="4">
        <v>14.6</v>
      </c>
      <c r="G255" s="4">
        <f t="shared" si="35"/>
        <v>1761.6000000000001</v>
      </c>
      <c r="H255" s="4">
        <f t="shared" si="29"/>
        <v>291</v>
      </c>
      <c r="J255" s="4">
        <v>0</v>
      </c>
      <c r="K255" s="4">
        <f t="shared" si="36"/>
        <v>324.09999999999997</v>
      </c>
      <c r="L255" s="4">
        <v>3.5</v>
      </c>
      <c r="M255" s="4">
        <f t="shared" si="37"/>
        <v>218.79999999999987</v>
      </c>
      <c r="N255" s="7">
        <v>-3.5</v>
      </c>
      <c r="O255" s="4">
        <f t="shared" si="31"/>
        <v>118.20000000000003</v>
      </c>
      <c r="P255" s="4">
        <v>211</v>
      </c>
      <c r="Q255" s="11">
        <f t="shared" si="32"/>
        <v>1.1390243902439023</v>
      </c>
      <c r="R255" s="8">
        <f t="shared" si="33"/>
        <v>3.9865853658536583</v>
      </c>
      <c r="S255" s="8">
        <f t="shared" si="34"/>
        <v>-3.9865853658536583</v>
      </c>
      <c r="T255" s="8">
        <f t="shared" si="38"/>
        <v>114.18475609756094</v>
      </c>
      <c r="V255" s="4">
        <v>2273</v>
      </c>
      <c r="X255" s="4">
        <f t="shared" si="39"/>
        <v>123094.5</v>
      </c>
      <c r="Y255" s="4">
        <f t="shared" si="30"/>
        <v>35093.299999999996</v>
      </c>
      <c r="AA255" s="4">
        <v>13.1775073893659</v>
      </c>
    </row>
    <row r="256" spans="1:27" s="4" customFormat="1" x14ac:dyDescent="0.25">
      <c r="A256" s="59"/>
      <c r="B256" s="9"/>
      <c r="C256" s="6">
        <v>42102</v>
      </c>
      <c r="D256" s="4">
        <v>10.199999999999999</v>
      </c>
      <c r="E256" s="4">
        <v>0.3</v>
      </c>
      <c r="F256" s="4">
        <v>16.8</v>
      </c>
      <c r="G256" s="4">
        <f t="shared" si="35"/>
        <v>1771.8000000000002</v>
      </c>
      <c r="H256" s="4">
        <f t="shared" si="29"/>
        <v>301.2</v>
      </c>
      <c r="J256" s="4">
        <v>0</v>
      </c>
      <c r="K256" s="4">
        <f t="shared" si="36"/>
        <v>324.09999999999997</v>
      </c>
      <c r="L256" s="4">
        <v>3.7</v>
      </c>
      <c r="M256" s="4">
        <f t="shared" si="37"/>
        <v>222.49999999999986</v>
      </c>
      <c r="N256" s="7">
        <v>-3.7</v>
      </c>
      <c r="O256" s="4">
        <f t="shared" si="31"/>
        <v>114.50000000000003</v>
      </c>
      <c r="P256" s="4">
        <v>212</v>
      </c>
      <c r="Q256" s="11">
        <f t="shared" si="32"/>
        <v>1.1426829268292682</v>
      </c>
      <c r="R256" s="8">
        <f t="shared" si="33"/>
        <v>4.2279268292682923</v>
      </c>
      <c r="S256" s="8">
        <f t="shared" si="34"/>
        <v>-4.2279268292682923</v>
      </c>
      <c r="T256" s="8">
        <f t="shared" si="38"/>
        <v>109.95682926829264</v>
      </c>
      <c r="V256" s="4">
        <v>2336.1999999999998</v>
      </c>
      <c r="X256" s="4">
        <f t="shared" si="39"/>
        <v>125430.7</v>
      </c>
      <c r="Y256" s="4">
        <f t="shared" si="30"/>
        <v>37429.499999999993</v>
      </c>
      <c r="AA256" s="4">
        <v>13.2335896687428</v>
      </c>
    </row>
    <row r="257" spans="1:27" s="15" customFormat="1" x14ac:dyDescent="0.25">
      <c r="A257" s="59"/>
      <c r="B257" s="38"/>
      <c r="C257" s="39">
        <v>42103</v>
      </c>
      <c r="D257" s="15">
        <v>11.9</v>
      </c>
      <c r="E257" s="15">
        <v>1.5</v>
      </c>
      <c r="F257" s="15">
        <v>20.6</v>
      </c>
      <c r="G257" s="15">
        <f t="shared" si="35"/>
        <v>1783.7000000000003</v>
      </c>
      <c r="H257" s="15">
        <f t="shared" ref="H257:H320" si="40">H256+D257</f>
        <v>313.09999999999997</v>
      </c>
      <c r="J257" s="15">
        <v>0</v>
      </c>
      <c r="K257" s="15">
        <f t="shared" si="36"/>
        <v>324.09999999999997</v>
      </c>
      <c r="L257" s="15">
        <v>3.7</v>
      </c>
      <c r="M257" s="15">
        <f t="shared" si="37"/>
        <v>226.19999999999985</v>
      </c>
      <c r="N257" s="40">
        <v>-3.7</v>
      </c>
      <c r="O257" s="15">
        <f t="shared" si="31"/>
        <v>110.80000000000003</v>
      </c>
      <c r="P257" s="15">
        <v>213</v>
      </c>
      <c r="Q257" s="11">
        <f t="shared" si="32"/>
        <v>1.1463414634146341</v>
      </c>
      <c r="R257" s="41">
        <f t="shared" si="33"/>
        <v>4.2414634146341461</v>
      </c>
      <c r="S257" s="41">
        <f t="shared" si="34"/>
        <v>-4.2414634146341461</v>
      </c>
      <c r="T257" s="41">
        <f t="shared" si="38"/>
        <v>105.7153658536585</v>
      </c>
      <c r="U257" s="41"/>
      <c r="V257" s="15">
        <v>2265.3000000000002</v>
      </c>
      <c r="X257" s="15">
        <f t="shared" si="39"/>
        <v>127696</v>
      </c>
      <c r="Y257" s="15">
        <f t="shared" ref="Y257:Y320" si="41">Y256+V257</f>
        <v>39694.799999999996</v>
      </c>
      <c r="AA257" s="15">
        <v>13.289531359225199</v>
      </c>
    </row>
    <row r="258" spans="1:27" s="25" customFormat="1" ht="15.75" thickBot="1" x14ac:dyDescent="0.3">
      <c r="A258" s="59"/>
      <c r="B258" s="43"/>
      <c r="C258" s="44">
        <v>42104</v>
      </c>
      <c r="D258" s="25">
        <v>12.4</v>
      </c>
      <c r="E258" s="25">
        <v>5.3</v>
      </c>
      <c r="F258" s="25">
        <v>19</v>
      </c>
      <c r="G258" s="25">
        <f t="shared" si="35"/>
        <v>1796.1000000000004</v>
      </c>
      <c r="H258" s="29">
        <f t="shared" si="40"/>
        <v>325.49999999999994</v>
      </c>
      <c r="J258" s="25">
        <v>0.7</v>
      </c>
      <c r="K258" s="25">
        <f t="shared" si="36"/>
        <v>324.79999999999995</v>
      </c>
      <c r="L258" s="25">
        <v>3</v>
      </c>
      <c r="M258" s="25">
        <f t="shared" si="37"/>
        <v>229.19999999999985</v>
      </c>
      <c r="N258" s="45">
        <v>-2.2999999999999998</v>
      </c>
      <c r="O258" s="25">
        <f t="shared" si="31"/>
        <v>108.50000000000003</v>
      </c>
      <c r="P258" s="25">
        <v>214</v>
      </c>
      <c r="Q258" s="32">
        <f t="shared" si="32"/>
        <v>1.1499999999999999</v>
      </c>
      <c r="R258" s="26">
        <f t="shared" si="33"/>
        <v>3.4499999999999997</v>
      </c>
      <c r="S258" s="26">
        <f t="shared" si="34"/>
        <v>-2.75</v>
      </c>
      <c r="T258" s="26">
        <f>MIN(138.9,(T257+S258))</f>
        <v>102.9653658536585</v>
      </c>
      <c r="V258" s="25">
        <v>1740.8</v>
      </c>
      <c r="X258" s="25">
        <f t="shared" si="39"/>
        <v>129436.8</v>
      </c>
      <c r="Y258" s="29">
        <f t="shared" si="41"/>
        <v>41435.599999999999</v>
      </c>
      <c r="AA258" s="25">
        <v>13.345323958124199</v>
      </c>
    </row>
    <row r="259" spans="1:27" s="4" customFormat="1" x14ac:dyDescent="0.25">
      <c r="A259" s="17" t="s">
        <v>46</v>
      </c>
      <c r="B259" s="5"/>
      <c r="C259" s="6">
        <v>42105</v>
      </c>
      <c r="D259" s="4">
        <v>12.3</v>
      </c>
      <c r="E259" s="4">
        <v>10.3</v>
      </c>
      <c r="F259" s="4">
        <v>14.5</v>
      </c>
      <c r="G259" s="4">
        <f t="shared" si="35"/>
        <v>1808.4000000000003</v>
      </c>
      <c r="H259" s="15">
        <f>D259</f>
        <v>12.3</v>
      </c>
      <c r="I259" s="18" t="s">
        <v>27</v>
      </c>
      <c r="J259" s="4">
        <v>0.2</v>
      </c>
      <c r="K259" s="4">
        <f t="shared" si="36"/>
        <v>324.99999999999994</v>
      </c>
      <c r="L259" s="4">
        <v>1.1000000000000001</v>
      </c>
      <c r="M259" s="4">
        <f t="shared" si="37"/>
        <v>230.29999999999984</v>
      </c>
      <c r="N259" s="7">
        <v>-0.90000000000000013</v>
      </c>
      <c r="O259" s="4">
        <f t="shared" si="31"/>
        <v>107.60000000000002</v>
      </c>
      <c r="P259" s="4">
        <v>215</v>
      </c>
      <c r="Q259" s="4">
        <v>1.1499999999999999</v>
      </c>
      <c r="R259" s="8">
        <f t="shared" si="33"/>
        <v>1.2649999999999999</v>
      </c>
      <c r="S259" s="8">
        <f t="shared" si="34"/>
        <v>-1.0649999999999999</v>
      </c>
      <c r="T259" s="8">
        <f t="shared" si="38"/>
        <v>101.9003658536585</v>
      </c>
      <c r="U259" s="18" t="s">
        <v>28</v>
      </c>
      <c r="V259" s="4">
        <v>552.4</v>
      </c>
      <c r="X259" s="4">
        <f t="shared" si="39"/>
        <v>129989.2</v>
      </c>
      <c r="Y259" s="15">
        <f>V259</f>
        <v>552.4</v>
      </c>
      <c r="Z259" s="18" t="s">
        <v>29</v>
      </c>
      <c r="AA259" s="4">
        <v>13.400958670790301</v>
      </c>
    </row>
    <row r="260" spans="1:27" s="4" customFormat="1" x14ac:dyDescent="0.25">
      <c r="A260" s="17"/>
      <c r="B260" s="5"/>
      <c r="C260" s="6">
        <v>42106</v>
      </c>
      <c r="D260" s="4">
        <v>13.1</v>
      </c>
      <c r="E260" s="4">
        <v>8</v>
      </c>
      <c r="F260" s="4">
        <v>18.2</v>
      </c>
      <c r="G260" s="4">
        <f t="shared" si="35"/>
        <v>1821.5000000000002</v>
      </c>
      <c r="H260" s="15">
        <f t="shared" si="40"/>
        <v>25.4</v>
      </c>
      <c r="I260" s="4">
        <f>MIN(E259:E279)</f>
        <v>3</v>
      </c>
      <c r="J260" s="4">
        <v>0</v>
      </c>
      <c r="K260" s="4">
        <f t="shared" si="36"/>
        <v>324.99999999999994</v>
      </c>
      <c r="L260" s="4">
        <v>2.9</v>
      </c>
      <c r="M260" s="4">
        <f t="shared" si="37"/>
        <v>233.19999999999985</v>
      </c>
      <c r="N260" s="7">
        <v>-2.9</v>
      </c>
      <c r="O260" s="4">
        <f t="shared" si="31"/>
        <v>104.70000000000002</v>
      </c>
      <c r="P260" s="4">
        <v>216</v>
      </c>
      <c r="Q260" s="4">
        <v>1.1499999999999999</v>
      </c>
      <c r="R260" s="8">
        <f t="shared" si="33"/>
        <v>3.3349999999999995</v>
      </c>
      <c r="S260" s="8">
        <f t="shared" si="34"/>
        <v>-3.3349999999999995</v>
      </c>
      <c r="T260" s="8">
        <f t="shared" si="38"/>
        <v>98.565365853658506</v>
      </c>
      <c r="U260" s="4">
        <v>17</v>
      </c>
      <c r="V260" s="4">
        <v>1692.8</v>
      </c>
      <c r="X260" s="4">
        <f t="shared" si="39"/>
        <v>131682</v>
      </c>
      <c r="Y260" s="15">
        <f t="shared" si="41"/>
        <v>2245.1999999999998</v>
      </c>
      <c r="Z260" s="4">
        <v>32782.300000000003</v>
      </c>
      <c r="AA260" s="4">
        <v>13.456426395952001</v>
      </c>
    </row>
    <row r="261" spans="1:27" s="4" customFormat="1" x14ac:dyDescent="0.25">
      <c r="A261" s="17" t="s">
        <v>47</v>
      </c>
      <c r="B261" s="5"/>
      <c r="C261" s="6">
        <v>42107</v>
      </c>
      <c r="D261" s="4">
        <v>13.1</v>
      </c>
      <c r="E261" s="4">
        <v>4.8</v>
      </c>
      <c r="F261" s="4">
        <v>20.2</v>
      </c>
      <c r="G261" s="4">
        <f t="shared" si="35"/>
        <v>1834.6000000000001</v>
      </c>
      <c r="H261" s="15">
        <f t="shared" si="40"/>
        <v>38.5</v>
      </c>
      <c r="I261" s="18" t="s">
        <v>30</v>
      </c>
      <c r="J261" s="4">
        <v>0</v>
      </c>
      <c r="K261" s="4">
        <f t="shared" si="36"/>
        <v>324.99999999999994</v>
      </c>
      <c r="L261" s="4">
        <v>3.6</v>
      </c>
      <c r="M261" s="4">
        <f t="shared" si="37"/>
        <v>236.79999999999984</v>
      </c>
      <c r="N261" s="7">
        <v>-3.6</v>
      </c>
      <c r="O261" s="4">
        <f t="shared" si="31"/>
        <v>101.10000000000002</v>
      </c>
      <c r="P261" s="4">
        <v>217</v>
      </c>
      <c r="Q261" s="4">
        <v>1.1499999999999999</v>
      </c>
      <c r="R261" s="8">
        <f t="shared" si="33"/>
        <v>4.1399999999999997</v>
      </c>
      <c r="S261" s="8">
        <f t="shared" si="34"/>
        <v>-4.1399999999999997</v>
      </c>
      <c r="T261" s="8">
        <f t="shared" si="38"/>
        <v>94.425365853658505</v>
      </c>
      <c r="U261" s="18" t="s">
        <v>31</v>
      </c>
      <c r="V261" s="4">
        <v>2154.6999999999998</v>
      </c>
      <c r="X261" s="4">
        <f t="shared" si="39"/>
        <v>133836.70000000001</v>
      </c>
      <c r="Y261" s="15">
        <f t="shared" si="41"/>
        <v>4399.8999999999996</v>
      </c>
      <c r="Z261" s="18" t="s">
        <v>32</v>
      </c>
      <c r="AA261" s="4">
        <v>13.5117177112891</v>
      </c>
    </row>
    <row r="262" spans="1:27" s="4" customFormat="1" x14ac:dyDescent="0.25">
      <c r="A262" s="17"/>
      <c r="B262" s="5"/>
      <c r="C262" s="6">
        <v>42108</v>
      </c>
      <c r="D262" s="4">
        <v>15.3</v>
      </c>
      <c r="E262" s="4">
        <v>5.8</v>
      </c>
      <c r="F262" s="4">
        <v>24</v>
      </c>
      <c r="G262" s="4">
        <f t="shared" si="35"/>
        <v>1849.9</v>
      </c>
      <c r="H262" s="15">
        <f t="shared" si="40"/>
        <v>53.8</v>
      </c>
      <c r="I262" s="4">
        <f>MAX(F259:F279)</f>
        <v>25.5</v>
      </c>
      <c r="J262" s="4">
        <v>0</v>
      </c>
      <c r="K262" s="4">
        <f t="shared" si="36"/>
        <v>324.99999999999994</v>
      </c>
      <c r="L262" s="4">
        <v>4.5</v>
      </c>
      <c r="M262" s="4">
        <f t="shared" si="37"/>
        <v>241.29999999999984</v>
      </c>
      <c r="N262" s="7">
        <v>-4.5</v>
      </c>
      <c r="O262" s="4">
        <f t="shared" si="31"/>
        <v>96.600000000000023</v>
      </c>
      <c r="P262" s="4">
        <v>218</v>
      </c>
      <c r="Q262" s="4">
        <v>1.1499999999999999</v>
      </c>
      <c r="R262" s="8">
        <f t="shared" si="33"/>
        <v>5.1749999999999998</v>
      </c>
      <c r="S262" s="8">
        <f t="shared" si="34"/>
        <v>-5.1749999999999998</v>
      </c>
      <c r="T262" s="8">
        <f t="shared" si="38"/>
        <v>89.250365853658508</v>
      </c>
      <c r="U262" s="4">
        <v>0</v>
      </c>
      <c r="V262" s="4">
        <v>2254.8000000000002</v>
      </c>
      <c r="X262" s="4">
        <f t="shared" si="39"/>
        <v>136091.5</v>
      </c>
      <c r="Y262" s="15">
        <f t="shared" si="41"/>
        <v>6654.7</v>
      </c>
      <c r="Z262" s="11">
        <f>(Z260/100)/I272</f>
        <v>1.2168634001484784</v>
      </c>
      <c r="AA262" s="4">
        <v>13.5668228592686</v>
      </c>
    </row>
    <row r="263" spans="1:27" s="4" customFormat="1" x14ac:dyDescent="0.25">
      <c r="A263" s="17"/>
      <c r="B263" s="5"/>
      <c r="C263" s="6">
        <v>42109</v>
      </c>
      <c r="D263" s="4">
        <v>16.8</v>
      </c>
      <c r="E263" s="4">
        <v>6.9</v>
      </c>
      <c r="F263" s="4">
        <v>25.5</v>
      </c>
      <c r="G263" s="4">
        <f t="shared" si="35"/>
        <v>1866.7</v>
      </c>
      <c r="H263" s="15">
        <f t="shared" si="40"/>
        <v>70.599999999999994</v>
      </c>
      <c r="I263" s="18" t="s">
        <v>33</v>
      </c>
      <c r="J263" s="4">
        <v>0</v>
      </c>
      <c r="K263" s="4">
        <f t="shared" si="36"/>
        <v>324.99999999999994</v>
      </c>
      <c r="L263" s="4">
        <v>4.0999999999999996</v>
      </c>
      <c r="M263" s="4">
        <f t="shared" si="37"/>
        <v>245.39999999999984</v>
      </c>
      <c r="N263" s="7">
        <v>-4.0999999999999996</v>
      </c>
      <c r="O263" s="4">
        <f t="shared" si="31"/>
        <v>92.500000000000028</v>
      </c>
      <c r="P263" s="4">
        <v>219</v>
      </c>
      <c r="Q263" s="4">
        <v>1.1499999999999999</v>
      </c>
      <c r="R263" s="8">
        <f t="shared" si="33"/>
        <v>4.714999999999999</v>
      </c>
      <c r="S263" s="8">
        <f t="shared" si="34"/>
        <v>-4.714999999999999</v>
      </c>
      <c r="T263" s="8">
        <f t="shared" si="38"/>
        <v>84.535365853658504</v>
      </c>
      <c r="U263" s="18" t="s">
        <v>34</v>
      </c>
      <c r="V263" s="4">
        <v>2161.6</v>
      </c>
      <c r="X263" s="4">
        <f t="shared" si="39"/>
        <v>138253.1</v>
      </c>
      <c r="Y263" s="15">
        <f t="shared" si="41"/>
        <v>8816.2999999999993</v>
      </c>
      <c r="Z263" s="18" t="s">
        <v>35</v>
      </c>
      <c r="AA263" s="4">
        <v>13.621731733275899</v>
      </c>
    </row>
    <row r="264" spans="1:27" s="4" customFormat="1" x14ac:dyDescent="0.25">
      <c r="A264" s="17"/>
      <c r="B264" s="5"/>
      <c r="C264" s="6">
        <v>42110</v>
      </c>
      <c r="D264" s="4">
        <v>13.8</v>
      </c>
      <c r="E264" s="4">
        <v>9</v>
      </c>
      <c r="F264" s="4">
        <v>19.899999999999999</v>
      </c>
      <c r="G264" s="4">
        <f t="shared" si="35"/>
        <v>1880.5</v>
      </c>
      <c r="H264" s="15">
        <f t="shared" si="40"/>
        <v>84.399999999999991</v>
      </c>
      <c r="I264" s="11">
        <f>AVERAGE(D259:D279)</f>
        <v>12.828571428571431</v>
      </c>
      <c r="J264" s="4">
        <v>0</v>
      </c>
      <c r="K264" s="4">
        <f t="shared" si="36"/>
        <v>324.99999999999994</v>
      </c>
      <c r="L264" s="4">
        <v>2.2000000000000002</v>
      </c>
      <c r="M264" s="4">
        <f t="shared" si="37"/>
        <v>247.59999999999982</v>
      </c>
      <c r="N264" s="7">
        <v>-2.2000000000000002</v>
      </c>
      <c r="O264" s="4">
        <f t="shared" si="31"/>
        <v>90.300000000000026</v>
      </c>
      <c r="P264" s="4">
        <v>220</v>
      </c>
      <c r="Q264" s="4">
        <v>1.1499999999999999</v>
      </c>
      <c r="R264" s="8">
        <f t="shared" si="33"/>
        <v>2.5299999999999998</v>
      </c>
      <c r="S264" s="8">
        <f t="shared" si="34"/>
        <v>-2.5299999999999998</v>
      </c>
      <c r="T264" s="8">
        <f t="shared" si="38"/>
        <v>82.005365853658503</v>
      </c>
      <c r="U264" s="4">
        <v>0</v>
      </c>
      <c r="V264" s="4">
        <v>1016.8</v>
      </c>
      <c r="X264" s="4">
        <f t="shared" si="39"/>
        <v>139269.9</v>
      </c>
      <c r="Y264" s="15">
        <f t="shared" si="41"/>
        <v>9833.0999999999985</v>
      </c>
      <c r="Z264" s="4">
        <v>6</v>
      </c>
      <c r="AA264" s="4">
        <v>13.6764338640728</v>
      </c>
    </row>
    <row r="265" spans="1:27" s="4" customFormat="1" x14ac:dyDescent="0.25">
      <c r="A265" s="17"/>
      <c r="B265" s="5"/>
      <c r="C265" s="6">
        <v>42111</v>
      </c>
      <c r="D265" s="4">
        <v>13.2</v>
      </c>
      <c r="E265" s="4">
        <v>10.5</v>
      </c>
      <c r="F265" s="4">
        <v>15.5</v>
      </c>
      <c r="G265" s="4">
        <f t="shared" si="35"/>
        <v>1893.7</v>
      </c>
      <c r="H265" s="15">
        <f t="shared" si="40"/>
        <v>97.6</v>
      </c>
      <c r="I265" s="18" t="s">
        <v>36</v>
      </c>
      <c r="J265" s="4">
        <v>4.2</v>
      </c>
      <c r="K265" s="4">
        <f t="shared" si="36"/>
        <v>329.19999999999993</v>
      </c>
      <c r="L265" s="4">
        <v>1.3</v>
      </c>
      <c r="M265" s="4">
        <f t="shared" si="37"/>
        <v>248.89999999999984</v>
      </c>
      <c r="N265" s="4">
        <v>2.9000000000000004</v>
      </c>
      <c r="O265" s="4">
        <f t="shared" si="31"/>
        <v>93.200000000000031</v>
      </c>
      <c r="P265" s="4">
        <v>221</v>
      </c>
      <c r="Q265" s="4">
        <v>1.1499999999999999</v>
      </c>
      <c r="R265" s="8">
        <f t="shared" si="33"/>
        <v>1.4949999999999999</v>
      </c>
      <c r="S265" s="8">
        <f t="shared" si="34"/>
        <v>2.7050000000000001</v>
      </c>
      <c r="T265" s="8">
        <f t="shared" si="38"/>
        <v>84.710365853658502</v>
      </c>
      <c r="U265" s="18" t="s">
        <v>37</v>
      </c>
      <c r="V265" s="4">
        <v>670.7</v>
      </c>
      <c r="X265" s="4">
        <f t="shared" si="39"/>
        <v>139940.6</v>
      </c>
      <c r="Y265" s="15">
        <f t="shared" si="41"/>
        <v>10503.8</v>
      </c>
      <c r="AA265" s="4">
        <v>13.7309184066232</v>
      </c>
    </row>
    <row r="266" spans="1:27" s="4" customFormat="1" x14ac:dyDescent="0.25">
      <c r="A266" s="17"/>
      <c r="B266" s="5"/>
      <c r="C266" s="6">
        <v>42112</v>
      </c>
      <c r="D266" s="4">
        <v>11.9</v>
      </c>
      <c r="E266" s="4">
        <v>8.4</v>
      </c>
      <c r="F266" s="4">
        <v>15.7</v>
      </c>
      <c r="G266" s="4">
        <f t="shared" si="35"/>
        <v>1905.6000000000001</v>
      </c>
      <c r="H266" s="15">
        <f t="shared" si="40"/>
        <v>109.5</v>
      </c>
      <c r="I266" s="4">
        <v>0</v>
      </c>
      <c r="J266" s="4">
        <v>0</v>
      </c>
      <c r="K266" s="4">
        <f t="shared" si="36"/>
        <v>329.19999999999993</v>
      </c>
      <c r="L266" s="4">
        <v>3.7</v>
      </c>
      <c r="M266" s="4">
        <f t="shared" si="37"/>
        <v>252.59999999999982</v>
      </c>
      <c r="N266" s="7">
        <v>-3.7</v>
      </c>
      <c r="O266" s="4">
        <f t="shared" si="31"/>
        <v>89.500000000000028</v>
      </c>
      <c r="P266" s="4">
        <v>222</v>
      </c>
      <c r="Q266" s="4">
        <v>1.1499999999999999</v>
      </c>
      <c r="R266" s="8">
        <f t="shared" si="33"/>
        <v>4.2549999999999999</v>
      </c>
      <c r="S266" s="8">
        <f t="shared" si="34"/>
        <v>-4.2549999999999999</v>
      </c>
      <c r="T266" s="8">
        <f t="shared" si="38"/>
        <v>80.455365853658506</v>
      </c>
      <c r="U266" s="8">
        <f>MIN(T259:T279)</f>
        <v>55.035365853658504</v>
      </c>
      <c r="V266" s="4">
        <v>2002.4</v>
      </c>
      <c r="X266" s="4">
        <f t="shared" si="39"/>
        <v>141943</v>
      </c>
      <c r="Y266" s="15">
        <f t="shared" si="41"/>
        <v>12506.199999999999</v>
      </c>
      <c r="AA266" s="4">
        <v>13.785174127325201</v>
      </c>
    </row>
    <row r="267" spans="1:27" s="4" customFormat="1" x14ac:dyDescent="0.25">
      <c r="A267" s="17"/>
      <c r="B267" s="5"/>
      <c r="C267" s="6">
        <v>42113</v>
      </c>
      <c r="D267" s="4">
        <v>11.2</v>
      </c>
      <c r="E267" s="4">
        <v>4.3</v>
      </c>
      <c r="F267" s="4">
        <v>16.399999999999999</v>
      </c>
      <c r="G267" s="4">
        <f t="shared" si="35"/>
        <v>1916.8000000000002</v>
      </c>
      <c r="H267" s="15">
        <f t="shared" si="40"/>
        <v>120.7</v>
      </c>
      <c r="I267" s="18" t="s">
        <v>38</v>
      </c>
      <c r="J267" s="4">
        <v>0</v>
      </c>
      <c r="K267" s="4">
        <f t="shared" si="36"/>
        <v>329.19999999999993</v>
      </c>
      <c r="L267" s="4">
        <v>4</v>
      </c>
      <c r="M267" s="4">
        <f t="shared" si="37"/>
        <v>256.5999999999998</v>
      </c>
      <c r="N267" s="7">
        <v>-4</v>
      </c>
      <c r="O267" s="4">
        <f t="shared" si="31"/>
        <v>85.500000000000028</v>
      </c>
      <c r="P267" s="4">
        <v>223</v>
      </c>
      <c r="Q267" s="4">
        <v>1.1499999999999999</v>
      </c>
      <c r="R267" s="8">
        <f t="shared" si="33"/>
        <v>4.5999999999999996</v>
      </c>
      <c r="S267" s="8">
        <f t="shared" si="34"/>
        <v>-4.5999999999999996</v>
      </c>
      <c r="T267" s="8">
        <f t="shared" si="38"/>
        <v>75.855365853658512</v>
      </c>
      <c r="U267" s="18" t="s">
        <v>39</v>
      </c>
      <c r="V267" s="4">
        <v>2497.4</v>
      </c>
      <c r="X267" s="4">
        <f t="shared" si="39"/>
        <v>144440.4</v>
      </c>
      <c r="Y267" s="15">
        <f t="shared" si="41"/>
        <v>15003.599999999999</v>
      </c>
      <c r="AA267" s="4">
        <v>13.8391893916956</v>
      </c>
    </row>
    <row r="268" spans="1:27" s="4" customFormat="1" x14ac:dyDescent="0.25">
      <c r="A268" s="17"/>
      <c r="B268" s="5"/>
      <c r="C268" s="6">
        <v>42114</v>
      </c>
      <c r="D268" s="4">
        <v>13.1</v>
      </c>
      <c r="E268" s="4">
        <v>5.6</v>
      </c>
      <c r="F268" s="4">
        <v>19.7</v>
      </c>
      <c r="G268" s="4">
        <f t="shared" si="35"/>
        <v>1929.9</v>
      </c>
      <c r="H268" s="15">
        <f t="shared" si="40"/>
        <v>133.80000000000001</v>
      </c>
      <c r="I268" s="4">
        <v>1</v>
      </c>
      <c r="J268" s="4">
        <v>0</v>
      </c>
      <c r="K268" s="4">
        <f t="shared" si="36"/>
        <v>329.19999999999993</v>
      </c>
      <c r="L268" s="4">
        <v>3.4</v>
      </c>
      <c r="M268" s="4">
        <f t="shared" si="37"/>
        <v>259.99999999999977</v>
      </c>
      <c r="N268" s="7">
        <v>-3.4</v>
      </c>
      <c r="O268" s="4">
        <f t="shared" si="31"/>
        <v>82.100000000000023</v>
      </c>
      <c r="P268" s="4">
        <v>224</v>
      </c>
      <c r="Q268" s="4">
        <v>1.1499999999999999</v>
      </c>
      <c r="R268" s="8">
        <f t="shared" si="33"/>
        <v>3.9099999999999997</v>
      </c>
      <c r="S268" s="8">
        <f t="shared" si="34"/>
        <v>-3.9099999999999997</v>
      </c>
      <c r="T268" s="8">
        <f t="shared" si="38"/>
        <v>71.945365853658515</v>
      </c>
      <c r="U268" s="8">
        <f>MAX(T259:T279)</f>
        <v>123.39036585365849</v>
      </c>
      <c r="V268" s="4">
        <v>1984.9</v>
      </c>
      <c r="X268" s="4">
        <f t="shared" si="39"/>
        <v>146425.29999999999</v>
      </c>
      <c r="Y268" s="15">
        <f t="shared" si="41"/>
        <v>16988.5</v>
      </c>
      <c r="AA268" s="4">
        <v>13.8929521525551</v>
      </c>
    </row>
    <row r="269" spans="1:27" s="4" customFormat="1" x14ac:dyDescent="0.25">
      <c r="A269" s="17"/>
      <c r="B269" s="5"/>
      <c r="C269" s="6">
        <v>42115</v>
      </c>
      <c r="D269" s="4">
        <v>14.7</v>
      </c>
      <c r="E269" s="4">
        <v>6.8</v>
      </c>
      <c r="F269" s="4">
        <v>21.5</v>
      </c>
      <c r="G269" s="4">
        <f t="shared" si="35"/>
        <v>1944.6000000000001</v>
      </c>
      <c r="H269" s="15">
        <f t="shared" si="40"/>
        <v>148.5</v>
      </c>
      <c r="I269" s="18" t="s">
        <v>40</v>
      </c>
      <c r="J269" s="4">
        <v>0</v>
      </c>
      <c r="K269" s="4">
        <f t="shared" si="36"/>
        <v>329.19999999999993</v>
      </c>
      <c r="L269" s="4">
        <v>4.9000000000000004</v>
      </c>
      <c r="M269" s="4">
        <f t="shared" si="37"/>
        <v>264.89999999999975</v>
      </c>
      <c r="N269" s="7">
        <v>-4.9000000000000004</v>
      </c>
      <c r="O269" s="4">
        <f t="shared" si="31"/>
        <v>77.200000000000017</v>
      </c>
      <c r="P269" s="4">
        <v>225</v>
      </c>
      <c r="Q269" s="4">
        <v>1.1499999999999999</v>
      </c>
      <c r="R269" s="8">
        <f t="shared" si="33"/>
        <v>5.6349999999999998</v>
      </c>
      <c r="S269" s="8">
        <f t="shared" si="34"/>
        <v>-5.6349999999999998</v>
      </c>
      <c r="T269" s="8">
        <f t="shared" si="38"/>
        <v>66.31036585365851</v>
      </c>
      <c r="U269" s="18" t="s">
        <v>41</v>
      </c>
      <c r="V269" s="4">
        <v>2665.8</v>
      </c>
      <c r="X269" s="4">
        <f t="shared" si="39"/>
        <v>149091.09999999998</v>
      </c>
      <c r="Y269" s="15">
        <f t="shared" si="41"/>
        <v>19654.3</v>
      </c>
      <c r="AA269" s="4">
        <v>13.946449938765401</v>
      </c>
    </row>
    <row r="270" spans="1:27" s="4" customFormat="1" x14ac:dyDescent="0.25">
      <c r="A270" s="17"/>
      <c r="B270" s="5"/>
      <c r="C270" s="6">
        <v>42116</v>
      </c>
      <c r="D270" s="4">
        <v>15.9</v>
      </c>
      <c r="E270" s="4">
        <v>9.1999999999999993</v>
      </c>
      <c r="F270" s="4">
        <v>22</v>
      </c>
      <c r="G270" s="4">
        <f t="shared" si="35"/>
        <v>1960.5000000000002</v>
      </c>
      <c r="H270" s="15">
        <f t="shared" si="40"/>
        <v>164.4</v>
      </c>
      <c r="I270" s="4">
        <v>4</v>
      </c>
      <c r="J270" s="4">
        <v>0</v>
      </c>
      <c r="K270" s="4">
        <f t="shared" si="36"/>
        <v>329.19999999999993</v>
      </c>
      <c r="L270" s="4">
        <v>5</v>
      </c>
      <c r="M270" s="4">
        <f t="shared" si="37"/>
        <v>269.89999999999975</v>
      </c>
      <c r="N270" s="7">
        <v>-5</v>
      </c>
      <c r="O270" s="4">
        <f t="shared" si="31"/>
        <v>72.200000000000017</v>
      </c>
      <c r="P270" s="4">
        <v>226</v>
      </c>
      <c r="Q270" s="4">
        <v>1.1499999999999999</v>
      </c>
      <c r="R270" s="8">
        <f t="shared" si="33"/>
        <v>5.75</v>
      </c>
      <c r="S270" s="8">
        <f t="shared" si="34"/>
        <v>-5.75</v>
      </c>
      <c r="T270" s="8">
        <f t="shared" si="38"/>
        <v>60.56036585365851</v>
      </c>
      <c r="U270" s="11">
        <f>AVERAGE(T259:T279)</f>
        <v>80.811794425087072</v>
      </c>
      <c r="V270" s="4">
        <v>2549.3000000000002</v>
      </c>
      <c r="W270" s="15"/>
      <c r="X270" s="15">
        <f t="shared" si="39"/>
        <v>151640.39999999997</v>
      </c>
      <c r="Y270" s="15">
        <f t="shared" si="41"/>
        <v>22203.599999999999</v>
      </c>
      <c r="AA270" s="4">
        <v>13.999669844575299</v>
      </c>
    </row>
    <row r="271" spans="1:27" s="4" customFormat="1" ht="15" customHeight="1" x14ac:dyDescent="0.25">
      <c r="A271" s="17"/>
      <c r="B271" s="5"/>
      <c r="C271" s="6">
        <v>42117</v>
      </c>
      <c r="D271" s="4">
        <v>14.8</v>
      </c>
      <c r="E271" s="4">
        <v>7.9</v>
      </c>
      <c r="F271" s="4">
        <v>20.9</v>
      </c>
      <c r="G271" s="4">
        <f t="shared" si="35"/>
        <v>1975.3000000000002</v>
      </c>
      <c r="H271" s="15">
        <f t="shared" si="40"/>
        <v>179.20000000000002</v>
      </c>
      <c r="I271" s="18" t="s">
        <v>42</v>
      </c>
      <c r="J271" s="4">
        <v>0</v>
      </c>
      <c r="K271" s="4">
        <f t="shared" si="36"/>
        <v>329.19999999999993</v>
      </c>
      <c r="L271" s="4">
        <v>4.5999999999999996</v>
      </c>
      <c r="M271" s="4">
        <f t="shared" si="37"/>
        <v>274.49999999999977</v>
      </c>
      <c r="N271" s="7">
        <v>-4.5999999999999996</v>
      </c>
      <c r="O271" s="4">
        <f t="shared" si="31"/>
        <v>67.600000000000023</v>
      </c>
      <c r="P271" s="4">
        <v>227</v>
      </c>
      <c r="Q271" s="4">
        <v>1.1499999999999999</v>
      </c>
      <c r="R271" s="8">
        <f t="shared" si="33"/>
        <v>5.2899999999999991</v>
      </c>
      <c r="S271" s="8">
        <f t="shared" si="34"/>
        <v>-5.2899999999999991</v>
      </c>
      <c r="T271" s="8">
        <f t="shared" si="38"/>
        <v>55.270365853658511</v>
      </c>
      <c r="V271" s="4">
        <v>2636.8</v>
      </c>
      <c r="X271" s="4">
        <f t="shared" si="39"/>
        <v>154277.19999999995</v>
      </c>
      <c r="Y271" s="15">
        <f t="shared" si="41"/>
        <v>24840.399999999998</v>
      </c>
      <c r="AA271" s="4">
        <v>14.052598519635</v>
      </c>
    </row>
    <row r="272" spans="1:27" s="4" customFormat="1" x14ac:dyDescent="0.25">
      <c r="A272" s="17"/>
      <c r="B272" s="5"/>
      <c r="C272" s="6">
        <v>42118</v>
      </c>
      <c r="D272" s="4">
        <v>12.9</v>
      </c>
      <c r="E272" s="4">
        <v>8.5</v>
      </c>
      <c r="F272" s="4">
        <v>16.100000000000001</v>
      </c>
      <c r="G272" s="4">
        <f t="shared" si="35"/>
        <v>1988.2000000000003</v>
      </c>
      <c r="H272" s="15">
        <f t="shared" si="40"/>
        <v>192.10000000000002</v>
      </c>
      <c r="I272" s="4">
        <v>269.39999999999998</v>
      </c>
      <c r="J272" s="4">
        <v>1.9</v>
      </c>
      <c r="K272" s="4">
        <f t="shared" si="36"/>
        <v>331.09999999999991</v>
      </c>
      <c r="L272" s="4">
        <v>0.8</v>
      </c>
      <c r="M272" s="4">
        <f t="shared" si="37"/>
        <v>275.29999999999978</v>
      </c>
      <c r="N272" s="7">
        <v>1.0999999999999999</v>
      </c>
      <c r="O272" s="4">
        <f t="shared" si="31"/>
        <v>68.700000000000017</v>
      </c>
      <c r="P272" s="4">
        <v>228</v>
      </c>
      <c r="Q272" s="4">
        <v>1.1499999999999999</v>
      </c>
      <c r="R272" s="8">
        <f t="shared" si="33"/>
        <v>0.91999999999999993</v>
      </c>
      <c r="S272" s="8">
        <f t="shared" si="34"/>
        <v>0.98</v>
      </c>
      <c r="T272" s="8">
        <f t="shared" si="38"/>
        <v>56.250365853658508</v>
      </c>
      <c r="U272" s="8">
        <f>(U270*100)/138.9</f>
        <v>58.179837599054764</v>
      </c>
      <c r="V272" s="4">
        <v>728.4</v>
      </c>
      <c r="X272" s="4">
        <f t="shared" si="39"/>
        <v>155005.59999999995</v>
      </c>
      <c r="Y272" s="15">
        <f t="shared" si="41"/>
        <v>25568.799999999999</v>
      </c>
      <c r="AA272" s="4">
        <v>14.105222159741199</v>
      </c>
    </row>
    <row r="273" spans="1:27" s="4" customFormat="1" x14ac:dyDescent="0.25">
      <c r="A273" s="17"/>
      <c r="B273" s="5"/>
      <c r="C273" s="6">
        <v>42119</v>
      </c>
      <c r="D273" s="4">
        <v>14.5</v>
      </c>
      <c r="E273" s="4">
        <v>12</v>
      </c>
      <c r="F273" s="4">
        <v>18.8</v>
      </c>
      <c r="G273" s="4">
        <f t="shared" si="35"/>
        <v>2002.7000000000003</v>
      </c>
      <c r="H273" s="15">
        <f t="shared" si="40"/>
        <v>206.60000000000002</v>
      </c>
      <c r="J273" s="4">
        <v>1.2</v>
      </c>
      <c r="K273" s="4">
        <f t="shared" si="36"/>
        <v>332.2999999999999</v>
      </c>
      <c r="L273" s="4">
        <v>2.1</v>
      </c>
      <c r="M273" s="4">
        <f t="shared" si="37"/>
        <v>277.39999999999981</v>
      </c>
      <c r="N273" s="7">
        <v>-0.90000000000000013</v>
      </c>
      <c r="O273" s="4">
        <f t="shared" si="31"/>
        <v>67.800000000000011</v>
      </c>
      <c r="P273" s="4">
        <v>229</v>
      </c>
      <c r="Q273" s="4">
        <v>1.1499999999999999</v>
      </c>
      <c r="R273" s="8">
        <f t="shared" si="33"/>
        <v>2.415</v>
      </c>
      <c r="S273" s="8">
        <f t="shared" si="34"/>
        <v>-1.2150000000000001</v>
      </c>
      <c r="T273" s="8">
        <f t="shared" si="38"/>
        <v>55.035365853658504</v>
      </c>
      <c r="V273" s="4">
        <v>1295</v>
      </c>
      <c r="X273" s="4">
        <f t="shared" si="39"/>
        <v>156300.59999999995</v>
      </c>
      <c r="Y273" s="15">
        <f t="shared" si="41"/>
        <v>26863.8</v>
      </c>
      <c r="AA273" s="4">
        <v>14.157526498382101</v>
      </c>
    </row>
    <row r="274" spans="1:27" s="4" customFormat="1" x14ac:dyDescent="0.25">
      <c r="A274" s="17"/>
      <c r="B274" s="5"/>
      <c r="C274" s="6">
        <v>42120</v>
      </c>
      <c r="D274" s="4">
        <v>12</v>
      </c>
      <c r="E274" s="4">
        <v>8.6</v>
      </c>
      <c r="F274" s="4">
        <v>14.6</v>
      </c>
      <c r="G274" s="4">
        <f t="shared" si="35"/>
        <v>2014.7000000000003</v>
      </c>
      <c r="H274" s="15">
        <f t="shared" si="40"/>
        <v>218.60000000000002</v>
      </c>
      <c r="J274" s="4">
        <v>26.7</v>
      </c>
      <c r="K274" s="4">
        <f t="shared" si="36"/>
        <v>358.99999999999989</v>
      </c>
      <c r="L274" s="4">
        <v>0.9</v>
      </c>
      <c r="M274" s="4">
        <f t="shared" si="37"/>
        <v>278.29999999999978</v>
      </c>
      <c r="N274" s="4">
        <v>25.8</v>
      </c>
      <c r="O274" s="4">
        <f t="shared" si="31"/>
        <v>93.600000000000009</v>
      </c>
      <c r="P274" s="4">
        <v>230</v>
      </c>
      <c r="Q274" s="4">
        <v>1.1499999999999999</v>
      </c>
      <c r="R274" s="8">
        <f t="shared" si="33"/>
        <v>1.0349999999999999</v>
      </c>
      <c r="S274" s="8">
        <f t="shared" si="34"/>
        <v>25.664999999999999</v>
      </c>
      <c r="T274" s="8">
        <f t="shared" si="38"/>
        <v>80.700365853658496</v>
      </c>
      <c r="V274" s="4">
        <v>528.5</v>
      </c>
      <c r="X274" s="4">
        <f t="shared" si="39"/>
        <v>156829.09999999995</v>
      </c>
      <c r="Y274" s="15">
        <f t="shared" si="41"/>
        <v>27392.3</v>
      </c>
      <c r="AA274" s="4">
        <v>14.209496799151999</v>
      </c>
    </row>
    <row r="275" spans="1:27" s="4" customFormat="1" x14ac:dyDescent="0.25">
      <c r="A275" s="17"/>
      <c r="B275" s="5"/>
      <c r="C275" s="6">
        <v>42121</v>
      </c>
      <c r="D275" s="4">
        <v>11</v>
      </c>
      <c r="E275" s="4">
        <v>10.199999999999999</v>
      </c>
      <c r="F275" s="4">
        <v>13.6</v>
      </c>
      <c r="G275" s="4">
        <f t="shared" si="35"/>
        <v>2025.7000000000003</v>
      </c>
      <c r="H275" s="15">
        <f t="shared" si="40"/>
        <v>229.60000000000002</v>
      </c>
      <c r="J275" s="4">
        <v>0</v>
      </c>
      <c r="K275" s="4">
        <f t="shared" si="36"/>
        <v>358.99999999999989</v>
      </c>
      <c r="L275" s="4">
        <v>2</v>
      </c>
      <c r="M275" s="4">
        <f t="shared" si="37"/>
        <v>280.29999999999978</v>
      </c>
      <c r="N275" s="7">
        <v>-2</v>
      </c>
      <c r="O275" s="4">
        <f t="shared" si="31"/>
        <v>91.600000000000009</v>
      </c>
      <c r="P275" s="4">
        <v>231</v>
      </c>
      <c r="Q275" s="4">
        <v>1.1499999999999999</v>
      </c>
      <c r="R275" s="8">
        <f t="shared" si="33"/>
        <v>2.2999999999999998</v>
      </c>
      <c r="S275" s="8">
        <f t="shared" si="34"/>
        <v>-2.2999999999999998</v>
      </c>
      <c r="T275" s="8">
        <f t="shared" si="38"/>
        <v>78.400365853658499</v>
      </c>
      <c r="V275" s="4">
        <v>1260.8</v>
      </c>
      <c r="X275" s="4">
        <f t="shared" si="39"/>
        <v>158089.89999999994</v>
      </c>
      <c r="Y275" s="15">
        <f t="shared" si="41"/>
        <v>28653.1</v>
      </c>
      <c r="AA275" s="4">
        <v>14.2611178491108</v>
      </c>
    </row>
    <row r="276" spans="1:27" s="4" customFormat="1" x14ac:dyDescent="0.25">
      <c r="A276" s="17"/>
      <c r="B276" s="5"/>
      <c r="C276" s="6">
        <v>42122</v>
      </c>
      <c r="D276" s="4">
        <v>7.8</v>
      </c>
      <c r="E276" s="4">
        <v>3.6</v>
      </c>
      <c r="F276" s="4">
        <v>12.4</v>
      </c>
      <c r="G276" s="4">
        <f t="shared" si="35"/>
        <v>2033.5000000000002</v>
      </c>
      <c r="H276" s="15">
        <f t="shared" si="40"/>
        <v>237.40000000000003</v>
      </c>
      <c r="J276" s="4">
        <v>0</v>
      </c>
      <c r="K276" s="4">
        <f t="shared" si="36"/>
        <v>358.99999999999989</v>
      </c>
      <c r="L276" s="4">
        <v>2.4</v>
      </c>
      <c r="M276" s="4">
        <f t="shared" si="37"/>
        <v>282.69999999999976</v>
      </c>
      <c r="N276" s="7">
        <v>-2.4</v>
      </c>
      <c r="O276" s="4">
        <f t="shared" si="31"/>
        <v>89.2</v>
      </c>
      <c r="P276" s="4">
        <v>232</v>
      </c>
      <c r="Q276" s="4">
        <v>1.1499999999999999</v>
      </c>
      <c r="R276" s="8">
        <f t="shared" si="33"/>
        <v>2.76</v>
      </c>
      <c r="S276" s="8">
        <f t="shared" si="34"/>
        <v>-2.76</v>
      </c>
      <c r="T276" s="8">
        <f t="shared" si="38"/>
        <v>75.640365853658494</v>
      </c>
      <c r="V276" s="4">
        <v>2076</v>
      </c>
      <c r="X276" s="4">
        <f t="shared" si="39"/>
        <v>160165.89999999994</v>
      </c>
      <c r="Y276" s="15">
        <f t="shared" si="41"/>
        <v>30729.1</v>
      </c>
      <c r="AA276" s="4">
        <v>14.3123739531664</v>
      </c>
    </row>
    <row r="277" spans="1:27" s="4" customFormat="1" x14ac:dyDescent="0.25">
      <c r="A277" s="17"/>
      <c r="B277" s="5"/>
      <c r="C277" s="6">
        <v>42123</v>
      </c>
      <c r="D277" s="4">
        <v>9</v>
      </c>
      <c r="E277" s="4">
        <v>3</v>
      </c>
      <c r="F277" s="4">
        <v>14.1</v>
      </c>
      <c r="G277" s="4">
        <f t="shared" si="35"/>
        <v>2042.5000000000002</v>
      </c>
      <c r="H277" s="15">
        <f t="shared" si="40"/>
        <v>246.40000000000003</v>
      </c>
      <c r="J277" s="4">
        <v>0</v>
      </c>
      <c r="K277" s="4">
        <f t="shared" si="36"/>
        <v>358.99999999999989</v>
      </c>
      <c r="L277" s="4">
        <v>1.4</v>
      </c>
      <c r="M277" s="4">
        <f t="shared" si="37"/>
        <v>284.09999999999974</v>
      </c>
      <c r="N277" s="7">
        <v>-1.4</v>
      </c>
      <c r="O277" s="4">
        <f t="shared" si="31"/>
        <v>87.8</v>
      </c>
      <c r="P277" s="4">
        <v>233</v>
      </c>
      <c r="Q277" s="4">
        <v>1.1499999999999999</v>
      </c>
      <c r="R277" s="8">
        <f t="shared" si="33"/>
        <v>1.6099999999999999</v>
      </c>
      <c r="S277" s="8">
        <f t="shared" si="34"/>
        <v>-1.6099999999999999</v>
      </c>
      <c r="T277" s="8">
        <f t="shared" si="38"/>
        <v>74.030365853658495</v>
      </c>
      <c r="V277" s="4">
        <v>988.3</v>
      </c>
      <c r="X277" s="4">
        <f t="shared" si="39"/>
        <v>161154.19999999992</v>
      </c>
      <c r="Y277" s="15">
        <f t="shared" si="41"/>
        <v>31717.399999999998</v>
      </c>
      <c r="AA277" s="4">
        <v>14.3632489295623</v>
      </c>
    </row>
    <row r="278" spans="1:27" s="15" customFormat="1" x14ac:dyDescent="0.25">
      <c r="A278" s="17"/>
      <c r="B278" s="42"/>
      <c r="C278" s="39">
        <v>42124</v>
      </c>
      <c r="D278" s="15">
        <v>9.6999999999999993</v>
      </c>
      <c r="E278" s="15">
        <v>6.2</v>
      </c>
      <c r="F278" s="15">
        <v>12.2</v>
      </c>
      <c r="G278" s="15">
        <f t="shared" si="35"/>
        <v>2052.2000000000003</v>
      </c>
      <c r="H278" s="15">
        <f t="shared" si="40"/>
        <v>256.10000000000002</v>
      </c>
      <c r="J278" s="15">
        <v>34.700000000000003</v>
      </c>
      <c r="K278" s="15">
        <f t="shared" si="36"/>
        <v>393.69999999999987</v>
      </c>
      <c r="L278" s="15">
        <v>0.8</v>
      </c>
      <c r="M278" s="15">
        <f t="shared" si="37"/>
        <v>284.89999999999975</v>
      </c>
      <c r="N278" s="15">
        <v>33.900000000000006</v>
      </c>
      <c r="O278" s="15">
        <f t="shared" si="31"/>
        <v>121.7</v>
      </c>
      <c r="P278" s="15">
        <v>234</v>
      </c>
      <c r="Q278" s="15">
        <v>1.1499999999999999</v>
      </c>
      <c r="R278" s="41">
        <f t="shared" si="33"/>
        <v>0.91999999999999993</v>
      </c>
      <c r="S278" s="41">
        <f t="shared" si="34"/>
        <v>33.78</v>
      </c>
      <c r="T278" s="8">
        <f t="shared" si="38"/>
        <v>107.8103658536585</v>
      </c>
      <c r="V278" s="15">
        <v>590.79999999999995</v>
      </c>
      <c r="X278" s="15">
        <f t="shared" si="39"/>
        <v>161744.99999999991</v>
      </c>
      <c r="Y278" s="15">
        <f t="shared" si="41"/>
        <v>32308.199999999997</v>
      </c>
      <c r="AA278" s="15">
        <v>14.413726106554501</v>
      </c>
    </row>
    <row r="279" spans="1:27" s="25" customFormat="1" ht="15" customHeight="1" thickBot="1" x14ac:dyDescent="0.3">
      <c r="A279" s="34" t="s">
        <v>48</v>
      </c>
      <c r="B279" s="24"/>
      <c r="C279" s="44">
        <v>42125</v>
      </c>
      <c r="D279" s="25">
        <v>13.3</v>
      </c>
      <c r="E279" s="25">
        <v>11.1</v>
      </c>
      <c r="F279" s="25">
        <v>15.2</v>
      </c>
      <c r="G279" s="25">
        <f t="shared" si="35"/>
        <v>2065.5000000000005</v>
      </c>
      <c r="H279" s="29">
        <f t="shared" si="40"/>
        <v>269.40000000000003</v>
      </c>
      <c r="J279" s="25">
        <v>16.5</v>
      </c>
      <c r="K279" s="25">
        <f t="shared" si="36"/>
        <v>410.19999999999987</v>
      </c>
      <c r="L279" s="25">
        <v>0.8</v>
      </c>
      <c r="M279" s="25">
        <f t="shared" si="37"/>
        <v>285.69999999999976</v>
      </c>
      <c r="N279" s="25">
        <v>15.7</v>
      </c>
      <c r="O279" s="25">
        <f t="shared" si="31"/>
        <v>137.4</v>
      </c>
      <c r="P279" s="25">
        <v>235</v>
      </c>
      <c r="Q279" s="25">
        <v>1.1499999999999999</v>
      </c>
      <c r="R279" s="26">
        <f t="shared" si="33"/>
        <v>0.91999999999999993</v>
      </c>
      <c r="S279" s="26">
        <f t="shared" si="34"/>
        <v>15.58</v>
      </c>
      <c r="T279" s="26">
        <f t="shared" si="38"/>
        <v>123.39036585365849</v>
      </c>
      <c r="V279" s="25">
        <v>474.1</v>
      </c>
      <c r="X279" s="25">
        <f t="shared" si="39"/>
        <v>162219.09999999992</v>
      </c>
      <c r="Y279" s="29">
        <f t="shared" si="41"/>
        <v>32782.299999999996</v>
      </c>
      <c r="AA279" s="25">
        <v>14.463788320365399</v>
      </c>
    </row>
    <row r="280" spans="1:27" s="4" customFormat="1" ht="15.75" thickBot="1" x14ac:dyDescent="0.3">
      <c r="A280" s="64">
        <v>300</v>
      </c>
      <c r="B280" s="9"/>
      <c r="C280" s="6">
        <v>42126</v>
      </c>
      <c r="D280" s="4">
        <v>13.1</v>
      </c>
      <c r="E280" s="4">
        <v>12.2</v>
      </c>
      <c r="F280" s="4">
        <v>14</v>
      </c>
      <c r="G280" s="4">
        <f t="shared" si="35"/>
        <v>2078.6000000000004</v>
      </c>
      <c r="H280" s="15">
        <f>D280</f>
        <v>13.1</v>
      </c>
      <c r="I280" s="50" t="s">
        <v>27</v>
      </c>
      <c r="J280" s="4">
        <v>17.100000000000001</v>
      </c>
      <c r="K280" s="4">
        <f t="shared" si="36"/>
        <v>427.2999999999999</v>
      </c>
      <c r="L280" s="4">
        <v>0.6</v>
      </c>
      <c r="M280" s="4">
        <f t="shared" si="37"/>
        <v>286.29999999999978</v>
      </c>
      <c r="N280" s="4">
        <v>16.5</v>
      </c>
      <c r="O280" s="4">
        <v>138.9</v>
      </c>
      <c r="P280" s="4">
        <v>236</v>
      </c>
      <c r="Q280" s="4">
        <v>1.1499999999999999</v>
      </c>
      <c r="R280" s="8">
        <f t="shared" si="33"/>
        <v>0.69</v>
      </c>
      <c r="S280" s="8">
        <f t="shared" si="34"/>
        <v>16.41</v>
      </c>
      <c r="T280" s="8">
        <f t="shared" si="38"/>
        <v>138.9</v>
      </c>
      <c r="U280" s="50" t="s">
        <v>28</v>
      </c>
      <c r="V280" s="4">
        <v>500.4</v>
      </c>
      <c r="X280" s="4">
        <f t="shared" si="39"/>
        <v>162719.49999999991</v>
      </c>
      <c r="Y280" s="15">
        <f>V280</f>
        <v>500.4</v>
      </c>
      <c r="Z280" s="50" t="s">
        <v>29</v>
      </c>
      <c r="AA280" s="4">
        <v>14.5134179145061</v>
      </c>
    </row>
    <row r="281" spans="1:27" s="4" customFormat="1" x14ac:dyDescent="0.25">
      <c r="A281" s="60"/>
      <c r="B281" s="9"/>
      <c r="C281" s="6">
        <v>42127</v>
      </c>
      <c r="D281" s="4">
        <v>15</v>
      </c>
      <c r="E281" s="4">
        <v>13.1</v>
      </c>
      <c r="F281" s="4">
        <v>18.2</v>
      </c>
      <c r="G281" s="4">
        <f t="shared" si="35"/>
        <v>2093.6000000000004</v>
      </c>
      <c r="H281" s="15">
        <f t="shared" si="40"/>
        <v>28.1</v>
      </c>
      <c r="I281" s="4">
        <f>MIN(E280:E302)</f>
        <v>4.4000000000000004</v>
      </c>
      <c r="J281" s="4">
        <v>4.4000000000000004</v>
      </c>
      <c r="K281" s="4">
        <f t="shared" si="36"/>
        <v>431.69999999999987</v>
      </c>
      <c r="L281" s="4">
        <v>1.2</v>
      </c>
      <c r="M281" s="4">
        <f t="shared" si="37"/>
        <v>287.49999999999977</v>
      </c>
      <c r="N281" s="4">
        <v>3.2</v>
      </c>
      <c r="O281" s="4">
        <v>138.9</v>
      </c>
      <c r="P281" s="4">
        <v>237</v>
      </c>
      <c r="Q281" s="4">
        <v>1.1499999999999999</v>
      </c>
      <c r="R281" s="8">
        <f t="shared" si="33"/>
        <v>1.38</v>
      </c>
      <c r="S281" s="8">
        <f t="shared" si="34"/>
        <v>3.0200000000000005</v>
      </c>
      <c r="T281" s="8">
        <f t="shared" si="38"/>
        <v>138.9</v>
      </c>
      <c r="U281" s="4">
        <v>17</v>
      </c>
      <c r="V281" s="4">
        <v>585.9</v>
      </c>
      <c r="X281" s="4">
        <f t="shared" si="39"/>
        <v>163305.39999999991</v>
      </c>
      <c r="Y281" s="15">
        <f t="shared" si="41"/>
        <v>1086.3</v>
      </c>
      <c r="Z281" s="4">
        <v>37046</v>
      </c>
      <c r="AA281" s="4">
        <v>14.562596740558</v>
      </c>
    </row>
    <row r="282" spans="1:27" s="4" customFormat="1" x14ac:dyDescent="0.25">
      <c r="A282" s="60"/>
      <c r="B282" s="9"/>
      <c r="C282" s="6">
        <v>42128</v>
      </c>
      <c r="D282" s="4">
        <v>15.1</v>
      </c>
      <c r="E282" s="4">
        <v>9.1999999999999993</v>
      </c>
      <c r="F282" s="4">
        <v>19.100000000000001</v>
      </c>
      <c r="G282" s="4">
        <f t="shared" si="35"/>
        <v>2108.7000000000003</v>
      </c>
      <c r="H282" s="15">
        <f t="shared" si="40"/>
        <v>43.2</v>
      </c>
      <c r="I282" s="19" t="s">
        <v>30</v>
      </c>
      <c r="J282" s="4">
        <v>8.6</v>
      </c>
      <c r="K282" s="4">
        <f t="shared" si="36"/>
        <v>440.2999999999999</v>
      </c>
      <c r="L282" s="4">
        <v>1</v>
      </c>
      <c r="M282" s="4">
        <f t="shared" si="37"/>
        <v>288.49999999999977</v>
      </c>
      <c r="N282" s="4">
        <v>7.6</v>
      </c>
      <c r="O282" s="4">
        <v>138.9</v>
      </c>
      <c r="P282" s="4">
        <v>238</v>
      </c>
      <c r="Q282" s="4">
        <v>1.1499999999999999</v>
      </c>
      <c r="R282" s="8">
        <f t="shared" si="33"/>
        <v>1.1499999999999999</v>
      </c>
      <c r="S282" s="8">
        <f t="shared" si="34"/>
        <v>7.4499999999999993</v>
      </c>
      <c r="T282" s="8">
        <f t="shared" si="38"/>
        <v>138.9</v>
      </c>
      <c r="U282" s="19" t="s">
        <v>31</v>
      </c>
      <c r="V282" s="4">
        <v>776.6</v>
      </c>
      <c r="X282" s="4">
        <f t="shared" si="39"/>
        <v>164081.99999999991</v>
      </c>
      <c r="Y282" s="15">
        <f t="shared" si="41"/>
        <v>1862.9</v>
      </c>
      <c r="Z282" s="19" t="s">
        <v>32</v>
      </c>
      <c r="AA282" s="4">
        <v>14.6113061605088</v>
      </c>
    </row>
    <row r="283" spans="1:27" s="4" customFormat="1" x14ac:dyDescent="0.25">
      <c r="A283" s="60"/>
      <c r="B283" s="9"/>
      <c r="C283" s="6">
        <v>42129</v>
      </c>
      <c r="D283" s="4">
        <v>14.7</v>
      </c>
      <c r="E283" s="4">
        <v>15.1</v>
      </c>
      <c r="F283" s="4">
        <v>16.2</v>
      </c>
      <c r="G283" s="4">
        <f t="shared" si="35"/>
        <v>2123.4</v>
      </c>
      <c r="H283" s="15">
        <f t="shared" si="40"/>
        <v>57.900000000000006</v>
      </c>
      <c r="I283" s="4">
        <f>MAX(F280:F302)</f>
        <v>26.1</v>
      </c>
      <c r="J283" s="4">
        <v>0</v>
      </c>
      <c r="K283" s="4">
        <f t="shared" si="36"/>
        <v>440.2999999999999</v>
      </c>
      <c r="L283" s="4">
        <v>3.7</v>
      </c>
      <c r="M283" s="4">
        <f t="shared" si="37"/>
        <v>292.19999999999976</v>
      </c>
      <c r="N283" s="7">
        <v>-3.7</v>
      </c>
      <c r="O283" s="4">
        <f t="shared" ref="O283:O331" si="42">O282+N283</f>
        <v>135.20000000000002</v>
      </c>
      <c r="P283" s="4">
        <v>239</v>
      </c>
      <c r="Q283" s="4">
        <v>1.1499999999999999</v>
      </c>
      <c r="R283" s="8">
        <f t="shared" si="33"/>
        <v>4.2549999999999999</v>
      </c>
      <c r="S283" s="8">
        <f t="shared" si="34"/>
        <v>-4.2549999999999999</v>
      </c>
      <c r="T283" s="8">
        <f t="shared" si="38"/>
        <v>134.64500000000001</v>
      </c>
      <c r="U283" s="4">
        <v>0</v>
      </c>
      <c r="V283" s="4">
        <v>1952.8</v>
      </c>
      <c r="X283" s="4">
        <f t="shared" si="39"/>
        <v>166034.7999999999</v>
      </c>
      <c r="Y283" s="15">
        <f t="shared" si="41"/>
        <v>3815.7</v>
      </c>
      <c r="Z283" s="11">
        <f>(Z281/100)/I293</f>
        <v>1.1723417721518987</v>
      </c>
      <c r="AA283" s="4">
        <v>14.659527050737999</v>
      </c>
    </row>
    <row r="284" spans="1:27" s="4" customFormat="1" x14ac:dyDescent="0.25">
      <c r="A284" s="60"/>
      <c r="B284" s="9"/>
      <c r="C284" s="6">
        <v>42130</v>
      </c>
      <c r="D284" s="4">
        <v>11.9</v>
      </c>
      <c r="E284" s="4">
        <v>7.8</v>
      </c>
      <c r="F284" s="4">
        <v>15.1</v>
      </c>
      <c r="G284" s="4">
        <f t="shared" si="35"/>
        <v>2135.3000000000002</v>
      </c>
      <c r="H284" s="15">
        <f t="shared" si="40"/>
        <v>69.800000000000011</v>
      </c>
      <c r="I284" s="19" t="s">
        <v>33</v>
      </c>
      <c r="J284" s="4">
        <v>1.2</v>
      </c>
      <c r="K284" s="4">
        <f t="shared" si="36"/>
        <v>441.49999999999989</v>
      </c>
      <c r="L284" s="4">
        <v>2.7</v>
      </c>
      <c r="M284" s="4">
        <f t="shared" si="37"/>
        <v>294.89999999999975</v>
      </c>
      <c r="N284" s="7">
        <v>-1.5000000000000002</v>
      </c>
      <c r="O284" s="4">
        <f t="shared" si="42"/>
        <v>133.70000000000002</v>
      </c>
      <c r="P284" s="4">
        <v>240</v>
      </c>
      <c r="Q284" s="4">
        <v>1.1499999999999999</v>
      </c>
      <c r="R284" s="8">
        <f t="shared" si="33"/>
        <v>3.105</v>
      </c>
      <c r="S284" s="8">
        <f t="shared" si="34"/>
        <v>-1.905</v>
      </c>
      <c r="T284" s="8">
        <f t="shared" si="38"/>
        <v>132.74</v>
      </c>
      <c r="U284" s="19" t="s">
        <v>34</v>
      </c>
      <c r="V284" s="4">
        <v>1788.9</v>
      </c>
      <c r="X284" s="4">
        <f t="shared" si="39"/>
        <v>167823.6999999999</v>
      </c>
      <c r="Y284" s="15">
        <f t="shared" si="41"/>
        <v>5604.6</v>
      </c>
      <c r="Z284" s="19" t="s">
        <v>35</v>
      </c>
      <c r="AA284" s="4">
        <v>14.707239807747399</v>
      </c>
    </row>
    <row r="285" spans="1:27" s="4" customFormat="1" x14ac:dyDescent="0.25">
      <c r="A285" s="60"/>
      <c r="B285" s="9"/>
      <c r="C285" s="6">
        <v>42131</v>
      </c>
      <c r="D285" s="4">
        <v>11.3</v>
      </c>
      <c r="E285" s="4">
        <v>6.8</v>
      </c>
      <c r="F285" s="4">
        <v>15.5</v>
      </c>
      <c r="G285" s="4">
        <f t="shared" si="35"/>
        <v>2146.6000000000004</v>
      </c>
      <c r="H285" s="15">
        <f t="shared" si="40"/>
        <v>81.100000000000009</v>
      </c>
      <c r="I285" s="8">
        <f>AVERAGE(D280:D302)</f>
        <v>13.739130434782611</v>
      </c>
      <c r="J285" s="4">
        <v>0.4</v>
      </c>
      <c r="K285" s="4">
        <f t="shared" si="36"/>
        <v>441.89999999999986</v>
      </c>
      <c r="L285" s="4">
        <v>3.1</v>
      </c>
      <c r="M285" s="4">
        <f t="shared" si="37"/>
        <v>297.99999999999977</v>
      </c>
      <c r="N285" s="7">
        <v>-2.7</v>
      </c>
      <c r="O285" s="4">
        <f t="shared" si="42"/>
        <v>131.00000000000003</v>
      </c>
      <c r="P285" s="4">
        <v>241</v>
      </c>
      <c r="Q285" s="4">
        <v>1.1499999999999999</v>
      </c>
      <c r="R285" s="8">
        <f t="shared" si="33"/>
        <v>3.5649999999999999</v>
      </c>
      <c r="S285" s="8">
        <f t="shared" si="34"/>
        <v>-3.165</v>
      </c>
      <c r="T285" s="8">
        <f t="shared" si="38"/>
        <v>129.57500000000002</v>
      </c>
      <c r="U285" s="4">
        <v>0</v>
      </c>
      <c r="V285" s="4">
        <v>2159.6999999999998</v>
      </c>
      <c r="X285" s="4">
        <f t="shared" si="39"/>
        <v>169983.39999999991</v>
      </c>
      <c r="Y285" s="15">
        <f t="shared" si="41"/>
        <v>7764.3</v>
      </c>
      <c r="Z285" s="4">
        <v>4</v>
      </c>
      <c r="AA285" s="4">
        <v>14.7544243557327</v>
      </c>
    </row>
    <row r="286" spans="1:27" s="4" customFormat="1" x14ac:dyDescent="0.25">
      <c r="A286" s="60"/>
      <c r="B286" s="9"/>
      <c r="C286" s="6">
        <v>42132</v>
      </c>
      <c r="D286" s="4">
        <v>13.9</v>
      </c>
      <c r="E286" s="4">
        <v>8</v>
      </c>
      <c r="F286" s="4">
        <v>18.2</v>
      </c>
      <c r="G286" s="4">
        <f t="shared" si="35"/>
        <v>2160.5000000000005</v>
      </c>
      <c r="H286" s="15">
        <f t="shared" si="40"/>
        <v>95.000000000000014</v>
      </c>
      <c r="I286" s="19" t="s">
        <v>36</v>
      </c>
      <c r="J286" s="4">
        <v>0.4</v>
      </c>
      <c r="K286" s="4">
        <f t="shared" si="36"/>
        <v>442.29999999999984</v>
      </c>
      <c r="L286" s="4">
        <v>1.2</v>
      </c>
      <c r="M286" s="4">
        <f t="shared" si="37"/>
        <v>299.19999999999976</v>
      </c>
      <c r="N286" s="7">
        <v>-0.79999999999999993</v>
      </c>
      <c r="O286" s="4">
        <f t="shared" si="42"/>
        <v>130.20000000000002</v>
      </c>
      <c r="P286" s="4">
        <v>242</v>
      </c>
      <c r="Q286" s="4">
        <v>1.1499999999999999</v>
      </c>
      <c r="R286" s="8">
        <f t="shared" si="33"/>
        <v>1.38</v>
      </c>
      <c r="S286" s="8">
        <f t="shared" si="34"/>
        <v>-0.97999999999999987</v>
      </c>
      <c r="T286" s="8">
        <f t="shared" si="38"/>
        <v>128.59500000000003</v>
      </c>
      <c r="U286" s="19" t="s">
        <v>37</v>
      </c>
      <c r="V286" s="4">
        <v>863.6</v>
      </c>
      <c r="X286" s="4">
        <f t="shared" si="39"/>
        <v>170846.99999999991</v>
      </c>
      <c r="Y286" s="15">
        <f t="shared" si="41"/>
        <v>8627.9</v>
      </c>
      <c r="AA286" s="4">
        <v>14.8010601560915</v>
      </c>
    </row>
    <row r="287" spans="1:27" s="4" customFormat="1" x14ac:dyDescent="0.25">
      <c r="A287" s="60"/>
      <c r="B287" s="9"/>
      <c r="C287" s="6">
        <v>42133</v>
      </c>
      <c r="D287" s="4">
        <v>15.5</v>
      </c>
      <c r="E287" s="4">
        <v>13.4</v>
      </c>
      <c r="F287" s="4">
        <v>18.8</v>
      </c>
      <c r="G287" s="4">
        <f t="shared" si="35"/>
        <v>2176.0000000000005</v>
      </c>
      <c r="H287" s="15">
        <f t="shared" si="40"/>
        <v>110.50000000000001</v>
      </c>
      <c r="I287" s="4">
        <v>0</v>
      </c>
      <c r="J287" s="4">
        <v>0</v>
      </c>
      <c r="K287" s="4">
        <f t="shared" si="36"/>
        <v>442.29999999999984</v>
      </c>
      <c r="L287" s="4">
        <v>4</v>
      </c>
      <c r="M287" s="4">
        <f t="shared" si="37"/>
        <v>303.19999999999976</v>
      </c>
      <c r="N287" s="7">
        <v>-4</v>
      </c>
      <c r="O287" s="4">
        <f t="shared" si="42"/>
        <v>126.20000000000002</v>
      </c>
      <c r="P287" s="4">
        <v>243</v>
      </c>
      <c r="Q287" s="4">
        <v>1.1499999999999999</v>
      </c>
      <c r="R287" s="8">
        <f t="shared" si="33"/>
        <v>4.5999999999999996</v>
      </c>
      <c r="S287" s="8">
        <f t="shared" si="34"/>
        <v>-4.5999999999999996</v>
      </c>
      <c r="T287" s="8">
        <f t="shared" si="38"/>
        <v>123.99500000000003</v>
      </c>
      <c r="U287" s="8">
        <f>MIN(T280:T302)</f>
        <v>81.400000000000048</v>
      </c>
      <c r="V287" s="4">
        <v>2368.9</v>
      </c>
      <c r="X287" s="4">
        <f t="shared" si="39"/>
        <v>173215.89999999991</v>
      </c>
      <c r="Y287" s="15">
        <f t="shared" si="41"/>
        <v>10996.8</v>
      </c>
      <c r="AA287" s="4">
        <v>14.8471262189599</v>
      </c>
    </row>
    <row r="288" spans="1:27" s="4" customFormat="1" x14ac:dyDescent="0.25">
      <c r="A288" s="60"/>
      <c r="B288" s="9"/>
      <c r="C288" s="6">
        <v>42134</v>
      </c>
      <c r="D288" s="4">
        <v>15.5</v>
      </c>
      <c r="E288" s="4">
        <v>9.3000000000000007</v>
      </c>
      <c r="F288" s="4">
        <v>21.8</v>
      </c>
      <c r="G288" s="4">
        <f t="shared" si="35"/>
        <v>2191.5000000000005</v>
      </c>
      <c r="H288" s="15">
        <f t="shared" si="40"/>
        <v>126.00000000000001</v>
      </c>
      <c r="I288" s="19" t="s">
        <v>38</v>
      </c>
      <c r="J288" s="4">
        <v>0</v>
      </c>
      <c r="K288" s="4">
        <f t="shared" si="36"/>
        <v>442.29999999999984</v>
      </c>
      <c r="L288" s="4">
        <v>4.0999999999999996</v>
      </c>
      <c r="M288" s="4">
        <f t="shared" si="37"/>
        <v>307.29999999999978</v>
      </c>
      <c r="N288" s="7">
        <v>-4.0999999999999996</v>
      </c>
      <c r="O288" s="4">
        <f t="shared" si="42"/>
        <v>122.10000000000002</v>
      </c>
      <c r="P288" s="4">
        <v>244</v>
      </c>
      <c r="Q288" s="4">
        <v>1.1499999999999999</v>
      </c>
      <c r="R288" s="8">
        <f t="shared" si="33"/>
        <v>4.714999999999999</v>
      </c>
      <c r="S288" s="8">
        <f t="shared" si="34"/>
        <v>-4.714999999999999</v>
      </c>
      <c r="T288" s="8">
        <f t="shared" si="38"/>
        <v>119.28000000000003</v>
      </c>
      <c r="U288" s="19" t="s">
        <v>39</v>
      </c>
      <c r="V288" s="4">
        <v>2525.4</v>
      </c>
      <c r="X288" s="4">
        <f t="shared" si="39"/>
        <v>175741.2999999999</v>
      </c>
      <c r="Y288" s="15">
        <f t="shared" si="41"/>
        <v>13522.199999999999</v>
      </c>
      <c r="AA288" s="4">
        <v>14.892601116868899</v>
      </c>
    </row>
    <row r="289" spans="1:27" s="4" customFormat="1" x14ac:dyDescent="0.25">
      <c r="A289" s="60"/>
      <c r="B289" s="9"/>
      <c r="C289" s="6">
        <v>42135</v>
      </c>
      <c r="D289" s="4">
        <v>18.8</v>
      </c>
      <c r="E289" s="4">
        <v>10.4</v>
      </c>
      <c r="F289" s="4">
        <v>26.1</v>
      </c>
      <c r="G289" s="4">
        <f t="shared" si="35"/>
        <v>2210.3000000000006</v>
      </c>
      <c r="H289" s="15">
        <f t="shared" si="40"/>
        <v>144.80000000000001</v>
      </c>
      <c r="I289" s="4">
        <v>1</v>
      </c>
      <c r="J289" s="4">
        <v>0</v>
      </c>
      <c r="K289" s="4">
        <f t="shared" si="36"/>
        <v>442.29999999999984</v>
      </c>
      <c r="L289" s="4">
        <v>4.2</v>
      </c>
      <c r="M289" s="4">
        <f t="shared" si="37"/>
        <v>311.49999999999977</v>
      </c>
      <c r="N289" s="7">
        <v>-4.2</v>
      </c>
      <c r="O289" s="4">
        <f t="shared" si="42"/>
        <v>117.90000000000002</v>
      </c>
      <c r="P289" s="4">
        <v>245</v>
      </c>
      <c r="Q289" s="4">
        <v>1.1499999999999999</v>
      </c>
      <c r="R289" s="8">
        <f t="shared" si="33"/>
        <v>4.83</v>
      </c>
      <c r="S289" s="8">
        <f t="shared" si="34"/>
        <v>-4.83</v>
      </c>
      <c r="T289" s="8">
        <f t="shared" si="38"/>
        <v>114.45000000000003</v>
      </c>
      <c r="U289" s="8">
        <f>MAX(T280:T302)</f>
        <v>138.9</v>
      </c>
      <c r="V289" s="4">
        <v>2321.4</v>
      </c>
      <c r="X289" s="4">
        <f t="shared" si="39"/>
        <v>178062.6999999999</v>
      </c>
      <c r="Y289" s="15">
        <f t="shared" si="41"/>
        <v>15843.599999999999</v>
      </c>
      <c r="AA289" s="4">
        <v>14.937463000607799</v>
      </c>
    </row>
    <row r="290" spans="1:27" s="4" customFormat="1" x14ac:dyDescent="0.25">
      <c r="A290" s="60"/>
      <c r="B290" s="9"/>
      <c r="C290" s="6">
        <v>42136</v>
      </c>
      <c r="D290" s="4">
        <v>17.399999999999999</v>
      </c>
      <c r="E290" s="4">
        <v>16</v>
      </c>
      <c r="F290" s="4">
        <v>22.2</v>
      </c>
      <c r="G290" s="4">
        <f t="shared" si="35"/>
        <v>2227.7000000000007</v>
      </c>
      <c r="H290" s="15">
        <f t="shared" si="40"/>
        <v>162.20000000000002</v>
      </c>
      <c r="I290" s="19" t="s">
        <v>40</v>
      </c>
      <c r="J290" s="4">
        <v>0</v>
      </c>
      <c r="K290" s="4">
        <f t="shared" si="36"/>
        <v>442.29999999999984</v>
      </c>
      <c r="L290" s="4">
        <v>2.4</v>
      </c>
      <c r="M290" s="4">
        <f t="shared" si="37"/>
        <v>313.89999999999975</v>
      </c>
      <c r="N290" s="7">
        <v>-2.4</v>
      </c>
      <c r="O290" s="4">
        <f t="shared" si="42"/>
        <v>115.50000000000001</v>
      </c>
      <c r="P290" s="4">
        <v>246</v>
      </c>
      <c r="Q290" s="4">
        <v>1.1499999999999999</v>
      </c>
      <c r="R290" s="8">
        <f t="shared" si="33"/>
        <v>2.76</v>
      </c>
      <c r="S290" s="8">
        <f t="shared" si="34"/>
        <v>-2.76</v>
      </c>
      <c r="T290" s="8">
        <f t="shared" si="38"/>
        <v>111.69000000000003</v>
      </c>
      <c r="U290" s="19" t="s">
        <v>41</v>
      </c>
      <c r="V290" s="4">
        <v>1208.2</v>
      </c>
      <c r="X290" s="4">
        <f t="shared" si="39"/>
        <v>179270.89999999991</v>
      </c>
      <c r="Y290" s="15">
        <f t="shared" si="41"/>
        <v>17051.8</v>
      </c>
      <c r="AA290" s="4">
        <v>14.9816896173754</v>
      </c>
    </row>
    <row r="291" spans="1:27" s="4" customFormat="1" x14ac:dyDescent="0.25">
      <c r="A291" s="60"/>
      <c r="B291" s="9"/>
      <c r="C291" s="6">
        <v>42137</v>
      </c>
      <c r="D291" s="4">
        <v>16.8</v>
      </c>
      <c r="E291" s="4">
        <v>9.9</v>
      </c>
      <c r="F291" s="4">
        <v>23.8</v>
      </c>
      <c r="G291" s="4">
        <f t="shared" si="35"/>
        <v>2244.5000000000009</v>
      </c>
      <c r="H291" s="15">
        <f t="shared" si="40"/>
        <v>179.00000000000003</v>
      </c>
      <c r="I291" s="4">
        <v>1</v>
      </c>
      <c r="J291" s="4">
        <v>0</v>
      </c>
      <c r="K291" s="4">
        <f t="shared" si="36"/>
        <v>442.29999999999984</v>
      </c>
      <c r="L291" s="4">
        <v>3.2</v>
      </c>
      <c r="M291" s="4">
        <f t="shared" si="37"/>
        <v>317.09999999999974</v>
      </c>
      <c r="N291" s="7">
        <v>-3.2</v>
      </c>
      <c r="O291" s="4">
        <f t="shared" si="42"/>
        <v>112.30000000000001</v>
      </c>
      <c r="P291" s="4">
        <v>247</v>
      </c>
      <c r="Q291" s="4">
        <v>1.1499999999999999</v>
      </c>
      <c r="R291" s="8">
        <f t="shared" si="33"/>
        <v>3.6799999999999997</v>
      </c>
      <c r="S291" s="8">
        <f t="shared" si="34"/>
        <v>-3.6799999999999997</v>
      </c>
      <c r="T291" s="8">
        <f t="shared" si="38"/>
        <v>108.01000000000002</v>
      </c>
      <c r="U291" s="11">
        <f>AVERAGE(T280:T302)</f>
        <v>111.66413043478263</v>
      </c>
      <c r="V291" s="4">
        <v>1948</v>
      </c>
      <c r="X291" s="4">
        <f t="shared" si="39"/>
        <v>181218.89999999991</v>
      </c>
      <c r="Y291" s="15">
        <f t="shared" si="41"/>
        <v>18999.8</v>
      </c>
      <c r="AA291" s="4">
        <v>15.025258331298</v>
      </c>
    </row>
    <row r="292" spans="1:27" s="4" customFormat="1" x14ac:dyDescent="0.25">
      <c r="A292" s="60"/>
      <c r="B292" s="9"/>
      <c r="C292" s="6">
        <v>42138</v>
      </c>
      <c r="D292" s="4">
        <v>12.6</v>
      </c>
      <c r="E292" s="4">
        <v>12</v>
      </c>
      <c r="F292" s="4">
        <v>15</v>
      </c>
      <c r="G292" s="4">
        <f t="shared" si="35"/>
        <v>2257.1000000000008</v>
      </c>
      <c r="H292" s="15">
        <f t="shared" si="40"/>
        <v>191.60000000000002</v>
      </c>
      <c r="I292" s="19" t="s">
        <v>42</v>
      </c>
      <c r="J292" s="4">
        <v>3.1</v>
      </c>
      <c r="K292" s="4">
        <f t="shared" si="36"/>
        <v>445.39999999999986</v>
      </c>
      <c r="L292" s="4">
        <v>1.6</v>
      </c>
      <c r="M292" s="4">
        <f t="shared" si="37"/>
        <v>318.69999999999976</v>
      </c>
      <c r="N292" s="4">
        <v>1.5</v>
      </c>
      <c r="O292" s="4">
        <f t="shared" si="42"/>
        <v>113.80000000000001</v>
      </c>
      <c r="P292" s="4">
        <v>248</v>
      </c>
      <c r="Q292" s="4">
        <v>1.1499999999999999</v>
      </c>
      <c r="R292" s="8">
        <f t="shared" si="33"/>
        <v>1.8399999999999999</v>
      </c>
      <c r="S292" s="8">
        <f t="shared" si="34"/>
        <v>1.2600000000000002</v>
      </c>
      <c r="T292" s="8">
        <f t="shared" si="38"/>
        <v>109.27000000000002</v>
      </c>
      <c r="V292" s="4">
        <v>929.6</v>
      </c>
      <c r="X292" s="4">
        <f t="shared" si="39"/>
        <v>182148.49999999991</v>
      </c>
      <c r="Y292" s="15">
        <f t="shared" si="41"/>
        <v>19929.399999999998</v>
      </c>
      <c r="AA292" s="4">
        <v>15.06814614638</v>
      </c>
    </row>
    <row r="293" spans="1:27" s="4" customFormat="1" x14ac:dyDescent="0.25">
      <c r="A293" s="60"/>
      <c r="B293" s="9"/>
      <c r="C293" s="6">
        <v>42139</v>
      </c>
      <c r="D293" s="4">
        <v>11.6</v>
      </c>
      <c r="E293" s="4">
        <v>7.3</v>
      </c>
      <c r="F293" s="4">
        <v>16.100000000000001</v>
      </c>
      <c r="G293" s="4">
        <f t="shared" si="35"/>
        <v>2268.7000000000007</v>
      </c>
      <c r="H293" s="15">
        <f t="shared" si="40"/>
        <v>203.20000000000002</v>
      </c>
      <c r="I293" s="4">
        <v>316</v>
      </c>
      <c r="J293" s="4">
        <v>0</v>
      </c>
      <c r="K293" s="4">
        <f t="shared" si="36"/>
        <v>445.39999999999986</v>
      </c>
      <c r="L293" s="4">
        <v>2.2999999999999998</v>
      </c>
      <c r="M293" s="4">
        <f t="shared" si="37"/>
        <v>320.99999999999977</v>
      </c>
      <c r="N293" s="7">
        <v>-2.2999999999999998</v>
      </c>
      <c r="O293" s="4">
        <f t="shared" si="42"/>
        <v>111.50000000000001</v>
      </c>
      <c r="P293" s="4">
        <v>249</v>
      </c>
      <c r="Q293" s="4">
        <v>1.1499999999999999</v>
      </c>
      <c r="R293" s="8">
        <f t="shared" si="33"/>
        <v>2.6449999999999996</v>
      </c>
      <c r="S293" s="8">
        <f t="shared" si="34"/>
        <v>-2.6449999999999996</v>
      </c>
      <c r="T293" s="8">
        <f t="shared" si="38"/>
        <v>106.62500000000003</v>
      </c>
      <c r="U293" s="8">
        <f>(U291*100)/138.9</f>
        <v>80.3917425736376</v>
      </c>
      <c r="V293" s="4">
        <v>1477.1</v>
      </c>
      <c r="W293" s="15"/>
      <c r="X293" s="15">
        <f t="shared" si="39"/>
        <v>183625.59999999992</v>
      </c>
      <c r="Y293" s="15">
        <f t="shared" si="41"/>
        <v>21406.499999999996</v>
      </c>
      <c r="AA293" s="4">
        <v>15.1103297319513</v>
      </c>
    </row>
    <row r="294" spans="1:27" s="4" customFormat="1" ht="15" customHeight="1" x14ac:dyDescent="0.25">
      <c r="A294" s="60"/>
      <c r="B294" s="9"/>
      <c r="C294" s="6">
        <v>42140</v>
      </c>
      <c r="D294" s="4">
        <v>12.3</v>
      </c>
      <c r="E294" s="4">
        <v>8.1999999999999993</v>
      </c>
      <c r="F294" s="4">
        <v>16.8</v>
      </c>
      <c r="G294" s="4">
        <f t="shared" si="35"/>
        <v>2281.0000000000009</v>
      </c>
      <c r="H294" s="15">
        <f t="shared" si="40"/>
        <v>215.50000000000003</v>
      </c>
      <c r="J294" s="4">
        <v>0</v>
      </c>
      <c r="K294" s="4">
        <f t="shared" si="36"/>
        <v>445.39999999999986</v>
      </c>
      <c r="L294" s="4">
        <v>1.8</v>
      </c>
      <c r="M294" s="4">
        <f t="shared" si="37"/>
        <v>322.79999999999978</v>
      </c>
      <c r="N294" s="7">
        <v>-1.8</v>
      </c>
      <c r="O294" s="4">
        <f t="shared" si="42"/>
        <v>109.70000000000002</v>
      </c>
      <c r="P294" s="4">
        <v>250</v>
      </c>
      <c r="Q294" s="4">
        <v>1.1499999999999999</v>
      </c>
      <c r="R294" s="8">
        <f t="shared" si="33"/>
        <v>2.0699999999999998</v>
      </c>
      <c r="S294" s="8">
        <f t="shared" si="34"/>
        <v>-2.0699999999999998</v>
      </c>
      <c r="T294" s="8">
        <f t="shared" si="38"/>
        <v>104.55500000000004</v>
      </c>
      <c r="U294" s="16"/>
      <c r="V294" s="4">
        <v>1099.2</v>
      </c>
      <c r="X294" s="4">
        <f t="shared" si="39"/>
        <v>184724.79999999993</v>
      </c>
      <c r="Y294" s="15">
        <f t="shared" si="41"/>
        <v>22505.699999999997</v>
      </c>
      <c r="AA294" s="4">
        <v>15.151785450659901</v>
      </c>
    </row>
    <row r="295" spans="1:27" s="4" customFormat="1" x14ac:dyDescent="0.25">
      <c r="A295" s="60"/>
      <c r="B295" s="9"/>
      <c r="C295" s="6">
        <v>42141</v>
      </c>
      <c r="D295" s="4">
        <v>13</v>
      </c>
      <c r="E295" s="4">
        <v>8.1</v>
      </c>
      <c r="F295" s="4">
        <v>18.8</v>
      </c>
      <c r="G295" s="4">
        <f t="shared" si="35"/>
        <v>2294.0000000000009</v>
      </c>
      <c r="H295" s="15">
        <f t="shared" si="40"/>
        <v>228.50000000000003</v>
      </c>
      <c r="J295" s="4">
        <v>0</v>
      </c>
      <c r="K295" s="4">
        <f t="shared" si="36"/>
        <v>445.39999999999986</v>
      </c>
      <c r="L295" s="4">
        <v>4.3</v>
      </c>
      <c r="M295" s="4">
        <f t="shared" si="37"/>
        <v>327.0999999999998</v>
      </c>
      <c r="N295" s="7">
        <v>-4.3</v>
      </c>
      <c r="O295" s="4">
        <f t="shared" si="42"/>
        <v>105.40000000000002</v>
      </c>
      <c r="P295" s="4">
        <v>251</v>
      </c>
      <c r="Q295" s="4">
        <v>1.1499999999999999</v>
      </c>
      <c r="R295" s="8">
        <f t="shared" si="33"/>
        <v>4.9449999999999994</v>
      </c>
      <c r="S295" s="8">
        <f t="shared" si="34"/>
        <v>-4.9449999999999994</v>
      </c>
      <c r="T295" s="8">
        <f t="shared" si="38"/>
        <v>99.610000000000042</v>
      </c>
      <c r="V295" s="4">
        <v>2601.6999999999998</v>
      </c>
      <c r="X295" s="4">
        <f t="shared" si="39"/>
        <v>187326.49999999994</v>
      </c>
      <c r="Y295" s="15">
        <f t="shared" si="41"/>
        <v>25107.399999999998</v>
      </c>
      <c r="AA295" s="4">
        <v>15.192489389051699</v>
      </c>
    </row>
    <row r="296" spans="1:27" s="4" customFormat="1" x14ac:dyDescent="0.25">
      <c r="A296" s="60"/>
      <c r="B296" s="9"/>
      <c r="C296" s="6">
        <v>42142</v>
      </c>
      <c r="D296" s="4">
        <v>13.4</v>
      </c>
      <c r="E296" s="4">
        <v>6.8</v>
      </c>
      <c r="F296" s="4">
        <v>20.3</v>
      </c>
      <c r="G296" s="4">
        <f t="shared" si="35"/>
        <v>2307.400000000001</v>
      </c>
      <c r="H296" s="15">
        <f t="shared" si="40"/>
        <v>241.90000000000003</v>
      </c>
      <c r="J296" s="4">
        <v>0.3</v>
      </c>
      <c r="K296" s="4">
        <f t="shared" si="36"/>
        <v>445.69999999999987</v>
      </c>
      <c r="L296" s="4">
        <v>3.3</v>
      </c>
      <c r="M296" s="4">
        <f t="shared" si="37"/>
        <v>330.39999999999981</v>
      </c>
      <c r="N296" s="7">
        <v>-3</v>
      </c>
      <c r="O296" s="4">
        <f t="shared" si="42"/>
        <v>102.40000000000002</v>
      </c>
      <c r="P296" s="4">
        <v>252</v>
      </c>
      <c r="Q296" s="4">
        <v>1.1499999999999999</v>
      </c>
      <c r="R296" s="8">
        <f t="shared" si="33"/>
        <v>3.7949999999999995</v>
      </c>
      <c r="S296" s="8">
        <f t="shared" si="34"/>
        <v>-3.4949999999999997</v>
      </c>
      <c r="T296" s="8">
        <f t="shared" si="38"/>
        <v>96.115000000000038</v>
      </c>
      <c r="V296" s="4">
        <v>1899.7</v>
      </c>
      <c r="X296" s="4">
        <f t="shared" si="39"/>
        <v>189226.19999999995</v>
      </c>
      <c r="Y296" s="15">
        <f t="shared" si="41"/>
        <v>27007.1</v>
      </c>
      <c r="AA296" s="4">
        <v>15.2324173907634</v>
      </c>
    </row>
    <row r="297" spans="1:27" s="4" customFormat="1" x14ac:dyDescent="0.25">
      <c r="A297" s="60"/>
      <c r="B297" s="9"/>
      <c r="C297" s="6">
        <v>42143</v>
      </c>
      <c r="D297" s="4">
        <v>10</v>
      </c>
      <c r="E297" s="4">
        <v>8.4</v>
      </c>
      <c r="F297" s="4">
        <v>14.7</v>
      </c>
      <c r="G297" s="4">
        <f t="shared" si="35"/>
        <v>2317.400000000001</v>
      </c>
      <c r="H297" s="15">
        <f t="shared" si="40"/>
        <v>251.90000000000003</v>
      </c>
      <c r="J297" s="4">
        <v>1.7</v>
      </c>
      <c r="K297" s="4">
        <f t="shared" si="36"/>
        <v>447.39999999999986</v>
      </c>
      <c r="L297" s="4">
        <v>3.4</v>
      </c>
      <c r="M297" s="4">
        <f t="shared" si="37"/>
        <v>333.79999999999978</v>
      </c>
      <c r="N297" s="7">
        <v>-1.7</v>
      </c>
      <c r="O297" s="4">
        <f t="shared" si="42"/>
        <v>100.70000000000002</v>
      </c>
      <c r="P297" s="4">
        <v>253</v>
      </c>
      <c r="Q297" s="4">
        <v>1.1499999999999999</v>
      </c>
      <c r="R297" s="8">
        <f t="shared" si="33"/>
        <v>3.9099999999999997</v>
      </c>
      <c r="S297" s="8">
        <f t="shared" si="34"/>
        <v>-2.21</v>
      </c>
      <c r="T297" s="8">
        <f t="shared" si="38"/>
        <v>93.905000000000044</v>
      </c>
      <c r="V297" s="4">
        <v>2031.2</v>
      </c>
      <c r="X297" s="4">
        <f t="shared" si="39"/>
        <v>191257.39999999997</v>
      </c>
      <c r="Y297" s="15">
        <f t="shared" si="41"/>
        <v>29038.3</v>
      </c>
      <c r="AA297" s="4">
        <v>15.2715450923428</v>
      </c>
    </row>
    <row r="298" spans="1:27" s="4" customFormat="1" x14ac:dyDescent="0.25">
      <c r="A298" s="60"/>
      <c r="B298" s="9"/>
      <c r="C298" s="6">
        <v>42144</v>
      </c>
      <c r="D298" s="4">
        <v>8.6999999999999993</v>
      </c>
      <c r="E298" s="4">
        <v>5.4</v>
      </c>
      <c r="F298" s="4">
        <v>12.7</v>
      </c>
      <c r="G298" s="4">
        <f t="shared" si="35"/>
        <v>2326.1000000000008</v>
      </c>
      <c r="H298" s="15">
        <f t="shared" si="40"/>
        <v>260.60000000000002</v>
      </c>
      <c r="J298" s="4">
        <v>1.9</v>
      </c>
      <c r="K298" s="4">
        <f t="shared" si="36"/>
        <v>449.29999999999984</v>
      </c>
      <c r="L298" s="4">
        <v>1.6</v>
      </c>
      <c r="M298" s="4">
        <f t="shared" si="37"/>
        <v>335.39999999999981</v>
      </c>
      <c r="N298" s="4">
        <v>0.29999999999999982</v>
      </c>
      <c r="O298" s="4">
        <f t="shared" si="42"/>
        <v>101.00000000000001</v>
      </c>
      <c r="P298" s="4">
        <v>254</v>
      </c>
      <c r="Q298" s="4">
        <v>1.1499999999999999</v>
      </c>
      <c r="R298" s="8">
        <f t="shared" si="33"/>
        <v>1.8399999999999999</v>
      </c>
      <c r="S298" s="8">
        <f t="shared" si="34"/>
        <v>6.0000000000000053E-2</v>
      </c>
      <c r="T298" s="8">
        <f t="shared" si="38"/>
        <v>93.965000000000046</v>
      </c>
      <c r="V298" s="4">
        <v>1147.4000000000001</v>
      </c>
      <c r="X298" s="4">
        <f t="shared" si="39"/>
        <v>192404.79999999996</v>
      </c>
      <c r="Y298" s="15">
        <f t="shared" si="41"/>
        <v>30185.7</v>
      </c>
      <c r="AA298" s="4">
        <v>15.3098479616944</v>
      </c>
    </row>
    <row r="299" spans="1:27" s="4" customFormat="1" x14ac:dyDescent="0.25">
      <c r="A299" s="60"/>
      <c r="B299" s="9"/>
      <c r="C299" s="6">
        <v>42145</v>
      </c>
      <c r="D299" s="4">
        <v>11</v>
      </c>
      <c r="E299" s="4">
        <v>4.4000000000000004</v>
      </c>
      <c r="F299" s="4">
        <v>17.2</v>
      </c>
      <c r="G299" s="4">
        <f t="shared" si="35"/>
        <v>2337.1000000000008</v>
      </c>
      <c r="H299" s="15">
        <f t="shared" si="40"/>
        <v>271.60000000000002</v>
      </c>
      <c r="J299" s="4">
        <v>0</v>
      </c>
      <c r="K299" s="4">
        <f t="shared" si="36"/>
        <v>449.29999999999984</v>
      </c>
      <c r="L299" s="4">
        <v>2.8</v>
      </c>
      <c r="M299" s="4">
        <f t="shared" si="37"/>
        <v>338.19999999999982</v>
      </c>
      <c r="N299" s="7">
        <v>-2.8</v>
      </c>
      <c r="O299" s="4">
        <f t="shared" si="42"/>
        <v>98.200000000000017</v>
      </c>
      <c r="P299" s="4">
        <v>255</v>
      </c>
      <c r="Q299" s="4">
        <v>1.1499999999999999</v>
      </c>
      <c r="R299" s="8">
        <f t="shared" si="33"/>
        <v>3.2199999999999998</v>
      </c>
      <c r="S299" s="8">
        <f t="shared" si="34"/>
        <v>-3.2199999999999998</v>
      </c>
      <c r="T299" s="8">
        <f t="shared" si="38"/>
        <v>90.745000000000047</v>
      </c>
      <c r="V299" s="4">
        <v>1882.5</v>
      </c>
      <c r="X299" s="4">
        <f t="shared" si="39"/>
        <v>194287.29999999996</v>
      </c>
      <c r="Y299" s="15">
        <f t="shared" si="41"/>
        <v>32068.2</v>
      </c>
      <c r="AA299" s="4">
        <v>15.347301339131</v>
      </c>
    </row>
    <row r="300" spans="1:27" s="4" customFormat="1" x14ac:dyDescent="0.25">
      <c r="A300" s="60"/>
      <c r="B300" s="9"/>
      <c r="C300" s="6">
        <v>42146</v>
      </c>
      <c r="D300" s="4">
        <v>13</v>
      </c>
      <c r="E300" s="4">
        <v>5.8</v>
      </c>
      <c r="F300" s="4">
        <v>18.600000000000001</v>
      </c>
      <c r="G300" s="4">
        <f t="shared" si="35"/>
        <v>2350.1000000000008</v>
      </c>
      <c r="H300" s="15">
        <f t="shared" si="40"/>
        <v>284.60000000000002</v>
      </c>
      <c r="J300" s="4">
        <v>0</v>
      </c>
      <c r="K300" s="4">
        <f t="shared" si="36"/>
        <v>449.29999999999984</v>
      </c>
      <c r="L300" s="4">
        <v>2.7</v>
      </c>
      <c r="M300" s="4">
        <f t="shared" si="37"/>
        <v>340.89999999999981</v>
      </c>
      <c r="N300" s="7">
        <v>-2.7</v>
      </c>
      <c r="O300" s="4">
        <f t="shared" si="42"/>
        <v>95.500000000000014</v>
      </c>
      <c r="P300" s="4">
        <v>256</v>
      </c>
      <c r="Q300" s="4">
        <v>1.1499999999999999</v>
      </c>
      <c r="R300" s="8">
        <f t="shared" si="33"/>
        <v>3.105</v>
      </c>
      <c r="S300" s="8">
        <f t="shared" si="34"/>
        <v>-3.105</v>
      </c>
      <c r="T300" s="8">
        <f t="shared" si="38"/>
        <v>87.640000000000043</v>
      </c>
      <c r="V300" s="4">
        <v>1747.5</v>
      </c>
      <c r="X300" s="4">
        <f t="shared" si="39"/>
        <v>196034.79999999996</v>
      </c>
      <c r="Y300" s="15">
        <f t="shared" si="41"/>
        <v>33815.699999999997</v>
      </c>
      <c r="AA300" s="4">
        <v>15.3838804809943</v>
      </c>
    </row>
    <row r="301" spans="1:27" s="15" customFormat="1" x14ac:dyDescent="0.25">
      <c r="A301" s="60"/>
      <c r="B301" s="38">
        <v>300</v>
      </c>
      <c r="C301" s="39">
        <v>42147</v>
      </c>
      <c r="D301" s="15">
        <v>15.3</v>
      </c>
      <c r="E301" s="15">
        <v>9.4</v>
      </c>
      <c r="F301" s="15">
        <v>19.899999999999999</v>
      </c>
      <c r="G301" s="15">
        <f t="shared" si="35"/>
        <v>2365.400000000001</v>
      </c>
      <c r="H301" s="15">
        <f t="shared" si="40"/>
        <v>299.90000000000003</v>
      </c>
      <c r="J301" s="15">
        <v>0</v>
      </c>
      <c r="K301" s="15">
        <f t="shared" si="36"/>
        <v>449.29999999999984</v>
      </c>
      <c r="L301" s="15">
        <v>2.5</v>
      </c>
      <c r="M301" s="15">
        <f t="shared" si="37"/>
        <v>343.39999999999981</v>
      </c>
      <c r="N301" s="40">
        <v>-2.5</v>
      </c>
      <c r="O301" s="15">
        <f t="shared" si="42"/>
        <v>93.000000000000014</v>
      </c>
      <c r="P301" s="15">
        <v>257</v>
      </c>
      <c r="Q301" s="15">
        <v>1.1499999999999999</v>
      </c>
      <c r="R301" s="41">
        <f t="shared" ref="R301:R345" si="43">Q301*L301</f>
        <v>2.875</v>
      </c>
      <c r="S301" s="41">
        <f t="shared" ref="S301:S345" si="44">J301-R301</f>
        <v>-2.875</v>
      </c>
      <c r="T301" s="8">
        <f t="shared" si="38"/>
        <v>84.765000000000043</v>
      </c>
      <c r="V301" s="15">
        <v>1448.6</v>
      </c>
      <c r="X301" s="15">
        <f t="shared" si="39"/>
        <v>197483.39999999997</v>
      </c>
      <c r="Y301" s="15">
        <f t="shared" si="41"/>
        <v>35264.299999999996</v>
      </c>
      <c r="AA301" s="15">
        <v>15.419560605788201</v>
      </c>
    </row>
    <row r="302" spans="1:27" s="47" customFormat="1" ht="15" customHeight="1" thickBot="1" x14ac:dyDescent="0.3">
      <c r="A302" s="60"/>
      <c r="B302" s="24"/>
      <c r="C302" s="46">
        <v>42148</v>
      </c>
      <c r="D302" s="47">
        <v>16.100000000000001</v>
      </c>
      <c r="E302" s="47">
        <v>11.5</v>
      </c>
      <c r="F302" s="47">
        <v>20.100000000000001</v>
      </c>
      <c r="G302" s="47">
        <f t="shared" si="35"/>
        <v>2381.5000000000009</v>
      </c>
      <c r="H302" s="37">
        <f t="shared" si="40"/>
        <v>316.00000000000006</v>
      </c>
      <c r="J302" s="47">
        <v>0.2</v>
      </c>
      <c r="K302" s="47">
        <f t="shared" si="36"/>
        <v>449.49999999999983</v>
      </c>
      <c r="L302" s="47">
        <v>3.1</v>
      </c>
      <c r="M302" s="47">
        <f t="shared" si="37"/>
        <v>346.49999999999983</v>
      </c>
      <c r="N302" s="48">
        <v>-2.9</v>
      </c>
      <c r="O302" s="47">
        <f t="shared" si="42"/>
        <v>90.100000000000009</v>
      </c>
      <c r="P302" s="47">
        <v>258</v>
      </c>
      <c r="Q302" s="51">
        <v>1.1499999999999999</v>
      </c>
      <c r="R302" s="49">
        <f t="shared" si="43"/>
        <v>3.5649999999999999</v>
      </c>
      <c r="S302" s="49">
        <f t="shared" si="44"/>
        <v>-3.3649999999999998</v>
      </c>
      <c r="T302" s="49">
        <f t="shared" si="38"/>
        <v>81.400000000000048</v>
      </c>
      <c r="V302" s="47">
        <v>1781.7</v>
      </c>
      <c r="X302" s="47">
        <f t="shared" si="39"/>
        <v>199265.09999999998</v>
      </c>
      <c r="Y302" s="37">
        <f t="shared" si="41"/>
        <v>37045.999999999993</v>
      </c>
      <c r="AA302" s="47">
        <v>15.454316942747701</v>
      </c>
    </row>
    <row r="303" spans="1:27" s="4" customFormat="1" x14ac:dyDescent="0.25">
      <c r="A303" s="61">
        <v>600</v>
      </c>
      <c r="B303" s="9"/>
      <c r="C303" s="6">
        <v>42149</v>
      </c>
      <c r="D303" s="4">
        <v>15.6</v>
      </c>
      <c r="E303" s="4">
        <v>13.8</v>
      </c>
      <c r="F303" s="4">
        <v>18.8</v>
      </c>
      <c r="G303" s="4">
        <f t="shared" ref="G303:G345" si="45">G302+D303</f>
        <v>2397.1000000000008</v>
      </c>
      <c r="H303" s="15">
        <f>D303</f>
        <v>15.6</v>
      </c>
      <c r="I303" s="20" t="s">
        <v>27</v>
      </c>
      <c r="J303" s="4">
        <v>0</v>
      </c>
      <c r="K303" s="4">
        <f t="shared" ref="K303:K345" si="46">K302+J303</f>
        <v>449.49999999999983</v>
      </c>
      <c r="L303" s="4">
        <v>2.5</v>
      </c>
      <c r="M303" s="4">
        <f t="shared" ref="M303:M345" si="47">M302+L303</f>
        <v>348.99999999999983</v>
      </c>
      <c r="N303" s="7">
        <v>-2.5</v>
      </c>
      <c r="O303" s="4">
        <f t="shared" si="42"/>
        <v>87.600000000000009</v>
      </c>
      <c r="P303" s="4">
        <v>259</v>
      </c>
      <c r="Q303" s="11">
        <f>1.15+((P303-258)/43)*(0.35-1.15)</f>
        <v>1.1313953488372093</v>
      </c>
      <c r="R303" s="8">
        <f t="shared" si="43"/>
        <v>2.8284883720930232</v>
      </c>
      <c r="S303" s="8">
        <f t="shared" si="44"/>
        <v>-2.8284883720930232</v>
      </c>
      <c r="T303" s="8">
        <f t="shared" ref="T303:T343" si="48">MIN(138.9,(T302+S303))</f>
        <v>78.571511627907029</v>
      </c>
      <c r="U303" s="20" t="s">
        <v>28</v>
      </c>
      <c r="V303" s="4">
        <v>1330.7</v>
      </c>
      <c r="X303" s="4">
        <f t="shared" ref="X303:X345" si="49">X302+V303</f>
        <v>200595.8</v>
      </c>
      <c r="Y303" s="15">
        <f>V303</f>
        <v>1330.7</v>
      </c>
      <c r="Z303" s="20" t="s">
        <v>29</v>
      </c>
      <c r="AA303" s="4">
        <v>15.488124782742901</v>
      </c>
    </row>
    <row r="304" spans="1:27" s="4" customFormat="1" x14ac:dyDescent="0.25">
      <c r="A304" s="61"/>
      <c r="B304" s="9"/>
      <c r="C304" s="6">
        <v>42150</v>
      </c>
      <c r="D304" s="4">
        <v>13.1</v>
      </c>
      <c r="E304" s="4">
        <v>10.1</v>
      </c>
      <c r="F304" s="4">
        <v>16.7</v>
      </c>
      <c r="G304" s="4">
        <f t="shared" si="45"/>
        <v>2410.2000000000007</v>
      </c>
      <c r="H304" s="15">
        <f t="shared" si="40"/>
        <v>28.7</v>
      </c>
      <c r="I304" s="4">
        <f>MIN(E303:E320)</f>
        <v>7.1</v>
      </c>
      <c r="J304" s="4">
        <v>0</v>
      </c>
      <c r="K304" s="4">
        <f t="shared" si="46"/>
        <v>449.49999999999983</v>
      </c>
      <c r="L304" s="4">
        <v>3.1</v>
      </c>
      <c r="M304" s="4">
        <f t="shared" si="47"/>
        <v>352.09999999999985</v>
      </c>
      <c r="N304" s="7">
        <v>-3.1</v>
      </c>
      <c r="O304" s="4">
        <f t="shared" si="42"/>
        <v>84.500000000000014</v>
      </c>
      <c r="P304" s="4">
        <v>260</v>
      </c>
      <c r="Q304" s="11">
        <f t="shared" ref="Q304:Q345" si="50">1.15+((P304-258)/43)*(0.35-1.15)</f>
        <v>1.1127906976744186</v>
      </c>
      <c r="R304" s="8">
        <f t="shared" si="43"/>
        <v>3.4496511627906981</v>
      </c>
      <c r="S304" s="8">
        <f t="shared" si="44"/>
        <v>-3.4496511627906981</v>
      </c>
      <c r="T304" s="8">
        <f t="shared" si="48"/>
        <v>75.121860465116328</v>
      </c>
      <c r="U304" s="4">
        <v>17</v>
      </c>
      <c r="V304" s="4">
        <v>1947.7</v>
      </c>
      <c r="X304" s="4">
        <f t="shared" si="49"/>
        <v>202543.5</v>
      </c>
      <c r="Y304" s="15">
        <f t="shared" si="41"/>
        <v>3278.4</v>
      </c>
      <c r="Z304" s="4">
        <v>33174.400000000001</v>
      </c>
      <c r="AA304" s="4">
        <v>15.5209595313988</v>
      </c>
    </row>
    <row r="305" spans="1:27" s="4" customFormat="1" x14ac:dyDescent="0.25">
      <c r="A305" s="61"/>
      <c r="B305" s="9"/>
      <c r="C305" s="6">
        <v>42151</v>
      </c>
      <c r="D305" s="4">
        <v>14.8</v>
      </c>
      <c r="E305" s="4">
        <v>7.1</v>
      </c>
      <c r="F305" s="4">
        <v>21.4</v>
      </c>
      <c r="G305" s="4">
        <f t="shared" si="45"/>
        <v>2425.0000000000009</v>
      </c>
      <c r="H305" s="15">
        <f t="shared" si="40"/>
        <v>43.5</v>
      </c>
      <c r="I305" s="20" t="s">
        <v>30</v>
      </c>
      <c r="J305" s="4">
        <v>0</v>
      </c>
      <c r="K305" s="4">
        <f t="shared" si="46"/>
        <v>449.49999999999983</v>
      </c>
      <c r="L305" s="4">
        <v>2.5</v>
      </c>
      <c r="M305" s="4">
        <f t="shared" si="47"/>
        <v>354.59999999999985</v>
      </c>
      <c r="N305" s="7">
        <v>-2.5</v>
      </c>
      <c r="O305" s="4">
        <f t="shared" si="42"/>
        <v>82.000000000000014</v>
      </c>
      <c r="P305" s="4">
        <v>261</v>
      </c>
      <c r="Q305" s="11">
        <f t="shared" si="50"/>
        <v>1.0941860465116278</v>
      </c>
      <c r="R305" s="8">
        <f t="shared" si="43"/>
        <v>2.7354651162790695</v>
      </c>
      <c r="S305" s="8">
        <f t="shared" si="44"/>
        <v>-2.7354651162790695</v>
      </c>
      <c r="T305" s="8">
        <f t="shared" si="48"/>
        <v>72.386395348837254</v>
      </c>
      <c r="U305" s="20" t="s">
        <v>31</v>
      </c>
      <c r="V305" s="4">
        <v>1588.4</v>
      </c>
      <c r="X305" s="4">
        <f t="shared" si="49"/>
        <v>204131.9</v>
      </c>
      <c r="Y305" s="15">
        <f t="shared" si="41"/>
        <v>4866.8</v>
      </c>
      <c r="Z305" s="20" t="s">
        <v>32</v>
      </c>
      <c r="AA305" s="4">
        <v>15.5527967642831</v>
      </c>
    </row>
    <row r="306" spans="1:27" s="4" customFormat="1" x14ac:dyDescent="0.25">
      <c r="A306" s="61"/>
      <c r="B306" s="9"/>
      <c r="C306" s="6">
        <v>42152</v>
      </c>
      <c r="D306" s="4">
        <v>15</v>
      </c>
      <c r="E306" s="4">
        <v>9</v>
      </c>
      <c r="F306" s="4">
        <v>20.100000000000001</v>
      </c>
      <c r="G306" s="4">
        <f t="shared" si="45"/>
        <v>2440.0000000000009</v>
      </c>
      <c r="H306" s="15">
        <f t="shared" si="40"/>
        <v>58.5</v>
      </c>
      <c r="I306" s="4">
        <f>MAX(F303:F320)</f>
        <v>31.6</v>
      </c>
      <c r="J306" s="4">
        <v>0.4</v>
      </c>
      <c r="K306" s="4">
        <f t="shared" si="46"/>
        <v>449.89999999999981</v>
      </c>
      <c r="L306" s="4">
        <v>3.8</v>
      </c>
      <c r="M306" s="4">
        <f t="shared" si="47"/>
        <v>358.39999999999986</v>
      </c>
      <c r="N306" s="7">
        <v>-3.4</v>
      </c>
      <c r="O306" s="4">
        <f t="shared" si="42"/>
        <v>78.600000000000009</v>
      </c>
      <c r="P306" s="4">
        <v>262</v>
      </c>
      <c r="Q306" s="11">
        <f t="shared" si="50"/>
        <v>1.0755813953488371</v>
      </c>
      <c r="R306" s="8">
        <f t="shared" si="43"/>
        <v>4.0872093023255811</v>
      </c>
      <c r="S306" s="8">
        <f t="shared" si="44"/>
        <v>-3.6872093023255812</v>
      </c>
      <c r="T306" s="8">
        <f t="shared" si="48"/>
        <v>68.69918604651167</v>
      </c>
      <c r="U306" s="4">
        <v>0</v>
      </c>
      <c r="V306" s="4">
        <v>2241.6999999999998</v>
      </c>
      <c r="X306" s="4">
        <f t="shared" si="49"/>
        <v>206373.6</v>
      </c>
      <c r="Y306" s="15">
        <f t="shared" si="41"/>
        <v>7108.5</v>
      </c>
      <c r="Z306" s="11">
        <f>(Z304/100)/I316</f>
        <v>1.0859050736497546</v>
      </c>
      <c r="AA306" s="4">
        <v>15.583612283995301</v>
      </c>
    </row>
    <row r="307" spans="1:27" s="4" customFormat="1" x14ac:dyDescent="0.25">
      <c r="A307" s="61"/>
      <c r="B307" s="9"/>
      <c r="C307" s="6">
        <v>42153</v>
      </c>
      <c r="D307" s="4">
        <v>15.6</v>
      </c>
      <c r="E307" s="4">
        <v>11.7</v>
      </c>
      <c r="F307" s="4">
        <v>19.100000000000001</v>
      </c>
      <c r="G307" s="4">
        <f t="shared" si="45"/>
        <v>2455.6000000000008</v>
      </c>
      <c r="H307" s="15">
        <f t="shared" si="40"/>
        <v>74.099999999999994</v>
      </c>
      <c r="I307" s="20" t="s">
        <v>33</v>
      </c>
      <c r="J307" s="4">
        <v>0</v>
      </c>
      <c r="K307" s="4">
        <f t="shared" si="46"/>
        <v>449.89999999999981</v>
      </c>
      <c r="L307" s="4">
        <v>4.4000000000000004</v>
      </c>
      <c r="M307" s="4">
        <f t="shared" si="47"/>
        <v>362.79999999999984</v>
      </c>
      <c r="N307" s="7">
        <v>-4.4000000000000004</v>
      </c>
      <c r="O307" s="4">
        <f t="shared" si="42"/>
        <v>74.2</v>
      </c>
      <c r="P307" s="4">
        <v>263</v>
      </c>
      <c r="Q307" s="11">
        <f t="shared" si="50"/>
        <v>1.0569767441860465</v>
      </c>
      <c r="R307" s="8">
        <f t="shared" si="43"/>
        <v>4.6506976744186046</v>
      </c>
      <c r="S307" s="8">
        <f t="shared" si="44"/>
        <v>-4.6506976744186046</v>
      </c>
      <c r="T307" s="8">
        <f t="shared" si="48"/>
        <v>64.048488372093061</v>
      </c>
      <c r="U307" s="20" t="s">
        <v>34</v>
      </c>
      <c r="V307" s="4">
        <v>2266.4</v>
      </c>
      <c r="X307" s="4">
        <f t="shared" si="49"/>
        <v>208640</v>
      </c>
      <c r="Y307" s="15">
        <f t="shared" si="41"/>
        <v>9374.9</v>
      </c>
      <c r="Z307" s="20" t="s">
        <v>35</v>
      </c>
      <c r="AA307" s="4">
        <v>15.613382178962199</v>
      </c>
    </row>
    <row r="308" spans="1:27" s="4" customFormat="1" x14ac:dyDescent="0.25">
      <c r="A308" s="61"/>
      <c r="B308" s="9"/>
      <c r="C308" s="6">
        <v>42154</v>
      </c>
      <c r="D308" s="4">
        <v>15.7</v>
      </c>
      <c r="E308" s="4">
        <v>13.2</v>
      </c>
      <c r="F308" s="4">
        <v>19.3</v>
      </c>
      <c r="G308" s="4">
        <f t="shared" si="45"/>
        <v>2471.3000000000006</v>
      </c>
      <c r="H308" s="15">
        <f t="shared" si="40"/>
        <v>89.8</v>
      </c>
      <c r="I308" s="8">
        <f>AVERAGE(D303:D320)</f>
        <v>16.972222222222221</v>
      </c>
      <c r="J308" s="4">
        <v>0</v>
      </c>
      <c r="K308" s="4">
        <f t="shared" si="46"/>
        <v>449.89999999999981</v>
      </c>
      <c r="L308" s="4">
        <v>3.2</v>
      </c>
      <c r="M308" s="4">
        <f t="shared" si="47"/>
        <v>365.99999999999983</v>
      </c>
      <c r="N308" s="7">
        <v>-3.2</v>
      </c>
      <c r="O308" s="4">
        <f t="shared" si="42"/>
        <v>71</v>
      </c>
      <c r="P308" s="4">
        <v>264</v>
      </c>
      <c r="Q308" s="11">
        <f t="shared" si="50"/>
        <v>1.0383720930232558</v>
      </c>
      <c r="R308" s="8">
        <f t="shared" si="43"/>
        <v>3.322790697674419</v>
      </c>
      <c r="S308" s="8">
        <f t="shared" si="44"/>
        <v>-3.322790697674419</v>
      </c>
      <c r="T308" s="8">
        <f t="shared" si="48"/>
        <v>60.72569767441864</v>
      </c>
      <c r="U308" s="4">
        <v>7</v>
      </c>
      <c r="V308" s="4">
        <v>1711.6</v>
      </c>
      <c r="X308" s="4">
        <f t="shared" si="49"/>
        <v>210351.6</v>
      </c>
      <c r="Y308" s="15">
        <f t="shared" si="41"/>
        <v>11086.5</v>
      </c>
      <c r="Z308" s="4">
        <v>2</v>
      </c>
      <c r="AA308" s="4">
        <v>15.642082883723599</v>
      </c>
    </row>
    <row r="309" spans="1:27" s="4" customFormat="1" x14ac:dyDescent="0.25">
      <c r="A309" s="61"/>
      <c r="B309" s="9"/>
      <c r="C309" s="6">
        <v>42155</v>
      </c>
      <c r="D309" s="4">
        <v>15</v>
      </c>
      <c r="E309" s="4">
        <v>11.4</v>
      </c>
      <c r="F309" s="4">
        <v>17.899999999999999</v>
      </c>
      <c r="G309" s="4">
        <f t="shared" si="45"/>
        <v>2486.3000000000006</v>
      </c>
      <c r="H309" s="15">
        <f t="shared" si="40"/>
        <v>104.8</v>
      </c>
      <c r="I309" s="20" t="s">
        <v>36</v>
      </c>
      <c r="J309" s="4">
        <v>1.7</v>
      </c>
      <c r="K309" s="4">
        <f t="shared" si="46"/>
        <v>451.5999999999998</v>
      </c>
      <c r="L309" s="4">
        <v>1.3</v>
      </c>
      <c r="M309" s="4">
        <f t="shared" si="47"/>
        <v>367.29999999999984</v>
      </c>
      <c r="N309" s="4">
        <v>0.39999999999999991</v>
      </c>
      <c r="O309" s="4">
        <f t="shared" si="42"/>
        <v>71.400000000000006</v>
      </c>
      <c r="P309" s="4">
        <v>265</v>
      </c>
      <c r="Q309" s="11">
        <f t="shared" si="50"/>
        <v>1.019767441860465</v>
      </c>
      <c r="R309" s="8">
        <f t="shared" si="43"/>
        <v>1.3256976744186044</v>
      </c>
      <c r="S309" s="8">
        <f t="shared" si="44"/>
        <v>0.37430232558139553</v>
      </c>
      <c r="T309" s="8">
        <f t="shared" si="48"/>
        <v>61.100000000000037</v>
      </c>
      <c r="U309" s="20" t="s">
        <v>37</v>
      </c>
      <c r="V309" s="4">
        <v>657.1</v>
      </c>
      <c r="X309" s="4">
        <f t="shared" si="49"/>
        <v>211008.7</v>
      </c>
      <c r="Y309" s="15">
        <f t="shared" si="41"/>
        <v>11743.6</v>
      </c>
      <c r="AA309" s="4">
        <v>15.6696912404673</v>
      </c>
    </row>
    <row r="310" spans="1:27" s="4" customFormat="1" x14ac:dyDescent="0.25">
      <c r="A310" s="61"/>
      <c r="B310" s="9"/>
      <c r="C310" s="6">
        <v>42156</v>
      </c>
      <c r="D310" s="4">
        <v>13.9</v>
      </c>
      <c r="E310" s="4">
        <v>10.1</v>
      </c>
      <c r="F310" s="4">
        <v>18.600000000000001</v>
      </c>
      <c r="G310" s="4">
        <f t="shared" si="45"/>
        <v>2500.2000000000007</v>
      </c>
      <c r="H310" s="15">
        <f t="shared" si="40"/>
        <v>118.7</v>
      </c>
      <c r="I310" s="4">
        <v>0</v>
      </c>
      <c r="J310" s="4">
        <v>0</v>
      </c>
      <c r="K310" s="4">
        <f t="shared" si="46"/>
        <v>451.5999999999998</v>
      </c>
      <c r="L310" s="4">
        <v>2.6</v>
      </c>
      <c r="M310" s="4">
        <f t="shared" si="47"/>
        <v>369.89999999999986</v>
      </c>
      <c r="N310" s="7">
        <v>-2.6</v>
      </c>
      <c r="O310" s="4">
        <f t="shared" si="42"/>
        <v>68.800000000000011</v>
      </c>
      <c r="P310" s="4">
        <v>266</v>
      </c>
      <c r="Q310" s="11">
        <f t="shared" si="50"/>
        <v>1.0011627906976743</v>
      </c>
      <c r="R310" s="8">
        <f t="shared" si="43"/>
        <v>2.6030232558139534</v>
      </c>
      <c r="S310" s="8">
        <f t="shared" si="44"/>
        <v>-2.6030232558139534</v>
      </c>
      <c r="T310" s="8">
        <f t="shared" si="48"/>
        <v>58.496976744186085</v>
      </c>
      <c r="U310" s="8">
        <f>MIN(T303:T320)</f>
        <v>22.8951162790698</v>
      </c>
      <c r="V310" s="4">
        <v>1464.9</v>
      </c>
      <c r="X310" s="4">
        <f t="shared" si="49"/>
        <v>212473.60000000001</v>
      </c>
      <c r="Y310" s="15">
        <f t="shared" si="41"/>
        <v>13208.5</v>
      </c>
      <c r="AA310" s="4">
        <v>15.696184561548201</v>
      </c>
    </row>
    <row r="311" spans="1:27" s="4" customFormat="1" x14ac:dyDescent="0.25">
      <c r="A311" s="61"/>
      <c r="B311" s="9"/>
      <c r="C311" s="6">
        <v>42157</v>
      </c>
      <c r="D311" s="4">
        <v>17.899999999999999</v>
      </c>
      <c r="E311" s="4">
        <v>12.3</v>
      </c>
      <c r="F311" s="4">
        <v>22.6</v>
      </c>
      <c r="G311" s="4">
        <f t="shared" si="45"/>
        <v>2518.1000000000008</v>
      </c>
      <c r="H311" s="15">
        <f t="shared" si="40"/>
        <v>136.6</v>
      </c>
      <c r="I311" s="20" t="s">
        <v>38</v>
      </c>
      <c r="J311" s="4">
        <v>0</v>
      </c>
      <c r="K311" s="4">
        <f t="shared" si="46"/>
        <v>451.5999999999998</v>
      </c>
      <c r="L311" s="4">
        <v>4.9000000000000004</v>
      </c>
      <c r="M311" s="4">
        <f t="shared" si="47"/>
        <v>374.79999999999984</v>
      </c>
      <c r="N311" s="7">
        <v>-4.9000000000000004</v>
      </c>
      <c r="O311" s="4">
        <f t="shared" si="42"/>
        <v>63.900000000000013</v>
      </c>
      <c r="P311" s="4">
        <v>267</v>
      </c>
      <c r="Q311" s="11">
        <f t="shared" si="50"/>
        <v>0.98255813953488369</v>
      </c>
      <c r="R311" s="8">
        <f t="shared" si="43"/>
        <v>4.8145348837209303</v>
      </c>
      <c r="S311" s="8">
        <f t="shared" si="44"/>
        <v>-4.8145348837209303</v>
      </c>
      <c r="T311" s="8">
        <f t="shared" si="48"/>
        <v>53.682441860465154</v>
      </c>
      <c r="U311" s="20" t="s">
        <v>39</v>
      </c>
      <c r="V311" s="4">
        <v>2199.1</v>
      </c>
      <c r="X311" s="4">
        <f t="shared" si="49"/>
        <v>214672.7</v>
      </c>
      <c r="Y311" s="15">
        <f t="shared" si="41"/>
        <v>15407.6</v>
      </c>
      <c r="AA311" s="4">
        <v>15.7215406927068</v>
      </c>
    </row>
    <row r="312" spans="1:27" s="4" customFormat="1" x14ac:dyDescent="0.25">
      <c r="A312" s="61"/>
      <c r="B312" s="9"/>
      <c r="C312" s="6">
        <v>42158</v>
      </c>
      <c r="D312" s="4">
        <v>18.100000000000001</v>
      </c>
      <c r="E312" s="4">
        <v>15.3</v>
      </c>
      <c r="F312" s="4">
        <v>23</v>
      </c>
      <c r="G312" s="4">
        <f t="shared" si="45"/>
        <v>2536.2000000000007</v>
      </c>
      <c r="H312" s="15">
        <f t="shared" si="40"/>
        <v>154.69999999999999</v>
      </c>
      <c r="I312" s="4">
        <v>3</v>
      </c>
      <c r="J312" s="4">
        <v>0</v>
      </c>
      <c r="K312" s="4">
        <f t="shared" si="46"/>
        <v>451.5999999999998</v>
      </c>
      <c r="L312" s="4">
        <v>1.8</v>
      </c>
      <c r="M312" s="4">
        <f t="shared" si="47"/>
        <v>376.59999999999985</v>
      </c>
      <c r="N312" s="7">
        <v>-1.8</v>
      </c>
      <c r="O312" s="4">
        <f t="shared" si="42"/>
        <v>62.100000000000016</v>
      </c>
      <c r="P312" s="4">
        <v>268</v>
      </c>
      <c r="Q312" s="11">
        <f t="shared" si="50"/>
        <v>0.96395348837209294</v>
      </c>
      <c r="R312" s="8">
        <f t="shared" si="43"/>
        <v>1.7351162790697674</v>
      </c>
      <c r="S312" s="8">
        <f t="shared" si="44"/>
        <v>-1.7351162790697674</v>
      </c>
      <c r="T312" s="8">
        <f t="shared" si="48"/>
        <v>51.94732558139539</v>
      </c>
      <c r="U312" s="8">
        <f>MAX(T303:T320)</f>
        <v>78.571511627907029</v>
      </c>
      <c r="V312" s="4">
        <v>909.1</v>
      </c>
      <c r="X312" s="4">
        <f t="shared" si="49"/>
        <v>215581.80000000002</v>
      </c>
      <c r="Y312" s="15">
        <f t="shared" si="41"/>
        <v>16316.7</v>
      </c>
      <c r="AA312" s="4">
        <v>15.745738076679499</v>
      </c>
    </row>
    <row r="313" spans="1:27" s="4" customFormat="1" x14ac:dyDescent="0.25">
      <c r="A313" s="61"/>
      <c r="B313" s="9"/>
      <c r="C313" s="6">
        <v>42159</v>
      </c>
      <c r="D313" s="4">
        <v>21.4</v>
      </c>
      <c r="E313" s="4">
        <v>12.5</v>
      </c>
      <c r="F313" s="4">
        <v>30.1</v>
      </c>
      <c r="G313" s="4">
        <f t="shared" si="45"/>
        <v>2557.6000000000008</v>
      </c>
      <c r="H313" s="15">
        <f t="shared" si="40"/>
        <v>176.1</v>
      </c>
      <c r="I313" s="20" t="s">
        <v>40</v>
      </c>
      <c r="J313" s="4">
        <v>0</v>
      </c>
      <c r="K313" s="4">
        <f t="shared" si="46"/>
        <v>451.5999999999998</v>
      </c>
      <c r="L313" s="4">
        <v>5.9</v>
      </c>
      <c r="M313" s="4">
        <f t="shared" si="47"/>
        <v>382.49999999999983</v>
      </c>
      <c r="N313" s="7">
        <v>-5.9</v>
      </c>
      <c r="O313" s="4">
        <f t="shared" si="42"/>
        <v>56.200000000000017</v>
      </c>
      <c r="P313" s="4">
        <v>269</v>
      </c>
      <c r="Q313" s="11">
        <f t="shared" si="50"/>
        <v>0.94534883720930218</v>
      </c>
      <c r="R313" s="8">
        <f t="shared" si="43"/>
        <v>5.577558139534883</v>
      </c>
      <c r="S313" s="8">
        <f t="shared" si="44"/>
        <v>-5.577558139534883</v>
      </c>
      <c r="T313" s="8">
        <f t="shared" si="48"/>
        <v>46.369767441860503</v>
      </c>
      <c r="U313" s="20" t="s">
        <v>41</v>
      </c>
      <c r="V313" s="4">
        <v>2999.1</v>
      </c>
      <c r="X313" s="4">
        <f t="shared" si="49"/>
        <v>218580.90000000002</v>
      </c>
      <c r="Y313" s="15">
        <f t="shared" si="41"/>
        <v>19315.8</v>
      </c>
      <c r="AA313" s="4">
        <v>15.7687558168754</v>
      </c>
    </row>
    <row r="314" spans="1:27" s="4" customFormat="1" x14ac:dyDescent="0.25">
      <c r="A314" s="61"/>
      <c r="B314" s="9"/>
      <c r="C314" s="6">
        <v>42160</v>
      </c>
      <c r="D314" s="4">
        <v>23.9</v>
      </c>
      <c r="E314" s="4">
        <v>16.600000000000001</v>
      </c>
      <c r="F314" s="4">
        <v>31.6</v>
      </c>
      <c r="G314" s="4">
        <f t="shared" si="45"/>
        <v>2581.5000000000009</v>
      </c>
      <c r="H314" s="15">
        <f t="shared" si="40"/>
        <v>200</v>
      </c>
      <c r="I314" s="4">
        <v>0</v>
      </c>
      <c r="J314" s="4">
        <v>0</v>
      </c>
      <c r="K314" s="4">
        <f t="shared" si="46"/>
        <v>451.5999999999998</v>
      </c>
      <c r="L314" s="4">
        <v>5.6</v>
      </c>
      <c r="M314" s="4">
        <f t="shared" si="47"/>
        <v>388.09999999999985</v>
      </c>
      <c r="N314" s="7">
        <v>-5.6</v>
      </c>
      <c r="O314" s="4">
        <f t="shared" si="42"/>
        <v>50.600000000000016</v>
      </c>
      <c r="P314" s="4">
        <v>270</v>
      </c>
      <c r="Q314" s="11">
        <f t="shared" si="50"/>
        <v>0.92674418604651154</v>
      </c>
      <c r="R314" s="8">
        <f t="shared" si="43"/>
        <v>5.1897674418604645</v>
      </c>
      <c r="S314" s="8">
        <f t="shared" si="44"/>
        <v>-5.1897674418604645</v>
      </c>
      <c r="T314" s="8">
        <f t="shared" si="48"/>
        <v>41.180000000000035</v>
      </c>
      <c r="U314" s="11">
        <f>AVERAGE(T303:T320)</f>
        <v>50.385684754522003</v>
      </c>
      <c r="V314" s="4">
        <v>2280.6</v>
      </c>
      <c r="W314" s="15"/>
      <c r="X314" s="15">
        <f t="shared" si="49"/>
        <v>220861.50000000003</v>
      </c>
      <c r="Y314" s="15">
        <f t="shared" si="41"/>
        <v>21596.399999999998</v>
      </c>
      <c r="AA314" s="4">
        <v>15.7905737407762</v>
      </c>
    </row>
    <row r="315" spans="1:27" s="4" customFormat="1" ht="15" customHeight="1" x14ac:dyDescent="0.25">
      <c r="A315" s="61"/>
      <c r="B315" s="9"/>
      <c r="C315" s="6">
        <v>42161</v>
      </c>
      <c r="D315" s="4">
        <v>17.899999999999999</v>
      </c>
      <c r="E315" s="4">
        <v>14.6</v>
      </c>
      <c r="F315" s="4">
        <v>22.1</v>
      </c>
      <c r="G315" s="4">
        <f t="shared" si="45"/>
        <v>2599.400000000001</v>
      </c>
      <c r="H315" s="15">
        <f t="shared" si="40"/>
        <v>217.9</v>
      </c>
      <c r="I315" s="20" t="s">
        <v>42</v>
      </c>
      <c r="J315" s="4">
        <v>0</v>
      </c>
      <c r="K315" s="4">
        <f t="shared" si="46"/>
        <v>451.5999999999998</v>
      </c>
      <c r="L315" s="4">
        <v>3.9</v>
      </c>
      <c r="M315" s="4">
        <f t="shared" si="47"/>
        <v>391.99999999999983</v>
      </c>
      <c r="N315" s="7">
        <v>-3.9</v>
      </c>
      <c r="O315" s="4">
        <f t="shared" si="42"/>
        <v>46.700000000000017</v>
      </c>
      <c r="P315" s="4">
        <v>271</v>
      </c>
      <c r="Q315" s="11">
        <f t="shared" si="50"/>
        <v>0.9081395348837209</v>
      </c>
      <c r="R315" s="8">
        <f t="shared" si="43"/>
        <v>3.5417441860465115</v>
      </c>
      <c r="S315" s="8">
        <f t="shared" si="44"/>
        <v>-3.5417441860465115</v>
      </c>
      <c r="T315" s="8">
        <f t="shared" si="48"/>
        <v>37.638255813953521</v>
      </c>
      <c r="V315" s="4">
        <v>1668.4</v>
      </c>
      <c r="X315" s="4">
        <f t="shared" si="49"/>
        <v>222529.90000000002</v>
      </c>
      <c r="Y315" s="15">
        <f t="shared" si="41"/>
        <v>23264.799999999999</v>
      </c>
      <c r="AA315" s="4">
        <v>15.8111724627038</v>
      </c>
    </row>
    <row r="316" spans="1:27" s="4" customFormat="1" x14ac:dyDescent="0.25">
      <c r="A316" s="61"/>
      <c r="B316" s="9"/>
      <c r="C316" s="6">
        <v>42162</v>
      </c>
      <c r="D316" s="4">
        <v>17</v>
      </c>
      <c r="E316" s="4">
        <v>12.2</v>
      </c>
      <c r="F316" s="4">
        <v>21.6</v>
      </c>
      <c r="G316" s="4">
        <f t="shared" si="45"/>
        <v>2616.400000000001</v>
      </c>
      <c r="H316" s="15">
        <f t="shared" si="40"/>
        <v>234.9</v>
      </c>
      <c r="I316" s="4">
        <v>305.5</v>
      </c>
      <c r="J316" s="4">
        <v>0</v>
      </c>
      <c r="K316" s="4">
        <f t="shared" si="46"/>
        <v>451.5999999999998</v>
      </c>
      <c r="L316" s="4">
        <v>4.5999999999999996</v>
      </c>
      <c r="M316" s="4">
        <f t="shared" si="47"/>
        <v>396.59999999999985</v>
      </c>
      <c r="N316" s="7">
        <v>-4.5999999999999996</v>
      </c>
      <c r="O316" s="4">
        <f t="shared" si="42"/>
        <v>42.100000000000016</v>
      </c>
      <c r="P316" s="4">
        <v>272</v>
      </c>
      <c r="Q316" s="11">
        <f t="shared" si="50"/>
        <v>0.88953488372093015</v>
      </c>
      <c r="R316" s="8">
        <f t="shared" si="43"/>
        <v>4.0918604651162784</v>
      </c>
      <c r="S316" s="8">
        <f t="shared" si="44"/>
        <v>-4.0918604651162784</v>
      </c>
      <c r="T316" s="8">
        <f t="shared" si="48"/>
        <v>33.546395348837244</v>
      </c>
      <c r="U316" s="8">
        <f>(U314*100)/138.9</f>
        <v>36.274791039972648</v>
      </c>
      <c r="V316" s="4">
        <v>1898.7</v>
      </c>
      <c r="X316" s="4">
        <f t="shared" si="49"/>
        <v>224428.60000000003</v>
      </c>
      <c r="Y316" s="15">
        <f t="shared" si="41"/>
        <v>25163.5</v>
      </c>
      <c r="AA316" s="4">
        <v>15.830533445586701</v>
      </c>
    </row>
    <row r="317" spans="1:27" s="4" customFormat="1" x14ac:dyDescent="0.25">
      <c r="A317" s="61"/>
      <c r="B317" s="9"/>
      <c r="C317" s="6">
        <v>42163</v>
      </c>
      <c r="D317" s="4">
        <v>16.399999999999999</v>
      </c>
      <c r="E317" s="4">
        <v>11.7</v>
      </c>
      <c r="F317" s="4">
        <v>21.4</v>
      </c>
      <c r="G317" s="4">
        <f t="shared" si="45"/>
        <v>2632.8000000000011</v>
      </c>
      <c r="H317" s="15">
        <f t="shared" si="40"/>
        <v>251.3</v>
      </c>
      <c r="J317" s="4">
        <v>0</v>
      </c>
      <c r="K317" s="4">
        <f t="shared" si="46"/>
        <v>451.5999999999998</v>
      </c>
      <c r="L317" s="4">
        <v>6.3</v>
      </c>
      <c r="M317" s="4">
        <f t="shared" si="47"/>
        <v>402.89999999999986</v>
      </c>
      <c r="N317" s="7">
        <v>-6.3</v>
      </c>
      <c r="O317" s="4">
        <f t="shared" si="42"/>
        <v>35.800000000000018</v>
      </c>
      <c r="P317" s="4">
        <v>273</v>
      </c>
      <c r="Q317" s="11">
        <f t="shared" si="50"/>
        <v>0.87093023255813939</v>
      </c>
      <c r="R317" s="8">
        <f t="shared" si="43"/>
        <v>5.486860465116278</v>
      </c>
      <c r="S317" s="8">
        <f t="shared" si="44"/>
        <v>-5.486860465116278</v>
      </c>
      <c r="T317" s="8">
        <f t="shared" si="48"/>
        <v>28.059534883720964</v>
      </c>
      <c r="V317" s="4">
        <v>3083.2</v>
      </c>
      <c r="X317" s="4">
        <f t="shared" si="49"/>
        <v>227511.80000000005</v>
      </c>
      <c r="Y317" s="15">
        <f t="shared" si="41"/>
        <v>28246.7</v>
      </c>
      <c r="AA317" s="4">
        <v>15.848639061348299</v>
      </c>
    </row>
    <row r="318" spans="1:27" s="4" customFormat="1" x14ac:dyDescent="0.25">
      <c r="A318" s="61"/>
      <c r="B318" s="9"/>
      <c r="C318" s="6">
        <v>42164</v>
      </c>
      <c r="D318" s="4">
        <v>15.7</v>
      </c>
      <c r="E318" s="4">
        <v>11.4</v>
      </c>
      <c r="F318" s="4">
        <v>19.8</v>
      </c>
      <c r="G318" s="4">
        <f t="shared" si="45"/>
        <v>2648.5000000000009</v>
      </c>
      <c r="H318" s="15">
        <f t="shared" si="40"/>
        <v>267</v>
      </c>
      <c r="J318" s="4">
        <v>0</v>
      </c>
      <c r="K318" s="4">
        <f t="shared" si="46"/>
        <v>451.5999999999998</v>
      </c>
      <c r="L318" s="4">
        <v>5.0999999999999996</v>
      </c>
      <c r="M318" s="4">
        <f t="shared" si="47"/>
        <v>407.99999999999989</v>
      </c>
      <c r="N318" s="7">
        <v>-5.0999999999999996</v>
      </c>
      <c r="O318" s="4">
        <f t="shared" si="42"/>
        <v>30.700000000000017</v>
      </c>
      <c r="P318" s="4">
        <v>274</v>
      </c>
      <c r="Q318" s="11">
        <f t="shared" si="50"/>
        <v>0.85232558139534875</v>
      </c>
      <c r="R318" s="8">
        <f t="shared" si="43"/>
        <v>4.3468604651162783</v>
      </c>
      <c r="S318" s="8">
        <f t="shared" si="44"/>
        <v>-4.3468604651162783</v>
      </c>
      <c r="T318" s="8">
        <f t="shared" si="48"/>
        <v>23.712674418604685</v>
      </c>
      <c r="V318" s="4">
        <v>2487.6999999999998</v>
      </c>
      <c r="X318" s="4">
        <f t="shared" si="49"/>
        <v>229999.50000000006</v>
      </c>
      <c r="Y318" s="15">
        <f t="shared" si="41"/>
        <v>30734.400000000001</v>
      </c>
      <c r="AA318" s="4">
        <v>15.8654726495367</v>
      </c>
    </row>
    <row r="319" spans="1:27" s="4" customFormat="1" x14ac:dyDescent="0.25">
      <c r="A319" s="61"/>
      <c r="B319" s="9"/>
      <c r="C319" s="6">
        <v>42165</v>
      </c>
      <c r="D319" s="4">
        <v>16.7</v>
      </c>
      <c r="E319" s="4">
        <v>12.7</v>
      </c>
      <c r="F319" s="4">
        <v>20</v>
      </c>
      <c r="G319" s="4">
        <f t="shared" si="45"/>
        <v>2665.2000000000007</v>
      </c>
      <c r="H319" s="15">
        <f t="shared" si="40"/>
        <v>283.7</v>
      </c>
      <c r="J319" s="4">
        <v>1.1000000000000001</v>
      </c>
      <c r="K319" s="4">
        <f t="shared" si="46"/>
        <v>452.69999999999982</v>
      </c>
      <c r="L319" s="4">
        <v>2.2999999999999998</v>
      </c>
      <c r="M319" s="4">
        <f t="shared" si="47"/>
        <v>410.2999999999999</v>
      </c>
      <c r="N319" s="7">
        <v>-1.1999999999999997</v>
      </c>
      <c r="O319" s="4">
        <f t="shared" si="42"/>
        <v>29.500000000000018</v>
      </c>
      <c r="P319" s="4">
        <v>275</v>
      </c>
      <c r="Q319" s="11">
        <f t="shared" si="50"/>
        <v>0.83372093023255811</v>
      </c>
      <c r="R319" s="8">
        <f t="shared" si="43"/>
        <v>1.9175581395348835</v>
      </c>
      <c r="S319" s="8">
        <f t="shared" si="44"/>
        <v>-0.81755813953488343</v>
      </c>
      <c r="T319" s="8">
        <f t="shared" si="48"/>
        <v>22.8951162790698</v>
      </c>
      <c r="V319" s="4">
        <v>774.7</v>
      </c>
      <c r="X319" s="4">
        <f t="shared" si="49"/>
        <v>230774.20000000007</v>
      </c>
      <c r="Y319" s="15">
        <f t="shared" si="41"/>
        <v>31509.100000000002</v>
      </c>
      <c r="AA319" s="4">
        <v>15.881018573813099</v>
      </c>
    </row>
    <row r="320" spans="1:27" s="29" customFormat="1" ht="15.75" thickBot="1" x14ac:dyDescent="0.3">
      <c r="A320" s="65"/>
      <c r="B320" s="27">
        <v>600</v>
      </c>
      <c r="C320" s="28">
        <v>42166</v>
      </c>
      <c r="D320" s="29">
        <v>21.8</v>
      </c>
      <c r="E320" s="29">
        <v>15.8</v>
      </c>
      <c r="F320" s="29">
        <v>28.5</v>
      </c>
      <c r="G320" s="29">
        <f t="shared" si="45"/>
        <v>2687.0000000000009</v>
      </c>
      <c r="H320" s="29">
        <f t="shared" si="40"/>
        <v>305.5</v>
      </c>
      <c r="J320" s="29">
        <v>8.8000000000000007</v>
      </c>
      <c r="K320" s="29">
        <f t="shared" si="46"/>
        <v>461.49999999999983</v>
      </c>
      <c r="L320" s="29">
        <v>3.6</v>
      </c>
      <c r="M320" s="29">
        <f t="shared" si="47"/>
        <v>413.89999999999992</v>
      </c>
      <c r="N320" s="29">
        <v>5.2000000000000011</v>
      </c>
      <c r="O320" s="29">
        <f t="shared" si="42"/>
        <v>34.700000000000017</v>
      </c>
      <c r="P320" s="29">
        <v>276</v>
      </c>
      <c r="Q320" s="32">
        <f t="shared" si="50"/>
        <v>0.81511627906976736</v>
      </c>
      <c r="R320" s="31">
        <f t="shared" si="43"/>
        <v>2.9344186046511624</v>
      </c>
      <c r="S320" s="31">
        <f t="shared" si="44"/>
        <v>5.8655813953488387</v>
      </c>
      <c r="T320" s="26">
        <f t="shared" si="48"/>
        <v>28.760697674418637</v>
      </c>
      <c r="V320" s="29">
        <v>1665.3</v>
      </c>
      <c r="X320" s="29">
        <f t="shared" si="49"/>
        <v>232439.50000000006</v>
      </c>
      <c r="Y320" s="29">
        <f t="shared" si="41"/>
        <v>33174.400000000001</v>
      </c>
      <c r="AA320" s="29">
        <v>15.8952622759194</v>
      </c>
    </row>
    <row r="321" spans="1:27" s="4" customFormat="1" ht="15" customHeight="1" x14ac:dyDescent="0.25">
      <c r="A321" s="62">
        <v>1000</v>
      </c>
      <c r="B321" s="9"/>
      <c r="C321" s="6">
        <v>42167</v>
      </c>
      <c r="D321" s="4">
        <v>19.2</v>
      </c>
      <c r="E321" s="4">
        <v>17.2</v>
      </c>
      <c r="F321" s="4">
        <v>22.8</v>
      </c>
      <c r="G321" s="4">
        <f t="shared" si="45"/>
        <v>2706.2000000000007</v>
      </c>
      <c r="H321" s="15">
        <f>D321</f>
        <v>19.2</v>
      </c>
      <c r="I321" s="21" t="s">
        <v>27</v>
      </c>
      <c r="J321" s="4">
        <v>0.3</v>
      </c>
      <c r="K321" s="4">
        <f t="shared" si="46"/>
        <v>461.79999999999984</v>
      </c>
      <c r="L321" s="4">
        <v>2.4</v>
      </c>
      <c r="M321" s="4">
        <f t="shared" si="47"/>
        <v>416.2999999999999</v>
      </c>
      <c r="N321" s="7">
        <v>-2.1</v>
      </c>
      <c r="O321" s="4">
        <f t="shared" si="42"/>
        <v>32.600000000000016</v>
      </c>
      <c r="P321" s="4">
        <v>277</v>
      </c>
      <c r="Q321" s="11">
        <f t="shared" si="50"/>
        <v>0.7965116279069766</v>
      </c>
      <c r="R321" s="8">
        <f t="shared" si="43"/>
        <v>1.9116279069767437</v>
      </c>
      <c r="S321" s="8">
        <f t="shared" si="44"/>
        <v>-1.6116279069767436</v>
      </c>
      <c r="T321" s="8">
        <f t="shared" si="48"/>
        <v>27.149069767441894</v>
      </c>
      <c r="U321" s="21" t="s">
        <v>28</v>
      </c>
      <c r="V321" s="4">
        <v>1045.0999999999999</v>
      </c>
      <c r="X321" s="4">
        <f t="shared" si="49"/>
        <v>233484.60000000006</v>
      </c>
      <c r="Y321" s="15">
        <f>V321</f>
        <v>1045.0999999999999</v>
      </c>
      <c r="Z321" s="21" t="s">
        <v>29</v>
      </c>
      <c r="AA321" s="4">
        <v>15.908190326753701</v>
      </c>
    </row>
    <row r="322" spans="1:27" s="4" customFormat="1" x14ac:dyDescent="0.25">
      <c r="A322" s="54"/>
      <c r="B322" s="9"/>
      <c r="C322" s="6">
        <v>42168</v>
      </c>
      <c r="D322" s="4">
        <v>19.100000000000001</v>
      </c>
      <c r="E322" s="4">
        <v>14.4</v>
      </c>
      <c r="F322" s="4">
        <v>24.3</v>
      </c>
      <c r="G322" s="4">
        <f t="shared" si="45"/>
        <v>2725.3000000000006</v>
      </c>
      <c r="H322" s="15">
        <f t="shared" ref="H322:H345" si="51">H321+D322</f>
        <v>38.299999999999997</v>
      </c>
      <c r="I322" s="4">
        <f>MIN(E321:E341)</f>
        <v>8.9</v>
      </c>
      <c r="J322" s="4">
        <v>0.1</v>
      </c>
      <c r="K322" s="4">
        <f t="shared" si="46"/>
        <v>461.89999999999986</v>
      </c>
      <c r="L322" s="4">
        <v>3.9</v>
      </c>
      <c r="M322" s="4">
        <f t="shared" si="47"/>
        <v>420.19999999999987</v>
      </c>
      <c r="N322" s="7">
        <v>-3.8</v>
      </c>
      <c r="O322" s="4">
        <f t="shared" si="42"/>
        <v>28.800000000000015</v>
      </c>
      <c r="P322" s="4">
        <v>278</v>
      </c>
      <c r="Q322" s="11">
        <f t="shared" si="50"/>
        <v>0.77790697674418596</v>
      </c>
      <c r="R322" s="8">
        <f t="shared" si="43"/>
        <v>3.0338372093023254</v>
      </c>
      <c r="S322" s="8">
        <f t="shared" si="44"/>
        <v>-2.9338372093023253</v>
      </c>
      <c r="T322" s="8">
        <f t="shared" si="48"/>
        <v>24.215232558139569</v>
      </c>
      <c r="U322" s="4">
        <v>21</v>
      </c>
      <c r="V322" s="4">
        <v>2014.2</v>
      </c>
      <c r="X322" s="4">
        <f t="shared" si="49"/>
        <v>235498.80000000008</v>
      </c>
      <c r="Y322" s="15">
        <f t="shared" ref="Y322:Y345" si="52">Y321+V322</f>
        <v>3059.3</v>
      </c>
      <c r="Z322" s="4">
        <v>43766.700000000004</v>
      </c>
      <c r="AA322" s="4">
        <v>15.9197904741906</v>
      </c>
    </row>
    <row r="323" spans="1:27" s="4" customFormat="1" x14ac:dyDescent="0.25">
      <c r="A323" s="54"/>
      <c r="B323" s="9"/>
      <c r="C323" s="6">
        <v>42169</v>
      </c>
      <c r="D323" s="4">
        <v>16.8</v>
      </c>
      <c r="E323" s="4">
        <v>14.8</v>
      </c>
      <c r="F323" s="4">
        <v>18.3</v>
      </c>
      <c r="G323" s="4">
        <f t="shared" si="45"/>
        <v>2742.1000000000008</v>
      </c>
      <c r="H323" s="15">
        <f t="shared" si="51"/>
        <v>55.099999999999994</v>
      </c>
      <c r="I323" s="21" t="s">
        <v>30</v>
      </c>
      <c r="J323" s="4">
        <v>1.1000000000000001</v>
      </c>
      <c r="K323" s="4">
        <f t="shared" si="46"/>
        <v>462.99999999999989</v>
      </c>
      <c r="L323" s="4">
        <v>2.2000000000000002</v>
      </c>
      <c r="M323" s="4">
        <f t="shared" si="47"/>
        <v>422.39999999999986</v>
      </c>
      <c r="N323" s="7">
        <v>-1.1000000000000001</v>
      </c>
      <c r="O323" s="4">
        <f t="shared" si="42"/>
        <v>27.700000000000014</v>
      </c>
      <c r="P323" s="4">
        <v>279</v>
      </c>
      <c r="Q323" s="11">
        <f t="shared" si="50"/>
        <v>0.75930232558139532</v>
      </c>
      <c r="R323" s="8">
        <f t="shared" si="43"/>
        <v>1.6704651162790698</v>
      </c>
      <c r="S323" s="8">
        <f t="shared" si="44"/>
        <v>-0.57046511627906971</v>
      </c>
      <c r="T323" s="8">
        <f t="shared" si="48"/>
        <v>23.644767441860498</v>
      </c>
      <c r="U323" s="21" t="s">
        <v>31</v>
      </c>
      <c r="V323" s="4">
        <v>1129.0999999999999</v>
      </c>
      <c r="X323" s="4">
        <f t="shared" si="49"/>
        <v>236627.90000000008</v>
      </c>
      <c r="Y323" s="15">
        <f t="shared" si="52"/>
        <v>4188.3999999999996</v>
      </c>
      <c r="Z323" s="21" t="s">
        <v>32</v>
      </c>
      <c r="AA323" s="4">
        <v>15.9300516873031</v>
      </c>
    </row>
    <row r="324" spans="1:27" s="4" customFormat="1" x14ac:dyDescent="0.25">
      <c r="A324" s="54"/>
      <c r="B324" s="9"/>
      <c r="C324" s="6">
        <v>42170</v>
      </c>
      <c r="D324" s="4">
        <v>16.899999999999999</v>
      </c>
      <c r="E324" s="4">
        <v>13.9</v>
      </c>
      <c r="F324" s="4">
        <v>19.399999999999999</v>
      </c>
      <c r="G324" s="4">
        <f t="shared" si="45"/>
        <v>2759.0000000000009</v>
      </c>
      <c r="H324" s="15">
        <f t="shared" si="51"/>
        <v>72</v>
      </c>
      <c r="I324" s="4">
        <f>MAX(F321:F341)</f>
        <v>36</v>
      </c>
      <c r="J324" s="4">
        <v>0.2</v>
      </c>
      <c r="K324" s="4">
        <f t="shared" si="46"/>
        <v>463.19999999999987</v>
      </c>
      <c r="L324" s="4">
        <v>1</v>
      </c>
      <c r="M324" s="4">
        <f t="shared" si="47"/>
        <v>423.39999999999986</v>
      </c>
      <c r="N324" s="7">
        <v>-0.8</v>
      </c>
      <c r="O324" s="4">
        <f t="shared" si="42"/>
        <v>26.900000000000013</v>
      </c>
      <c r="P324" s="4">
        <v>280</v>
      </c>
      <c r="Q324" s="11">
        <f t="shared" si="50"/>
        <v>0.74069767441860457</v>
      </c>
      <c r="R324" s="8">
        <f t="shared" si="43"/>
        <v>0.74069767441860457</v>
      </c>
      <c r="S324" s="8">
        <f t="shared" si="44"/>
        <v>-0.5406976744186045</v>
      </c>
      <c r="T324" s="8">
        <f t="shared" si="48"/>
        <v>23.104069767441892</v>
      </c>
      <c r="U324" s="4">
        <v>8</v>
      </c>
      <c r="V324" s="4">
        <v>681.1</v>
      </c>
      <c r="X324" s="4">
        <f t="shared" si="49"/>
        <v>237309.00000000009</v>
      </c>
      <c r="Y324" s="15">
        <f t="shared" si="52"/>
        <v>4869.5</v>
      </c>
      <c r="Z324" s="11">
        <f>(Z322/100)/I334</f>
        <v>1.0495611510791367</v>
      </c>
      <c r="AA324" s="4">
        <v>15.938964196657301</v>
      </c>
    </row>
    <row r="325" spans="1:27" s="4" customFormat="1" x14ac:dyDescent="0.25">
      <c r="A325" s="54"/>
      <c r="B325" s="9"/>
      <c r="C325" s="6">
        <v>42171</v>
      </c>
      <c r="D325" s="4">
        <v>17.100000000000001</v>
      </c>
      <c r="E325" s="4">
        <v>13</v>
      </c>
      <c r="F325" s="4">
        <v>21.7</v>
      </c>
      <c r="G325" s="4">
        <f t="shared" si="45"/>
        <v>2776.1000000000008</v>
      </c>
      <c r="H325" s="15">
        <f t="shared" si="51"/>
        <v>89.1</v>
      </c>
      <c r="I325" s="21" t="s">
        <v>33</v>
      </c>
      <c r="J325" s="4">
        <v>0</v>
      </c>
      <c r="K325" s="4">
        <f t="shared" si="46"/>
        <v>463.19999999999987</v>
      </c>
      <c r="L325" s="4">
        <v>4.5999999999999996</v>
      </c>
      <c r="M325" s="4">
        <f t="shared" si="47"/>
        <v>427.99999999999989</v>
      </c>
      <c r="N325" s="7">
        <v>-4.5999999999999996</v>
      </c>
      <c r="O325" s="4">
        <f t="shared" si="42"/>
        <v>22.300000000000011</v>
      </c>
      <c r="P325" s="4">
        <v>281</v>
      </c>
      <c r="Q325" s="11">
        <f t="shared" si="50"/>
        <v>0.72209302325581393</v>
      </c>
      <c r="R325" s="8">
        <f t="shared" si="43"/>
        <v>3.3216279069767438</v>
      </c>
      <c r="S325" s="8">
        <f t="shared" si="44"/>
        <v>-3.3216279069767438</v>
      </c>
      <c r="T325" s="8">
        <f t="shared" si="48"/>
        <v>19.782441860465148</v>
      </c>
      <c r="U325" s="21" t="s">
        <v>34</v>
      </c>
      <c r="V325" s="4">
        <v>2300.3000000000002</v>
      </c>
      <c r="X325" s="4">
        <f t="shared" si="49"/>
        <v>239609.30000000008</v>
      </c>
      <c r="Y325" s="15">
        <f t="shared" si="52"/>
        <v>7169.8</v>
      </c>
      <c r="Z325" s="21" t="s">
        <v>35</v>
      </c>
      <c r="AA325" s="4">
        <v>15.9465195303799</v>
      </c>
    </row>
    <row r="326" spans="1:27" s="4" customFormat="1" x14ac:dyDescent="0.25">
      <c r="A326" s="54"/>
      <c r="B326" s="9"/>
      <c r="C326" s="6">
        <v>42172</v>
      </c>
      <c r="D326" s="4">
        <v>17.7</v>
      </c>
      <c r="E326" s="4">
        <v>10.4</v>
      </c>
      <c r="F326" s="4">
        <v>24.1</v>
      </c>
      <c r="G326" s="4">
        <f t="shared" si="45"/>
        <v>2793.8000000000006</v>
      </c>
      <c r="H326" s="15">
        <f t="shared" si="51"/>
        <v>106.8</v>
      </c>
      <c r="I326" s="8">
        <f>AVERAGE(D321:D341)</f>
        <v>19.857142857142854</v>
      </c>
      <c r="J326" s="4">
        <v>0</v>
      </c>
      <c r="K326" s="4">
        <f t="shared" si="46"/>
        <v>463.19999999999987</v>
      </c>
      <c r="L326" s="4">
        <v>4.7</v>
      </c>
      <c r="M326" s="4">
        <f t="shared" si="47"/>
        <v>432.69999999999987</v>
      </c>
      <c r="N326" s="7">
        <v>-4.7</v>
      </c>
      <c r="O326" s="4">
        <f t="shared" si="42"/>
        <v>17.600000000000012</v>
      </c>
      <c r="P326" s="4">
        <v>282</v>
      </c>
      <c r="Q326" s="11">
        <f t="shared" si="50"/>
        <v>0.70348837209302317</v>
      </c>
      <c r="R326" s="8">
        <f t="shared" si="43"/>
        <v>3.3063953488372091</v>
      </c>
      <c r="S326" s="8">
        <f t="shared" si="44"/>
        <v>-3.3063953488372091</v>
      </c>
      <c r="T326" s="8">
        <f t="shared" si="48"/>
        <v>16.476046511627938</v>
      </c>
      <c r="U326" s="4">
        <v>13</v>
      </c>
      <c r="V326" s="4">
        <v>2422.4</v>
      </c>
      <c r="X326" s="4">
        <f t="shared" si="49"/>
        <v>242031.70000000007</v>
      </c>
      <c r="Y326" s="15">
        <f t="shared" si="52"/>
        <v>9592.2000000000007</v>
      </c>
      <c r="Z326" s="4">
        <v>1</v>
      </c>
      <c r="AA326" s="4">
        <v>15.9527105457221</v>
      </c>
    </row>
    <row r="327" spans="1:27" s="4" customFormat="1" x14ac:dyDescent="0.25">
      <c r="A327" s="54"/>
      <c r="B327" s="9"/>
      <c r="C327" s="6">
        <v>42173</v>
      </c>
      <c r="D327" s="4">
        <v>17.8</v>
      </c>
      <c r="E327" s="4">
        <v>14.1</v>
      </c>
      <c r="F327" s="4">
        <v>21.5</v>
      </c>
      <c r="G327" s="4">
        <f t="shared" si="45"/>
        <v>2811.6000000000008</v>
      </c>
      <c r="H327" s="15">
        <f t="shared" si="51"/>
        <v>124.6</v>
      </c>
      <c r="I327" s="21" t="s">
        <v>36</v>
      </c>
      <c r="J327" s="4">
        <v>0.8</v>
      </c>
      <c r="K327" s="4">
        <f t="shared" si="46"/>
        <v>463.99999999999989</v>
      </c>
      <c r="L327" s="4">
        <v>2</v>
      </c>
      <c r="M327" s="4">
        <f t="shared" si="47"/>
        <v>434.69999999999987</v>
      </c>
      <c r="N327" s="7">
        <v>-1.2</v>
      </c>
      <c r="O327" s="4">
        <f t="shared" si="42"/>
        <v>16.400000000000013</v>
      </c>
      <c r="P327" s="4">
        <v>283</v>
      </c>
      <c r="Q327" s="11">
        <f t="shared" si="50"/>
        <v>0.68488372093023253</v>
      </c>
      <c r="R327" s="8">
        <f t="shared" si="43"/>
        <v>1.3697674418604651</v>
      </c>
      <c r="S327" s="8">
        <f t="shared" si="44"/>
        <v>-0.56976744186046502</v>
      </c>
      <c r="T327" s="8">
        <f t="shared" si="48"/>
        <v>15.906279069767473</v>
      </c>
      <c r="U327" s="21" t="s">
        <v>37</v>
      </c>
      <c r="V327" s="4">
        <v>919.8</v>
      </c>
      <c r="X327" s="4">
        <f t="shared" si="49"/>
        <v>242951.50000000006</v>
      </c>
      <c r="Y327" s="15">
        <f t="shared" si="52"/>
        <v>10512</v>
      </c>
      <c r="AA327" s="4">
        <v>15.9575314558762</v>
      </c>
    </row>
    <row r="328" spans="1:27" s="4" customFormat="1" x14ac:dyDescent="0.25">
      <c r="A328" s="54"/>
      <c r="B328" s="9"/>
      <c r="C328" s="6">
        <v>42174</v>
      </c>
      <c r="D328" s="4">
        <v>17.2</v>
      </c>
      <c r="E328" s="4">
        <v>12.3</v>
      </c>
      <c r="F328" s="4">
        <v>22.4</v>
      </c>
      <c r="G328" s="4">
        <f t="shared" si="45"/>
        <v>2828.8000000000006</v>
      </c>
      <c r="H328" s="15">
        <f t="shared" si="51"/>
        <v>141.79999999999998</v>
      </c>
      <c r="I328" s="4">
        <v>0</v>
      </c>
      <c r="J328" s="4">
        <v>0</v>
      </c>
      <c r="K328" s="4">
        <f t="shared" si="46"/>
        <v>463.99999999999989</v>
      </c>
      <c r="L328" s="4">
        <v>4.8</v>
      </c>
      <c r="M328" s="4">
        <f t="shared" si="47"/>
        <v>439.49999999999989</v>
      </c>
      <c r="N328" s="7">
        <v>-4.8</v>
      </c>
      <c r="O328" s="4">
        <f t="shared" si="42"/>
        <v>11.600000000000012</v>
      </c>
      <c r="P328" s="4">
        <v>284</v>
      </c>
      <c r="Q328" s="11">
        <f t="shared" si="50"/>
        <v>0.66627906976744189</v>
      </c>
      <c r="R328" s="8">
        <f t="shared" si="43"/>
        <v>3.1981395348837212</v>
      </c>
      <c r="S328" s="8">
        <f t="shared" si="44"/>
        <v>-3.1981395348837212</v>
      </c>
      <c r="T328" s="8">
        <f t="shared" si="48"/>
        <v>12.708139534883752</v>
      </c>
      <c r="U328" s="8">
        <f>MIN(T321:T341)</f>
        <v>0</v>
      </c>
      <c r="V328" s="4">
        <v>2545.6999999999998</v>
      </c>
      <c r="X328" s="4">
        <f t="shared" si="49"/>
        <v>245497.20000000007</v>
      </c>
      <c r="Y328" s="15">
        <f t="shared" si="52"/>
        <v>13057.7</v>
      </c>
      <c r="AA328" s="4">
        <v>15.9609778518367</v>
      </c>
    </row>
    <row r="329" spans="1:27" s="4" customFormat="1" x14ac:dyDescent="0.25">
      <c r="A329" s="54"/>
      <c r="B329" s="9"/>
      <c r="C329" s="6">
        <v>42175</v>
      </c>
      <c r="D329" s="4">
        <v>17.5</v>
      </c>
      <c r="E329" s="4">
        <v>10.7</v>
      </c>
      <c r="F329" s="4">
        <v>22.3</v>
      </c>
      <c r="G329" s="4">
        <f t="shared" si="45"/>
        <v>2846.3000000000006</v>
      </c>
      <c r="H329" s="15">
        <f t="shared" si="51"/>
        <v>159.29999999999998</v>
      </c>
      <c r="I329" s="21" t="s">
        <v>38</v>
      </c>
      <c r="J329" s="4">
        <v>0</v>
      </c>
      <c r="K329" s="4">
        <f t="shared" si="46"/>
        <v>463.99999999999989</v>
      </c>
      <c r="L329" s="4">
        <v>3.6</v>
      </c>
      <c r="M329" s="4">
        <f t="shared" si="47"/>
        <v>443.09999999999991</v>
      </c>
      <c r="N329" s="7">
        <v>-3.6</v>
      </c>
      <c r="O329" s="4">
        <f t="shared" si="42"/>
        <v>8.0000000000000124</v>
      </c>
      <c r="P329" s="4">
        <v>285</v>
      </c>
      <c r="Q329" s="11">
        <f t="shared" si="50"/>
        <v>0.64767441860465114</v>
      </c>
      <c r="R329" s="8">
        <f t="shared" si="43"/>
        <v>2.331627906976744</v>
      </c>
      <c r="S329" s="8">
        <f t="shared" si="44"/>
        <v>-2.331627906976744</v>
      </c>
      <c r="T329" s="8">
        <f t="shared" si="48"/>
        <v>10.376511627907009</v>
      </c>
      <c r="U329" s="21" t="s">
        <v>39</v>
      </c>
      <c r="V329" s="4">
        <v>2035.4</v>
      </c>
      <c r="X329" s="4">
        <f t="shared" si="49"/>
        <v>247532.60000000006</v>
      </c>
      <c r="Y329" s="15">
        <f t="shared" si="52"/>
        <v>15093.1</v>
      </c>
      <c r="AA329" s="4">
        <v>15.963046719130899</v>
      </c>
    </row>
    <row r="330" spans="1:27" s="4" customFormat="1" x14ac:dyDescent="0.25">
      <c r="A330" s="54"/>
      <c r="B330" s="9"/>
      <c r="C330" s="6">
        <v>42176</v>
      </c>
      <c r="D330" s="4">
        <v>19.100000000000001</v>
      </c>
      <c r="E330" s="4">
        <v>15.4</v>
      </c>
      <c r="F330" s="4">
        <v>23.4</v>
      </c>
      <c r="G330" s="4">
        <f t="shared" si="45"/>
        <v>2865.4000000000005</v>
      </c>
      <c r="H330" s="15">
        <f t="shared" si="51"/>
        <v>178.39999999999998</v>
      </c>
      <c r="I330" s="4">
        <v>9</v>
      </c>
      <c r="J330" s="4">
        <v>0</v>
      </c>
      <c r="K330" s="4">
        <f t="shared" si="46"/>
        <v>463.99999999999989</v>
      </c>
      <c r="L330" s="4">
        <v>4.2</v>
      </c>
      <c r="M330" s="4">
        <f t="shared" si="47"/>
        <v>447.2999999999999</v>
      </c>
      <c r="N330" s="7">
        <v>-4.2</v>
      </c>
      <c r="O330" s="4">
        <f t="shared" si="42"/>
        <v>3.8000000000000123</v>
      </c>
      <c r="P330" s="4">
        <v>286</v>
      </c>
      <c r="Q330" s="11">
        <f t="shared" si="50"/>
        <v>0.62906976744186038</v>
      </c>
      <c r="R330" s="8">
        <f t="shared" si="43"/>
        <v>2.6420930232558137</v>
      </c>
      <c r="S330" s="8">
        <f t="shared" si="44"/>
        <v>-2.6420930232558137</v>
      </c>
      <c r="T330" s="8">
        <f t="shared" si="48"/>
        <v>7.7344186046511947</v>
      </c>
      <c r="U330" s="8">
        <f>MAX(T321:T341)</f>
        <v>27.149069767441894</v>
      </c>
      <c r="V330" s="4">
        <v>2211.9</v>
      </c>
      <c r="X330" s="4">
        <f t="shared" si="49"/>
        <v>249744.50000000006</v>
      </c>
      <c r="Y330" s="15">
        <f t="shared" si="52"/>
        <v>17305</v>
      </c>
      <c r="AA330" s="4">
        <v>15.963736449289</v>
      </c>
    </row>
    <row r="331" spans="1:27" s="4" customFormat="1" x14ac:dyDescent="0.25">
      <c r="A331" s="54"/>
      <c r="B331" s="9"/>
      <c r="C331" s="6">
        <v>42177</v>
      </c>
      <c r="D331" s="4">
        <v>16.100000000000001</v>
      </c>
      <c r="E331" s="4">
        <v>11.3</v>
      </c>
      <c r="F331" s="4">
        <v>23.6</v>
      </c>
      <c r="G331" s="4">
        <f t="shared" si="45"/>
        <v>2881.5000000000005</v>
      </c>
      <c r="H331" s="15">
        <f t="shared" si="51"/>
        <v>194.49999999999997</v>
      </c>
      <c r="I331" s="21" t="s">
        <v>40</v>
      </c>
      <c r="J331" s="4">
        <v>0.3</v>
      </c>
      <c r="K331" s="4">
        <f t="shared" si="46"/>
        <v>464.2999999999999</v>
      </c>
      <c r="L331" s="4">
        <v>3</v>
      </c>
      <c r="M331" s="4">
        <f t="shared" si="47"/>
        <v>450.2999999999999</v>
      </c>
      <c r="N331" s="7">
        <v>-2.7</v>
      </c>
      <c r="O331" s="4">
        <f t="shared" si="42"/>
        <v>1.1000000000000121</v>
      </c>
      <c r="P331" s="4">
        <v>287</v>
      </c>
      <c r="Q331" s="11">
        <f t="shared" si="50"/>
        <v>0.61046511627906974</v>
      </c>
      <c r="R331" s="8">
        <f t="shared" si="43"/>
        <v>1.8313953488372092</v>
      </c>
      <c r="S331" s="8">
        <f t="shared" si="44"/>
        <v>-1.5313953488372092</v>
      </c>
      <c r="T331" s="8">
        <f t="shared" si="48"/>
        <v>6.2030232558139851</v>
      </c>
      <c r="U331" s="21" t="s">
        <v>41</v>
      </c>
      <c r="V331" s="4">
        <v>1437.5</v>
      </c>
      <c r="X331" s="4">
        <f t="shared" si="49"/>
        <v>251182.00000000006</v>
      </c>
      <c r="Y331" s="15">
        <f t="shared" si="52"/>
        <v>18742.5</v>
      </c>
      <c r="AA331" s="4">
        <v>15.9630468459601</v>
      </c>
    </row>
    <row r="332" spans="1:27" s="4" customFormat="1" x14ac:dyDescent="0.25">
      <c r="A332" s="54"/>
      <c r="B332" s="9"/>
      <c r="C332" s="6">
        <v>42178</v>
      </c>
      <c r="D332" s="4">
        <v>14.8</v>
      </c>
      <c r="E332" s="4">
        <v>10.3</v>
      </c>
      <c r="F332" s="4">
        <v>19.600000000000001</v>
      </c>
      <c r="G332" s="4">
        <f t="shared" si="45"/>
        <v>2896.3000000000006</v>
      </c>
      <c r="H332" s="15">
        <f t="shared" si="51"/>
        <v>209.29999999999998</v>
      </c>
      <c r="I332" s="4">
        <v>0</v>
      </c>
      <c r="J332" s="4">
        <v>0</v>
      </c>
      <c r="K332" s="4">
        <f t="shared" si="46"/>
        <v>464.2999999999999</v>
      </c>
      <c r="L332" s="4">
        <v>3.6</v>
      </c>
      <c r="M332" s="4">
        <f t="shared" si="47"/>
        <v>453.89999999999992</v>
      </c>
      <c r="N332" s="7">
        <v>-3.6</v>
      </c>
      <c r="O332" s="4">
        <v>0</v>
      </c>
      <c r="P332" s="4">
        <v>288</v>
      </c>
      <c r="Q332" s="11">
        <f t="shared" si="50"/>
        <v>0.59186046511627899</v>
      </c>
      <c r="R332" s="8">
        <f t="shared" si="43"/>
        <v>2.1306976744186046</v>
      </c>
      <c r="S332" s="8">
        <f t="shared" si="44"/>
        <v>-2.1306976744186046</v>
      </c>
      <c r="T332" s="8">
        <f t="shared" si="48"/>
        <v>4.0723255813953809</v>
      </c>
      <c r="U332" s="11">
        <f>AVERAGE(T321:T341)</f>
        <v>9.1785880398671278</v>
      </c>
      <c r="V332" s="4">
        <v>1966.7</v>
      </c>
      <c r="X332" s="4">
        <f t="shared" si="49"/>
        <v>253148.70000000007</v>
      </c>
      <c r="Y332" s="15">
        <f t="shared" si="52"/>
        <v>20709.2</v>
      </c>
      <c r="AA332" s="4">
        <v>15.9609791256254</v>
      </c>
    </row>
    <row r="333" spans="1:27" s="4" customFormat="1" x14ac:dyDescent="0.25">
      <c r="A333" s="54"/>
      <c r="B333" s="9"/>
      <c r="C333" s="6">
        <v>42179</v>
      </c>
      <c r="D333" s="4">
        <v>17.399999999999999</v>
      </c>
      <c r="E333" s="4">
        <v>8.9</v>
      </c>
      <c r="F333" s="4">
        <v>25.1</v>
      </c>
      <c r="G333" s="4">
        <f t="shared" si="45"/>
        <v>2913.7000000000007</v>
      </c>
      <c r="H333" s="15">
        <f t="shared" si="51"/>
        <v>226.7</v>
      </c>
      <c r="I333" s="21" t="s">
        <v>42</v>
      </c>
      <c r="J333" s="4">
        <v>0</v>
      </c>
      <c r="K333" s="4">
        <f t="shared" si="46"/>
        <v>464.2999999999999</v>
      </c>
      <c r="L333" s="4">
        <v>4.7</v>
      </c>
      <c r="M333" s="4">
        <f t="shared" si="47"/>
        <v>458.59999999999991</v>
      </c>
      <c r="N333" s="7">
        <v>-4.7</v>
      </c>
      <c r="O333" s="4">
        <v>0</v>
      </c>
      <c r="P333" s="4">
        <v>289</v>
      </c>
      <c r="Q333" s="11">
        <f t="shared" si="50"/>
        <v>0.57325581395348835</v>
      </c>
      <c r="R333" s="8">
        <f t="shared" si="43"/>
        <v>2.6943023255813952</v>
      </c>
      <c r="S333" s="8">
        <f t="shared" si="44"/>
        <v>-2.6943023255813952</v>
      </c>
      <c r="T333" s="8">
        <f t="shared" si="48"/>
        <v>1.3780232558139858</v>
      </c>
      <c r="V333" s="4">
        <v>2618.9</v>
      </c>
      <c r="X333" s="4">
        <f t="shared" si="49"/>
        <v>255767.60000000006</v>
      </c>
      <c r="Y333" s="15">
        <f t="shared" si="52"/>
        <v>23328.100000000002</v>
      </c>
      <c r="AA333" s="4">
        <v>15.957535912903101</v>
      </c>
    </row>
    <row r="334" spans="1:27" s="4" customFormat="1" x14ac:dyDescent="0.25">
      <c r="A334" s="54"/>
      <c r="B334" s="9"/>
      <c r="C334" s="6">
        <v>42180</v>
      </c>
      <c r="D334" s="4">
        <v>20.6</v>
      </c>
      <c r="E334" s="4">
        <v>12.1</v>
      </c>
      <c r="F334" s="4">
        <v>27.9</v>
      </c>
      <c r="G334" s="4">
        <f t="shared" si="45"/>
        <v>2934.3000000000006</v>
      </c>
      <c r="H334" s="15">
        <f t="shared" si="51"/>
        <v>247.29999999999998</v>
      </c>
      <c r="I334" s="4">
        <v>417</v>
      </c>
      <c r="J334" s="4">
        <v>0</v>
      </c>
      <c r="K334" s="4">
        <f t="shared" si="46"/>
        <v>464.2999999999999</v>
      </c>
      <c r="L334" s="4">
        <v>5</v>
      </c>
      <c r="M334" s="4">
        <f t="shared" si="47"/>
        <v>463.59999999999991</v>
      </c>
      <c r="N334" s="7">
        <v>-5</v>
      </c>
      <c r="O334" s="4">
        <v>0</v>
      </c>
      <c r="P334" s="4">
        <v>290</v>
      </c>
      <c r="Q334" s="11">
        <f t="shared" si="50"/>
        <v>0.55465116279069759</v>
      </c>
      <c r="R334" s="8">
        <f t="shared" si="43"/>
        <v>2.773255813953488</v>
      </c>
      <c r="S334" s="8">
        <f t="shared" si="44"/>
        <v>-2.773255813953488</v>
      </c>
      <c r="T334" s="8">
        <v>0</v>
      </c>
      <c r="U334" s="8">
        <f>(U332*100)/138.9</f>
        <v>6.6080547443247859</v>
      </c>
      <c r="V334" s="4">
        <v>2590.9</v>
      </c>
      <c r="X334" s="4">
        <f t="shared" si="49"/>
        <v>258358.50000000006</v>
      </c>
      <c r="Y334" s="15">
        <f t="shared" si="52"/>
        <v>25919.000000000004</v>
      </c>
      <c r="AA334" s="4">
        <v>15.9527212304833</v>
      </c>
    </row>
    <row r="335" spans="1:27" s="4" customFormat="1" x14ac:dyDescent="0.25">
      <c r="A335" s="54"/>
      <c r="B335" s="9"/>
      <c r="C335" s="6">
        <v>42181</v>
      </c>
      <c r="D335" s="4">
        <v>23.2</v>
      </c>
      <c r="E335" s="4">
        <v>14.5</v>
      </c>
      <c r="F335" s="4">
        <v>30.1</v>
      </c>
      <c r="G335" s="4">
        <f t="shared" si="45"/>
        <v>2957.5000000000005</v>
      </c>
      <c r="H335" s="15">
        <f t="shared" si="51"/>
        <v>270.5</v>
      </c>
      <c r="J335" s="4">
        <v>0</v>
      </c>
      <c r="K335" s="4">
        <f t="shared" si="46"/>
        <v>464.2999999999999</v>
      </c>
      <c r="L335" s="4">
        <v>5.7</v>
      </c>
      <c r="M335" s="4">
        <f t="shared" si="47"/>
        <v>469.2999999999999</v>
      </c>
      <c r="N335" s="7">
        <v>-5.7</v>
      </c>
      <c r="O335" s="4">
        <v>0</v>
      </c>
      <c r="P335" s="4">
        <v>291</v>
      </c>
      <c r="Q335" s="11">
        <f t="shared" si="50"/>
        <v>0.53604651162790695</v>
      </c>
      <c r="R335" s="8">
        <f t="shared" si="43"/>
        <v>3.0554651162790698</v>
      </c>
      <c r="S335" s="8">
        <f t="shared" si="44"/>
        <v>-3.0554651162790698</v>
      </c>
      <c r="T335" s="8">
        <v>0</v>
      </c>
      <c r="V335" s="4">
        <v>2487.6999999999998</v>
      </c>
      <c r="X335" s="4">
        <f t="shared" si="49"/>
        <v>260846.20000000007</v>
      </c>
      <c r="Y335" s="15">
        <f t="shared" si="52"/>
        <v>28406.700000000004</v>
      </c>
      <c r="AA335" s="4">
        <v>15.946540483770599</v>
      </c>
    </row>
    <row r="336" spans="1:27" s="4" customFormat="1" x14ac:dyDescent="0.25">
      <c r="A336" s="54"/>
      <c r="B336" s="9"/>
      <c r="C336" s="6">
        <v>42182</v>
      </c>
      <c r="D336" s="4">
        <v>21.2</v>
      </c>
      <c r="E336" s="4">
        <v>17.3</v>
      </c>
      <c r="F336" s="4">
        <v>26</v>
      </c>
      <c r="G336" s="4">
        <f t="shared" si="45"/>
        <v>2978.7000000000003</v>
      </c>
      <c r="H336" s="15">
        <f t="shared" si="51"/>
        <v>291.7</v>
      </c>
      <c r="J336" s="4">
        <v>0</v>
      </c>
      <c r="K336" s="4">
        <f t="shared" si="46"/>
        <v>464.2999999999999</v>
      </c>
      <c r="L336" s="4">
        <v>4.7</v>
      </c>
      <c r="M336" s="4">
        <f t="shared" si="47"/>
        <v>473.99999999999989</v>
      </c>
      <c r="N336" s="7">
        <v>-4.7</v>
      </c>
      <c r="O336" s="4">
        <v>0</v>
      </c>
      <c r="P336" s="4">
        <v>292</v>
      </c>
      <c r="Q336" s="11">
        <f t="shared" si="50"/>
        <v>0.51744186046511631</v>
      </c>
      <c r="R336" s="8">
        <f t="shared" si="43"/>
        <v>2.4319767441860467</v>
      </c>
      <c r="S336" s="8">
        <f t="shared" si="44"/>
        <v>-2.4319767441860467</v>
      </c>
      <c r="T336" s="8">
        <v>0</v>
      </c>
      <c r="V336" s="4">
        <v>2039.4</v>
      </c>
      <c r="X336" s="4">
        <f t="shared" si="49"/>
        <v>262885.60000000009</v>
      </c>
      <c r="Y336" s="15">
        <f t="shared" si="52"/>
        <v>30446.100000000006</v>
      </c>
      <c r="AA336" s="4">
        <v>15.939000440360401</v>
      </c>
    </row>
    <row r="337" spans="1:27" s="4" customFormat="1" x14ac:dyDescent="0.25">
      <c r="A337" s="54"/>
      <c r="B337" s="9"/>
      <c r="C337" s="6">
        <v>42183</v>
      </c>
      <c r="D337" s="4">
        <v>22.4</v>
      </c>
      <c r="E337" s="4">
        <v>14.5</v>
      </c>
      <c r="F337" s="4">
        <v>29.2</v>
      </c>
      <c r="G337" s="4">
        <f t="shared" si="45"/>
        <v>3001.1000000000004</v>
      </c>
      <c r="H337" s="15">
        <f t="shared" si="51"/>
        <v>314.09999999999997</v>
      </c>
      <c r="J337" s="4">
        <v>0</v>
      </c>
      <c r="K337" s="4">
        <f t="shared" si="46"/>
        <v>464.2999999999999</v>
      </c>
      <c r="L337" s="4">
        <v>6.5</v>
      </c>
      <c r="M337" s="4">
        <f t="shared" si="47"/>
        <v>480.49999999999989</v>
      </c>
      <c r="N337" s="7">
        <v>-6.5</v>
      </c>
      <c r="O337" s="4">
        <v>0</v>
      </c>
      <c r="P337" s="4">
        <v>293</v>
      </c>
      <c r="Q337" s="11">
        <f t="shared" si="50"/>
        <v>0.49883720930232556</v>
      </c>
      <c r="R337" s="8">
        <f t="shared" si="43"/>
        <v>3.242441860465116</v>
      </c>
      <c r="S337" s="8">
        <f t="shared" si="44"/>
        <v>-3.242441860465116</v>
      </c>
      <c r="T337" s="8">
        <v>0</v>
      </c>
      <c r="V337" s="4">
        <v>2979.5</v>
      </c>
      <c r="W337" s="15"/>
      <c r="X337" s="15">
        <f t="shared" si="49"/>
        <v>265865.10000000009</v>
      </c>
      <c r="Y337" s="15">
        <f t="shared" si="52"/>
        <v>33425.600000000006</v>
      </c>
      <c r="AA337" s="4">
        <v>15.9301092045072</v>
      </c>
    </row>
    <row r="338" spans="1:27" s="4" customFormat="1" ht="15" customHeight="1" x14ac:dyDescent="0.25">
      <c r="A338" s="54"/>
      <c r="B338" s="22"/>
      <c r="C338" s="6">
        <v>42184</v>
      </c>
      <c r="D338" s="4">
        <v>22.9</v>
      </c>
      <c r="E338" s="4">
        <v>16.7</v>
      </c>
      <c r="F338" s="4">
        <v>29.1</v>
      </c>
      <c r="G338" s="4">
        <f t="shared" si="45"/>
        <v>3024.0000000000005</v>
      </c>
      <c r="H338" s="15">
        <f t="shared" si="51"/>
        <v>336.99999999999994</v>
      </c>
      <c r="J338" s="4">
        <v>0</v>
      </c>
      <c r="K338" s="4">
        <f t="shared" si="46"/>
        <v>464.2999999999999</v>
      </c>
      <c r="L338" s="4">
        <v>6</v>
      </c>
      <c r="M338" s="4">
        <f t="shared" si="47"/>
        <v>486.49999999999989</v>
      </c>
      <c r="N338" s="7">
        <v>-6</v>
      </c>
      <c r="O338" s="4">
        <v>0</v>
      </c>
      <c r="P338" s="4">
        <v>294</v>
      </c>
      <c r="Q338" s="11">
        <f t="shared" si="50"/>
        <v>0.4802325581395348</v>
      </c>
      <c r="R338" s="8">
        <f t="shared" si="43"/>
        <v>2.8813953488372088</v>
      </c>
      <c r="S338" s="8">
        <f t="shared" si="44"/>
        <v>-2.8813953488372088</v>
      </c>
      <c r="T338" s="8">
        <v>0</v>
      </c>
      <c r="V338" s="4">
        <v>2793.2</v>
      </c>
      <c r="X338" s="4">
        <f t="shared" si="49"/>
        <v>268658.3000000001</v>
      </c>
      <c r="Y338" s="15">
        <f t="shared" si="52"/>
        <v>36218.800000000003</v>
      </c>
      <c r="AA338" s="4">
        <v>15.919876186786899</v>
      </c>
    </row>
    <row r="339" spans="1:27" s="4" customFormat="1" x14ac:dyDescent="0.25">
      <c r="A339" s="54"/>
      <c r="B339" s="22"/>
      <c r="C339" s="6">
        <v>42185</v>
      </c>
      <c r="D339" s="4">
        <v>26.2</v>
      </c>
      <c r="E339" s="4">
        <v>18.3</v>
      </c>
      <c r="F339" s="4">
        <v>34.700000000000003</v>
      </c>
      <c r="G339" s="4">
        <f t="shared" si="45"/>
        <v>3050.2000000000003</v>
      </c>
      <c r="H339" s="15">
        <f t="shared" si="51"/>
        <v>363.19999999999993</v>
      </c>
      <c r="J339" s="4">
        <v>0</v>
      </c>
      <c r="K339" s="4">
        <f t="shared" si="46"/>
        <v>464.2999999999999</v>
      </c>
      <c r="L339" s="4">
        <v>8.8000000000000007</v>
      </c>
      <c r="M339" s="4">
        <f t="shared" si="47"/>
        <v>495.2999999999999</v>
      </c>
      <c r="N339" s="7">
        <v>-8.8000000000000007</v>
      </c>
      <c r="O339" s="4">
        <v>0</v>
      </c>
      <c r="P339" s="4">
        <v>295</v>
      </c>
      <c r="Q339" s="11">
        <f t="shared" si="50"/>
        <v>0.46162790697674416</v>
      </c>
      <c r="R339" s="8">
        <f t="shared" si="43"/>
        <v>4.0623255813953492</v>
      </c>
      <c r="S339" s="8">
        <f t="shared" si="44"/>
        <v>-4.0623255813953492</v>
      </c>
      <c r="T339" s="8">
        <v>0</v>
      </c>
      <c r="V339" s="4">
        <v>3171.8</v>
      </c>
      <c r="X339" s="4">
        <f t="shared" si="49"/>
        <v>271830.10000000009</v>
      </c>
      <c r="Y339" s="15">
        <f t="shared" si="52"/>
        <v>39390.600000000006</v>
      </c>
      <c r="AA339" s="4">
        <v>15.908312069188501</v>
      </c>
    </row>
    <row r="340" spans="1:27" s="4" customFormat="1" x14ac:dyDescent="0.25">
      <c r="A340" s="54"/>
      <c r="B340" s="22"/>
      <c r="C340" s="6">
        <v>42186</v>
      </c>
      <c r="D340" s="4">
        <v>28.3</v>
      </c>
      <c r="E340" s="4">
        <v>18.100000000000001</v>
      </c>
      <c r="F340" s="4">
        <v>36</v>
      </c>
      <c r="G340" s="4">
        <f t="shared" si="45"/>
        <v>3078.5000000000005</v>
      </c>
      <c r="H340" s="15">
        <f t="shared" si="51"/>
        <v>391.49999999999994</v>
      </c>
      <c r="J340" s="4">
        <v>0.1</v>
      </c>
      <c r="K340" s="4">
        <f t="shared" si="46"/>
        <v>464.39999999999992</v>
      </c>
      <c r="L340" s="4">
        <v>6.8</v>
      </c>
      <c r="M340" s="4">
        <f t="shared" si="47"/>
        <v>502.09999999999991</v>
      </c>
      <c r="N340" s="7">
        <v>-6.7</v>
      </c>
      <c r="O340" s="4">
        <v>0</v>
      </c>
      <c r="P340" s="4">
        <v>296</v>
      </c>
      <c r="Q340" s="11">
        <f t="shared" si="50"/>
        <v>0.44302325581395341</v>
      </c>
      <c r="R340" s="8">
        <f t="shared" si="43"/>
        <v>3.0125581395348831</v>
      </c>
      <c r="S340" s="8">
        <f t="shared" si="44"/>
        <v>-2.912558139534883</v>
      </c>
      <c r="T340" s="8">
        <v>0</v>
      </c>
      <c r="V340" s="4">
        <v>2373.5</v>
      </c>
      <c r="X340" s="4">
        <f t="shared" si="49"/>
        <v>274203.60000000009</v>
      </c>
      <c r="Y340" s="15">
        <f t="shared" si="52"/>
        <v>41764.100000000006</v>
      </c>
      <c r="AA340" s="4">
        <v>15.8954287659003</v>
      </c>
    </row>
    <row r="341" spans="1:27" s="29" customFormat="1" ht="15.75" thickBot="1" x14ac:dyDescent="0.3">
      <c r="A341" s="63"/>
      <c r="B341" s="36">
        <v>1000</v>
      </c>
      <c r="C341" s="28">
        <v>42187</v>
      </c>
      <c r="D341" s="29">
        <v>25.5</v>
      </c>
      <c r="E341" s="29">
        <v>19.2</v>
      </c>
      <c r="F341" s="29">
        <v>32.1</v>
      </c>
      <c r="G341" s="29">
        <f t="shared" si="45"/>
        <v>3104.0000000000005</v>
      </c>
      <c r="H341" s="29">
        <f t="shared" si="51"/>
        <v>416.99999999999994</v>
      </c>
      <c r="J341" s="29">
        <v>0</v>
      </c>
      <c r="K341" s="29">
        <f t="shared" si="46"/>
        <v>464.39999999999992</v>
      </c>
      <c r="L341" s="29">
        <v>5.0999999999999996</v>
      </c>
      <c r="M341" s="29">
        <f t="shared" si="47"/>
        <v>507.19999999999993</v>
      </c>
      <c r="N341" s="30">
        <v>-5.0999999999999996</v>
      </c>
      <c r="O341" s="29">
        <v>0</v>
      </c>
      <c r="P341" s="29">
        <v>297</v>
      </c>
      <c r="Q341" s="32">
        <f t="shared" si="50"/>
        <v>0.42441860465116277</v>
      </c>
      <c r="R341" s="31">
        <f t="shared" si="43"/>
        <v>2.1645348837209299</v>
      </c>
      <c r="S341" s="31">
        <f t="shared" si="44"/>
        <v>-2.1645348837209299</v>
      </c>
      <c r="T341" s="26">
        <v>0</v>
      </c>
      <c r="V341" s="29">
        <v>2002.6</v>
      </c>
      <c r="X341" s="29">
        <f t="shared" si="49"/>
        <v>276206.20000000007</v>
      </c>
      <c r="Y341" s="29">
        <f t="shared" si="52"/>
        <v>43766.700000000004</v>
      </c>
      <c r="AA341" s="29">
        <v>15.8812393800885</v>
      </c>
    </row>
    <row r="342" spans="1:27" s="4" customFormat="1" x14ac:dyDescent="0.25">
      <c r="A342" s="23"/>
      <c r="B342" s="22"/>
      <c r="C342" s="6">
        <v>42188</v>
      </c>
      <c r="D342" s="4">
        <v>26.5</v>
      </c>
      <c r="E342" s="4">
        <v>19.8</v>
      </c>
      <c r="F342" s="4">
        <v>35.1</v>
      </c>
      <c r="G342" s="4">
        <f t="shared" si="45"/>
        <v>3130.5000000000005</v>
      </c>
      <c r="H342" s="15">
        <f t="shared" si="51"/>
        <v>443.49999999999994</v>
      </c>
      <c r="J342" s="4">
        <v>0</v>
      </c>
      <c r="K342" s="4">
        <f t="shared" si="46"/>
        <v>464.39999999999992</v>
      </c>
      <c r="L342" s="4">
        <v>6.3</v>
      </c>
      <c r="M342" s="4">
        <f t="shared" si="47"/>
        <v>513.49999999999989</v>
      </c>
      <c r="N342" s="7">
        <v>-6.3</v>
      </c>
      <c r="O342" s="4">
        <v>0</v>
      </c>
      <c r="P342" s="4">
        <v>298</v>
      </c>
      <c r="Q342" s="11">
        <f t="shared" si="50"/>
        <v>0.40581395348837213</v>
      </c>
      <c r="R342" s="8">
        <f t="shared" si="43"/>
        <v>2.5566279069767441</v>
      </c>
      <c r="S342" s="8">
        <f t="shared" si="44"/>
        <v>-2.5566279069767441</v>
      </c>
      <c r="T342" s="8">
        <v>0</v>
      </c>
      <c r="V342" s="4">
        <v>2291.6</v>
      </c>
      <c r="X342" s="4">
        <f t="shared" si="49"/>
        <v>278497.80000000005</v>
      </c>
      <c r="Y342" s="15">
        <f t="shared" si="52"/>
        <v>46058.3</v>
      </c>
      <c r="AA342" s="4">
        <v>15.865758156986301</v>
      </c>
    </row>
    <row r="343" spans="1:27" s="4" customFormat="1" x14ac:dyDescent="0.25">
      <c r="A343" s="23"/>
      <c r="B343" s="22"/>
      <c r="C343" s="6">
        <v>42189</v>
      </c>
      <c r="D343" s="4">
        <v>24.9</v>
      </c>
      <c r="E343" s="4">
        <v>20.9</v>
      </c>
      <c r="F343" s="4">
        <v>29.9</v>
      </c>
      <c r="G343" s="4">
        <f t="shared" si="45"/>
        <v>3155.4000000000005</v>
      </c>
      <c r="H343" s="15">
        <f t="shared" si="51"/>
        <v>468.39999999999992</v>
      </c>
      <c r="J343" s="4">
        <v>1.8</v>
      </c>
      <c r="K343" s="4">
        <f t="shared" si="46"/>
        <v>466.19999999999993</v>
      </c>
      <c r="L343" s="4">
        <v>3.6</v>
      </c>
      <c r="M343" s="4">
        <f t="shared" si="47"/>
        <v>517.09999999999991</v>
      </c>
      <c r="N343" s="7">
        <v>-1.8</v>
      </c>
      <c r="O343" s="4">
        <v>0</v>
      </c>
      <c r="P343" s="4">
        <v>299</v>
      </c>
      <c r="Q343" s="11">
        <f t="shared" si="50"/>
        <v>0.38720930232558137</v>
      </c>
      <c r="R343" s="8">
        <f t="shared" si="43"/>
        <v>1.393953488372093</v>
      </c>
      <c r="S343" s="8">
        <f t="shared" si="44"/>
        <v>0.40604651162790706</v>
      </c>
      <c r="T343" s="8">
        <f t="shared" si="48"/>
        <v>0.40604651162790706</v>
      </c>
      <c r="V343" s="4">
        <v>1593.2</v>
      </c>
      <c r="X343" s="4">
        <f t="shared" si="49"/>
        <v>280091.00000000006</v>
      </c>
      <c r="Y343" s="15">
        <f t="shared" si="52"/>
        <v>47651.5</v>
      </c>
      <c r="AA343" s="4">
        <v>15.849000433636499</v>
      </c>
    </row>
    <row r="344" spans="1:27" s="4" customFormat="1" x14ac:dyDescent="0.25">
      <c r="A344" s="23"/>
      <c r="B344" s="22"/>
      <c r="C344" s="6">
        <v>42190</v>
      </c>
      <c r="D344" s="4">
        <v>21.4</v>
      </c>
      <c r="E344" s="4">
        <v>17.899999999999999</v>
      </c>
      <c r="F344" s="4">
        <v>25.7</v>
      </c>
      <c r="G344" s="4">
        <f t="shared" si="45"/>
        <v>3176.8000000000006</v>
      </c>
      <c r="H344" s="15">
        <f t="shared" si="51"/>
        <v>489.7999999999999</v>
      </c>
      <c r="J344" s="4">
        <v>0.1</v>
      </c>
      <c r="K344" s="4">
        <f t="shared" si="46"/>
        <v>466.29999999999995</v>
      </c>
      <c r="L344" s="4">
        <v>3.8</v>
      </c>
      <c r="M344" s="4">
        <f t="shared" si="47"/>
        <v>520.89999999999986</v>
      </c>
      <c r="N344" s="7">
        <v>-3.6999999999999997</v>
      </c>
      <c r="O344" s="4">
        <v>0</v>
      </c>
      <c r="P344" s="4">
        <v>300</v>
      </c>
      <c r="Q344" s="11">
        <f t="shared" si="50"/>
        <v>0.36860465116279073</v>
      </c>
      <c r="R344" s="8">
        <f t="shared" si="43"/>
        <v>1.4006976744186048</v>
      </c>
      <c r="S344" s="8">
        <f t="shared" si="44"/>
        <v>-1.3006976744186047</v>
      </c>
      <c r="T344" s="8">
        <v>0</v>
      </c>
      <c r="V344" s="4">
        <v>1614.4</v>
      </c>
      <c r="X344" s="4">
        <f t="shared" si="49"/>
        <v>281705.40000000008</v>
      </c>
      <c r="Y344" s="15">
        <f t="shared" si="52"/>
        <v>49265.9</v>
      </c>
      <c r="AA344" s="4">
        <v>15.830982585643801</v>
      </c>
    </row>
    <row r="345" spans="1:27" s="4" customFormat="1" x14ac:dyDescent="0.25">
      <c r="A345" s="23"/>
      <c r="B345" s="22"/>
      <c r="C345" s="6">
        <v>42191</v>
      </c>
      <c r="D345" s="4">
        <v>23.2</v>
      </c>
      <c r="E345" s="4">
        <v>15</v>
      </c>
      <c r="F345" s="4">
        <v>31.6</v>
      </c>
      <c r="G345" s="4">
        <f t="shared" si="45"/>
        <v>3200.0000000000005</v>
      </c>
      <c r="H345" s="15">
        <f t="shared" si="51"/>
        <v>512.99999999999989</v>
      </c>
      <c r="J345" s="4">
        <v>0</v>
      </c>
      <c r="K345" s="4">
        <f t="shared" si="46"/>
        <v>466.29999999999995</v>
      </c>
      <c r="L345" s="4">
        <v>6.6</v>
      </c>
      <c r="M345" s="4">
        <f t="shared" si="47"/>
        <v>527.49999999999989</v>
      </c>
      <c r="N345" s="7">
        <v>-6.6</v>
      </c>
      <c r="O345" s="4">
        <v>0</v>
      </c>
      <c r="P345" s="4">
        <v>301</v>
      </c>
      <c r="Q345" s="11">
        <f t="shared" si="50"/>
        <v>0.35</v>
      </c>
      <c r="R345" s="8">
        <f t="shared" si="43"/>
        <v>2.3099999999999996</v>
      </c>
      <c r="S345" s="8">
        <f t="shared" si="44"/>
        <v>-2.3099999999999996</v>
      </c>
      <c r="T345" s="8">
        <v>0</v>
      </c>
      <c r="V345" s="4">
        <v>3001.6</v>
      </c>
      <c r="X345" s="4">
        <f t="shared" si="49"/>
        <v>284707.00000000006</v>
      </c>
      <c r="Y345" s="15">
        <f t="shared" si="52"/>
        <v>52267.5</v>
      </c>
      <c r="AA345" s="4">
        <v>15.8117219713073</v>
      </c>
    </row>
    <row r="346" spans="1:27" s="4" customFormat="1" x14ac:dyDescent="0.25">
      <c r="A346" s="55" t="s">
        <v>49</v>
      </c>
      <c r="B346" s="55"/>
      <c r="C346" s="55"/>
      <c r="D346" s="55"/>
      <c r="E346" s="55"/>
      <c r="F346" s="55"/>
      <c r="G346" s="55"/>
      <c r="H346" s="55"/>
      <c r="I346" s="55"/>
      <c r="J346" s="55"/>
      <c r="K346" s="55"/>
      <c r="L346" s="55"/>
      <c r="M346" s="55"/>
      <c r="N346" s="55"/>
      <c r="O346" s="55"/>
      <c r="P346" s="55"/>
      <c r="Q346" s="55"/>
      <c r="R346" s="55"/>
      <c r="S346" s="55"/>
      <c r="T346" s="55"/>
      <c r="U346" s="55"/>
      <c r="V346" s="55"/>
      <c r="W346" s="55"/>
      <c r="X346" s="55"/>
      <c r="Y346" s="55"/>
      <c r="Z346" s="55"/>
      <c r="AA346" s="4">
        <v>15.791236873511901</v>
      </c>
    </row>
  </sheetData>
  <mergeCells count="14">
    <mergeCell ref="A44:Z44"/>
    <mergeCell ref="A45:A126"/>
    <mergeCell ref="A127:A217"/>
    <mergeCell ref="D1:I2"/>
    <mergeCell ref="J1:U2"/>
    <mergeCell ref="V1:Z2"/>
    <mergeCell ref="P3:T3"/>
    <mergeCell ref="G4:H4"/>
    <mergeCell ref="X4:Y4"/>
    <mergeCell ref="A321:A341"/>
    <mergeCell ref="A346:Z346"/>
    <mergeCell ref="A218:A258"/>
    <mergeCell ref="A280:A302"/>
    <mergeCell ref="A303:A320"/>
  </mergeCells>
  <conditionalFormatting sqref="T1:T4">
    <cfRule type="cellIs" dxfId="8" priority="9" operator="equal">
      <formula>0</formula>
    </cfRule>
    <cfRule type="cellIs" dxfId="7" priority="10" operator="lessThanOrEqual">
      <formula>46.3</formula>
    </cfRule>
  </conditionalFormatting>
  <conditionalFormatting sqref="D5:F43 D45:F345 I52 I54 I56 I58 I140 I136 I134 I138 I231 I225 I227 I229 I266 I268 I270 I272 I287 I289 I291 I293 I310 I312 I314 I316 I328 I330 I332 I334">
    <cfRule type="cellIs" dxfId="6" priority="6" operator="between">
      <formula>0</formula>
      <formula>5</formula>
    </cfRule>
    <cfRule type="cellIs" dxfId="5" priority="7" operator="between">
      <formula>-40</formula>
      <formula>0</formula>
    </cfRule>
    <cfRule type="cellIs" dxfId="4" priority="8" operator="between">
      <formula>25</formula>
      <formula>40</formula>
    </cfRule>
  </conditionalFormatting>
  <conditionalFormatting sqref="V45:V345">
    <cfRule type="cellIs" dxfId="3" priority="4" operator="lessThan">
      <formula>900</formula>
    </cfRule>
    <cfRule type="cellIs" priority="5" operator="greaterThan">
      <formula>900</formula>
    </cfRule>
  </conditionalFormatting>
  <conditionalFormatting sqref="S45:S345">
    <cfRule type="cellIs" dxfId="2" priority="3" operator="lessThanOrEqual">
      <formula>0</formula>
    </cfRule>
  </conditionalFormatting>
  <conditionalFormatting sqref="T5:T346">
    <cfRule type="cellIs" dxfId="1" priority="1" operator="equal">
      <formula>0</formula>
    </cfRule>
    <cfRule type="cellIs" dxfId="0" priority="2" operator="lessThanOrEqual">
      <formula>46.3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N+</vt:lpstr>
      <vt:lpstr>N-</vt:lpstr>
    </vt:vector>
  </TitlesOfParts>
  <Company>INRA - RENNES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adminigepp</dc:creator>
  <cp:lastModifiedBy>adminigepp</cp:lastModifiedBy>
  <dcterms:created xsi:type="dcterms:W3CDTF">2019-11-06T15:48:40Z</dcterms:created>
  <dcterms:modified xsi:type="dcterms:W3CDTF">2019-11-27T09:33:35Z</dcterms:modified>
</cp:coreProperties>
</file>