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<sst xmlns="http://schemas.openxmlformats.org/spreadsheetml/2006/main" count="328" uniqueCount="71">
  <si>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</si>
  <si>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</si>
  <si>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</si>
  <si>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</si>
  <si>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</si>
  <si>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</si>
  <si>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</si>
  <si>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</si>
  <si>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</si>
  <si>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</si>
  <si>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</si>
  <si>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</si>
  <si>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</si>
  <si>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</si>
  <si>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</si>
  <si>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</si>
  <si>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</si>
  <si>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</si>
  <si>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</si>
  <si>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</si>
  <si>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</si>
  <si>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</si>
  <si>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</si>
  <si>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</si>
  <si>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</si>
  <si>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</si>
  <si>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SYN14</t>
  </si>
  <si>
    <t xml:space="preserve">AUTOMNE</t>
  </si>
  <si>
    <t xml:space="preserve">Tmin</t>
  </si>
  <si>
    <t xml:space="preserve">cpetp</t>
  </si>
  <si>
    <t xml:space="preserve">crg</t>
  </si>
  <si>
    <t xml:space="preserve">Tmax</t>
  </si>
  <si>
    <t xml:space="preserve">nbj_sec</t>
  </si>
  <si>
    <t xml:space="preserve">qpt_p</t>
  </si>
  <si>
    <t xml:space="preserve">Tmoy</t>
  </si>
  <si>
    <t xml:space="preserve">nbj_water_deficit</t>
  </si>
  <si>
    <t xml:space="preserve">nbj_radinf_900</t>
  </si>
  <si>
    <t xml:space="preserve">nbj_tgel</t>
  </si>
  <si>
    <t xml:space="preserve">nbj_stress_hydro</t>
  </si>
  <si>
    <t xml:space="preserve">nbj_tsup25</t>
  </si>
  <si>
    <t xml:space="preserve">water_soil_content_min</t>
  </si>
  <si>
    <t xml:space="preserve">nbj_tinf5</t>
  </si>
  <si>
    <t xml:space="preserve">water_soil_content_max</t>
  </si>
  <si>
    <t xml:space="preserve">gdd_p</t>
  </si>
  <si>
    <t xml:space="preserve">water_soil_content_moy</t>
  </si>
  <si>
    <t xml:space="preserve">HIVER</t>
  </si>
  <si>
    <t xml:space="preserve">nbj_vern_opti</t>
  </si>
  <si>
    <t xml:space="preserve">MONTAISON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</si>
  <si>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</si>
  <si>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</si>
  <si>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</si>
  <si>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</si>
  <si>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</si>
  <si>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N40</t>
  </si>
  <si>
    <t xml:space="preserve">N50</t>
  </si>
  <si>
    <t xml:space="preserve">FLO</t>
  </si>
  <si>
    <t xml:space="preserve">Flo estimé</t>
  </si>
  <si>
    <t xml:space="preserve">Fin FLO</t>
  </si>
  <si>
    <t xml:space="preserve">Maturité phénologique</t>
  </si>
  <si>
    <t xml:space="preserve">RECOLTE SYN14</t>
  </si>
  <si>
    <t xml:space="preserve">PRELIQ_Q (mm)</t>
  </si>
  <si>
    <t xml:space="preserve">Etat RU_1</t>
  </si>
  <si>
    <t xml:space="preserve">N30</t>
  </si>
  <si>
    <t xml:space="preserve">WD</t>
  </si>
  <si>
    <t xml:space="preserve">SSR</t>
  </si>
  <si>
    <t xml:space="preserve">WS</t>
  </si>
  <si>
    <t xml:space="preserve">QPT</t>
  </si>
  <si>
    <t xml:space="preserve">LSR</t>
  </si>
  <si>
    <t xml:space="preserve">FR</t>
  </si>
  <si>
    <t xml:space="preserve">HT</t>
  </si>
  <si>
    <t xml:space="preserve">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</si>
</sst>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  <font>
      <b val="true"/>
      <sz val="1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D9D9D9"/>
        <bgColor rgb="FFDDD9C4"/>
      </patternFill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FFC000"/>
        <bgColor rgb="FFFF9900"/>
      </patternFill>
    </fill>
    <fill>
      <patternFill patternType="solid">
        <fgColor rgb="FFF2DCDB"/>
        <bgColor rgb="FFFDE9D9"/>
      </patternFill>
    </fill>
    <fill>
      <patternFill patternType="solid">
        <fgColor rgb="FFCCC0DA"/>
        <bgColor rgb="FFC0C0C0"/>
      </patternFill>
    </fill>
    <fill>
      <patternFill patternType="solid">
        <fgColor rgb="FFDAEEF3"/>
        <bgColor rgb="FFD9D9D9"/>
      </patternFill>
    </fill>
    <fill>
      <patternFill patternType="solid">
        <fgColor rgb="FF4F81BD"/>
        <bgColor rgb="FF808080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CCC0DA"/>
      </patternFill>
    </fill>
    <fill>
      <patternFill patternType="solid">
        <fgColor rgb="FFDDD9C4"/>
        <bgColor rgb="FFD9D9D9"/>
      </patternFill>
    </fill>
    <fill>
      <patternFill patternType="solid">
        <fgColor rgb="FFB7DEE8"/>
        <bgColor rgb="FFD9D9D9"/>
      </patternFill>
    </fill>
    <fill>
      <patternFill patternType="solid">
        <fgColor rgb="FF92D050"/>
        <bgColor rgb="FFA9D18E"/>
      </patternFill>
    </fill>
    <fill>
      <patternFill patternType="solid">
        <fgColor rgb="FFFFFFFF"/>
        <bgColor rgb="FFFDE9D9"/>
      </patternFill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D5B4"/>
        <bgColor rgb="FFF2DCDB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right" vertical="center" textRotation="255" wrapText="true" indent="0" shrinkToFit="false"/>
      <protection locked="true" hidden="false"/>
    </xf>
    <xf numFmtId="164" fontId="7" fillId="16" borderId="0" xfId="0" applyFont="true" applyBorder="true" applyAlignment="true" applyProtection="true">
      <alignment horizontal="right" vertical="center" textRotation="255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DCDB"/>
      <rgbColor rgb="FFD9D9D9"/>
      <rgbColor rgb="FFFCD5B4"/>
      <rgbColor rgb="FFB7DEE8"/>
      <rgbColor rgb="FFF4B183"/>
      <rgbColor rgb="FFDDD9C4"/>
      <rgbColor rgb="FFFABF8F"/>
      <rgbColor rgb="FF3366FF"/>
      <rgbColor rgb="FF33CCCC"/>
      <rgbColor rgb="FF92D050"/>
      <rgbColor rgb="FFFFC000"/>
      <rgbColor rgb="FFFF9900"/>
      <rgbColor rgb="FFE26B0A"/>
      <rgbColor rgb="FF4F81BD"/>
      <rgbColor rgb="FFA9D18E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3" ySplit="4" topLeftCell="I200" activePane="bottomRight" state="frozen"/>
      <selection pane="topLeft" activeCell="A1" activeCellId="0" sqref="A1"/>
      <selection pane="topRight" activeCell="I1" activeCellId="0" sqref="I1"/>
      <selection pane="bottomLeft" activeCell="A200" activeCellId="0" sqref="A200"/>
      <selection pane="bottomRight" activeCell="O4" activeCellId="0" sqref="O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 t="s">
        <v>3</v>
      </c>
      <c r="Q3" s="2"/>
      <c r="R3" s="2"/>
      <c r="S3" s="2"/>
      <c r="T3" s="2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  <c r="AA4" s="1" t="s">
        <v>25</v>
      </c>
    </row>
    <row r="5" s="7" customFormat="true" ht="15" hidden="false" customHeight="false" outlineLevel="0" collapsed="false">
      <c r="C5" s="8" t="n">
        <v>41487</v>
      </c>
      <c r="D5" s="7" t="n">
        <v>25.1</v>
      </c>
      <c r="E5" s="7" t="n">
        <v>14.5</v>
      </c>
      <c r="F5" s="7" t="n">
        <v>31.6</v>
      </c>
      <c r="G5" s="5"/>
      <c r="H5" s="5"/>
      <c r="J5" s="7" t="n">
        <v>0</v>
      </c>
      <c r="L5" s="7" t="n">
        <v>5.7</v>
      </c>
      <c r="N5" s="7" t="n">
        <f aca="false">J5-L5</f>
        <v>-5.7</v>
      </c>
      <c r="O5" s="7" t="n">
        <v>0</v>
      </c>
      <c r="T5" s="7" t="n">
        <v>0</v>
      </c>
      <c r="V5" s="7" t="n">
        <v>2518.2</v>
      </c>
      <c r="X5" s="5"/>
      <c r="Y5" s="5"/>
    </row>
    <row r="6" s="7" customFormat="true" ht="15" hidden="false" customHeight="false" outlineLevel="0" collapsed="false">
      <c r="C6" s="8" t="n">
        <v>41488</v>
      </c>
      <c r="D6" s="7" t="n">
        <v>24.2</v>
      </c>
      <c r="E6" s="7" t="n">
        <v>20</v>
      </c>
      <c r="F6" s="7" t="n">
        <v>33.2</v>
      </c>
      <c r="G6" s="5"/>
      <c r="H6" s="5"/>
      <c r="J6" s="7" t="n">
        <v>0</v>
      </c>
      <c r="L6" s="7" t="n">
        <v>6</v>
      </c>
      <c r="N6" s="7" t="n">
        <f aca="false">J6-L6</f>
        <v>-6</v>
      </c>
      <c r="O6" s="7" t="n">
        <v>0</v>
      </c>
      <c r="T6" s="7" t="n">
        <v>0</v>
      </c>
      <c r="V6" s="7" t="n">
        <v>2133.8</v>
      </c>
      <c r="X6" s="5"/>
      <c r="Y6" s="5"/>
    </row>
    <row r="7" s="7" customFormat="true" ht="15" hidden="false" customHeight="false" outlineLevel="0" collapsed="false">
      <c r="C7" s="8" t="n">
        <v>41489</v>
      </c>
      <c r="D7" s="7" t="n">
        <v>19.5</v>
      </c>
      <c r="E7" s="7" t="n">
        <v>17.4</v>
      </c>
      <c r="F7" s="7" t="n">
        <v>23</v>
      </c>
      <c r="G7" s="5"/>
      <c r="H7" s="5"/>
      <c r="J7" s="7" t="n">
        <v>0</v>
      </c>
      <c r="L7" s="7" t="n">
        <v>4.2</v>
      </c>
      <c r="N7" s="7" t="n">
        <f aca="false">J7-L7</f>
        <v>-4.2</v>
      </c>
      <c r="O7" s="7" t="n">
        <v>0</v>
      </c>
      <c r="T7" s="7" t="n">
        <v>0</v>
      </c>
      <c r="V7" s="7" t="n">
        <v>1938.1</v>
      </c>
      <c r="X7" s="5"/>
      <c r="Y7" s="5"/>
    </row>
    <row r="8" s="7" customFormat="true" ht="15" hidden="false" customHeight="false" outlineLevel="0" collapsed="false">
      <c r="C8" s="8" t="n">
        <v>41490</v>
      </c>
      <c r="D8" s="7" t="n">
        <v>19.6</v>
      </c>
      <c r="E8" s="7" t="n">
        <v>13.4</v>
      </c>
      <c r="F8" s="7" t="n">
        <v>25.5</v>
      </c>
      <c r="G8" s="5"/>
      <c r="H8" s="5"/>
      <c r="J8" s="7" t="n">
        <v>0</v>
      </c>
      <c r="L8" s="7" t="n">
        <v>3.7</v>
      </c>
      <c r="N8" s="7" t="n">
        <f aca="false">J8-L8</f>
        <v>-3.7</v>
      </c>
      <c r="O8" s="7" t="n">
        <v>0</v>
      </c>
      <c r="T8" s="7" t="n">
        <v>0</v>
      </c>
      <c r="V8" s="7" t="n">
        <v>1732.9</v>
      </c>
      <c r="X8" s="5"/>
      <c r="Y8" s="5"/>
    </row>
    <row r="9" s="7" customFormat="true" ht="15" hidden="false" customHeight="false" outlineLevel="0" collapsed="false">
      <c r="C9" s="8" t="n">
        <v>41491</v>
      </c>
      <c r="D9" s="7" t="n">
        <v>21.3</v>
      </c>
      <c r="E9" s="7" t="n">
        <v>14</v>
      </c>
      <c r="F9" s="7" t="n">
        <v>28.2</v>
      </c>
      <c r="G9" s="5"/>
      <c r="H9" s="5"/>
      <c r="J9" s="7" t="n">
        <v>0</v>
      </c>
      <c r="L9" s="7" t="n">
        <v>4.4</v>
      </c>
      <c r="N9" s="7" t="n">
        <f aca="false">J9-L9</f>
        <v>-4.4</v>
      </c>
      <c r="O9" s="7" t="n">
        <v>0</v>
      </c>
      <c r="T9" s="7" t="n">
        <v>0</v>
      </c>
      <c r="V9" s="7" t="n">
        <v>1839.8</v>
      </c>
      <c r="X9" s="5"/>
      <c r="Y9" s="5"/>
    </row>
    <row r="10" s="7" customFormat="true" ht="15" hidden="false" customHeight="false" outlineLevel="0" collapsed="false">
      <c r="C10" s="8" t="n">
        <v>41492</v>
      </c>
      <c r="D10" s="7" t="n">
        <v>19.4</v>
      </c>
      <c r="E10" s="7" t="n">
        <v>15.4</v>
      </c>
      <c r="F10" s="7" t="n">
        <v>23.1</v>
      </c>
      <c r="G10" s="5"/>
      <c r="H10" s="5"/>
      <c r="J10" s="7" t="n">
        <v>0</v>
      </c>
      <c r="L10" s="7" t="n">
        <v>2</v>
      </c>
      <c r="N10" s="7" t="n">
        <f aca="false">J10-L10</f>
        <v>-2</v>
      </c>
      <c r="O10" s="7" t="n">
        <v>0</v>
      </c>
      <c r="T10" s="7" t="n">
        <v>0</v>
      </c>
      <c r="V10" s="7" t="n">
        <v>973.6</v>
      </c>
      <c r="X10" s="5"/>
      <c r="Y10" s="5"/>
    </row>
    <row r="11" s="7" customFormat="true" ht="15" hidden="false" customHeight="false" outlineLevel="0" collapsed="false">
      <c r="C11" s="8" t="n">
        <v>41493</v>
      </c>
      <c r="D11" s="7" t="n">
        <v>16.5</v>
      </c>
      <c r="E11" s="7" t="n">
        <v>16.3</v>
      </c>
      <c r="F11" s="7" t="n">
        <v>17.7</v>
      </c>
      <c r="G11" s="5"/>
      <c r="H11" s="5"/>
      <c r="J11" s="7" t="n">
        <v>13.2</v>
      </c>
      <c r="L11" s="7" t="n">
        <v>1.5</v>
      </c>
      <c r="N11" s="7" t="n">
        <f aca="false">J11-L11</f>
        <v>11.7</v>
      </c>
      <c r="O11" s="7" t="n">
        <f aca="false">O10+N11</f>
        <v>11.7</v>
      </c>
      <c r="T11" s="7" t="n">
        <v>11.7</v>
      </c>
      <c r="V11" s="7" t="n">
        <v>641.2</v>
      </c>
      <c r="X11" s="5"/>
      <c r="Y11" s="5"/>
    </row>
    <row r="12" s="7" customFormat="true" ht="15" hidden="false" customHeight="false" outlineLevel="0" collapsed="false">
      <c r="C12" s="8" t="n">
        <v>41494</v>
      </c>
      <c r="D12" s="7" t="n">
        <v>16.5</v>
      </c>
      <c r="E12" s="7" t="n">
        <v>12.6</v>
      </c>
      <c r="F12" s="7" t="n">
        <v>20.8</v>
      </c>
      <c r="G12" s="5"/>
      <c r="H12" s="5"/>
      <c r="J12" s="7" t="n">
        <v>0</v>
      </c>
      <c r="L12" s="7" t="n">
        <v>3.2</v>
      </c>
      <c r="N12" s="7" t="n">
        <f aca="false">J12-L12</f>
        <v>-3.2</v>
      </c>
      <c r="O12" s="7" t="n">
        <f aca="false">O11+N12</f>
        <v>8.5</v>
      </c>
      <c r="T12" s="7" t="n">
        <v>8.5</v>
      </c>
      <c r="V12" s="7" t="n">
        <v>1642.1</v>
      </c>
      <c r="X12" s="5"/>
      <c r="Y12" s="5"/>
    </row>
    <row r="13" s="7" customFormat="true" ht="15" hidden="false" customHeight="false" outlineLevel="0" collapsed="false">
      <c r="C13" s="8" t="n">
        <v>41495</v>
      </c>
      <c r="D13" s="7" t="n">
        <v>17.4</v>
      </c>
      <c r="E13" s="7" t="n">
        <v>12</v>
      </c>
      <c r="F13" s="7" t="n">
        <v>23.8</v>
      </c>
      <c r="G13" s="5"/>
      <c r="H13" s="5"/>
      <c r="J13" s="7" t="n">
        <v>0.1</v>
      </c>
      <c r="L13" s="7" t="n">
        <v>4.2</v>
      </c>
      <c r="N13" s="7" t="n">
        <f aca="false">J13-L13</f>
        <v>-4.1</v>
      </c>
      <c r="O13" s="7" t="n">
        <f aca="false">O12+N13</f>
        <v>4.4</v>
      </c>
      <c r="T13" s="7" t="n">
        <v>4.4</v>
      </c>
      <c r="V13" s="7" t="n">
        <v>1968.6</v>
      </c>
      <c r="X13" s="5"/>
      <c r="Y13" s="5"/>
    </row>
    <row r="14" s="7" customFormat="true" ht="15" hidden="false" customHeight="false" outlineLevel="0" collapsed="false">
      <c r="C14" s="8" t="n">
        <v>41496</v>
      </c>
      <c r="D14" s="7" t="n">
        <v>15.8</v>
      </c>
      <c r="E14" s="7" t="n">
        <v>11.9</v>
      </c>
      <c r="F14" s="7" t="n">
        <v>20.5</v>
      </c>
      <c r="G14" s="5"/>
      <c r="H14" s="5"/>
      <c r="J14" s="7" t="n">
        <v>0</v>
      </c>
      <c r="L14" s="7" t="n">
        <v>3.3</v>
      </c>
      <c r="N14" s="7" t="n">
        <f aca="false">J14-L14</f>
        <v>-3.3</v>
      </c>
      <c r="O14" s="7" t="n">
        <f aca="false">O13+N14</f>
        <v>1.1</v>
      </c>
      <c r="T14" s="7" t="n">
        <v>1.1</v>
      </c>
      <c r="V14" s="7" t="n">
        <v>1703.5</v>
      </c>
      <c r="X14" s="5"/>
      <c r="Y14" s="5"/>
    </row>
    <row r="15" s="7" customFormat="true" ht="15" hidden="false" customHeight="false" outlineLevel="0" collapsed="false">
      <c r="C15" s="8" t="n">
        <v>41497</v>
      </c>
      <c r="D15" s="7" t="n">
        <v>16.9</v>
      </c>
      <c r="E15" s="7" t="n">
        <v>9.4</v>
      </c>
      <c r="F15" s="7" t="n">
        <v>22.2</v>
      </c>
      <c r="G15" s="5"/>
      <c r="H15" s="5"/>
      <c r="J15" s="7" t="n">
        <v>0.6</v>
      </c>
      <c r="L15" s="7" t="n">
        <v>2.4</v>
      </c>
      <c r="N15" s="7" t="n">
        <f aca="false">J15-L15</f>
        <v>-1.8</v>
      </c>
      <c r="O15" s="7" t="n">
        <v>0</v>
      </c>
      <c r="T15" s="7" t="n">
        <v>0</v>
      </c>
      <c r="V15" s="7" t="n">
        <v>1159.7</v>
      </c>
      <c r="X15" s="5"/>
      <c r="Y15" s="5"/>
    </row>
    <row r="16" s="7" customFormat="true" ht="15" hidden="false" customHeight="false" outlineLevel="0" collapsed="false">
      <c r="C16" s="8" t="n">
        <v>41498</v>
      </c>
      <c r="D16" s="7" t="n">
        <v>16.8</v>
      </c>
      <c r="E16" s="7" t="n">
        <v>15</v>
      </c>
      <c r="F16" s="7" t="n">
        <v>20.3</v>
      </c>
      <c r="G16" s="5"/>
      <c r="H16" s="5"/>
      <c r="J16" s="7" t="n">
        <v>0</v>
      </c>
      <c r="L16" s="7" t="n">
        <v>3.2</v>
      </c>
      <c r="N16" s="7" t="n">
        <f aca="false">J16-L16</f>
        <v>-3.2</v>
      </c>
      <c r="O16" s="7" t="n">
        <v>0</v>
      </c>
      <c r="T16" s="7" t="n">
        <v>0</v>
      </c>
      <c r="V16" s="7" t="n">
        <v>1582.9</v>
      </c>
      <c r="X16" s="5"/>
      <c r="Y16" s="5"/>
    </row>
    <row r="17" s="7" customFormat="true" ht="15" hidden="false" customHeight="false" outlineLevel="0" collapsed="false">
      <c r="C17" s="8" t="n">
        <v>41499</v>
      </c>
      <c r="D17" s="7" t="n">
        <v>15.6</v>
      </c>
      <c r="E17" s="7" t="n">
        <v>11.8</v>
      </c>
      <c r="F17" s="7" t="n">
        <v>19.7</v>
      </c>
      <c r="G17" s="5"/>
      <c r="H17" s="5"/>
      <c r="J17" s="7" t="n">
        <v>0</v>
      </c>
      <c r="L17" s="7" t="n">
        <v>3.1</v>
      </c>
      <c r="N17" s="7" t="n">
        <f aca="false">J17-L17</f>
        <v>-3.1</v>
      </c>
      <c r="O17" s="7" t="n">
        <v>0</v>
      </c>
      <c r="T17" s="7" t="n">
        <v>0</v>
      </c>
      <c r="V17" s="7" t="n">
        <v>1592.5</v>
      </c>
      <c r="X17" s="5"/>
      <c r="Y17" s="5"/>
    </row>
    <row r="18" s="7" customFormat="true" ht="15" hidden="false" customHeight="false" outlineLevel="0" collapsed="false">
      <c r="C18" s="8" t="n">
        <v>41500</v>
      </c>
      <c r="D18" s="7" t="n">
        <v>17.1</v>
      </c>
      <c r="E18" s="7" t="n">
        <v>12.8</v>
      </c>
      <c r="F18" s="7" t="n">
        <v>21.9</v>
      </c>
      <c r="G18" s="5"/>
      <c r="H18" s="5"/>
      <c r="J18" s="7" t="n">
        <v>0</v>
      </c>
      <c r="L18" s="7" t="n">
        <v>3.7</v>
      </c>
      <c r="N18" s="7" t="n">
        <f aca="false">J18-L18</f>
        <v>-3.7</v>
      </c>
      <c r="O18" s="7" t="n">
        <v>0</v>
      </c>
      <c r="T18" s="7" t="n">
        <v>0</v>
      </c>
      <c r="V18" s="7" t="n">
        <v>1977.6</v>
      </c>
      <c r="X18" s="5"/>
      <c r="Y18" s="5"/>
    </row>
    <row r="19" s="7" customFormat="true" ht="15" hidden="false" customHeight="false" outlineLevel="0" collapsed="false">
      <c r="C19" s="8" t="n">
        <v>41501</v>
      </c>
      <c r="D19" s="7" t="n">
        <v>18.7</v>
      </c>
      <c r="E19" s="7" t="n">
        <v>11.7</v>
      </c>
      <c r="F19" s="7" t="n">
        <v>24.7</v>
      </c>
      <c r="G19" s="5"/>
      <c r="H19" s="5"/>
      <c r="J19" s="7" t="n">
        <v>0</v>
      </c>
      <c r="L19" s="7" t="n">
        <v>3</v>
      </c>
      <c r="N19" s="7" t="n">
        <f aca="false">J19-L19</f>
        <v>-3</v>
      </c>
      <c r="O19" s="7" t="n">
        <v>0</v>
      </c>
      <c r="T19" s="7" t="n">
        <v>0</v>
      </c>
      <c r="V19" s="7" t="n">
        <v>1436</v>
      </c>
      <c r="X19" s="5"/>
      <c r="Y19" s="5"/>
    </row>
    <row r="20" s="7" customFormat="true" ht="15" hidden="false" customHeight="false" outlineLevel="0" collapsed="false">
      <c r="C20" s="8" t="n">
        <v>41502</v>
      </c>
      <c r="D20" s="7" t="n">
        <v>19.5</v>
      </c>
      <c r="E20" s="7" t="n">
        <v>13.4</v>
      </c>
      <c r="F20" s="7" t="n">
        <v>27.5</v>
      </c>
      <c r="G20" s="5"/>
      <c r="H20" s="5"/>
      <c r="J20" s="7" t="n">
        <v>0.2</v>
      </c>
      <c r="L20" s="7" t="n">
        <v>3.4</v>
      </c>
      <c r="N20" s="7" t="n">
        <f aca="false">J20-L20</f>
        <v>-3.2</v>
      </c>
      <c r="O20" s="7" t="n">
        <v>0</v>
      </c>
      <c r="T20" s="7" t="n">
        <v>0</v>
      </c>
      <c r="V20" s="7" t="n">
        <v>1164.3</v>
      </c>
      <c r="X20" s="5"/>
      <c r="Y20" s="5"/>
    </row>
    <row r="21" s="7" customFormat="true" ht="15" hidden="false" customHeight="false" outlineLevel="0" collapsed="false">
      <c r="C21" s="8" t="n">
        <v>41503</v>
      </c>
      <c r="D21" s="7" t="n">
        <v>20.3</v>
      </c>
      <c r="E21" s="7" t="n">
        <v>16.2</v>
      </c>
      <c r="F21" s="7" t="n">
        <v>23.9</v>
      </c>
      <c r="G21" s="5"/>
      <c r="H21" s="5"/>
      <c r="J21" s="7" t="n">
        <v>1.7</v>
      </c>
      <c r="L21" s="7" t="n">
        <v>3.2</v>
      </c>
      <c r="N21" s="7" t="n">
        <f aca="false">J21-L21</f>
        <v>-1.5</v>
      </c>
      <c r="O21" s="7" t="n">
        <v>0</v>
      </c>
      <c r="T21" s="7" t="n">
        <v>0</v>
      </c>
      <c r="V21" s="7" t="n">
        <v>1260.4</v>
      </c>
      <c r="X21" s="5"/>
      <c r="Y21" s="5"/>
    </row>
    <row r="22" s="7" customFormat="true" ht="15" hidden="false" customHeight="false" outlineLevel="0" collapsed="false">
      <c r="C22" s="8" t="n">
        <v>41504</v>
      </c>
      <c r="D22" s="7" t="n">
        <v>18.9</v>
      </c>
      <c r="E22" s="7" t="n">
        <v>18</v>
      </c>
      <c r="F22" s="7" t="n">
        <v>20.3</v>
      </c>
      <c r="G22" s="5"/>
      <c r="H22" s="5"/>
      <c r="J22" s="7" t="n">
        <v>9.2</v>
      </c>
      <c r="L22" s="7" t="n">
        <v>1.7</v>
      </c>
      <c r="N22" s="7" t="n">
        <f aca="false">J22-L22</f>
        <v>7.5</v>
      </c>
      <c r="O22" s="7" t="n">
        <f aca="false">O21+N22</f>
        <v>7.5</v>
      </c>
      <c r="T22" s="7" t="n">
        <v>7.5</v>
      </c>
      <c r="V22" s="7" t="n">
        <v>607.1</v>
      </c>
      <c r="X22" s="5"/>
      <c r="Y22" s="5"/>
    </row>
    <row r="23" s="7" customFormat="true" ht="15" hidden="false" customHeight="false" outlineLevel="0" collapsed="false">
      <c r="C23" s="8" t="n">
        <v>41505</v>
      </c>
      <c r="D23" s="7" t="n">
        <v>16.8</v>
      </c>
      <c r="E23" s="7" t="n">
        <v>15.1</v>
      </c>
      <c r="F23" s="7" t="n">
        <v>20.6</v>
      </c>
      <c r="G23" s="5"/>
      <c r="H23" s="5"/>
      <c r="J23" s="7" t="n">
        <v>0.1</v>
      </c>
      <c r="L23" s="7" t="n">
        <v>3.7</v>
      </c>
      <c r="N23" s="7" t="n">
        <f aca="false">J23-L23</f>
        <v>-3.6</v>
      </c>
      <c r="O23" s="7" t="n">
        <f aca="false">O22+N23</f>
        <v>3.9</v>
      </c>
      <c r="T23" s="7" t="n">
        <v>3.9</v>
      </c>
      <c r="V23" s="7" t="n">
        <v>1603.3</v>
      </c>
      <c r="X23" s="5"/>
      <c r="Y23" s="5"/>
    </row>
    <row r="24" s="7" customFormat="true" ht="15" hidden="false" customHeight="false" outlineLevel="0" collapsed="false">
      <c r="C24" s="8" t="n">
        <v>41506</v>
      </c>
      <c r="D24" s="7" t="n">
        <v>16.1</v>
      </c>
      <c r="E24" s="7" t="n">
        <v>10</v>
      </c>
      <c r="F24" s="7" t="n">
        <v>21.9</v>
      </c>
      <c r="G24" s="5"/>
      <c r="H24" s="5"/>
      <c r="J24" s="7" t="n">
        <v>0</v>
      </c>
      <c r="L24" s="7" t="n">
        <v>3.5</v>
      </c>
      <c r="N24" s="7" t="n">
        <f aca="false">J24-L24</f>
        <v>-3.5</v>
      </c>
      <c r="O24" s="7" t="n">
        <f aca="false">O23+N24</f>
        <v>0.399999999999999</v>
      </c>
      <c r="T24" s="7" t="n">
        <v>0.4</v>
      </c>
      <c r="V24" s="7" t="n">
        <v>1899.2</v>
      </c>
      <c r="X24" s="5"/>
      <c r="Y24" s="5"/>
    </row>
    <row r="25" s="7" customFormat="true" ht="15" hidden="false" customHeight="false" outlineLevel="0" collapsed="false">
      <c r="C25" s="8" t="n">
        <v>41507</v>
      </c>
      <c r="D25" s="7" t="n">
        <v>17.8</v>
      </c>
      <c r="E25" s="7" t="n">
        <v>11.2</v>
      </c>
      <c r="F25" s="7" t="n">
        <v>23.9</v>
      </c>
      <c r="G25" s="5"/>
      <c r="H25" s="5"/>
      <c r="J25" s="7" t="n">
        <v>0</v>
      </c>
      <c r="L25" s="7" t="n">
        <v>4.3</v>
      </c>
      <c r="N25" s="7" t="n">
        <f aca="false">J25-L25</f>
        <v>-4.3</v>
      </c>
      <c r="O25" s="7" t="n">
        <v>0</v>
      </c>
      <c r="T25" s="7" t="n">
        <v>0</v>
      </c>
      <c r="V25" s="7" t="n">
        <v>2177.3</v>
      </c>
      <c r="X25" s="5"/>
      <c r="Y25" s="5"/>
    </row>
    <row r="26" s="7" customFormat="true" ht="15" hidden="false" customHeight="false" outlineLevel="0" collapsed="false">
      <c r="C26" s="8" t="n">
        <v>41508</v>
      </c>
      <c r="D26" s="7" t="n">
        <v>19.1</v>
      </c>
      <c r="E26" s="7" t="n">
        <v>13.2</v>
      </c>
      <c r="F26" s="7" t="n">
        <v>24</v>
      </c>
      <c r="G26" s="5"/>
      <c r="H26" s="5"/>
      <c r="J26" s="7" t="n">
        <v>0</v>
      </c>
      <c r="L26" s="7" t="n">
        <v>3</v>
      </c>
      <c r="N26" s="7" t="n">
        <f aca="false">J26-L26</f>
        <v>-3</v>
      </c>
      <c r="O26" s="7" t="n">
        <v>0</v>
      </c>
      <c r="T26" s="7" t="n">
        <v>0</v>
      </c>
      <c r="V26" s="7" t="n">
        <v>1359.4</v>
      </c>
      <c r="X26" s="5"/>
      <c r="Y26" s="5"/>
    </row>
    <row r="27" s="7" customFormat="true" ht="15" hidden="false" customHeight="false" outlineLevel="0" collapsed="false">
      <c r="C27" s="8" t="n">
        <v>41509</v>
      </c>
      <c r="D27" s="7" t="n">
        <v>21.2</v>
      </c>
      <c r="E27" s="7" t="n">
        <v>15.3</v>
      </c>
      <c r="F27" s="7" t="n">
        <v>27.7</v>
      </c>
      <c r="G27" s="5"/>
      <c r="H27" s="5"/>
      <c r="J27" s="7" t="n">
        <v>2.1</v>
      </c>
      <c r="L27" s="7" t="n">
        <v>4.1</v>
      </c>
      <c r="N27" s="7" t="n">
        <f aca="false">J27-L27</f>
        <v>-2</v>
      </c>
      <c r="O27" s="7" t="n">
        <v>0</v>
      </c>
      <c r="T27" s="7" t="n">
        <v>0</v>
      </c>
      <c r="V27" s="7" t="n">
        <v>1711.8</v>
      </c>
      <c r="X27" s="5"/>
      <c r="Y27" s="5"/>
    </row>
    <row r="28" s="7" customFormat="true" ht="15" hidden="false" customHeight="false" outlineLevel="0" collapsed="false">
      <c r="C28" s="8" t="n">
        <v>41510</v>
      </c>
      <c r="D28" s="7" t="n">
        <v>16.6</v>
      </c>
      <c r="E28" s="7" t="n">
        <v>16</v>
      </c>
      <c r="F28" s="7" t="n">
        <v>17.2</v>
      </c>
      <c r="G28" s="5"/>
      <c r="H28" s="5"/>
      <c r="J28" s="7" t="n">
        <v>20.2</v>
      </c>
      <c r="L28" s="7" t="n">
        <v>1.1</v>
      </c>
      <c r="N28" s="7" t="n">
        <f aca="false">J28-L28</f>
        <v>19.1</v>
      </c>
      <c r="O28" s="7" t="n">
        <f aca="false">O27+N28</f>
        <v>19.1</v>
      </c>
      <c r="T28" s="7" t="n">
        <v>19.1</v>
      </c>
      <c r="V28" s="7" t="n">
        <v>403</v>
      </c>
      <c r="X28" s="5"/>
      <c r="Y28" s="5"/>
    </row>
    <row r="29" s="7" customFormat="true" ht="15" hidden="false" customHeight="false" outlineLevel="0" collapsed="false">
      <c r="C29" s="8" t="n">
        <v>41511</v>
      </c>
      <c r="D29" s="7" t="n">
        <v>14.2</v>
      </c>
      <c r="E29" s="7" t="n">
        <v>14.1</v>
      </c>
      <c r="F29" s="7" t="n">
        <v>15.1</v>
      </c>
      <c r="G29" s="5"/>
      <c r="H29" s="5"/>
      <c r="J29" s="7" t="n">
        <v>2.5</v>
      </c>
      <c r="L29" s="7" t="n">
        <v>1</v>
      </c>
      <c r="N29" s="7" t="n">
        <f aca="false">J29-L29</f>
        <v>1.5</v>
      </c>
      <c r="O29" s="7" t="n">
        <f aca="false">O28+N29</f>
        <v>20.6</v>
      </c>
      <c r="T29" s="7" t="n">
        <v>20.6</v>
      </c>
      <c r="V29" s="7" t="n">
        <v>470.4</v>
      </c>
      <c r="X29" s="5"/>
      <c r="Y29" s="5"/>
    </row>
    <row r="30" s="7" customFormat="true" ht="15" hidden="false" customHeight="false" outlineLevel="0" collapsed="false">
      <c r="C30" s="8" t="n">
        <v>41512</v>
      </c>
      <c r="D30" s="7" t="n">
        <v>17.2</v>
      </c>
      <c r="E30" s="7" t="n">
        <v>12.3</v>
      </c>
      <c r="F30" s="7" t="n">
        <v>22.7</v>
      </c>
      <c r="G30" s="5"/>
      <c r="H30" s="5"/>
      <c r="J30" s="7" t="n">
        <v>0</v>
      </c>
      <c r="L30" s="7" t="n">
        <v>3.4</v>
      </c>
      <c r="N30" s="7" t="n">
        <f aca="false">J30-L30</f>
        <v>-3.4</v>
      </c>
      <c r="O30" s="7" t="n">
        <f aca="false">O29+N30</f>
        <v>17.2</v>
      </c>
      <c r="T30" s="7" t="n">
        <v>17.2</v>
      </c>
      <c r="V30" s="7" t="n">
        <v>1707.5</v>
      </c>
      <c r="X30" s="5"/>
      <c r="Y30" s="5"/>
    </row>
    <row r="31" s="7" customFormat="true" ht="15" hidden="false" customHeight="false" outlineLevel="0" collapsed="false">
      <c r="C31" s="8" t="n">
        <v>41513</v>
      </c>
      <c r="D31" s="7" t="n">
        <v>18</v>
      </c>
      <c r="E31" s="7" t="n">
        <v>15.3</v>
      </c>
      <c r="F31" s="7" t="n">
        <v>21.6</v>
      </c>
      <c r="G31" s="5"/>
      <c r="H31" s="5"/>
      <c r="J31" s="7" t="n">
        <v>0</v>
      </c>
      <c r="L31" s="7" t="n">
        <v>2.8</v>
      </c>
      <c r="N31" s="7" t="n">
        <f aca="false">J31-L31</f>
        <v>-2.8</v>
      </c>
      <c r="O31" s="7" t="n">
        <f aca="false">O30+N31</f>
        <v>14.4</v>
      </c>
      <c r="T31" s="7" t="n">
        <v>14.4</v>
      </c>
      <c r="V31" s="7" t="n">
        <v>1276.6</v>
      </c>
      <c r="X31" s="5"/>
      <c r="Y31" s="5"/>
    </row>
    <row r="32" s="7" customFormat="true" ht="15" hidden="false" customHeight="false" outlineLevel="0" collapsed="false">
      <c r="C32" s="8" t="n">
        <v>41514</v>
      </c>
      <c r="D32" s="7" t="n">
        <v>17.1</v>
      </c>
      <c r="E32" s="7" t="n">
        <v>13.1</v>
      </c>
      <c r="F32" s="7" t="n">
        <v>22.6</v>
      </c>
      <c r="G32" s="5"/>
      <c r="H32" s="5"/>
      <c r="J32" s="7" t="n">
        <v>0.2</v>
      </c>
      <c r="L32" s="7" t="n">
        <v>3.5</v>
      </c>
      <c r="N32" s="7" t="n">
        <f aca="false">J32-L32</f>
        <v>-3.3</v>
      </c>
      <c r="O32" s="7" t="n">
        <f aca="false">O31+N32</f>
        <v>11.1</v>
      </c>
      <c r="T32" s="7" t="n">
        <v>11.1</v>
      </c>
      <c r="V32" s="7" t="n">
        <v>1566</v>
      </c>
      <c r="X32" s="5"/>
      <c r="Y32" s="5"/>
    </row>
    <row r="33" s="7" customFormat="true" ht="15" hidden="false" customHeight="false" outlineLevel="0" collapsed="false">
      <c r="C33" s="8" t="n">
        <v>41515</v>
      </c>
      <c r="D33" s="7" t="n">
        <v>16.4</v>
      </c>
      <c r="E33" s="7" t="n">
        <v>12.5</v>
      </c>
      <c r="F33" s="7" t="n">
        <v>21.8</v>
      </c>
      <c r="G33" s="5"/>
      <c r="H33" s="5"/>
      <c r="J33" s="7" t="n">
        <v>0</v>
      </c>
      <c r="L33" s="7" t="n">
        <v>3.4</v>
      </c>
      <c r="N33" s="7" t="n">
        <f aca="false">J33-L33</f>
        <v>-3.4</v>
      </c>
      <c r="O33" s="7" t="n">
        <f aca="false">O32+N33</f>
        <v>7.7</v>
      </c>
      <c r="T33" s="7" t="n">
        <v>7.7</v>
      </c>
      <c r="V33" s="7" t="n">
        <v>1767.9</v>
      </c>
      <c r="X33" s="5"/>
      <c r="Y33" s="5"/>
    </row>
    <row r="34" s="7" customFormat="true" ht="15" hidden="false" customHeight="false" outlineLevel="0" collapsed="false">
      <c r="C34" s="8" t="n">
        <v>41516</v>
      </c>
      <c r="D34" s="7" t="n">
        <v>16.4</v>
      </c>
      <c r="E34" s="7" t="n">
        <v>10.7</v>
      </c>
      <c r="F34" s="7" t="n">
        <v>21.5</v>
      </c>
      <c r="G34" s="5"/>
      <c r="H34" s="5"/>
      <c r="J34" s="7" t="n">
        <v>0</v>
      </c>
      <c r="L34" s="7" t="n">
        <v>2.6</v>
      </c>
      <c r="N34" s="7" t="n">
        <f aca="false">J34-L34</f>
        <v>-2.6</v>
      </c>
      <c r="O34" s="7" t="n">
        <f aca="false">O33+N34</f>
        <v>5.1</v>
      </c>
      <c r="T34" s="7" t="n">
        <v>5.1</v>
      </c>
      <c r="V34" s="7" t="n">
        <v>1394</v>
      </c>
      <c r="X34" s="5"/>
      <c r="Y34" s="5"/>
    </row>
    <row r="35" s="7" customFormat="true" ht="15" hidden="false" customHeight="false" outlineLevel="0" collapsed="false">
      <c r="C35" s="8" t="n">
        <v>41517</v>
      </c>
      <c r="D35" s="7" t="n">
        <v>16.8</v>
      </c>
      <c r="E35" s="7" t="n">
        <v>15.5</v>
      </c>
      <c r="F35" s="7" t="n">
        <v>20.4</v>
      </c>
      <c r="G35" s="5"/>
      <c r="H35" s="5"/>
      <c r="J35" s="7" t="n">
        <v>0</v>
      </c>
      <c r="L35" s="7" t="n">
        <v>1.9</v>
      </c>
      <c r="N35" s="7" t="n">
        <f aca="false">J35-L35</f>
        <v>-1.9</v>
      </c>
      <c r="O35" s="7" t="n">
        <f aca="false">O34+N35</f>
        <v>3.2</v>
      </c>
      <c r="T35" s="7" t="n">
        <v>3.2</v>
      </c>
      <c r="V35" s="7" t="n">
        <v>954.9</v>
      </c>
      <c r="X35" s="5"/>
      <c r="Y35" s="5"/>
    </row>
    <row r="36" s="7" customFormat="true" ht="15" hidden="false" customHeight="false" outlineLevel="0" collapsed="false">
      <c r="C36" s="8" t="n">
        <v>41518</v>
      </c>
      <c r="D36" s="7" t="n">
        <v>13.1</v>
      </c>
      <c r="E36" s="7" t="n">
        <v>8</v>
      </c>
      <c r="F36" s="7" t="n">
        <v>18.5</v>
      </c>
      <c r="G36" s="5"/>
      <c r="H36" s="5"/>
      <c r="J36" s="7" t="n">
        <v>0</v>
      </c>
      <c r="L36" s="7" t="n">
        <v>2.7</v>
      </c>
      <c r="N36" s="7" t="n">
        <f aca="false">J36-L36</f>
        <v>-2.7</v>
      </c>
      <c r="O36" s="7" t="n">
        <f aca="false">O35+N36</f>
        <v>0.499999999999998</v>
      </c>
      <c r="T36" s="7" t="n">
        <v>0.5</v>
      </c>
      <c r="V36" s="7" t="n">
        <v>1477.2</v>
      </c>
      <c r="X36" s="5"/>
      <c r="Y36" s="5"/>
    </row>
    <row r="37" s="7" customFormat="true" ht="15" hidden="false" customHeight="false" outlineLevel="0" collapsed="false">
      <c r="C37" s="8" t="n">
        <v>41519</v>
      </c>
      <c r="D37" s="7" t="n">
        <v>15.1</v>
      </c>
      <c r="E37" s="7" t="n">
        <v>10.6</v>
      </c>
      <c r="F37" s="7" t="n">
        <v>20.8</v>
      </c>
      <c r="G37" s="5"/>
      <c r="H37" s="5"/>
      <c r="J37" s="7" t="n">
        <v>0</v>
      </c>
      <c r="L37" s="7" t="n">
        <v>3.5</v>
      </c>
      <c r="N37" s="7" t="n">
        <f aca="false">J37-L37</f>
        <v>-3.5</v>
      </c>
      <c r="O37" s="7" t="n">
        <v>0</v>
      </c>
      <c r="T37" s="7" t="n">
        <v>0</v>
      </c>
      <c r="V37" s="7" t="n">
        <v>1767</v>
      </c>
      <c r="X37" s="5"/>
      <c r="Y37" s="5"/>
    </row>
    <row r="38" s="7" customFormat="true" ht="15" hidden="false" customHeight="false" outlineLevel="0" collapsed="false">
      <c r="C38" s="8" t="n">
        <v>41520</v>
      </c>
      <c r="D38" s="7" t="n">
        <v>17.6</v>
      </c>
      <c r="E38" s="7" t="n">
        <v>10.9</v>
      </c>
      <c r="F38" s="7" t="n">
        <v>23.4</v>
      </c>
      <c r="G38" s="5"/>
      <c r="H38" s="5"/>
      <c r="J38" s="7" t="n">
        <v>0.2</v>
      </c>
      <c r="L38" s="7" t="n">
        <v>3.6</v>
      </c>
      <c r="N38" s="7" t="n">
        <f aca="false">J38-L38</f>
        <v>-3.4</v>
      </c>
      <c r="O38" s="7" t="n">
        <v>0</v>
      </c>
      <c r="T38" s="7" t="n">
        <v>0</v>
      </c>
      <c r="V38" s="7" t="n">
        <v>1795.1</v>
      </c>
      <c r="X38" s="5"/>
      <c r="Y38" s="5"/>
    </row>
    <row r="39" s="7" customFormat="true" ht="15" hidden="false" customHeight="false" outlineLevel="0" collapsed="false">
      <c r="A39" s="9" t="s">
        <v>26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="7" customFormat="true" ht="15" hidden="false" customHeight="false" outlineLevel="0" collapsed="false">
      <c r="A40" s="10" t="s">
        <v>27</v>
      </c>
      <c r="B40" s="11"/>
      <c r="C40" s="8" t="n">
        <v>41521</v>
      </c>
      <c r="D40" s="7" t="n">
        <v>20.2</v>
      </c>
      <c r="E40" s="7" t="n">
        <v>11.9</v>
      </c>
      <c r="F40" s="12" t="n">
        <v>27.3</v>
      </c>
      <c r="G40" s="7" t="n">
        <f aca="false">D40</f>
        <v>20.2</v>
      </c>
      <c r="I40" s="13" t="s">
        <v>28</v>
      </c>
      <c r="J40" s="7" t="n">
        <v>0</v>
      </c>
      <c r="K40" s="7" t="n">
        <f aca="false">J40</f>
        <v>0</v>
      </c>
      <c r="L40" s="7" t="n">
        <v>4.3</v>
      </c>
      <c r="M40" s="7" t="n">
        <f aca="false">L40</f>
        <v>4.3</v>
      </c>
      <c r="N40" s="14" t="n">
        <f aca="false">J40-L40</f>
        <v>-4.3</v>
      </c>
      <c r="O40" s="7" t="n">
        <f aca="false">O38+N40</f>
        <v>-4.3</v>
      </c>
      <c r="P40" s="7" t="n">
        <v>1</v>
      </c>
      <c r="Q40" s="7" t="n">
        <v>0.35</v>
      </c>
      <c r="R40" s="15" t="n">
        <f aca="false">Q40*L40</f>
        <v>1.505</v>
      </c>
      <c r="S40" s="15" t="n">
        <f aca="false">J40-R40</f>
        <v>-1.505</v>
      </c>
      <c r="T40" s="15" t="n">
        <v>0</v>
      </c>
      <c r="U40" s="13" t="s">
        <v>29</v>
      </c>
      <c r="V40" s="7" t="n">
        <v>2061.8</v>
      </c>
      <c r="W40" s="7" t="n">
        <f aca="false">V40/D40</f>
        <v>102.069306930693</v>
      </c>
      <c r="X40" s="7" t="n">
        <f aca="false">V40</f>
        <v>2061.8</v>
      </c>
      <c r="Z40" s="13" t="s">
        <v>30</v>
      </c>
      <c r="AA40" s="7" t="n">
        <v>13.3043407395317</v>
      </c>
    </row>
    <row r="41" s="7" customFormat="true" ht="15" hidden="false" customHeight="false" outlineLevel="0" collapsed="false">
      <c r="A41" s="10"/>
      <c r="B41" s="11"/>
      <c r="C41" s="8" t="n">
        <v>41522</v>
      </c>
      <c r="D41" s="7" t="n">
        <v>22</v>
      </c>
      <c r="E41" s="7" t="n">
        <v>14.5</v>
      </c>
      <c r="F41" s="12" t="n">
        <v>30.7</v>
      </c>
      <c r="G41" s="7" t="n">
        <f aca="false">G40+D41</f>
        <v>42.2</v>
      </c>
      <c r="I41" s="7" t="n">
        <v>-0.1</v>
      </c>
      <c r="J41" s="7" t="n">
        <v>0</v>
      </c>
      <c r="K41" s="7" t="n">
        <f aca="false">K40+J41</f>
        <v>0</v>
      </c>
      <c r="L41" s="7" t="n">
        <v>4.9</v>
      </c>
      <c r="M41" s="7" t="n">
        <f aca="false">M40+L41</f>
        <v>9.2</v>
      </c>
      <c r="N41" s="14" t="n">
        <f aca="false">J41-L41</f>
        <v>-4.9</v>
      </c>
      <c r="O41" s="7" t="n">
        <f aca="false">O40+N41</f>
        <v>-9.2</v>
      </c>
      <c r="P41" s="7" t="n">
        <v>2</v>
      </c>
      <c r="Q41" s="7" t="n">
        <v>0.35</v>
      </c>
      <c r="R41" s="15" t="n">
        <f aca="false">Q41*L41</f>
        <v>1.715</v>
      </c>
      <c r="S41" s="15" t="n">
        <f aca="false">J41-R41</f>
        <v>-1.715</v>
      </c>
      <c r="T41" s="15" t="n">
        <v>0</v>
      </c>
      <c r="V41" s="7" t="n">
        <v>1907.6</v>
      </c>
      <c r="W41" s="7" t="n">
        <f aca="false">V41/D41</f>
        <v>86.7090909090909</v>
      </c>
      <c r="X41" s="7" t="n">
        <f aca="false">X40+V41</f>
        <v>3969.4</v>
      </c>
      <c r="Z41" s="7" t="n">
        <v>46235.9</v>
      </c>
      <c r="AA41" s="7" t="n">
        <v>13.2443644788464</v>
      </c>
    </row>
    <row r="42" s="7" customFormat="true" ht="15" hidden="false" customHeight="false" outlineLevel="0" collapsed="false">
      <c r="A42" s="10"/>
      <c r="B42" s="11"/>
      <c r="C42" s="8" t="n">
        <v>41523</v>
      </c>
      <c r="D42" s="7" t="n">
        <v>15.4</v>
      </c>
      <c r="E42" s="7" t="n">
        <v>12.7</v>
      </c>
      <c r="F42" s="7" t="n">
        <v>16.8</v>
      </c>
      <c r="G42" s="7" t="n">
        <f aca="false">G41+D42</f>
        <v>57.6</v>
      </c>
      <c r="I42" s="13" t="s">
        <v>31</v>
      </c>
      <c r="J42" s="7" t="n">
        <v>5.9</v>
      </c>
      <c r="K42" s="7" t="n">
        <f aca="false">K41+J42</f>
        <v>5.9</v>
      </c>
      <c r="L42" s="7" t="n">
        <v>1.3</v>
      </c>
      <c r="M42" s="7" t="n">
        <f aca="false">M41+L42</f>
        <v>10.5</v>
      </c>
      <c r="N42" s="7" t="n">
        <f aca="false">J42-L42</f>
        <v>4.6</v>
      </c>
      <c r="O42" s="7" t="n">
        <f aca="false">O41+N42</f>
        <v>-4.6</v>
      </c>
      <c r="P42" s="7" t="n">
        <v>3</v>
      </c>
      <c r="Q42" s="7" t="n">
        <v>0.35</v>
      </c>
      <c r="R42" s="15" t="n">
        <f aca="false">Q42*L42</f>
        <v>0.455</v>
      </c>
      <c r="S42" s="15" t="n">
        <f aca="false">J42-R42</f>
        <v>5.445</v>
      </c>
      <c r="T42" s="15" t="n">
        <f aca="false">MIN(189.6,(T41+S42))</f>
        <v>5.445</v>
      </c>
      <c r="U42" s="13" t="s">
        <v>32</v>
      </c>
      <c r="V42" s="16" t="n">
        <v>709.9</v>
      </c>
      <c r="W42" s="7" t="n">
        <f aca="false">V42/D42</f>
        <v>46.0974025974026</v>
      </c>
      <c r="X42" s="7" t="n">
        <f aca="false">X41+V42</f>
        <v>4679.3</v>
      </c>
      <c r="Z42" s="13" t="s">
        <v>33</v>
      </c>
      <c r="AA42" s="7" t="n">
        <v>13.1842668281984</v>
      </c>
    </row>
    <row r="43" s="7" customFormat="true" ht="15" hidden="false" customHeight="false" outlineLevel="0" collapsed="false">
      <c r="A43" s="10"/>
      <c r="B43" s="11"/>
      <c r="C43" s="8" t="n">
        <v>41524</v>
      </c>
      <c r="D43" s="7" t="n">
        <v>15.2</v>
      </c>
      <c r="E43" s="7" t="n">
        <v>11.7</v>
      </c>
      <c r="F43" s="7" t="n">
        <v>18.8</v>
      </c>
      <c r="G43" s="7" t="n">
        <f aca="false">G42+D43</f>
        <v>72.8</v>
      </c>
      <c r="I43" s="7" t="n">
        <v>30.7</v>
      </c>
      <c r="J43" s="7" t="n">
        <v>0</v>
      </c>
      <c r="K43" s="7" t="n">
        <f aca="false">K42+J43</f>
        <v>5.9</v>
      </c>
      <c r="L43" s="7" t="n">
        <v>3</v>
      </c>
      <c r="M43" s="7" t="n">
        <f aca="false">M42+L43</f>
        <v>13.5</v>
      </c>
      <c r="N43" s="14" t="n">
        <f aca="false">J43-L43</f>
        <v>-3</v>
      </c>
      <c r="O43" s="7" t="n">
        <f aca="false">O42+N43</f>
        <v>-7.6</v>
      </c>
      <c r="P43" s="7" t="n">
        <v>4</v>
      </c>
      <c r="Q43" s="7" t="n">
        <v>0.35</v>
      </c>
      <c r="R43" s="15" t="n">
        <f aca="false">Q43*L43</f>
        <v>1.05</v>
      </c>
      <c r="S43" s="15" t="n">
        <f aca="false">J43-R43</f>
        <v>-1.05</v>
      </c>
      <c r="T43" s="15" t="n">
        <f aca="false">MIN(189.6,(T42+S43))</f>
        <v>4.395</v>
      </c>
      <c r="V43" s="7" t="n">
        <v>1707</v>
      </c>
      <c r="W43" s="7" t="n">
        <f aca="false">V43/D43</f>
        <v>112.302631578947</v>
      </c>
      <c r="X43" s="7" t="n">
        <f aca="false">X42+V43</f>
        <v>6386.3</v>
      </c>
      <c r="Z43" s="17"/>
      <c r="AA43" s="7" t="n">
        <v>13.1240552211427</v>
      </c>
    </row>
    <row r="44" s="7" customFormat="true" ht="15" hidden="false" customHeight="false" outlineLevel="0" collapsed="false">
      <c r="A44" s="10"/>
      <c r="B44" s="11"/>
      <c r="C44" s="8" t="n">
        <v>41525</v>
      </c>
      <c r="D44" s="7" t="n">
        <v>14.2</v>
      </c>
      <c r="E44" s="7" t="n">
        <v>10.8</v>
      </c>
      <c r="F44" s="7" t="n">
        <v>19.9</v>
      </c>
      <c r="G44" s="7" t="n">
        <f aca="false">G43+D44</f>
        <v>87</v>
      </c>
      <c r="I44" s="13" t="s">
        <v>34</v>
      </c>
      <c r="J44" s="7" t="n">
        <v>2.9</v>
      </c>
      <c r="K44" s="7" t="n">
        <f aca="false">K43+J44</f>
        <v>8.8</v>
      </c>
      <c r="L44" s="7" t="n">
        <v>2.4</v>
      </c>
      <c r="M44" s="7" t="n">
        <f aca="false">M43+L44</f>
        <v>15.9</v>
      </c>
      <c r="N44" s="7" t="n">
        <f aca="false">J44-L44</f>
        <v>0.5</v>
      </c>
      <c r="O44" s="7" t="n">
        <f aca="false">O43+N44</f>
        <v>-7.1</v>
      </c>
      <c r="P44" s="7" t="n">
        <v>5</v>
      </c>
      <c r="Q44" s="7" t="n">
        <v>0.35</v>
      </c>
      <c r="R44" s="15" t="n">
        <f aca="false">Q44*L44</f>
        <v>0.84</v>
      </c>
      <c r="S44" s="15" t="n">
        <f aca="false">J44-R44</f>
        <v>2.06</v>
      </c>
      <c r="T44" s="15" t="n">
        <f aca="false">MIN(189.6,(T43+S44))</f>
        <v>6.455</v>
      </c>
      <c r="U44" s="13" t="s">
        <v>35</v>
      </c>
      <c r="V44" s="7" t="n">
        <v>1086.1</v>
      </c>
      <c r="W44" s="7" t="n">
        <f aca="false">V44/D44</f>
        <v>76.4859154929577</v>
      </c>
      <c r="X44" s="7" t="n">
        <f aca="false">X43+V44</f>
        <v>7472.4</v>
      </c>
      <c r="Z44" s="13" t="s">
        <v>36</v>
      </c>
      <c r="AA44" s="7" t="n">
        <v>13.0637368312795</v>
      </c>
    </row>
    <row r="45" s="7" customFormat="true" ht="15" hidden="false" customHeight="false" outlineLevel="0" collapsed="false">
      <c r="A45" s="10"/>
      <c r="B45" s="11"/>
      <c r="C45" s="8" t="n">
        <v>41526</v>
      </c>
      <c r="D45" s="7" t="n">
        <v>11.8</v>
      </c>
      <c r="E45" s="7" t="n">
        <v>8.8</v>
      </c>
      <c r="F45" s="7" t="n">
        <v>15.3</v>
      </c>
      <c r="G45" s="7" t="n">
        <f aca="false">G44+D45</f>
        <v>98.8</v>
      </c>
      <c r="I45" s="15" t="n">
        <f aca="false">AVERAGE(D40:D112)</f>
        <v>12.4205479452055</v>
      </c>
      <c r="J45" s="7" t="n">
        <v>17.9</v>
      </c>
      <c r="K45" s="7" t="n">
        <f aca="false">K44+J45</f>
        <v>26.7</v>
      </c>
      <c r="L45" s="7" t="n">
        <v>1.1</v>
      </c>
      <c r="M45" s="7" t="n">
        <f aca="false">M44+L45</f>
        <v>17</v>
      </c>
      <c r="N45" s="7" t="n">
        <f aca="false">J45-L45</f>
        <v>16.8</v>
      </c>
      <c r="O45" s="7" t="n">
        <f aca="false">O44+N45</f>
        <v>9.7</v>
      </c>
      <c r="P45" s="7" t="n">
        <v>6</v>
      </c>
      <c r="Q45" s="7" t="n">
        <v>0.35</v>
      </c>
      <c r="R45" s="15" t="n">
        <f aca="false">Q45*L45</f>
        <v>0.385</v>
      </c>
      <c r="S45" s="15" t="n">
        <f aca="false">J45-R45</f>
        <v>17.515</v>
      </c>
      <c r="T45" s="15" t="n">
        <f aca="false">MIN(189.6,(T44+S45))</f>
        <v>23.97</v>
      </c>
      <c r="U45" s="7" t="n">
        <v>2</v>
      </c>
      <c r="V45" s="16" t="n">
        <v>509</v>
      </c>
      <c r="W45" s="7" t="n">
        <f aca="false">V45/D45</f>
        <v>43.135593220339</v>
      </c>
      <c r="X45" s="7" t="n">
        <f aca="false">X44+V45</f>
        <v>7981.4</v>
      </c>
      <c r="Z45" s="7" t="n">
        <v>58</v>
      </c>
      <c r="AA45" s="7" t="n">
        <v>13.0033185890361</v>
      </c>
    </row>
    <row r="46" s="7" customFormat="true" ht="15" hidden="false" customHeight="false" outlineLevel="0" collapsed="false">
      <c r="A46" s="10"/>
      <c r="B46" s="11"/>
      <c r="C46" s="8" t="n">
        <v>41527</v>
      </c>
      <c r="D46" s="7" t="n">
        <v>11.9</v>
      </c>
      <c r="E46" s="7" t="n">
        <v>9.1</v>
      </c>
      <c r="F46" s="7" t="n">
        <v>15</v>
      </c>
      <c r="G46" s="7" t="n">
        <f aca="false">G45+D46</f>
        <v>110.7</v>
      </c>
      <c r="I46" s="13" t="s">
        <v>37</v>
      </c>
      <c r="J46" s="7" t="n">
        <v>2.3</v>
      </c>
      <c r="K46" s="7" t="n">
        <f aca="false">K45+J46</f>
        <v>29</v>
      </c>
      <c r="L46" s="7" t="n">
        <v>1.4</v>
      </c>
      <c r="M46" s="7" t="n">
        <f aca="false">M45+L46</f>
        <v>18.4</v>
      </c>
      <c r="N46" s="7" t="n">
        <f aca="false">J46-L46</f>
        <v>0.9</v>
      </c>
      <c r="O46" s="7" t="n">
        <f aca="false">O45+N46</f>
        <v>10.6</v>
      </c>
      <c r="P46" s="7" t="n">
        <v>7</v>
      </c>
      <c r="Q46" s="7" t="n">
        <v>0.35</v>
      </c>
      <c r="R46" s="15" t="n">
        <f aca="false">Q46*L46</f>
        <v>0.49</v>
      </c>
      <c r="S46" s="15" t="n">
        <f aca="false">J46-R46</f>
        <v>1.81</v>
      </c>
      <c r="T46" s="15" t="n">
        <f aca="false">MIN(189.6,(T45+S46))</f>
        <v>25.78</v>
      </c>
      <c r="U46" s="13" t="s">
        <v>38</v>
      </c>
      <c r="V46" s="16" t="n">
        <v>717.1</v>
      </c>
      <c r="W46" s="7" t="n">
        <f aca="false">V46/D46</f>
        <v>60.2605042016807</v>
      </c>
      <c r="X46" s="7" t="n">
        <f aca="false">X45+V46</f>
        <v>8698.5</v>
      </c>
      <c r="AA46" s="7" t="n">
        <v>12.9428071984942</v>
      </c>
    </row>
    <row r="47" s="7" customFormat="true" ht="15" hidden="false" customHeight="false" outlineLevel="0" collapsed="false">
      <c r="A47" s="10"/>
      <c r="B47" s="11"/>
      <c r="C47" s="8" t="n">
        <v>41528</v>
      </c>
      <c r="D47" s="7" t="n">
        <v>12.7</v>
      </c>
      <c r="E47" s="7" t="n">
        <v>11.9</v>
      </c>
      <c r="F47" s="7" t="n">
        <v>14.1</v>
      </c>
      <c r="G47" s="7" t="n">
        <f aca="false">G46+D47</f>
        <v>123.4</v>
      </c>
      <c r="I47" s="7" t="n">
        <v>1</v>
      </c>
      <c r="J47" s="7" t="n">
        <v>0.4</v>
      </c>
      <c r="K47" s="7" t="n">
        <f aca="false">K46+J47</f>
        <v>29.4</v>
      </c>
      <c r="L47" s="7" t="n">
        <v>1.1</v>
      </c>
      <c r="M47" s="7" t="n">
        <f aca="false">M46+L47</f>
        <v>19.5</v>
      </c>
      <c r="N47" s="14" t="n">
        <f aca="false">J47-L47</f>
        <v>-0.7</v>
      </c>
      <c r="O47" s="7" t="n">
        <f aca="false">O46+N47</f>
        <v>9.9</v>
      </c>
      <c r="P47" s="7" t="n">
        <v>8</v>
      </c>
      <c r="Q47" s="7" t="n">
        <v>0.35</v>
      </c>
      <c r="R47" s="15" t="n">
        <f aca="false">Q47*L47</f>
        <v>0.385</v>
      </c>
      <c r="S47" s="15" t="n">
        <f aca="false">J47-R47</f>
        <v>0.015</v>
      </c>
      <c r="T47" s="15" t="n">
        <f aca="false">MIN(189.6,(T46+S47))</f>
        <v>25.795</v>
      </c>
      <c r="U47" s="7" t="n">
        <v>34</v>
      </c>
      <c r="V47" s="16" t="n">
        <v>470.8</v>
      </c>
      <c r="W47" s="7" t="n">
        <f aca="false">V47/D47</f>
        <v>37.0708661417323</v>
      </c>
      <c r="X47" s="7" t="n">
        <f aca="false">X46+V47</f>
        <v>9169.3</v>
      </c>
      <c r="AA47" s="7" t="n">
        <v>12.8822091542565</v>
      </c>
    </row>
    <row r="48" s="7" customFormat="true" ht="15" hidden="false" customHeight="false" outlineLevel="0" collapsed="false">
      <c r="A48" s="10"/>
      <c r="B48" s="11"/>
      <c r="C48" s="8" t="n">
        <v>41529</v>
      </c>
      <c r="D48" s="7" t="n">
        <v>13.8</v>
      </c>
      <c r="E48" s="7" t="n">
        <v>11.1</v>
      </c>
      <c r="F48" s="7" t="n">
        <v>16.8</v>
      </c>
      <c r="G48" s="7" t="n">
        <f aca="false">G47+D48</f>
        <v>137.2</v>
      </c>
      <c r="I48" s="13" t="s">
        <v>39</v>
      </c>
      <c r="J48" s="7" t="n">
        <v>0.1</v>
      </c>
      <c r="K48" s="7" t="n">
        <f aca="false">K47+J48</f>
        <v>29.5</v>
      </c>
      <c r="L48" s="7" t="n">
        <v>1.3</v>
      </c>
      <c r="M48" s="7" t="n">
        <f aca="false">M47+L48</f>
        <v>20.8</v>
      </c>
      <c r="N48" s="14" t="n">
        <f aca="false">J48-L48</f>
        <v>-1.2</v>
      </c>
      <c r="O48" s="7" t="n">
        <f aca="false">O47+N48</f>
        <v>8.7</v>
      </c>
      <c r="P48" s="7" t="n">
        <v>9</v>
      </c>
      <c r="Q48" s="7" t="n">
        <v>0.35</v>
      </c>
      <c r="R48" s="15" t="n">
        <f aca="false">Q48*L48</f>
        <v>0.455</v>
      </c>
      <c r="S48" s="15" t="n">
        <f aca="false">J48-R48</f>
        <v>-0.355</v>
      </c>
      <c r="T48" s="15" t="n">
        <f aca="false">MIN(189.6,(T47+S48))</f>
        <v>25.44</v>
      </c>
      <c r="U48" s="13" t="s">
        <v>40</v>
      </c>
      <c r="V48" s="16" t="n">
        <v>671</v>
      </c>
      <c r="W48" s="7" t="n">
        <f aca="false">V48/D48</f>
        <v>48.6231884057971</v>
      </c>
      <c r="X48" s="7" t="n">
        <f aca="false">X47+V48</f>
        <v>9840.3</v>
      </c>
      <c r="AA48" s="7" t="n">
        <v>12.8215307583491</v>
      </c>
    </row>
    <row r="49" s="7" customFormat="true" ht="15" hidden="false" customHeight="false" outlineLevel="0" collapsed="false">
      <c r="A49" s="10"/>
      <c r="B49" s="11"/>
      <c r="C49" s="8" t="n">
        <v>41530</v>
      </c>
      <c r="D49" s="7" t="n">
        <v>14.9</v>
      </c>
      <c r="E49" s="7" t="n">
        <v>11.4</v>
      </c>
      <c r="F49" s="7" t="n">
        <v>17.3</v>
      </c>
      <c r="G49" s="7" t="n">
        <f aca="false">G48+D49</f>
        <v>152.1</v>
      </c>
      <c r="I49" s="7" t="n">
        <v>2</v>
      </c>
      <c r="J49" s="7" t="n">
        <v>8.7</v>
      </c>
      <c r="K49" s="7" t="n">
        <f aca="false">K48+J49</f>
        <v>38.2</v>
      </c>
      <c r="L49" s="7" t="n">
        <v>0.6</v>
      </c>
      <c r="M49" s="7" t="n">
        <f aca="false">M48+L49</f>
        <v>21.4</v>
      </c>
      <c r="N49" s="7" t="n">
        <f aca="false">J49-L49</f>
        <v>8.1</v>
      </c>
      <c r="O49" s="7" t="n">
        <f aca="false">O48+N49</f>
        <v>16.8</v>
      </c>
      <c r="P49" s="7" t="n">
        <v>10</v>
      </c>
      <c r="Q49" s="7" t="n">
        <f aca="false">0.35+((P49-9)/64)*(1-0.35)</f>
        <v>0.36015625</v>
      </c>
      <c r="R49" s="15" t="n">
        <f aca="false">Q49*L49</f>
        <v>0.21609375</v>
      </c>
      <c r="S49" s="15" t="n">
        <f aca="false">J49-R49</f>
        <v>8.48390625</v>
      </c>
      <c r="T49" s="15" t="n">
        <f aca="false">MIN(189.6,(T48+S49))</f>
        <v>33.92390625</v>
      </c>
      <c r="U49" s="15" t="n">
        <v>0</v>
      </c>
      <c r="V49" s="16" t="n">
        <v>384.5</v>
      </c>
      <c r="W49" s="7" t="n">
        <f aca="false">V49/D49</f>
        <v>25.8053691275168</v>
      </c>
      <c r="X49" s="7" t="n">
        <f aca="false">X48+V49</f>
        <v>10224.8</v>
      </c>
      <c r="AA49" s="7" t="n">
        <v>12.7607781371563</v>
      </c>
    </row>
    <row r="50" s="7" customFormat="true" ht="15" hidden="false" customHeight="false" outlineLevel="0" collapsed="false">
      <c r="A50" s="10"/>
      <c r="B50" s="11"/>
      <c r="C50" s="8" t="n">
        <v>41531</v>
      </c>
      <c r="D50" s="7" t="n">
        <v>14.2</v>
      </c>
      <c r="E50" s="7" t="n">
        <v>13.3</v>
      </c>
      <c r="F50" s="7" t="n">
        <v>15</v>
      </c>
      <c r="G50" s="7" t="n">
        <f aca="false">G49+D50</f>
        <v>166.3</v>
      </c>
      <c r="I50" s="13" t="s">
        <v>41</v>
      </c>
      <c r="J50" s="7" t="n">
        <v>1.9</v>
      </c>
      <c r="K50" s="7" t="n">
        <f aca="false">K49+J50</f>
        <v>40.1</v>
      </c>
      <c r="L50" s="7" t="n">
        <v>0.8</v>
      </c>
      <c r="M50" s="7" t="n">
        <f aca="false">M49+L50</f>
        <v>22.2</v>
      </c>
      <c r="N50" s="7" t="n">
        <f aca="false">J50-L50</f>
        <v>1.1</v>
      </c>
      <c r="O50" s="7" t="n">
        <f aca="false">O49+N50</f>
        <v>17.9</v>
      </c>
      <c r="P50" s="7" t="n">
        <v>11</v>
      </c>
      <c r="Q50" s="7" t="n">
        <f aca="false">0.35+((P50-9)/64)*(1-0.35)</f>
        <v>0.3703125</v>
      </c>
      <c r="R50" s="15" t="n">
        <f aca="false">Q50*L50</f>
        <v>0.29625</v>
      </c>
      <c r="S50" s="15" t="n">
        <f aca="false">J50-R50</f>
        <v>1.60375</v>
      </c>
      <c r="T50" s="15" t="n">
        <f aca="false">MIN(189.6,(T49+S50))</f>
        <v>35.52765625</v>
      </c>
      <c r="U50" s="13" t="s">
        <v>42</v>
      </c>
      <c r="V50" s="16" t="n">
        <v>425.9</v>
      </c>
      <c r="W50" s="7" t="n">
        <f aca="false">V50/D50</f>
        <v>29.9929577464789</v>
      </c>
      <c r="X50" s="7" t="n">
        <f aca="false">X49+V50</f>
        <v>10650.7</v>
      </c>
      <c r="AA50" s="7" t="n">
        <v>12.6999572583863</v>
      </c>
    </row>
    <row r="51" s="7" customFormat="true" ht="15" hidden="false" customHeight="false" outlineLevel="0" collapsed="false">
      <c r="A51" s="10"/>
      <c r="B51" s="11"/>
      <c r="C51" s="8" t="n">
        <v>41532</v>
      </c>
      <c r="D51" s="7" t="n">
        <v>13.1</v>
      </c>
      <c r="E51" s="7" t="n">
        <v>8.8</v>
      </c>
      <c r="F51" s="7" t="n">
        <v>16</v>
      </c>
      <c r="G51" s="7" t="n">
        <f aca="false">G50+D51</f>
        <v>179.4</v>
      </c>
      <c r="I51" s="7" t="n">
        <v>7</v>
      </c>
      <c r="J51" s="7" t="n">
        <v>2.5</v>
      </c>
      <c r="K51" s="7" t="n">
        <f aca="false">K50+J51</f>
        <v>42.6</v>
      </c>
      <c r="L51" s="7" t="n">
        <v>1.6</v>
      </c>
      <c r="M51" s="7" t="n">
        <f aca="false">M50+L51</f>
        <v>23.8</v>
      </c>
      <c r="N51" s="7" t="n">
        <f aca="false">J51-L51</f>
        <v>0.9</v>
      </c>
      <c r="O51" s="7" t="n">
        <f aca="false">O50+N51</f>
        <v>18.8</v>
      </c>
      <c r="P51" s="7" t="n">
        <v>12</v>
      </c>
      <c r="Q51" s="7" t="n">
        <f aca="false">0.35+((P51-9)/64)*(1-0.35)</f>
        <v>0.38046875</v>
      </c>
      <c r="R51" s="15" t="n">
        <f aca="false">Q51*L51</f>
        <v>0.60875</v>
      </c>
      <c r="S51" s="15" t="n">
        <f aca="false">J51-R51</f>
        <v>1.89125</v>
      </c>
      <c r="T51" s="15" t="n">
        <f aca="false">MIN(189.6,(T50+S51))</f>
        <v>37.41890625</v>
      </c>
      <c r="U51" s="15" t="n">
        <v>172.4</v>
      </c>
      <c r="V51" s="16" t="n">
        <v>788.8</v>
      </c>
      <c r="W51" s="7" t="n">
        <f aca="false">V51/D51</f>
        <v>60.2137404580153</v>
      </c>
      <c r="X51" s="7" t="n">
        <f aca="false">X50+V51</f>
        <v>11439.5</v>
      </c>
      <c r="AA51" s="7" t="n">
        <v>12.6390739480711</v>
      </c>
    </row>
    <row r="52" s="7" customFormat="true" ht="15" hidden="false" customHeight="false" outlineLevel="0" collapsed="false">
      <c r="A52" s="10"/>
      <c r="B52" s="11"/>
      <c r="C52" s="8" t="n">
        <v>41533</v>
      </c>
      <c r="D52" s="7" t="n">
        <v>11.7</v>
      </c>
      <c r="E52" s="7" t="n">
        <v>11.4</v>
      </c>
      <c r="F52" s="7" t="n">
        <v>13.2</v>
      </c>
      <c r="G52" s="7" t="n">
        <f aca="false">G51+D52</f>
        <v>191.1</v>
      </c>
      <c r="I52" s="13" t="s">
        <v>43</v>
      </c>
      <c r="J52" s="7" t="n">
        <v>3.3</v>
      </c>
      <c r="K52" s="7" t="n">
        <f aca="false">K51+J52</f>
        <v>45.9</v>
      </c>
      <c r="L52" s="7" t="n">
        <v>1.5</v>
      </c>
      <c r="M52" s="7" t="n">
        <f aca="false">M51+L52</f>
        <v>25.3</v>
      </c>
      <c r="N52" s="7" t="n">
        <f aca="false">J52-L52</f>
        <v>1.8</v>
      </c>
      <c r="O52" s="7" t="n">
        <f aca="false">O51+N52</f>
        <v>20.6</v>
      </c>
      <c r="P52" s="7" t="n">
        <v>13</v>
      </c>
      <c r="Q52" s="7" t="n">
        <f aca="false">0.35+((P52-9)/64)*(1-0.35)</f>
        <v>0.390625</v>
      </c>
      <c r="R52" s="15" t="n">
        <f aca="false">Q52*L52</f>
        <v>0.5859375</v>
      </c>
      <c r="S52" s="15" t="n">
        <f aca="false">J52-R52</f>
        <v>2.7140625</v>
      </c>
      <c r="T52" s="15" t="n">
        <f aca="false">MIN(189.6,(T51+S52))</f>
        <v>40.13296875</v>
      </c>
      <c r="U52" s="13" t="s">
        <v>44</v>
      </c>
      <c r="V52" s="16" t="n">
        <v>700.4</v>
      </c>
      <c r="W52" s="7" t="n">
        <f aca="false">V52/D52</f>
        <v>59.8632478632479</v>
      </c>
      <c r="X52" s="7" t="n">
        <f aca="false">X51+V52</f>
        <v>12139.9</v>
      </c>
      <c r="AA52" s="7" t="n">
        <v>12.5781339075999</v>
      </c>
    </row>
    <row r="53" s="7" customFormat="true" ht="15" hidden="false" customHeight="false" outlineLevel="0" collapsed="false">
      <c r="A53" s="10"/>
      <c r="B53" s="11"/>
      <c r="C53" s="8" t="n">
        <v>41534</v>
      </c>
      <c r="D53" s="7" t="n">
        <v>11.8</v>
      </c>
      <c r="E53" s="7" t="n">
        <v>8.2</v>
      </c>
      <c r="F53" s="7" t="n">
        <v>15.5</v>
      </c>
      <c r="G53" s="7" t="n">
        <f aca="false">G52+D53</f>
        <v>202.9</v>
      </c>
      <c r="I53" s="7" t="n">
        <v>906.7</v>
      </c>
      <c r="J53" s="7" t="n">
        <v>18.3</v>
      </c>
      <c r="K53" s="7" t="n">
        <f aca="false">K52+J53</f>
        <v>64.2</v>
      </c>
      <c r="L53" s="7" t="n">
        <v>1.7</v>
      </c>
      <c r="M53" s="7" t="n">
        <f aca="false">M52+L53</f>
        <v>27</v>
      </c>
      <c r="N53" s="7" t="n">
        <f aca="false">J53-L53</f>
        <v>16.6</v>
      </c>
      <c r="O53" s="7" t="n">
        <f aca="false">O52+N53</f>
        <v>37.2</v>
      </c>
      <c r="P53" s="7" t="n">
        <v>14</v>
      </c>
      <c r="Q53" s="7" t="n">
        <f aca="false">0.35+((P53-9)/64)*(1-0.35)</f>
        <v>0.40078125</v>
      </c>
      <c r="R53" s="15" t="n">
        <f aca="false">Q53*L53</f>
        <v>0.681328125</v>
      </c>
      <c r="S53" s="15" t="n">
        <f aca="false">J53-R53</f>
        <v>17.618671875</v>
      </c>
      <c r="T53" s="15" t="n">
        <f aca="false">MIN(189.6,(T52+S53))</f>
        <v>57.751640625</v>
      </c>
      <c r="U53" s="17" t="n">
        <f aca="false">AVERAGE(T40:T112)</f>
        <v>81.0888869863014</v>
      </c>
      <c r="V53" s="7" t="n">
        <v>1007.9</v>
      </c>
      <c r="W53" s="7" t="n">
        <f aca="false">V53/D53</f>
        <v>85.4152542372881</v>
      </c>
      <c r="X53" s="7" t="n">
        <f aca="false">X52+V53</f>
        <v>13147.8</v>
      </c>
      <c r="AA53" s="7" t="n">
        <v>12.5171427307916</v>
      </c>
    </row>
    <row r="54" s="7" customFormat="true" ht="15" hidden="false" customHeight="false" outlineLevel="0" collapsed="false">
      <c r="A54" s="10"/>
      <c r="B54" s="11"/>
      <c r="C54" s="8" t="n">
        <v>41535</v>
      </c>
      <c r="D54" s="7" t="n">
        <v>13.3</v>
      </c>
      <c r="E54" s="7" t="n">
        <v>12.3</v>
      </c>
      <c r="F54" s="7" t="n">
        <v>15.2</v>
      </c>
      <c r="G54" s="7" t="n">
        <f aca="false">G53+D54</f>
        <v>216.2</v>
      </c>
      <c r="J54" s="7" t="n">
        <v>4.2</v>
      </c>
      <c r="K54" s="7" t="n">
        <f aca="false">K53+J54</f>
        <v>68.4</v>
      </c>
      <c r="L54" s="7" t="n">
        <v>0.9</v>
      </c>
      <c r="M54" s="7" t="n">
        <f aca="false">M53+L54</f>
        <v>27.9</v>
      </c>
      <c r="N54" s="7" t="n">
        <f aca="false">J54-L54</f>
        <v>3.3</v>
      </c>
      <c r="O54" s="7" t="n">
        <f aca="false">O53+N54</f>
        <v>40.5</v>
      </c>
      <c r="P54" s="7" t="n">
        <v>15</v>
      </c>
      <c r="Q54" s="7" t="n">
        <f aca="false">0.35+((P54-9)/64)*(1-0.35)</f>
        <v>0.4109375</v>
      </c>
      <c r="R54" s="15" t="n">
        <f aca="false">Q54*L54</f>
        <v>0.36984375</v>
      </c>
      <c r="S54" s="15" t="n">
        <f aca="false">J54-R54</f>
        <v>3.83015625</v>
      </c>
      <c r="T54" s="15" t="n">
        <f aca="false">MIN(189.6,(T53+S54))</f>
        <v>61.581796875</v>
      </c>
      <c r="V54" s="16" t="n">
        <v>365.6</v>
      </c>
      <c r="W54" s="7" t="n">
        <f aca="false">V54/D54</f>
        <v>27.4887218045113</v>
      </c>
      <c r="X54" s="7" t="n">
        <f aca="false">X53+V54</f>
        <v>13513.4</v>
      </c>
      <c r="AA54" s="7" t="n">
        <v>12.4561059210099</v>
      </c>
    </row>
    <row r="55" s="7" customFormat="true" ht="15" hidden="false" customHeight="false" outlineLevel="0" collapsed="false">
      <c r="A55" s="10"/>
      <c r="B55" s="11"/>
      <c r="C55" s="8" t="n">
        <v>41536</v>
      </c>
      <c r="D55" s="7" t="n">
        <v>12.8</v>
      </c>
      <c r="E55" s="7" t="n">
        <v>8.2</v>
      </c>
      <c r="F55" s="7" t="n">
        <v>15.9</v>
      </c>
      <c r="G55" s="7" t="n">
        <f aca="false">G54+D55</f>
        <v>229</v>
      </c>
      <c r="J55" s="7" t="n">
        <v>0</v>
      </c>
      <c r="K55" s="7" t="n">
        <f aca="false">K54+J55</f>
        <v>68.4</v>
      </c>
      <c r="L55" s="7" t="n">
        <v>1.5</v>
      </c>
      <c r="M55" s="7" t="n">
        <f aca="false">M54+L55</f>
        <v>29.4</v>
      </c>
      <c r="N55" s="14" t="n">
        <f aca="false">J55-L55</f>
        <v>-1.5</v>
      </c>
      <c r="O55" s="7" t="n">
        <f aca="false">O54+N55</f>
        <v>39</v>
      </c>
      <c r="P55" s="7" t="n">
        <v>16</v>
      </c>
      <c r="Q55" s="7" t="n">
        <f aca="false">0.35+((P55-9)/64)*(1-0.35)</f>
        <v>0.42109375</v>
      </c>
      <c r="R55" s="15" t="n">
        <f aca="false">Q55*L55</f>
        <v>0.631640625</v>
      </c>
      <c r="S55" s="15" t="n">
        <f aca="false">J55-R55</f>
        <v>-0.631640625</v>
      </c>
      <c r="T55" s="15" t="n">
        <f aca="false">MIN(189.6,(T54+S55))</f>
        <v>60.95015625</v>
      </c>
      <c r="U55" s="15" t="n">
        <f aca="false">(81.1*100)/189.6</f>
        <v>42.7742616033755</v>
      </c>
      <c r="V55" s="16" t="n">
        <v>892.6</v>
      </c>
      <c r="W55" s="7" t="n">
        <f aca="false">V55/D55</f>
        <v>69.734375</v>
      </c>
      <c r="X55" s="7" t="n">
        <f aca="false">X54+V55</f>
        <v>14406</v>
      </c>
      <c r="AA55" s="7" t="n">
        <v>12.3950289083268</v>
      </c>
    </row>
    <row r="56" s="7" customFormat="true" ht="15" hidden="false" customHeight="false" outlineLevel="0" collapsed="false">
      <c r="A56" s="10"/>
      <c r="B56" s="11"/>
      <c r="C56" s="8" t="n">
        <v>41537</v>
      </c>
      <c r="D56" s="7" t="n">
        <v>13.3</v>
      </c>
      <c r="E56" s="7" t="n">
        <v>12.6</v>
      </c>
      <c r="F56" s="7" t="n">
        <v>17.2</v>
      </c>
      <c r="G56" s="7" t="n">
        <f aca="false">G55+D56</f>
        <v>242.3</v>
      </c>
      <c r="J56" s="7" t="n">
        <v>0</v>
      </c>
      <c r="K56" s="7" t="n">
        <f aca="false">K55+J56</f>
        <v>68.4</v>
      </c>
      <c r="L56" s="7" t="n">
        <v>2.2</v>
      </c>
      <c r="M56" s="7" t="n">
        <f aca="false">M55+L56</f>
        <v>31.6</v>
      </c>
      <c r="N56" s="14" t="n">
        <f aca="false">J56-L56</f>
        <v>-2.2</v>
      </c>
      <c r="O56" s="7" t="n">
        <f aca="false">O55+N56</f>
        <v>36.8</v>
      </c>
      <c r="P56" s="7" t="n">
        <v>17</v>
      </c>
      <c r="Q56" s="7" t="n">
        <f aca="false">0.35+((P56-9)/64)*(1-0.35)</f>
        <v>0.43125</v>
      </c>
      <c r="R56" s="15" t="n">
        <f aca="false">Q56*L56</f>
        <v>0.94875</v>
      </c>
      <c r="S56" s="15" t="n">
        <f aca="false">J56-R56</f>
        <v>-0.94875</v>
      </c>
      <c r="T56" s="15" t="n">
        <f aca="false">MIN(189.6,(T55+S56))</f>
        <v>60.00140625</v>
      </c>
      <c r="V56" s="7" t="n">
        <v>1026.1</v>
      </c>
      <c r="W56" s="7" t="n">
        <f aca="false">V56/D56</f>
        <v>77.1503759398496</v>
      </c>
      <c r="X56" s="7" t="n">
        <f aca="false">X55+V56</f>
        <v>15432.1</v>
      </c>
      <c r="AA56" s="7" t="n">
        <v>12.3339170667409</v>
      </c>
    </row>
    <row r="57" s="7" customFormat="true" ht="15" hidden="false" customHeight="false" outlineLevel="0" collapsed="false">
      <c r="A57" s="10"/>
      <c r="B57" s="11"/>
      <c r="C57" s="8" t="n">
        <v>41538</v>
      </c>
      <c r="D57" s="7" t="n">
        <v>13.5</v>
      </c>
      <c r="E57" s="7" t="n">
        <v>8</v>
      </c>
      <c r="F57" s="7" t="n">
        <v>17</v>
      </c>
      <c r="G57" s="7" t="n">
        <f aca="false">G56+D57</f>
        <v>255.8</v>
      </c>
      <c r="J57" s="7" t="n">
        <v>0.1</v>
      </c>
      <c r="K57" s="7" t="n">
        <f aca="false">K56+J57</f>
        <v>68.5</v>
      </c>
      <c r="L57" s="7" t="n">
        <v>1.3</v>
      </c>
      <c r="M57" s="7" t="n">
        <f aca="false">M56+L57</f>
        <v>32.9</v>
      </c>
      <c r="N57" s="14" t="n">
        <f aca="false">J57-L57</f>
        <v>-1.2</v>
      </c>
      <c r="O57" s="7" t="n">
        <f aca="false">O56+N57</f>
        <v>35.6</v>
      </c>
      <c r="P57" s="7" t="n">
        <v>18</v>
      </c>
      <c r="Q57" s="7" t="n">
        <f aca="false">0.35+((P57-9)/64)*(1-0.35)</f>
        <v>0.44140625</v>
      </c>
      <c r="R57" s="15" t="n">
        <f aca="false">Q57*L57</f>
        <v>0.573828125</v>
      </c>
      <c r="S57" s="15" t="n">
        <f aca="false">J57-R57</f>
        <v>-0.473828125</v>
      </c>
      <c r="T57" s="15" t="n">
        <f aca="false">MIN(189.6,(T56+S57))</f>
        <v>59.527578125</v>
      </c>
      <c r="V57" s="16" t="n">
        <v>757.9</v>
      </c>
      <c r="W57" s="7" t="n">
        <f aca="false">V57/D57</f>
        <v>56.1407407407407</v>
      </c>
      <c r="X57" s="7" t="n">
        <f aca="false">X56+V57</f>
        <v>16190</v>
      </c>
      <c r="AA57" s="7" t="n">
        <v>12.2727757314573</v>
      </c>
    </row>
    <row r="58" s="7" customFormat="true" ht="15" hidden="false" customHeight="false" outlineLevel="0" collapsed="false">
      <c r="A58" s="10"/>
      <c r="B58" s="11"/>
      <c r="C58" s="8" t="n">
        <v>41539</v>
      </c>
      <c r="D58" s="7" t="n">
        <v>17</v>
      </c>
      <c r="E58" s="7" t="n">
        <v>14.5</v>
      </c>
      <c r="F58" s="7" t="n">
        <v>20.3</v>
      </c>
      <c r="G58" s="7" t="n">
        <f aca="false">G57+D58</f>
        <v>272.8</v>
      </c>
      <c r="J58" s="7" t="n">
        <v>0</v>
      </c>
      <c r="K58" s="7" t="n">
        <f aca="false">K57+J58</f>
        <v>68.5</v>
      </c>
      <c r="L58" s="7" t="n">
        <v>1.9</v>
      </c>
      <c r="M58" s="7" t="n">
        <f aca="false">M57+L58</f>
        <v>34.8</v>
      </c>
      <c r="N58" s="14" t="n">
        <f aca="false">J58-L58</f>
        <v>-1.9</v>
      </c>
      <c r="O58" s="7" t="n">
        <f aca="false">O57+N58</f>
        <v>33.7</v>
      </c>
      <c r="P58" s="7" t="n">
        <v>19</v>
      </c>
      <c r="Q58" s="7" t="n">
        <f aca="false">0.35+((P58-9)/64)*(1-0.35)</f>
        <v>0.4515625</v>
      </c>
      <c r="R58" s="15" t="n">
        <f aca="false">Q58*L58</f>
        <v>0.85796875</v>
      </c>
      <c r="S58" s="15" t="n">
        <f aca="false">J58-R58</f>
        <v>-0.85796875</v>
      </c>
      <c r="T58" s="15" t="n">
        <f aca="false">MIN(189.6,(T57+S58))</f>
        <v>58.669609375</v>
      </c>
      <c r="V58" s="16" t="n">
        <v>876.7</v>
      </c>
      <c r="W58" s="7" t="n">
        <f aca="false">V58/D58</f>
        <v>51.5705882352941</v>
      </c>
      <c r="X58" s="7" t="n">
        <f aca="false">X57+V58</f>
        <v>17066.7</v>
      </c>
      <c r="AA58" s="7" t="n">
        <v>12.2116102162378</v>
      </c>
    </row>
    <row r="59" s="7" customFormat="true" ht="15" hidden="false" customHeight="false" outlineLevel="0" collapsed="false">
      <c r="A59" s="10"/>
      <c r="B59" s="11"/>
      <c r="C59" s="8" t="n">
        <v>41540</v>
      </c>
      <c r="D59" s="7" t="n">
        <v>15.5</v>
      </c>
      <c r="E59" s="7" t="n">
        <v>10.5</v>
      </c>
      <c r="F59" s="7" t="n">
        <v>20.8</v>
      </c>
      <c r="G59" s="7" t="n">
        <f aca="false">G58+D59</f>
        <v>288.3</v>
      </c>
      <c r="J59" s="7" t="n">
        <v>0.1</v>
      </c>
      <c r="K59" s="7" t="n">
        <f aca="false">K58+J59</f>
        <v>68.6</v>
      </c>
      <c r="L59" s="7" t="n">
        <v>2.7</v>
      </c>
      <c r="M59" s="7" t="n">
        <f aca="false">M58+L59</f>
        <v>37.5</v>
      </c>
      <c r="N59" s="14" t="n">
        <f aca="false">J59-L59</f>
        <v>-2.6</v>
      </c>
      <c r="O59" s="7" t="n">
        <f aca="false">O58+N59</f>
        <v>31.1</v>
      </c>
      <c r="P59" s="7" t="n">
        <v>20</v>
      </c>
      <c r="Q59" s="7" t="n">
        <f aca="false">0.35+((P59-9)/64)*(1-0.35)</f>
        <v>0.46171875</v>
      </c>
      <c r="R59" s="15" t="n">
        <f aca="false">Q59*L59</f>
        <v>1.246640625</v>
      </c>
      <c r="S59" s="15" t="n">
        <f aca="false">J59-R59</f>
        <v>-1.146640625</v>
      </c>
      <c r="T59" s="15" t="n">
        <f aca="false">MIN(189.6,(T58+S59))</f>
        <v>57.52296875</v>
      </c>
      <c r="V59" s="7" t="n">
        <v>1456.3</v>
      </c>
      <c r="W59" s="7" t="n">
        <f aca="false">V59/D59</f>
        <v>93.9548387096774</v>
      </c>
      <c r="X59" s="7" t="n">
        <f aca="false">X58+V59</f>
        <v>18523</v>
      </c>
      <c r="AA59" s="7" t="n">
        <v>12.1504258308271</v>
      </c>
    </row>
    <row r="60" s="7" customFormat="true" ht="15" hidden="false" customHeight="false" outlineLevel="0" collapsed="false">
      <c r="A60" s="10"/>
      <c r="B60" s="11"/>
      <c r="C60" s="8" t="n">
        <v>41541</v>
      </c>
      <c r="D60" s="7" t="n">
        <v>15.1</v>
      </c>
      <c r="E60" s="7" t="n">
        <v>10.6</v>
      </c>
      <c r="F60" s="7" t="n">
        <v>21.1</v>
      </c>
      <c r="G60" s="7" t="n">
        <f aca="false">G59+D60</f>
        <v>303.4</v>
      </c>
      <c r="J60" s="7" t="n">
        <v>0.2</v>
      </c>
      <c r="K60" s="7" t="n">
        <f aca="false">K59+J60</f>
        <v>68.8</v>
      </c>
      <c r="L60" s="7" t="n">
        <v>2.8</v>
      </c>
      <c r="M60" s="7" t="n">
        <f aca="false">M59+L60</f>
        <v>40.3</v>
      </c>
      <c r="N60" s="14" t="n">
        <f aca="false">J60-L60</f>
        <v>-2.6</v>
      </c>
      <c r="O60" s="7" t="n">
        <f aca="false">O59+N60</f>
        <v>28.5</v>
      </c>
      <c r="P60" s="7" t="n">
        <v>21</v>
      </c>
      <c r="Q60" s="7" t="n">
        <f aca="false">0.35+((P60-9)/64)*(1-0.35)</f>
        <v>0.471875</v>
      </c>
      <c r="R60" s="15" t="n">
        <f aca="false">Q60*L60</f>
        <v>1.32125</v>
      </c>
      <c r="S60" s="15" t="n">
        <f aca="false">J60-R60</f>
        <v>-1.12125</v>
      </c>
      <c r="T60" s="15" t="n">
        <f aca="false">MIN(189.6,(T59+S60))</f>
        <v>56.40171875</v>
      </c>
      <c r="V60" s="7" t="n">
        <v>1457.4</v>
      </c>
      <c r="W60" s="7" t="n">
        <f aca="false">V60/D60</f>
        <v>96.5165562913907</v>
      </c>
      <c r="X60" s="7" t="n">
        <f aca="false">X59+V60</f>
        <v>19980.4</v>
      </c>
      <c r="AA60" s="7" t="n">
        <v>12.0892278984656</v>
      </c>
    </row>
    <row r="61" s="7" customFormat="true" ht="15" hidden="false" customHeight="false" outlineLevel="0" collapsed="false">
      <c r="A61" s="10"/>
      <c r="B61" s="11"/>
      <c r="C61" s="8" t="n">
        <v>41542</v>
      </c>
      <c r="D61" s="7" t="n">
        <v>15.7</v>
      </c>
      <c r="E61" s="7" t="n">
        <v>9.6</v>
      </c>
      <c r="F61" s="7" t="n">
        <v>21.5</v>
      </c>
      <c r="G61" s="7" t="n">
        <f aca="false">G60+D61</f>
        <v>319.1</v>
      </c>
      <c r="J61" s="7" t="n">
        <v>1.2</v>
      </c>
      <c r="K61" s="7" t="n">
        <f aca="false">K60+J61</f>
        <v>70</v>
      </c>
      <c r="L61" s="7" t="n">
        <v>2.1</v>
      </c>
      <c r="M61" s="7" t="n">
        <f aca="false">M60+L61</f>
        <v>42.4</v>
      </c>
      <c r="N61" s="14" t="n">
        <f aca="false">J61-L61</f>
        <v>-0.9</v>
      </c>
      <c r="O61" s="7" t="n">
        <f aca="false">O60+N61</f>
        <v>27.6</v>
      </c>
      <c r="P61" s="7" t="n">
        <v>22</v>
      </c>
      <c r="Q61" s="7" t="n">
        <f aca="false">0.35+((P61-9)/64)*(1-0.35)</f>
        <v>0.48203125</v>
      </c>
      <c r="R61" s="15" t="n">
        <f aca="false">Q61*L61</f>
        <v>1.012265625</v>
      </c>
      <c r="S61" s="15" t="n">
        <f aca="false">J61-R61</f>
        <v>0.187734375</v>
      </c>
      <c r="T61" s="15" t="n">
        <f aca="false">MIN(189.6,(T60+S61))</f>
        <v>56.589453125</v>
      </c>
      <c r="V61" s="7" t="n">
        <v>1090.3</v>
      </c>
      <c r="W61" s="7" t="n">
        <f aca="false">V61/D61</f>
        <v>69.4458598726115</v>
      </c>
      <c r="X61" s="7" t="n">
        <f aca="false">X60+V61</f>
        <v>21070.7</v>
      </c>
      <c r="AA61" s="7" t="n">
        <v>12.0280217734959</v>
      </c>
    </row>
    <row r="62" s="7" customFormat="true" ht="15" hidden="false" customHeight="false" outlineLevel="0" collapsed="false">
      <c r="A62" s="10"/>
      <c r="B62" s="11"/>
      <c r="C62" s="8" t="n">
        <v>41543</v>
      </c>
      <c r="D62" s="7" t="n">
        <v>15.2</v>
      </c>
      <c r="E62" s="7" t="n">
        <v>13.4</v>
      </c>
      <c r="F62" s="7" t="n">
        <v>18.8</v>
      </c>
      <c r="G62" s="7" t="n">
        <f aca="false">G61+D62</f>
        <v>334.3</v>
      </c>
      <c r="J62" s="7" t="n">
        <v>0.1</v>
      </c>
      <c r="K62" s="7" t="n">
        <f aca="false">K61+J62</f>
        <v>70.1</v>
      </c>
      <c r="L62" s="7" t="n">
        <v>1.4</v>
      </c>
      <c r="M62" s="7" t="n">
        <f aca="false">M61+L62</f>
        <v>43.8</v>
      </c>
      <c r="N62" s="14" t="n">
        <f aca="false">J62-L62</f>
        <v>-1.3</v>
      </c>
      <c r="O62" s="7" t="n">
        <f aca="false">O61+N62</f>
        <v>26.3</v>
      </c>
      <c r="P62" s="7" t="n">
        <v>23</v>
      </c>
      <c r="Q62" s="7" t="n">
        <f aca="false">0.35+((P62-9)/64)*(1-0.35)</f>
        <v>0.4921875</v>
      </c>
      <c r="R62" s="15" t="n">
        <f aca="false">Q62*L62</f>
        <v>0.6890625</v>
      </c>
      <c r="S62" s="15" t="n">
        <f aca="false">J62-R62</f>
        <v>-0.5890625</v>
      </c>
      <c r="T62" s="15" t="n">
        <f aca="false">MIN(189.6,(T61+S62))</f>
        <v>56.000390625</v>
      </c>
      <c r="V62" s="16" t="n">
        <v>646.8</v>
      </c>
      <c r="W62" s="7" t="n">
        <f aca="false">V62/D62</f>
        <v>42.5526315789474</v>
      </c>
      <c r="X62" s="7" t="n">
        <f aca="false">X61+V62</f>
        <v>21717.5</v>
      </c>
      <c r="AA62" s="7" t="n">
        <v>11.9668128590714</v>
      </c>
    </row>
    <row r="63" s="7" customFormat="true" ht="15" hidden="false" customHeight="false" outlineLevel="0" collapsed="false">
      <c r="A63" s="10"/>
      <c r="B63" s="11"/>
      <c r="C63" s="8" t="n">
        <v>41544</v>
      </c>
      <c r="D63" s="7" t="n">
        <v>13.4</v>
      </c>
      <c r="E63" s="7" t="n">
        <v>9.2</v>
      </c>
      <c r="F63" s="7" t="n">
        <v>17.2</v>
      </c>
      <c r="G63" s="7" t="n">
        <f aca="false">G62+D63</f>
        <v>347.7</v>
      </c>
      <c r="J63" s="7" t="n">
        <v>0.2</v>
      </c>
      <c r="K63" s="7" t="n">
        <f aca="false">K62+J63</f>
        <v>70.3</v>
      </c>
      <c r="L63" s="7" t="n">
        <v>1.8</v>
      </c>
      <c r="M63" s="7" t="n">
        <f aca="false">M62+L63</f>
        <v>45.6</v>
      </c>
      <c r="N63" s="14" t="n">
        <f aca="false">J63-L63</f>
        <v>-1.6</v>
      </c>
      <c r="O63" s="7" t="n">
        <f aca="false">O62+N63</f>
        <v>24.7</v>
      </c>
      <c r="P63" s="7" t="n">
        <v>24</v>
      </c>
      <c r="Q63" s="7" t="n">
        <f aca="false">0.35+((P63-9)/64)*(1-0.35)</f>
        <v>0.50234375</v>
      </c>
      <c r="R63" s="15" t="n">
        <f aca="false">Q63*L63</f>
        <v>0.90421875</v>
      </c>
      <c r="S63" s="15" t="n">
        <f aca="false">J63-R63</f>
        <v>-0.70421875</v>
      </c>
      <c r="T63" s="15" t="n">
        <f aca="false">MIN(189.6,(T62+S63))</f>
        <v>55.296171875</v>
      </c>
      <c r="V63" s="7" t="n">
        <v>1179.7</v>
      </c>
      <c r="W63" s="7" t="n">
        <f aca="false">V63/D63</f>
        <v>88.0373134328358</v>
      </c>
      <c r="X63" s="7" t="n">
        <f aca="false">X62+V63</f>
        <v>22897.2</v>
      </c>
      <c r="AA63" s="7" t="n">
        <v>11.9056066249754</v>
      </c>
    </row>
    <row r="64" s="7" customFormat="true" ht="15" hidden="false" customHeight="false" outlineLevel="0" collapsed="false">
      <c r="A64" s="10"/>
      <c r="B64" s="11"/>
      <c r="C64" s="8" t="n">
        <v>41545</v>
      </c>
      <c r="D64" s="7" t="n">
        <v>16</v>
      </c>
      <c r="E64" s="7" t="n">
        <v>12.4</v>
      </c>
      <c r="F64" s="7" t="n">
        <v>19.7</v>
      </c>
      <c r="G64" s="7" t="n">
        <f aca="false">G63+D64</f>
        <v>363.7</v>
      </c>
      <c r="J64" s="7" t="n">
        <v>0</v>
      </c>
      <c r="K64" s="7" t="n">
        <f aca="false">K63+J64</f>
        <v>70.3</v>
      </c>
      <c r="L64" s="7" t="n">
        <v>1.4</v>
      </c>
      <c r="M64" s="7" t="n">
        <f aca="false">M63+L64</f>
        <v>47</v>
      </c>
      <c r="N64" s="14" t="n">
        <f aca="false">J64-L64</f>
        <v>-1.4</v>
      </c>
      <c r="O64" s="7" t="n">
        <f aca="false">O63+N64</f>
        <v>23.3</v>
      </c>
      <c r="P64" s="7" t="n">
        <v>25</v>
      </c>
      <c r="Q64" s="7" t="n">
        <f aca="false">0.35+((P64-9)/64)*(1-0.35)</f>
        <v>0.5125</v>
      </c>
      <c r="R64" s="15" t="n">
        <f aca="false">Q64*L64</f>
        <v>0.7175</v>
      </c>
      <c r="S64" s="15" t="n">
        <f aca="false">J64-R64</f>
        <v>-0.7175</v>
      </c>
      <c r="T64" s="15" t="n">
        <f aca="false">MIN(189.6,(T63+S64))</f>
        <v>54.578671875</v>
      </c>
      <c r="V64" s="16" t="n">
        <v>543</v>
      </c>
      <c r="W64" s="7" t="n">
        <f aca="false">V64/D64</f>
        <v>33.9375</v>
      </c>
      <c r="X64" s="7" t="n">
        <f aca="false">X63+V64</f>
        <v>23440.2</v>
      </c>
      <c r="AA64" s="7" t="n">
        <v>11.8444086255583</v>
      </c>
    </row>
    <row r="65" s="7" customFormat="true" ht="15" hidden="false" customHeight="false" outlineLevel="0" collapsed="false">
      <c r="A65" s="10"/>
      <c r="B65" s="11"/>
      <c r="C65" s="8" t="n">
        <v>41546</v>
      </c>
      <c r="D65" s="7" t="n">
        <v>16.3</v>
      </c>
      <c r="E65" s="7" t="n">
        <v>13.6</v>
      </c>
      <c r="F65" s="7" t="n">
        <v>20.1</v>
      </c>
      <c r="G65" s="7" t="n">
        <f aca="false">G64+D65</f>
        <v>380</v>
      </c>
      <c r="J65" s="7" t="n">
        <v>0</v>
      </c>
      <c r="K65" s="7" t="n">
        <f aca="false">K64+J65</f>
        <v>70.3</v>
      </c>
      <c r="L65" s="7" t="n">
        <v>2.1</v>
      </c>
      <c r="M65" s="7" t="n">
        <f aca="false">M64+L65</f>
        <v>49.1</v>
      </c>
      <c r="N65" s="14" t="n">
        <f aca="false">J65-L65</f>
        <v>-2.1</v>
      </c>
      <c r="O65" s="7" t="n">
        <f aca="false">O64+N65</f>
        <v>21.2</v>
      </c>
      <c r="P65" s="7" t="n">
        <v>26</v>
      </c>
      <c r="Q65" s="7" t="n">
        <f aca="false">0.35+((P65-9)/64)*(1-0.35)</f>
        <v>0.52265625</v>
      </c>
      <c r="R65" s="15" t="n">
        <f aca="false">Q65*L65</f>
        <v>1.097578125</v>
      </c>
      <c r="S65" s="15" t="n">
        <f aca="false">J65-R65</f>
        <v>-1.097578125</v>
      </c>
      <c r="T65" s="15" t="n">
        <f aca="false">MIN(189.6,(T64+S65))</f>
        <v>53.48109375</v>
      </c>
      <c r="V65" s="7" t="n">
        <v>1065.2</v>
      </c>
      <c r="W65" s="7" t="n">
        <f aca="false">V65/D65</f>
        <v>65.3496932515337</v>
      </c>
      <c r="X65" s="7" t="n">
        <f aca="false">X64+V65</f>
        <v>24505.4</v>
      </c>
      <c r="AA65" s="7" t="n">
        <v>11.7832245178004</v>
      </c>
    </row>
    <row r="66" s="7" customFormat="true" ht="15" hidden="false" customHeight="false" outlineLevel="0" collapsed="false">
      <c r="A66" s="10"/>
      <c r="B66" s="11"/>
      <c r="C66" s="8" t="n">
        <v>41547</v>
      </c>
      <c r="D66" s="7" t="n">
        <v>14.2</v>
      </c>
      <c r="E66" s="7" t="n">
        <v>10.7</v>
      </c>
      <c r="F66" s="7" t="n">
        <v>18.4</v>
      </c>
      <c r="G66" s="7" t="n">
        <f aca="false">G65+D66</f>
        <v>394.2</v>
      </c>
      <c r="J66" s="7" t="n">
        <v>0</v>
      </c>
      <c r="K66" s="7" t="n">
        <f aca="false">K65+J66</f>
        <v>70.3</v>
      </c>
      <c r="L66" s="7" t="n">
        <v>2.3</v>
      </c>
      <c r="M66" s="7" t="n">
        <f aca="false">M65+L66</f>
        <v>51.4</v>
      </c>
      <c r="N66" s="14" t="n">
        <f aca="false">J66-L66</f>
        <v>-2.3</v>
      </c>
      <c r="O66" s="7" t="n">
        <f aca="false">O65+N66</f>
        <v>18.9</v>
      </c>
      <c r="P66" s="7" t="n">
        <v>27</v>
      </c>
      <c r="Q66" s="7" t="n">
        <f aca="false">0.35+((P66-9)/64)*(1-0.35)</f>
        <v>0.5328125</v>
      </c>
      <c r="R66" s="15" t="n">
        <f aca="false">Q66*L66</f>
        <v>1.22546875</v>
      </c>
      <c r="S66" s="15" t="n">
        <f aca="false">J66-R66</f>
        <v>-1.22546875</v>
      </c>
      <c r="T66" s="15" t="n">
        <f aca="false">MIN(189.6,(T65+S66))</f>
        <v>52.255625</v>
      </c>
      <c r="V66" s="7" t="n">
        <v>1130.5</v>
      </c>
      <c r="W66" s="7" t="n">
        <f aca="false">V66/D66</f>
        <v>79.612676056338</v>
      </c>
      <c r="X66" s="7" t="n">
        <f aca="false">X65+V66</f>
        <v>25635.9</v>
      </c>
      <c r="AA66" s="7" t="n">
        <v>11.7220600795062</v>
      </c>
    </row>
    <row r="67" s="7" customFormat="true" ht="15" hidden="false" customHeight="false" outlineLevel="0" collapsed="false">
      <c r="A67" s="10"/>
      <c r="B67" s="11"/>
      <c r="C67" s="8" t="n">
        <v>41548</v>
      </c>
      <c r="D67" s="7" t="n">
        <v>13.4</v>
      </c>
      <c r="E67" s="7" t="n">
        <v>11.9</v>
      </c>
      <c r="F67" s="7" t="n">
        <v>15.8</v>
      </c>
      <c r="G67" s="7" t="n">
        <f aca="false">G66+D67</f>
        <v>407.6</v>
      </c>
      <c r="J67" s="7" t="n">
        <v>0</v>
      </c>
      <c r="K67" s="7" t="n">
        <f aca="false">K66+J67</f>
        <v>70.3</v>
      </c>
      <c r="L67" s="7" t="n">
        <v>1.9</v>
      </c>
      <c r="M67" s="7" t="n">
        <f aca="false">M66+L67</f>
        <v>53.3</v>
      </c>
      <c r="N67" s="14" t="n">
        <f aca="false">J67-L67</f>
        <v>-1.9</v>
      </c>
      <c r="O67" s="7" t="n">
        <f aca="false">O66+N67</f>
        <v>17</v>
      </c>
      <c r="P67" s="7" t="n">
        <v>28</v>
      </c>
      <c r="Q67" s="7" t="n">
        <f aca="false">0.35+((P67-9)/64)*(1-0.35)</f>
        <v>0.54296875</v>
      </c>
      <c r="R67" s="15" t="n">
        <f aca="false">Q67*L67</f>
        <v>1.031640625</v>
      </c>
      <c r="S67" s="15" t="n">
        <f aca="false">J67-R67</f>
        <v>-1.031640625</v>
      </c>
      <c r="T67" s="15" t="n">
        <f aca="false">MIN(189.6,(T66+S67))</f>
        <v>51.223984375</v>
      </c>
      <c r="V67" s="7" t="n">
        <v>1008</v>
      </c>
      <c r="W67" s="7" t="n">
        <f aca="false">V67/D67</f>
        <v>75.2238805970149</v>
      </c>
      <c r="X67" s="7" t="n">
        <f aca="false">X66+V67</f>
        <v>26643.9</v>
      </c>
      <c r="AA67" s="7" t="n">
        <v>11.6609212276372</v>
      </c>
    </row>
    <row r="68" s="7" customFormat="true" ht="15" hidden="false" customHeight="false" outlineLevel="0" collapsed="false">
      <c r="A68" s="10"/>
      <c r="B68" s="11"/>
      <c r="C68" s="8" t="n">
        <v>41549</v>
      </c>
      <c r="D68" s="7" t="n">
        <v>14.8</v>
      </c>
      <c r="E68" s="7" t="n">
        <v>9.9</v>
      </c>
      <c r="F68" s="7" t="n">
        <v>18.8</v>
      </c>
      <c r="G68" s="7" t="n">
        <f aca="false">G67+D68</f>
        <v>422.4</v>
      </c>
      <c r="J68" s="7" t="n">
        <v>0</v>
      </c>
      <c r="K68" s="7" t="n">
        <f aca="false">K67+J68</f>
        <v>70.3</v>
      </c>
      <c r="L68" s="7" t="n">
        <v>1.8</v>
      </c>
      <c r="M68" s="7" t="n">
        <f aca="false">M67+L68</f>
        <v>55.1</v>
      </c>
      <c r="N68" s="14" t="n">
        <f aca="false">J68-L68</f>
        <v>-1.8</v>
      </c>
      <c r="O68" s="7" t="n">
        <f aca="false">O67+N68</f>
        <v>15.2</v>
      </c>
      <c r="P68" s="7" t="n">
        <v>29</v>
      </c>
      <c r="Q68" s="7" t="n">
        <f aca="false">0.35+((P68-9)/64)*(1-0.35)</f>
        <v>0.553125</v>
      </c>
      <c r="R68" s="15" t="n">
        <f aca="false">Q68*L68</f>
        <v>0.995625</v>
      </c>
      <c r="S68" s="15" t="n">
        <f aca="false">J68-R68</f>
        <v>-0.995625</v>
      </c>
      <c r="T68" s="15" t="n">
        <f aca="false">MIN(189.6,(T67+S68))</f>
        <v>50.228359375</v>
      </c>
      <c r="V68" s="7" t="n">
        <v>1016.1</v>
      </c>
      <c r="W68" s="7" t="n">
        <f aca="false">V68/D68</f>
        <v>68.6554054054054</v>
      </c>
      <c r="X68" s="7" t="n">
        <f aca="false">X67+V68</f>
        <v>27660</v>
      </c>
      <c r="AA68" s="7" t="n">
        <v>11.5998140367872</v>
      </c>
    </row>
    <row r="69" s="7" customFormat="true" ht="15" hidden="false" customHeight="false" outlineLevel="0" collapsed="false">
      <c r="A69" s="10"/>
      <c r="B69" s="11"/>
      <c r="C69" s="8" t="n">
        <v>41550</v>
      </c>
      <c r="D69" s="7" t="n">
        <v>15.5</v>
      </c>
      <c r="E69" s="7" t="n">
        <v>10.4</v>
      </c>
      <c r="F69" s="7" t="n">
        <v>18</v>
      </c>
      <c r="G69" s="7" t="n">
        <f aca="false">G68+D69</f>
        <v>437.9</v>
      </c>
      <c r="J69" s="7" t="n">
        <v>3.8</v>
      </c>
      <c r="K69" s="7" t="n">
        <f aca="false">K68+J69</f>
        <v>74.1</v>
      </c>
      <c r="L69" s="7" t="n">
        <v>1.1</v>
      </c>
      <c r="M69" s="7" t="n">
        <f aca="false">M68+L69</f>
        <v>56.2</v>
      </c>
      <c r="N69" s="7" t="n">
        <f aca="false">J69-L69</f>
        <v>2.7</v>
      </c>
      <c r="O69" s="7" t="n">
        <f aca="false">O68+N69</f>
        <v>17.9</v>
      </c>
      <c r="P69" s="7" t="n">
        <v>30</v>
      </c>
      <c r="Q69" s="7" t="n">
        <f aca="false">0.35+((P69-9)/64)*(1-0.35)</f>
        <v>0.56328125</v>
      </c>
      <c r="R69" s="15" t="n">
        <f aca="false">Q69*L69</f>
        <v>0.619609375</v>
      </c>
      <c r="S69" s="15" t="n">
        <f aca="false">J69-R69</f>
        <v>3.180390625</v>
      </c>
      <c r="T69" s="15" t="n">
        <f aca="false">MIN(189.6,(T68+S69))</f>
        <v>53.40875</v>
      </c>
      <c r="V69" s="16" t="n">
        <v>669.3</v>
      </c>
      <c r="W69" s="7" t="n">
        <f aca="false">V69/D69</f>
        <v>43.1806451612903</v>
      </c>
      <c r="X69" s="7" t="n">
        <f aca="false">X68+V69</f>
        <v>28329.3</v>
      </c>
      <c r="AA69" s="7" t="n">
        <v>11.5387447578035</v>
      </c>
    </row>
    <row r="70" s="7" customFormat="true" ht="15" hidden="false" customHeight="false" outlineLevel="0" collapsed="false">
      <c r="A70" s="10"/>
      <c r="B70" s="11"/>
      <c r="C70" s="8" t="n">
        <v>41551</v>
      </c>
      <c r="D70" s="7" t="n">
        <v>17.2</v>
      </c>
      <c r="E70" s="7" t="n">
        <v>16.7</v>
      </c>
      <c r="F70" s="7" t="n">
        <v>19.8</v>
      </c>
      <c r="G70" s="7" t="n">
        <f aca="false">G69+D70</f>
        <v>455.1</v>
      </c>
      <c r="J70" s="7" t="n">
        <v>0</v>
      </c>
      <c r="K70" s="7" t="n">
        <f aca="false">K69+J70</f>
        <v>74.1</v>
      </c>
      <c r="L70" s="7" t="n">
        <v>1.8</v>
      </c>
      <c r="M70" s="7" t="n">
        <f aca="false">M69+L70</f>
        <v>58</v>
      </c>
      <c r="N70" s="14" t="n">
        <f aca="false">J70-L70</f>
        <v>-1.8</v>
      </c>
      <c r="O70" s="7" t="n">
        <f aca="false">O69+N70</f>
        <v>16.1</v>
      </c>
      <c r="P70" s="7" t="n">
        <v>31</v>
      </c>
      <c r="Q70" s="7" t="n">
        <f aca="false">0.35+((P70-9)/64)*(1-0.35)</f>
        <v>0.5734375</v>
      </c>
      <c r="R70" s="15" t="n">
        <f aca="false">Q70*L70</f>
        <v>1.0321875</v>
      </c>
      <c r="S70" s="15" t="n">
        <f aca="false">J70-R70</f>
        <v>-1.0321875</v>
      </c>
      <c r="T70" s="15" t="n">
        <f aca="false">MIN(189.6,(T69+S70))</f>
        <v>52.3765625</v>
      </c>
      <c r="V70" s="16" t="n">
        <v>612.6</v>
      </c>
      <c r="W70" s="7" t="n">
        <f aca="false">V70/D70</f>
        <v>35.6162790697674</v>
      </c>
      <c r="X70" s="7" t="n">
        <f aca="false">X69+V70</f>
        <v>28941.9</v>
      </c>
      <c r="AA70" s="7" t="n">
        <v>11.477719836557</v>
      </c>
    </row>
    <row r="71" s="7" customFormat="true" ht="15" hidden="false" customHeight="false" outlineLevel="0" collapsed="false">
      <c r="A71" s="10"/>
      <c r="B71" s="11"/>
      <c r="C71" s="8" t="n">
        <v>41552</v>
      </c>
      <c r="D71" s="7" t="n">
        <v>15.1</v>
      </c>
      <c r="E71" s="7" t="n">
        <v>13.3</v>
      </c>
      <c r="F71" s="7" t="n">
        <v>18.4</v>
      </c>
      <c r="G71" s="7" t="n">
        <f aca="false">G70+D71</f>
        <v>470.2</v>
      </c>
      <c r="J71" s="7" t="n">
        <v>0.3</v>
      </c>
      <c r="K71" s="7" t="n">
        <f aca="false">K70+J71</f>
        <v>74.4</v>
      </c>
      <c r="L71" s="7" t="n">
        <v>1.3</v>
      </c>
      <c r="M71" s="7" t="n">
        <f aca="false">M70+L71</f>
        <v>59.3</v>
      </c>
      <c r="N71" s="14" t="n">
        <f aca="false">J71-L71</f>
        <v>-1</v>
      </c>
      <c r="O71" s="7" t="n">
        <f aca="false">O70+N71</f>
        <v>15.1</v>
      </c>
      <c r="P71" s="7" t="n">
        <v>32</v>
      </c>
      <c r="Q71" s="7" t="n">
        <f aca="false">0.35+((P71-9)/64)*(1-0.35)</f>
        <v>0.58359375</v>
      </c>
      <c r="R71" s="15" t="n">
        <f aca="false">Q71*L71</f>
        <v>0.758671875</v>
      </c>
      <c r="S71" s="15" t="n">
        <f aca="false">J71-R71</f>
        <v>-0.458671875</v>
      </c>
      <c r="T71" s="15" t="n">
        <f aca="false">MIN(189.6,(T70+S71))</f>
        <v>51.917890625</v>
      </c>
      <c r="V71" s="16" t="n">
        <v>737.3</v>
      </c>
      <c r="W71" s="7" t="n">
        <f aca="false">V71/D71</f>
        <v>48.8278145695364</v>
      </c>
      <c r="X71" s="7" t="n">
        <f aca="false">X70+V71</f>
        <v>29679.2</v>
      </c>
      <c r="AA71" s="7" t="n">
        <v>11.4167459328616</v>
      </c>
    </row>
    <row r="72" s="7" customFormat="true" ht="15" hidden="false" customHeight="false" outlineLevel="0" collapsed="false">
      <c r="A72" s="10"/>
      <c r="B72" s="11"/>
      <c r="C72" s="8" t="n">
        <v>41553</v>
      </c>
      <c r="D72" s="7" t="n">
        <v>13.9</v>
      </c>
      <c r="E72" s="7" t="n">
        <v>11.8</v>
      </c>
      <c r="F72" s="7" t="n">
        <v>18.6</v>
      </c>
      <c r="G72" s="7" t="n">
        <f aca="false">G71+D72</f>
        <v>484.1</v>
      </c>
      <c r="J72" s="7" t="n">
        <v>0</v>
      </c>
      <c r="K72" s="7" t="n">
        <f aca="false">K71+J72</f>
        <v>74.4</v>
      </c>
      <c r="L72" s="7" t="n">
        <v>1.8</v>
      </c>
      <c r="M72" s="7" t="n">
        <f aca="false">M71+L72</f>
        <v>61.1</v>
      </c>
      <c r="N72" s="14" t="n">
        <f aca="false">J72-L72</f>
        <v>-1.8</v>
      </c>
      <c r="O72" s="7" t="n">
        <f aca="false">O71+N72</f>
        <v>13.3</v>
      </c>
      <c r="P72" s="7" t="n">
        <v>33</v>
      </c>
      <c r="Q72" s="7" t="n">
        <f aca="false">0.35+((P72-9)/64)*(1-0.35)</f>
        <v>0.59375</v>
      </c>
      <c r="R72" s="15" t="n">
        <f aca="false">Q72*L72</f>
        <v>1.06875</v>
      </c>
      <c r="S72" s="15" t="n">
        <f aca="false">J72-R72</f>
        <v>-1.06875</v>
      </c>
      <c r="T72" s="15" t="n">
        <f aca="false">MIN(189.6,(T71+S72))</f>
        <v>50.849140625</v>
      </c>
      <c r="V72" s="16" t="n">
        <v>829.3</v>
      </c>
      <c r="W72" s="7" t="n">
        <f aca="false">V72/D72</f>
        <v>59.6618705035971</v>
      </c>
      <c r="X72" s="7" t="n">
        <f aca="false">X71+V72</f>
        <v>30508.5</v>
      </c>
      <c r="AA72" s="7" t="n">
        <v>11.3558299395414</v>
      </c>
    </row>
    <row r="73" s="7" customFormat="true" ht="15" hidden="false" customHeight="false" outlineLevel="0" collapsed="false">
      <c r="A73" s="10"/>
      <c r="B73" s="11"/>
      <c r="C73" s="8" t="n">
        <v>41554</v>
      </c>
      <c r="D73" s="7" t="n">
        <v>12.7</v>
      </c>
      <c r="E73" s="7" t="n">
        <v>7.2</v>
      </c>
      <c r="F73" s="7" t="n">
        <v>18.5</v>
      </c>
      <c r="G73" s="7" t="n">
        <f aca="false">G72+D73</f>
        <v>496.8</v>
      </c>
      <c r="J73" s="7" t="n">
        <v>0</v>
      </c>
      <c r="K73" s="7" t="n">
        <f aca="false">K72+J73</f>
        <v>74.4</v>
      </c>
      <c r="L73" s="7" t="n">
        <v>2.1</v>
      </c>
      <c r="M73" s="7" t="n">
        <f aca="false">M72+L73</f>
        <v>63.2</v>
      </c>
      <c r="N73" s="14" t="n">
        <f aca="false">J73-L73</f>
        <v>-2.1</v>
      </c>
      <c r="O73" s="7" t="n">
        <f aca="false">O72+N73</f>
        <v>11.2</v>
      </c>
      <c r="P73" s="7" t="n">
        <v>34</v>
      </c>
      <c r="Q73" s="7" t="n">
        <f aca="false">0.35+((P73-9)/64)*(1-0.35)</f>
        <v>0.60390625</v>
      </c>
      <c r="R73" s="15" t="n">
        <f aca="false">Q73*L73</f>
        <v>1.268203125</v>
      </c>
      <c r="S73" s="15" t="n">
        <f aca="false">J73-R73</f>
        <v>-1.268203125</v>
      </c>
      <c r="T73" s="15" t="n">
        <f aca="false">MIN(189.6,(T72+S73))</f>
        <v>49.5809375</v>
      </c>
      <c r="V73" s="7" t="n">
        <v>1066.7</v>
      </c>
      <c r="W73" s="7" t="n">
        <f aca="false">V73/D73</f>
        <v>83.992125984252</v>
      </c>
      <c r="X73" s="7" t="n">
        <f aca="false">X72+V73</f>
        <v>31575.2</v>
      </c>
      <c r="AA73" s="7" t="n">
        <v>11.2949790016434</v>
      </c>
    </row>
    <row r="74" s="7" customFormat="true" ht="15" hidden="false" customHeight="false" outlineLevel="0" collapsed="false">
      <c r="A74" s="10"/>
      <c r="B74" s="11"/>
      <c r="C74" s="8" t="n">
        <v>41555</v>
      </c>
      <c r="D74" s="7" t="n">
        <v>13.3</v>
      </c>
      <c r="E74" s="7" t="n">
        <v>8.9</v>
      </c>
      <c r="F74" s="7" t="n">
        <v>17.3</v>
      </c>
      <c r="G74" s="7" t="n">
        <f aca="false">G73+D74</f>
        <v>510.1</v>
      </c>
      <c r="J74" s="7" t="n">
        <v>2.1</v>
      </c>
      <c r="K74" s="7" t="n">
        <f aca="false">K73+J74</f>
        <v>76.5</v>
      </c>
      <c r="L74" s="7" t="n">
        <v>1.2</v>
      </c>
      <c r="M74" s="7" t="n">
        <f aca="false">M73+L74</f>
        <v>64.4</v>
      </c>
      <c r="N74" s="7" t="n">
        <f aca="false">J74-L74</f>
        <v>0.9</v>
      </c>
      <c r="O74" s="7" t="n">
        <f aca="false">O73+N74</f>
        <v>12.1</v>
      </c>
      <c r="P74" s="7" t="n">
        <v>35</v>
      </c>
      <c r="Q74" s="7" t="n">
        <f aca="false">0.35+((P74-9)/64)*(1-0.35)</f>
        <v>0.6140625</v>
      </c>
      <c r="R74" s="15" t="n">
        <f aca="false">Q74*L74</f>
        <v>0.736875</v>
      </c>
      <c r="S74" s="15" t="n">
        <f aca="false">J74-R74</f>
        <v>1.363125</v>
      </c>
      <c r="T74" s="15" t="n">
        <f aca="false">MIN(189.6,(T73+S74))</f>
        <v>50.9440625</v>
      </c>
      <c r="V74" s="16" t="n">
        <v>518.6</v>
      </c>
      <c r="W74" s="7" t="n">
        <f aca="false">V74/D74</f>
        <v>38.9924812030075</v>
      </c>
      <c r="X74" s="7" t="n">
        <f aca="false">X73+V74</f>
        <v>32093.8</v>
      </c>
      <c r="AA74" s="7" t="n">
        <v>11.2342005357897</v>
      </c>
    </row>
    <row r="75" s="7" customFormat="true" ht="15" hidden="false" customHeight="false" outlineLevel="0" collapsed="false">
      <c r="A75" s="10"/>
      <c r="B75" s="11"/>
      <c r="C75" s="8" t="n">
        <v>41556</v>
      </c>
      <c r="D75" s="7" t="n">
        <v>13.5</v>
      </c>
      <c r="E75" s="7" t="n">
        <v>11.3</v>
      </c>
      <c r="F75" s="7" t="n">
        <v>16</v>
      </c>
      <c r="G75" s="7" t="n">
        <f aca="false">G74+D75</f>
        <v>523.6</v>
      </c>
      <c r="J75" s="7" t="n">
        <v>2.1</v>
      </c>
      <c r="K75" s="7" t="n">
        <f aca="false">K74+J75</f>
        <v>78.6</v>
      </c>
      <c r="L75" s="7" t="n">
        <v>0.9</v>
      </c>
      <c r="M75" s="7" t="n">
        <f aca="false">M74+L75</f>
        <v>65.3</v>
      </c>
      <c r="N75" s="7" t="n">
        <f aca="false">J75-L75</f>
        <v>1.2</v>
      </c>
      <c r="O75" s="7" t="n">
        <f aca="false">O74+N75</f>
        <v>13.3</v>
      </c>
      <c r="P75" s="7" t="n">
        <v>36</v>
      </c>
      <c r="Q75" s="7" t="n">
        <f aca="false">0.35+((P75-9)/64)*(1-0.35)</f>
        <v>0.62421875</v>
      </c>
      <c r="R75" s="15" t="n">
        <f aca="false">Q75*L75</f>
        <v>0.561796875</v>
      </c>
      <c r="S75" s="15" t="n">
        <f aca="false">J75-R75</f>
        <v>1.538203125</v>
      </c>
      <c r="T75" s="15" t="n">
        <f aca="false">MIN(189.6,(T74+S75))</f>
        <v>52.482265625</v>
      </c>
      <c r="V75" s="16" t="n">
        <v>406.2</v>
      </c>
      <c r="W75" s="7" t="n">
        <f aca="false">V75/D75</f>
        <v>30.0888888888889</v>
      </c>
      <c r="X75" s="7" t="n">
        <f aca="false">X74+V75</f>
        <v>32500</v>
      </c>
      <c r="AA75" s="7" t="n">
        <v>11.173502249662</v>
      </c>
    </row>
    <row r="76" s="7" customFormat="true" ht="15" hidden="false" customHeight="false" outlineLevel="0" collapsed="false">
      <c r="A76" s="10"/>
      <c r="B76" s="11"/>
      <c r="C76" s="8" t="n">
        <v>41557</v>
      </c>
      <c r="D76" s="7" t="n">
        <v>8.4</v>
      </c>
      <c r="E76" s="7" t="n">
        <v>6.1</v>
      </c>
      <c r="F76" s="7" t="n">
        <v>9.3</v>
      </c>
      <c r="G76" s="7" t="n">
        <f aca="false">G75+D76</f>
        <v>532</v>
      </c>
      <c r="J76" s="7" t="n">
        <v>20.5</v>
      </c>
      <c r="K76" s="7" t="n">
        <f aca="false">K75+J76</f>
        <v>99.1</v>
      </c>
      <c r="L76" s="7" t="n">
        <v>0.7</v>
      </c>
      <c r="M76" s="7" t="n">
        <f aca="false">M75+L76</f>
        <v>66</v>
      </c>
      <c r="N76" s="7" t="n">
        <f aca="false">J76-L76</f>
        <v>19.8</v>
      </c>
      <c r="O76" s="7" t="n">
        <f aca="false">O75+N76</f>
        <v>33.1</v>
      </c>
      <c r="P76" s="7" t="n">
        <v>37</v>
      </c>
      <c r="Q76" s="7" t="n">
        <f aca="false">0.35+((P76-9)/64)*(1-0.35)</f>
        <v>0.634375</v>
      </c>
      <c r="R76" s="15" t="n">
        <f aca="false">Q76*L76</f>
        <v>0.4440625</v>
      </c>
      <c r="S76" s="15" t="n">
        <f aca="false">J76-R76</f>
        <v>20.0559375</v>
      </c>
      <c r="T76" s="15" t="n">
        <f aca="false">MIN(189.6,(T75+S76))</f>
        <v>72.538203125</v>
      </c>
      <c r="V76" s="16" t="n">
        <v>350.2</v>
      </c>
      <c r="W76" s="7" t="n">
        <f aca="false">V76/D76</f>
        <v>41.6904761904762</v>
      </c>
      <c r="X76" s="7" t="n">
        <f aca="false">X75+V76</f>
        <v>32850.2</v>
      </c>
      <c r="AA76" s="7" t="n">
        <v>11.1128921616082</v>
      </c>
    </row>
    <row r="77" s="7" customFormat="true" ht="15" hidden="false" customHeight="false" outlineLevel="0" collapsed="false">
      <c r="A77" s="10"/>
      <c r="B77" s="11"/>
      <c r="C77" s="8" t="n">
        <v>41558</v>
      </c>
      <c r="D77" s="7" t="n">
        <v>8.5</v>
      </c>
      <c r="E77" s="7" t="n">
        <v>7.7</v>
      </c>
      <c r="F77" s="7" t="n">
        <v>9.5</v>
      </c>
      <c r="G77" s="7" t="n">
        <f aca="false">G76+D77</f>
        <v>540.5</v>
      </c>
      <c r="J77" s="7" t="n">
        <v>1.1</v>
      </c>
      <c r="K77" s="7" t="n">
        <f aca="false">K76+J77</f>
        <v>100.2</v>
      </c>
      <c r="L77" s="7" t="n">
        <v>1.1</v>
      </c>
      <c r="M77" s="7" t="n">
        <f aca="false">M76+L77</f>
        <v>67.1</v>
      </c>
      <c r="N77" s="7" t="n">
        <f aca="false">J77-L77</f>
        <v>0</v>
      </c>
      <c r="O77" s="7" t="n">
        <f aca="false">O76+N77</f>
        <v>33.1</v>
      </c>
      <c r="P77" s="7" t="n">
        <v>38</v>
      </c>
      <c r="Q77" s="7" t="n">
        <f aca="false">0.35+((P77-9)/64)*(1-0.35)</f>
        <v>0.64453125</v>
      </c>
      <c r="R77" s="15" t="n">
        <f aca="false">Q77*L77</f>
        <v>0.708984375</v>
      </c>
      <c r="S77" s="15" t="n">
        <f aca="false">J77-R77</f>
        <v>0.391015625</v>
      </c>
      <c r="T77" s="15" t="n">
        <f aca="false">MIN(189.6,(T76+S77))</f>
        <v>72.92921875</v>
      </c>
      <c r="V77" s="16" t="n">
        <v>724.3</v>
      </c>
      <c r="W77" s="7" t="n">
        <f aca="false">V77/D77</f>
        <v>85.2117647058824</v>
      </c>
      <c r="X77" s="7" t="n">
        <f aca="false">X76+V77</f>
        <v>33574.5</v>
      </c>
      <c r="AA77" s="7" t="n">
        <v>11.0523786203561</v>
      </c>
    </row>
    <row r="78" s="7" customFormat="true" ht="15" hidden="false" customHeight="false" outlineLevel="0" collapsed="false">
      <c r="A78" s="10"/>
      <c r="B78" s="11"/>
      <c r="C78" s="8" t="n">
        <v>41559</v>
      </c>
      <c r="D78" s="7" t="n">
        <v>7.5</v>
      </c>
      <c r="E78" s="7" t="n">
        <v>6.7</v>
      </c>
      <c r="F78" s="7" t="n">
        <v>9.7</v>
      </c>
      <c r="G78" s="7" t="n">
        <f aca="false">G77+D78</f>
        <v>548</v>
      </c>
      <c r="J78" s="7" t="n">
        <v>0</v>
      </c>
      <c r="K78" s="7" t="n">
        <f aca="false">K77+J78</f>
        <v>100.2</v>
      </c>
      <c r="L78" s="7" t="n">
        <v>0.9</v>
      </c>
      <c r="M78" s="7" t="n">
        <f aca="false">M77+L78</f>
        <v>68</v>
      </c>
      <c r="N78" s="14" t="n">
        <f aca="false">J78-L78</f>
        <v>-0.9</v>
      </c>
      <c r="O78" s="7" t="n">
        <f aca="false">O77+N78</f>
        <v>32.2</v>
      </c>
      <c r="P78" s="7" t="n">
        <v>39</v>
      </c>
      <c r="Q78" s="7" t="n">
        <f aca="false">0.35+((P78-9)/64)*(1-0.35)</f>
        <v>0.6546875</v>
      </c>
      <c r="R78" s="15" t="n">
        <f aca="false">Q78*L78</f>
        <v>0.58921875</v>
      </c>
      <c r="S78" s="15" t="n">
        <f aca="false">J78-R78</f>
        <v>-0.58921875</v>
      </c>
      <c r="T78" s="15" t="n">
        <f aca="false">MIN(189.6,(T77+S78))</f>
        <v>72.34</v>
      </c>
      <c r="V78" s="16" t="n">
        <v>585.2</v>
      </c>
      <c r="W78" s="7" t="n">
        <f aca="false">V78/D78</f>
        <v>78.0266666666667</v>
      </c>
      <c r="X78" s="7" t="n">
        <f aca="false">X77+V78</f>
        <v>34159.7</v>
      </c>
      <c r="AA78" s="7" t="n">
        <v>10.9919703248208</v>
      </c>
    </row>
    <row r="79" s="7" customFormat="true" ht="15" hidden="false" customHeight="false" outlineLevel="0" collapsed="false">
      <c r="A79" s="10"/>
      <c r="B79" s="11"/>
      <c r="C79" s="8" t="n">
        <v>41560</v>
      </c>
      <c r="D79" s="7" t="n">
        <v>8.4</v>
      </c>
      <c r="E79" s="7" t="n">
        <v>5.6</v>
      </c>
      <c r="F79" s="7" t="n">
        <v>9.8</v>
      </c>
      <c r="G79" s="7" t="n">
        <f aca="false">G78+D79</f>
        <v>556.4</v>
      </c>
      <c r="J79" s="7" t="n">
        <v>10.1</v>
      </c>
      <c r="K79" s="7" t="n">
        <f aca="false">K78+J79</f>
        <v>110.3</v>
      </c>
      <c r="L79" s="7" t="n">
        <v>0.7</v>
      </c>
      <c r="M79" s="7" t="n">
        <f aca="false">M78+L79</f>
        <v>68.7</v>
      </c>
      <c r="N79" s="7" t="n">
        <f aca="false">J79-L79</f>
        <v>9.4</v>
      </c>
      <c r="O79" s="7" t="n">
        <f aca="false">O78+N79</f>
        <v>41.6</v>
      </c>
      <c r="P79" s="7" t="n">
        <v>40</v>
      </c>
      <c r="Q79" s="7" t="n">
        <f aca="false">0.35+((P79-9)/64)*(1-0.35)</f>
        <v>0.66484375</v>
      </c>
      <c r="R79" s="15" t="n">
        <f aca="false">Q79*L79</f>
        <v>0.465390625</v>
      </c>
      <c r="S79" s="15" t="n">
        <f aca="false">J79-R79</f>
        <v>9.634609375</v>
      </c>
      <c r="T79" s="15" t="n">
        <f aca="false">MIN(189.6,(T78+S79))</f>
        <v>81.974609375</v>
      </c>
      <c r="V79" s="16" t="n">
        <v>450.3</v>
      </c>
      <c r="W79" s="7" t="n">
        <f aca="false">V79/D79</f>
        <v>53.6071428571429</v>
      </c>
      <c r="X79" s="7" t="n">
        <f aca="false">X78+V79</f>
        <v>34610</v>
      </c>
      <c r="AA79" s="7" t="n">
        <v>10.9316763439821</v>
      </c>
    </row>
    <row r="80" s="7" customFormat="true" ht="15" hidden="false" customHeight="false" outlineLevel="0" collapsed="false">
      <c r="A80" s="10"/>
      <c r="B80" s="11"/>
      <c r="C80" s="8" t="n">
        <v>41561</v>
      </c>
      <c r="D80" s="7" t="n">
        <v>10.2</v>
      </c>
      <c r="E80" s="7" t="n">
        <v>9.3</v>
      </c>
      <c r="F80" s="7" t="n">
        <v>11.8</v>
      </c>
      <c r="G80" s="7" t="n">
        <f aca="false">G79+D80</f>
        <v>566.6</v>
      </c>
      <c r="J80" s="7" t="n">
        <v>11.1</v>
      </c>
      <c r="K80" s="7" t="n">
        <f aca="false">K79+J80</f>
        <v>121.4</v>
      </c>
      <c r="L80" s="7" t="n">
        <v>0.9</v>
      </c>
      <c r="M80" s="7" t="n">
        <f aca="false">M79+L80</f>
        <v>69.6</v>
      </c>
      <c r="N80" s="7" t="n">
        <f aca="false">J80-L80</f>
        <v>10.2</v>
      </c>
      <c r="O80" s="7" t="n">
        <f aca="false">O79+N80</f>
        <v>51.8</v>
      </c>
      <c r="P80" s="7" t="n">
        <v>41</v>
      </c>
      <c r="Q80" s="7" t="n">
        <f aca="false">0.35+((P80-9)/64)*(1-0.35)</f>
        <v>0.675</v>
      </c>
      <c r="R80" s="15" t="n">
        <f aca="false">Q80*L80</f>
        <v>0.6075</v>
      </c>
      <c r="S80" s="15" t="n">
        <f aca="false">J80-R80</f>
        <v>10.4925</v>
      </c>
      <c r="T80" s="15" t="n">
        <f aca="false">MIN(189.6,(T79+S80))</f>
        <v>92.467109375</v>
      </c>
      <c r="V80" s="16" t="n">
        <v>211</v>
      </c>
      <c r="W80" s="7" t="n">
        <f aca="false">V80/D80</f>
        <v>20.6862745098039</v>
      </c>
      <c r="X80" s="7" t="n">
        <f aca="false">X79+V80</f>
        <v>34821</v>
      </c>
      <c r="AA80" s="7" t="n">
        <v>10.8715061368113</v>
      </c>
    </row>
    <row r="81" s="7" customFormat="true" ht="15" hidden="false" customHeight="false" outlineLevel="0" collapsed="false">
      <c r="A81" s="10"/>
      <c r="B81" s="11"/>
      <c r="C81" s="8" t="n">
        <v>41562</v>
      </c>
      <c r="D81" s="7" t="n">
        <v>9.6</v>
      </c>
      <c r="E81" s="7" t="n">
        <v>8.9</v>
      </c>
      <c r="F81" s="7" t="n">
        <v>12.4</v>
      </c>
      <c r="G81" s="7" t="n">
        <f aca="false">G80+D81</f>
        <v>576.2</v>
      </c>
      <c r="J81" s="7" t="n">
        <v>0.2</v>
      </c>
      <c r="K81" s="7" t="n">
        <f aca="false">K80+J81</f>
        <v>121.6</v>
      </c>
      <c r="L81" s="7" t="n">
        <v>1.4</v>
      </c>
      <c r="M81" s="7" t="n">
        <f aca="false">M80+L81</f>
        <v>71</v>
      </c>
      <c r="N81" s="14" t="n">
        <f aca="false">J81-L81</f>
        <v>-1.2</v>
      </c>
      <c r="O81" s="7" t="n">
        <f aca="false">O80+N81</f>
        <v>50.6</v>
      </c>
      <c r="P81" s="7" t="n">
        <v>42</v>
      </c>
      <c r="Q81" s="7" t="n">
        <f aca="false">0.35+((P81-9)/64)*(1-0.35)</f>
        <v>0.68515625</v>
      </c>
      <c r="R81" s="15" t="n">
        <f aca="false">Q81*L81</f>
        <v>0.95921875</v>
      </c>
      <c r="S81" s="15" t="n">
        <f aca="false">J81-R81</f>
        <v>-0.75921875</v>
      </c>
      <c r="T81" s="15" t="n">
        <f aca="false">MIN(189.6,(T80+S81))</f>
        <v>91.707890625</v>
      </c>
      <c r="V81" s="16" t="n">
        <v>739.3</v>
      </c>
      <c r="W81" s="7" t="n">
        <f aca="false">V81/D81</f>
        <v>77.0104166666667</v>
      </c>
      <c r="X81" s="7" t="n">
        <f aca="false">X80+V81</f>
        <v>35560.3</v>
      </c>
      <c r="AA81" s="7" t="n">
        <v>10.811469572217</v>
      </c>
    </row>
    <row r="82" s="7" customFormat="true" ht="15" hidden="false" customHeight="false" outlineLevel="0" collapsed="false">
      <c r="A82" s="10"/>
      <c r="B82" s="11"/>
      <c r="C82" s="8" t="n">
        <v>41563</v>
      </c>
      <c r="D82" s="7" t="n">
        <v>8.5</v>
      </c>
      <c r="E82" s="18" t="n">
        <v>3.8</v>
      </c>
      <c r="F82" s="7" t="n">
        <v>11.2</v>
      </c>
      <c r="G82" s="7" t="n">
        <f aca="false">G81+D82</f>
        <v>584.7</v>
      </c>
      <c r="J82" s="7" t="n">
        <v>7.8</v>
      </c>
      <c r="K82" s="7" t="n">
        <f aca="false">K81+J82</f>
        <v>129.4</v>
      </c>
      <c r="L82" s="7" t="n">
        <v>0.4</v>
      </c>
      <c r="M82" s="7" t="n">
        <f aca="false">M81+L82</f>
        <v>71.4</v>
      </c>
      <c r="N82" s="7" t="n">
        <f aca="false">J82-L82</f>
        <v>7.4</v>
      </c>
      <c r="O82" s="7" t="n">
        <f aca="false">O81+N82</f>
        <v>58</v>
      </c>
      <c r="P82" s="7" t="n">
        <v>43</v>
      </c>
      <c r="Q82" s="7" t="n">
        <f aca="false">0.35+((P82-9)/64)*(1-0.35)</f>
        <v>0.6953125</v>
      </c>
      <c r="R82" s="15" t="n">
        <f aca="false">Q82*L82</f>
        <v>0.278125</v>
      </c>
      <c r="S82" s="15" t="n">
        <f aca="false">J82-R82</f>
        <v>7.521875</v>
      </c>
      <c r="T82" s="15" t="n">
        <f aca="false">MIN(189.6,(T81+S82))</f>
        <v>99.229765625</v>
      </c>
      <c r="V82" s="16" t="n">
        <v>274.7</v>
      </c>
      <c r="W82" s="7" t="n">
        <f aca="false">V82/D82</f>
        <v>32.3176470588235</v>
      </c>
      <c r="X82" s="7" t="n">
        <f aca="false">X81+V82</f>
        <v>35835</v>
      </c>
      <c r="AA82" s="7" t="n">
        <v>10.7515769489798</v>
      </c>
    </row>
    <row r="83" s="7" customFormat="true" ht="15" hidden="false" customHeight="false" outlineLevel="0" collapsed="false">
      <c r="A83" s="10"/>
      <c r="B83" s="11"/>
      <c r="C83" s="8" t="n">
        <v>41564</v>
      </c>
      <c r="D83" s="7" t="n">
        <v>12.5</v>
      </c>
      <c r="E83" s="7" t="n">
        <v>10.7</v>
      </c>
      <c r="F83" s="7" t="n">
        <v>16.2</v>
      </c>
      <c r="G83" s="7" t="n">
        <f aca="false">G82+D83</f>
        <v>597.2</v>
      </c>
      <c r="J83" s="7" t="n">
        <v>1.5</v>
      </c>
      <c r="K83" s="7" t="n">
        <f aca="false">K82+J83</f>
        <v>130.9</v>
      </c>
      <c r="L83" s="7" t="n">
        <v>1.1</v>
      </c>
      <c r="M83" s="7" t="n">
        <f aca="false">M82+L83</f>
        <v>72.5</v>
      </c>
      <c r="N83" s="7" t="n">
        <f aca="false">J83-L83</f>
        <v>0.4</v>
      </c>
      <c r="O83" s="7" t="n">
        <f aca="false">O82+N83</f>
        <v>58.4</v>
      </c>
      <c r="P83" s="7" t="n">
        <v>44</v>
      </c>
      <c r="Q83" s="7" t="n">
        <f aca="false">0.35+((P83-9)/64)*(1-0.35)</f>
        <v>0.70546875</v>
      </c>
      <c r="R83" s="15" t="n">
        <f aca="false">Q83*L83</f>
        <v>0.776015625</v>
      </c>
      <c r="S83" s="15" t="n">
        <f aca="false">J83-R83</f>
        <v>0.723984375</v>
      </c>
      <c r="T83" s="15" t="n">
        <f aca="false">MIN(189.6,(T82+S83))</f>
        <v>99.95375</v>
      </c>
      <c r="V83" s="16" t="n">
        <v>342</v>
      </c>
      <c r="W83" s="7" t="n">
        <f aca="false">V83/D83</f>
        <v>27.36</v>
      </c>
      <c r="X83" s="7" t="n">
        <f aca="false">X82+V83</f>
        <v>36177</v>
      </c>
      <c r="AA83" s="7" t="n">
        <v>10.691839015637</v>
      </c>
    </row>
    <row r="84" s="7" customFormat="true" ht="15" hidden="false" customHeight="false" outlineLevel="0" collapsed="false">
      <c r="A84" s="10"/>
      <c r="B84" s="11"/>
      <c r="C84" s="8" t="n">
        <v>41565</v>
      </c>
      <c r="D84" s="7" t="n">
        <v>10.1</v>
      </c>
      <c r="E84" s="7" t="n">
        <v>8.3</v>
      </c>
      <c r="F84" s="7" t="n">
        <v>12.4</v>
      </c>
      <c r="G84" s="7" t="n">
        <f aca="false">G83+D84</f>
        <v>607.3</v>
      </c>
      <c r="J84" s="7" t="n">
        <v>0.2</v>
      </c>
      <c r="K84" s="7" t="n">
        <f aca="false">K83+J84</f>
        <v>131.1</v>
      </c>
      <c r="L84" s="7" t="n">
        <v>0.6</v>
      </c>
      <c r="M84" s="7" t="n">
        <f aca="false">M83+L84</f>
        <v>73.1</v>
      </c>
      <c r="N84" s="14" t="n">
        <f aca="false">J84-L84</f>
        <v>-0.4</v>
      </c>
      <c r="O84" s="7" t="n">
        <f aca="false">O83+N84</f>
        <v>58</v>
      </c>
      <c r="P84" s="7" t="n">
        <v>45</v>
      </c>
      <c r="Q84" s="7" t="n">
        <f aca="false">0.35+((P84-9)/64)*(1-0.35)</f>
        <v>0.715625</v>
      </c>
      <c r="R84" s="15" t="n">
        <f aca="false">Q84*L84</f>
        <v>0.429375</v>
      </c>
      <c r="S84" s="15" t="n">
        <f aca="false">J84-R84</f>
        <v>-0.229375</v>
      </c>
      <c r="T84" s="15" t="n">
        <f aca="false">MIN(189.6,(T83+S84))</f>
        <v>99.724375</v>
      </c>
      <c r="V84" s="16" t="n">
        <v>335</v>
      </c>
      <c r="W84" s="7" t="n">
        <f aca="false">V84/D84</f>
        <v>33.1683168316832</v>
      </c>
      <c r="X84" s="7" t="n">
        <f aca="false">X83+V84</f>
        <v>36512</v>
      </c>
      <c r="AA84" s="7" t="n">
        <v>10.6322669902773</v>
      </c>
    </row>
    <row r="85" s="7" customFormat="true" ht="15" hidden="false" customHeight="false" outlineLevel="0" collapsed="false">
      <c r="A85" s="10"/>
      <c r="B85" s="11"/>
      <c r="C85" s="8" t="n">
        <v>41566</v>
      </c>
      <c r="D85" s="7" t="n">
        <v>12.6</v>
      </c>
      <c r="E85" s="7" t="n">
        <v>9.1</v>
      </c>
      <c r="F85" s="7" t="n">
        <v>14.9</v>
      </c>
      <c r="G85" s="7" t="n">
        <f aca="false">G84+D85</f>
        <v>619.9</v>
      </c>
      <c r="J85" s="7" t="n">
        <v>0.6</v>
      </c>
      <c r="K85" s="7" t="n">
        <f aca="false">K84+J85</f>
        <v>131.7</v>
      </c>
      <c r="L85" s="7" t="n">
        <v>0.4</v>
      </c>
      <c r="M85" s="7" t="n">
        <f aca="false">M84+L85</f>
        <v>73.5</v>
      </c>
      <c r="N85" s="7" t="n">
        <f aca="false">J85-L85</f>
        <v>0.2</v>
      </c>
      <c r="O85" s="7" t="n">
        <f aca="false">O84+N85</f>
        <v>58.2</v>
      </c>
      <c r="P85" s="7" t="n">
        <v>46</v>
      </c>
      <c r="Q85" s="7" t="n">
        <f aca="false">0.35+((P85-9)/64)*(1-0.35)</f>
        <v>0.72578125</v>
      </c>
      <c r="R85" s="15" t="n">
        <f aca="false">Q85*L85</f>
        <v>0.2903125</v>
      </c>
      <c r="S85" s="15" t="n">
        <f aca="false">J85-R85</f>
        <v>0.3096875</v>
      </c>
      <c r="T85" s="15" t="n">
        <f aca="false">MIN(189.6,(T84+S85))</f>
        <v>100.0340625</v>
      </c>
      <c r="V85" s="16" t="n">
        <v>209</v>
      </c>
      <c r="W85" s="7" t="n">
        <f aca="false">V85/D85</f>
        <v>16.5873015873016</v>
      </c>
      <c r="X85" s="7" t="n">
        <f aca="false">X84+V85</f>
        <v>36721</v>
      </c>
      <c r="AA85" s="7" t="n">
        <v>10.5728725801969</v>
      </c>
    </row>
    <row r="86" s="7" customFormat="true" ht="15" hidden="false" customHeight="false" outlineLevel="0" collapsed="false">
      <c r="A86" s="10"/>
      <c r="B86" s="11"/>
      <c r="C86" s="8" t="n">
        <v>41567</v>
      </c>
      <c r="D86" s="7" t="n">
        <v>14</v>
      </c>
      <c r="E86" s="7" t="n">
        <v>12.7</v>
      </c>
      <c r="F86" s="7" t="n">
        <v>16</v>
      </c>
      <c r="G86" s="7" t="n">
        <f aca="false">G85+D86</f>
        <v>633.9</v>
      </c>
      <c r="J86" s="7" t="n">
        <v>3.6</v>
      </c>
      <c r="K86" s="7" t="n">
        <f aca="false">K85+J86</f>
        <v>135.3</v>
      </c>
      <c r="L86" s="7" t="n">
        <v>0.9</v>
      </c>
      <c r="M86" s="7" t="n">
        <f aca="false">M85+L86</f>
        <v>74.4</v>
      </c>
      <c r="N86" s="7" t="n">
        <f aca="false">J86-L86</f>
        <v>2.7</v>
      </c>
      <c r="O86" s="7" t="n">
        <f aca="false">O85+N86</f>
        <v>60.9</v>
      </c>
      <c r="P86" s="7" t="n">
        <v>47</v>
      </c>
      <c r="Q86" s="7" t="n">
        <f aca="false">0.35+((P86-9)/64)*(1-0.35)</f>
        <v>0.7359375</v>
      </c>
      <c r="R86" s="15" t="n">
        <f aca="false">Q86*L86</f>
        <v>0.66234375</v>
      </c>
      <c r="S86" s="15" t="n">
        <f aca="false">J86-R86</f>
        <v>2.93765625</v>
      </c>
      <c r="T86" s="15" t="n">
        <f aca="false">MIN(189.6,(T85+S86))</f>
        <v>102.97171875</v>
      </c>
      <c r="V86" s="16" t="n">
        <v>364.2</v>
      </c>
      <c r="W86" s="7" t="n">
        <f aca="false">V86/D86</f>
        <v>26.0142857142857</v>
      </c>
      <c r="X86" s="7" t="n">
        <f aca="false">X85+V86</f>
        <v>37085.2</v>
      </c>
      <c r="AA86" s="7" t="n">
        <v>10.5136680013647</v>
      </c>
    </row>
    <row r="87" s="7" customFormat="true" ht="15" hidden="false" customHeight="false" outlineLevel="0" collapsed="false">
      <c r="A87" s="10"/>
      <c r="B87" s="11"/>
      <c r="C87" s="8" t="n">
        <v>41568</v>
      </c>
      <c r="D87" s="7" t="n">
        <v>15.4</v>
      </c>
      <c r="E87" s="7" t="n">
        <v>13.4</v>
      </c>
      <c r="F87" s="7" t="n">
        <v>18.1</v>
      </c>
      <c r="G87" s="7" t="n">
        <f aca="false">G86+D87</f>
        <v>649.3</v>
      </c>
      <c r="J87" s="7" t="n">
        <v>0.1</v>
      </c>
      <c r="K87" s="7" t="n">
        <f aca="false">K86+J87</f>
        <v>135.4</v>
      </c>
      <c r="L87" s="7" t="n">
        <v>1.2</v>
      </c>
      <c r="M87" s="7" t="n">
        <f aca="false">M86+L87</f>
        <v>75.6</v>
      </c>
      <c r="N87" s="14" t="n">
        <f aca="false">J87-L87</f>
        <v>-1.1</v>
      </c>
      <c r="O87" s="7" t="n">
        <f aca="false">O86+N87</f>
        <v>59.8</v>
      </c>
      <c r="P87" s="7" t="n">
        <v>48</v>
      </c>
      <c r="Q87" s="7" t="n">
        <f aca="false">0.35+((P87-9)/64)*(1-0.35)</f>
        <v>0.74609375</v>
      </c>
      <c r="R87" s="15" t="n">
        <f aca="false">Q87*L87</f>
        <v>0.8953125</v>
      </c>
      <c r="S87" s="15" t="n">
        <f aca="false">J87-R87</f>
        <v>-0.7953125</v>
      </c>
      <c r="T87" s="15" t="n">
        <f aca="false">MIN(189.6,(T86+S87))</f>
        <v>102.17640625</v>
      </c>
      <c r="V87" s="16" t="n">
        <v>342.9</v>
      </c>
      <c r="W87" s="7" t="n">
        <f aca="false">V87/D87</f>
        <v>22.2662337662338</v>
      </c>
      <c r="X87" s="7" t="n">
        <f aca="false">X86+V87</f>
        <v>37428.1</v>
      </c>
      <c r="AA87" s="7" t="n">
        <v>10.4546659976386</v>
      </c>
    </row>
    <row r="88" s="7" customFormat="true" ht="15" hidden="false" customHeight="false" outlineLevel="0" collapsed="false">
      <c r="A88" s="10"/>
      <c r="B88" s="11"/>
      <c r="C88" s="8" t="n">
        <v>41569</v>
      </c>
      <c r="D88" s="7" t="n">
        <v>16.6</v>
      </c>
      <c r="E88" s="7" t="n">
        <v>14.5</v>
      </c>
      <c r="F88" s="7" t="n">
        <v>19.7</v>
      </c>
      <c r="G88" s="7" t="n">
        <f aca="false">G87+D88</f>
        <v>665.9</v>
      </c>
      <c r="J88" s="7" t="n">
        <v>0.1</v>
      </c>
      <c r="K88" s="7" t="n">
        <f aca="false">K87+J88</f>
        <v>135.5</v>
      </c>
      <c r="L88" s="7" t="n">
        <v>1.3</v>
      </c>
      <c r="M88" s="7" t="n">
        <f aca="false">M87+L88</f>
        <v>76.9</v>
      </c>
      <c r="N88" s="14" t="n">
        <f aca="false">J88-L88</f>
        <v>-1.2</v>
      </c>
      <c r="O88" s="7" t="n">
        <f aca="false">O87+N88</f>
        <v>58.6</v>
      </c>
      <c r="P88" s="7" t="n">
        <v>49</v>
      </c>
      <c r="Q88" s="7" t="n">
        <f aca="false">0.35+((P88-9)/64)*(1-0.35)</f>
        <v>0.75625</v>
      </c>
      <c r="R88" s="15" t="n">
        <f aca="false">Q88*L88</f>
        <v>0.983125</v>
      </c>
      <c r="S88" s="15" t="n">
        <f aca="false">J88-R88</f>
        <v>-0.883125</v>
      </c>
      <c r="T88" s="15" t="n">
        <f aca="false">MIN(189.6,(T87+S88))</f>
        <v>101.29328125</v>
      </c>
      <c r="V88" s="16" t="n">
        <v>405.2</v>
      </c>
      <c r="W88" s="7" t="n">
        <f aca="false">V88/D88</f>
        <v>24.4096385542169</v>
      </c>
      <c r="X88" s="7" t="n">
        <f aca="false">X87+V88</f>
        <v>37833.3</v>
      </c>
      <c r="AA88" s="7" t="n">
        <v>10.3958798596663</v>
      </c>
    </row>
    <row r="89" s="7" customFormat="true" ht="15" hidden="false" customHeight="false" outlineLevel="0" collapsed="false">
      <c r="A89" s="10"/>
      <c r="B89" s="11"/>
      <c r="C89" s="8" t="n">
        <v>41570</v>
      </c>
      <c r="D89" s="7" t="n">
        <v>15.2</v>
      </c>
      <c r="E89" s="7" t="n">
        <v>14</v>
      </c>
      <c r="F89" s="7" t="n">
        <v>18.4</v>
      </c>
      <c r="G89" s="7" t="n">
        <f aca="false">G88+D89</f>
        <v>681.1</v>
      </c>
      <c r="J89" s="7" t="n">
        <v>3.2</v>
      </c>
      <c r="K89" s="7" t="n">
        <f aca="false">K88+J89</f>
        <v>138.7</v>
      </c>
      <c r="L89" s="7" t="n">
        <v>1.9</v>
      </c>
      <c r="M89" s="7" t="n">
        <f aca="false">M88+L89</f>
        <v>78.8</v>
      </c>
      <c r="N89" s="7" t="n">
        <f aca="false">J89-L89</f>
        <v>1.3</v>
      </c>
      <c r="O89" s="7" t="n">
        <f aca="false">O88+N89</f>
        <v>59.9</v>
      </c>
      <c r="P89" s="7" t="n">
        <v>50</v>
      </c>
      <c r="Q89" s="7" t="n">
        <f aca="false">0.35+((P89-9)/64)*(1-0.35)</f>
        <v>0.76640625</v>
      </c>
      <c r="R89" s="15" t="n">
        <f aca="false">Q89*L89</f>
        <v>1.456171875</v>
      </c>
      <c r="S89" s="15" t="n">
        <f aca="false">J89-R89</f>
        <v>1.743828125</v>
      </c>
      <c r="T89" s="15" t="n">
        <f aca="false">MIN(189.6,(T88+S89))</f>
        <v>103.037109375</v>
      </c>
      <c r="V89" s="16" t="n">
        <v>598.6</v>
      </c>
      <c r="W89" s="7" t="n">
        <f aca="false">V89/D89</f>
        <v>39.3815789473684</v>
      </c>
      <c r="X89" s="7" t="n">
        <f aca="false">X88+V89</f>
        <v>38431.9</v>
      </c>
      <c r="AA89" s="7" t="n">
        <v>10.3373234434006</v>
      </c>
    </row>
    <row r="90" s="7" customFormat="true" ht="15" hidden="false" customHeight="false" outlineLevel="0" collapsed="false">
      <c r="A90" s="10"/>
      <c r="B90" s="11"/>
      <c r="C90" s="8" t="n">
        <v>41571</v>
      </c>
      <c r="D90" s="7" t="n">
        <v>12.2</v>
      </c>
      <c r="E90" s="7" t="n">
        <v>11.2</v>
      </c>
      <c r="F90" s="7" t="n">
        <v>14</v>
      </c>
      <c r="G90" s="7" t="n">
        <f aca="false">G89+D90</f>
        <v>693.3</v>
      </c>
      <c r="J90" s="7" t="n">
        <v>1.1</v>
      </c>
      <c r="K90" s="7" t="n">
        <f aca="false">K89+J90</f>
        <v>139.8</v>
      </c>
      <c r="L90" s="7" t="n">
        <v>0.7</v>
      </c>
      <c r="M90" s="7" t="n">
        <f aca="false">M89+L90</f>
        <v>79.5</v>
      </c>
      <c r="N90" s="7" t="n">
        <f aca="false">J90-L90</f>
        <v>0.4</v>
      </c>
      <c r="O90" s="7" t="n">
        <f aca="false">O89+N90</f>
        <v>60.3</v>
      </c>
      <c r="P90" s="7" t="n">
        <v>51</v>
      </c>
      <c r="Q90" s="7" t="n">
        <f aca="false">0.35+((P90-9)/64)*(1-0.35)</f>
        <v>0.7765625</v>
      </c>
      <c r="R90" s="15" t="n">
        <f aca="false">Q90*L90</f>
        <v>0.54359375</v>
      </c>
      <c r="S90" s="15" t="n">
        <f aca="false">J90-R90</f>
        <v>0.55640625</v>
      </c>
      <c r="T90" s="15" t="n">
        <f aca="false">MIN(189.6,(T89+S90))</f>
        <v>103.593515625</v>
      </c>
      <c r="V90" s="16" t="n">
        <v>290.8</v>
      </c>
      <c r="W90" s="7" t="n">
        <f aca="false">V90/D90</f>
        <v>23.8360655737705</v>
      </c>
      <c r="X90" s="7" t="n">
        <f aca="false">X89+V90</f>
        <v>38722.7</v>
      </c>
      <c r="AA90" s="7" t="n">
        <v>10.2790111881509</v>
      </c>
    </row>
    <row r="91" s="7" customFormat="true" ht="15" hidden="false" customHeight="false" outlineLevel="0" collapsed="false">
      <c r="A91" s="10"/>
      <c r="B91" s="11"/>
      <c r="C91" s="8" t="n">
        <v>41572</v>
      </c>
      <c r="D91" s="7" t="n">
        <v>15.4</v>
      </c>
      <c r="E91" s="7" t="n">
        <v>11.5</v>
      </c>
      <c r="F91" s="7" t="n">
        <v>17.7</v>
      </c>
      <c r="G91" s="7" t="n">
        <f aca="false">G90+D91</f>
        <v>708.7</v>
      </c>
      <c r="J91" s="7" t="n">
        <v>1.5</v>
      </c>
      <c r="K91" s="7" t="n">
        <f aca="false">K90+J91</f>
        <v>141.3</v>
      </c>
      <c r="L91" s="7" t="n">
        <v>0.9</v>
      </c>
      <c r="M91" s="7" t="n">
        <f aca="false">M90+L91</f>
        <v>80.4</v>
      </c>
      <c r="N91" s="7" t="n">
        <f aca="false">J91-L91</f>
        <v>0.6</v>
      </c>
      <c r="O91" s="7" t="n">
        <f aca="false">O90+N91</f>
        <v>60.9</v>
      </c>
      <c r="P91" s="7" t="n">
        <v>52</v>
      </c>
      <c r="Q91" s="7" t="n">
        <f aca="false">0.35+((P91-9)/64)*(1-0.35)</f>
        <v>0.78671875</v>
      </c>
      <c r="R91" s="15" t="n">
        <f aca="false">Q91*L91</f>
        <v>0.708046875</v>
      </c>
      <c r="S91" s="15" t="n">
        <f aca="false">J91-R91</f>
        <v>0.791953125</v>
      </c>
      <c r="T91" s="15" t="n">
        <f aca="false">MIN(189.6,(T90+S91))</f>
        <v>104.38546875</v>
      </c>
      <c r="V91" s="16" t="n">
        <v>610.4</v>
      </c>
      <c r="W91" s="7" t="n">
        <f aca="false">V91/D91</f>
        <v>39.6363636363636</v>
      </c>
      <c r="X91" s="7" t="n">
        <f aca="false">X90+V91</f>
        <v>39333.1</v>
      </c>
      <c r="AA91" s="7" t="n">
        <v>10.2209581340834</v>
      </c>
    </row>
    <row r="92" s="7" customFormat="true" ht="15" hidden="false" customHeight="false" outlineLevel="0" collapsed="false">
      <c r="A92" s="10"/>
      <c r="B92" s="11"/>
      <c r="C92" s="8" t="n">
        <v>41573</v>
      </c>
      <c r="D92" s="7" t="n">
        <v>15.7</v>
      </c>
      <c r="E92" s="7" t="n">
        <v>14.2</v>
      </c>
      <c r="F92" s="7" t="n">
        <v>18.8</v>
      </c>
      <c r="G92" s="7" t="n">
        <f aca="false">G91+D92</f>
        <v>724.4</v>
      </c>
      <c r="J92" s="7" t="n">
        <v>0.8</v>
      </c>
      <c r="K92" s="7" t="n">
        <f aca="false">K91+J92</f>
        <v>142.1</v>
      </c>
      <c r="L92" s="7" t="n">
        <v>1.6</v>
      </c>
      <c r="M92" s="7" t="n">
        <f aca="false">M91+L92</f>
        <v>82</v>
      </c>
      <c r="N92" s="14" t="n">
        <f aca="false">J92-L92</f>
        <v>-0.8</v>
      </c>
      <c r="O92" s="7" t="n">
        <f aca="false">O91+N92</f>
        <v>60.1</v>
      </c>
      <c r="P92" s="7" t="n">
        <v>53</v>
      </c>
      <c r="Q92" s="7" t="n">
        <f aca="false">0.35+((P92-9)/64)*(1-0.35)</f>
        <v>0.796875</v>
      </c>
      <c r="R92" s="15" t="n">
        <f aca="false">Q92*L92</f>
        <v>1.275</v>
      </c>
      <c r="S92" s="15" t="n">
        <f aca="false">J92-R92</f>
        <v>-0.475</v>
      </c>
      <c r="T92" s="15" t="n">
        <f aca="false">MIN(189.6,(T91+S92))</f>
        <v>103.91046875</v>
      </c>
      <c r="V92" s="16" t="n">
        <v>576.9</v>
      </c>
      <c r="W92" s="7" t="n">
        <f aca="false">V92/D92</f>
        <v>36.7452229299363</v>
      </c>
      <c r="X92" s="7" t="n">
        <f aca="false">X91+V92</f>
        <v>39910</v>
      </c>
      <c r="AA92" s="7" t="n">
        <v>10.1631799390808</v>
      </c>
    </row>
    <row r="93" s="7" customFormat="true" ht="15" hidden="false" customHeight="false" outlineLevel="0" collapsed="false">
      <c r="A93" s="10"/>
      <c r="B93" s="11"/>
      <c r="C93" s="8" t="n">
        <v>41574</v>
      </c>
      <c r="D93" s="7" t="n">
        <v>14.7</v>
      </c>
      <c r="E93" s="7" t="n">
        <v>14.1</v>
      </c>
      <c r="F93" s="7" t="n">
        <v>16.1</v>
      </c>
      <c r="G93" s="7" t="n">
        <f aca="false">G92+D93</f>
        <v>739.1</v>
      </c>
      <c r="J93" s="7" t="n">
        <v>3.4</v>
      </c>
      <c r="K93" s="7" t="n">
        <f aca="false">K92+J93</f>
        <v>145.5</v>
      </c>
      <c r="L93" s="7" t="n">
        <v>2.3</v>
      </c>
      <c r="M93" s="7" t="n">
        <f aca="false">M92+L93</f>
        <v>84.3</v>
      </c>
      <c r="N93" s="7" t="n">
        <f aca="false">J93-L93</f>
        <v>1.1</v>
      </c>
      <c r="O93" s="7" t="n">
        <f aca="false">O92+N93</f>
        <v>61.2</v>
      </c>
      <c r="P93" s="7" t="n">
        <v>54</v>
      </c>
      <c r="Q93" s="7" t="n">
        <f aca="false">0.35+((P93-9)/64)*(1-0.35)</f>
        <v>0.80703125</v>
      </c>
      <c r="R93" s="15" t="n">
        <f aca="false">Q93*L93</f>
        <v>1.856171875</v>
      </c>
      <c r="S93" s="15" t="n">
        <f aca="false">J93-R93</f>
        <v>1.543828125</v>
      </c>
      <c r="T93" s="15" t="n">
        <f aca="false">MIN(189.6,(T92+S93))</f>
        <v>105.454296875</v>
      </c>
      <c r="V93" s="16" t="n">
        <v>312.5</v>
      </c>
      <c r="W93" s="7" t="n">
        <f aca="false">V93/D93</f>
        <v>21.2585034013605</v>
      </c>
      <c r="X93" s="7" t="n">
        <f aca="false">X92+V93</f>
        <v>40222.5</v>
      </c>
      <c r="AA93" s="7" t="n">
        <v>10.1056928948582</v>
      </c>
    </row>
    <row r="94" s="7" customFormat="true" ht="15" hidden="false" customHeight="false" outlineLevel="0" collapsed="false">
      <c r="A94" s="10"/>
      <c r="B94" s="11"/>
      <c r="C94" s="8" t="n">
        <v>41575</v>
      </c>
      <c r="D94" s="7" t="n">
        <v>12.7</v>
      </c>
      <c r="E94" s="7" t="n">
        <v>10.2</v>
      </c>
      <c r="F94" s="7" t="n">
        <v>15.5</v>
      </c>
      <c r="G94" s="7" t="n">
        <f aca="false">G93+D94</f>
        <v>751.8</v>
      </c>
      <c r="J94" s="7" t="n">
        <v>2.3</v>
      </c>
      <c r="K94" s="7" t="n">
        <f aca="false">K93+J94</f>
        <v>147.8</v>
      </c>
      <c r="L94" s="7" t="n">
        <v>1.5</v>
      </c>
      <c r="M94" s="7" t="n">
        <f aca="false">M93+L94</f>
        <v>85.8</v>
      </c>
      <c r="N94" s="7" t="n">
        <f aca="false">J94-L94</f>
        <v>0.8</v>
      </c>
      <c r="O94" s="7" t="n">
        <f aca="false">O93+N94</f>
        <v>62</v>
      </c>
      <c r="P94" s="7" t="n">
        <v>55</v>
      </c>
      <c r="Q94" s="7" t="n">
        <f aca="false">0.35+((P94-9)/64)*(1-0.35)</f>
        <v>0.8171875</v>
      </c>
      <c r="R94" s="15" t="n">
        <f aca="false">Q94*L94</f>
        <v>1.22578125</v>
      </c>
      <c r="S94" s="15" t="n">
        <f aca="false">J94-R94</f>
        <v>1.07421875</v>
      </c>
      <c r="T94" s="15" t="n">
        <f aca="false">MIN(189.6,(T93+S94))</f>
        <v>106.528515625</v>
      </c>
      <c r="V94" s="16" t="n">
        <v>345.3</v>
      </c>
      <c r="W94" s="7" t="n">
        <f aca="false">V94/D94</f>
        <v>27.1889763779528</v>
      </c>
      <c r="X94" s="7" t="n">
        <f aca="false">X93+V94</f>
        <v>40567.8</v>
      </c>
      <c r="AA94" s="7" t="n">
        <v>10.0485139422284</v>
      </c>
    </row>
    <row r="95" s="7" customFormat="true" ht="15" hidden="false" customHeight="false" outlineLevel="0" collapsed="false">
      <c r="A95" s="10"/>
      <c r="B95" s="11"/>
      <c r="C95" s="8" t="n">
        <v>41576</v>
      </c>
      <c r="D95" s="7" t="n">
        <v>9.2</v>
      </c>
      <c r="E95" s="7" t="n">
        <v>8.3</v>
      </c>
      <c r="F95" s="7" t="n">
        <v>12.5</v>
      </c>
      <c r="G95" s="7" t="n">
        <f aca="false">G94+D95</f>
        <v>761</v>
      </c>
      <c r="J95" s="7" t="n">
        <v>0.7</v>
      </c>
      <c r="K95" s="7" t="n">
        <f aca="false">K94+J95</f>
        <v>148.5</v>
      </c>
      <c r="L95" s="7" t="n">
        <v>1.5</v>
      </c>
      <c r="M95" s="7" t="n">
        <f aca="false">M94+L95</f>
        <v>87.3</v>
      </c>
      <c r="N95" s="14" t="n">
        <f aca="false">J95-L95</f>
        <v>-0.8</v>
      </c>
      <c r="O95" s="7" t="n">
        <f aca="false">O94+N95</f>
        <v>61.2</v>
      </c>
      <c r="P95" s="7" t="n">
        <v>56</v>
      </c>
      <c r="Q95" s="7" t="n">
        <f aca="false">0.35+((P95-9)/64)*(1-0.35)</f>
        <v>0.82734375</v>
      </c>
      <c r="R95" s="15" t="n">
        <f aca="false">Q95*L95</f>
        <v>1.241015625</v>
      </c>
      <c r="S95" s="15" t="n">
        <f aca="false">J95-R95</f>
        <v>-0.541015625</v>
      </c>
      <c r="T95" s="15" t="n">
        <f aca="false">MIN(189.6,(T94+S95))</f>
        <v>105.9875</v>
      </c>
      <c r="V95" s="16" t="n">
        <v>562.5</v>
      </c>
      <c r="W95" s="7" t="n">
        <f aca="false">V95/D95</f>
        <v>61.1413043478261</v>
      </c>
      <c r="X95" s="7" t="n">
        <f aca="false">X94+V95</f>
        <v>41130.3</v>
      </c>
      <c r="AA95" s="7" t="n">
        <v>9.99166068540131</v>
      </c>
    </row>
    <row r="96" s="7" customFormat="true" ht="15" hidden="false" customHeight="false" outlineLevel="0" collapsed="false">
      <c r="A96" s="10"/>
      <c r="B96" s="11"/>
      <c r="C96" s="8" t="n">
        <v>41577</v>
      </c>
      <c r="D96" s="7" t="n">
        <v>7.7</v>
      </c>
      <c r="E96" s="18" t="n">
        <v>4.6</v>
      </c>
      <c r="F96" s="7" t="n">
        <v>13.1</v>
      </c>
      <c r="G96" s="7" t="n">
        <f aca="false">G95+D96</f>
        <v>768.7</v>
      </c>
      <c r="J96" s="7" t="n">
        <v>0</v>
      </c>
      <c r="K96" s="7" t="n">
        <f aca="false">K95+J96</f>
        <v>148.5</v>
      </c>
      <c r="L96" s="7" t="n">
        <v>1.4</v>
      </c>
      <c r="M96" s="7" t="n">
        <f aca="false">M95+L96</f>
        <v>88.7</v>
      </c>
      <c r="N96" s="14" t="n">
        <f aca="false">J96-L96</f>
        <v>-1.4</v>
      </c>
      <c r="O96" s="7" t="n">
        <f aca="false">O95+N96</f>
        <v>59.8</v>
      </c>
      <c r="P96" s="7" t="n">
        <v>57</v>
      </c>
      <c r="Q96" s="7" t="n">
        <f aca="false">0.35+((P96-9)/64)*(1-0.35)</f>
        <v>0.8375</v>
      </c>
      <c r="R96" s="15" t="n">
        <f aca="false">Q96*L96</f>
        <v>1.1725</v>
      </c>
      <c r="S96" s="15" t="n">
        <f aca="false">J96-R96</f>
        <v>-1.1725</v>
      </c>
      <c r="T96" s="15" t="n">
        <f aca="false">MIN(189.6,(T95+S96))</f>
        <v>104.815</v>
      </c>
      <c r="V96" s="16" t="n">
        <v>830.6</v>
      </c>
      <c r="W96" s="7" t="n">
        <f aca="false">V96/D96</f>
        <v>107.87012987013</v>
      </c>
      <c r="X96" s="7" t="n">
        <f aca="false">X95+V96</f>
        <v>41960.9</v>
      </c>
      <c r="AA96" s="7" t="n">
        <v>9.93515140519334</v>
      </c>
    </row>
    <row r="97" s="7" customFormat="true" ht="15" hidden="false" customHeight="false" outlineLevel="0" collapsed="false">
      <c r="A97" s="10"/>
      <c r="B97" s="11"/>
      <c r="C97" s="8" t="n">
        <v>41578</v>
      </c>
      <c r="D97" s="7" t="n">
        <v>9.2</v>
      </c>
      <c r="E97" s="18" t="n">
        <v>4.6</v>
      </c>
      <c r="F97" s="7" t="n">
        <v>13</v>
      </c>
      <c r="G97" s="7" t="n">
        <f aca="false">G96+D97</f>
        <v>777.9</v>
      </c>
      <c r="J97" s="7" t="n">
        <v>1.1</v>
      </c>
      <c r="K97" s="7" t="n">
        <f aca="false">K96+J97</f>
        <v>149.6</v>
      </c>
      <c r="L97" s="7" t="n">
        <v>1</v>
      </c>
      <c r="M97" s="7" t="n">
        <f aca="false">M96+L97</f>
        <v>89.7</v>
      </c>
      <c r="N97" s="7" t="n">
        <f aca="false">J97-L97</f>
        <v>0.1</v>
      </c>
      <c r="O97" s="7" t="n">
        <f aca="false">O96+N97</f>
        <v>59.9</v>
      </c>
      <c r="P97" s="7" t="n">
        <v>58</v>
      </c>
      <c r="Q97" s="7" t="n">
        <f aca="false">0.35+((P97-9)/64)*(1-0.35)</f>
        <v>0.84765625</v>
      </c>
      <c r="R97" s="15" t="n">
        <f aca="false">Q97*L97</f>
        <v>0.84765625</v>
      </c>
      <c r="S97" s="15" t="n">
        <f aca="false">J97-R97</f>
        <v>0.25234375</v>
      </c>
      <c r="T97" s="15" t="n">
        <f aca="false">MIN(189.6,(T96+S97))</f>
        <v>105.06734375</v>
      </c>
      <c r="V97" s="16" t="n">
        <v>639.4</v>
      </c>
      <c r="W97" s="7" t="n">
        <f aca="false">V97/D97</f>
        <v>69.5</v>
      </c>
      <c r="X97" s="7" t="n">
        <f aca="false">X96+V97</f>
        <v>42600.3</v>
      </c>
      <c r="AA97" s="7" t="n">
        <v>9.87900507101492</v>
      </c>
    </row>
    <row r="98" s="7" customFormat="true" ht="15" hidden="false" customHeight="false" outlineLevel="0" collapsed="false">
      <c r="A98" s="10"/>
      <c r="B98" s="11"/>
      <c r="C98" s="8" t="n">
        <v>41579</v>
      </c>
      <c r="D98" s="7" t="n">
        <v>10</v>
      </c>
      <c r="E98" s="7" t="n">
        <v>9.1</v>
      </c>
      <c r="F98" s="7" t="n">
        <v>13.1</v>
      </c>
      <c r="G98" s="7" t="n">
        <f aca="false">G97+D98</f>
        <v>787.9</v>
      </c>
      <c r="J98" s="7" t="n">
        <v>12.7</v>
      </c>
      <c r="K98" s="7" t="n">
        <f aca="false">K97+J98</f>
        <v>162.3</v>
      </c>
      <c r="L98" s="7" t="n">
        <v>0.8</v>
      </c>
      <c r="M98" s="7" t="n">
        <f aca="false">M97+L98</f>
        <v>90.5</v>
      </c>
      <c r="N98" s="7" t="n">
        <f aca="false">J98-L98</f>
        <v>11.9</v>
      </c>
      <c r="O98" s="7" t="n">
        <f aca="false">O97+N98</f>
        <v>71.8</v>
      </c>
      <c r="P98" s="7" t="n">
        <v>59</v>
      </c>
      <c r="Q98" s="7" t="n">
        <f aca="false">0.35+((P98-9)/64)*(1-0.35)</f>
        <v>0.8578125</v>
      </c>
      <c r="R98" s="15" t="n">
        <f aca="false">Q98*L98</f>
        <v>0.68625</v>
      </c>
      <c r="S98" s="15" t="n">
        <f aca="false">J98-R98</f>
        <v>12.01375</v>
      </c>
      <c r="T98" s="15" t="n">
        <f aca="false">MIN(189.6,(T97+S98))</f>
        <v>117.08109375</v>
      </c>
      <c r="V98" s="16" t="n">
        <v>102.2</v>
      </c>
      <c r="W98" s="7" t="n">
        <f aca="false">V98/D98</f>
        <v>10.22</v>
      </c>
      <c r="X98" s="7" t="n">
        <f aca="false">X97+V98</f>
        <v>42702.5</v>
      </c>
      <c r="AA98" s="7" t="n">
        <v>9.82324135149748</v>
      </c>
    </row>
    <row r="99" s="7" customFormat="true" ht="15" hidden="false" customHeight="false" outlineLevel="0" collapsed="false">
      <c r="A99" s="10"/>
      <c r="B99" s="11"/>
      <c r="C99" s="8" t="n">
        <v>41580</v>
      </c>
      <c r="D99" s="7" t="n">
        <v>12.9</v>
      </c>
      <c r="E99" s="7" t="n">
        <v>9.3</v>
      </c>
      <c r="F99" s="7" t="n">
        <v>14.8</v>
      </c>
      <c r="G99" s="7" t="n">
        <f aca="false">G98+D99</f>
        <v>800.8</v>
      </c>
      <c r="J99" s="7" t="n">
        <v>4.1</v>
      </c>
      <c r="K99" s="7" t="n">
        <f aca="false">K98+J99</f>
        <v>166.4</v>
      </c>
      <c r="L99" s="7" t="n">
        <v>0.5</v>
      </c>
      <c r="M99" s="7" t="n">
        <f aca="false">M98+L99</f>
        <v>91</v>
      </c>
      <c r="N99" s="7" t="n">
        <f aca="false">J99-L99</f>
        <v>3.6</v>
      </c>
      <c r="O99" s="7" t="n">
        <f aca="false">O98+N99</f>
        <v>75.4</v>
      </c>
      <c r="P99" s="7" t="n">
        <v>60</v>
      </c>
      <c r="Q99" s="7" t="n">
        <f aca="false">0.35+((P99-9)/64)*(1-0.35)</f>
        <v>0.86796875</v>
      </c>
      <c r="R99" s="15" t="n">
        <f aca="false">Q99*L99</f>
        <v>0.433984375</v>
      </c>
      <c r="S99" s="15" t="n">
        <f aca="false">J99-R99</f>
        <v>3.666015625</v>
      </c>
      <c r="T99" s="15" t="n">
        <f aca="false">MIN(189.6,(T98+S99))</f>
        <v>120.747109375</v>
      </c>
      <c r="V99" s="16" t="n">
        <v>286.4</v>
      </c>
      <c r="W99" s="7" t="n">
        <f aca="false">V99/D99</f>
        <v>22.2015503875969</v>
      </c>
      <c r="X99" s="7" t="n">
        <f aca="false">X98+V99</f>
        <v>42988.9</v>
      </c>
      <c r="AA99" s="7" t="n">
        <v>9.76788062361241</v>
      </c>
    </row>
    <row r="100" s="7" customFormat="true" ht="15" hidden="false" customHeight="false" outlineLevel="0" collapsed="false">
      <c r="A100" s="10"/>
      <c r="B100" s="11"/>
      <c r="C100" s="8" t="n">
        <v>41581</v>
      </c>
      <c r="D100" s="7" t="n">
        <v>9.2</v>
      </c>
      <c r="E100" s="7" t="n">
        <v>7.4</v>
      </c>
      <c r="F100" s="7" t="n">
        <v>11.9</v>
      </c>
      <c r="G100" s="7" t="n">
        <f aca="false">G99+D100</f>
        <v>810.000000000001</v>
      </c>
      <c r="J100" s="7" t="n">
        <v>4.7</v>
      </c>
      <c r="K100" s="7" t="n">
        <f aca="false">K99+J100</f>
        <v>171.1</v>
      </c>
      <c r="L100" s="7" t="n">
        <v>1.3</v>
      </c>
      <c r="M100" s="7" t="n">
        <f aca="false">M99+L100</f>
        <v>92.3</v>
      </c>
      <c r="N100" s="7" t="n">
        <f aca="false">J100-L100</f>
        <v>3.4</v>
      </c>
      <c r="O100" s="7" t="n">
        <f aca="false">O99+N100</f>
        <v>78.8</v>
      </c>
      <c r="P100" s="7" t="n">
        <v>61</v>
      </c>
      <c r="Q100" s="7" t="n">
        <f aca="false">0.35+((P100-9)/64)*(1-0.35)</f>
        <v>0.878125</v>
      </c>
      <c r="R100" s="15" t="n">
        <f aca="false">Q100*L100</f>
        <v>1.1415625</v>
      </c>
      <c r="S100" s="15" t="n">
        <f aca="false">J100-R100</f>
        <v>3.5584375</v>
      </c>
      <c r="T100" s="15" t="n">
        <f aca="false">MIN(189.6,(T99+S100))</f>
        <v>124.305546875</v>
      </c>
      <c r="V100" s="16" t="n">
        <v>262.7</v>
      </c>
      <c r="W100" s="7" t="n">
        <f aca="false">V100/D100</f>
        <v>28.554347826087</v>
      </c>
      <c r="X100" s="7" t="n">
        <f aca="false">X99+V100</f>
        <v>43251.6</v>
      </c>
      <c r="AA100" s="7" t="n">
        <v>9.71294398012771</v>
      </c>
    </row>
    <row r="101" s="7" customFormat="true" ht="15" hidden="false" customHeight="false" outlineLevel="0" collapsed="false">
      <c r="A101" s="10"/>
      <c r="B101" s="11"/>
      <c r="C101" s="8" t="n">
        <v>41582</v>
      </c>
      <c r="D101" s="7" t="n">
        <v>8.2</v>
      </c>
      <c r="E101" s="18" t="n">
        <v>4.8</v>
      </c>
      <c r="F101" s="7" t="n">
        <v>11.6</v>
      </c>
      <c r="G101" s="7" t="n">
        <f aca="false">G100+D101</f>
        <v>818.200000000001</v>
      </c>
      <c r="J101" s="7" t="n">
        <v>0.4</v>
      </c>
      <c r="K101" s="7" t="n">
        <f aca="false">K100+J101</f>
        <v>171.5</v>
      </c>
      <c r="L101" s="7" t="n">
        <v>0.5</v>
      </c>
      <c r="M101" s="7" t="n">
        <f aca="false">M100+L101</f>
        <v>92.8</v>
      </c>
      <c r="N101" s="14" t="n">
        <f aca="false">J101-L101</f>
        <v>-0.1</v>
      </c>
      <c r="O101" s="7" t="n">
        <f aca="false">O100+N101</f>
        <v>78.7</v>
      </c>
      <c r="P101" s="7" t="n">
        <v>62</v>
      </c>
      <c r="Q101" s="7" t="n">
        <f aca="false">0.35+((P101-9)/64)*(1-0.35)</f>
        <v>0.88828125</v>
      </c>
      <c r="R101" s="15" t="n">
        <f aca="false">Q101*L101</f>
        <v>0.444140625</v>
      </c>
      <c r="S101" s="15" t="n">
        <f aca="false">J101-R101</f>
        <v>-0.044140625</v>
      </c>
      <c r="T101" s="15" t="n">
        <f aca="false">MIN(189.6,(T100+S101))</f>
        <v>124.26140625</v>
      </c>
      <c r="V101" s="16" t="n">
        <v>233</v>
      </c>
      <c r="W101" s="7" t="n">
        <f aca="false">V101/D101</f>
        <v>28.4146341463415</v>
      </c>
      <c r="X101" s="7" t="n">
        <f aca="false">X100+V101</f>
        <v>43484.6</v>
      </c>
      <c r="AA101" s="7" t="n">
        <v>9.65845323524096</v>
      </c>
    </row>
    <row r="102" s="7" customFormat="true" ht="15" hidden="false" customHeight="false" outlineLevel="0" collapsed="false">
      <c r="A102" s="10"/>
      <c r="B102" s="11"/>
      <c r="C102" s="8" t="n">
        <v>41583</v>
      </c>
      <c r="D102" s="7" t="n">
        <v>7.6</v>
      </c>
      <c r="E102" s="18" t="n">
        <v>4</v>
      </c>
      <c r="F102" s="7" t="n">
        <v>10.5</v>
      </c>
      <c r="G102" s="7" t="n">
        <f aca="false">G101+D102</f>
        <v>825.800000000001</v>
      </c>
      <c r="J102" s="7" t="n">
        <v>11.8</v>
      </c>
      <c r="K102" s="7" t="n">
        <f aca="false">K101+J102</f>
        <v>183.3</v>
      </c>
      <c r="L102" s="7" t="n">
        <v>0.5</v>
      </c>
      <c r="M102" s="7" t="n">
        <f aca="false">M101+L102</f>
        <v>93.3</v>
      </c>
      <c r="N102" s="7" t="n">
        <f aca="false">J102-L102</f>
        <v>11.3</v>
      </c>
      <c r="O102" s="7" t="n">
        <f aca="false">O101+N102</f>
        <v>90</v>
      </c>
      <c r="P102" s="7" t="n">
        <v>63</v>
      </c>
      <c r="Q102" s="7" t="n">
        <f aca="false">0.35+((P102-9)/64)*(1-0.35)</f>
        <v>0.8984375</v>
      </c>
      <c r="R102" s="15" t="n">
        <f aca="false">Q102*L102</f>
        <v>0.44921875</v>
      </c>
      <c r="S102" s="15" t="n">
        <f aca="false">J102-R102</f>
        <v>11.35078125</v>
      </c>
      <c r="T102" s="15" t="n">
        <f aca="false">MIN(189.6,(T101+S102))</f>
        <v>135.6121875</v>
      </c>
      <c r="V102" s="16" t="n">
        <v>115</v>
      </c>
      <c r="W102" s="7" t="n">
        <f aca="false">V102/D102</f>
        <v>15.1315789473684</v>
      </c>
      <c r="X102" s="7" t="n">
        <f aca="false">X101+V102</f>
        <v>43599.6</v>
      </c>
      <c r="AA102" s="7" t="n">
        <v>9.60443092822046</v>
      </c>
    </row>
    <row r="103" s="7" customFormat="true" ht="15" hidden="false" customHeight="false" outlineLevel="0" collapsed="false">
      <c r="A103" s="10"/>
      <c r="B103" s="11"/>
      <c r="C103" s="8" t="n">
        <v>41584</v>
      </c>
      <c r="D103" s="7" t="n">
        <v>12.8</v>
      </c>
      <c r="E103" s="7" t="n">
        <v>9.9</v>
      </c>
      <c r="F103" s="7" t="n">
        <v>14.3</v>
      </c>
      <c r="G103" s="7" t="n">
        <f aca="false">G102+D103</f>
        <v>838.600000000001</v>
      </c>
      <c r="J103" s="7" t="n">
        <v>2.4</v>
      </c>
      <c r="K103" s="7" t="n">
        <f aca="false">K102+J103</f>
        <v>185.7</v>
      </c>
      <c r="L103" s="7" t="n">
        <v>0.5</v>
      </c>
      <c r="M103" s="7" t="n">
        <f aca="false">M102+L103</f>
        <v>93.8</v>
      </c>
      <c r="N103" s="7" t="n">
        <f aca="false">J103-L103</f>
        <v>1.9</v>
      </c>
      <c r="O103" s="7" t="n">
        <f aca="false">O102+N103</f>
        <v>91.9</v>
      </c>
      <c r="P103" s="7" t="n">
        <v>64</v>
      </c>
      <c r="Q103" s="7" t="n">
        <f aca="false">0.35+((P103-9)/64)*(1-0.35)</f>
        <v>0.90859375</v>
      </c>
      <c r="R103" s="15" t="n">
        <f aca="false">Q103*L103</f>
        <v>0.454296875</v>
      </c>
      <c r="S103" s="15" t="n">
        <f aca="false">J103-R103</f>
        <v>1.945703125</v>
      </c>
      <c r="T103" s="15" t="n">
        <f aca="false">MIN(189.6,(T102+S103))</f>
        <v>137.557890625</v>
      </c>
      <c r="V103" s="16" t="n">
        <v>145.4</v>
      </c>
      <c r="W103" s="7" t="n">
        <f aca="false">V103/D103</f>
        <v>11.359375</v>
      </c>
      <c r="X103" s="7" t="n">
        <f aca="false">X102+V103</f>
        <v>43745</v>
      </c>
      <c r="AA103" s="7" t="n">
        <v>9.55090032488063</v>
      </c>
    </row>
    <row r="104" s="7" customFormat="true" ht="15" hidden="false" customHeight="false" outlineLevel="0" collapsed="false">
      <c r="A104" s="10"/>
      <c r="B104" s="11"/>
      <c r="C104" s="8" t="n">
        <v>41585</v>
      </c>
      <c r="D104" s="7" t="n">
        <v>12.7</v>
      </c>
      <c r="E104" s="7" t="n">
        <v>11.8</v>
      </c>
      <c r="F104" s="7" t="n">
        <v>13.6</v>
      </c>
      <c r="G104" s="7" t="n">
        <f aca="false">G103+D104</f>
        <v>851.300000000001</v>
      </c>
      <c r="J104" s="7" t="n">
        <v>18.9</v>
      </c>
      <c r="K104" s="7" t="n">
        <f aca="false">K103+J104</f>
        <v>204.6</v>
      </c>
      <c r="L104" s="7" t="n">
        <v>0.5</v>
      </c>
      <c r="M104" s="7" t="n">
        <f aca="false">M103+L104</f>
        <v>94.3</v>
      </c>
      <c r="N104" s="7" t="n">
        <f aca="false">J104-L104</f>
        <v>18.4</v>
      </c>
      <c r="O104" s="7" t="n">
        <f aca="false">O103+N104</f>
        <v>110.3</v>
      </c>
      <c r="P104" s="7" t="n">
        <v>65</v>
      </c>
      <c r="Q104" s="7" t="n">
        <f aca="false">0.35+((P104-9)/64)*(1-0.35)</f>
        <v>0.91875</v>
      </c>
      <c r="R104" s="15" t="n">
        <f aca="false">Q104*L104</f>
        <v>0.459375</v>
      </c>
      <c r="S104" s="15" t="n">
        <f aca="false">J104-R104</f>
        <v>18.440625</v>
      </c>
      <c r="T104" s="15" t="n">
        <f aca="false">MIN(189.6,(T103+S104))</f>
        <v>155.998515625</v>
      </c>
      <c r="V104" s="16" t="n">
        <v>123.5</v>
      </c>
      <c r="W104" s="7" t="n">
        <f aca="false">V104/D104</f>
        <v>9.7244094488189</v>
      </c>
      <c r="X104" s="7" t="n">
        <f aca="false">X103+V104</f>
        <v>43868.5</v>
      </c>
      <c r="AA104" s="7" t="n">
        <v>9.49788541671261</v>
      </c>
    </row>
    <row r="105" s="7" customFormat="true" ht="15" hidden="false" customHeight="false" outlineLevel="0" collapsed="false">
      <c r="A105" s="10"/>
      <c r="B105" s="11"/>
      <c r="C105" s="8" t="n">
        <v>41586</v>
      </c>
      <c r="D105" s="7" t="n">
        <v>9.9</v>
      </c>
      <c r="E105" s="7" t="n">
        <v>8.4</v>
      </c>
      <c r="F105" s="7" t="n">
        <v>12.3</v>
      </c>
      <c r="G105" s="7" t="n">
        <f aca="false">G104+D105</f>
        <v>861.200000000001</v>
      </c>
      <c r="J105" s="7" t="n">
        <v>5.4</v>
      </c>
      <c r="K105" s="7" t="n">
        <f aca="false">K104+J105</f>
        <v>210</v>
      </c>
      <c r="L105" s="7" t="n">
        <v>0.4</v>
      </c>
      <c r="M105" s="7" t="n">
        <f aca="false">M104+L105</f>
        <v>94.7</v>
      </c>
      <c r="N105" s="7" t="n">
        <f aca="false">J105-L105</f>
        <v>5</v>
      </c>
      <c r="O105" s="7" t="n">
        <f aca="false">O104+N105</f>
        <v>115.3</v>
      </c>
      <c r="P105" s="7" t="n">
        <v>66</v>
      </c>
      <c r="Q105" s="7" t="n">
        <f aca="false">0.35+((P105-9)/64)*(1-0.35)</f>
        <v>0.92890625</v>
      </c>
      <c r="R105" s="15" t="n">
        <f aca="false">Q105*L105</f>
        <v>0.3715625</v>
      </c>
      <c r="S105" s="15" t="n">
        <f aca="false">J105-R105</f>
        <v>5.0284375</v>
      </c>
      <c r="T105" s="15" t="n">
        <f aca="false">MIN(189.6,(T104+S105))</f>
        <v>161.026953125</v>
      </c>
      <c r="V105" s="16" t="n">
        <v>118.9</v>
      </c>
      <c r="W105" s="7" t="n">
        <f aca="false">V105/D105</f>
        <v>12.010101010101</v>
      </c>
      <c r="X105" s="7" t="n">
        <f aca="false">X104+V105</f>
        <v>43987.4</v>
      </c>
      <c r="AA105" s="7" t="n">
        <v>9.44541091748669</v>
      </c>
    </row>
    <row r="106" s="7" customFormat="true" ht="15" hidden="false" customHeight="false" outlineLevel="0" collapsed="false">
      <c r="A106" s="10"/>
      <c r="B106" s="11"/>
      <c r="C106" s="8" t="n">
        <v>41587</v>
      </c>
      <c r="D106" s="7" t="n">
        <v>7.8</v>
      </c>
      <c r="E106" s="7" t="n">
        <v>5.5</v>
      </c>
      <c r="F106" s="7" t="n">
        <v>9.6</v>
      </c>
      <c r="G106" s="7" t="n">
        <f aca="false">G105+D106</f>
        <v>869.000000000001</v>
      </c>
      <c r="J106" s="7" t="n">
        <v>6</v>
      </c>
      <c r="K106" s="7" t="n">
        <f aca="false">K105+J106</f>
        <v>216</v>
      </c>
      <c r="L106" s="7" t="n">
        <v>0.5</v>
      </c>
      <c r="M106" s="7" t="n">
        <f aca="false">M105+L106</f>
        <v>95.2</v>
      </c>
      <c r="N106" s="7" t="n">
        <f aca="false">J106-L106</f>
        <v>5.5</v>
      </c>
      <c r="O106" s="7" t="n">
        <v>189.6</v>
      </c>
      <c r="P106" s="7" t="n">
        <v>67</v>
      </c>
      <c r="Q106" s="7" t="n">
        <f aca="false">0.35+((P106-9)/64)*(1-0.35)</f>
        <v>0.9390625</v>
      </c>
      <c r="R106" s="15" t="n">
        <f aca="false">Q106*L106</f>
        <v>0.46953125</v>
      </c>
      <c r="S106" s="15" t="n">
        <f aca="false">J106-R106</f>
        <v>5.53046875</v>
      </c>
      <c r="T106" s="15" t="n">
        <f aca="false">MIN(189.6,(T105+S106))</f>
        <v>166.557421875</v>
      </c>
      <c r="V106" s="16" t="n">
        <v>198.6</v>
      </c>
      <c r="W106" s="7" t="n">
        <f aca="false">V106/D106</f>
        <v>25.4615384615385</v>
      </c>
      <c r="X106" s="7" t="n">
        <f aca="false">X105+V106</f>
        <v>44186</v>
      </c>
      <c r="AA106" s="7" t="n">
        <v>9.39350225713998</v>
      </c>
    </row>
    <row r="107" s="7" customFormat="true" ht="15" hidden="false" customHeight="false" outlineLevel="0" collapsed="false">
      <c r="A107" s="10"/>
      <c r="B107" s="11"/>
      <c r="C107" s="8" t="n">
        <v>41588</v>
      </c>
      <c r="D107" s="7" t="n">
        <v>6.4</v>
      </c>
      <c r="E107" s="7" t="n">
        <v>6.2</v>
      </c>
      <c r="F107" s="7" t="n">
        <v>8.6</v>
      </c>
      <c r="G107" s="7" t="n">
        <f aca="false">G106+D107</f>
        <v>875.4</v>
      </c>
      <c r="J107" s="7" t="n">
        <v>1.5</v>
      </c>
      <c r="K107" s="7" t="n">
        <f aca="false">K106+J107</f>
        <v>217.5</v>
      </c>
      <c r="L107" s="7" t="n">
        <v>1</v>
      </c>
      <c r="M107" s="7" t="n">
        <f aca="false">M106+L107</f>
        <v>96.2</v>
      </c>
      <c r="N107" s="7" t="n">
        <f aca="false">J107-L107</f>
        <v>0.5</v>
      </c>
      <c r="O107" s="7" t="n">
        <v>189.6</v>
      </c>
      <c r="P107" s="7" t="n">
        <v>68</v>
      </c>
      <c r="Q107" s="7" t="n">
        <f aca="false">0.35+((P107-9)/64)*(1-0.35)</f>
        <v>0.94921875</v>
      </c>
      <c r="R107" s="15" t="n">
        <f aca="false">Q107*L107</f>
        <v>0.94921875</v>
      </c>
      <c r="S107" s="15" t="n">
        <f aca="false">J107-R107</f>
        <v>0.55078125</v>
      </c>
      <c r="T107" s="15" t="n">
        <f aca="false">MIN(189.6,(T106+S107))</f>
        <v>167.108203125</v>
      </c>
      <c r="V107" s="16" t="n">
        <v>353.5</v>
      </c>
      <c r="W107" s="7" t="n">
        <f aca="false">V107/D107</f>
        <v>55.234375</v>
      </c>
      <c r="X107" s="7" t="n">
        <f aca="false">X106+V107</f>
        <v>44539.5</v>
      </c>
      <c r="AA107" s="7" t="n">
        <v>9.34218557276114</v>
      </c>
    </row>
    <row r="108" s="7" customFormat="true" ht="15" hidden="false" customHeight="false" outlineLevel="0" collapsed="false">
      <c r="A108" s="10"/>
      <c r="B108" s="11"/>
      <c r="C108" s="8" t="n">
        <v>41589</v>
      </c>
      <c r="D108" s="7" t="n">
        <v>5.6</v>
      </c>
      <c r="E108" s="19" t="n">
        <v>-0.1</v>
      </c>
      <c r="F108" s="7" t="n">
        <v>9.4</v>
      </c>
      <c r="G108" s="7" t="n">
        <f aca="false">G107+D108</f>
        <v>881.000000000001</v>
      </c>
      <c r="J108" s="7" t="n">
        <v>0</v>
      </c>
      <c r="K108" s="7" t="n">
        <f aca="false">K107+J108</f>
        <v>217.5</v>
      </c>
      <c r="L108" s="7" t="n">
        <v>0.6</v>
      </c>
      <c r="M108" s="7" t="n">
        <f aca="false">M107+L108</f>
        <v>96.8</v>
      </c>
      <c r="N108" s="14" t="n">
        <f aca="false">J108-L108</f>
        <v>-0.6</v>
      </c>
      <c r="O108" s="7" t="n">
        <f aca="false">O107+N108</f>
        <v>189</v>
      </c>
      <c r="P108" s="7" t="n">
        <v>69</v>
      </c>
      <c r="Q108" s="7" t="n">
        <f aca="false">0.35+((P108-9)/64)*(1-0.35)</f>
        <v>0.959375</v>
      </c>
      <c r="R108" s="15" t="n">
        <f aca="false">Q108*L108</f>
        <v>0.575625</v>
      </c>
      <c r="S108" s="15" t="n">
        <f aca="false">J108-R108</f>
        <v>-0.575625</v>
      </c>
      <c r="T108" s="15" t="n">
        <f aca="false">MIN(189.6,(T107+S108))</f>
        <v>166.532578125</v>
      </c>
      <c r="V108" s="16" t="n">
        <v>329.1</v>
      </c>
      <c r="W108" s="7" t="n">
        <f aca="false">V108/D108</f>
        <v>58.7678571428572</v>
      </c>
      <c r="X108" s="7" t="n">
        <f aca="false">X107+V108</f>
        <v>44868.6</v>
      </c>
      <c r="AA108" s="7" t="n">
        <v>9.29148769648325</v>
      </c>
    </row>
    <row r="109" s="7" customFormat="true" ht="15" hidden="false" customHeight="false" outlineLevel="0" collapsed="false">
      <c r="A109" s="10"/>
      <c r="B109" s="11"/>
      <c r="C109" s="8" t="n">
        <v>41590</v>
      </c>
      <c r="D109" s="7" t="n">
        <v>8.2</v>
      </c>
      <c r="E109" s="7" t="n">
        <v>7.2</v>
      </c>
      <c r="F109" s="7" t="n">
        <v>9.3</v>
      </c>
      <c r="G109" s="7" t="n">
        <f aca="false">G108+D109</f>
        <v>889.200000000001</v>
      </c>
      <c r="J109" s="7" t="n">
        <v>3.6</v>
      </c>
      <c r="K109" s="7" t="n">
        <f aca="false">K108+J109</f>
        <v>221.1</v>
      </c>
      <c r="L109" s="7" t="n">
        <v>0.6</v>
      </c>
      <c r="M109" s="7" t="n">
        <f aca="false">M108+L109</f>
        <v>97.4</v>
      </c>
      <c r="N109" s="7" t="n">
        <f aca="false">J109-L109</f>
        <v>3</v>
      </c>
      <c r="O109" s="7" t="n">
        <v>189.6</v>
      </c>
      <c r="P109" s="7" t="n">
        <v>70</v>
      </c>
      <c r="Q109" s="7" t="n">
        <f aca="false">0.35+((P109-9)/64)*(1-0.35)</f>
        <v>0.96953125</v>
      </c>
      <c r="R109" s="15" t="n">
        <f aca="false">Q109*L109</f>
        <v>0.58171875</v>
      </c>
      <c r="S109" s="15" t="n">
        <f aca="false">J109-R109</f>
        <v>3.01828125</v>
      </c>
      <c r="T109" s="15" t="n">
        <f aca="false">MIN(189.6,(T108+S109))</f>
        <v>169.550859375</v>
      </c>
      <c r="V109" s="16" t="n">
        <v>201.6</v>
      </c>
      <c r="W109" s="7" t="n">
        <f aca="false">V109/D109</f>
        <v>24.5853658536585</v>
      </c>
      <c r="X109" s="7" t="n">
        <f aca="false">X108+V109</f>
        <v>45070.2</v>
      </c>
      <c r="AA109" s="7" t="n">
        <v>9.2414361400975</v>
      </c>
    </row>
    <row r="110" s="7" customFormat="true" ht="15" hidden="false" customHeight="false" outlineLevel="0" collapsed="false">
      <c r="A110" s="10"/>
      <c r="B110" s="11"/>
      <c r="C110" s="8" t="n">
        <v>41591</v>
      </c>
      <c r="D110" s="7" t="n">
        <v>5.2</v>
      </c>
      <c r="E110" s="18" t="n">
        <v>2.3</v>
      </c>
      <c r="F110" s="7" t="n">
        <v>10.6</v>
      </c>
      <c r="G110" s="7" t="n">
        <f aca="false">G109+D110</f>
        <v>894.400000000001</v>
      </c>
      <c r="J110" s="7" t="n">
        <v>0.7</v>
      </c>
      <c r="K110" s="7" t="n">
        <f aca="false">K109+J110</f>
        <v>221.8</v>
      </c>
      <c r="L110" s="7" t="n">
        <v>1.1</v>
      </c>
      <c r="M110" s="7" t="n">
        <f aca="false">M109+L110</f>
        <v>98.5</v>
      </c>
      <c r="N110" s="14" t="n">
        <f aca="false">J110-L110</f>
        <v>-0.4</v>
      </c>
      <c r="O110" s="7" t="n">
        <f aca="false">O109+N110</f>
        <v>189.2</v>
      </c>
      <c r="P110" s="7" t="n">
        <v>71</v>
      </c>
      <c r="Q110" s="7" t="n">
        <f aca="false">0.35+((P110-9)/64)*(1-0.35)</f>
        <v>0.9796875</v>
      </c>
      <c r="R110" s="15" t="n">
        <f aca="false">Q110*L110</f>
        <v>1.07765625</v>
      </c>
      <c r="S110" s="15" t="n">
        <f aca="false">J110-R110</f>
        <v>-0.37765625</v>
      </c>
      <c r="T110" s="15" t="n">
        <f aca="false">MIN(189.6,(T109+S110))</f>
        <v>169.173203125</v>
      </c>
      <c r="V110" s="16" t="n">
        <v>690.1</v>
      </c>
      <c r="W110" s="7" t="n">
        <f aca="false">V110/D110</f>
        <v>132.711538461538</v>
      </c>
      <c r="X110" s="7" t="n">
        <f aca="false">X109+V110</f>
        <v>45760.3</v>
      </c>
      <c r="AA110" s="7" t="n">
        <v>9.19205907620333</v>
      </c>
    </row>
    <row r="111" s="7" customFormat="true" ht="15" hidden="false" customHeight="false" outlineLevel="0" collapsed="false">
      <c r="A111" s="10"/>
      <c r="B111" s="11"/>
      <c r="C111" s="8" t="n">
        <v>41592</v>
      </c>
      <c r="D111" s="7" t="n">
        <v>5.8</v>
      </c>
      <c r="E111" s="18" t="n">
        <v>0.9</v>
      </c>
      <c r="F111" s="7" t="n">
        <v>9.5</v>
      </c>
      <c r="G111" s="7" t="n">
        <f aca="false">G110+D111</f>
        <v>900.200000000001</v>
      </c>
      <c r="J111" s="7" t="n">
        <v>3.5</v>
      </c>
      <c r="K111" s="7" t="n">
        <f aca="false">K110+J111</f>
        <v>225.3</v>
      </c>
      <c r="L111" s="7" t="n">
        <v>0.3</v>
      </c>
      <c r="M111" s="7" t="n">
        <f aca="false">M110+L111</f>
        <v>98.8</v>
      </c>
      <c r="N111" s="7" t="n">
        <f aca="false">J111-L111</f>
        <v>3.2</v>
      </c>
      <c r="O111" s="7" t="n">
        <v>189.6</v>
      </c>
      <c r="P111" s="7" t="n">
        <v>72</v>
      </c>
      <c r="Q111" s="7" t="n">
        <f aca="false">0.35+((P111-9)/64)*(1-0.35)</f>
        <v>0.98984375</v>
      </c>
      <c r="R111" s="15" t="n">
        <f aca="false">Q111*L111</f>
        <v>0.296953125</v>
      </c>
      <c r="S111" s="15" t="n">
        <f aca="false">J111-R111</f>
        <v>3.203046875</v>
      </c>
      <c r="T111" s="15" t="n">
        <f aca="false">MIN(189.6,(T110+S111))</f>
        <v>172.37625</v>
      </c>
      <c r="V111" s="16" t="n">
        <v>245.1</v>
      </c>
      <c r="W111" s="7" t="n">
        <f aca="false">V111/D111</f>
        <v>42.2586206896552</v>
      </c>
      <c r="X111" s="7" t="n">
        <f aca="false">X110+V111</f>
        <v>46005.4</v>
      </c>
      <c r="AA111" s="7" t="n">
        <v>9.14338531571597</v>
      </c>
    </row>
    <row r="112" s="22" customFormat="true" ht="15" hidden="false" customHeight="true" outlineLevel="0" collapsed="false">
      <c r="A112" s="10"/>
      <c r="B112" s="20"/>
      <c r="C112" s="21" t="n">
        <v>41593</v>
      </c>
      <c r="D112" s="22" t="n">
        <v>6.5</v>
      </c>
      <c r="E112" s="22" t="n">
        <v>5.4</v>
      </c>
      <c r="F112" s="22" t="n">
        <v>9</v>
      </c>
      <c r="G112" s="22" t="n">
        <f aca="false">G111+D112</f>
        <v>906.700000000001</v>
      </c>
      <c r="J112" s="22" t="n">
        <v>0</v>
      </c>
      <c r="K112" s="22" t="n">
        <f aca="false">K111+J112</f>
        <v>225.3</v>
      </c>
      <c r="L112" s="22" t="n">
        <v>0.8</v>
      </c>
      <c r="M112" s="22" t="n">
        <f aca="false">M111+L112</f>
        <v>99.6</v>
      </c>
      <c r="N112" s="22" t="n">
        <f aca="false">J112-L112</f>
        <v>-0.8</v>
      </c>
      <c r="O112" s="23" t="n">
        <f aca="false">O111+N112</f>
        <v>188.8</v>
      </c>
      <c r="P112" s="23" t="n">
        <v>73</v>
      </c>
      <c r="Q112" s="23" t="n">
        <f aca="false">0.35+((P112-9)/64)*(1-0.35)</f>
        <v>1</v>
      </c>
      <c r="R112" s="24" t="n">
        <f aca="false">Q112*L112</f>
        <v>0.8</v>
      </c>
      <c r="S112" s="24" t="n">
        <f aca="false">J112-R112</f>
        <v>-0.8</v>
      </c>
      <c r="T112" s="24" t="n">
        <f aca="false">MIN(189.6,(T111+S112))</f>
        <v>171.57625</v>
      </c>
      <c r="V112" s="22" t="n">
        <v>230.5</v>
      </c>
      <c r="W112" s="22" t="n">
        <f aca="false">V112/D112</f>
        <v>35.4615384615385</v>
      </c>
      <c r="X112" s="22" t="n">
        <f aca="false">X111+V112</f>
        <v>46235.9</v>
      </c>
      <c r="AA112" s="23" t="n">
        <v>9.0954442815599</v>
      </c>
    </row>
    <row r="113" s="7" customFormat="true" ht="15" hidden="false" customHeight="true" outlineLevel="0" collapsed="false">
      <c r="A113" s="25" t="s">
        <v>45</v>
      </c>
      <c r="B113" s="11"/>
      <c r="C113" s="8" t="n">
        <v>41594</v>
      </c>
      <c r="D113" s="18" t="n">
        <v>4.2</v>
      </c>
      <c r="E113" s="18" t="n">
        <v>3.8</v>
      </c>
      <c r="F113" s="18" t="n">
        <v>5</v>
      </c>
      <c r="G113" s="7" t="n">
        <f aca="false">G112+D113</f>
        <v>910.900000000001</v>
      </c>
      <c r="H113" s="7" t="n">
        <f aca="false">4.2</f>
        <v>4.2</v>
      </c>
      <c r="I113" s="26" t="s">
        <v>28</v>
      </c>
      <c r="J113" s="7" t="n">
        <v>0</v>
      </c>
      <c r="K113" s="7" t="n">
        <f aca="false">K112+J113</f>
        <v>225.3</v>
      </c>
      <c r="L113" s="7" t="n">
        <v>0.6</v>
      </c>
      <c r="M113" s="7" t="n">
        <f aca="false">M112+L113</f>
        <v>100.2</v>
      </c>
      <c r="N113" s="14" t="n">
        <f aca="false">J113-L113</f>
        <v>-0.6</v>
      </c>
      <c r="O113" s="7" t="n">
        <f aca="false">O112+N113</f>
        <v>188.2</v>
      </c>
      <c r="P113" s="7" t="n">
        <v>74</v>
      </c>
      <c r="Q113" s="7" t="n">
        <v>1</v>
      </c>
      <c r="R113" s="15" t="n">
        <f aca="false">Q113*L113</f>
        <v>0.6</v>
      </c>
      <c r="S113" s="15" t="n">
        <f aca="false">J113-R113</f>
        <v>-0.6</v>
      </c>
      <c r="T113" s="15" t="n">
        <f aca="false">MIN(189.6,(T112+S113))</f>
        <v>170.97625</v>
      </c>
      <c r="U113" s="26" t="s">
        <v>29</v>
      </c>
      <c r="V113" s="16" t="n">
        <v>441.2</v>
      </c>
      <c r="W113" s="7" t="n">
        <f aca="false">V113/D113</f>
        <v>105.047619047619</v>
      </c>
      <c r="X113" s="7" t="n">
        <f aca="false">X112+V113</f>
        <v>46677.1</v>
      </c>
      <c r="Y113" s="7" t="n">
        <f aca="false">V113</f>
        <v>441.2</v>
      </c>
      <c r="Z113" s="26" t="s">
        <v>30</v>
      </c>
      <c r="AA113" s="7" t="n">
        <v>9.04826597838681</v>
      </c>
    </row>
    <row r="114" s="7" customFormat="true" ht="15" hidden="false" customHeight="false" outlineLevel="0" collapsed="false">
      <c r="A114" s="25"/>
      <c r="B114" s="11"/>
      <c r="C114" s="8" t="n">
        <v>41595</v>
      </c>
      <c r="D114" s="18" t="n">
        <v>5</v>
      </c>
      <c r="E114" s="18" t="n">
        <v>4.1</v>
      </c>
      <c r="F114" s="7" t="n">
        <v>5.8</v>
      </c>
      <c r="G114" s="7" t="n">
        <f aca="false">G113+D114</f>
        <v>915.900000000001</v>
      </c>
      <c r="H114" s="7" t="n">
        <f aca="false">H113+D114</f>
        <v>9.2</v>
      </c>
      <c r="I114" s="7" t="n">
        <v>-2.8</v>
      </c>
      <c r="J114" s="7" t="n">
        <v>0</v>
      </c>
      <c r="K114" s="7" t="n">
        <f aca="false">K113+J114</f>
        <v>225.3</v>
      </c>
      <c r="L114" s="7" t="n">
        <v>0.2</v>
      </c>
      <c r="M114" s="7" t="n">
        <f aca="false">M113+L114</f>
        <v>100.4</v>
      </c>
      <c r="N114" s="14" t="n">
        <f aca="false">J114-L114</f>
        <v>-0.2</v>
      </c>
      <c r="O114" s="7" t="n">
        <f aca="false">O113+N114</f>
        <v>188</v>
      </c>
      <c r="P114" s="7" t="n">
        <v>75</v>
      </c>
      <c r="Q114" s="7" t="n">
        <v>1</v>
      </c>
      <c r="R114" s="15" t="n">
        <f aca="false">Q114*L114</f>
        <v>0.2</v>
      </c>
      <c r="S114" s="15" t="n">
        <f aca="false">J114-R114</f>
        <v>-0.2</v>
      </c>
      <c r="T114" s="15" t="n">
        <f aca="false">MIN(189.6,(T113+S114))</f>
        <v>170.77625</v>
      </c>
      <c r="V114" s="16" t="n">
        <v>175.5</v>
      </c>
      <c r="W114" s="7" t="n">
        <f aca="false">V114/D114</f>
        <v>35.1</v>
      </c>
      <c r="X114" s="7" t="n">
        <f aca="false">X113+V114</f>
        <v>46852.6</v>
      </c>
      <c r="Y114" s="7" t="n">
        <f aca="false">Y113+V114</f>
        <v>616.7</v>
      </c>
      <c r="Z114" s="7" t="n">
        <v>8803</v>
      </c>
      <c r="AA114" s="7" t="n">
        <v>9.00188095816921</v>
      </c>
    </row>
    <row r="115" s="7" customFormat="true" ht="15" hidden="false" customHeight="false" outlineLevel="0" collapsed="false">
      <c r="A115" s="25"/>
      <c r="B115" s="27" t="n">
        <v>1</v>
      </c>
      <c r="C115" s="8" t="n">
        <v>41596</v>
      </c>
      <c r="D115" s="18" t="n">
        <v>4.5</v>
      </c>
      <c r="E115" s="18" t="n">
        <v>4.1</v>
      </c>
      <c r="F115" s="7" t="n">
        <v>5.8</v>
      </c>
      <c r="G115" s="7" t="n">
        <f aca="false">G114+D115</f>
        <v>920.400000000001</v>
      </c>
      <c r="H115" s="7" t="n">
        <f aca="false">H114+D115</f>
        <v>13.7</v>
      </c>
      <c r="I115" s="26" t="s">
        <v>31</v>
      </c>
      <c r="J115" s="7" t="n">
        <v>1.2</v>
      </c>
      <c r="K115" s="7" t="n">
        <f aca="false">K114+J115</f>
        <v>226.5</v>
      </c>
      <c r="L115" s="7" t="n">
        <v>0.5</v>
      </c>
      <c r="M115" s="7" t="n">
        <f aca="false">M114+L115</f>
        <v>100.9</v>
      </c>
      <c r="N115" s="7" t="n">
        <f aca="false">J115-L115</f>
        <v>0.7</v>
      </c>
      <c r="O115" s="7" t="n">
        <f aca="false">O114+N115</f>
        <v>188.7</v>
      </c>
      <c r="P115" s="7" t="n">
        <v>76</v>
      </c>
      <c r="Q115" s="7" t="n">
        <v>1</v>
      </c>
      <c r="R115" s="15" t="n">
        <f aca="false">Q115*L115</f>
        <v>0.5</v>
      </c>
      <c r="S115" s="15" t="n">
        <f aca="false">J115-R115</f>
        <v>0.7</v>
      </c>
      <c r="T115" s="15" t="n">
        <f aca="false">MIN(189.6,(T114+S115))</f>
        <v>171.47625</v>
      </c>
      <c r="U115" s="26" t="s">
        <v>32</v>
      </c>
      <c r="V115" s="16" t="n">
        <v>157.1</v>
      </c>
      <c r="W115" s="7" t="n">
        <f aca="false">V115/D115</f>
        <v>34.9111111111111</v>
      </c>
      <c r="X115" s="7" t="n">
        <f aca="false">X114+V115</f>
        <v>47009.7</v>
      </c>
      <c r="Y115" s="7" t="n">
        <f aca="false">Y114+V115</f>
        <v>773.8</v>
      </c>
      <c r="Z115" s="26" t="s">
        <v>33</v>
      </c>
      <c r="AA115" s="28" t="n">
        <v>8.95632028153667</v>
      </c>
    </row>
    <row r="116" s="7" customFormat="true" ht="15" hidden="false" customHeight="false" outlineLevel="0" collapsed="false">
      <c r="A116" s="25"/>
      <c r="B116" s="27" t="n">
        <v>2</v>
      </c>
      <c r="C116" s="8" t="n">
        <v>41597</v>
      </c>
      <c r="D116" s="18" t="n">
        <v>4.7</v>
      </c>
      <c r="E116" s="18" t="n">
        <v>3</v>
      </c>
      <c r="F116" s="7" t="n">
        <v>6.6</v>
      </c>
      <c r="G116" s="7" t="n">
        <f aca="false">G115+D116</f>
        <v>925.100000000001</v>
      </c>
      <c r="H116" s="7" t="n">
        <f aca="false">H115+D116</f>
        <v>18.4</v>
      </c>
      <c r="I116" s="7" t="n">
        <f aca="false">MAX(F113:F143)</f>
        <v>9.6</v>
      </c>
      <c r="J116" s="7" t="n">
        <v>0.1</v>
      </c>
      <c r="K116" s="7" t="n">
        <f aca="false">K115+J116</f>
        <v>226.6</v>
      </c>
      <c r="L116" s="7" t="n">
        <v>0.6</v>
      </c>
      <c r="M116" s="7" t="n">
        <f aca="false">M115+L116</f>
        <v>101.5</v>
      </c>
      <c r="N116" s="14" t="n">
        <f aca="false">J116-L116</f>
        <v>-0.5</v>
      </c>
      <c r="O116" s="7" t="n">
        <f aca="false">O115+N116</f>
        <v>188.2</v>
      </c>
      <c r="P116" s="7" t="n">
        <v>77</v>
      </c>
      <c r="Q116" s="7" t="n">
        <v>1</v>
      </c>
      <c r="R116" s="15" t="n">
        <f aca="false">Q116*L116</f>
        <v>0.6</v>
      </c>
      <c r="S116" s="15" t="n">
        <f aca="false">J116-R116</f>
        <v>-0.5</v>
      </c>
      <c r="T116" s="15" t="n">
        <f aca="false">MIN(189.6,(T115+S116))</f>
        <v>170.97625</v>
      </c>
      <c r="V116" s="16" t="n">
        <v>446</v>
      </c>
      <c r="W116" s="7" t="n">
        <f aca="false">V116/D116</f>
        <v>94.8936170212766</v>
      </c>
      <c r="X116" s="7" t="n">
        <f aca="false">X115+V116</f>
        <v>47455.7</v>
      </c>
      <c r="Y116" s="7" t="n">
        <f aca="false">Y115+V116</f>
        <v>1219.8</v>
      </c>
      <c r="Z116" s="17"/>
      <c r="AA116" s="28" t="n">
        <v>8.91161547474022</v>
      </c>
    </row>
    <row r="117" s="7" customFormat="true" ht="15" hidden="false" customHeight="false" outlineLevel="0" collapsed="false">
      <c r="A117" s="25"/>
      <c r="B117" s="27" t="n">
        <v>3</v>
      </c>
      <c r="C117" s="8" t="n">
        <v>41598</v>
      </c>
      <c r="D117" s="18" t="n">
        <v>2.1</v>
      </c>
      <c r="E117" s="18" t="n">
        <v>0.3</v>
      </c>
      <c r="F117" s="18" t="n">
        <v>4.3</v>
      </c>
      <c r="G117" s="7" t="n">
        <f aca="false">G116+D117</f>
        <v>927.200000000001</v>
      </c>
      <c r="H117" s="7" t="n">
        <f aca="false">H116+D117</f>
        <v>20.5</v>
      </c>
      <c r="I117" s="26" t="s">
        <v>34</v>
      </c>
      <c r="J117" s="7" t="n">
        <v>0.7</v>
      </c>
      <c r="K117" s="7" t="n">
        <f aca="false">K116+J117</f>
        <v>227.3</v>
      </c>
      <c r="L117" s="7" t="n">
        <v>0.4</v>
      </c>
      <c r="M117" s="7" t="n">
        <f aca="false">M116+L117</f>
        <v>101.9</v>
      </c>
      <c r="N117" s="7" t="n">
        <f aca="false">J117-L117</f>
        <v>0.3</v>
      </c>
      <c r="O117" s="7" t="n">
        <f aca="false">O116+N117</f>
        <v>188.5</v>
      </c>
      <c r="P117" s="7" t="n">
        <v>78</v>
      </c>
      <c r="Q117" s="7" t="n">
        <v>1</v>
      </c>
      <c r="R117" s="15" t="n">
        <f aca="false">Q117*L117</f>
        <v>0.4</v>
      </c>
      <c r="S117" s="15" t="n">
        <f aca="false">J117-R117</f>
        <v>0.3</v>
      </c>
      <c r="T117" s="15" t="n">
        <f aca="false">MIN(189.6,(T116+S117))</f>
        <v>171.27625</v>
      </c>
      <c r="U117" s="26" t="s">
        <v>35</v>
      </c>
      <c r="V117" s="16" t="n">
        <v>132.1</v>
      </c>
      <c r="W117" s="7" t="n">
        <f aca="false">V117/D117</f>
        <v>62.9047619047619</v>
      </c>
      <c r="X117" s="7" t="n">
        <f aca="false">X116+V117</f>
        <v>47587.8</v>
      </c>
      <c r="Y117" s="7" t="n">
        <f aca="false">Y116+V117</f>
        <v>1351.9</v>
      </c>
      <c r="Z117" s="26" t="s">
        <v>36</v>
      </c>
      <c r="AA117" s="28" t="n">
        <v>8.86779848215216</v>
      </c>
    </row>
    <row r="118" s="7" customFormat="true" ht="15" hidden="false" customHeight="false" outlineLevel="0" collapsed="false">
      <c r="A118" s="25"/>
      <c r="B118" s="27" t="n">
        <v>4</v>
      </c>
      <c r="C118" s="8" t="n">
        <v>41599</v>
      </c>
      <c r="D118" s="18" t="n">
        <v>1.8</v>
      </c>
      <c r="E118" s="18" t="n">
        <v>0.1</v>
      </c>
      <c r="F118" s="18" t="n">
        <v>3.3</v>
      </c>
      <c r="G118" s="7" t="n">
        <f aca="false">G117+D118</f>
        <v>929.000000000001</v>
      </c>
      <c r="H118" s="7" t="n">
        <f aca="false">H117+D118</f>
        <v>22.3</v>
      </c>
      <c r="I118" s="15" t="n">
        <f aca="false">AVERAGE(D113:D143)</f>
        <v>4.09354838709678</v>
      </c>
      <c r="J118" s="7" t="n">
        <v>0</v>
      </c>
      <c r="K118" s="7" t="n">
        <f aca="false">K117+J118</f>
        <v>227.3</v>
      </c>
      <c r="L118" s="7" t="n">
        <v>0.2</v>
      </c>
      <c r="M118" s="7" t="n">
        <f aca="false">M117+L118</f>
        <v>102.1</v>
      </c>
      <c r="N118" s="14" t="n">
        <f aca="false">J118-L118</f>
        <v>-0.2</v>
      </c>
      <c r="O118" s="7" t="n">
        <f aca="false">O117+N118</f>
        <v>188.3</v>
      </c>
      <c r="P118" s="7" t="n">
        <v>79</v>
      </c>
      <c r="Q118" s="7" t="n">
        <v>1</v>
      </c>
      <c r="R118" s="15" t="n">
        <f aca="false">Q118*L118</f>
        <v>0.2</v>
      </c>
      <c r="S118" s="15" t="n">
        <f aca="false">J118-R118</f>
        <v>-0.2</v>
      </c>
      <c r="T118" s="15" t="n">
        <f aca="false">MIN(189.6,(T117+S118))</f>
        <v>171.07625</v>
      </c>
      <c r="U118" s="7" t="n">
        <v>0</v>
      </c>
      <c r="V118" s="16" t="n">
        <v>148.8</v>
      </c>
      <c r="W118" s="7" t="n">
        <f aca="false">V118/D118</f>
        <v>82.6666666666667</v>
      </c>
      <c r="X118" s="7" t="n">
        <f aca="false">X117+V118</f>
        <v>47736.6</v>
      </c>
      <c r="Y118" s="7" t="n">
        <f aca="false">Y117+V118</f>
        <v>1500.7</v>
      </c>
      <c r="Z118" s="7" t="n">
        <v>31</v>
      </c>
      <c r="AA118" s="28" t="n">
        <v>8.82490161423389</v>
      </c>
    </row>
    <row r="119" s="7" customFormat="true" ht="15" hidden="false" customHeight="false" outlineLevel="0" collapsed="false">
      <c r="A119" s="25"/>
      <c r="B119" s="27" t="n">
        <v>5</v>
      </c>
      <c r="C119" s="8" t="n">
        <v>41600</v>
      </c>
      <c r="D119" s="18" t="n">
        <v>3.4</v>
      </c>
      <c r="E119" s="18" t="n">
        <v>0.5</v>
      </c>
      <c r="F119" s="18" t="n">
        <v>4.9</v>
      </c>
      <c r="G119" s="7" t="n">
        <f aca="false">G118+D119</f>
        <v>932.400000000001</v>
      </c>
      <c r="H119" s="7" t="n">
        <f aca="false">H118+D119</f>
        <v>25.7</v>
      </c>
      <c r="I119" s="26" t="s">
        <v>37</v>
      </c>
      <c r="J119" s="7" t="n">
        <v>0</v>
      </c>
      <c r="K119" s="7" t="n">
        <f aca="false">K118+J119</f>
        <v>227.3</v>
      </c>
      <c r="L119" s="7" t="n">
        <v>0.4</v>
      </c>
      <c r="M119" s="7" t="n">
        <f aca="false">M118+L119</f>
        <v>102.5</v>
      </c>
      <c r="N119" s="14" t="n">
        <f aca="false">J119-L119</f>
        <v>-0.4</v>
      </c>
      <c r="O119" s="7" t="n">
        <f aca="false">O118+N119</f>
        <v>187.9</v>
      </c>
      <c r="P119" s="7" t="n">
        <v>80</v>
      </c>
      <c r="Q119" s="7" t="n">
        <v>1</v>
      </c>
      <c r="R119" s="15" t="n">
        <f aca="false">Q119*L119</f>
        <v>0.4</v>
      </c>
      <c r="S119" s="15" t="n">
        <f aca="false">J119-R119</f>
        <v>-0.4</v>
      </c>
      <c r="T119" s="15" t="n">
        <f aca="false">MIN(189.6,(T118+S119))</f>
        <v>170.67625</v>
      </c>
      <c r="U119" s="26" t="s">
        <v>38</v>
      </c>
      <c r="V119" s="16" t="n">
        <v>285.8</v>
      </c>
      <c r="W119" s="7" t="n">
        <f aca="false">V119/D119</f>
        <v>84.0588235294118</v>
      </c>
      <c r="X119" s="7" t="n">
        <f aca="false">X118+V119</f>
        <v>48022.4</v>
      </c>
      <c r="Y119" s="7" t="n">
        <f aca="false">Y118+V119</f>
        <v>1786.5</v>
      </c>
      <c r="AA119" s="28" t="n">
        <v>8.78295749093237</v>
      </c>
    </row>
    <row r="120" s="7" customFormat="true" ht="15" hidden="false" customHeight="false" outlineLevel="0" collapsed="false">
      <c r="A120" s="25"/>
      <c r="B120" s="27" t="n">
        <v>6</v>
      </c>
      <c r="C120" s="8" t="n">
        <v>41601</v>
      </c>
      <c r="D120" s="18" t="n">
        <v>4.5</v>
      </c>
      <c r="E120" s="18" t="n">
        <v>3.3</v>
      </c>
      <c r="F120" s="7" t="n">
        <v>6.3</v>
      </c>
      <c r="G120" s="7" t="n">
        <f aca="false">G119+D120</f>
        <v>936.900000000001</v>
      </c>
      <c r="H120" s="7" t="n">
        <f aca="false">H119+D120</f>
        <v>30.2</v>
      </c>
      <c r="I120" s="7" t="n">
        <v>7</v>
      </c>
      <c r="J120" s="7" t="n">
        <v>0</v>
      </c>
      <c r="K120" s="7" t="n">
        <f aca="false">K119+J120</f>
        <v>227.3</v>
      </c>
      <c r="L120" s="7" t="n">
        <v>0.7</v>
      </c>
      <c r="M120" s="7" t="n">
        <f aca="false">M119+L120</f>
        <v>103.2</v>
      </c>
      <c r="N120" s="14" t="n">
        <f aca="false">J120-L120</f>
        <v>-0.7</v>
      </c>
      <c r="O120" s="7" t="n">
        <f aca="false">O119+N120</f>
        <v>187.2</v>
      </c>
      <c r="P120" s="7" t="n">
        <v>81</v>
      </c>
      <c r="Q120" s="7" t="n">
        <v>1</v>
      </c>
      <c r="R120" s="15" t="n">
        <f aca="false">Q120*L120</f>
        <v>0.7</v>
      </c>
      <c r="S120" s="15" t="n">
        <f aca="false">J120-R120</f>
        <v>-0.7</v>
      </c>
      <c r="T120" s="15" t="n">
        <f aca="false">MIN(189.6,(T119+S120))</f>
        <v>169.97625</v>
      </c>
      <c r="U120" s="7" t="n">
        <v>0</v>
      </c>
      <c r="V120" s="16" t="n">
        <v>235.9</v>
      </c>
      <c r="W120" s="7" t="n">
        <f aca="false">V120/D120</f>
        <v>52.4222222222222</v>
      </c>
      <c r="X120" s="7" t="n">
        <f aca="false">X119+V120</f>
        <v>48258.3</v>
      </c>
      <c r="Y120" s="7" t="n">
        <f aca="false">Y119+V120</f>
        <v>2022.4</v>
      </c>
      <c r="AA120" s="28" t="n">
        <v>8.74199898049803</v>
      </c>
    </row>
    <row r="121" s="7" customFormat="true" ht="15" hidden="false" customHeight="false" outlineLevel="0" collapsed="false">
      <c r="A121" s="25"/>
      <c r="B121" s="11"/>
      <c r="C121" s="8" t="n">
        <v>41602</v>
      </c>
      <c r="D121" s="7" t="n">
        <v>5.3</v>
      </c>
      <c r="E121" s="18" t="n">
        <v>2.1</v>
      </c>
      <c r="F121" s="7" t="n">
        <v>8</v>
      </c>
      <c r="G121" s="7" t="n">
        <f aca="false">G120+D121</f>
        <v>942.200000000001</v>
      </c>
      <c r="H121" s="7" t="n">
        <f aca="false">H120+D121</f>
        <v>35.5</v>
      </c>
      <c r="I121" s="26" t="s">
        <v>39</v>
      </c>
      <c r="J121" s="7" t="n">
        <v>0</v>
      </c>
      <c r="K121" s="7" t="n">
        <f aca="false">K120+J121</f>
        <v>227.3</v>
      </c>
      <c r="L121" s="7" t="n">
        <v>0.4</v>
      </c>
      <c r="M121" s="7" t="n">
        <f aca="false">M120+L121</f>
        <v>103.6</v>
      </c>
      <c r="N121" s="14" t="n">
        <f aca="false">J121-L121</f>
        <v>-0.4</v>
      </c>
      <c r="O121" s="7" t="n">
        <f aca="false">O120+N121</f>
        <v>186.8</v>
      </c>
      <c r="P121" s="7" t="n">
        <v>82</v>
      </c>
      <c r="Q121" s="7" t="n">
        <v>1</v>
      </c>
      <c r="R121" s="15" t="n">
        <f aca="false">Q121*L121</f>
        <v>0.4</v>
      </c>
      <c r="S121" s="15" t="n">
        <f aca="false">J121-R121</f>
        <v>-0.4</v>
      </c>
      <c r="T121" s="15" t="n">
        <f aca="false">MIN(189.6,(T120+S121))</f>
        <v>169.57625</v>
      </c>
      <c r="U121" s="26" t="s">
        <v>40</v>
      </c>
      <c r="V121" s="16" t="n">
        <v>139.1</v>
      </c>
      <c r="W121" s="7" t="n">
        <f aca="false">V121/D121</f>
        <v>26.2452830188679</v>
      </c>
      <c r="X121" s="7" t="n">
        <f aca="false">X120+V121</f>
        <v>48397.4</v>
      </c>
      <c r="Y121" s="7" t="n">
        <f aca="false">Y120+V121</f>
        <v>2161.5</v>
      </c>
      <c r="AA121" s="28" t="n">
        <v>8.70205913375169</v>
      </c>
    </row>
    <row r="122" s="7" customFormat="true" ht="15" hidden="false" customHeight="false" outlineLevel="0" collapsed="false">
      <c r="A122" s="25"/>
      <c r="B122" s="11"/>
      <c r="C122" s="8" t="n">
        <v>41603</v>
      </c>
      <c r="D122" s="7" t="n">
        <v>5.2</v>
      </c>
      <c r="E122" s="18" t="n">
        <v>4.2</v>
      </c>
      <c r="F122" s="7" t="n">
        <v>6.7</v>
      </c>
      <c r="G122" s="7" t="n">
        <f aca="false">G121+D122</f>
        <v>947.400000000001</v>
      </c>
      <c r="H122" s="7" t="n">
        <f aca="false">H121+D122</f>
        <v>40.7</v>
      </c>
      <c r="I122" s="7" t="n">
        <v>0</v>
      </c>
      <c r="J122" s="7" t="n">
        <v>0</v>
      </c>
      <c r="K122" s="7" t="n">
        <f aca="false">K121+J122</f>
        <v>227.3</v>
      </c>
      <c r="L122" s="7" t="n">
        <v>0.6</v>
      </c>
      <c r="M122" s="7" t="n">
        <f aca="false">M121+L122</f>
        <v>104.2</v>
      </c>
      <c r="N122" s="14" t="n">
        <f aca="false">J122-L122</f>
        <v>-0.6</v>
      </c>
      <c r="O122" s="7" t="n">
        <f aca="false">O121+N122</f>
        <v>186.2</v>
      </c>
      <c r="P122" s="7" t="n">
        <v>83</v>
      </c>
      <c r="Q122" s="7" t="n">
        <v>1</v>
      </c>
      <c r="R122" s="15" t="n">
        <f aca="false">Q122*L122</f>
        <v>0.6</v>
      </c>
      <c r="S122" s="15" t="n">
        <f aca="false">J122-R122</f>
        <v>-0.6</v>
      </c>
      <c r="T122" s="15" t="n">
        <f aca="false">MIN(189.6,(T121+S122))</f>
        <v>168.97625</v>
      </c>
      <c r="U122" s="15" t="n">
        <f aca="false">MIN(T113:T143)</f>
        <v>164.47625</v>
      </c>
      <c r="V122" s="16" t="n">
        <v>233.5</v>
      </c>
      <c r="W122" s="7" t="n">
        <f aca="false">V122/D122</f>
        <v>44.9038461538462</v>
      </c>
      <c r="X122" s="7" t="n">
        <f aca="false">X121+V122</f>
        <v>48630.9</v>
      </c>
      <c r="Y122" s="7" t="n">
        <f aca="false">Y121+V122</f>
        <v>2395</v>
      </c>
      <c r="AA122" s="28" t="n">
        <v>8.66317111386645</v>
      </c>
    </row>
    <row r="123" s="7" customFormat="true" ht="15" hidden="false" customHeight="false" outlineLevel="0" collapsed="false">
      <c r="A123" s="25"/>
      <c r="B123" s="27" t="n">
        <v>7</v>
      </c>
      <c r="C123" s="8" t="n">
        <v>41604</v>
      </c>
      <c r="D123" s="18" t="n">
        <v>4.7</v>
      </c>
      <c r="E123" s="18" t="n">
        <v>1.5</v>
      </c>
      <c r="F123" s="7" t="n">
        <v>7.3</v>
      </c>
      <c r="G123" s="7" t="n">
        <f aca="false">G122+D123</f>
        <v>952.100000000001</v>
      </c>
      <c r="H123" s="7" t="n">
        <f aca="false">H122+D123</f>
        <v>45.4</v>
      </c>
      <c r="I123" s="26" t="s">
        <v>41</v>
      </c>
      <c r="J123" s="7" t="n">
        <v>0.5</v>
      </c>
      <c r="K123" s="7" t="n">
        <f aca="false">K122+J123</f>
        <v>227.8</v>
      </c>
      <c r="L123" s="7" t="n">
        <v>0.4</v>
      </c>
      <c r="M123" s="7" t="n">
        <f aca="false">M122+L123</f>
        <v>104.6</v>
      </c>
      <c r="N123" s="7" t="n">
        <f aca="false">J123-L123</f>
        <v>0.1</v>
      </c>
      <c r="O123" s="7" t="n">
        <f aca="false">O122+N123</f>
        <v>186.3</v>
      </c>
      <c r="P123" s="7" t="n">
        <v>84</v>
      </c>
      <c r="Q123" s="7" t="n">
        <v>1</v>
      </c>
      <c r="R123" s="15" t="n">
        <f aca="false">Q123*L123</f>
        <v>0.4</v>
      </c>
      <c r="S123" s="15" t="n">
        <f aca="false">J123-R123</f>
        <v>0.1</v>
      </c>
      <c r="T123" s="15" t="n">
        <f aca="false">MIN(189.6,(T122+S123))</f>
        <v>169.07625</v>
      </c>
      <c r="U123" s="26" t="s">
        <v>42</v>
      </c>
      <c r="V123" s="16" t="n">
        <v>276.9</v>
      </c>
      <c r="W123" s="7" t="n">
        <f aca="false">V123/D123</f>
        <v>58.9148936170213</v>
      </c>
      <c r="X123" s="7" t="n">
        <f aca="false">X122+V123</f>
        <v>48907.8</v>
      </c>
      <c r="Y123" s="7" t="n">
        <f aca="false">Y122+V123</f>
        <v>2671.9</v>
      </c>
      <c r="AA123" s="28" t="n">
        <v>8.62536812177169</v>
      </c>
    </row>
    <row r="124" s="7" customFormat="true" ht="15" hidden="false" customHeight="false" outlineLevel="0" collapsed="false">
      <c r="A124" s="25"/>
      <c r="B124" s="27" t="n">
        <v>8</v>
      </c>
      <c r="C124" s="8" t="n">
        <v>41605</v>
      </c>
      <c r="D124" s="18" t="n">
        <v>3.9</v>
      </c>
      <c r="E124" s="18" t="n">
        <v>3.1</v>
      </c>
      <c r="F124" s="7" t="n">
        <v>5.3</v>
      </c>
      <c r="G124" s="7" t="n">
        <f aca="false">G123+D124</f>
        <v>956.000000000001</v>
      </c>
      <c r="H124" s="7" t="n">
        <f aca="false">H123+D124</f>
        <v>49.3</v>
      </c>
      <c r="I124" s="7" t="n">
        <v>22</v>
      </c>
      <c r="J124" s="7" t="n">
        <v>0</v>
      </c>
      <c r="K124" s="7" t="n">
        <f aca="false">K123+J124</f>
        <v>227.8</v>
      </c>
      <c r="L124" s="7" t="n">
        <v>0.4</v>
      </c>
      <c r="M124" s="7" t="n">
        <f aca="false">M123+L124</f>
        <v>105</v>
      </c>
      <c r="N124" s="14" t="n">
        <f aca="false">J124-L124</f>
        <v>-0.4</v>
      </c>
      <c r="O124" s="7" t="n">
        <f aca="false">O123+N124</f>
        <v>185.9</v>
      </c>
      <c r="P124" s="7" t="n">
        <v>85</v>
      </c>
      <c r="Q124" s="7" t="n">
        <v>1</v>
      </c>
      <c r="R124" s="15" t="n">
        <f aca="false">Q124*L124</f>
        <v>0.4</v>
      </c>
      <c r="S124" s="15" t="n">
        <f aca="false">J124-R124</f>
        <v>-0.4</v>
      </c>
      <c r="T124" s="15" t="n">
        <f aca="false">MIN(189.6,(T123+S124))</f>
        <v>168.67625</v>
      </c>
      <c r="U124" s="15" t="n">
        <f aca="false">MAX(T113:T143)</f>
        <v>171.47625</v>
      </c>
      <c r="V124" s="16" t="n">
        <v>175.2</v>
      </c>
      <c r="W124" s="7" t="n">
        <f aca="false">V124/D124</f>
        <v>44.9230769230769</v>
      </c>
      <c r="X124" s="7" t="n">
        <f aca="false">X123+V124</f>
        <v>49083</v>
      </c>
      <c r="Y124" s="7" t="n">
        <f aca="false">Y123+V124</f>
        <v>2847.1</v>
      </c>
      <c r="AA124" s="28" t="n">
        <v>8.58868331733055</v>
      </c>
    </row>
    <row r="125" s="7" customFormat="true" ht="15" hidden="false" customHeight="false" outlineLevel="0" collapsed="false">
      <c r="A125" s="25"/>
      <c r="B125" s="11"/>
      <c r="C125" s="8" t="n">
        <v>41606</v>
      </c>
      <c r="D125" s="7" t="n">
        <v>5.3</v>
      </c>
      <c r="E125" s="18" t="n">
        <v>2.8</v>
      </c>
      <c r="F125" s="7" t="n">
        <v>6.9</v>
      </c>
      <c r="G125" s="7" t="n">
        <f aca="false">G124+D125</f>
        <v>961.300000000001</v>
      </c>
      <c r="H125" s="7" t="n">
        <f aca="false">H124+D125</f>
        <v>54.6</v>
      </c>
      <c r="I125" s="26" t="s">
        <v>43</v>
      </c>
      <c r="J125" s="7" t="n">
        <v>0.2</v>
      </c>
      <c r="K125" s="7" t="n">
        <f aca="false">K124+J125</f>
        <v>228</v>
      </c>
      <c r="L125" s="7" t="n">
        <v>0.2</v>
      </c>
      <c r="M125" s="7" t="n">
        <f aca="false">M124+L125</f>
        <v>105.2</v>
      </c>
      <c r="N125" s="7" t="n">
        <f aca="false">J125-L125</f>
        <v>0</v>
      </c>
      <c r="O125" s="7" t="n">
        <f aca="false">O124+N125</f>
        <v>185.9</v>
      </c>
      <c r="P125" s="7" t="n">
        <v>86</v>
      </c>
      <c r="Q125" s="7" t="n">
        <v>1</v>
      </c>
      <c r="R125" s="15" t="n">
        <f aca="false">Q125*L125</f>
        <v>0.2</v>
      </c>
      <c r="S125" s="15" t="n">
        <f aca="false">J125-R125</f>
        <v>0</v>
      </c>
      <c r="T125" s="15" t="n">
        <f aca="false">MIN(189.6,(T124+S125))</f>
        <v>168.67625</v>
      </c>
      <c r="U125" s="26" t="s">
        <v>44</v>
      </c>
      <c r="V125" s="16" t="n">
        <v>154.9</v>
      </c>
      <c r="W125" s="7" t="n">
        <f aca="false">V125/D125</f>
        <v>29.2264150943396</v>
      </c>
      <c r="X125" s="7" t="n">
        <f aca="false">X124+V125</f>
        <v>49237.9</v>
      </c>
      <c r="Y125" s="7" t="n">
        <f aca="false">Y124+V125</f>
        <v>3002</v>
      </c>
      <c r="AA125" s="28" t="n">
        <v>8.55314973648841</v>
      </c>
    </row>
    <row r="126" s="7" customFormat="true" ht="15" hidden="false" customHeight="false" outlineLevel="0" collapsed="false">
      <c r="A126" s="25"/>
      <c r="B126" s="11"/>
      <c r="C126" s="8" t="n">
        <v>41607</v>
      </c>
      <c r="D126" s="7" t="n">
        <v>7.2</v>
      </c>
      <c r="E126" s="7" t="n">
        <v>6.6</v>
      </c>
      <c r="F126" s="7" t="n">
        <v>8.5</v>
      </c>
      <c r="G126" s="7" t="n">
        <f aca="false">G125+D126</f>
        <v>968.500000000001</v>
      </c>
      <c r="H126" s="7" t="n">
        <f aca="false">H125+D126</f>
        <v>61.8</v>
      </c>
      <c r="I126" s="7" t="n">
        <v>127.8</v>
      </c>
      <c r="J126" s="7" t="n">
        <v>0</v>
      </c>
      <c r="K126" s="7" t="n">
        <f aca="false">K125+J126</f>
        <v>228</v>
      </c>
      <c r="L126" s="7" t="n">
        <v>0.4</v>
      </c>
      <c r="M126" s="7" t="n">
        <f aca="false">M125+L126</f>
        <v>105.6</v>
      </c>
      <c r="N126" s="14" t="n">
        <f aca="false">J126-L126</f>
        <v>-0.4</v>
      </c>
      <c r="O126" s="7" t="n">
        <f aca="false">O125+N126</f>
        <v>185.5</v>
      </c>
      <c r="P126" s="7" t="n">
        <v>87</v>
      </c>
      <c r="Q126" s="7" t="n">
        <v>1</v>
      </c>
      <c r="R126" s="15" t="n">
        <f aca="false">Q126*L126</f>
        <v>0.4</v>
      </c>
      <c r="S126" s="15" t="n">
        <f aca="false">J126-R126</f>
        <v>-0.4</v>
      </c>
      <c r="T126" s="15" t="n">
        <f aca="false">MIN(189.6,(T125+S126))</f>
        <v>168.27625</v>
      </c>
      <c r="U126" s="17" t="n">
        <f aca="false">AVERAGE(T113:T143)</f>
        <v>168.040766129032</v>
      </c>
      <c r="V126" s="16" t="n">
        <v>183.9</v>
      </c>
      <c r="W126" s="7" t="n">
        <f aca="false">V126/D126</f>
        <v>25.5416666666667</v>
      </c>
      <c r="X126" s="7" t="n">
        <f aca="false">X125+V126</f>
        <v>49421.8</v>
      </c>
      <c r="Y126" s="7" t="n">
        <f aca="false">Y125+V126</f>
        <v>3185.9</v>
      </c>
      <c r="AA126" s="28" t="n">
        <v>8.51880020463869</v>
      </c>
    </row>
    <row r="127" s="7" customFormat="true" ht="15" hidden="false" customHeight="false" outlineLevel="0" collapsed="false">
      <c r="A127" s="25"/>
      <c r="B127" s="11"/>
      <c r="C127" s="8" t="n">
        <v>41608</v>
      </c>
      <c r="D127" s="7" t="n">
        <v>6.1</v>
      </c>
      <c r="E127" s="18" t="n">
        <v>4.8</v>
      </c>
      <c r="F127" s="7" t="n">
        <v>8.5</v>
      </c>
      <c r="G127" s="7" t="n">
        <f aca="false">G126+D127</f>
        <v>974.600000000001</v>
      </c>
      <c r="H127" s="7" t="n">
        <f aca="false">H126+D127</f>
        <v>67.9</v>
      </c>
      <c r="J127" s="7" t="n">
        <v>0</v>
      </c>
      <c r="K127" s="7" t="n">
        <f aca="false">K126+J127</f>
        <v>228</v>
      </c>
      <c r="L127" s="7" t="n">
        <v>0.8</v>
      </c>
      <c r="M127" s="7" t="n">
        <f aca="false">M126+L127</f>
        <v>106.4</v>
      </c>
      <c r="N127" s="14" t="n">
        <f aca="false">J127-L127</f>
        <v>-0.8</v>
      </c>
      <c r="O127" s="7" t="n">
        <f aca="false">O126+N127</f>
        <v>184.7</v>
      </c>
      <c r="P127" s="7" t="n">
        <v>88</v>
      </c>
      <c r="Q127" s="7" t="n">
        <v>1</v>
      </c>
      <c r="R127" s="15" t="n">
        <f aca="false">Q127*L127</f>
        <v>0.8</v>
      </c>
      <c r="S127" s="15" t="n">
        <f aca="false">J127-R127</f>
        <v>-0.8</v>
      </c>
      <c r="T127" s="15" t="n">
        <f aca="false">MIN(189.6,(T126+S127))</f>
        <v>167.47625</v>
      </c>
      <c r="U127" s="26" t="s">
        <v>46</v>
      </c>
      <c r="V127" s="16" t="n">
        <v>170.9</v>
      </c>
      <c r="W127" s="7" t="n">
        <f aca="false">V127/D127</f>
        <v>28.016393442623</v>
      </c>
      <c r="X127" s="7" t="n">
        <f aca="false">X126+V127</f>
        <v>49592.7</v>
      </c>
      <c r="Y127" s="7" t="n">
        <f aca="false">Y126+V127</f>
        <v>3356.8</v>
      </c>
      <c r="AA127" s="28" t="n">
        <v>8.48566724650208</v>
      </c>
    </row>
    <row r="128" s="7" customFormat="true" ht="15" hidden="false" customHeight="false" outlineLevel="0" collapsed="false">
      <c r="A128" s="25"/>
      <c r="B128" s="11"/>
      <c r="C128" s="8" t="n">
        <v>41609</v>
      </c>
      <c r="D128" s="7" t="n">
        <v>5.4</v>
      </c>
      <c r="E128" s="18" t="n">
        <v>3.6</v>
      </c>
      <c r="F128" s="7" t="n">
        <v>8.4</v>
      </c>
      <c r="G128" s="7" t="n">
        <f aca="false">G127+D128</f>
        <v>980.000000000001</v>
      </c>
      <c r="H128" s="7" t="n">
        <f aca="false">H127+D128</f>
        <v>73.3</v>
      </c>
      <c r="J128" s="7" t="n">
        <v>0</v>
      </c>
      <c r="K128" s="7" t="n">
        <f aca="false">K127+J128</f>
        <v>228</v>
      </c>
      <c r="L128" s="7" t="n">
        <v>0.7</v>
      </c>
      <c r="M128" s="7" t="n">
        <f aca="false">M127+L128</f>
        <v>107.1</v>
      </c>
      <c r="N128" s="14" t="n">
        <f aca="false">J128-L128</f>
        <v>-0.7</v>
      </c>
      <c r="O128" s="7" t="n">
        <f aca="false">O127+N128</f>
        <v>184</v>
      </c>
      <c r="P128" s="7" t="n">
        <v>89</v>
      </c>
      <c r="Q128" s="7" t="n">
        <v>1</v>
      </c>
      <c r="R128" s="15" t="n">
        <f aca="false">Q128*L128</f>
        <v>0.7</v>
      </c>
      <c r="S128" s="15" t="n">
        <f aca="false">J128-R128</f>
        <v>-0.7</v>
      </c>
      <c r="T128" s="15" t="n">
        <f aca="false">MIN(189.6,(T127+S128))</f>
        <v>166.77625</v>
      </c>
      <c r="U128" s="7" t="n">
        <v>29</v>
      </c>
      <c r="V128" s="16" t="n">
        <v>384</v>
      </c>
      <c r="W128" s="7" t="n">
        <f aca="false">V128/D128</f>
        <v>71.1111111111111</v>
      </c>
      <c r="X128" s="7" t="n">
        <f aca="false">X127+V128</f>
        <v>49976.7</v>
      </c>
      <c r="Y128" s="7" t="n">
        <f aca="false">Y127+V128</f>
        <v>3740.8</v>
      </c>
      <c r="AA128" s="28" t="n">
        <v>8.45378299286625</v>
      </c>
    </row>
    <row r="129" s="7" customFormat="true" ht="15" hidden="false" customHeight="false" outlineLevel="0" collapsed="false">
      <c r="A129" s="25"/>
      <c r="B129" s="11"/>
      <c r="C129" s="8" t="n">
        <v>41610</v>
      </c>
      <c r="D129" s="7" t="n">
        <v>5.2</v>
      </c>
      <c r="E129" s="18" t="n">
        <v>3.9</v>
      </c>
      <c r="F129" s="7" t="n">
        <v>7.8</v>
      </c>
      <c r="G129" s="7" t="n">
        <f aca="false">G128+D129</f>
        <v>985.200000000001</v>
      </c>
      <c r="H129" s="7" t="n">
        <f aca="false">H128+D129</f>
        <v>78.5</v>
      </c>
      <c r="J129" s="7" t="n">
        <v>0</v>
      </c>
      <c r="K129" s="7" t="n">
        <f aca="false">K128+J129</f>
        <v>228</v>
      </c>
      <c r="L129" s="7" t="n">
        <v>0.8</v>
      </c>
      <c r="M129" s="7" t="n">
        <f aca="false">M128+L129</f>
        <v>107.9</v>
      </c>
      <c r="N129" s="14" t="n">
        <f aca="false">J129-L129</f>
        <v>-0.8</v>
      </c>
      <c r="O129" s="7" t="n">
        <f aca="false">O128+N129</f>
        <v>183.2</v>
      </c>
      <c r="P129" s="7" t="n">
        <v>90</v>
      </c>
      <c r="Q129" s="7" t="n">
        <v>1</v>
      </c>
      <c r="R129" s="15" t="n">
        <f aca="false">Q129*L129</f>
        <v>0.8</v>
      </c>
      <c r="S129" s="15" t="n">
        <f aca="false">J129-R129</f>
        <v>-0.8</v>
      </c>
      <c r="T129" s="15" t="n">
        <f aca="false">MIN(189.6,(T128+S129))</f>
        <v>165.97625</v>
      </c>
      <c r="V129" s="16" t="n">
        <v>337.9</v>
      </c>
      <c r="W129" s="7" t="n">
        <f aca="false">V129/D129</f>
        <v>64.9807692307692</v>
      </c>
      <c r="X129" s="7" t="n">
        <f aca="false">X128+V129</f>
        <v>50314.6</v>
      </c>
      <c r="Y129" s="7" t="n">
        <f aca="false">Y128+V129</f>
        <v>4078.7</v>
      </c>
      <c r="AA129" s="28" t="n">
        <v>8.42317908458435</v>
      </c>
    </row>
    <row r="130" s="7" customFormat="true" ht="15" hidden="false" customHeight="false" outlineLevel="0" collapsed="false">
      <c r="A130" s="25"/>
      <c r="B130" s="27" t="n">
        <v>9</v>
      </c>
      <c r="C130" s="8" t="n">
        <v>41611</v>
      </c>
      <c r="D130" s="18" t="n">
        <v>0.5</v>
      </c>
      <c r="E130" s="19" t="n">
        <v>-1.7</v>
      </c>
      <c r="F130" s="18" t="n">
        <v>3.9</v>
      </c>
      <c r="G130" s="7" t="n">
        <f aca="false">G129+D130</f>
        <v>985.700000000001</v>
      </c>
      <c r="H130" s="7" t="n">
        <f aca="false">H129+D130</f>
        <v>79</v>
      </c>
      <c r="J130" s="7" t="n">
        <v>0</v>
      </c>
      <c r="K130" s="7" t="n">
        <f aca="false">K129+J130</f>
        <v>228</v>
      </c>
      <c r="L130" s="7" t="n">
        <v>0.6</v>
      </c>
      <c r="M130" s="7" t="n">
        <f aca="false">M129+L130</f>
        <v>108.5</v>
      </c>
      <c r="N130" s="14" t="n">
        <f aca="false">J130-L130</f>
        <v>-0.6</v>
      </c>
      <c r="O130" s="7" t="n">
        <f aca="false">O129+N130</f>
        <v>182.6</v>
      </c>
      <c r="P130" s="7" t="n">
        <v>91</v>
      </c>
      <c r="Q130" s="7" t="n">
        <v>1</v>
      </c>
      <c r="R130" s="15" t="n">
        <f aca="false">Q130*L130</f>
        <v>0.6</v>
      </c>
      <c r="S130" s="15" t="n">
        <f aca="false">J130-R130</f>
        <v>-0.6</v>
      </c>
      <c r="T130" s="15" t="n">
        <f aca="false">MIN(189.6,(T129+S130))</f>
        <v>165.37625</v>
      </c>
      <c r="U130" s="15" t="n">
        <f aca="false">(U126*100)/189.6</f>
        <v>88.6290960596162</v>
      </c>
      <c r="V130" s="16" t="n">
        <v>465.1</v>
      </c>
      <c r="W130" s="7" t="n">
        <f aca="false">V130/D130</f>
        <v>930.2</v>
      </c>
      <c r="X130" s="7" t="n">
        <f aca="false">X129+V130</f>
        <v>50779.7</v>
      </c>
      <c r="Y130" s="7" t="n">
        <f aca="false">Y129+V130</f>
        <v>4543.8</v>
      </c>
      <c r="AA130" s="28" t="n">
        <v>8.39388657428115</v>
      </c>
    </row>
    <row r="131" s="7" customFormat="true" ht="15" hidden="false" customHeight="false" outlineLevel="0" collapsed="false">
      <c r="A131" s="25"/>
      <c r="B131" s="27" t="n">
        <v>10</v>
      </c>
      <c r="C131" s="8" t="n">
        <v>41612</v>
      </c>
      <c r="D131" s="18" t="n">
        <v>4.9</v>
      </c>
      <c r="E131" s="19" t="n">
        <v>-0.2</v>
      </c>
      <c r="F131" s="7" t="n">
        <v>6.9</v>
      </c>
      <c r="G131" s="7" t="n">
        <f aca="false">G130+D131</f>
        <v>990.600000000001</v>
      </c>
      <c r="H131" s="7" t="n">
        <f aca="false">H130+D131</f>
        <v>83.9</v>
      </c>
      <c r="J131" s="7" t="n">
        <v>0.4</v>
      </c>
      <c r="K131" s="7" t="n">
        <f aca="false">K130+J131</f>
        <v>228.4</v>
      </c>
      <c r="L131" s="7" t="n">
        <v>0.2</v>
      </c>
      <c r="M131" s="7" t="n">
        <f aca="false">M130+L131</f>
        <v>108.7</v>
      </c>
      <c r="N131" s="7" t="n">
        <f aca="false">J131-L131</f>
        <v>0.2</v>
      </c>
      <c r="O131" s="7" t="n">
        <f aca="false">O130+N131</f>
        <v>182.8</v>
      </c>
      <c r="P131" s="7" t="n">
        <v>92</v>
      </c>
      <c r="Q131" s="7" t="n">
        <v>1</v>
      </c>
      <c r="R131" s="15" t="n">
        <f aca="false">Q131*L131</f>
        <v>0.2</v>
      </c>
      <c r="S131" s="15" t="n">
        <f aca="false">J131-R131</f>
        <v>0.2</v>
      </c>
      <c r="T131" s="15" t="n">
        <f aca="false">MIN(189.6,(T130+S131))</f>
        <v>165.57625</v>
      </c>
      <c r="V131" s="16" t="n">
        <v>177.8</v>
      </c>
      <c r="W131" s="7" t="n">
        <f aca="false">V131/D131</f>
        <v>36.2857142857143</v>
      </c>
      <c r="X131" s="7" t="n">
        <f aca="false">X130+V131</f>
        <v>50957.5</v>
      </c>
      <c r="Y131" s="7" t="n">
        <f aca="false">Y130+V131</f>
        <v>4721.6</v>
      </c>
      <c r="AA131" s="28" t="n">
        <v>8.36593582626487</v>
      </c>
    </row>
    <row r="132" s="7" customFormat="true" ht="15" hidden="false" customHeight="false" outlineLevel="0" collapsed="false">
      <c r="A132" s="25"/>
      <c r="B132" s="27" t="n">
        <v>11</v>
      </c>
      <c r="C132" s="8" t="n">
        <v>41613</v>
      </c>
      <c r="D132" s="18" t="n">
        <v>4.2</v>
      </c>
      <c r="E132" s="19" t="n">
        <v>-0.7</v>
      </c>
      <c r="F132" s="7" t="n">
        <v>7.9</v>
      </c>
      <c r="G132" s="7" t="n">
        <f aca="false">G131+D132</f>
        <v>994.800000000001</v>
      </c>
      <c r="H132" s="7" t="n">
        <f aca="false">H131+D132</f>
        <v>88.1</v>
      </c>
      <c r="J132" s="7" t="n">
        <v>1.9</v>
      </c>
      <c r="K132" s="7" t="n">
        <f aca="false">K131+J132</f>
        <v>230.3</v>
      </c>
      <c r="L132" s="7" t="n">
        <v>0.4</v>
      </c>
      <c r="M132" s="7" t="n">
        <f aca="false">M131+L132</f>
        <v>109.1</v>
      </c>
      <c r="N132" s="7" t="n">
        <f aca="false">J132-L132</f>
        <v>1.5</v>
      </c>
      <c r="O132" s="7" t="n">
        <f aca="false">O131+N132</f>
        <v>184.3</v>
      </c>
      <c r="P132" s="7" t="n">
        <v>93</v>
      </c>
      <c r="Q132" s="7" t="n">
        <v>1</v>
      </c>
      <c r="R132" s="15" t="n">
        <f aca="false">Q132*L132</f>
        <v>0.4</v>
      </c>
      <c r="S132" s="15" t="n">
        <f aca="false">J132-R132</f>
        <v>1.5</v>
      </c>
      <c r="T132" s="15" t="n">
        <f aca="false">MIN(189.6,(T131+S132))</f>
        <v>167.07625</v>
      </c>
      <c r="V132" s="16" t="n">
        <v>389.7</v>
      </c>
      <c r="W132" s="7" t="n">
        <f aca="false">V132/D132</f>
        <v>92.7857142857143</v>
      </c>
      <c r="X132" s="7" t="n">
        <f aca="false">X131+V132</f>
        <v>51347.2</v>
      </c>
      <c r="Y132" s="7" t="n">
        <f aca="false">Y131+V132</f>
        <v>5111.3</v>
      </c>
      <c r="AA132" s="28" t="n">
        <v>8.33935641519034</v>
      </c>
    </row>
    <row r="133" s="7" customFormat="true" ht="15" hidden="false" customHeight="false" outlineLevel="0" collapsed="false">
      <c r="A133" s="25"/>
      <c r="B133" s="27" t="n">
        <v>12</v>
      </c>
      <c r="C133" s="8" t="n">
        <v>41614</v>
      </c>
      <c r="D133" s="18" t="n">
        <v>4.2</v>
      </c>
      <c r="E133" s="18" t="n">
        <v>2.2</v>
      </c>
      <c r="F133" s="7" t="n">
        <v>6.1</v>
      </c>
      <c r="G133" s="7" t="n">
        <f aca="false">G132+D133</f>
        <v>999.000000000001</v>
      </c>
      <c r="H133" s="7" t="n">
        <f aca="false">H132+D133</f>
        <v>92.3</v>
      </c>
      <c r="J133" s="7" t="n">
        <v>0.3</v>
      </c>
      <c r="K133" s="7" t="n">
        <f aca="false">K132+J133</f>
        <v>230.6</v>
      </c>
      <c r="L133" s="7" t="n">
        <v>0.8</v>
      </c>
      <c r="M133" s="7" t="n">
        <f aca="false">M132+L133</f>
        <v>109.9</v>
      </c>
      <c r="N133" s="14" t="n">
        <f aca="false">J133-L133</f>
        <v>-0.5</v>
      </c>
      <c r="O133" s="7" t="n">
        <f aca="false">O132+N133</f>
        <v>183.8</v>
      </c>
      <c r="P133" s="7" t="n">
        <v>94</v>
      </c>
      <c r="Q133" s="7" t="n">
        <v>1</v>
      </c>
      <c r="R133" s="15" t="n">
        <f aca="false">Q133*L133</f>
        <v>0.8</v>
      </c>
      <c r="S133" s="15" t="n">
        <f aca="false">J133-R133</f>
        <v>-0.5</v>
      </c>
      <c r="T133" s="15" t="n">
        <f aca="false">MIN(189.6,(T132+S133))</f>
        <v>166.57625</v>
      </c>
      <c r="V133" s="16" t="n">
        <v>367.3</v>
      </c>
      <c r="W133" s="7" t="n">
        <f aca="false">V133/D133</f>
        <v>87.452380952381</v>
      </c>
      <c r="X133" s="7" t="n">
        <f aca="false">X132+V133</f>
        <v>51714.5</v>
      </c>
      <c r="Y133" s="7" t="n">
        <f aca="false">Y132+V133</f>
        <v>5478.6</v>
      </c>
      <c r="AA133" s="28" t="n">
        <v>8.31417702406231</v>
      </c>
    </row>
    <row r="134" s="7" customFormat="true" ht="15" hidden="false" customHeight="false" outlineLevel="0" collapsed="false">
      <c r="A134" s="25"/>
      <c r="B134" s="11"/>
      <c r="C134" s="8" t="n">
        <v>41615</v>
      </c>
      <c r="D134" s="7" t="n">
        <v>6.2</v>
      </c>
      <c r="E134" s="18" t="n">
        <v>4.3</v>
      </c>
      <c r="F134" s="7" t="n">
        <v>7.4</v>
      </c>
      <c r="G134" s="7" t="n">
        <f aca="false">G133+D134</f>
        <v>1005.2</v>
      </c>
      <c r="H134" s="7" t="n">
        <f aca="false">H133+D134</f>
        <v>98.5</v>
      </c>
      <c r="J134" s="7" t="n">
        <v>0.5</v>
      </c>
      <c r="K134" s="7" t="n">
        <f aca="false">K133+J134</f>
        <v>231.1</v>
      </c>
      <c r="L134" s="7" t="n">
        <v>0.2</v>
      </c>
      <c r="M134" s="7" t="n">
        <f aca="false">M133+L134</f>
        <v>110.1</v>
      </c>
      <c r="N134" s="7" t="n">
        <f aca="false">J134-L134</f>
        <v>0.3</v>
      </c>
      <c r="O134" s="7" t="n">
        <f aca="false">O133+N134</f>
        <v>184.1</v>
      </c>
      <c r="P134" s="7" t="n">
        <v>95</v>
      </c>
      <c r="Q134" s="7" t="n">
        <v>1</v>
      </c>
      <c r="R134" s="15" t="n">
        <f aca="false">Q134*L134</f>
        <v>0.2</v>
      </c>
      <c r="S134" s="15" t="n">
        <f aca="false">J134-R134</f>
        <v>0.3</v>
      </c>
      <c r="T134" s="15" t="n">
        <f aca="false">MIN(189.6,(T133+S134))</f>
        <v>166.87625</v>
      </c>
      <c r="V134" s="16" t="n">
        <v>133.7</v>
      </c>
      <c r="W134" s="7" t="n">
        <f aca="false">V134/D134</f>
        <v>21.5645161290323</v>
      </c>
      <c r="X134" s="7" t="n">
        <f aca="false">X133+V134</f>
        <v>51848.2</v>
      </c>
      <c r="Y134" s="7" t="n">
        <f aca="false">Y133+V134</f>
        <v>5612.3</v>
      </c>
      <c r="AA134" s="28" t="n">
        <v>8.2904253422086</v>
      </c>
    </row>
    <row r="135" s="7" customFormat="true" ht="15" hidden="false" customHeight="false" outlineLevel="0" collapsed="false">
      <c r="A135" s="25"/>
      <c r="B135" s="11"/>
      <c r="C135" s="8" t="n">
        <v>41616</v>
      </c>
      <c r="D135" s="7" t="n">
        <v>5.7</v>
      </c>
      <c r="E135" s="18" t="n">
        <v>4.4</v>
      </c>
      <c r="F135" s="7" t="n">
        <v>8.4</v>
      </c>
      <c r="G135" s="7" t="n">
        <f aca="false">G134+D135</f>
        <v>1010.9</v>
      </c>
      <c r="H135" s="7" t="n">
        <f aca="false">H134+D135</f>
        <v>104.2</v>
      </c>
      <c r="J135" s="7" t="n">
        <v>0.4</v>
      </c>
      <c r="K135" s="7" t="n">
        <f aca="false">K134+J135</f>
        <v>231.5</v>
      </c>
      <c r="L135" s="7" t="n">
        <v>0.6</v>
      </c>
      <c r="M135" s="7" t="n">
        <f aca="false">M134+L135</f>
        <v>110.7</v>
      </c>
      <c r="N135" s="14" t="n">
        <f aca="false">J135-L135</f>
        <v>-0.2</v>
      </c>
      <c r="O135" s="7" t="n">
        <f aca="false">O134+N135</f>
        <v>183.9</v>
      </c>
      <c r="P135" s="7" t="n">
        <v>96</v>
      </c>
      <c r="Q135" s="7" t="n">
        <v>1</v>
      </c>
      <c r="R135" s="15" t="n">
        <f aca="false">Q135*L135</f>
        <v>0.6</v>
      </c>
      <c r="S135" s="15" t="n">
        <f aca="false">J135-R135</f>
        <v>-0.2</v>
      </c>
      <c r="T135" s="15" t="n">
        <f aca="false">MIN(189.6,(T134+S135))</f>
        <v>166.67625</v>
      </c>
      <c r="V135" s="16" t="n">
        <v>262.9</v>
      </c>
      <c r="W135" s="7" t="n">
        <f aca="false">V135/D135</f>
        <v>46.1228070175439</v>
      </c>
      <c r="X135" s="7" t="n">
        <f aca="false">X134+V135</f>
        <v>52111.1</v>
      </c>
      <c r="Y135" s="7" t="n">
        <f aca="false">Y134+V135</f>
        <v>5875.2</v>
      </c>
      <c r="AA135" s="28" t="n">
        <v>8.26812796388679</v>
      </c>
    </row>
    <row r="136" s="7" customFormat="true" ht="15" hidden="false" customHeight="false" outlineLevel="0" collapsed="false">
      <c r="A136" s="25"/>
      <c r="B136" s="27" t="n">
        <v>13</v>
      </c>
      <c r="C136" s="8" t="n">
        <v>41617</v>
      </c>
      <c r="D136" s="18" t="n">
        <v>2.9</v>
      </c>
      <c r="E136" s="18" t="n">
        <v>1.1</v>
      </c>
      <c r="F136" s="7" t="n">
        <v>7.3</v>
      </c>
      <c r="G136" s="7" t="n">
        <f aca="false">G135+D136</f>
        <v>1013.8</v>
      </c>
      <c r="H136" s="7" t="n">
        <f aca="false">H135+D136</f>
        <v>107.1</v>
      </c>
      <c r="J136" s="7" t="n">
        <v>0</v>
      </c>
      <c r="K136" s="7" t="n">
        <f aca="false">K135+J136</f>
        <v>231.5</v>
      </c>
      <c r="L136" s="7" t="n">
        <v>0.8</v>
      </c>
      <c r="M136" s="7" t="n">
        <f aca="false">M135+L136</f>
        <v>111.5</v>
      </c>
      <c r="N136" s="14" t="n">
        <f aca="false">J136-L136</f>
        <v>-0.8</v>
      </c>
      <c r="O136" s="7" t="n">
        <f aca="false">O135+N136</f>
        <v>183.1</v>
      </c>
      <c r="P136" s="7" t="n">
        <v>97</v>
      </c>
      <c r="Q136" s="7" t="n">
        <v>1</v>
      </c>
      <c r="R136" s="15" t="n">
        <f aca="false">Q136*L136</f>
        <v>0.8</v>
      </c>
      <c r="S136" s="15" t="n">
        <f aca="false">J136-R136</f>
        <v>-0.8</v>
      </c>
      <c r="T136" s="15" t="n">
        <f aca="false">MIN(189.6,(T135+S136))</f>
        <v>165.87625</v>
      </c>
      <c r="V136" s="16" t="n">
        <v>423.8</v>
      </c>
      <c r="W136" s="7" t="n">
        <f aca="false">V136/D136</f>
        <v>146.137931034483</v>
      </c>
      <c r="X136" s="7" t="n">
        <f aca="false">X135+V136</f>
        <v>52534.9</v>
      </c>
      <c r="Y136" s="7" t="n">
        <f aca="false">Y135+V136</f>
        <v>6299</v>
      </c>
      <c r="AA136" s="28" t="n">
        <v>8.24731028821774</v>
      </c>
    </row>
    <row r="137" s="7" customFormat="true" ht="15" hidden="false" customHeight="false" outlineLevel="0" collapsed="false">
      <c r="A137" s="25"/>
      <c r="B137" s="27" t="n">
        <v>14</v>
      </c>
      <c r="C137" s="8" t="n">
        <v>41618</v>
      </c>
      <c r="D137" s="18" t="n">
        <v>0.6</v>
      </c>
      <c r="E137" s="19" t="n">
        <v>-2.3</v>
      </c>
      <c r="F137" s="18" t="n">
        <v>4.8</v>
      </c>
      <c r="G137" s="7" t="n">
        <f aca="false">G136+D137</f>
        <v>1014.4</v>
      </c>
      <c r="H137" s="7" t="n">
        <f aca="false">H136+D137</f>
        <v>107.7</v>
      </c>
      <c r="J137" s="7" t="n">
        <v>0.2</v>
      </c>
      <c r="K137" s="7" t="n">
        <f aca="false">K136+J137</f>
        <v>231.7</v>
      </c>
      <c r="L137" s="7" t="n">
        <v>0.7</v>
      </c>
      <c r="M137" s="7" t="n">
        <f aca="false">M136+L137</f>
        <v>112.2</v>
      </c>
      <c r="N137" s="14" t="n">
        <f aca="false">J137-L137</f>
        <v>-0.5</v>
      </c>
      <c r="O137" s="7" t="n">
        <f aca="false">O136+N137</f>
        <v>182.6</v>
      </c>
      <c r="P137" s="7" t="n">
        <v>98</v>
      </c>
      <c r="Q137" s="7" t="n">
        <v>1</v>
      </c>
      <c r="R137" s="15" t="n">
        <f aca="false">Q137*L137</f>
        <v>0.7</v>
      </c>
      <c r="S137" s="15" t="n">
        <f aca="false">J137-R137</f>
        <v>-0.5</v>
      </c>
      <c r="T137" s="15" t="n">
        <f aca="false">MIN(189.6,(T136+S137))</f>
        <v>165.37625</v>
      </c>
      <c r="V137" s="16" t="n">
        <v>452.4</v>
      </c>
      <c r="W137" s="7" t="n">
        <f aca="false">V137/D137</f>
        <v>754</v>
      </c>
      <c r="X137" s="7" t="n">
        <f aca="false">X136+V137</f>
        <v>52987.3</v>
      </c>
      <c r="Y137" s="7" t="n">
        <f aca="false">Y136+V137</f>
        <v>6751.4</v>
      </c>
      <c r="AA137" s="28" t="n">
        <v>8.22799642116085</v>
      </c>
    </row>
    <row r="138" s="7" customFormat="true" ht="15" hidden="false" customHeight="false" outlineLevel="0" collapsed="false">
      <c r="A138" s="25"/>
      <c r="B138" s="27" t="n">
        <v>15</v>
      </c>
      <c r="C138" s="8" t="n">
        <v>41619</v>
      </c>
      <c r="D138" s="18" t="n">
        <v>0</v>
      </c>
      <c r="E138" s="19" t="n">
        <v>-2.1</v>
      </c>
      <c r="F138" s="18" t="n">
        <v>3.7</v>
      </c>
      <c r="G138" s="7" t="n">
        <f aca="false">G137+D138</f>
        <v>1014.4</v>
      </c>
      <c r="H138" s="7" t="n">
        <f aca="false">H137+D138</f>
        <v>107.7</v>
      </c>
      <c r="J138" s="7" t="n">
        <v>0</v>
      </c>
      <c r="K138" s="7" t="n">
        <f aca="false">K137+J138</f>
        <v>231.7</v>
      </c>
      <c r="L138" s="7" t="n">
        <v>0.7</v>
      </c>
      <c r="M138" s="7" t="n">
        <f aca="false">M137+L138</f>
        <v>112.9</v>
      </c>
      <c r="N138" s="14" t="n">
        <f aca="false">J138-L138</f>
        <v>-0.7</v>
      </c>
      <c r="O138" s="7" t="n">
        <f aca="false">O137+N138</f>
        <v>181.9</v>
      </c>
      <c r="P138" s="7" t="n">
        <v>99</v>
      </c>
      <c r="Q138" s="7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MIN(189.6,(T137+S138))</f>
        <v>164.67625</v>
      </c>
      <c r="V138" s="16" t="n">
        <v>413.1</v>
      </c>
      <c r="W138" s="7" t="e">
        <f aca="false">V138/D138</f>
        <v>#DIV/0!</v>
      </c>
      <c r="X138" s="7" t="n">
        <f aca="false">X137+V138</f>
        <v>53400.4</v>
      </c>
      <c r="Y138" s="7" t="n">
        <f aca="false">Y137+V138</f>
        <v>7164.5</v>
      </c>
      <c r="AA138" s="28" t="n">
        <v>8.21020908026093</v>
      </c>
    </row>
    <row r="139" s="7" customFormat="true" ht="15" hidden="false" customHeight="false" outlineLevel="0" collapsed="false">
      <c r="A139" s="25"/>
      <c r="B139" s="27" t="n">
        <v>16</v>
      </c>
      <c r="C139" s="8" t="n">
        <v>41620</v>
      </c>
      <c r="D139" s="19" t="n">
        <v>-0.9</v>
      </c>
      <c r="E139" s="19" t="n">
        <v>-2.8</v>
      </c>
      <c r="F139" s="18" t="n">
        <v>0.9</v>
      </c>
      <c r="G139" s="7" t="n">
        <v>1014.4</v>
      </c>
      <c r="H139" s="7" t="n">
        <v>107.7</v>
      </c>
      <c r="J139" s="7" t="n">
        <v>0.1</v>
      </c>
      <c r="K139" s="7" t="n">
        <f aca="false">K138+J139</f>
        <v>231.8</v>
      </c>
      <c r="L139" s="7" t="n">
        <v>0.3</v>
      </c>
      <c r="M139" s="7" t="n">
        <f aca="false">M138+L139</f>
        <v>113.2</v>
      </c>
      <c r="N139" s="14" t="n">
        <f aca="false">J139-L139</f>
        <v>-0.2</v>
      </c>
      <c r="O139" s="7" t="n">
        <f aca="false">O138+N139</f>
        <v>181.7</v>
      </c>
      <c r="P139" s="7" t="n">
        <v>100</v>
      </c>
      <c r="Q139" s="7" t="n">
        <v>1</v>
      </c>
      <c r="R139" s="15" t="n">
        <f aca="false">Q139*L139</f>
        <v>0.3</v>
      </c>
      <c r="S139" s="15" t="n">
        <f aca="false">J139-R139</f>
        <v>-0.2</v>
      </c>
      <c r="T139" s="15" t="n">
        <f aca="false">MIN(189.6,(T138+S139))</f>
        <v>164.47625</v>
      </c>
      <c r="V139" s="16" t="n">
        <v>252.9</v>
      </c>
      <c r="W139" s="7" t="n">
        <f aca="false">V139/D139</f>
        <v>-281</v>
      </c>
      <c r="X139" s="7" t="n">
        <f aca="false">X138+V139</f>
        <v>53653.3</v>
      </c>
      <c r="Y139" s="7" t="n">
        <f aca="false">Y138+V139</f>
        <v>7417.4</v>
      </c>
      <c r="AA139" s="28" t="n">
        <v>8.19396950290205</v>
      </c>
    </row>
    <row r="140" s="7" customFormat="true" ht="15" hidden="false" customHeight="false" outlineLevel="0" collapsed="false">
      <c r="A140" s="25"/>
      <c r="B140" s="27" t="n">
        <v>17</v>
      </c>
      <c r="C140" s="8" t="n">
        <v>41621</v>
      </c>
      <c r="D140" s="18" t="n">
        <v>1.2</v>
      </c>
      <c r="E140" s="19" t="n">
        <v>-2.1</v>
      </c>
      <c r="F140" s="18" t="n">
        <v>3.7</v>
      </c>
      <c r="G140" s="7" t="n">
        <f aca="false">G139+D140</f>
        <v>1015.6</v>
      </c>
      <c r="H140" s="7" t="n">
        <f aca="false">H139+D140</f>
        <v>108.9</v>
      </c>
      <c r="J140" s="7" t="n">
        <v>4.2</v>
      </c>
      <c r="K140" s="7" t="n">
        <f aca="false">K139+J140</f>
        <v>236</v>
      </c>
      <c r="L140" s="7" t="n">
        <v>0.3</v>
      </c>
      <c r="M140" s="7" t="n">
        <f aca="false">M139+L140</f>
        <v>113.5</v>
      </c>
      <c r="N140" s="7" t="n">
        <f aca="false">J140-L140</f>
        <v>3.9</v>
      </c>
      <c r="O140" s="7" t="n">
        <f aca="false">O139+N140</f>
        <v>185.6</v>
      </c>
      <c r="P140" s="7" t="n">
        <v>101</v>
      </c>
      <c r="Q140" s="7" t="n">
        <v>1</v>
      </c>
      <c r="R140" s="15" t="n">
        <f aca="false">Q140*L140</f>
        <v>0.3</v>
      </c>
      <c r="S140" s="15" t="n">
        <f aca="false">J140-R140</f>
        <v>3.9</v>
      </c>
      <c r="T140" s="15" t="n">
        <f aca="false">MIN(189.6,(T139+S140))</f>
        <v>168.37625</v>
      </c>
      <c r="V140" s="16" t="n">
        <v>275.5</v>
      </c>
      <c r="W140" s="7" t="n">
        <f aca="false">V140/D140</f>
        <v>229.583333333333</v>
      </c>
      <c r="X140" s="7" t="n">
        <f aca="false">X139+V140</f>
        <v>53928.8</v>
      </c>
      <c r="Y140" s="7" t="n">
        <f aca="false">Y139+V140</f>
        <v>7692.9</v>
      </c>
      <c r="AA140" s="28" t="n">
        <v>8.17929735880139</v>
      </c>
    </row>
    <row r="141" s="7" customFormat="true" ht="15" hidden="false" customHeight="false" outlineLevel="0" collapsed="false">
      <c r="A141" s="25"/>
      <c r="B141" s="11"/>
      <c r="C141" s="8" t="n">
        <v>41622</v>
      </c>
      <c r="D141" s="7" t="n">
        <v>5.7</v>
      </c>
      <c r="E141" s="18" t="n">
        <v>2.6</v>
      </c>
      <c r="F141" s="7" t="n">
        <v>7.9</v>
      </c>
      <c r="G141" s="7" t="n">
        <f aca="false">G140+D141</f>
        <v>1021.3</v>
      </c>
      <c r="H141" s="7" t="n">
        <f aca="false">H140+D141</f>
        <v>114.6</v>
      </c>
      <c r="J141" s="7" t="n">
        <v>0.4</v>
      </c>
      <c r="K141" s="7" t="n">
        <f aca="false">K140+J141</f>
        <v>236.4</v>
      </c>
      <c r="L141" s="7" t="n">
        <v>0.4</v>
      </c>
      <c r="M141" s="7" t="n">
        <f aca="false">M140+L141</f>
        <v>113.9</v>
      </c>
      <c r="N141" s="7" t="n">
        <f aca="false">J141-L141</f>
        <v>0</v>
      </c>
      <c r="O141" s="7" t="n">
        <f aca="false">O140+N141</f>
        <v>185.6</v>
      </c>
      <c r="P141" s="7" t="n">
        <v>102</v>
      </c>
      <c r="Q141" s="7" t="n">
        <v>1</v>
      </c>
      <c r="R141" s="15" t="n">
        <f aca="false">Q141*L141</f>
        <v>0.4</v>
      </c>
      <c r="S141" s="15" t="n">
        <f aca="false">J141-R141</f>
        <v>0</v>
      </c>
      <c r="T141" s="15" t="n">
        <f aca="false">MIN(189.6,(T140+S141))</f>
        <v>168.37625</v>
      </c>
      <c r="V141" s="16" t="n">
        <v>360.7</v>
      </c>
      <c r="W141" s="7" t="n">
        <f aca="false">V141/D141</f>
        <v>63.280701754386</v>
      </c>
      <c r="X141" s="7" t="n">
        <f aca="false">X140+V141</f>
        <v>54289.5</v>
      </c>
      <c r="Y141" s="7" t="n">
        <f aca="false">Y140+V141</f>
        <v>8053.6</v>
      </c>
      <c r="AA141" s="28" t="n">
        <v>8.16621066746338</v>
      </c>
    </row>
    <row r="142" s="7" customFormat="true" ht="15" hidden="false" customHeight="false" outlineLevel="0" collapsed="false">
      <c r="A142" s="25"/>
      <c r="B142" s="11"/>
      <c r="C142" s="8" t="n">
        <v>41623</v>
      </c>
      <c r="D142" s="7" t="n">
        <v>6.6</v>
      </c>
      <c r="E142" s="7" t="n">
        <v>5.9</v>
      </c>
      <c r="F142" s="7" t="n">
        <v>7.9</v>
      </c>
      <c r="G142" s="7" t="n">
        <f aca="false">G141+D142</f>
        <v>1027.9</v>
      </c>
      <c r="H142" s="7" t="n">
        <f aca="false">H141+D142</f>
        <v>121.2</v>
      </c>
      <c r="J142" s="7" t="n">
        <v>0</v>
      </c>
      <c r="K142" s="7" t="n">
        <f aca="false">K141+J142</f>
        <v>236.4</v>
      </c>
      <c r="L142" s="7" t="n">
        <v>1.2</v>
      </c>
      <c r="M142" s="7" t="n">
        <f aca="false">M141+L142</f>
        <v>115.1</v>
      </c>
      <c r="N142" s="14" t="n">
        <f aca="false">J142-L142</f>
        <v>-1.2</v>
      </c>
      <c r="O142" s="7" t="n">
        <f aca="false">O141+N142</f>
        <v>184.4</v>
      </c>
      <c r="P142" s="7" t="n">
        <v>103</v>
      </c>
      <c r="Q142" s="7" t="n">
        <v>1</v>
      </c>
      <c r="R142" s="15" t="n">
        <f aca="false">Q142*L142</f>
        <v>1.2</v>
      </c>
      <c r="S142" s="15" t="n">
        <f aca="false">J142-R142</f>
        <v>-1.2</v>
      </c>
      <c r="T142" s="15" t="n">
        <f aca="false">MIN(189.6,(T141+S142))</f>
        <v>167.17625</v>
      </c>
      <c r="V142" s="16" t="n">
        <v>272.3</v>
      </c>
      <c r="W142" s="7" t="n">
        <f aca="false">V142/D142</f>
        <v>41.2575757575758</v>
      </c>
      <c r="X142" s="7" t="n">
        <f aca="false">X141+V142</f>
        <v>54561.8</v>
      </c>
      <c r="Y142" s="7" t="n">
        <f aca="false">Y141+V142</f>
        <v>8325.9</v>
      </c>
      <c r="AA142" s="28" t="n">
        <v>8.15472572129291</v>
      </c>
    </row>
    <row r="143" s="30" customFormat="true" ht="15" hidden="false" customHeight="false" outlineLevel="0" collapsed="false">
      <c r="A143" s="25"/>
      <c r="B143" s="20"/>
      <c r="C143" s="29" t="n">
        <v>41624</v>
      </c>
      <c r="D143" s="30" t="n">
        <v>6.6</v>
      </c>
      <c r="E143" s="30" t="n">
        <v>4.2</v>
      </c>
      <c r="F143" s="30" t="n">
        <v>9.6</v>
      </c>
      <c r="G143" s="30" t="n">
        <f aca="false">G142+D143</f>
        <v>1034.5</v>
      </c>
      <c r="H143" s="31" t="n">
        <f aca="false">H142+D143</f>
        <v>127.8</v>
      </c>
      <c r="I143" s="31"/>
      <c r="J143" s="30" t="n">
        <v>0</v>
      </c>
      <c r="K143" s="30" t="n">
        <f aca="false">K142+J143</f>
        <v>236.4</v>
      </c>
      <c r="L143" s="30" t="n">
        <v>1.1</v>
      </c>
      <c r="M143" s="30" t="n">
        <f aca="false">M142+L143</f>
        <v>116.2</v>
      </c>
      <c r="N143" s="30" t="n">
        <f aca="false">J143-L143</f>
        <v>-1.1</v>
      </c>
      <c r="O143" s="23" t="n">
        <f aca="false">O142+N143</f>
        <v>183.3</v>
      </c>
      <c r="P143" s="23" t="n">
        <v>104</v>
      </c>
      <c r="Q143" s="23" t="n">
        <v>1</v>
      </c>
      <c r="R143" s="24" t="n">
        <f aca="false">Q143*L143</f>
        <v>1.1</v>
      </c>
      <c r="S143" s="24" t="n">
        <f aca="false">J143-R143</f>
        <v>-1.1</v>
      </c>
      <c r="T143" s="24" t="n">
        <f aca="false">MIN(189.6,(T142+S143))</f>
        <v>166.07625</v>
      </c>
      <c r="V143" s="32" t="n">
        <v>477.1</v>
      </c>
      <c r="W143" s="30" t="n">
        <f aca="false">V143/D143</f>
        <v>72.2878787878788</v>
      </c>
      <c r="X143" s="30" t="n">
        <f aca="false">X142+V143</f>
        <v>55038.9</v>
      </c>
      <c r="Y143" s="31" t="n">
        <f aca="false">Y142+V143</f>
        <v>8803</v>
      </c>
      <c r="AA143" s="33" t="n">
        <v>8.14485701503406</v>
      </c>
    </row>
    <row r="144" s="7" customFormat="true" ht="15" hidden="false" customHeight="true" outlineLevel="0" collapsed="false">
      <c r="A144" s="34" t="s">
        <v>47</v>
      </c>
      <c r="B144" s="35"/>
      <c r="C144" s="8" t="n">
        <v>41625</v>
      </c>
      <c r="D144" s="7" t="n">
        <v>6</v>
      </c>
      <c r="E144" s="18" t="n">
        <v>3.7</v>
      </c>
      <c r="F144" s="7" t="n">
        <v>7.4</v>
      </c>
      <c r="G144" s="7" t="n">
        <f aca="false">G143+D144</f>
        <v>1040.5</v>
      </c>
      <c r="H144" s="7" t="n">
        <f aca="false">6</f>
        <v>6</v>
      </c>
      <c r="I144" s="36" t="s">
        <v>28</v>
      </c>
      <c r="J144" s="7" t="n">
        <v>0</v>
      </c>
      <c r="K144" s="7" t="n">
        <f aca="false">K143+J144</f>
        <v>236.4</v>
      </c>
      <c r="L144" s="7" t="n">
        <v>0.6</v>
      </c>
      <c r="M144" s="7" t="n">
        <f aca="false">M143+L144</f>
        <v>116.8</v>
      </c>
      <c r="N144" s="14" t="n">
        <f aca="false">J144-L144</f>
        <v>-0.6</v>
      </c>
      <c r="O144" s="7" t="n">
        <f aca="false">O143+N144</f>
        <v>182.7</v>
      </c>
      <c r="P144" s="7" t="n">
        <v>105</v>
      </c>
      <c r="Q144" s="17" t="n">
        <f aca="false">1+((P144-104)/111)*(1.15-1)</f>
        <v>1.00135135135135</v>
      </c>
      <c r="R144" s="15" t="n">
        <f aca="false">Q144*L144</f>
        <v>0.600810810810811</v>
      </c>
      <c r="S144" s="15" t="n">
        <f aca="false">J144-R144</f>
        <v>-0.600810810810811</v>
      </c>
      <c r="T144" s="15" t="n">
        <f aca="false">MIN(189.6,(T143+S144))</f>
        <v>165.475439189189</v>
      </c>
      <c r="U144" s="36" t="s">
        <v>29</v>
      </c>
      <c r="V144" s="16" t="n">
        <v>154.4</v>
      </c>
      <c r="W144" s="7" t="n">
        <f aca="false">V144/D144</f>
        <v>25.7333333333333</v>
      </c>
      <c r="X144" s="7" t="n">
        <f aca="false">X143+V144</f>
        <v>55193.3</v>
      </c>
      <c r="Y144" s="7" t="n">
        <v>154.4</v>
      </c>
      <c r="Z144" s="36" t="s">
        <v>30</v>
      </c>
      <c r="AA144" s="28" t="n">
        <v>8.13661718215996</v>
      </c>
    </row>
    <row r="145" s="7" customFormat="true" ht="15" hidden="false" customHeight="false" outlineLevel="0" collapsed="false">
      <c r="A145" s="34"/>
      <c r="B145" s="35"/>
      <c r="C145" s="8" t="n">
        <v>41626</v>
      </c>
      <c r="D145" s="7" t="n">
        <v>7.6</v>
      </c>
      <c r="E145" s="7" t="n">
        <v>5.5</v>
      </c>
      <c r="F145" s="7" t="n">
        <v>8.9</v>
      </c>
      <c r="G145" s="7" t="n">
        <f aca="false">G144+D145</f>
        <v>1048.1</v>
      </c>
      <c r="H145" s="7" t="n">
        <f aca="false">H144+D145</f>
        <v>13.6</v>
      </c>
      <c r="I145" s="7" t="n">
        <f aca="false">MIN(E144:E254)</f>
        <v>-1.5</v>
      </c>
      <c r="J145" s="7" t="n">
        <v>7.6</v>
      </c>
      <c r="K145" s="7" t="n">
        <f aca="false">K144+J145</f>
        <v>244</v>
      </c>
      <c r="L145" s="7" t="n">
        <v>0.6</v>
      </c>
      <c r="M145" s="7" t="n">
        <f aca="false">M144+L145</f>
        <v>117.4</v>
      </c>
      <c r="N145" s="7" t="n">
        <f aca="false">J145-L145</f>
        <v>7</v>
      </c>
      <c r="O145" s="7" t="n">
        <v>189.6</v>
      </c>
      <c r="P145" s="7" t="n">
        <v>106</v>
      </c>
      <c r="Q145" s="17" t="n">
        <f aca="false">1+((P145-104)/111)*(1.15-1)</f>
        <v>1.0027027027027</v>
      </c>
      <c r="R145" s="15" t="n">
        <f aca="false">Q145*L145</f>
        <v>0.601621621621622</v>
      </c>
      <c r="S145" s="15" t="n">
        <f aca="false">J145-R145</f>
        <v>6.99837837837838</v>
      </c>
      <c r="T145" s="15" t="n">
        <f aca="false">MIN(189.6,(T144+S145))</f>
        <v>172.473817567568</v>
      </c>
      <c r="V145" s="16" t="n">
        <v>369.7</v>
      </c>
      <c r="W145" s="7" t="n">
        <f aca="false">V145/D145</f>
        <v>48.6447368421053</v>
      </c>
      <c r="X145" s="7" t="n">
        <f aca="false">X144+V145</f>
        <v>55563</v>
      </c>
      <c r="Y145" s="7" t="n">
        <f aca="false">Y144+V145</f>
        <v>524.1</v>
      </c>
      <c r="Z145" s="7" t="n">
        <v>60993.4</v>
      </c>
      <c r="AA145" s="28" t="n">
        <v>8.13001693878818</v>
      </c>
    </row>
    <row r="146" s="7" customFormat="true" ht="15" hidden="false" customHeight="false" outlineLevel="0" collapsed="false">
      <c r="A146" s="34"/>
      <c r="B146" s="35"/>
      <c r="C146" s="8" t="n">
        <v>41627</v>
      </c>
      <c r="D146" s="7" t="n">
        <v>6.9</v>
      </c>
      <c r="E146" s="18" t="n">
        <v>4.4</v>
      </c>
      <c r="F146" s="7" t="n">
        <v>8.7</v>
      </c>
      <c r="G146" s="7" t="n">
        <f aca="false">G145+D146</f>
        <v>1055</v>
      </c>
      <c r="H146" s="7" t="n">
        <f aca="false">H145+D146</f>
        <v>20.5</v>
      </c>
      <c r="I146" s="36" t="s">
        <v>31</v>
      </c>
      <c r="J146" s="7" t="n">
        <v>1.1</v>
      </c>
      <c r="K146" s="7" t="n">
        <f aca="false">K145+J146</f>
        <v>245.1</v>
      </c>
      <c r="L146" s="7" t="n">
        <v>0.5</v>
      </c>
      <c r="M146" s="7" t="n">
        <f aca="false">M145+L146</f>
        <v>117.9</v>
      </c>
      <c r="N146" s="7" t="n">
        <f aca="false">J146-L146</f>
        <v>0.6</v>
      </c>
      <c r="O146" s="7" t="n">
        <v>189.6</v>
      </c>
      <c r="P146" s="7" t="n">
        <v>107</v>
      </c>
      <c r="Q146" s="17" t="n">
        <f aca="false">1+((P146-104)/111)*(1.15-1)</f>
        <v>1.00405405405405</v>
      </c>
      <c r="R146" s="15" t="n">
        <f aca="false">Q146*L146</f>
        <v>0.502027027027027</v>
      </c>
      <c r="S146" s="15" t="n">
        <f aca="false">J146-R146</f>
        <v>0.597972972972973</v>
      </c>
      <c r="T146" s="15" t="n">
        <f aca="false">MIN(189.6,(T145+S146))</f>
        <v>173.071790540541</v>
      </c>
      <c r="U146" s="36" t="s">
        <v>32</v>
      </c>
      <c r="V146" s="16" t="n">
        <v>391.8</v>
      </c>
      <c r="W146" s="7" t="n">
        <f aca="false">V146/D146</f>
        <v>56.7826086956522</v>
      </c>
      <c r="X146" s="7" t="n">
        <f aca="false">X145+V146</f>
        <v>55954.8</v>
      </c>
      <c r="Y146" s="7" t="n">
        <f aca="false">Y145+V146</f>
        <v>915.9</v>
      </c>
      <c r="Z146" s="36" t="s">
        <v>33</v>
      </c>
      <c r="AA146" s="28" t="n">
        <v>8.12506503563669</v>
      </c>
    </row>
    <row r="147" s="7" customFormat="true" ht="15" hidden="false" customHeight="false" outlineLevel="0" collapsed="false">
      <c r="A147" s="34"/>
      <c r="B147" s="27" t="n">
        <v>18</v>
      </c>
      <c r="C147" s="8" t="n">
        <v>41628</v>
      </c>
      <c r="D147" s="18" t="n">
        <v>4.5</v>
      </c>
      <c r="E147" s="18" t="n">
        <v>1.9</v>
      </c>
      <c r="F147" s="7" t="n">
        <v>7.3</v>
      </c>
      <c r="G147" s="7" t="n">
        <f aca="false">G146+D147</f>
        <v>1059.5</v>
      </c>
      <c r="H147" s="7" t="n">
        <f aca="false">H146+D147</f>
        <v>25</v>
      </c>
      <c r="I147" s="7" t="n">
        <f aca="false">MAX(F144:F254)</f>
        <v>20</v>
      </c>
      <c r="J147" s="7" t="n">
        <v>0.2</v>
      </c>
      <c r="K147" s="7" t="n">
        <f aca="false">K146+J147</f>
        <v>245.3</v>
      </c>
      <c r="L147" s="7" t="n">
        <v>0.6</v>
      </c>
      <c r="M147" s="7" t="n">
        <f aca="false">M146+L147</f>
        <v>118.5</v>
      </c>
      <c r="N147" s="14" t="n">
        <f aca="false">J147-L147</f>
        <v>-0.4</v>
      </c>
      <c r="O147" s="7" t="n">
        <f aca="false">O146+N147</f>
        <v>189.2</v>
      </c>
      <c r="P147" s="7" t="n">
        <v>108</v>
      </c>
      <c r="Q147" s="17" t="n">
        <f aca="false">1+((P147-104)/111)*(1.15-1)</f>
        <v>1.00540540540541</v>
      </c>
      <c r="R147" s="15" t="n">
        <f aca="false">Q147*L147</f>
        <v>0.603243243243243</v>
      </c>
      <c r="S147" s="15" t="n">
        <f aca="false">J147-R147</f>
        <v>-0.403243243243243</v>
      </c>
      <c r="T147" s="15" t="n">
        <f aca="false">MIN(189.6,(T146+S147))</f>
        <v>172.668547297297</v>
      </c>
      <c r="V147" s="16" t="n">
        <v>433.5</v>
      </c>
      <c r="W147" s="7" t="n">
        <f aca="false">V147/D147</f>
        <v>96.3333333333333</v>
      </c>
      <c r="X147" s="7" t="n">
        <f aca="false">X146+V147</f>
        <v>56388.3</v>
      </c>
      <c r="Y147" s="7" t="n">
        <f aca="false">Y146+V147</f>
        <v>1349.4</v>
      </c>
      <c r="Z147" s="17" t="n">
        <f aca="false">(Z145/100)/I157</f>
        <v>0.786504190844616</v>
      </c>
      <c r="AA147" s="28" t="n">
        <v>8.12176821846773</v>
      </c>
    </row>
    <row r="148" s="7" customFormat="true" ht="15" hidden="false" customHeight="false" outlineLevel="0" collapsed="false">
      <c r="A148" s="34"/>
      <c r="B148" s="35"/>
      <c r="C148" s="8" t="n">
        <v>41629</v>
      </c>
      <c r="D148" s="7" t="n">
        <v>5.8</v>
      </c>
      <c r="E148" s="18" t="n">
        <v>4.4</v>
      </c>
      <c r="F148" s="7" t="n">
        <v>7.9</v>
      </c>
      <c r="G148" s="7" t="n">
        <f aca="false">G147+D148</f>
        <v>1065.3</v>
      </c>
      <c r="H148" s="7" t="n">
        <f aca="false">H147+D148</f>
        <v>30.8</v>
      </c>
      <c r="I148" s="36" t="s">
        <v>34</v>
      </c>
      <c r="J148" s="7" t="n">
        <v>0.4</v>
      </c>
      <c r="K148" s="7" t="n">
        <f aca="false">K147+J148</f>
        <v>245.7</v>
      </c>
      <c r="L148" s="7" t="n">
        <v>1.1</v>
      </c>
      <c r="M148" s="7" t="n">
        <f aca="false">M147+L148</f>
        <v>119.6</v>
      </c>
      <c r="N148" s="14" t="n">
        <f aca="false">J148-L148</f>
        <v>-0.7</v>
      </c>
      <c r="O148" s="7" t="n">
        <f aca="false">O147+N148</f>
        <v>188.5</v>
      </c>
      <c r="P148" s="7" t="n">
        <v>109</v>
      </c>
      <c r="Q148" s="17" t="n">
        <f aca="false">1+((P148-104)/111)*(1.15-1)</f>
        <v>1.00675675675676</v>
      </c>
      <c r="R148" s="15" t="n">
        <f aca="false">Q148*L148</f>
        <v>1.10743243243243</v>
      </c>
      <c r="S148" s="15" t="n">
        <f aca="false">J148-R148</f>
        <v>-0.707432432432433</v>
      </c>
      <c r="T148" s="15" t="n">
        <f aca="false">MIN(189.6,(T147+S148))</f>
        <v>171.961114864865</v>
      </c>
      <c r="U148" s="36" t="s">
        <v>35</v>
      </c>
      <c r="V148" s="16" t="n">
        <v>181.3</v>
      </c>
      <c r="W148" s="7" t="n">
        <f aca="false">V148/D148</f>
        <v>31.2586206896552</v>
      </c>
      <c r="X148" s="7" t="n">
        <f aca="false">X147+V148</f>
        <v>56569.6</v>
      </c>
      <c r="Y148" s="7" t="n">
        <f aca="false">Y147+V148</f>
        <v>1530.7</v>
      </c>
      <c r="Z148" s="36" t="s">
        <v>36</v>
      </c>
      <c r="AA148" s="28" t="n">
        <v>8.12013119739199</v>
      </c>
    </row>
    <row r="149" s="7" customFormat="true" ht="15" hidden="false" customHeight="false" outlineLevel="0" collapsed="false">
      <c r="A149" s="34"/>
      <c r="B149" s="35"/>
      <c r="C149" s="8" t="n">
        <v>41630</v>
      </c>
      <c r="D149" s="37" t="n">
        <v>7.9</v>
      </c>
      <c r="E149" s="37" t="n">
        <v>5.9</v>
      </c>
      <c r="F149" s="37" t="n">
        <v>9.4</v>
      </c>
      <c r="G149" s="37" t="n">
        <f aca="false">G148+D149</f>
        <v>1073.2</v>
      </c>
      <c r="H149" s="7" t="n">
        <f aca="false">H148+D149</f>
        <v>38.7</v>
      </c>
      <c r="I149" s="15" t="n">
        <f aca="false">AVERAGE(D144:D254)</f>
        <v>6.98648648648649</v>
      </c>
      <c r="J149" s="37" t="n">
        <v>2.5</v>
      </c>
      <c r="K149" s="37" t="n">
        <f aca="false">K148+J149</f>
        <v>248.2</v>
      </c>
      <c r="L149" s="37" t="n">
        <v>0.4</v>
      </c>
      <c r="M149" s="37" t="n">
        <f aca="false">M148+L149</f>
        <v>120</v>
      </c>
      <c r="N149" s="37" t="n">
        <f aca="false">J149-L149</f>
        <v>2.1</v>
      </c>
      <c r="O149" s="7" t="n">
        <v>189.6</v>
      </c>
      <c r="P149" s="7" t="n">
        <v>110</v>
      </c>
      <c r="Q149" s="17" t="n">
        <f aca="false">1+((P149-104)/111)*(1.15-1)</f>
        <v>1.00810810810811</v>
      </c>
      <c r="R149" s="15" t="n">
        <f aca="false">Q149*L149</f>
        <v>0.403243243243243</v>
      </c>
      <c r="S149" s="15" t="n">
        <f aca="false">J149-R149</f>
        <v>2.09675675675676</v>
      </c>
      <c r="T149" s="15" t="n">
        <f aca="false">MIN(189.6,(T148+S149))</f>
        <v>174.057871621622</v>
      </c>
      <c r="U149" s="7" t="n">
        <v>0</v>
      </c>
      <c r="V149" s="16" t="n">
        <v>191.4</v>
      </c>
      <c r="W149" s="7" t="n">
        <f aca="false">V149/D149</f>
        <v>24.2278481012658</v>
      </c>
      <c r="X149" s="7" t="n">
        <f aca="false">X148+V149</f>
        <v>56761</v>
      </c>
      <c r="Y149" s="7" t="n">
        <f aca="false">Y148+V149</f>
        <v>1722.1</v>
      </c>
      <c r="Z149" s="7" t="n">
        <v>85</v>
      </c>
      <c r="AA149" s="28" t="n">
        <v>8.12015662532492</v>
      </c>
    </row>
    <row r="150" s="7" customFormat="true" ht="15" hidden="false" customHeight="false" outlineLevel="0" collapsed="false">
      <c r="A150" s="34"/>
      <c r="B150" s="35"/>
      <c r="C150" s="8" t="n">
        <v>41631</v>
      </c>
      <c r="D150" s="7" t="n">
        <v>8.7</v>
      </c>
      <c r="E150" s="7" t="n">
        <v>5.4</v>
      </c>
      <c r="F150" s="7" t="n">
        <v>11.1</v>
      </c>
      <c r="G150" s="7" t="n">
        <f aca="false">G149+D150</f>
        <v>1081.9</v>
      </c>
      <c r="H150" s="7" t="n">
        <f aca="false">H149+D150</f>
        <v>47.4</v>
      </c>
      <c r="I150" s="36" t="s">
        <v>37</v>
      </c>
      <c r="J150" s="7" t="n">
        <v>0.9</v>
      </c>
      <c r="K150" s="7" t="n">
        <f aca="false">K149+J150</f>
        <v>249.1</v>
      </c>
      <c r="L150" s="7" t="n">
        <v>1</v>
      </c>
      <c r="M150" s="7" t="n">
        <f aca="false">M149+L150</f>
        <v>121</v>
      </c>
      <c r="N150" s="14" t="n">
        <f aca="false">J150-L150</f>
        <v>-0.1</v>
      </c>
      <c r="O150" s="7" t="n">
        <f aca="false">O149+N150</f>
        <v>189.5</v>
      </c>
      <c r="P150" s="7" t="n">
        <v>111</v>
      </c>
      <c r="Q150" s="17" t="n">
        <f aca="false">1+((P150-104)/111)*(1.15-1)</f>
        <v>1.00945945945946</v>
      </c>
      <c r="R150" s="15" t="n">
        <f aca="false">Q150*L150</f>
        <v>1.00945945945946</v>
      </c>
      <c r="S150" s="15" t="n">
        <f aca="false">J150-R150</f>
        <v>-0.109459459459459</v>
      </c>
      <c r="T150" s="15" t="n">
        <f aca="false">MIN(189.6,(T149+S150))</f>
        <v>173.948412162162</v>
      </c>
      <c r="U150" s="36" t="s">
        <v>38</v>
      </c>
      <c r="V150" s="16" t="n">
        <v>74.9</v>
      </c>
      <c r="W150" s="7" t="n">
        <f aca="false">V150/D150</f>
        <v>8.60919540229885</v>
      </c>
      <c r="X150" s="7" t="n">
        <f aca="false">X149+V150</f>
        <v>56835.9</v>
      </c>
      <c r="Y150" s="7" t="n">
        <f aca="false">Y149+V150</f>
        <v>1797</v>
      </c>
      <c r="AA150" s="28" t="n">
        <v>8.12184508580092</v>
      </c>
    </row>
    <row r="151" s="7" customFormat="true" ht="15" hidden="false" customHeight="false" outlineLevel="0" collapsed="false">
      <c r="A151" s="34"/>
      <c r="B151" s="35"/>
      <c r="C151" s="8" t="n">
        <v>41632</v>
      </c>
      <c r="D151" s="7" t="n">
        <v>9.7</v>
      </c>
      <c r="E151" s="7" t="n">
        <v>7.8</v>
      </c>
      <c r="F151" s="7" t="n">
        <v>10.6</v>
      </c>
      <c r="G151" s="7" t="n">
        <f aca="false">G150+D151</f>
        <v>1091.6</v>
      </c>
      <c r="H151" s="7" t="n">
        <f aca="false">H150+D151</f>
        <v>57.1</v>
      </c>
      <c r="I151" s="7" t="n">
        <v>5</v>
      </c>
      <c r="J151" s="7" t="n">
        <v>14.6</v>
      </c>
      <c r="K151" s="7" t="n">
        <f aca="false">K150+J151</f>
        <v>263.7</v>
      </c>
      <c r="L151" s="7" t="n">
        <v>1.2</v>
      </c>
      <c r="M151" s="7" t="n">
        <f aca="false">M150+L151</f>
        <v>122.2</v>
      </c>
      <c r="N151" s="7" t="n">
        <f aca="false">J151-L151</f>
        <v>13.4</v>
      </c>
      <c r="O151" s="7" t="n">
        <v>189.6</v>
      </c>
      <c r="P151" s="7" t="n">
        <v>112</v>
      </c>
      <c r="Q151" s="17" t="n">
        <f aca="false">1+((P151-104)/111)*(1.15-1)</f>
        <v>1.01081081081081</v>
      </c>
      <c r="R151" s="15" t="n">
        <f aca="false">Q151*L151</f>
        <v>1.21297297297297</v>
      </c>
      <c r="S151" s="15" t="n">
        <f aca="false">J151-R151</f>
        <v>13.387027027027</v>
      </c>
      <c r="T151" s="15" t="n">
        <f aca="false">MIN(189.6,(T150+S151))</f>
        <v>187.335439189189</v>
      </c>
      <c r="U151" s="7" t="n">
        <v>0</v>
      </c>
      <c r="V151" s="16" t="n">
        <v>75</v>
      </c>
      <c r="W151" s="7" t="n">
        <f aca="false">V151/D151</f>
        <v>7.7319587628866</v>
      </c>
      <c r="X151" s="7" t="n">
        <f aca="false">X150+V151</f>
        <v>56910.9</v>
      </c>
      <c r="Y151" s="7" t="n">
        <f aca="false">Y150+V151</f>
        <v>1872</v>
      </c>
      <c r="AA151" s="28" t="n">
        <v>8.12519509026255</v>
      </c>
    </row>
    <row r="152" s="7" customFormat="true" ht="15" hidden="false" customHeight="false" outlineLevel="0" collapsed="false">
      <c r="A152" s="34"/>
      <c r="B152" s="35"/>
      <c r="C152" s="8" t="n">
        <v>41633</v>
      </c>
      <c r="D152" s="7" t="n">
        <v>6.6</v>
      </c>
      <c r="E152" s="7" t="n">
        <v>5.9</v>
      </c>
      <c r="F152" s="7" t="n">
        <v>8.1</v>
      </c>
      <c r="G152" s="7" t="n">
        <f aca="false">G151+D152</f>
        <v>1098.2</v>
      </c>
      <c r="H152" s="7" t="n">
        <f aca="false">H151+D152</f>
        <v>63.7</v>
      </c>
      <c r="I152" s="36" t="s">
        <v>39</v>
      </c>
      <c r="J152" s="7" t="n">
        <v>3.7</v>
      </c>
      <c r="K152" s="7" t="n">
        <f aca="false">K151+J152</f>
        <v>267.4</v>
      </c>
      <c r="L152" s="7" t="n">
        <v>0.6</v>
      </c>
      <c r="M152" s="7" t="n">
        <f aca="false">M151+L152</f>
        <v>122.8</v>
      </c>
      <c r="N152" s="7" t="n">
        <f aca="false">J152-L152</f>
        <v>3.1</v>
      </c>
      <c r="O152" s="7" t="n">
        <v>189.6</v>
      </c>
      <c r="P152" s="7" t="n">
        <v>113</v>
      </c>
      <c r="Q152" s="17" t="n">
        <f aca="false">1+((P152-104)/111)*(1.15-1)</f>
        <v>1.01216216216216</v>
      </c>
      <c r="R152" s="15" t="n">
        <f aca="false">Q152*L152</f>
        <v>0.607297297297297</v>
      </c>
      <c r="S152" s="15" t="n">
        <f aca="false">J152-R152</f>
        <v>3.0927027027027</v>
      </c>
      <c r="T152" s="15" t="n">
        <f aca="false">MIN(189.6,(T151+S152))</f>
        <v>189.6</v>
      </c>
      <c r="U152" s="36" t="s">
        <v>40</v>
      </c>
      <c r="V152" s="16" t="n">
        <v>345.5</v>
      </c>
      <c r="W152" s="7" t="n">
        <f aca="false">V152/D152</f>
        <v>52.3484848484849</v>
      </c>
      <c r="X152" s="7" t="n">
        <f aca="false">X151+V152</f>
        <v>57256.4</v>
      </c>
      <c r="Y152" s="7" t="n">
        <f aca="false">Y151+V152</f>
        <v>2217.5</v>
      </c>
      <c r="AA152" s="28" t="n">
        <v>8.13020308485049</v>
      </c>
    </row>
    <row r="153" s="7" customFormat="true" ht="15" hidden="false" customHeight="false" outlineLevel="0" collapsed="false">
      <c r="A153" s="34"/>
      <c r="B153" s="35"/>
      <c r="C153" s="8" t="n">
        <v>41634</v>
      </c>
      <c r="D153" s="7" t="n">
        <v>5.5</v>
      </c>
      <c r="E153" s="18" t="n">
        <v>4.2</v>
      </c>
      <c r="F153" s="7" t="n">
        <v>7.7</v>
      </c>
      <c r="G153" s="7" t="n">
        <f aca="false">G152+D153</f>
        <v>1103.7</v>
      </c>
      <c r="H153" s="7" t="n">
        <f aca="false">H152+D153</f>
        <v>69.2</v>
      </c>
      <c r="I153" s="7" t="n">
        <v>0</v>
      </c>
      <c r="J153" s="7" t="n">
        <v>1</v>
      </c>
      <c r="K153" s="7" t="n">
        <f aca="false">K152+J153</f>
        <v>268.4</v>
      </c>
      <c r="L153" s="7" t="n">
        <v>0.7</v>
      </c>
      <c r="M153" s="7" t="n">
        <f aca="false">M152+L153</f>
        <v>123.5</v>
      </c>
      <c r="N153" s="7" t="n">
        <f aca="false">J153-L153</f>
        <v>0.3</v>
      </c>
      <c r="O153" s="7" t="n">
        <v>189.6</v>
      </c>
      <c r="P153" s="7" t="n">
        <v>114</v>
      </c>
      <c r="Q153" s="17" t="n">
        <f aca="false">1+((P153-104)/111)*(1.15-1)</f>
        <v>1.01351351351351</v>
      </c>
      <c r="R153" s="15" t="n">
        <f aca="false">Q153*L153</f>
        <v>0.709459459459459</v>
      </c>
      <c r="S153" s="15" t="n">
        <f aca="false">J153-R153</f>
        <v>0.290540540540541</v>
      </c>
      <c r="T153" s="15" t="n">
        <f aca="false">MIN(189.6,(T152+S153))</f>
        <v>189.6</v>
      </c>
      <c r="U153" s="15" t="n">
        <f aca="false">MIN(T144:T254)</f>
        <v>135.075</v>
      </c>
      <c r="V153" s="16" t="n">
        <v>434.8</v>
      </c>
      <c r="W153" s="7" t="n">
        <f aca="false">V153/D153</f>
        <v>79.0545454545455</v>
      </c>
      <c r="X153" s="7" t="n">
        <f aca="false">X152+V153</f>
        <v>57691.2</v>
      </c>
      <c r="Y153" s="7" t="n">
        <f aca="false">Y152+V153</f>
        <v>2652.3</v>
      </c>
      <c r="AA153" s="28" t="n">
        <v>8.13686346662892</v>
      </c>
    </row>
    <row r="154" s="7" customFormat="true" ht="15" hidden="false" customHeight="false" outlineLevel="0" collapsed="false">
      <c r="A154" s="34"/>
      <c r="B154" s="35"/>
      <c r="C154" s="8" t="n">
        <v>41635</v>
      </c>
      <c r="D154" s="7" t="n">
        <v>8.5</v>
      </c>
      <c r="E154" s="18" t="n">
        <v>4.5</v>
      </c>
      <c r="F154" s="7" t="n">
        <v>10.3</v>
      </c>
      <c r="G154" s="7" t="n">
        <f aca="false">G153+D154</f>
        <v>1112.2</v>
      </c>
      <c r="H154" s="7" t="n">
        <f aca="false">H153+D154</f>
        <v>77.7</v>
      </c>
      <c r="I154" s="36" t="s">
        <v>41</v>
      </c>
      <c r="J154" s="7" t="n">
        <v>24.8</v>
      </c>
      <c r="K154" s="7" t="n">
        <f aca="false">K153+J154</f>
        <v>293.2</v>
      </c>
      <c r="L154" s="7" t="n">
        <v>0.1</v>
      </c>
      <c r="M154" s="7" t="n">
        <f aca="false">M153+L154</f>
        <v>123.6</v>
      </c>
      <c r="N154" s="7" t="n">
        <f aca="false">J154-L154</f>
        <v>24.7</v>
      </c>
      <c r="O154" s="7" t="n">
        <v>189.6</v>
      </c>
      <c r="P154" s="7" t="n">
        <v>115</v>
      </c>
      <c r="Q154" s="17" t="n">
        <f aca="false">1+((P154-104)/111)*(1.15-1)</f>
        <v>1.01486486486486</v>
      </c>
      <c r="R154" s="15" t="n">
        <f aca="false">Q154*L154</f>
        <v>0.101486486486486</v>
      </c>
      <c r="S154" s="15" t="n">
        <f aca="false">J154-R154</f>
        <v>24.6985135135135</v>
      </c>
      <c r="T154" s="15" t="n">
        <f aca="false">MIN(189.6,(T153+S154))</f>
        <v>189.6</v>
      </c>
      <c r="U154" s="36" t="s">
        <v>42</v>
      </c>
      <c r="V154" s="16" t="n">
        <v>65.9</v>
      </c>
      <c r="W154" s="7" t="n">
        <f aca="false">V154/D154</f>
        <v>7.75294117647059</v>
      </c>
      <c r="X154" s="7" t="n">
        <f aca="false">X153+V154</f>
        <v>57757.1</v>
      </c>
      <c r="Y154" s="7" t="n">
        <f aca="false">Y153+V154</f>
        <v>2718.2</v>
      </c>
      <c r="AA154" s="28" t="n">
        <v>8.14516860909032</v>
      </c>
    </row>
    <row r="155" s="7" customFormat="true" ht="15" hidden="false" customHeight="false" outlineLevel="0" collapsed="false">
      <c r="A155" s="34"/>
      <c r="B155" s="35"/>
      <c r="C155" s="8" t="n">
        <v>41636</v>
      </c>
      <c r="D155" s="7" t="n">
        <v>6.8</v>
      </c>
      <c r="E155" s="7" t="n">
        <v>6.1</v>
      </c>
      <c r="F155" s="7" t="n">
        <v>8.9</v>
      </c>
      <c r="G155" s="7" t="n">
        <f aca="false">G154+D155</f>
        <v>1119</v>
      </c>
      <c r="H155" s="7" t="n">
        <f aca="false">H154+D155</f>
        <v>84.5</v>
      </c>
      <c r="I155" s="7" t="n">
        <v>65</v>
      </c>
      <c r="J155" s="7" t="n">
        <v>0.8</v>
      </c>
      <c r="K155" s="7" t="n">
        <f aca="false">K154+J155</f>
        <v>294</v>
      </c>
      <c r="L155" s="7" t="n">
        <v>0.6</v>
      </c>
      <c r="M155" s="7" t="n">
        <f aca="false">M154+L155</f>
        <v>124.2</v>
      </c>
      <c r="N155" s="7" t="n">
        <f aca="false">J155-L155</f>
        <v>0.2</v>
      </c>
      <c r="O155" s="7" t="n">
        <v>189.6</v>
      </c>
      <c r="P155" s="7" t="n">
        <v>116</v>
      </c>
      <c r="Q155" s="17" t="n">
        <f aca="false">1+((P155-104)/111)*(1.15-1)</f>
        <v>1.01621621621622</v>
      </c>
      <c r="R155" s="15" t="n">
        <f aca="false">Q155*L155</f>
        <v>0.60972972972973</v>
      </c>
      <c r="S155" s="15" t="n">
        <f aca="false">J155-R155</f>
        <v>0.19027027027027</v>
      </c>
      <c r="T155" s="15" t="n">
        <f aca="false">MIN(189.6,(T154+S155))</f>
        <v>189.6</v>
      </c>
      <c r="U155" s="15" t="n">
        <f aca="false">MAX(T144:T254)</f>
        <v>189.6</v>
      </c>
      <c r="V155" s="16" t="n">
        <v>243.6</v>
      </c>
      <c r="W155" s="7" t="n">
        <f aca="false">V155/D155</f>
        <v>35.8235294117647</v>
      </c>
      <c r="X155" s="7" t="n">
        <f aca="false">X154+V155</f>
        <v>58000.7</v>
      </c>
      <c r="Y155" s="7" t="n">
        <f aca="false">Y154+V155</f>
        <v>2961.8</v>
      </c>
      <c r="AA155" s="28" t="n">
        <v>8.15510889669624</v>
      </c>
    </row>
    <row r="156" s="7" customFormat="true" ht="15" hidden="false" customHeight="false" outlineLevel="0" collapsed="false">
      <c r="A156" s="34"/>
      <c r="B156" s="27" t="n">
        <v>19</v>
      </c>
      <c r="C156" s="8" t="n">
        <v>41637</v>
      </c>
      <c r="D156" s="18" t="n">
        <v>4.5</v>
      </c>
      <c r="E156" s="18" t="n">
        <v>3.8</v>
      </c>
      <c r="F156" s="7" t="n">
        <v>6.7</v>
      </c>
      <c r="G156" s="7" t="n">
        <f aca="false">G155+D156</f>
        <v>1123.5</v>
      </c>
      <c r="H156" s="7" t="n">
        <f aca="false">H155+D156</f>
        <v>89</v>
      </c>
      <c r="I156" s="36" t="s">
        <v>43</v>
      </c>
      <c r="J156" s="7" t="n">
        <v>0.6</v>
      </c>
      <c r="K156" s="7" t="n">
        <f aca="false">K155+J156</f>
        <v>294.6</v>
      </c>
      <c r="L156" s="7" t="n">
        <v>0.7</v>
      </c>
      <c r="M156" s="7" t="n">
        <f aca="false">M155+L156</f>
        <v>124.9</v>
      </c>
      <c r="N156" s="14" t="n">
        <f aca="false">J156-L156</f>
        <v>-0.1</v>
      </c>
      <c r="O156" s="7" t="n">
        <f aca="false">O155+N156</f>
        <v>189.5</v>
      </c>
      <c r="P156" s="7" t="n">
        <v>117</v>
      </c>
      <c r="Q156" s="17" t="n">
        <f aca="false">1+((P156-104)/111)*(1.15-1)</f>
        <v>1.01756756756757</v>
      </c>
      <c r="R156" s="15" t="n">
        <f aca="false">Q156*L156</f>
        <v>0.712297297297297</v>
      </c>
      <c r="S156" s="15" t="n">
        <f aca="false">J156-R156</f>
        <v>-0.112297297297297</v>
      </c>
      <c r="T156" s="15" t="n">
        <f aca="false">MIN(189.6,(T155+S156))</f>
        <v>189.487702702703</v>
      </c>
      <c r="U156" s="36" t="s">
        <v>44</v>
      </c>
      <c r="V156" s="16" t="n">
        <v>412.8</v>
      </c>
      <c r="W156" s="7" t="n">
        <f aca="false">V156/D156</f>
        <v>91.7333333333333</v>
      </c>
      <c r="X156" s="7" t="n">
        <f aca="false">X155+V156</f>
        <v>58413.5</v>
      </c>
      <c r="Y156" s="7" t="n">
        <f aca="false">Y155+V156</f>
        <v>3374.6</v>
      </c>
      <c r="AA156" s="28" t="n">
        <v>8.16667276812664</v>
      </c>
    </row>
    <row r="157" s="7" customFormat="true" ht="15" hidden="false" customHeight="false" outlineLevel="0" collapsed="false">
      <c r="A157" s="34"/>
      <c r="B157" s="27" t="n">
        <v>20</v>
      </c>
      <c r="C157" s="8" t="n">
        <v>41638</v>
      </c>
      <c r="D157" s="18" t="n">
        <v>4.8</v>
      </c>
      <c r="E157" s="18" t="n">
        <v>2.3</v>
      </c>
      <c r="F157" s="7" t="n">
        <v>6.2</v>
      </c>
      <c r="G157" s="7" t="n">
        <f aca="false">G156+D157</f>
        <v>1128.3</v>
      </c>
      <c r="H157" s="7" t="n">
        <f aca="false">H156+D157</f>
        <v>93.8</v>
      </c>
      <c r="I157" s="7" t="n">
        <v>775.5</v>
      </c>
      <c r="J157" s="7" t="n">
        <v>2.4</v>
      </c>
      <c r="K157" s="7" t="n">
        <f aca="false">K156+J157</f>
        <v>297</v>
      </c>
      <c r="L157" s="7" t="n">
        <v>0.3</v>
      </c>
      <c r="M157" s="7" t="n">
        <f aca="false">M156+L157</f>
        <v>125.2</v>
      </c>
      <c r="N157" s="7" t="n">
        <f aca="false">J157-L157</f>
        <v>2.1</v>
      </c>
      <c r="O157" s="7" t="n">
        <v>189.6</v>
      </c>
      <c r="P157" s="7" t="n">
        <v>118</v>
      </c>
      <c r="Q157" s="17" t="n">
        <f aca="false">1+((P157-104)/111)*(1.15-1)</f>
        <v>1.01891891891892</v>
      </c>
      <c r="R157" s="15" t="n">
        <f aca="false">Q157*L157</f>
        <v>0.305675675675676</v>
      </c>
      <c r="S157" s="15" t="n">
        <f aca="false">J157-R157</f>
        <v>2.09432432432432</v>
      </c>
      <c r="T157" s="15" t="n">
        <f aca="false">MIN(189.6,(T156+S157))</f>
        <v>189.6</v>
      </c>
      <c r="U157" s="17" t="n">
        <f aca="false">AVERAGE(T144:T254)</f>
        <v>179.650286096908</v>
      </c>
      <c r="V157" s="16" t="n">
        <v>135.8</v>
      </c>
      <c r="W157" s="7" t="n">
        <f aca="false">V157/D157</f>
        <v>28.2916666666667</v>
      </c>
      <c r="X157" s="7" t="n">
        <f aca="false">X156+V157</f>
        <v>58549.3</v>
      </c>
      <c r="Y157" s="7" t="n">
        <f aca="false">Y156+V157</f>
        <v>3510.4</v>
      </c>
      <c r="AA157" s="28" t="n">
        <v>8.17984676783238</v>
      </c>
    </row>
    <row r="158" s="7" customFormat="true" ht="15" hidden="false" customHeight="false" outlineLevel="0" collapsed="false">
      <c r="A158" s="34"/>
      <c r="B158" s="35"/>
      <c r="C158" s="8" t="n">
        <v>41639</v>
      </c>
      <c r="D158" s="7" t="n">
        <v>6.4</v>
      </c>
      <c r="E158" s="7" t="n">
        <v>5.7</v>
      </c>
      <c r="F158" s="7" t="n">
        <v>6.9</v>
      </c>
      <c r="G158" s="7" t="n">
        <f aca="false">G157+D158</f>
        <v>1134.7</v>
      </c>
      <c r="H158" s="7" t="n">
        <f aca="false">H157+D158</f>
        <v>100.2</v>
      </c>
      <c r="J158" s="7" t="n">
        <v>2.6</v>
      </c>
      <c r="K158" s="7" t="n">
        <f aca="false">K157+J158</f>
        <v>299.6</v>
      </c>
      <c r="L158" s="7" t="n">
        <v>0.7</v>
      </c>
      <c r="M158" s="7" t="n">
        <f aca="false">M157+L158</f>
        <v>125.9</v>
      </c>
      <c r="N158" s="7" t="n">
        <f aca="false">J158-L158</f>
        <v>1.9</v>
      </c>
      <c r="O158" s="7" t="n">
        <v>189.6</v>
      </c>
      <c r="P158" s="7" t="n">
        <v>119</v>
      </c>
      <c r="Q158" s="17" t="n">
        <f aca="false">1+((P158-104)/111)*(1.15-1)</f>
        <v>1.02027027027027</v>
      </c>
      <c r="R158" s="15" t="n">
        <f aca="false">Q158*L158</f>
        <v>0.714189189189189</v>
      </c>
      <c r="S158" s="15" t="n">
        <f aca="false">J158-R158</f>
        <v>1.88581081081081</v>
      </c>
      <c r="T158" s="15" t="n">
        <f aca="false">MIN(189.6,(T157+S158))</f>
        <v>189.6</v>
      </c>
      <c r="V158" s="16" t="n">
        <v>179.4</v>
      </c>
      <c r="W158" s="7" t="n">
        <f aca="false">V158/D158</f>
        <v>28.03125</v>
      </c>
      <c r="X158" s="7" t="n">
        <f aca="false">X157+V158</f>
        <v>58728.7</v>
      </c>
      <c r="Y158" s="7" t="n">
        <f aca="false">Y157+V158</f>
        <v>3689.8</v>
      </c>
      <c r="AA158" s="28" t="n">
        <v>8.19937833706376</v>
      </c>
    </row>
    <row r="159" s="7" customFormat="true" ht="15" hidden="false" customHeight="false" outlineLevel="0" collapsed="false">
      <c r="A159" s="34"/>
      <c r="B159" s="35"/>
      <c r="C159" s="8" t="n">
        <v>41640</v>
      </c>
      <c r="D159" s="7" t="n">
        <v>7.7</v>
      </c>
      <c r="E159" s="7" t="n">
        <v>5.1</v>
      </c>
      <c r="F159" s="7" t="n">
        <v>9.9</v>
      </c>
      <c r="G159" s="7" t="n">
        <f aca="false">G158+D159</f>
        <v>1142.4</v>
      </c>
      <c r="H159" s="7" t="n">
        <f aca="false">H158+D159</f>
        <v>107.9</v>
      </c>
      <c r="J159" s="7" t="n">
        <v>7.1</v>
      </c>
      <c r="K159" s="7" t="n">
        <f aca="false">K158+J159</f>
        <v>306.7</v>
      </c>
      <c r="L159" s="7" t="n">
        <v>0.7</v>
      </c>
      <c r="M159" s="7" t="n">
        <f aca="false">M158+L159</f>
        <v>126.6</v>
      </c>
      <c r="N159" s="7" t="n">
        <f aca="false">J159-L159</f>
        <v>6.4</v>
      </c>
      <c r="O159" s="7" t="n">
        <v>189.6</v>
      </c>
      <c r="P159" s="7" t="n">
        <v>120</v>
      </c>
      <c r="Q159" s="17" t="n">
        <f aca="false">1+((P159-104)/111)*(1.15-1)</f>
        <v>1.02162162162162</v>
      </c>
      <c r="R159" s="15" t="n">
        <f aca="false">Q159*L159</f>
        <v>0.715135135135135</v>
      </c>
      <c r="S159" s="15" t="n">
        <f aca="false">J159-R159</f>
        <v>6.38486486486486</v>
      </c>
      <c r="T159" s="15" t="n">
        <f aca="false">MIN(189.6,(T158+S159))</f>
        <v>189.6</v>
      </c>
      <c r="U159" s="15" t="n">
        <f aca="false">(U157*100)/189.6</f>
        <v>94.7522605996349</v>
      </c>
      <c r="V159" s="16" t="n">
        <v>103.7</v>
      </c>
      <c r="W159" s="7" t="n">
        <f aca="false">V159/D159</f>
        <v>13.4675324675325</v>
      </c>
      <c r="X159" s="7" t="n">
        <f aca="false">X158+V159</f>
        <v>58832.4</v>
      </c>
      <c r="Y159" s="7" t="n">
        <f aca="false">Y158+V159</f>
        <v>3793.5</v>
      </c>
      <c r="AA159" s="28" t="n">
        <v>8.21619700554713</v>
      </c>
    </row>
    <row r="160" s="7" customFormat="true" ht="15" hidden="false" customHeight="false" outlineLevel="0" collapsed="false">
      <c r="A160" s="34"/>
      <c r="B160" s="35"/>
      <c r="C160" s="8" t="n">
        <v>41641</v>
      </c>
      <c r="D160" s="7" t="n">
        <v>8.8</v>
      </c>
      <c r="E160" s="7" t="n">
        <v>7</v>
      </c>
      <c r="F160" s="7" t="n">
        <v>10.1</v>
      </c>
      <c r="G160" s="7" t="n">
        <f aca="false">G159+D160</f>
        <v>1151.2</v>
      </c>
      <c r="H160" s="7" t="n">
        <f aca="false">H159+D160</f>
        <v>116.7</v>
      </c>
      <c r="J160" s="7" t="n">
        <v>0</v>
      </c>
      <c r="K160" s="7" t="n">
        <f aca="false">K159+J160</f>
        <v>306.7</v>
      </c>
      <c r="L160" s="7" t="n">
        <v>0.8</v>
      </c>
      <c r="M160" s="7" t="n">
        <f aca="false">M159+L160</f>
        <v>127.4</v>
      </c>
      <c r="N160" s="14" t="n">
        <f aca="false">J160-L160</f>
        <v>-0.8</v>
      </c>
      <c r="O160" s="7" t="n">
        <f aca="false">O159+N160</f>
        <v>188.8</v>
      </c>
      <c r="P160" s="7" t="n">
        <v>121</v>
      </c>
      <c r="Q160" s="17" t="n">
        <f aca="false">1+((P160-104)/111)*(1.15-1)</f>
        <v>1.02297297297297</v>
      </c>
      <c r="R160" s="15" t="n">
        <f aca="false">Q160*L160</f>
        <v>0.818378378378378</v>
      </c>
      <c r="S160" s="15" t="n">
        <f aca="false">J160-R160</f>
        <v>-0.818378378378378</v>
      </c>
      <c r="T160" s="15" t="n">
        <f aca="false">MIN(189.6,(T159+S160))</f>
        <v>188.781621621622</v>
      </c>
      <c r="V160" s="16" t="n">
        <v>283.7</v>
      </c>
      <c r="W160" s="7" t="n">
        <f aca="false">V160/D160</f>
        <v>32.2386363636364</v>
      </c>
      <c r="X160" s="7" t="n">
        <f aca="false">X159+V160</f>
        <v>59116.1</v>
      </c>
      <c r="Y160" s="7" t="n">
        <f aca="false">Y159+V160</f>
        <v>4077.2</v>
      </c>
      <c r="AA160" s="28" t="n">
        <v>8.23456872557595</v>
      </c>
    </row>
    <row r="161" s="7" customFormat="true" ht="15" hidden="false" customHeight="true" outlineLevel="0" collapsed="false">
      <c r="A161" s="34"/>
      <c r="B161" s="35"/>
      <c r="C161" s="8" t="n">
        <v>41642</v>
      </c>
      <c r="D161" s="7" t="n">
        <v>9.5</v>
      </c>
      <c r="E161" s="7" t="n">
        <v>7.3</v>
      </c>
      <c r="F161" s="7" t="n">
        <v>12.3</v>
      </c>
      <c r="G161" s="7" t="n">
        <f aca="false">G160+D161</f>
        <v>1160.7</v>
      </c>
      <c r="H161" s="7" t="n">
        <f aca="false">H160+D161</f>
        <v>126.2</v>
      </c>
      <c r="J161" s="7" t="n">
        <v>1.6</v>
      </c>
      <c r="K161" s="7" t="n">
        <f aca="false">K160+J161</f>
        <v>308.3</v>
      </c>
      <c r="L161" s="7" t="n">
        <v>1.3</v>
      </c>
      <c r="M161" s="7" t="n">
        <f aca="false">M160+L161</f>
        <v>128.7</v>
      </c>
      <c r="N161" s="7" t="n">
        <f aca="false">J161-L161</f>
        <v>0.3</v>
      </c>
      <c r="O161" s="7" t="n">
        <f aca="false">O160+N161</f>
        <v>189.1</v>
      </c>
      <c r="P161" s="7" t="n">
        <v>122</v>
      </c>
      <c r="Q161" s="17" t="n">
        <f aca="false">1+((P161-104)/111)*(1.15-1)</f>
        <v>1.02432432432432</v>
      </c>
      <c r="R161" s="15" t="n">
        <f aca="false">Q161*L161</f>
        <v>1.33162162162162</v>
      </c>
      <c r="S161" s="15" t="n">
        <f aca="false">J161-R161</f>
        <v>0.268378378378378</v>
      </c>
      <c r="T161" s="15" t="n">
        <f aca="false">MIN(189.6,(T160+S161))</f>
        <v>189.05</v>
      </c>
      <c r="V161" s="16" t="n">
        <v>230.3</v>
      </c>
      <c r="W161" s="7" t="n">
        <f aca="false">V161/D161</f>
        <v>24.2421052631579</v>
      </c>
      <c r="X161" s="7" t="n">
        <f aca="false">X160+V161</f>
        <v>59346.4</v>
      </c>
      <c r="Y161" s="7" t="n">
        <f aca="false">Y160+V161</f>
        <v>4307.5</v>
      </c>
      <c r="AA161" s="28" t="n">
        <v>8.25447265766023</v>
      </c>
    </row>
    <row r="162" s="7" customFormat="true" ht="15" hidden="false" customHeight="false" outlineLevel="0" collapsed="false">
      <c r="A162" s="34"/>
      <c r="B162" s="35"/>
      <c r="C162" s="8" t="n">
        <v>41643</v>
      </c>
      <c r="D162" s="7" t="n">
        <v>7.9</v>
      </c>
      <c r="E162" s="7" t="n">
        <v>6.8</v>
      </c>
      <c r="F162" s="7" t="n">
        <v>10.5</v>
      </c>
      <c r="G162" s="7" t="n">
        <f aca="false">G161+D162</f>
        <v>1168.6</v>
      </c>
      <c r="H162" s="7" t="n">
        <f aca="false">H161+D162</f>
        <v>134.1</v>
      </c>
      <c r="J162" s="7" t="n">
        <v>2.4</v>
      </c>
      <c r="K162" s="7" t="n">
        <f aca="false">K161+J162</f>
        <v>310.7</v>
      </c>
      <c r="L162" s="7" t="n">
        <v>1.1</v>
      </c>
      <c r="M162" s="7" t="n">
        <f aca="false">M161+L162</f>
        <v>129.8</v>
      </c>
      <c r="N162" s="7" t="n">
        <f aca="false">J162-L162</f>
        <v>1.3</v>
      </c>
      <c r="O162" s="7" t="n">
        <v>189.6</v>
      </c>
      <c r="P162" s="7" t="n">
        <v>123</v>
      </c>
      <c r="Q162" s="17" t="n">
        <f aca="false">1+((P162-104)/111)*(1.15-1)</f>
        <v>1.02567567567568</v>
      </c>
      <c r="R162" s="15" t="n">
        <f aca="false">Q162*L162</f>
        <v>1.12824324324324</v>
      </c>
      <c r="S162" s="15" t="n">
        <f aca="false">J162-R162</f>
        <v>1.27175675675676</v>
      </c>
      <c r="T162" s="15" t="n">
        <f aca="false">MIN(189.6,(T161+S162))</f>
        <v>189.6</v>
      </c>
      <c r="V162" s="16" t="n">
        <v>368.7</v>
      </c>
      <c r="W162" s="7" t="n">
        <f aca="false">V162/D162</f>
        <v>46.6708860759494</v>
      </c>
      <c r="X162" s="7" t="n">
        <f aca="false">X161+V162</f>
        <v>59715.1</v>
      </c>
      <c r="Y162" s="7" t="n">
        <f aca="false">Y161+V162</f>
        <v>4676.2</v>
      </c>
      <c r="AA162" s="28" t="n">
        <v>8.27588645810926</v>
      </c>
    </row>
    <row r="163" s="7" customFormat="true" ht="15" hidden="false" customHeight="false" outlineLevel="0" collapsed="false">
      <c r="A163" s="34"/>
      <c r="B163" s="35"/>
      <c r="C163" s="8" t="n">
        <v>41644</v>
      </c>
      <c r="D163" s="7" t="n">
        <v>6.1</v>
      </c>
      <c r="E163" s="18" t="n">
        <v>3.2</v>
      </c>
      <c r="F163" s="7" t="n">
        <v>11.7</v>
      </c>
      <c r="G163" s="7" t="n">
        <f aca="false">G162+D163</f>
        <v>1174.7</v>
      </c>
      <c r="H163" s="7" t="n">
        <f aca="false">H162+D163</f>
        <v>140.2</v>
      </c>
      <c r="J163" s="7" t="n">
        <v>0.1</v>
      </c>
      <c r="K163" s="7" t="n">
        <f aca="false">K162+J163</f>
        <v>310.8</v>
      </c>
      <c r="L163" s="7" t="n">
        <v>1.1</v>
      </c>
      <c r="M163" s="7" t="n">
        <f aca="false">M162+L163</f>
        <v>130.9</v>
      </c>
      <c r="N163" s="14" t="n">
        <f aca="false">J163-L163</f>
        <v>-1</v>
      </c>
      <c r="O163" s="7" t="n">
        <f aca="false">O162+N163</f>
        <v>188.6</v>
      </c>
      <c r="P163" s="7" t="n">
        <v>124</v>
      </c>
      <c r="Q163" s="17" t="n">
        <f aca="false">1+((P163-104)/111)*(1.15-1)</f>
        <v>1.02702702702703</v>
      </c>
      <c r="R163" s="15" t="n">
        <f aca="false">Q163*L163</f>
        <v>1.12972972972973</v>
      </c>
      <c r="S163" s="15" t="n">
        <f aca="false">J163-R163</f>
        <v>-1.02972972972973</v>
      </c>
      <c r="T163" s="15" t="n">
        <f aca="false">MIN(189.6,(T162+S163))</f>
        <v>188.57027027027</v>
      </c>
      <c r="V163" s="16" t="n">
        <v>307</v>
      </c>
      <c r="W163" s="7" t="n">
        <f aca="false">V163/D163</f>
        <v>50.327868852459</v>
      </c>
      <c r="X163" s="7" t="n">
        <f aca="false">X162+V163</f>
        <v>60022.1</v>
      </c>
      <c r="Y163" s="7" t="n">
        <f aca="false">Y162+V163</f>
        <v>4983.2</v>
      </c>
      <c r="AA163" s="28" t="n">
        <v>8.29878636969683</v>
      </c>
    </row>
    <row r="164" s="7" customFormat="true" ht="15" hidden="false" customHeight="false" outlineLevel="0" collapsed="false">
      <c r="A164" s="34"/>
      <c r="B164" s="35"/>
      <c r="C164" s="8" t="n">
        <v>41645</v>
      </c>
      <c r="D164" s="7" t="n">
        <v>11.4</v>
      </c>
      <c r="E164" s="7" t="n">
        <v>7.4</v>
      </c>
      <c r="F164" s="7" t="n">
        <v>12.7</v>
      </c>
      <c r="G164" s="7" t="n">
        <f aca="false">G163+D164</f>
        <v>1186.1</v>
      </c>
      <c r="H164" s="7" t="n">
        <f aca="false">H163+D164</f>
        <v>151.6</v>
      </c>
      <c r="J164" s="7" t="n">
        <v>0.2</v>
      </c>
      <c r="K164" s="7" t="n">
        <f aca="false">K163+J164</f>
        <v>311</v>
      </c>
      <c r="L164" s="7" t="n">
        <v>0.6</v>
      </c>
      <c r="M164" s="7" t="n">
        <f aca="false">M163+L164</f>
        <v>131.5</v>
      </c>
      <c r="N164" s="14" t="n">
        <f aca="false">J164-L164</f>
        <v>-0.4</v>
      </c>
      <c r="O164" s="7" t="n">
        <f aca="false">O163+N164</f>
        <v>188.2</v>
      </c>
      <c r="P164" s="7" t="n">
        <v>125</v>
      </c>
      <c r="Q164" s="17" t="n">
        <f aca="false">1+((P164-104)/111)*(1.15-1)</f>
        <v>1.02837837837838</v>
      </c>
      <c r="R164" s="15" t="n">
        <f aca="false">Q164*L164</f>
        <v>0.617027027027027</v>
      </c>
      <c r="S164" s="15" t="n">
        <f aca="false">J164-R164</f>
        <v>-0.417027027027027</v>
      </c>
      <c r="T164" s="15" t="n">
        <f aca="false">MIN(189.6,(T163+S164))</f>
        <v>188.153243243243</v>
      </c>
      <c r="V164" s="16" t="n">
        <v>239.9</v>
      </c>
      <c r="W164" s="7" t="n">
        <f aca="false">V164/D164</f>
        <v>21.0438596491228</v>
      </c>
      <c r="X164" s="7" t="n">
        <f aca="false">X163+V164</f>
        <v>60262</v>
      </c>
      <c r="Y164" s="7" t="n">
        <f aca="false">Y163+V164</f>
        <v>5223.1</v>
      </c>
      <c r="AA164" s="28" t="n">
        <v>8.32314731603099</v>
      </c>
    </row>
    <row r="165" s="7" customFormat="true" ht="15" hidden="false" customHeight="false" outlineLevel="0" collapsed="false">
      <c r="A165" s="34"/>
      <c r="B165" s="35"/>
      <c r="C165" s="8" t="n">
        <v>41646</v>
      </c>
      <c r="D165" s="7" t="n">
        <v>10</v>
      </c>
      <c r="E165" s="7" t="n">
        <v>8.8</v>
      </c>
      <c r="F165" s="7" t="n">
        <v>11.5</v>
      </c>
      <c r="G165" s="7" t="n">
        <f aca="false">G164+D165</f>
        <v>1196.1</v>
      </c>
      <c r="H165" s="7" t="n">
        <f aca="false">H164+D165</f>
        <v>161.6</v>
      </c>
      <c r="J165" s="7" t="n">
        <v>0.2</v>
      </c>
      <c r="K165" s="7" t="n">
        <f aca="false">K164+J165</f>
        <v>311.2</v>
      </c>
      <c r="L165" s="7" t="n">
        <v>1.2</v>
      </c>
      <c r="M165" s="7" t="n">
        <f aca="false">M164+L165</f>
        <v>132.7</v>
      </c>
      <c r="N165" s="14" t="n">
        <f aca="false">J165-L165</f>
        <v>-1</v>
      </c>
      <c r="O165" s="7" t="n">
        <f aca="false">O164+N165</f>
        <v>187.2</v>
      </c>
      <c r="P165" s="7" t="n">
        <v>126</v>
      </c>
      <c r="Q165" s="17" t="n">
        <f aca="false">1+((P165-104)/111)*(1.15-1)</f>
        <v>1.02972972972973</v>
      </c>
      <c r="R165" s="15" t="n">
        <f aca="false">Q165*L165</f>
        <v>1.23567567567568</v>
      </c>
      <c r="S165" s="15" t="n">
        <f aca="false">J165-R165</f>
        <v>-1.03567567567568</v>
      </c>
      <c r="T165" s="15" t="n">
        <f aca="false">MIN(189.6,(T164+S165))</f>
        <v>187.117567567568</v>
      </c>
      <c r="V165" s="16" t="n">
        <v>422.6</v>
      </c>
      <c r="W165" s="7" t="n">
        <f aca="false">V165/D165</f>
        <v>42.26</v>
      </c>
      <c r="X165" s="7" t="n">
        <f aca="false">X164+V165</f>
        <v>60684.6</v>
      </c>
      <c r="Y165" s="7" t="n">
        <f aca="false">Y164+V165</f>
        <v>5645.7</v>
      </c>
      <c r="AA165" s="28" t="n">
        <v>8.3489429988931</v>
      </c>
    </row>
    <row r="166" s="7" customFormat="true" ht="15" hidden="false" customHeight="false" outlineLevel="0" collapsed="false">
      <c r="A166" s="34"/>
      <c r="B166" s="35"/>
      <c r="C166" s="8" t="n">
        <v>41647</v>
      </c>
      <c r="D166" s="7" t="n">
        <v>9.2</v>
      </c>
      <c r="E166" s="7" t="n">
        <v>6.7</v>
      </c>
      <c r="F166" s="7" t="n">
        <v>10.7</v>
      </c>
      <c r="G166" s="7" t="n">
        <f aca="false">G165+D166</f>
        <v>1205.3</v>
      </c>
      <c r="H166" s="7" t="n">
        <f aca="false">H165+D166</f>
        <v>170.8</v>
      </c>
      <c r="J166" s="7" t="n">
        <v>2.4</v>
      </c>
      <c r="K166" s="7" t="n">
        <f aca="false">K165+J166</f>
        <v>313.6</v>
      </c>
      <c r="L166" s="7" t="n">
        <v>0.4</v>
      </c>
      <c r="M166" s="7" t="n">
        <f aca="false">M165+L166</f>
        <v>133.1</v>
      </c>
      <c r="N166" s="7" t="n">
        <f aca="false">J166-L166</f>
        <v>2</v>
      </c>
      <c r="O166" s="7" t="n">
        <f aca="false">O165+N166</f>
        <v>189.2</v>
      </c>
      <c r="P166" s="7" t="n">
        <v>127</v>
      </c>
      <c r="Q166" s="17" t="n">
        <f aca="false">1+((P166-104)/111)*(1.15-1)</f>
        <v>1.03108108108108</v>
      </c>
      <c r="R166" s="15" t="n">
        <f aca="false">Q166*L166</f>
        <v>0.412432432432432</v>
      </c>
      <c r="S166" s="15" t="n">
        <f aca="false">J166-R166</f>
        <v>1.98756756756757</v>
      </c>
      <c r="T166" s="15" t="n">
        <f aca="false">MIN(189.6,(T165+S166))</f>
        <v>189.105135135135</v>
      </c>
      <c r="V166" s="16" t="n">
        <v>305.5</v>
      </c>
      <c r="W166" s="7" t="n">
        <f aca="false">V166/D166</f>
        <v>33.2065217391304</v>
      </c>
      <c r="X166" s="7" t="n">
        <f aca="false">X165+V166</f>
        <v>60990.1</v>
      </c>
      <c r="Y166" s="7" t="n">
        <f aca="false">Y165+V166</f>
        <v>5951.2</v>
      </c>
      <c r="AA166" s="28" t="n">
        <v>8.37614599781441</v>
      </c>
    </row>
    <row r="167" s="7" customFormat="true" ht="15" hidden="false" customHeight="false" outlineLevel="0" collapsed="false">
      <c r="A167" s="34"/>
      <c r="B167" s="35"/>
      <c r="C167" s="8" t="n">
        <v>41648</v>
      </c>
      <c r="D167" s="7" t="n">
        <v>8.7</v>
      </c>
      <c r="E167" s="7" t="n">
        <v>6.4</v>
      </c>
      <c r="F167" s="7" t="n">
        <v>10.9</v>
      </c>
      <c r="G167" s="7" t="n">
        <f aca="false">G166+D167</f>
        <v>1214</v>
      </c>
      <c r="H167" s="7" t="n">
        <f aca="false">H166+D167</f>
        <v>179.5</v>
      </c>
      <c r="J167" s="7" t="n">
        <v>0.4</v>
      </c>
      <c r="K167" s="7" t="n">
        <f aca="false">K166+J167</f>
        <v>314</v>
      </c>
      <c r="L167" s="7" t="n">
        <v>0.8</v>
      </c>
      <c r="M167" s="7" t="n">
        <f aca="false">M166+L167</f>
        <v>133.9</v>
      </c>
      <c r="N167" s="14" t="n">
        <f aca="false">J167-L167</f>
        <v>-0.4</v>
      </c>
      <c r="O167" s="7" t="n">
        <f aca="false">O166+N167</f>
        <v>188.8</v>
      </c>
      <c r="P167" s="7" t="n">
        <v>128</v>
      </c>
      <c r="Q167" s="17" t="n">
        <f aca="false">1+((P167-104)/111)*(1.15-1)</f>
        <v>1.03243243243243</v>
      </c>
      <c r="R167" s="15" t="n">
        <f aca="false">Q167*L167</f>
        <v>0.825945945945946</v>
      </c>
      <c r="S167" s="15" t="n">
        <f aca="false">J167-R167</f>
        <v>-0.425945945945946</v>
      </c>
      <c r="T167" s="15" t="n">
        <f aca="false">MIN(189.6,(T166+S167))</f>
        <v>188.679189189189</v>
      </c>
      <c r="V167" s="16" t="n">
        <v>214.7</v>
      </c>
      <c r="W167" s="7" t="n">
        <f aca="false">V167/D167</f>
        <v>24.6781609195402</v>
      </c>
      <c r="X167" s="7" t="n">
        <f aca="false">X166+V167</f>
        <v>61204.8</v>
      </c>
      <c r="Y167" s="7" t="n">
        <f aca="false">Y166+V167</f>
        <v>6165.9</v>
      </c>
      <c r="AA167" s="28" t="n">
        <v>8.40472787117078</v>
      </c>
    </row>
    <row r="168" s="7" customFormat="true" ht="15" hidden="false" customHeight="false" outlineLevel="0" collapsed="false">
      <c r="A168" s="34"/>
      <c r="B168" s="27" t="n">
        <v>21</v>
      </c>
      <c r="C168" s="8" t="n">
        <v>41649</v>
      </c>
      <c r="D168" s="18" t="n">
        <v>4.7</v>
      </c>
      <c r="E168" s="18" t="n">
        <v>3.8</v>
      </c>
      <c r="F168" s="7" t="n">
        <v>5.3</v>
      </c>
      <c r="G168" s="7" t="n">
        <f aca="false">G167+D168</f>
        <v>1218.7</v>
      </c>
      <c r="H168" s="7" t="n">
        <f aca="false">H167+D168</f>
        <v>184.2</v>
      </c>
      <c r="J168" s="7" t="n">
        <v>0.1</v>
      </c>
      <c r="K168" s="7" t="n">
        <f aca="false">K167+J168</f>
        <v>314.1</v>
      </c>
      <c r="L168" s="7" t="n">
        <v>0.2</v>
      </c>
      <c r="M168" s="7" t="n">
        <f aca="false">M167+L168</f>
        <v>134.1</v>
      </c>
      <c r="N168" s="14" t="n">
        <f aca="false">J168-L168</f>
        <v>-0.1</v>
      </c>
      <c r="O168" s="7" t="n">
        <f aca="false">O167+N168</f>
        <v>188.7</v>
      </c>
      <c r="P168" s="7" t="n">
        <v>129</v>
      </c>
      <c r="Q168" s="17" t="n">
        <f aca="false">1+((P168-104)/111)*(1.15-1)</f>
        <v>1.03378378378378</v>
      </c>
      <c r="R168" s="15" t="n">
        <f aca="false">Q168*L168</f>
        <v>0.206756756756757</v>
      </c>
      <c r="S168" s="15" t="n">
        <f aca="false">J168-R168</f>
        <v>-0.106756756756757</v>
      </c>
      <c r="T168" s="15" t="n">
        <f aca="false">MIN(189.6,(T167+S168))</f>
        <v>188.572432432432</v>
      </c>
      <c r="V168" s="16" t="n">
        <v>125.5</v>
      </c>
      <c r="W168" s="7" t="n">
        <f aca="false">V168/D168</f>
        <v>26.7021276595745</v>
      </c>
      <c r="X168" s="7" t="n">
        <f aca="false">X167+V168</f>
        <v>61330.3</v>
      </c>
      <c r="Y168" s="7" t="n">
        <f aca="false">Y167+V168</f>
        <v>6291.4</v>
      </c>
      <c r="AA168" s="28" t="n">
        <v>8.43465925809618</v>
      </c>
    </row>
    <row r="169" s="7" customFormat="true" ht="15" hidden="false" customHeight="false" outlineLevel="0" collapsed="false">
      <c r="A169" s="34"/>
      <c r="B169" s="27" t="n">
        <v>22</v>
      </c>
      <c r="C169" s="8" t="n">
        <v>41650</v>
      </c>
      <c r="D169" s="18" t="n">
        <v>4.4</v>
      </c>
      <c r="E169" s="18" t="n">
        <v>3.8</v>
      </c>
      <c r="F169" s="7" t="n">
        <v>8.3</v>
      </c>
      <c r="G169" s="7" t="n">
        <f aca="false">G168+D169</f>
        <v>1223.1</v>
      </c>
      <c r="H169" s="7" t="n">
        <f aca="false">H168+D169</f>
        <v>188.6</v>
      </c>
      <c r="J169" s="7" t="n">
        <v>0</v>
      </c>
      <c r="K169" s="7" t="n">
        <f aca="false">K168+J169</f>
        <v>314.1</v>
      </c>
      <c r="L169" s="7" t="n">
        <v>0.5</v>
      </c>
      <c r="M169" s="7" t="n">
        <f aca="false">M168+L169</f>
        <v>134.6</v>
      </c>
      <c r="N169" s="14" t="n">
        <f aca="false">J169-L169</f>
        <v>-0.5</v>
      </c>
      <c r="O169" s="7" t="n">
        <f aca="false">O168+N169</f>
        <v>188.2</v>
      </c>
      <c r="P169" s="7" t="n">
        <v>130</v>
      </c>
      <c r="Q169" s="17" t="n">
        <f aca="false">1+((P169-104)/111)*(1.15-1)</f>
        <v>1.03513513513514</v>
      </c>
      <c r="R169" s="15" t="n">
        <f aca="false">Q169*L169</f>
        <v>0.517567567567568</v>
      </c>
      <c r="S169" s="15" t="n">
        <f aca="false">J169-R169</f>
        <v>-0.517567567567568</v>
      </c>
      <c r="T169" s="15" t="n">
        <f aca="false">MIN(189.6,(T168+S169))</f>
        <v>188.054864864865</v>
      </c>
      <c r="V169" s="16" t="n">
        <v>163.2</v>
      </c>
      <c r="W169" s="7" t="n">
        <f aca="false">V169/D169</f>
        <v>37.0909090909091</v>
      </c>
      <c r="X169" s="7" t="n">
        <f aca="false">X168+V169</f>
        <v>61493.5</v>
      </c>
      <c r="Y169" s="7" t="n">
        <f aca="false">Y168+V169</f>
        <v>6454.6</v>
      </c>
      <c r="AA169" s="28" t="n">
        <v>8.46590998054281</v>
      </c>
    </row>
    <row r="170" s="7" customFormat="true" ht="15" hidden="false" customHeight="false" outlineLevel="0" collapsed="false">
      <c r="A170" s="34"/>
      <c r="B170" s="27" t="n">
        <v>23</v>
      </c>
      <c r="C170" s="8" t="n">
        <v>41651</v>
      </c>
      <c r="D170" s="18" t="n">
        <v>2</v>
      </c>
      <c r="E170" s="19" t="n">
        <v>-1.3</v>
      </c>
      <c r="F170" s="7" t="n">
        <v>6.3</v>
      </c>
      <c r="G170" s="7" t="n">
        <f aca="false">G169+D170</f>
        <v>1225.1</v>
      </c>
      <c r="H170" s="7" t="n">
        <f aca="false">H169+D170</f>
        <v>190.6</v>
      </c>
      <c r="J170" s="7" t="n">
        <v>0.2</v>
      </c>
      <c r="K170" s="7" t="n">
        <f aca="false">K169+J170</f>
        <v>314.3</v>
      </c>
      <c r="L170" s="7" t="n">
        <v>0.3</v>
      </c>
      <c r="M170" s="7" t="n">
        <f aca="false">M169+L170</f>
        <v>134.9</v>
      </c>
      <c r="N170" s="14" t="n">
        <f aca="false">J170-L170</f>
        <v>-0.1</v>
      </c>
      <c r="O170" s="7" t="n">
        <f aca="false">O169+N170</f>
        <v>188.1</v>
      </c>
      <c r="P170" s="7" t="n">
        <v>131</v>
      </c>
      <c r="Q170" s="17" t="n">
        <f aca="false">1+((P170-104)/111)*(1.15-1)</f>
        <v>1.03648648648649</v>
      </c>
      <c r="R170" s="15" t="n">
        <f aca="false">Q170*L170</f>
        <v>0.310945945945946</v>
      </c>
      <c r="S170" s="15" t="n">
        <f aca="false">J170-R170</f>
        <v>-0.110945945945946</v>
      </c>
      <c r="T170" s="15" t="n">
        <f aca="false">MIN(189.6,(T169+S170))</f>
        <v>187.943918918919</v>
      </c>
      <c r="V170" s="16" t="n">
        <v>214.5</v>
      </c>
      <c r="W170" s="7" t="n">
        <f aca="false">V170/D170</f>
        <v>107.25</v>
      </c>
      <c r="X170" s="7" t="n">
        <f aca="false">X169+V170</f>
        <v>61708</v>
      </c>
      <c r="Y170" s="7" t="n">
        <f aca="false">Y169+V170</f>
        <v>6669.1</v>
      </c>
      <c r="AA170" s="28" t="n">
        <v>8.49844914484888</v>
      </c>
    </row>
    <row r="171" s="7" customFormat="true" ht="15" hidden="false" customHeight="false" outlineLevel="0" collapsed="false">
      <c r="A171" s="34"/>
      <c r="B171" s="35"/>
      <c r="C171" s="8" t="n">
        <v>41652</v>
      </c>
      <c r="D171" s="7" t="n">
        <v>6.7</v>
      </c>
      <c r="E171" s="18" t="n">
        <v>4.7</v>
      </c>
      <c r="F171" s="7" t="n">
        <v>8.9</v>
      </c>
      <c r="G171" s="7" t="n">
        <f aca="false">G170+D171</f>
        <v>1231.8</v>
      </c>
      <c r="H171" s="7" t="n">
        <f aca="false">H170+D171</f>
        <v>197.3</v>
      </c>
      <c r="J171" s="7" t="n">
        <v>2.4</v>
      </c>
      <c r="K171" s="7" t="n">
        <f aca="false">K170+J171</f>
        <v>316.7</v>
      </c>
      <c r="L171" s="7" t="n">
        <v>0.6</v>
      </c>
      <c r="M171" s="7" t="n">
        <f aca="false">M170+L171</f>
        <v>135.5</v>
      </c>
      <c r="N171" s="7" t="n">
        <f aca="false">J171-L171</f>
        <v>1.8</v>
      </c>
      <c r="O171" s="7" t="n">
        <v>189.6</v>
      </c>
      <c r="P171" s="7" t="n">
        <v>132</v>
      </c>
      <c r="Q171" s="17" t="n">
        <f aca="false">1+((P171-104)/111)*(1.15-1)</f>
        <v>1.03783783783784</v>
      </c>
      <c r="R171" s="15" t="n">
        <f aca="false">Q171*L171</f>
        <v>0.622702702702703</v>
      </c>
      <c r="S171" s="15" t="n">
        <f aca="false">J171-R171</f>
        <v>1.7772972972973</v>
      </c>
      <c r="T171" s="15" t="n">
        <f aca="false">MIN(189.6,(T170+S171))</f>
        <v>189.6</v>
      </c>
      <c r="V171" s="16" t="n">
        <v>439</v>
      </c>
      <c r="W171" s="7" t="n">
        <f aca="false">V171/D171</f>
        <v>65.5223880597015</v>
      </c>
      <c r="X171" s="7" t="n">
        <f aca="false">X170+V171</f>
        <v>62147</v>
      </c>
      <c r="Y171" s="7" t="n">
        <f aca="false">Y170+V171</f>
        <v>7108.1</v>
      </c>
      <c r="AA171" s="28" t="n">
        <v>8.53224524221389</v>
      </c>
    </row>
    <row r="172" s="7" customFormat="true" ht="15" hidden="false" customHeight="false" outlineLevel="0" collapsed="false">
      <c r="A172" s="34"/>
      <c r="B172" s="27" t="n">
        <v>24</v>
      </c>
      <c r="C172" s="8" t="n">
        <v>41653</v>
      </c>
      <c r="D172" s="18" t="n">
        <v>4.5</v>
      </c>
      <c r="E172" s="18" t="n">
        <v>2.6</v>
      </c>
      <c r="F172" s="7" t="n">
        <v>6.5</v>
      </c>
      <c r="G172" s="7" t="n">
        <f aca="false">G171+D172</f>
        <v>1236.3</v>
      </c>
      <c r="H172" s="7" t="n">
        <f aca="false">H171+D172</f>
        <v>201.8</v>
      </c>
      <c r="J172" s="7" t="n">
        <v>5.4</v>
      </c>
      <c r="K172" s="7" t="n">
        <f aca="false">K171+J172</f>
        <v>322.1</v>
      </c>
      <c r="L172" s="7" t="n">
        <v>0.4</v>
      </c>
      <c r="M172" s="7" t="n">
        <f aca="false">M171+L172</f>
        <v>135.9</v>
      </c>
      <c r="N172" s="7" t="n">
        <f aca="false">J172-L172</f>
        <v>5</v>
      </c>
      <c r="O172" s="7" t="n">
        <v>189.6</v>
      </c>
      <c r="P172" s="7" t="n">
        <v>133</v>
      </c>
      <c r="Q172" s="17" t="n">
        <f aca="false">1+((P172-104)/111)*(1.15-1)</f>
        <v>1.03918918918919</v>
      </c>
      <c r="R172" s="15" t="n">
        <f aca="false">Q172*L172</f>
        <v>0.415675675675676</v>
      </c>
      <c r="S172" s="15" t="n">
        <f aca="false">J172-R172</f>
        <v>4.98432432432433</v>
      </c>
      <c r="T172" s="15" t="n">
        <f aca="false">MIN(189.6,(T171+S172))</f>
        <v>189.6</v>
      </c>
      <c r="V172" s="16" t="n">
        <v>195.1</v>
      </c>
      <c r="W172" s="7" t="n">
        <f aca="false">V172/D172</f>
        <v>43.3555555555556</v>
      </c>
      <c r="X172" s="7" t="n">
        <f aca="false">X171+V172</f>
        <v>62342.1</v>
      </c>
      <c r="Y172" s="7" t="n">
        <f aca="false">Y171+V172</f>
        <v>7303.2</v>
      </c>
      <c r="AA172" s="28" t="n">
        <v>8.56726624752367</v>
      </c>
    </row>
    <row r="173" s="7" customFormat="true" ht="15" hidden="false" customHeight="false" outlineLevel="0" collapsed="false">
      <c r="A173" s="34"/>
      <c r="B173" s="35"/>
      <c r="C173" s="8" t="n">
        <v>41654</v>
      </c>
      <c r="D173" s="7" t="n">
        <v>5.6</v>
      </c>
      <c r="E173" s="18" t="n">
        <v>2</v>
      </c>
      <c r="F173" s="7" t="n">
        <v>8.6</v>
      </c>
      <c r="G173" s="7" t="n">
        <f aca="false">G172+D173</f>
        <v>1241.9</v>
      </c>
      <c r="H173" s="7" t="n">
        <f aca="false">H172+D173</f>
        <v>207.4</v>
      </c>
      <c r="J173" s="7" t="n">
        <v>2</v>
      </c>
      <c r="K173" s="7" t="n">
        <f aca="false">K172+J173</f>
        <v>324.1</v>
      </c>
      <c r="L173" s="7" t="n">
        <v>0.3</v>
      </c>
      <c r="M173" s="7" t="n">
        <f aca="false">M172+L173</f>
        <v>136.2</v>
      </c>
      <c r="N173" s="7" t="n">
        <f aca="false">J173-L173</f>
        <v>1.7</v>
      </c>
      <c r="O173" s="7" t="n">
        <v>189.6</v>
      </c>
      <c r="P173" s="7" t="n">
        <v>134</v>
      </c>
      <c r="Q173" s="17" t="n">
        <f aca="false">1+((P173-104)/111)*(1.15-1)</f>
        <v>1.04054054054054</v>
      </c>
      <c r="R173" s="15" t="n">
        <f aca="false">Q173*L173</f>
        <v>0.312162162162162</v>
      </c>
      <c r="S173" s="15" t="n">
        <f aca="false">J173-R173</f>
        <v>1.68783783783784</v>
      </c>
      <c r="T173" s="15" t="n">
        <f aca="false">MIN(189.6,(T172+S173))</f>
        <v>189.6</v>
      </c>
      <c r="V173" s="16" t="n">
        <v>111.5</v>
      </c>
      <c r="W173" s="7" t="n">
        <f aca="false">V173/D173</f>
        <v>19.9107142857143</v>
      </c>
      <c r="X173" s="7" t="n">
        <f aca="false">X172+V173</f>
        <v>62453.6</v>
      </c>
      <c r="Y173" s="7" t="n">
        <f aca="false">Y172+V173</f>
        <v>7414.7</v>
      </c>
      <c r="AA173" s="28" t="n">
        <v>8.60347971601435</v>
      </c>
    </row>
    <row r="174" s="7" customFormat="true" ht="15" hidden="false" customHeight="false" outlineLevel="0" collapsed="false">
      <c r="A174" s="34"/>
      <c r="B174" s="35"/>
      <c r="C174" s="8" t="n">
        <v>41655</v>
      </c>
      <c r="D174" s="7" t="n">
        <v>7.8</v>
      </c>
      <c r="E174" s="7" t="n">
        <v>7</v>
      </c>
      <c r="F174" s="7" t="n">
        <v>8.1</v>
      </c>
      <c r="G174" s="7" t="n">
        <f aca="false">G173+D174</f>
        <v>1249.7</v>
      </c>
      <c r="H174" s="7" t="n">
        <f aca="false">H173+D174</f>
        <v>215.2</v>
      </c>
      <c r="J174" s="7" t="n">
        <v>7.7</v>
      </c>
      <c r="K174" s="7" t="n">
        <f aca="false">K173+J174</f>
        <v>331.8</v>
      </c>
      <c r="L174" s="7" t="n">
        <v>0.4</v>
      </c>
      <c r="M174" s="7" t="n">
        <f aca="false">M173+L174</f>
        <v>136.6</v>
      </c>
      <c r="N174" s="7" t="n">
        <f aca="false">J174-L174</f>
        <v>7.3</v>
      </c>
      <c r="O174" s="7" t="n">
        <v>189.6</v>
      </c>
      <c r="P174" s="7" t="n">
        <v>135</v>
      </c>
      <c r="Q174" s="17" t="n">
        <f aca="false">1+((P174-104)/111)*(1.15-1)</f>
        <v>1.04189189189189</v>
      </c>
      <c r="R174" s="15" t="n">
        <f aca="false">Q174*L174</f>
        <v>0.416756756756757</v>
      </c>
      <c r="S174" s="15" t="n">
        <f aca="false">J174-R174</f>
        <v>7.28324324324324</v>
      </c>
      <c r="T174" s="15" t="n">
        <f aca="false">MIN(189.6,(T173+S174))</f>
        <v>189.6</v>
      </c>
      <c r="V174" s="16" t="n">
        <v>178.1</v>
      </c>
      <c r="W174" s="7" t="n">
        <f aca="false">V174/D174</f>
        <v>22.8333333333333</v>
      </c>
      <c r="X174" s="7" t="n">
        <f aca="false">X173+V174</f>
        <v>62631.7</v>
      </c>
      <c r="Y174" s="7" t="n">
        <f aca="false">Y173+V174</f>
        <v>7592.8</v>
      </c>
      <c r="AA174" s="28" t="n">
        <v>8.64085287731244</v>
      </c>
    </row>
    <row r="175" s="7" customFormat="true" ht="15" hidden="false" customHeight="false" outlineLevel="0" collapsed="false">
      <c r="A175" s="34"/>
      <c r="B175" s="35"/>
      <c r="C175" s="8" t="n">
        <v>41656</v>
      </c>
      <c r="D175" s="7" t="n">
        <v>7.2</v>
      </c>
      <c r="E175" s="7" t="n">
        <v>7.1</v>
      </c>
      <c r="F175" s="7" t="n">
        <v>8.2</v>
      </c>
      <c r="G175" s="7" t="n">
        <f aca="false">G174+D175</f>
        <v>1256.9</v>
      </c>
      <c r="H175" s="7" t="n">
        <f aca="false">H174+D175</f>
        <v>222.4</v>
      </c>
      <c r="J175" s="7" t="n">
        <v>3.5</v>
      </c>
      <c r="K175" s="7" t="n">
        <f aca="false">K174+J175</f>
        <v>335.3</v>
      </c>
      <c r="L175" s="7" t="n">
        <v>1</v>
      </c>
      <c r="M175" s="7" t="n">
        <f aca="false">M174+L175</f>
        <v>137.6</v>
      </c>
      <c r="N175" s="7" t="n">
        <f aca="false">J175-L175</f>
        <v>2.5</v>
      </c>
      <c r="O175" s="7" t="n">
        <v>189.6</v>
      </c>
      <c r="P175" s="7" t="n">
        <v>136</v>
      </c>
      <c r="Q175" s="17" t="n">
        <f aca="false">1+((P175-104)/111)*(1.15-1)</f>
        <v>1.04324324324324</v>
      </c>
      <c r="R175" s="15" t="n">
        <f aca="false">Q175*L175</f>
        <v>1.04324324324324</v>
      </c>
      <c r="S175" s="15" t="n">
        <f aca="false">J175-R175</f>
        <v>2.45675675675676</v>
      </c>
      <c r="T175" s="15" t="n">
        <f aca="false">MIN(189.6,(T174+S175))</f>
        <v>189.6</v>
      </c>
      <c r="V175" s="16" t="n">
        <v>125.7</v>
      </c>
      <c r="W175" s="7" t="n">
        <f aca="false">V175/D175</f>
        <v>17.4583333333333</v>
      </c>
      <c r="X175" s="7" t="n">
        <f aca="false">X174+V175</f>
        <v>62757.4</v>
      </c>
      <c r="Y175" s="7" t="n">
        <f aca="false">Y174+V175</f>
        <v>7718.5</v>
      </c>
      <c r="AA175" s="28" t="n">
        <v>8.67935272643905</v>
      </c>
    </row>
    <row r="176" s="7" customFormat="true" ht="15" hidden="false" customHeight="false" outlineLevel="0" collapsed="false">
      <c r="A176" s="34"/>
      <c r="B176" s="35"/>
      <c r="C176" s="8" t="n">
        <v>41657</v>
      </c>
      <c r="D176" s="7" t="n">
        <v>5.5</v>
      </c>
      <c r="E176" s="18" t="n">
        <v>3.2</v>
      </c>
      <c r="F176" s="7" t="n">
        <v>7.5</v>
      </c>
      <c r="G176" s="7" t="n">
        <f aca="false">G175+D176</f>
        <v>1262.4</v>
      </c>
      <c r="H176" s="7" t="n">
        <f aca="false">H175+D176</f>
        <v>227.9</v>
      </c>
      <c r="J176" s="7" t="n">
        <v>1.2</v>
      </c>
      <c r="K176" s="7" t="n">
        <f aca="false">K175+J176</f>
        <v>336.5</v>
      </c>
      <c r="L176" s="7" t="n">
        <v>0.5</v>
      </c>
      <c r="M176" s="7" t="n">
        <f aca="false">M175+L176</f>
        <v>138.1</v>
      </c>
      <c r="N176" s="7" t="n">
        <f aca="false">J176-L176</f>
        <v>0.7</v>
      </c>
      <c r="O176" s="7" t="n">
        <v>189.6</v>
      </c>
      <c r="P176" s="7" t="n">
        <v>137</v>
      </c>
      <c r="Q176" s="17" t="n">
        <f aca="false">1+((P176-104)/111)*(1.15-1)</f>
        <v>1.04459459459459</v>
      </c>
      <c r="R176" s="15" t="n">
        <f aca="false">Q176*L176</f>
        <v>0.522297297297297</v>
      </c>
      <c r="S176" s="15" t="n">
        <f aca="false">J176-R176</f>
        <v>0.677702702702703</v>
      </c>
      <c r="T176" s="15" t="n">
        <f aca="false">MIN(189.6,(T175+S176))</f>
        <v>189.6</v>
      </c>
      <c r="V176" s="16" t="n">
        <v>281.8</v>
      </c>
      <c r="W176" s="7" t="n">
        <f aca="false">V176/D176</f>
        <v>51.2363636363636</v>
      </c>
      <c r="X176" s="7" t="n">
        <f aca="false">X175+V176</f>
        <v>63039.2</v>
      </c>
      <c r="Y176" s="7" t="n">
        <f aca="false">Y175+V176</f>
        <v>8000.3</v>
      </c>
      <c r="AA176" s="28" t="n">
        <v>8.71894611141681</v>
      </c>
    </row>
    <row r="177" s="7" customFormat="true" ht="15" hidden="false" customHeight="false" outlineLevel="0" collapsed="false">
      <c r="A177" s="34"/>
      <c r="B177" s="35"/>
      <c r="C177" s="8" t="n">
        <v>41658</v>
      </c>
      <c r="D177" s="7" t="n">
        <v>6.3</v>
      </c>
      <c r="E177" s="18" t="n">
        <v>4.7</v>
      </c>
      <c r="F177" s="7" t="n">
        <v>8.3</v>
      </c>
      <c r="G177" s="7" t="n">
        <f aca="false">G176+D177</f>
        <v>1268.7</v>
      </c>
      <c r="H177" s="7" t="n">
        <f aca="false">H176+D177</f>
        <v>234.2</v>
      </c>
      <c r="J177" s="7" t="n">
        <v>0</v>
      </c>
      <c r="K177" s="7" t="n">
        <f aca="false">K176+J177</f>
        <v>336.5</v>
      </c>
      <c r="L177" s="7" t="n">
        <v>0.3</v>
      </c>
      <c r="M177" s="7" t="n">
        <f aca="false">M176+L177</f>
        <v>138.4</v>
      </c>
      <c r="N177" s="14" t="n">
        <f aca="false">J177-L177</f>
        <v>-0.3</v>
      </c>
      <c r="O177" s="7" t="n">
        <f aca="false">O176+N177</f>
        <v>189.3</v>
      </c>
      <c r="P177" s="7" t="n">
        <v>138</v>
      </c>
      <c r="Q177" s="17" t="n">
        <f aca="false">1+((P177-104)/111)*(1.15-1)</f>
        <v>1.04594594594595</v>
      </c>
      <c r="R177" s="15" t="n">
        <f aca="false">Q177*L177</f>
        <v>0.313783783783784</v>
      </c>
      <c r="S177" s="15" t="n">
        <f aca="false">J177-R177</f>
        <v>-0.313783783783784</v>
      </c>
      <c r="T177" s="15" t="n">
        <f aca="false">MIN(189.6,(T176+S177))</f>
        <v>189.286216216216</v>
      </c>
      <c r="V177" s="16" t="n">
        <v>152.7</v>
      </c>
      <c r="W177" s="7" t="n">
        <f aca="false">V177/D177</f>
        <v>24.2380952380952</v>
      </c>
      <c r="X177" s="7" t="n">
        <f aca="false">X176+V177</f>
        <v>63191.9</v>
      </c>
      <c r="Y177" s="7" t="n">
        <f aca="false">Y176+V177</f>
        <v>8153</v>
      </c>
      <c r="AA177" s="28" t="n">
        <v>8.75959981716926</v>
      </c>
    </row>
    <row r="178" s="7" customFormat="true" ht="15" hidden="false" customHeight="false" outlineLevel="0" collapsed="false">
      <c r="A178" s="34"/>
      <c r="B178" s="27" t="n">
        <v>25</v>
      </c>
      <c r="C178" s="8" t="n">
        <v>41659</v>
      </c>
      <c r="D178" s="18" t="n">
        <v>4.8</v>
      </c>
      <c r="E178" s="18" t="n">
        <v>4.1</v>
      </c>
      <c r="F178" s="7" t="n">
        <v>6.5</v>
      </c>
      <c r="G178" s="7" t="n">
        <f aca="false">G177+D178</f>
        <v>1273.5</v>
      </c>
      <c r="H178" s="7" t="n">
        <f aca="false">H177+D178</f>
        <v>239</v>
      </c>
      <c r="J178" s="7" t="n">
        <v>0.2</v>
      </c>
      <c r="K178" s="7" t="n">
        <f aca="false">K177+J178</f>
        <v>336.7</v>
      </c>
      <c r="L178" s="7" t="n">
        <v>0.4</v>
      </c>
      <c r="M178" s="7" t="n">
        <f aca="false">M177+L178</f>
        <v>138.8</v>
      </c>
      <c r="N178" s="14" t="n">
        <f aca="false">J178-L178</f>
        <v>-0.2</v>
      </c>
      <c r="O178" s="7" t="n">
        <f aca="false">O177+N178</f>
        <v>189.1</v>
      </c>
      <c r="P178" s="7" t="n">
        <v>139</v>
      </c>
      <c r="Q178" s="17" t="n">
        <f aca="false">1+((P178-104)/111)*(1.15-1)</f>
        <v>1.0472972972973</v>
      </c>
      <c r="R178" s="15" t="n">
        <f aca="false">Q178*L178</f>
        <v>0.418918918918919</v>
      </c>
      <c r="S178" s="15" t="n">
        <f aca="false">J178-R178</f>
        <v>-0.218918918918919</v>
      </c>
      <c r="T178" s="15" t="n">
        <f aca="false">MIN(189.6,(T177+S178))</f>
        <v>189.067297297297</v>
      </c>
      <c r="V178" s="16" t="n">
        <v>164.4</v>
      </c>
      <c r="W178" s="7" t="n">
        <f aca="false">V178/D178</f>
        <v>34.25</v>
      </c>
      <c r="X178" s="7" t="n">
        <f aca="false">X177+V178</f>
        <v>63356.3</v>
      </c>
      <c r="Y178" s="7" t="n">
        <f aca="false">Y177+V178</f>
        <v>8317.4</v>
      </c>
      <c r="AA178" s="28" t="n">
        <v>8.80128064545252</v>
      </c>
    </row>
    <row r="179" s="7" customFormat="true" ht="15" hidden="false" customHeight="false" outlineLevel="0" collapsed="false">
      <c r="A179" s="34"/>
      <c r="B179" s="27" t="n">
        <v>26</v>
      </c>
      <c r="C179" s="8" t="n">
        <v>41660</v>
      </c>
      <c r="D179" s="18" t="n">
        <v>3.1</v>
      </c>
      <c r="E179" s="18" t="n">
        <v>2.3</v>
      </c>
      <c r="F179" s="18" t="n">
        <v>3.9</v>
      </c>
      <c r="G179" s="7" t="n">
        <f aca="false">G178+D179</f>
        <v>1276.6</v>
      </c>
      <c r="H179" s="7" t="n">
        <f aca="false">H178+D179</f>
        <v>242.1</v>
      </c>
      <c r="J179" s="7" t="n">
        <v>0</v>
      </c>
      <c r="K179" s="7" t="n">
        <f aca="false">K178+J179</f>
        <v>336.7</v>
      </c>
      <c r="L179" s="7" t="n">
        <v>0.2</v>
      </c>
      <c r="M179" s="7" t="n">
        <f aca="false">M178+L179</f>
        <v>139</v>
      </c>
      <c r="N179" s="14" t="n">
        <f aca="false">J179-L179</f>
        <v>-0.2</v>
      </c>
      <c r="O179" s="7" t="n">
        <f aca="false">O178+N179</f>
        <v>188.9</v>
      </c>
      <c r="P179" s="7" t="n">
        <v>140</v>
      </c>
      <c r="Q179" s="17" t="n">
        <f aca="false">1+((P179-104)/111)*(1.15-1)</f>
        <v>1.04864864864865</v>
      </c>
      <c r="R179" s="15" t="n">
        <f aca="false">Q179*L179</f>
        <v>0.20972972972973</v>
      </c>
      <c r="S179" s="15" t="n">
        <f aca="false">J179-R179</f>
        <v>-0.20972972972973</v>
      </c>
      <c r="T179" s="15" t="n">
        <f aca="false">MIN(189.6,(T178+S179))</f>
        <v>188.857567567568</v>
      </c>
      <c r="V179" s="16" t="n">
        <v>107.5</v>
      </c>
      <c r="W179" s="7" t="n">
        <f aca="false">V179/D179</f>
        <v>34.6774193548387</v>
      </c>
      <c r="X179" s="7" t="n">
        <f aca="false">X178+V179</f>
        <v>63463.8</v>
      </c>
      <c r="Y179" s="7" t="n">
        <f aca="false">Y178+V179</f>
        <v>8424.9</v>
      </c>
      <c r="AA179" s="28" t="n">
        <v>8.843955490608</v>
      </c>
    </row>
    <row r="180" s="7" customFormat="true" ht="15" hidden="false" customHeight="false" outlineLevel="0" collapsed="false">
      <c r="A180" s="34"/>
      <c r="B180" s="27" t="n">
        <v>27</v>
      </c>
      <c r="C180" s="8" t="n">
        <v>41661</v>
      </c>
      <c r="D180" s="18" t="n">
        <v>3.2</v>
      </c>
      <c r="E180" s="18" t="n">
        <v>2</v>
      </c>
      <c r="F180" s="18" t="n">
        <v>4.5</v>
      </c>
      <c r="G180" s="7" t="n">
        <f aca="false">G179+D180</f>
        <v>1279.8</v>
      </c>
      <c r="H180" s="7" t="n">
        <f aca="false">H179+D180</f>
        <v>245.3</v>
      </c>
      <c r="J180" s="7" t="n">
        <v>3.7</v>
      </c>
      <c r="K180" s="7" t="n">
        <f aca="false">K179+J180</f>
        <v>340.4</v>
      </c>
      <c r="L180" s="7" t="n">
        <v>0.4</v>
      </c>
      <c r="M180" s="7" t="n">
        <f aca="false">M179+L180</f>
        <v>139.4</v>
      </c>
      <c r="N180" s="7" t="n">
        <f aca="false">J180-L180</f>
        <v>3.3</v>
      </c>
      <c r="O180" s="7" t="n">
        <v>189.6</v>
      </c>
      <c r="P180" s="7" t="n">
        <v>141</v>
      </c>
      <c r="Q180" s="17" t="n">
        <f aca="false">1+((P180-104)/111)*(1.15-1)</f>
        <v>1.05</v>
      </c>
      <c r="R180" s="15" t="n">
        <f aca="false">Q180*L180</f>
        <v>0.42</v>
      </c>
      <c r="S180" s="15" t="n">
        <f aca="false">J180-R180</f>
        <v>3.28</v>
      </c>
      <c r="T180" s="15" t="n">
        <f aca="false">MIN(189.6,(T179+S180))</f>
        <v>189.6</v>
      </c>
      <c r="V180" s="16" t="n">
        <v>87.7</v>
      </c>
      <c r="W180" s="7" t="n">
        <f aca="false">V180/D180</f>
        <v>27.40625</v>
      </c>
      <c r="X180" s="7" t="n">
        <f aca="false">X179+V180</f>
        <v>63551.5</v>
      </c>
      <c r="Y180" s="7" t="n">
        <f aca="false">Y179+V180</f>
        <v>8512.6</v>
      </c>
      <c r="AA180" s="28" t="n">
        <v>8.88759141097181</v>
      </c>
    </row>
    <row r="181" s="7" customFormat="true" ht="15" hidden="false" customHeight="false" outlineLevel="0" collapsed="false">
      <c r="A181" s="34"/>
      <c r="B181" s="27" t="n">
        <v>28</v>
      </c>
      <c r="C181" s="8" t="n">
        <v>41662</v>
      </c>
      <c r="D181" s="18" t="n">
        <v>5</v>
      </c>
      <c r="E181" s="18" t="n">
        <v>3.8</v>
      </c>
      <c r="F181" s="7" t="n">
        <v>7.5</v>
      </c>
      <c r="G181" s="7" t="n">
        <f aca="false">G180+D181</f>
        <v>1284.8</v>
      </c>
      <c r="H181" s="7" t="n">
        <f aca="false">H180+D181</f>
        <v>250.3</v>
      </c>
      <c r="J181" s="7" t="n">
        <v>5.4</v>
      </c>
      <c r="K181" s="7" t="n">
        <f aca="false">K180+J181</f>
        <v>345.8</v>
      </c>
      <c r="L181" s="7" t="n">
        <v>0.5</v>
      </c>
      <c r="M181" s="7" t="n">
        <f aca="false">M180+L181</f>
        <v>139.9</v>
      </c>
      <c r="N181" s="7" t="n">
        <f aca="false">J181-L181</f>
        <v>4.9</v>
      </c>
      <c r="O181" s="7" t="n">
        <v>189.6</v>
      </c>
      <c r="P181" s="7" t="n">
        <v>142</v>
      </c>
      <c r="Q181" s="17" t="n">
        <f aca="false">1+((P181-104)/111)*(1.15-1)</f>
        <v>1.05135135135135</v>
      </c>
      <c r="R181" s="15" t="n">
        <f aca="false">Q181*L181</f>
        <v>0.525675675675676</v>
      </c>
      <c r="S181" s="15" t="n">
        <f aca="false">J181-R181</f>
        <v>4.87432432432432</v>
      </c>
      <c r="T181" s="15" t="n">
        <f aca="false">MIN(189.6,(T180+S181))</f>
        <v>189.6</v>
      </c>
      <c r="V181" s="16" t="n">
        <v>151.3</v>
      </c>
      <c r="W181" s="7" t="n">
        <f aca="false">V181/D181</f>
        <v>30.26</v>
      </c>
      <c r="X181" s="7" t="n">
        <f aca="false">X180+V181</f>
        <v>63702.8</v>
      </c>
      <c r="Y181" s="7" t="n">
        <f aca="false">Y180+V181</f>
        <v>8663.9</v>
      </c>
      <c r="AA181" s="28" t="n">
        <v>8.93215569582119</v>
      </c>
    </row>
    <row r="182" s="7" customFormat="true" ht="15" hidden="false" customHeight="false" outlineLevel="0" collapsed="false">
      <c r="A182" s="34"/>
      <c r="B182" s="27" t="n">
        <v>29</v>
      </c>
      <c r="C182" s="8" t="n">
        <v>41663</v>
      </c>
      <c r="D182" s="18" t="n">
        <v>2.8</v>
      </c>
      <c r="E182" s="18" t="n">
        <v>1.1</v>
      </c>
      <c r="F182" s="7" t="n">
        <v>5.4</v>
      </c>
      <c r="G182" s="7" t="n">
        <f aca="false">G181+D182</f>
        <v>1287.6</v>
      </c>
      <c r="H182" s="7" t="n">
        <f aca="false">H181+D182</f>
        <v>253.1</v>
      </c>
      <c r="J182" s="7" t="n">
        <v>2.1</v>
      </c>
      <c r="K182" s="7" t="n">
        <f aca="false">K181+J182</f>
        <v>347.9</v>
      </c>
      <c r="L182" s="7" t="n">
        <v>0.5</v>
      </c>
      <c r="M182" s="7" t="n">
        <f aca="false">M181+L182</f>
        <v>140.4</v>
      </c>
      <c r="N182" s="7" t="n">
        <f aca="false">J182-L182</f>
        <v>1.6</v>
      </c>
      <c r="O182" s="7" t="n">
        <v>189.6</v>
      </c>
      <c r="P182" s="7" t="n">
        <v>143</v>
      </c>
      <c r="Q182" s="17" t="n">
        <f aca="false">1+((P182-104)/111)*(1.15-1)</f>
        <v>1.0527027027027</v>
      </c>
      <c r="R182" s="15" t="n">
        <f aca="false">Q182*L182</f>
        <v>0.526351351351351</v>
      </c>
      <c r="S182" s="15" t="n">
        <f aca="false">J182-R182</f>
        <v>1.57364864864865</v>
      </c>
      <c r="T182" s="15" t="n">
        <f aca="false">MIN(189.6,(T181+S182))</f>
        <v>189.6</v>
      </c>
      <c r="V182" s="16" t="n">
        <v>268.5</v>
      </c>
      <c r="W182" s="7" t="n">
        <f aca="false">V182/D182</f>
        <v>95.8928571428572</v>
      </c>
      <c r="X182" s="7" t="n">
        <f aca="false">X181+V182</f>
        <v>63971.3</v>
      </c>
      <c r="Y182" s="7" t="n">
        <f aca="false">Y181+V182</f>
        <v>8932.4</v>
      </c>
      <c r="AA182" s="28" t="n">
        <v>8.9776159277803</v>
      </c>
    </row>
    <row r="183" s="7" customFormat="true" ht="15" hidden="false" customHeight="false" outlineLevel="0" collapsed="false">
      <c r="A183" s="34"/>
      <c r="B183" s="35"/>
      <c r="C183" s="8" t="n">
        <v>41664</v>
      </c>
      <c r="D183" s="18" t="n">
        <v>4.6</v>
      </c>
      <c r="E183" s="18" t="n">
        <v>2.2</v>
      </c>
      <c r="F183" s="7" t="n">
        <v>6.5</v>
      </c>
      <c r="G183" s="7" t="n">
        <f aca="false">G182+D183</f>
        <v>1292.2</v>
      </c>
      <c r="H183" s="7" t="n">
        <f aca="false">H182+D183</f>
        <v>257.7</v>
      </c>
      <c r="J183" s="7" t="n">
        <v>0.9</v>
      </c>
      <c r="K183" s="7" t="n">
        <f aca="false">K182+J183</f>
        <v>348.8</v>
      </c>
      <c r="L183" s="7" t="n">
        <v>0.5</v>
      </c>
      <c r="M183" s="7" t="n">
        <f aca="false">M182+L183</f>
        <v>140.9</v>
      </c>
      <c r="N183" s="7" t="n">
        <f aca="false">J183-L183</f>
        <v>0.4</v>
      </c>
      <c r="O183" s="7" t="n">
        <v>189.6</v>
      </c>
      <c r="P183" s="7" t="n">
        <v>144</v>
      </c>
      <c r="Q183" s="17" t="n">
        <f aca="false">1+((P183-104)/111)*(1.15-1)</f>
        <v>1.05405405405405</v>
      </c>
      <c r="R183" s="15" t="n">
        <f aca="false">Q183*L183</f>
        <v>0.527027027027027</v>
      </c>
      <c r="S183" s="15" t="n">
        <f aca="false">J183-R183</f>
        <v>0.372972972972973</v>
      </c>
      <c r="T183" s="15" t="n">
        <f aca="false">MIN(189.6,(T182+S183))</f>
        <v>189.6</v>
      </c>
      <c r="V183" s="16" t="n">
        <v>166.3</v>
      </c>
      <c r="W183" s="7" t="n">
        <f aca="false">V183/D183</f>
        <v>36.1521739130435</v>
      </c>
      <c r="X183" s="7" t="n">
        <f aca="false">X182+V183</f>
        <v>64137.6</v>
      </c>
      <c r="Y183" s="7" t="n">
        <f aca="false">Y182+V183</f>
        <v>9098.7</v>
      </c>
      <c r="AA183" s="7" t="n">
        <v>9.02394004064672</v>
      </c>
    </row>
    <row r="184" s="7" customFormat="true" ht="15" hidden="false" customHeight="false" outlineLevel="0" collapsed="false">
      <c r="A184" s="34"/>
      <c r="B184" s="35"/>
      <c r="C184" s="8" t="n">
        <v>41665</v>
      </c>
      <c r="D184" s="7" t="n">
        <v>5.1</v>
      </c>
      <c r="E184" s="18" t="n">
        <v>2</v>
      </c>
      <c r="F184" s="7" t="n">
        <v>8.1</v>
      </c>
      <c r="G184" s="7" t="n">
        <f aca="false">G183+D184</f>
        <v>1297.3</v>
      </c>
      <c r="H184" s="7" t="n">
        <f aca="false">H183+D184</f>
        <v>262.8</v>
      </c>
      <c r="J184" s="7" t="n">
        <v>9.3</v>
      </c>
      <c r="K184" s="7" t="n">
        <f aca="false">K183+J184</f>
        <v>358.1</v>
      </c>
      <c r="L184" s="7" t="n">
        <v>0.6</v>
      </c>
      <c r="M184" s="7" t="n">
        <f aca="false">M183+L184</f>
        <v>141.5</v>
      </c>
      <c r="N184" s="7" t="n">
        <f aca="false">J184-L184</f>
        <v>8.7</v>
      </c>
      <c r="O184" s="7" t="n">
        <v>189.6</v>
      </c>
      <c r="P184" s="7" t="n">
        <v>145</v>
      </c>
      <c r="Q184" s="17" t="n">
        <f aca="false">1+((P184-104)/111)*(1.15-1)</f>
        <v>1.05540540540541</v>
      </c>
      <c r="R184" s="15" t="n">
        <f aca="false">Q184*L184</f>
        <v>0.633243243243243</v>
      </c>
      <c r="S184" s="15" t="n">
        <f aca="false">J184-R184</f>
        <v>8.66675675675676</v>
      </c>
      <c r="T184" s="15" t="n">
        <f aca="false">MIN(189.6,(T183+S184))</f>
        <v>189.6</v>
      </c>
      <c r="V184" s="16" t="n">
        <v>321.6</v>
      </c>
      <c r="W184" s="7" t="n">
        <f aca="false">V184/D184</f>
        <v>63.0588235294118</v>
      </c>
      <c r="X184" s="7" t="n">
        <f aca="false">X183+V184</f>
        <v>64459.2</v>
      </c>
      <c r="Y184" s="7" t="n">
        <f aca="false">Y183+V184</f>
        <v>9420.3</v>
      </c>
      <c r="AA184" s="7" t="n">
        <v>9.07109637263594</v>
      </c>
    </row>
    <row r="185" s="7" customFormat="true" ht="15" hidden="false" customHeight="false" outlineLevel="0" collapsed="false">
      <c r="A185" s="34"/>
      <c r="B185" s="35"/>
      <c r="C185" s="8" t="n">
        <v>41666</v>
      </c>
      <c r="D185" s="18" t="n">
        <v>2.9</v>
      </c>
      <c r="E185" s="18" t="n">
        <v>2</v>
      </c>
      <c r="F185" s="18" t="n">
        <v>4.1</v>
      </c>
      <c r="G185" s="7" t="n">
        <f aca="false">G184+D185</f>
        <v>1300.2</v>
      </c>
      <c r="H185" s="7" t="n">
        <f aca="false">H184+D185</f>
        <v>265.7</v>
      </c>
      <c r="J185" s="7" t="n">
        <v>4.5</v>
      </c>
      <c r="K185" s="7" t="n">
        <f aca="false">K184+J185</f>
        <v>362.6</v>
      </c>
      <c r="L185" s="7" t="n">
        <v>0.5</v>
      </c>
      <c r="M185" s="7" t="n">
        <f aca="false">M184+L185</f>
        <v>142</v>
      </c>
      <c r="N185" s="7" t="n">
        <f aca="false">J185-L185</f>
        <v>4</v>
      </c>
      <c r="O185" s="7" t="n">
        <v>189.6</v>
      </c>
      <c r="P185" s="7" t="n">
        <v>146</v>
      </c>
      <c r="Q185" s="17" t="n">
        <f aca="false">1+((P185-104)/111)*(1.15-1)</f>
        <v>1.05675675675676</v>
      </c>
      <c r="R185" s="15" t="n">
        <f aca="false">Q185*L185</f>
        <v>0.528378378378378</v>
      </c>
      <c r="S185" s="15" t="n">
        <f aca="false">J185-R185</f>
        <v>3.97162162162162</v>
      </c>
      <c r="T185" s="15" t="n">
        <f aca="false">MIN(189.6,(T184+S185))</f>
        <v>189.6</v>
      </c>
      <c r="V185" s="16" t="n">
        <v>146</v>
      </c>
      <c r="W185" s="7" t="n">
        <f aca="false">V185/D185</f>
        <v>50.3448275862069</v>
      </c>
      <c r="X185" s="7" t="n">
        <f aca="false">X184+V185</f>
        <v>64605.2</v>
      </c>
      <c r="Y185" s="7" t="n">
        <f aca="false">Y184+V185</f>
        <v>9566.3</v>
      </c>
      <c r="AA185" s="7" t="n">
        <v>9.1190537150738</v>
      </c>
    </row>
    <row r="186" s="7" customFormat="true" ht="15" hidden="false" customHeight="false" outlineLevel="0" collapsed="false">
      <c r="A186" s="34"/>
      <c r="B186" s="35"/>
      <c r="C186" s="8" t="n">
        <v>41667</v>
      </c>
      <c r="D186" s="18" t="n">
        <v>4.2</v>
      </c>
      <c r="E186" s="18" t="n">
        <v>2.3</v>
      </c>
      <c r="F186" s="7" t="n">
        <v>5.2</v>
      </c>
      <c r="G186" s="7" t="n">
        <f aca="false">G185+D186</f>
        <v>1304.4</v>
      </c>
      <c r="H186" s="7" t="n">
        <f aca="false">H185+D186</f>
        <v>269.9</v>
      </c>
      <c r="J186" s="7" t="n">
        <v>2</v>
      </c>
      <c r="K186" s="7" t="n">
        <f aca="false">K185+J186</f>
        <v>364.6</v>
      </c>
      <c r="L186" s="7" t="n">
        <v>0.3</v>
      </c>
      <c r="M186" s="7" t="n">
        <f aca="false">M185+L186</f>
        <v>142.3</v>
      </c>
      <c r="N186" s="7" t="n">
        <f aca="false">J186-L186</f>
        <v>1.7</v>
      </c>
      <c r="O186" s="7" t="n">
        <v>189.6</v>
      </c>
      <c r="P186" s="7" t="n">
        <v>147</v>
      </c>
      <c r="Q186" s="17" t="n">
        <f aca="false">1+((P186-104)/111)*(1.15-1)</f>
        <v>1.05810810810811</v>
      </c>
      <c r="R186" s="15" t="n">
        <f aca="false">Q186*L186</f>
        <v>0.317432432432432</v>
      </c>
      <c r="S186" s="15" t="n">
        <f aca="false">J186-R186</f>
        <v>1.68256756756757</v>
      </c>
      <c r="T186" s="15" t="n">
        <f aca="false">MIN(189.6,(T185+S186))</f>
        <v>189.6</v>
      </c>
      <c r="V186" s="16" t="n">
        <v>126.8</v>
      </c>
      <c r="W186" s="7" t="n">
        <f aca="false">V186/D186</f>
        <v>30.1904761904762</v>
      </c>
      <c r="X186" s="7" t="n">
        <f aca="false">X185+V186</f>
        <v>64732</v>
      </c>
      <c r="Y186" s="7" t="n">
        <f aca="false">Y185+V186</f>
        <v>9693.1</v>
      </c>
      <c r="AA186" s="7" t="n">
        <v>9.16778135659601</v>
      </c>
    </row>
    <row r="187" s="7" customFormat="true" ht="15" hidden="false" customHeight="false" outlineLevel="0" collapsed="false">
      <c r="A187" s="34"/>
      <c r="B187" s="35"/>
      <c r="C187" s="8" t="n">
        <v>41668</v>
      </c>
      <c r="D187" s="18" t="n">
        <v>3.7</v>
      </c>
      <c r="E187" s="18" t="n">
        <v>2.8</v>
      </c>
      <c r="F187" s="18" t="n">
        <v>4.5</v>
      </c>
      <c r="G187" s="7" t="n">
        <f aca="false">G186+D187</f>
        <v>1308.1</v>
      </c>
      <c r="H187" s="7" t="n">
        <f aca="false">H186+D187</f>
        <v>273.6</v>
      </c>
      <c r="J187" s="7" t="n">
        <v>3.3</v>
      </c>
      <c r="K187" s="7" t="n">
        <f aca="false">K186+J187</f>
        <v>367.9</v>
      </c>
      <c r="L187" s="7" t="n">
        <v>0.6</v>
      </c>
      <c r="M187" s="7" t="n">
        <f aca="false">M186+L187</f>
        <v>142.9</v>
      </c>
      <c r="N187" s="7" t="n">
        <f aca="false">J187-L187</f>
        <v>2.7</v>
      </c>
      <c r="O187" s="7" t="n">
        <v>189.6</v>
      </c>
      <c r="P187" s="7" t="n">
        <v>148</v>
      </c>
      <c r="Q187" s="17" t="n">
        <f aca="false">1+((P187-104)/111)*(1.15-1)</f>
        <v>1.05945945945946</v>
      </c>
      <c r="R187" s="15" t="n">
        <f aca="false">Q187*L187</f>
        <v>0.635675675675676</v>
      </c>
      <c r="S187" s="15" t="n">
        <f aca="false">J187-R187</f>
        <v>2.66432432432432</v>
      </c>
      <c r="T187" s="15" t="n">
        <f aca="false">MIN(189.6,(T186+S187))</f>
        <v>189.6</v>
      </c>
      <c r="V187" s="16" t="n">
        <v>262.8</v>
      </c>
      <c r="W187" s="7" t="n">
        <f aca="false">V187/D187</f>
        <v>71.027027027027</v>
      </c>
      <c r="X187" s="7" t="n">
        <f aca="false">X186+V187</f>
        <v>64994.8</v>
      </c>
      <c r="Y187" s="7" t="n">
        <f aca="false">Y186+V187</f>
        <v>9955.9</v>
      </c>
      <c r="AA187" s="7" t="n">
        <v>9.21724912294005</v>
      </c>
    </row>
    <row r="188" s="7" customFormat="true" ht="15" hidden="false" customHeight="false" outlineLevel="0" collapsed="false">
      <c r="A188" s="34"/>
      <c r="B188" s="35"/>
      <c r="C188" s="8" t="n">
        <v>41669</v>
      </c>
      <c r="D188" s="18" t="n">
        <v>4.7</v>
      </c>
      <c r="E188" s="18" t="n">
        <v>3.6</v>
      </c>
      <c r="F188" s="7" t="n">
        <v>6.3</v>
      </c>
      <c r="G188" s="7" t="n">
        <f aca="false">G187+D188</f>
        <v>1312.8</v>
      </c>
      <c r="H188" s="7" t="n">
        <f aca="false">H187+D188</f>
        <v>278.3</v>
      </c>
      <c r="J188" s="7" t="n">
        <v>0</v>
      </c>
      <c r="K188" s="7" t="n">
        <f aca="false">K187+J188</f>
        <v>367.9</v>
      </c>
      <c r="L188" s="7" t="n">
        <v>0.3</v>
      </c>
      <c r="M188" s="7" t="n">
        <f aca="false">M187+L188</f>
        <v>143.2</v>
      </c>
      <c r="N188" s="14" t="n">
        <f aca="false">J188-L188</f>
        <v>-0.3</v>
      </c>
      <c r="O188" s="7" t="n">
        <f aca="false">O187+N188</f>
        <v>189.3</v>
      </c>
      <c r="P188" s="7" t="n">
        <v>149</v>
      </c>
      <c r="Q188" s="17" t="n">
        <f aca="false">1+((P188-104)/111)*(1.15-1)</f>
        <v>1.06081081081081</v>
      </c>
      <c r="R188" s="15" t="n">
        <f aca="false">Q188*L188</f>
        <v>0.318243243243243</v>
      </c>
      <c r="S188" s="15" t="n">
        <f aca="false">J188-R188</f>
        <v>-0.318243243243243</v>
      </c>
      <c r="T188" s="15" t="n">
        <f aca="false">MIN(189.6,(T187+S188))</f>
        <v>189.281756756757</v>
      </c>
      <c r="V188" s="16" t="n">
        <v>125.8</v>
      </c>
      <c r="W188" s="7" t="n">
        <f aca="false">V188/D188</f>
        <v>26.7659574468085</v>
      </c>
      <c r="X188" s="7" t="n">
        <f aca="false">X187+V188</f>
        <v>65120.6</v>
      </c>
      <c r="Y188" s="7" t="n">
        <f aca="false">Y187+V188</f>
        <v>10081.7</v>
      </c>
      <c r="AA188" s="7" t="n">
        <v>9.2674274124374</v>
      </c>
    </row>
    <row r="189" s="7" customFormat="true" ht="15" hidden="false" customHeight="false" outlineLevel="0" collapsed="false">
      <c r="A189" s="34"/>
      <c r="B189" s="35"/>
      <c r="C189" s="8" t="n">
        <v>41670</v>
      </c>
      <c r="D189" s="18" t="n">
        <v>4.4</v>
      </c>
      <c r="E189" s="18" t="n">
        <v>0.6</v>
      </c>
      <c r="F189" s="7" t="n">
        <v>7.3</v>
      </c>
      <c r="G189" s="7" t="n">
        <f aca="false">G188+D189</f>
        <v>1317.2</v>
      </c>
      <c r="H189" s="7" t="n">
        <f aca="false">H188+D189</f>
        <v>282.7</v>
      </c>
      <c r="J189" s="7" t="n">
        <v>13</v>
      </c>
      <c r="K189" s="7" t="n">
        <f aca="false">K188+J189</f>
        <v>380.9</v>
      </c>
      <c r="L189" s="7" t="n">
        <v>0.3</v>
      </c>
      <c r="M189" s="7" t="n">
        <f aca="false">M188+L189</f>
        <v>143.5</v>
      </c>
      <c r="N189" s="7" t="n">
        <f aca="false">J189-L189</f>
        <v>12.7</v>
      </c>
      <c r="O189" s="7" t="n">
        <v>189.6</v>
      </c>
      <c r="P189" s="7" t="n">
        <v>150</v>
      </c>
      <c r="Q189" s="17" t="n">
        <f aca="false">1+((P189-104)/111)*(1.15-1)</f>
        <v>1.06216216216216</v>
      </c>
      <c r="R189" s="15" t="n">
        <f aca="false">Q189*L189</f>
        <v>0.318648648648649</v>
      </c>
      <c r="S189" s="15" t="n">
        <f aca="false">J189-R189</f>
        <v>12.6813513513514</v>
      </c>
      <c r="T189" s="15" t="n">
        <f aca="false">MIN(189.6,(T188+S189))</f>
        <v>189.6</v>
      </c>
      <c r="V189" s="16" t="n">
        <v>218.3</v>
      </c>
      <c r="W189" s="7" t="n">
        <f aca="false">V189/D189</f>
        <v>49.6136363636364</v>
      </c>
      <c r="X189" s="7" t="n">
        <f aca="false">X188+V189</f>
        <v>65338.9</v>
      </c>
      <c r="Y189" s="7" t="n">
        <f aca="false">Y188+V189</f>
        <v>10300</v>
      </c>
      <c r="AA189" s="7" t="n">
        <v>9.31828722733351</v>
      </c>
    </row>
    <row r="190" s="7" customFormat="true" ht="15" hidden="false" customHeight="false" outlineLevel="0" collapsed="false">
      <c r="A190" s="34"/>
      <c r="B190" s="35"/>
      <c r="C190" s="8" t="n">
        <v>41671</v>
      </c>
      <c r="D190" s="7" t="n">
        <v>5.9</v>
      </c>
      <c r="E190" s="18" t="n">
        <v>4.6</v>
      </c>
      <c r="F190" s="7" t="n">
        <v>7.8</v>
      </c>
      <c r="G190" s="7" t="n">
        <f aca="false">G189+D190</f>
        <v>1323.1</v>
      </c>
      <c r="H190" s="7" t="n">
        <f aca="false">H189+D190</f>
        <v>288.6</v>
      </c>
      <c r="J190" s="7" t="n">
        <v>0.9</v>
      </c>
      <c r="K190" s="7" t="n">
        <f aca="false">K189+J190</f>
        <v>381.8</v>
      </c>
      <c r="L190" s="7" t="n">
        <v>0.8</v>
      </c>
      <c r="M190" s="7" t="n">
        <f aca="false">M189+L190</f>
        <v>144.3</v>
      </c>
      <c r="N190" s="7" t="n">
        <f aca="false">J190-L190</f>
        <v>0.1</v>
      </c>
      <c r="O190" s="7" t="n">
        <v>189.6</v>
      </c>
      <c r="P190" s="7" t="n">
        <v>151</v>
      </c>
      <c r="Q190" s="17" t="n">
        <f aca="false">1+((P190-104)/111)*(1.15-1)</f>
        <v>1.06351351351351</v>
      </c>
      <c r="R190" s="15" t="n">
        <f aca="false">Q190*L190</f>
        <v>0.850810810810811</v>
      </c>
      <c r="S190" s="15" t="n">
        <f aca="false">J190-R190</f>
        <v>0.0491891891891892</v>
      </c>
      <c r="T190" s="15" t="n">
        <f aca="false">MIN(189.6,(T189+S190))</f>
        <v>189.6</v>
      </c>
      <c r="V190" s="16" t="n">
        <v>272</v>
      </c>
      <c r="W190" s="7" t="n">
        <f aca="false">V190/D190</f>
        <v>46.1016949152542</v>
      </c>
      <c r="X190" s="7" t="n">
        <f aca="false">X189+V190</f>
        <v>65610.9</v>
      </c>
      <c r="Y190" s="7" t="n">
        <f aca="false">Y189+V190</f>
        <v>10572</v>
      </c>
      <c r="AA190" s="7" t="n">
        <v>9.36980020107949</v>
      </c>
    </row>
    <row r="191" s="7" customFormat="true" ht="15" hidden="false" customHeight="false" outlineLevel="0" collapsed="false">
      <c r="A191" s="34"/>
      <c r="B191" s="35"/>
      <c r="C191" s="8" t="n">
        <v>41672</v>
      </c>
      <c r="D191" s="18" t="n">
        <v>4.2</v>
      </c>
      <c r="E191" s="18" t="n">
        <v>2.1</v>
      </c>
      <c r="F191" s="7" t="n">
        <v>7</v>
      </c>
      <c r="G191" s="7" t="n">
        <f aca="false">G190+D191</f>
        <v>1327.3</v>
      </c>
      <c r="H191" s="7" t="n">
        <f aca="false">H190+D191</f>
        <v>292.8</v>
      </c>
      <c r="J191" s="7" t="n">
        <v>0.1</v>
      </c>
      <c r="K191" s="7" t="n">
        <f aca="false">K190+J191</f>
        <v>381.9</v>
      </c>
      <c r="L191" s="7" t="n">
        <v>1</v>
      </c>
      <c r="M191" s="7" t="n">
        <f aca="false">M190+L191</f>
        <v>145.3</v>
      </c>
      <c r="N191" s="14" t="n">
        <f aca="false">J191-L191</f>
        <v>-0.9</v>
      </c>
      <c r="O191" s="7" t="n">
        <f aca="false">O190+N191</f>
        <v>188.7</v>
      </c>
      <c r="P191" s="7" t="n">
        <v>152</v>
      </c>
      <c r="Q191" s="17" t="n">
        <f aca="false">1+((P191-104)/111)*(1.15-1)</f>
        <v>1.06486486486486</v>
      </c>
      <c r="R191" s="15" t="n">
        <f aca="false">Q191*L191</f>
        <v>1.06486486486486</v>
      </c>
      <c r="S191" s="15" t="n">
        <f aca="false">J191-R191</f>
        <v>-0.964864864864865</v>
      </c>
      <c r="T191" s="15" t="n">
        <f aca="false">MIN(189.6,(T190+S191))</f>
        <v>188.635135135135</v>
      </c>
      <c r="V191" s="16" t="n">
        <v>752.5</v>
      </c>
      <c r="W191" s="7" t="n">
        <f aca="false">V191/D191</f>
        <v>179.166666666667</v>
      </c>
      <c r="X191" s="7" t="n">
        <f aca="false">X190+V191</f>
        <v>66363.4</v>
      </c>
      <c r="Y191" s="7" t="n">
        <f aca="false">Y190+V191</f>
        <v>11324.5</v>
      </c>
      <c r="AA191" s="7" t="n">
        <v>9.42193862175289</v>
      </c>
    </row>
    <row r="192" s="7" customFormat="true" ht="15" hidden="false" customHeight="false" outlineLevel="0" collapsed="false">
      <c r="A192" s="34"/>
      <c r="B192" s="35"/>
      <c r="C192" s="8" t="n">
        <v>41673</v>
      </c>
      <c r="D192" s="18" t="n">
        <v>3.9</v>
      </c>
      <c r="E192" s="18" t="n">
        <v>0.9</v>
      </c>
      <c r="F192" s="7" t="n">
        <v>6.6</v>
      </c>
      <c r="G192" s="7" t="n">
        <f aca="false">G191+D192</f>
        <v>1331.2</v>
      </c>
      <c r="H192" s="7" t="n">
        <f aca="false">H191+D192</f>
        <v>296.7</v>
      </c>
      <c r="J192" s="7" t="n">
        <v>0</v>
      </c>
      <c r="K192" s="7" t="n">
        <f aca="false">K191+J192</f>
        <v>381.9</v>
      </c>
      <c r="L192" s="7" t="n">
        <v>0.8</v>
      </c>
      <c r="M192" s="7" t="n">
        <f aca="false">M191+L192</f>
        <v>146.1</v>
      </c>
      <c r="N192" s="14" t="n">
        <f aca="false">J192-L192</f>
        <v>-0.8</v>
      </c>
      <c r="O192" s="7" t="n">
        <f aca="false">O191+N192</f>
        <v>187.9</v>
      </c>
      <c r="P192" s="7" t="n">
        <v>153</v>
      </c>
      <c r="Q192" s="17" t="n">
        <f aca="false">1+((P192-104)/111)*(1.15-1)</f>
        <v>1.06621621621622</v>
      </c>
      <c r="R192" s="15" t="n">
        <f aca="false">Q192*L192</f>
        <v>0.852972972972973</v>
      </c>
      <c r="S192" s="15" t="n">
        <f aca="false">J192-R192</f>
        <v>-0.852972972972973</v>
      </c>
      <c r="T192" s="15" t="n">
        <f aca="false">MIN(189.6,(T191+S192))</f>
        <v>187.782162162162</v>
      </c>
      <c r="V192" s="16" t="n">
        <v>672.2</v>
      </c>
      <c r="W192" s="7" t="n">
        <f aca="false">V192/D192</f>
        <v>172.358974358974</v>
      </c>
      <c r="X192" s="7" t="n">
        <f aca="false">X191+V192</f>
        <v>67035.6</v>
      </c>
      <c r="Y192" s="7" t="n">
        <f aca="false">Y191+V192</f>
        <v>11996.7</v>
      </c>
      <c r="AA192" s="7" t="n">
        <v>9.47467545177604</v>
      </c>
    </row>
    <row r="193" s="7" customFormat="true" ht="15" hidden="false" customHeight="false" outlineLevel="0" collapsed="false">
      <c r="A193" s="34"/>
      <c r="B193" s="35"/>
      <c r="C193" s="8" t="n">
        <v>41674</v>
      </c>
      <c r="D193" s="7" t="n">
        <v>5.6</v>
      </c>
      <c r="E193" s="18" t="n">
        <v>3.5</v>
      </c>
      <c r="F193" s="7" t="n">
        <v>6.9</v>
      </c>
      <c r="G193" s="7" t="n">
        <f aca="false">G192+D193</f>
        <v>1336.8</v>
      </c>
      <c r="H193" s="7" t="n">
        <f aca="false">H192+D193</f>
        <v>302.3</v>
      </c>
      <c r="J193" s="7" t="n">
        <v>2</v>
      </c>
      <c r="K193" s="7" t="n">
        <f aca="false">K192+J193</f>
        <v>383.9</v>
      </c>
      <c r="L193" s="7" t="n">
        <v>0.9</v>
      </c>
      <c r="M193" s="7" t="n">
        <f aca="false">M192+L193</f>
        <v>147</v>
      </c>
      <c r="N193" s="7" t="n">
        <f aca="false">J193-L193</f>
        <v>1.1</v>
      </c>
      <c r="O193" s="7" t="n">
        <f aca="false">O192+N193</f>
        <v>189</v>
      </c>
      <c r="P193" s="7" t="n">
        <v>154</v>
      </c>
      <c r="Q193" s="17" t="n">
        <f aca="false">1+((P193-104)/111)*(1.15-1)</f>
        <v>1.06756756756757</v>
      </c>
      <c r="R193" s="15" t="n">
        <f aca="false">Q193*L193</f>
        <v>0.960810810810811</v>
      </c>
      <c r="S193" s="15" t="n">
        <f aca="false">J193-R193</f>
        <v>1.03918918918919</v>
      </c>
      <c r="T193" s="15" t="n">
        <f aca="false">MIN(189.6,(T192+S193))</f>
        <v>188.821351351351</v>
      </c>
      <c r="V193" s="16" t="n">
        <v>321.9</v>
      </c>
      <c r="W193" s="7" t="n">
        <f aca="false">V193/D193</f>
        <v>57.4821428571429</v>
      </c>
      <c r="X193" s="7" t="n">
        <f aca="false">X192+V193</f>
        <v>67357.5</v>
      </c>
      <c r="Y193" s="7" t="n">
        <f aca="false">Y192+V193</f>
        <v>12318.6</v>
      </c>
      <c r="AA193" s="7" t="n">
        <v>9.52798434410822</v>
      </c>
    </row>
    <row r="194" s="7" customFormat="true" ht="15" hidden="false" customHeight="false" outlineLevel="0" collapsed="false">
      <c r="A194" s="34"/>
      <c r="B194" s="35"/>
      <c r="C194" s="8" t="n">
        <v>41675</v>
      </c>
      <c r="D194" s="7" t="n">
        <v>7.2</v>
      </c>
      <c r="E194" s="7" t="n">
        <v>5.8</v>
      </c>
      <c r="F194" s="7" t="n">
        <v>8.3</v>
      </c>
      <c r="G194" s="7" t="n">
        <f aca="false">G193+D194</f>
        <v>1344</v>
      </c>
      <c r="H194" s="7" t="n">
        <f aca="false">H193+D194</f>
        <v>309.5</v>
      </c>
      <c r="J194" s="7" t="n">
        <v>0.6</v>
      </c>
      <c r="K194" s="7" t="n">
        <f aca="false">K193+J194</f>
        <v>384.5</v>
      </c>
      <c r="L194" s="7" t="n">
        <v>1.3</v>
      </c>
      <c r="M194" s="7" t="n">
        <f aca="false">M193+L194</f>
        <v>148.3</v>
      </c>
      <c r="N194" s="14" t="n">
        <f aca="false">J194-L194</f>
        <v>-0.7</v>
      </c>
      <c r="O194" s="7" t="n">
        <f aca="false">O193+N194</f>
        <v>188.3</v>
      </c>
      <c r="P194" s="7" t="n">
        <v>155</v>
      </c>
      <c r="Q194" s="17" t="n">
        <f aca="false">1+((P194-104)/111)*(1.15-1)</f>
        <v>1.06891891891892</v>
      </c>
      <c r="R194" s="15" t="n">
        <f aca="false">Q194*L194</f>
        <v>1.38959459459459</v>
      </c>
      <c r="S194" s="15" t="n">
        <f aca="false">J194-R194</f>
        <v>-0.789594594594595</v>
      </c>
      <c r="T194" s="15" t="n">
        <f aca="false">MIN(189.6,(T193+S194))</f>
        <v>188.031756756757</v>
      </c>
      <c r="V194" s="16" t="n">
        <v>482.3</v>
      </c>
      <c r="W194" s="7" t="n">
        <f aca="false">V194/D194</f>
        <v>66.9861111111111</v>
      </c>
      <c r="X194" s="7" t="n">
        <f aca="false">X193+V194</f>
        <v>67839.8</v>
      </c>
      <c r="Y194" s="7" t="n">
        <f aca="false">Y193+V194</f>
        <v>12800.9</v>
      </c>
      <c r="AA194" s="7" t="n">
        <v>9.58183965509436</v>
      </c>
    </row>
    <row r="195" s="7" customFormat="true" ht="15" hidden="false" customHeight="false" outlineLevel="0" collapsed="false">
      <c r="A195" s="34"/>
      <c r="B195" s="35"/>
      <c r="C195" s="8" t="n">
        <v>41676</v>
      </c>
      <c r="D195" s="7" t="n">
        <v>7.5</v>
      </c>
      <c r="E195" s="18" t="n">
        <v>5</v>
      </c>
      <c r="F195" s="7" t="n">
        <v>11.2</v>
      </c>
      <c r="G195" s="7" t="n">
        <f aca="false">G194+D195</f>
        <v>1351.5</v>
      </c>
      <c r="H195" s="7" t="n">
        <f aca="false">H194+D195</f>
        <v>317</v>
      </c>
      <c r="J195" s="7" t="n">
        <v>7.2</v>
      </c>
      <c r="K195" s="7" t="n">
        <f aca="false">K194+J195</f>
        <v>391.7</v>
      </c>
      <c r="L195" s="7" t="n">
        <v>1.5</v>
      </c>
      <c r="M195" s="7" t="n">
        <f aca="false">M194+L195</f>
        <v>149.8</v>
      </c>
      <c r="N195" s="7" t="n">
        <f aca="false">J195-L195</f>
        <v>5.7</v>
      </c>
      <c r="O195" s="7" t="n">
        <v>189.6</v>
      </c>
      <c r="P195" s="7" t="n">
        <v>156</v>
      </c>
      <c r="Q195" s="17" t="n">
        <f aca="false">1+((P195-104)/111)*(1.15-1)</f>
        <v>1.07027027027027</v>
      </c>
      <c r="R195" s="15" t="n">
        <f aca="false">Q195*L195</f>
        <v>1.60540540540541</v>
      </c>
      <c r="S195" s="15" t="n">
        <f aca="false">J195-R195</f>
        <v>5.5945945945946</v>
      </c>
      <c r="T195" s="15" t="n">
        <f aca="false">MIN(189.6,(T194+S195))</f>
        <v>189.6</v>
      </c>
      <c r="V195" s="16" t="n">
        <v>193.9</v>
      </c>
      <c r="W195" s="7" t="n">
        <f aca="false">V195/D195</f>
        <v>25.8533333333333</v>
      </c>
      <c r="X195" s="7" t="n">
        <f aca="false">X194+V195</f>
        <v>68033.7</v>
      </c>
      <c r="Y195" s="7" t="n">
        <f aca="false">Y194+V195</f>
        <v>12994.8</v>
      </c>
      <c r="AA195" s="7" t="n">
        <v>9.63621645415633</v>
      </c>
    </row>
    <row r="196" s="7" customFormat="true" ht="15" hidden="false" customHeight="false" outlineLevel="0" collapsed="false">
      <c r="A196" s="34"/>
      <c r="B196" s="35"/>
      <c r="C196" s="8" t="n">
        <v>41677</v>
      </c>
      <c r="D196" s="7" t="n">
        <v>7.9</v>
      </c>
      <c r="E196" s="7" t="n">
        <v>5.3</v>
      </c>
      <c r="F196" s="7" t="n">
        <v>9.4</v>
      </c>
      <c r="G196" s="7" t="n">
        <f aca="false">G195+D196</f>
        <v>1359.4</v>
      </c>
      <c r="H196" s="7" t="n">
        <f aca="false">H195+D196</f>
        <v>324.9</v>
      </c>
      <c r="J196" s="7" t="n">
        <v>5</v>
      </c>
      <c r="K196" s="7" t="n">
        <f aca="false">K195+J196</f>
        <v>396.7</v>
      </c>
      <c r="L196" s="7" t="n">
        <v>0.9</v>
      </c>
      <c r="M196" s="7" t="n">
        <f aca="false">M195+L196</f>
        <v>150.7</v>
      </c>
      <c r="N196" s="7" t="n">
        <f aca="false">J196-L196</f>
        <v>4.1</v>
      </c>
      <c r="O196" s="7" t="n">
        <v>189.6</v>
      </c>
      <c r="P196" s="7" t="n">
        <v>157</v>
      </c>
      <c r="Q196" s="17" t="n">
        <f aca="false">1+((P196-104)/111)*(1.15-1)</f>
        <v>1.07162162162162</v>
      </c>
      <c r="R196" s="15" t="n">
        <f aca="false">Q196*L196</f>
        <v>0.96445945945946</v>
      </c>
      <c r="S196" s="15" t="n">
        <f aca="false">J196-R196</f>
        <v>4.03554054054054</v>
      </c>
      <c r="T196" s="15" t="n">
        <f aca="false">MIN(189.6,(T195+S196))</f>
        <v>189.6</v>
      </c>
      <c r="V196" s="16" t="n">
        <v>273.7</v>
      </c>
      <c r="W196" s="7" t="n">
        <f aca="false">V196/D196</f>
        <v>34.6455696202532</v>
      </c>
      <c r="X196" s="7" t="n">
        <f aca="false">X195+V196</f>
        <v>68307.4</v>
      </c>
      <c r="Y196" s="7" t="n">
        <f aca="false">Y195+V196</f>
        <v>13268.5</v>
      </c>
      <c r="AA196" s="7" t="n">
        <v>9.69109053051493</v>
      </c>
    </row>
    <row r="197" s="7" customFormat="true" ht="15" hidden="false" customHeight="false" outlineLevel="0" collapsed="false">
      <c r="A197" s="34"/>
      <c r="B197" s="35"/>
      <c r="C197" s="8" t="n">
        <v>41678</v>
      </c>
      <c r="D197" s="7" t="n">
        <v>7</v>
      </c>
      <c r="E197" s="7" t="n">
        <v>5.5</v>
      </c>
      <c r="F197" s="7" t="n">
        <v>9</v>
      </c>
      <c r="G197" s="7" t="n">
        <f aca="false">G196+D197</f>
        <v>1366.4</v>
      </c>
      <c r="H197" s="7" t="n">
        <f aca="false">H196+D197</f>
        <v>331.9</v>
      </c>
      <c r="J197" s="7" t="n">
        <v>1</v>
      </c>
      <c r="K197" s="7" t="n">
        <f aca="false">K196+J197</f>
        <v>397.7</v>
      </c>
      <c r="L197" s="7" t="n">
        <v>1.3</v>
      </c>
      <c r="M197" s="7" t="n">
        <f aca="false">M196+L197</f>
        <v>152</v>
      </c>
      <c r="N197" s="14" t="n">
        <f aca="false">J197-L197</f>
        <v>-0.3</v>
      </c>
      <c r="O197" s="7" t="n">
        <f aca="false">O196+N197</f>
        <v>189.3</v>
      </c>
      <c r="P197" s="7" t="n">
        <v>158</v>
      </c>
      <c r="Q197" s="17" t="n">
        <f aca="false">1+((P197-104)/111)*(1.15-1)</f>
        <v>1.07297297297297</v>
      </c>
      <c r="R197" s="15" t="n">
        <f aca="false">Q197*L197</f>
        <v>1.39486486486486</v>
      </c>
      <c r="S197" s="15" t="n">
        <f aca="false">J197-R197</f>
        <v>-0.394864864864865</v>
      </c>
      <c r="T197" s="15" t="n">
        <f aca="false">MIN(189.6,(T196+S197))</f>
        <v>189.205135135135</v>
      </c>
      <c r="V197" s="16" t="n">
        <v>574.3</v>
      </c>
      <c r="W197" s="7" t="n">
        <f aca="false">V197/D197</f>
        <v>82.0428571428571</v>
      </c>
      <c r="X197" s="7" t="n">
        <f aca="false">X196+V197</f>
        <v>68881.7</v>
      </c>
      <c r="Y197" s="7" t="n">
        <f aca="false">Y196+V197</f>
        <v>13842.8</v>
      </c>
      <c r="AA197" s="7" t="n">
        <v>9.74643839713075</v>
      </c>
    </row>
    <row r="198" s="7" customFormat="true" ht="15" hidden="false" customHeight="false" outlineLevel="0" collapsed="false">
      <c r="A198" s="34"/>
      <c r="B198" s="35"/>
      <c r="C198" s="8" t="n">
        <v>41679</v>
      </c>
      <c r="D198" s="7" t="n">
        <v>5.5</v>
      </c>
      <c r="E198" s="18" t="n">
        <v>4.3</v>
      </c>
      <c r="F198" s="7" t="n">
        <v>7.5</v>
      </c>
      <c r="G198" s="7" t="n">
        <f aca="false">G197+D198</f>
        <v>1371.9</v>
      </c>
      <c r="H198" s="7" t="n">
        <f aca="false">H197+D198</f>
        <v>337.4</v>
      </c>
      <c r="J198" s="7" t="n">
        <v>0</v>
      </c>
      <c r="K198" s="7" t="n">
        <f aca="false">K197+J198</f>
        <v>397.7</v>
      </c>
      <c r="L198" s="7" t="n">
        <v>1.6</v>
      </c>
      <c r="M198" s="7" t="n">
        <f aca="false">M197+L198</f>
        <v>153.6</v>
      </c>
      <c r="N198" s="14" t="n">
        <f aca="false">J198-L198</f>
        <v>-1.6</v>
      </c>
      <c r="O198" s="7" t="n">
        <f aca="false">O197+N198</f>
        <v>187.7</v>
      </c>
      <c r="P198" s="7" t="n">
        <v>159</v>
      </c>
      <c r="Q198" s="17" t="n">
        <f aca="false">1+((P198-104)/111)*(1.15-1)</f>
        <v>1.07432432432432</v>
      </c>
      <c r="R198" s="15" t="n">
        <f aca="false">Q198*L198</f>
        <v>1.71891891891892</v>
      </c>
      <c r="S198" s="15" t="n">
        <f aca="false">J198-R198</f>
        <v>-1.71891891891892</v>
      </c>
      <c r="T198" s="15" t="n">
        <f aca="false">MIN(189.6,(T197+S198))</f>
        <v>187.486216216216</v>
      </c>
      <c r="V198" s="16" t="n">
        <v>446.6</v>
      </c>
      <c r="W198" s="7" t="n">
        <f aca="false">V198/D198</f>
        <v>81.2</v>
      </c>
      <c r="X198" s="7" t="n">
        <f aca="false">X197+V198</f>
        <v>69328.3</v>
      </c>
      <c r="Y198" s="7" t="n">
        <f aca="false">Y197+V198</f>
        <v>14289.4</v>
      </c>
      <c r="AA198" s="7" t="n">
        <v>9.80223729205065</v>
      </c>
    </row>
    <row r="199" s="7" customFormat="true" ht="15" hidden="false" customHeight="false" outlineLevel="0" collapsed="false">
      <c r="A199" s="34"/>
      <c r="B199" s="35"/>
      <c r="C199" s="8" t="n">
        <v>41680</v>
      </c>
      <c r="D199" s="18" t="n">
        <v>4.8</v>
      </c>
      <c r="E199" s="18" t="n">
        <v>2.9</v>
      </c>
      <c r="F199" s="7" t="n">
        <v>5.9</v>
      </c>
      <c r="G199" s="7" t="n">
        <f aca="false">G198+D199</f>
        <v>1376.7</v>
      </c>
      <c r="H199" s="7" t="n">
        <f aca="false">H198+D199</f>
        <v>342.2</v>
      </c>
      <c r="J199" s="7" t="n">
        <v>0</v>
      </c>
      <c r="K199" s="7" t="n">
        <f aca="false">K198+J199</f>
        <v>397.7</v>
      </c>
      <c r="L199" s="7" t="n">
        <v>0.4</v>
      </c>
      <c r="M199" s="7" t="n">
        <f aca="false">M198+L199</f>
        <v>154</v>
      </c>
      <c r="N199" s="14" t="n">
        <f aca="false">J199-L199</f>
        <v>-0.4</v>
      </c>
      <c r="O199" s="7" t="n">
        <f aca="false">O198+N199</f>
        <v>187.3</v>
      </c>
      <c r="P199" s="7" t="n">
        <v>160</v>
      </c>
      <c r="Q199" s="17" t="n">
        <f aca="false">1+((P199-104)/111)*(1.15-1)</f>
        <v>1.07567567567568</v>
      </c>
      <c r="R199" s="15" t="n">
        <f aca="false">Q199*L199</f>
        <v>0.43027027027027</v>
      </c>
      <c r="S199" s="15" t="n">
        <f aca="false">J199-R199</f>
        <v>-0.43027027027027</v>
      </c>
      <c r="T199" s="15" t="n">
        <f aca="false">MIN(189.6,(T198+S199))</f>
        <v>187.055945945946</v>
      </c>
      <c r="V199" s="16" t="n">
        <v>349.3</v>
      </c>
      <c r="W199" s="7" t="n">
        <f aca="false">V199/D199</f>
        <v>72.7708333333333</v>
      </c>
      <c r="X199" s="7" t="n">
        <f aca="false">X198+V199</f>
        <v>69677.6</v>
      </c>
      <c r="Y199" s="7" t="n">
        <f aca="false">Y198+V199</f>
        <v>14638.7</v>
      </c>
      <c r="AA199" s="7" t="n">
        <v>9.85846517734382</v>
      </c>
    </row>
    <row r="200" s="7" customFormat="true" ht="15" hidden="false" customHeight="false" outlineLevel="0" collapsed="false">
      <c r="A200" s="34"/>
      <c r="B200" s="35"/>
      <c r="C200" s="8" t="n">
        <v>41681</v>
      </c>
      <c r="D200" s="18" t="n">
        <v>4.8</v>
      </c>
      <c r="E200" s="18" t="n">
        <v>3.2</v>
      </c>
      <c r="F200" s="7" t="n">
        <v>6.9</v>
      </c>
      <c r="G200" s="7" t="n">
        <f aca="false">G199+D200</f>
        <v>1381.5</v>
      </c>
      <c r="H200" s="7" t="n">
        <f aca="false">H199+D200</f>
        <v>347</v>
      </c>
      <c r="J200" s="7" t="n">
        <v>2.5</v>
      </c>
      <c r="K200" s="7" t="n">
        <f aca="false">K199+J200</f>
        <v>400.2</v>
      </c>
      <c r="L200" s="7" t="n">
        <v>0.9</v>
      </c>
      <c r="M200" s="7" t="n">
        <f aca="false">M199+L200</f>
        <v>154.9</v>
      </c>
      <c r="N200" s="7" t="n">
        <f aca="false">J200-L200</f>
        <v>1.6</v>
      </c>
      <c r="O200" s="7" t="n">
        <f aca="false">O199+N200</f>
        <v>188.9</v>
      </c>
      <c r="P200" s="7" t="n">
        <v>161</v>
      </c>
      <c r="Q200" s="17" t="n">
        <f aca="false">1+((P200-104)/111)*(1.15-1)</f>
        <v>1.07702702702703</v>
      </c>
      <c r="R200" s="15" t="n">
        <f aca="false">Q200*L200</f>
        <v>0.969324324324324</v>
      </c>
      <c r="S200" s="15" t="n">
        <f aca="false">J200-R200</f>
        <v>1.53067567567568</v>
      </c>
      <c r="T200" s="15" t="n">
        <f aca="false">MIN(189.6,(T199+S200))</f>
        <v>188.586621621622</v>
      </c>
      <c r="V200" s="16" t="n">
        <v>420.2</v>
      </c>
      <c r="W200" s="7" t="n">
        <f aca="false">V200/D200</f>
        <v>87.5416666666667</v>
      </c>
      <c r="X200" s="7" t="n">
        <f aca="false">X199+V200</f>
        <v>70097.8</v>
      </c>
      <c r="Y200" s="7" t="n">
        <f aca="false">Y199+V200</f>
        <v>15058.9</v>
      </c>
      <c r="AA200" s="7" t="n">
        <v>9.9151007358076</v>
      </c>
    </row>
    <row r="201" s="7" customFormat="true" ht="15" hidden="false" customHeight="false" outlineLevel="0" collapsed="false">
      <c r="A201" s="34"/>
      <c r="B201" s="35"/>
      <c r="C201" s="8" t="n">
        <v>41682</v>
      </c>
      <c r="D201" s="7" t="n">
        <v>5.1</v>
      </c>
      <c r="E201" s="18" t="n">
        <v>1.5</v>
      </c>
      <c r="F201" s="7" t="n">
        <v>8.2</v>
      </c>
      <c r="G201" s="7" t="n">
        <f aca="false">G200+D201</f>
        <v>1386.6</v>
      </c>
      <c r="H201" s="7" t="n">
        <f aca="false">H200+D201</f>
        <v>352.1</v>
      </c>
      <c r="J201" s="7" t="n">
        <v>6.4</v>
      </c>
      <c r="K201" s="7" t="n">
        <f aca="false">K200+J201</f>
        <v>406.6</v>
      </c>
      <c r="L201" s="7" t="n">
        <v>1.1</v>
      </c>
      <c r="M201" s="7" t="n">
        <f aca="false">M200+L201</f>
        <v>156</v>
      </c>
      <c r="N201" s="7" t="n">
        <f aca="false">J201-L201</f>
        <v>5.3</v>
      </c>
      <c r="O201" s="7" t="n">
        <v>189.6</v>
      </c>
      <c r="P201" s="7" t="n">
        <v>162</v>
      </c>
      <c r="Q201" s="17" t="n">
        <f aca="false">1+((P201-104)/111)*(1.15-1)</f>
        <v>1.07837837837838</v>
      </c>
      <c r="R201" s="15" t="n">
        <f aca="false">Q201*L201</f>
        <v>1.18621621621622</v>
      </c>
      <c r="S201" s="15" t="n">
        <f aca="false">J201-R201</f>
        <v>5.21378378378378</v>
      </c>
      <c r="T201" s="15" t="n">
        <f aca="false">MIN(189.6,(T200+S201))</f>
        <v>189.6</v>
      </c>
      <c r="V201" s="16" t="n">
        <v>672.6</v>
      </c>
      <c r="W201" s="7" t="n">
        <f aca="false">V201/D201</f>
        <v>131.882352941177</v>
      </c>
      <c r="X201" s="7" t="n">
        <f aca="false">X200+V201</f>
        <v>70770.4</v>
      </c>
      <c r="Y201" s="7" t="n">
        <f aca="false">Y200+V201</f>
        <v>15731.5</v>
      </c>
      <c r="AA201" s="7" t="n">
        <v>9.97212336561814</v>
      </c>
    </row>
    <row r="202" s="7" customFormat="true" ht="15" hidden="false" customHeight="false" outlineLevel="0" collapsed="false">
      <c r="A202" s="34"/>
      <c r="B202" s="35"/>
      <c r="C202" s="8" t="n">
        <v>41683</v>
      </c>
      <c r="D202" s="7" t="n">
        <v>5.3</v>
      </c>
      <c r="E202" s="7" t="n">
        <v>5.2</v>
      </c>
      <c r="F202" s="7" t="n">
        <v>6.9</v>
      </c>
      <c r="G202" s="7" t="n">
        <f aca="false">G201+D202</f>
        <v>1391.9</v>
      </c>
      <c r="H202" s="7" t="n">
        <f aca="false">H201+D202</f>
        <v>357.4</v>
      </c>
      <c r="J202" s="7" t="n">
        <v>3.2</v>
      </c>
      <c r="K202" s="7" t="n">
        <f aca="false">K201+J202</f>
        <v>409.8</v>
      </c>
      <c r="L202" s="7" t="n">
        <v>1</v>
      </c>
      <c r="M202" s="7" t="n">
        <f aca="false">M201+L202</f>
        <v>157</v>
      </c>
      <c r="N202" s="7" t="n">
        <f aca="false">J202-L202</f>
        <v>2.2</v>
      </c>
      <c r="O202" s="7" t="n">
        <v>189.6</v>
      </c>
      <c r="P202" s="7" t="n">
        <v>163</v>
      </c>
      <c r="Q202" s="17" t="n">
        <f aca="false">1+((P202-104)/111)*(1.15-1)</f>
        <v>1.07972972972973</v>
      </c>
      <c r="R202" s="15" t="n">
        <f aca="false">Q202*L202</f>
        <v>1.07972972972973</v>
      </c>
      <c r="S202" s="15" t="n">
        <f aca="false">J202-R202</f>
        <v>2.12027027027027</v>
      </c>
      <c r="T202" s="15" t="n">
        <f aca="false">MIN(189.6,(T201+S202))</f>
        <v>189.6</v>
      </c>
      <c r="V202" s="16" t="n">
        <v>174.7</v>
      </c>
      <c r="W202" s="7" t="n">
        <f aca="false">V202/D202</f>
        <v>32.9622641509434</v>
      </c>
      <c r="X202" s="7" t="n">
        <f aca="false">X201+V202</f>
        <v>70945.1</v>
      </c>
      <c r="Y202" s="7" t="n">
        <f aca="false">Y201+V202</f>
        <v>15906.2</v>
      </c>
      <c r="AA202" s="7" t="n">
        <v>10.0295131730956</v>
      </c>
    </row>
    <row r="203" s="7" customFormat="true" ht="15" hidden="false" customHeight="false" outlineLevel="0" collapsed="false">
      <c r="A203" s="34"/>
      <c r="B203" s="35"/>
      <c r="C203" s="8" t="n">
        <v>41684</v>
      </c>
      <c r="D203" s="7" t="n">
        <v>6.2</v>
      </c>
      <c r="E203" s="18" t="n">
        <v>2.6</v>
      </c>
      <c r="F203" s="7" t="n">
        <v>11.2</v>
      </c>
      <c r="G203" s="7" t="n">
        <f aca="false">G202+D203</f>
        <v>1398.1</v>
      </c>
      <c r="H203" s="7" t="n">
        <f aca="false">H202+D203</f>
        <v>363.6</v>
      </c>
      <c r="J203" s="7" t="n">
        <v>2.2</v>
      </c>
      <c r="K203" s="7" t="n">
        <f aca="false">K202+J203</f>
        <v>412</v>
      </c>
      <c r="L203" s="7" t="n">
        <v>1.1</v>
      </c>
      <c r="M203" s="7" t="n">
        <f aca="false">M202+L203</f>
        <v>158.1</v>
      </c>
      <c r="N203" s="7" t="n">
        <f aca="false">J203-L203</f>
        <v>1.1</v>
      </c>
      <c r="O203" s="7" t="n">
        <v>189.6</v>
      </c>
      <c r="P203" s="7" t="n">
        <v>164</v>
      </c>
      <c r="Q203" s="17" t="n">
        <f aca="false">1+((P203-104)/111)*(1.15-1)</f>
        <v>1.08108108108108</v>
      </c>
      <c r="R203" s="15" t="n">
        <f aca="false">Q203*L203</f>
        <v>1.18918918918919</v>
      </c>
      <c r="S203" s="15" t="n">
        <f aca="false">J203-R203</f>
        <v>1.01081081081081</v>
      </c>
      <c r="T203" s="15" t="n">
        <f aca="false">MIN(189.6,(T202+S203))</f>
        <v>189.6</v>
      </c>
      <c r="V203" s="16" t="n">
        <v>200.5</v>
      </c>
      <c r="W203" s="7" t="n">
        <f aca="false">V203/D203</f>
        <v>32.3387096774194</v>
      </c>
      <c r="X203" s="7" t="n">
        <f aca="false">X202+V203</f>
        <v>71145.6</v>
      </c>
      <c r="Y203" s="7" t="n">
        <f aca="false">Y202+V203</f>
        <v>16106.7</v>
      </c>
      <c r="AA203" s="7" t="n">
        <v>10.0872509637468</v>
      </c>
    </row>
    <row r="204" s="7" customFormat="true" ht="15" hidden="false" customHeight="false" outlineLevel="0" collapsed="false">
      <c r="A204" s="34"/>
      <c r="B204" s="35"/>
      <c r="C204" s="8" t="n">
        <v>41685</v>
      </c>
      <c r="D204" s="7" t="n">
        <v>8.5</v>
      </c>
      <c r="E204" s="7" t="n">
        <v>6.2</v>
      </c>
      <c r="F204" s="7" t="n">
        <v>10.3</v>
      </c>
      <c r="G204" s="7" t="n">
        <f aca="false">G203+D204</f>
        <v>1406.6</v>
      </c>
      <c r="H204" s="7" t="n">
        <f aca="false">H203+D204</f>
        <v>372.1</v>
      </c>
      <c r="J204" s="7" t="n">
        <v>0.8</v>
      </c>
      <c r="K204" s="7" t="n">
        <f aca="false">K203+J204</f>
        <v>412.8</v>
      </c>
      <c r="L204" s="7" t="n">
        <v>1.8</v>
      </c>
      <c r="M204" s="7" t="n">
        <f aca="false">M203+L204</f>
        <v>159.9</v>
      </c>
      <c r="N204" s="14" t="n">
        <f aca="false">J204-L204</f>
        <v>-1</v>
      </c>
      <c r="O204" s="7" t="n">
        <f aca="false">O203+N204</f>
        <v>188.6</v>
      </c>
      <c r="P204" s="7" t="n">
        <v>165</v>
      </c>
      <c r="Q204" s="17" t="n">
        <f aca="false">1+((P204-104)/111)*(1.15-1)</f>
        <v>1.08243243243243</v>
      </c>
      <c r="R204" s="15" t="n">
        <f aca="false">Q204*L204</f>
        <v>1.94837837837838</v>
      </c>
      <c r="S204" s="15" t="n">
        <f aca="false">J204-R204</f>
        <v>-1.14837837837838</v>
      </c>
      <c r="T204" s="15" t="n">
        <f aca="false">MIN(189.6,(T203+S204))</f>
        <v>188.451621621622</v>
      </c>
      <c r="V204" s="16" t="n">
        <v>443.8</v>
      </c>
      <c r="W204" s="7" t="n">
        <f aca="false">V204/D204</f>
        <v>52.2117647058824</v>
      </c>
      <c r="X204" s="7" t="n">
        <f aca="false">X203+V204</f>
        <v>71589.4</v>
      </c>
      <c r="Y204" s="7" t="n">
        <f aca="false">Y203+V204</f>
        <v>16550.5</v>
      </c>
      <c r="AA204" s="7" t="n">
        <v>10.1453182317421</v>
      </c>
    </row>
    <row r="205" s="7" customFormat="true" ht="15" hidden="false" customHeight="false" outlineLevel="0" collapsed="false">
      <c r="A205" s="34"/>
      <c r="B205" s="35"/>
      <c r="C205" s="8" t="n">
        <v>41686</v>
      </c>
      <c r="D205" s="7" t="n">
        <v>6.9</v>
      </c>
      <c r="E205" s="7" t="n">
        <v>5.4</v>
      </c>
      <c r="F205" s="7" t="n">
        <v>9.4</v>
      </c>
      <c r="G205" s="7" t="n">
        <f aca="false">G204+D205</f>
        <v>1413.5</v>
      </c>
      <c r="H205" s="7" t="n">
        <f aca="false">H204+D205</f>
        <v>379</v>
      </c>
      <c r="J205" s="7" t="n">
        <v>0.2</v>
      </c>
      <c r="K205" s="7" t="n">
        <f aca="false">K204+J205</f>
        <v>413</v>
      </c>
      <c r="L205" s="7" t="n">
        <v>1.2</v>
      </c>
      <c r="M205" s="7" t="n">
        <f aca="false">M204+L205</f>
        <v>161.1</v>
      </c>
      <c r="N205" s="14" t="n">
        <f aca="false">J205-L205</f>
        <v>-1</v>
      </c>
      <c r="O205" s="7" t="n">
        <f aca="false">O204+N205</f>
        <v>187.6</v>
      </c>
      <c r="P205" s="7" t="n">
        <v>166</v>
      </c>
      <c r="Q205" s="17" t="n">
        <f aca="false">1+((P205-104)/111)*(1.15-1)</f>
        <v>1.08378378378378</v>
      </c>
      <c r="R205" s="15" t="n">
        <f aca="false">Q205*L205</f>
        <v>1.30054054054054</v>
      </c>
      <c r="S205" s="15" t="n">
        <f aca="false">J205-R205</f>
        <v>-1.10054054054054</v>
      </c>
      <c r="T205" s="15" t="n">
        <f aca="false">MIN(189.6,(T204+S205))</f>
        <v>187.351081081081</v>
      </c>
      <c r="V205" s="16" t="n">
        <v>563.6</v>
      </c>
      <c r="W205" s="7" t="n">
        <f aca="false">V205/D205</f>
        <v>81.6811594202899</v>
      </c>
      <c r="X205" s="7" t="n">
        <f aca="false">X204+V205</f>
        <v>72153</v>
      </c>
      <c r="Y205" s="7" t="n">
        <f aca="false">Y204+V205</f>
        <v>17114.1</v>
      </c>
      <c r="AA205" s="7" t="n">
        <v>10.2036971479745</v>
      </c>
    </row>
    <row r="206" s="7" customFormat="true" ht="15" hidden="false" customHeight="false" outlineLevel="0" collapsed="false">
      <c r="A206" s="34"/>
      <c r="B206" s="35"/>
      <c r="C206" s="8" t="n">
        <v>41687</v>
      </c>
      <c r="D206" s="7" t="n">
        <v>5.6</v>
      </c>
      <c r="E206" s="18" t="n">
        <v>3.8</v>
      </c>
      <c r="F206" s="7" t="n">
        <v>7.2</v>
      </c>
      <c r="G206" s="7" t="n">
        <f aca="false">G205+D206</f>
        <v>1419.1</v>
      </c>
      <c r="H206" s="7" t="n">
        <f aca="false">H205+D206</f>
        <v>384.6</v>
      </c>
      <c r="J206" s="38" t="n">
        <v>0</v>
      </c>
      <c r="K206" s="7" t="n">
        <f aca="false">K205+J206</f>
        <v>413</v>
      </c>
      <c r="L206" s="7" t="n">
        <v>0.5</v>
      </c>
      <c r="M206" s="7" t="n">
        <f aca="false">M205+L206</f>
        <v>161.6</v>
      </c>
      <c r="N206" s="14" t="n">
        <f aca="false">J206-L206</f>
        <v>-0.5</v>
      </c>
      <c r="O206" s="7" t="n">
        <f aca="false">O205+N206</f>
        <v>187.1</v>
      </c>
      <c r="P206" s="7" t="n">
        <v>167</v>
      </c>
      <c r="Q206" s="17" t="n">
        <f aca="false">1+((P206-104)/111)*(1.15-1)</f>
        <v>1.08513513513514</v>
      </c>
      <c r="R206" s="15" t="n">
        <f aca="false">Q206*L206</f>
        <v>0.542567567567568</v>
      </c>
      <c r="S206" s="15" t="n">
        <f aca="false">J206-R206</f>
        <v>-0.542567567567568</v>
      </c>
      <c r="T206" s="15" t="n">
        <f aca="false">MIN(189.6,(T205+S206))</f>
        <v>186.808513513514</v>
      </c>
      <c r="V206" s="16" t="n">
        <v>323</v>
      </c>
      <c r="W206" s="7" t="n">
        <f aca="false">V206/D206</f>
        <v>57.6785714285714</v>
      </c>
      <c r="X206" s="7" t="n">
        <f aca="false">X205+V206</f>
        <v>72476</v>
      </c>
      <c r="Y206" s="7" t="n">
        <f aca="false">Y205+V206</f>
        <v>17437.1</v>
      </c>
      <c r="AA206" s="7" t="n">
        <v>10.2623705468442</v>
      </c>
      <c r="AB206" s="39" t="s">
        <v>48</v>
      </c>
    </row>
    <row r="207" s="7" customFormat="true" ht="15" hidden="false" customHeight="false" outlineLevel="0" collapsed="false">
      <c r="A207" s="34"/>
      <c r="B207" s="35"/>
      <c r="C207" s="8" t="n">
        <v>41688</v>
      </c>
      <c r="D207" s="7" t="n">
        <v>5.1</v>
      </c>
      <c r="E207" s="18" t="n">
        <v>3.7</v>
      </c>
      <c r="F207" s="7" t="n">
        <v>6.1</v>
      </c>
      <c r="G207" s="7" t="n">
        <f aca="false">G206+D207</f>
        <v>1424.2</v>
      </c>
      <c r="H207" s="7" t="n">
        <f aca="false">H206+D207</f>
        <v>389.7</v>
      </c>
      <c r="J207" s="38" t="n">
        <v>0.8</v>
      </c>
      <c r="K207" s="7" t="n">
        <f aca="false">K206+J207</f>
        <v>413.8</v>
      </c>
      <c r="L207" s="7" t="n">
        <v>0.4</v>
      </c>
      <c r="M207" s="7" t="n">
        <f aca="false">M206+L207</f>
        <v>162</v>
      </c>
      <c r="N207" s="7" t="n">
        <f aca="false">J207-L207</f>
        <v>0.4</v>
      </c>
      <c r="O207" s="7" t="n">
        <f aca="false">O206+N207</f>
        <v>187.5</v>
      </c>
      <c r="P207" s="7" t="n">
        <v>168</v>
      </c>
      <c r="Q207" s="17" t="n">
        <f aca="false">1+((P207-104)/111)*(1.15-1)</f>
        <v>1.08648648648649</v>
      </c>
      <c r="R207" s="15" t="n">
        <f aca="false">Q207*L207</f>
        <v>0.434594594594595</v>
      </c>
      <c r="S207" s="15" t="n">
        <f aca="false">J207-R207</f>
        <v>0.365405405405405</v>
      </c>
      <c r="T207" s="15" t="n">
        <f aca="false">MIN(189.6,(T206+S207))</f>
        <v>187.173918918919</v>
      </c>
      <c r="V207" s="16" t="n">
        <v>266.4</v>
      </c>
      <c r="W207" s="7" t="n">
        <f aca="false">V207/D207</f>
        <v>52.2352941176471</v>
      </c>
      <c r="X207" s="7" t="n">
        <f aca="false">X206+V207</f>
        <v>72742.4</v>
      </c>
      <c r="Y207" s="7" t="n">
        <f aca="false">Y206+V207</f>
        <v>17703.5</v>
      </c>
      <c r="AA207" s="7" t="n">
        <v>10.3213219118997</v>
      </c>
      <c r="AB207" s="17" t="n">
        <f aca="false">AVERAGE(T213:T226)</f>
        <v>186.817413127413</v>
      </c>
    </row>
    <row r="208" s="7" customFormat="true" ht="15" hidden="false" customHeight="false" outlineLevel="0" collapsed="false">
      <c r="A208" s="34"/>
      <c r="B208" s="35"/>
      <c r="C208" s="8" t="n">
        <v>41689</v>
      </c>
      <c r="D208" s="7" t="n">
        <v>6.5</v>
      </c>
      <c r="E208" s="18" t="n">
        <v>3.4</v>
      </c>
      <c r="F208" s="7" t="n">
        <v>8.8</v>
      </c>
      <c r="G208" s="7" t="n">
        <f aca="false">G207+D208</f>
        <v>1430.7</v>
      </c>
      <c r="H208" s="7" t="n">
        <f aca="false">H207+D208</f>
        <v>396.2</v>
      </c>
      <c r="J208" s="38" t="n">
        <v>1.8</v>
      </c>
      <c r="K208" s="7" t="n">
        <f aca="false">K207+J208</f>
        <v>415.6</v>
      </c>
      <c r="L208" s="7" t="n">
        <v>0.4</v>
      </c>
      <c r="M208" s="7" t="n">
        <f aca="false">M207+L208</f>
        <v>162.4</v>
      </c>
      <c r="N208" s="7" t="n">
        <f aca="false">J208-L208</f>
        <v>1.4</v>
      </c>
      <c r="O208" s="7" t="n">
        <f aca="false">O207+N208</f>
        <v>188.9</v>
      </c>
      <c r="P208" s="7" t="n">
        <v>169</v>
      </c>
      <c r="Q208" s="17" t="n">
        <f aca="false">1+((P208-104)/111)*(1.15-1)</f>
        <v>1.08783783783784</v>
      </c>
      <c r="R208" s="15" t="n">
        <f aca="false">Q208*L208</f>
        <v>0.435135135135135</v>
      </c>
      <c r="S208" s="15" t="n">
        <f aca="false">J208-R208</f>
        <v>1.36486486486487</v>
      </c>
      <c r="T208" s="15" t="n">
        <f aca="false">MIN(189.6,(T207+S208))</f>
        <v>188.538783783784</v>
      </c>
      <c r="V208" s="16" t="n">
        <v>410.4</v>
      </c>
      <c r="W208" s="7" t="n">
        <f aca="false">V208/D208</f>
        <v>63.1384615384615</v>
      </c>
      <c r="X208" s="7" t="n">
        <f aca="false">X207+V208</f>
        <v>73152.8</v>
      </c>
      <c r="Y208" s="7" t="n">
        <f aca="false">Y207+V208</f>
        <v>18113.9</v>
      </c>
      <c r="AA208" s="7" t="n">
        <v>10.3805353604641</v>
      </c>
      <c r="AB208" s="39" t="s">
        <v>49</v>
      </c>
    </row>
    <row r="209" s="7" customFormat="true" ht="15" hidden="false" customHeight="false" outlineLevel="0" collapsed="false">
      <c r="A209" s="34"/>
      <c r="B209" s="35"/>
      <c r="C209" s="8" t="n">
        <v>41690</v>
      </c>
      <c r="D209" s="7" t="n">
        <v>8.9</v>
      </c>
      <c r="E209" s="7" t="n">
        <v>6.4</v>
      </c>
      <c r="F209" s="7" t="n">
        <v>10.5</v>
      </c>
      <c r="G209" s="7" t="n">
        <f aca="false">G208+D209</f>
        <v>1439.6</v>
      </c>
      <c r="H209" s="7" t="n">
        <f aca="false">H208+D209</f>
        <v>405.1</v>
      </c>
      <c r="J209" s="38" t="n">
        <v>5.2</v>
      </c>
      <c r="K209" s="7" t="n">
        <f aca="false">K208+J209</f>
        <v>420.8</v>
      </c>
      <c r="L209" s="7" t="n">
        <v>0.2</v>
      </c>
      <c r="M209" s="7" t="n">
        <f aca="false">M208+L209</f>
        <v>162.6</v>
      </c>
      <c r="N209" s="7" t="n">
        <f aca="false">J209-L209</f>
        <v>5</v>
      </c>
      <c r="O209" s="7" t="n">
        <v>189.6</v>
      </c>
      <c r="P209" s="7" t="n">
        <v>170</v>
      </c>
      <c r="Q209" s="17" t="n">
        <f aca="false">1+((P209-104)/111)*(1.15-1)</f>
        <v>1.08918918918919</v>
      </c>
      <c r="R209" s="15" t="n">
        <f aca="false">Q209*L209</f>
        <v>0.217837837837838</v>
      </c>
      <c r="S209" s="15" t="n">
        <f aca="false">J209-R209</f>
        <v>4.98216216216216</v>
      </c>
      <c r="T209" s="15" t="n">
        <f aca="false">MIN(189.6,(T208+S209))</f>
        <v>189.6</v>
      </c>
      <c r="V209" s="16" t="n">
        <v>162.5</v>
      </c>
      <c r="W209" s="7" t="n">
        <f aca="false">V209/D209</f>
        <v>18.2584269662921</v>
      </c>
      <c r="X209" s="7" t="n">
        <f aca="false">X208+V209</f>
        <v>73315.3</v>
      </c>
      <c r="Y209" s="7" t="n">
        <f aca="false">Y208+V209</f>
        <v>18276.4</v>
      </c>
      <c r="AA209" s="7" t="n">
        <v>10.4399956273618</v>
      </c>
      <c r="AB209" s="7" t="n">
        <v>1</v>
      </c>
    </row>
    <row r="210" s="7" customFormat="true" ht="15" hidden="false" customHeight="false" outlineLevel="0" collapsed="false">
      <c r="A210" s="34"/>
      <c r="B210" s="35"/>
      <c r="C210" s="8" t="n">
        <v>41691</v>
      </c>
      <c r="D210" s="7" t="n">
        <v>6.5</v>
      </c>
      <c r="E210" s="7" t="n">
        <v>5.6</v>
      </c>
      <c r="F210" s="7" t="n">
        <v>8.9</v>
      </c>
      <c r="G210" s="7" t="n">
        <f aca="false">G209+D210</f>
        <v>1446.1</v>
      </c>
      <c r="H210" s="7" t="n">
        <f aca="false">H209+D210</f>
        <v>411.6</v>
      </c>
      <c r="J210" s="38" t="n">
        <v>1.8</v>
      </c>
      <c r="K210" s="7" t="n">
        <f aca="false">K209+J210</f>
        <v>422.6</v>
      </c>
      <c r="L210" s="7" t="n">
        <v>1.2</v>
      </c>
      <c r="M210" s="7" t="n">
        <f aca="false">M209+L210</f>
        <v>163.8</v>
      </c>
      <c r="N210" s="7" t="n">
        <f aca="false">J210-L210</f>
        <v>0.6</v>
      </c>
      <c r="O210" s="7" t="n">
        <v>189.6</v>
      </c>
      <c r="P210" s="7" t="n">
        <v>171</v>
      </c>
      <c r="Q210" s="17" t="n">
        <f aca="false">1+((P210-104)/111)*(1.15-1)</f>
        <v>1.09054054054054</v>
      </c>
      <c r="R210" s="15" t="n">
        <f aca="false">Q210*L210</f>
        <v>1.30864864864865</v>
      </c>
      <c r="S210" s="15" t="n">
        <f aca="false">J210-R210</f>
        <v>0.491351351351352</v>
      </c>
      <c r="T210" s="15" t="n">
        <f aca="false">MIN(189.6,(T209+S210))</f>
        <v>189.6</v>
      </c>
      <c r="V210" s="16" t="n">
        <v>508.7</v>
      </c>
      <c r="W210" s="7" t="n">
        <f aca="false">V210/D210</f>
        <v>78.2615384615385</v>
      </c>
      <c r="X210" s="7" t="n">
        <f aca="false">X209+V210</f>
        <v>73824</v>
      </c>
      <c r="Y210" s="7" t="n">
        <f aca="false">Y209+V210</f>
        <v>18785.1</v>
      </c>
      <c r="AA210" s="7" t="n">
        <v>10.4996880478584</v>
      </c>
      <c r="AB210" s="39" t="s">
        <v>50</v>
      </c>
    </row>
    <row r="211" s="7" customFormat="true" ht="15" hidden="false" customHeight="false" outlineLevel="0" collapsed="false">
      <c r="A211" s="34"/>
      <c r="B211" s="35"/>
      <c r="C211" s="8" t="n">
        <v>41692</v>
      </c>
      <c r="D211" s="7" t="n">
        <v>5.8</v>
      </c>
      <c r="E211" s="18" t="n">
        <v>3.8</v>
      </c>
      <c r="F211" s="7" t="n">
        <v>8.4</v>
      </c>
      <c r="G211" s="7" t="n">
        <f aca="false">G210+D211</f>
        <v>1451.9</v>
      </c>
      <c r="H211" s="7" t="n">
        <f aca="false">H210+D211</f>
        <v>417.4</v>
      </c>
      <c r="J211" s="38" t="n">
        <v>0.2</v>
      </c>
      <c r="K211" s="7" t="n">
        <f aca="false">K210+J211</f>
        <v>422.8</v>
      </c>
      <c r="L211" s="7" t="n">
        <v>0.9</v>
      </c>
      <c r="M211" s="7" t="n">
        <f aca="false">M210+L211</f>
        <v>164.7</v>
      </c>
      <c r="N211" s="14" t="n">
        <f aca="false">J211-L211</f>
        <v>-0.7</v>
      </c>
      <c r="O211" s="7" t="n">
        <f aca="false">O210+N211</f>
        <v>188.9</v>
      </c>
      <c r="P211" s="7" t="n">
        <v>172</v>
      </c>
      <c r="Q211" s="17" t="n">
        <f aca="false">1+((P211-104)/111)*(1.15-1)</f>
        <v>1.09189189189189</v>
      </c>
      <c r="R211" s="15" t="n">
        <f aca="false">Q211*L211</f>
        <v>0.982702702702703</v>
      </c>
      <c r="S211" s="15" t="n">
        <f aca="false">J211-R211</f>
        <v>-0.782702702702703</v>
      </c>
      <c r="T211" s="15" t="n">
        <f aca="false">MIN(189.6,(T210+S211))</f>
        <v>188.817297297297</v>
      </c>
      <c r="V211" s="16" t="n">
        <v>552</v>
      </c>
      <c r="W211" s="7" t="n">
        <f aca="false">V211/D211</f>
        <v>95.1724137931034</v>
      </c>
      <c r="X211" s="7" t="n">
        <f aca="false">X210+V211</f>
        <v>74376</v>
      </c>
      <c r="Y211" s="7" t="n">
        <f aca="false">Y210+V211</f>
        <v>19337.1</v>
      </c>
      <c r="AA211" s="7" t="n">
        <v>10.5595985399135</v>
      </c>
      <c r="AB211" s="7" t="n">
        <v>5</v>
      </c>
    </row>
    <row r="212" s="7" customFormat="true" ht="15" hidden="false" customHeight="false" outlineLevel="0" collapsed="false">
      <c r="A212" s="34"/>
      <c r="B212" s="35"/>
      <c r="C212" s="8" t="n">
        <v>41693</v>
      </c>
      <c r="D212" s="7" t="n">
        <v>7.4</v>
      </c>
      <c r="E212" s="18" t="n">
        <v>4</v>
      </c>
      <c r="F212" s="7" t="n">
        <v>11.5</v>
      </c>
      <c r="G212" s="7" t="n">
        <f aca="false">G211+D212</f>
        <v>1459.3</v>
      </c>
      <c r="H212" s="7" t="n">
        <f aca="false">H211+D212</f>
        <v>424.8</v>
      </c>
      <c r="J212" s="38" t="n">
        <v>0</v>
      </c>
      <c r="K212" s="7" t="n">
        <f aca="false">K211+J212</f>
        <v>422.8</v>
      </c>
      <c r="L212" s="7" t="n">
        <v>1.3</v>
      </c>
      <c r="M212" s="7" t="n">
        <f aca="false">M211+L212</f>
        <v>166</v>
      </c>
      <c r="N212" s="14" t="n">
        <f aca="false">J212-L212</f>
        <v>-1.3</v>
      </c>
      <c r="O212" s="7" t="n">
        <f aca="false">O211+N212</f>
        <v>187.6</v>
      </c>
      <c r="P212" s="7" t="n">
        <v>173</v>
      </c>
      <c r="Q212" s="17" t="n">
        <f aca="false">1+((P212-104)/111)*(1.15-1)</f>
        <v>1.09324324324324</v>
      </c>
      <c r="R212" s="15" t="n">
        <f aca="false">Q212*L212</f>
        <v>1.42121621621622</v>
      </c>
      <c r="S212" s="15" t="n">
        <f aca="false">J212-R212</f>
        <v>-1.42121621621622</v>
      </c>
      <c r="T212" s="15" t="n">
        <f aca="false">MIN(189.6,(T211+S212))</f>
        <v>187.396081081081</v>
      </c>
      <c r="V212" s="16" t="n">
        <v>886.6</v>
      </c>
      <c r="W212" s="7" t="n">
        <f aca="false">V212/D212</f>
        <v>119.810810810811</v>
      </c>
      <c r="X212" s="7" t="n">
        <f aca="false">X211+V212</f>
        <v>75262.6</v>
      </c>
      <c r="Y212" s="7" t="n">
        <f aca="false">Y211+V212</f>
        <v>20223.7</v>
      </c>
      <c r="AA212" s="7" t="n">
        <v>10.6197135858434</v>
      </c>
      <c r="AB212" s="39" t="s">
        <v>51</v>
      </c>
    </row>
    <row r="213" s="7" customFormat="true" ht="15" hidden="false" customHeight="false" outlineLevel="0" collapsed="false">
      <c r="A213" s="34"/>
      <c r="B213" s="35"/>
      <c r="C213" s="8" t="n">
        <v>41694</v>
      </c>
      <c r="D213" s="7" t="n">
        <v>8</v>
      </c>
      <c r="E213" s="18" t="n">
        <v>3.6</v>
      </c>
      <c r="F213" s="7" t="n">
        <v>11.7</v>
      </c>
      <c r="G213" s="7" t="n">
        <f aca="false">G212+D213</f>
        <v>1467.3</v>
      </c>
      <c r="H213" s="7" t="n">
        <f aca="false">H212+D213</f>
        <v>432.8</v>
      </c>
      <c r="J213" s="38" t="n">
        <v>0.3</v>
      </c>
      <c r="K213" s="7" t="n">
        <f aca="false">K212+J213</f>
        <v>423.1</v>
      </c>
      <c r="L213" s="7" t="n">
        <v>1.5</v>
      </c>
      <c r="M213" s="7" t="n">
        <f aca="false">M212+L213</f>
        <v>167.5</v>
      </c>
      <c r="N213" s="14" t="n">
        <f aca="false">J213-L213</f>
        <v>-1.2</v>
      </c>
      <c r="O213" s="7" t="n">
        <f aca="false">O212+N213</f>
        <v>186.4</v>
      </c>
      <c r="P213" s="7" t="n">
        <v>174</v>
      </c>
      <c r="Q213" s="17" t="n">
        <f aca="false">1+((P213-104)/111)*(1.15-1)</f>
        <v>1.09459459459459</v>
      </c>
      <c r="R213" s="15" t="n">
        <f aca="false">Q213*L213</f>
        <v>1.64189189189189</v>
      </c>
      <c r="S213" s="15" t="n">
        <f aca="false">J213-R213</f>
        <v>-1.34189189189189</v>
      </c>
      <c r="T213" s="40" t="n">
        <f aca="false">MIN(189.6,(T212+S213))</f>
        <v>186.054189189189</v>
      </c>
      <c r="V213" s="7" t="n">
        <v>1061.1</v>
      </c>
      <c r="W213" s="7" t="n">
        <f aca="false">V213/D213</f>
        <v>132.6375</v>
      </c>
      <c r="X213" s="7" t="n">
        <f aca="false">X212+V213</f>
        <v>76323.7</v>
      </c>
      <c r="Y213" s="7" t="n">
        <f aca="false">Y212+V213</f>
        <v>21284.8</v>
      </c>
      <c r="AA213" s="7" t="n">
        <v>10.6800202134794</v>
      </c>
      <c r="AB213" s="7" t="n">
        <v>4</v>
      </c>
    </row>
    <row r="214" s="7" customFormat="true" ht="15" hidden="false" customHeight="false" outlineLevel="0" collapsed="false">
      <c r="A214" s="34"/>
      <c r="B214" s="35"/>
      <c r="C214" s="8" t="n">
        <v>41695</v>
      </c>
      <c r="D214" s="7" t="n">
        <v>8.3</v>
      </c>
      <c r="E214" s="7" t="n">
        <v>7.5</v>
      </c>
      <c r="F214" s="7" t="n">
        <v>11.6</v>
      </c>
      <c r="G214" s="7" t="n">
        <f aca="false">G213+D214</f>
        <v>1475.6</v>
      </c>
      <c r="H214" s="7" t="n">
        <f aca="false">H213+D214</f>
        <v>441.1</v>
      </c>
      <c r="J214" s="38" t="n">
        <v>2.7</v>
      </c>
      <c r="K214" s="7" t="n">
        <f aca="false">K213+J214</f>
        <v>425.8</v>
      </c>
      <c r="L214" s="7" t="n">
        <v>1.7</v>
      </c>
      <c r="M214" s="7" t="n">
        <f aca="false">M213+L214</f>
        <v>169.2</v>
      </c>
      <c r="N214" s="7" t="n">
        <f aca="false">J214-L214</f>
        <v>1</v>
      </c>
      <c r="O214" s="7" t="n">
        <f aca="false">O213+N214</f>
        <v>187.4</v>
      </c>
      <c r="P214" s="7" t="n">
        <v>175</v>
      </c>
      <c r="Q214" s="17" t="n">
        <f aca="false">1+((P214-104)/111)*(1.15-1)</f>
        <v>1.09594594594595</v>
      </c>
      <c r="R214" s="15" t="n">
        <f aca="false">Q214*L214</f>
        <v>1.86310810810811</v>
      </c>
      <c r="S214" s="15" t="n">
        <f aca="false">J214-R214</f>
        <v>0.836891891891892</v>
      </c>
      <c r="T214" s="40" t="n">
        <f aca="false">MIN(189.6,(T213+S214))</f>
        <v>186.891081081081</v>
      </c>
      <c r="V214" s="16" t="n">
        <v>329.6</v>
      </c>
      <c r="W214" s="7" t="n">
        <f aca="false">V214/D214</f>
        <v>39.710843373494</v>
      </c>
      <c r="X214" s="7" t="n">
        <f aca="false">X213+V214</f>
        <v>76653.3</v>
      </c>
      <c r="Y214" s="7" t="n">
        <f aca="false">Y213+V214</f>
        <v>21614.4</v>
      </c>
      <c r="AA214" s="7" t="n">
        <v>10.7405059769033</v>
      </c>
      <c r="AB214" s="39" t="s">
        <v>52</v>
      </c>
    </row>
    <row r="215" s="7" customFormat="true" ht="15" hidden="false" customHeight="false" outlineLevel="0" collapsed="false">
      <c r="A215" s="34"/>
      <c r="B215" s="35"/>
      <c r="C215" s="8" t="n">
        <v>41696</v>
      </c>
      <c r="D215" s="7" t="n">
        <v>5.5</v>
      </c>
      <c r="E215" s="18" t="n">
        <v>3.1</v>
      </c>
      <c r="F215" s="7" t="n">
        <v>8.3</v>
      </c>
      <c r="G215" s="7" t="n">
        <f aca="false">G214+D215</f>
        <v>1481.1</v>
      </c>
      <c r="H215" s="7" t="n">
        <f aca="false">H214+D215</f>
        <v>446.6</v>
      </c>
      <c r="J215" s="38" t="n">
        <v>0.1</v>
      </c>
      <c r="K215" s="7" t="n">
        <f aca="false">K214+J215</f>
        <v>425.9</v>
      </c>
      <c r="L215" s="7" t="n">
        <v>0.8</v>
      </c>
      <c r="M215" s="7" t="n">
        <f aca="false">M214+L215</f>
        <v>170</v>
      </c>
      <c r="N215" s="14" t="n">
        <f aca="false">J215-L215</f>
        <v>-0.7</v>
      </c>
      <c r="O215" s="7" t="n">
        <f aca="false">O214+N215</f>
        <v>186.7</v>
      </c>
      <c r="P215" s="7" t="n">
        <v>176</v>
      </c>
      <c r="Q215" s="17" t="n">
        <f aca="false">1+((P215-104)/111)*(1.15-1)</f>
        <v>1.0972972972973</v>
      </c>
      <c r="R215" s="15" t="n">
        <f aca="false">Q215*L215</f>
        <v>0.877837837837838</v>
      </c>
      <c r="S215" s="15" t="n">
        <f aca="false">J215-R215</f>
        <v>-0.777837837837838</v>
      </c>
      <c r="T215" s="40" t="n">
        <f aca="false">MIN(189.6,(T214+S215))</f>
        <v>186.113243243243</v>
      </c>
      <c r="V215" s="16" t="n">
        <v>678.7</v>
      </c>
      <c r="W215" s="7" t="n">
        <f aca="false">V215/D215</f>
        <v>123.4</v>
      </c>
      <c r="X215" s="7" t="n">
        <f aca="false">X214+V215</f>
        <v>77332</v>
      </c>
      <c r="Y215" s="7" t="n">
        <f aca="false">Y214+V215</f>
        <v>22293.1</v>
      </c>
      <c r="AA215" s="7" t="n">
        <v>10.8011589368326</v>
      </c>
      <c r="AB215" s="7" t="n">
        <f aca="false">SUM(J217:J226)</f>
        <v>15.5</v>
      </c>
    </row>
    <row r="216" s="43" customFormat="true" ht="15" hidden="false" customHeight="false" outlineLevel="0" collapsed="false">
      <c r="A216" s="34"/>
      <c r="B216" s="41" t="s">
        <v>53</v>
      </c>
      <c r="C216" s="42" t="n">
        <v>41697</v>
      </c>
      <c r="D216" s="43" t="n">
        <v>4.5</v>
      </c>
      <c r="E216" s="43" t="n">
        <v>2.9</v>
      </c>
      <c r="F216" s="43" t="n">
        <v>5.5</v>
      </c>
      <c r="G216" s="43" t="n">
        <f aca="false">G215+D216</f>
        <v>1485.6</v>
      </c>
      <c r="H216" s="43" t="n">
        <f aca="false">H215+D216</f>
        <v>451.1</v>
      </c>
      <c r="J216" s="43" t="n">
        <v>5.5</v>
      </c>
      <c r="K216" s="43" t="n">
        <f aca="false">K215+J216</f>
        <v>431.4</v>
      </c>
      <c r="L216" s="43" t="n">
        <v>0.4</v>
      </c>
      <c r="M216" s="43" t="n">
        <f aca="false">M215+L216</f>
        <v>170.4</v>
      </c>
      <c r="N216" s="43" t="n">
        <f aca="false">J216-L216</f>
        <v>5.1</v>
      </c>
      <c r="O216" s="43" t="n">
        <v>189.6</v>
      </c>
      <c r="P216" s="43" t="n">
        <v>177</v>
      </c>
      <c r="Q216" s="44" t="n">
        <f aca="false">1+((P216-104)/111)*(1.15-1)</f>
        <v>1.09864864864865</v>
      </c>
      <c r="R216" s="45" t="n">
        <f aca="false">Q216*L216</f>
        <v>0.439459459459459</v>
      </c>
      <c r="S216" s="45" t="n">
        <f aca="false">J216-R216</f>
        <v>5.06054054054054</v>
      </c>
      <c r="T216" s="45" t="n">
        <f aca="false">MIN(189.6,(T215+S216))</f>
        <v>189.6</v>
      </c>
      <c r="V216" s="43" t="n">
        <v>310.9</v>
      </c>
      <c r="W216" s="43" t="n">
        <f aca="false">V216/D216</f>
        <v>69.0888888888889</v>
      </c>
      <c r="X216" s="43" t="n">
        <f aca="false">X215+V216</f>
        <v>77642.9</v>
      </c>
      <c r="Y216" s="43" t="n">
        <f aca="false">Y215+V216</f>
        <v>22604</v>
      </c>
      <c r="AA216" s="43" t="n">
        <v>10.8619676407228</v>
      </c>
    </row>
    <row r="217" s="7" customFormat="true" ht="15" hidden="false" customHeight="false" outlineLevel="0" collapsed="false">
      <c r="A217" s="34"/>
      <c r="B217" s="35"/>
      <c r="C217" s="8" t="n">
        <v>41698</v>
      </c>
      <c r="D217" s="7" t="n">
        <v>5.1</v>
      </c>
      <c r="E217" s="18" t="n">
        <v>4</v>
      </c>
      <c r="F217" s="7" t="n">
        <v>6.6</v>
      </c>
      <c r="G217" s="7" t="n">
        <f aca="false">G216+D217</f>
        <v>1490.7</v>
      </c>
      <c r="H217" s="7" t="n">
        <f aca="false">H216+D217</f>
        <v>456.2</v>
      </c>
      <c r="J217" s="38" t="n">
        <v>4.8</v>
      </c>
      <c r="K217" s="7" t="n">
        <f aca="false">K216+J217</f>
        <v>436.2</v>
      </c>
      <c r="L217" s="7" t="n">
        <v>0.4</v>
      </c>
      <c r="M217" s="7" t="n">
        <f aca="false">M216+L217</f>
        <v>170.8</v>
      </c>
      <c r="N217" s="7" t="n">
        <f aca="false">J217-L217</f>
        <v>4.4</v>
      </c>
      <c r="O217" s="7" t="n">
        <v>189.6</v>
      </c>
      <c r="P217" s="7" t="n">
        <v>178</v>
      </c>
      <c r="Q217" s="17" t="n">
        <f aca="false">1+((P217-104)/111)*(1.15-1)</f>
        <v>1.1</v>
      </c>
      <c r="R217" s="15" t="n">
        <f aca="false">Q217*L217</f>
        <v>0.44</v>
      </c>
      <c r="S217" s="15" t="n">
        <f aca="false">J217-R217</f>
        <v>4.36</v>
      </c>
      <c r="T217" s="40" t="n">
        <f aca="false">MIN(189.6,(T216+S217))</f>
        <v>189.6</v>
      </c>
      <c r="V217" s="16" t="n">
        <v>228.2</v>
      </c>
      <c r="W217" s="7" t="n">
        <f aca="false">V217/D217</f>
        <v>44.7450980392157</v>
      </c>
      <c r="X217" s="7" t="n">
        <f aca="false">X216+V217</f>
        <v>77871.1</v>
      </c>
      <c r="Y217" s="7" t="n">
        <f aca="false">Y216+V217</f>
        <v>22832.2</v>
      </c>
      <c r="AA217" s="7" t="n">
        <v>10.9229211026463</v>
      </c>
    </row>
    <row r="218" s="7" customFormat="true" ht="15" hidden="false" customHeight="false" outlineLevel="0" collapsed="false">
      <c r="A218" s="34"/>
      <c r="B218" s="35"/>
      <c r="C218" s="8" t="n">
        <v>41699</v>
      </c>
      <c r="D218" s="18" t="n">
        <v>4.1</v>
      </c>
      <c r="E218" s="18" t="n">
        <v>3.7</v>
      </c>
      <c r="F218" s="7" t="n">
        <v>6.2</v>
      </c>
      <c r="G218" s="7" t="n">
        <f aca="false">G217+D218</f>
        <v>1494.8</v>
      </c>
      <c r="H218" s="7" t="n">
        <f aca="false">H217+D218</f>
        <v>460.3</v>
      </c>
      <c r="J218" s="38" t="n">
        <v>1.2</v>
      </c>
      <c r="K218" s="7" t="n">
        <f aca="false">K217+J218</f>
        <v>437.4</v>
      </c>
      <c r="L218" s="7" t="n">
        <v>0.8</v>
      </c>
      <c r="M218" s="7" t="n">
        <f aca="false">M217+L218</f>
        <v>171.6</v>
      </c>
      <c r="N218" s="7" t="n">
        <f aca="false">J218-L218</f>
        <v>0.4</v>
      </c>
      <c r="O218" s="7" t="n">
        <v>189.6</v>
      </c>
      <c r="P218" s="7" t="n">
        <v>179</v>
      </c>
      <c r="Q218" s="17" t="n">
        <f aca="false">1+((P218-104)/111)*(1.15-1)</f>
        <v>1.10135135135135</v>
      </c>
      <c r="R218" s="15" t="n">
        <f aca="false">Q218*L218</f>
        <v>0.881081081081081</v>
      </c>
      <c r="S218" s="15" t="n">
        <f aca="false">J218-R218</f>
        <v>0.318918918918919</v>
      </c>
      <c r="T218" s="40" t="n">
        <f aca="false">MIN(189.6,(T217+S218))</f>
        <v>189.6</v>
      </c>
      <c r="V218" s="16" t="n">
        <v>532.5</v>
      </c>
      <c r="W218" s="7" t="n">
        <f aca="false">V218/D218</f>
        <v>129.878048780488</v>
      </c>
      <c r="X218" s="7" t="n">
        <f aca="false">X217+V218</f>
        <v>78403.6</v>
      </c>
      <c r="Y218" s="7" t="n">
        <f aca="false">Y217+V218</f>
        <v>23364.7</v>
      </c>
      <c r="AA218" s="7" t="n">
        <v>10.9840087830034</v>
      </c>
      <c r="AD218" s="39" t="s">
        <v>48</v>
      </c>
    </row>
    <row r="219" s="7" customFormat="true" ht="15" hidden="false" customHeight="false" outlineLevel="0" collapsed="false">
      <c r="A219" s="34"/>
      <c r="B219" s="35"/>
      <c r="C219" s="8" t="n">
        <v>41700</v>
      </c>
      <c r="D219" s="18" t="n">
        <v>4.8</v>
      </c>
      <c r="E219" s="19" t="n">
        <v>-0.3</v>
      </c>
      <c r="F219" s="7" t="n">
        <v>9.1</v>
      </c>
      <c r="G219" s="7" t="n">
        <f aca="false">G218+D219</f>
        <v>1499.6</v>
      </c>
      <c r="H219" s="7" t="n">
        <f aca="false">H218+D219</f>
        <v>465.1</v>
      </c>
      <c r="J219" s="38" t="n">
        <v>5.8</v>
      </c>
      <c r="K219" s="7" t="n">
        <f aca="false">K218+J219</f>
        <v>443.2</v>
      </c>
      <c r="L219" s="7" t="n">
        <v>1.2</v>
      </c>
      <c r="M219" s="7" t="n">
        <f aca="false">M218+L219</f>
        <v>172.8</v>
      </c>
      <c r="N219" s="7" t="n">
        <f aca="false">J219-L219</f>
        <v>4.6</v>
      </c>
      <c r="O219" s="7" t="n">
        <v>189.6</v>
      </c>
      <c r="P219" s="7" t="n">
        <v>180</v>
      </c>
      <c r="Q219" s="17" t="n">
        <f aca="false">1+((P219-104)/111)*(1.15-1)</f>
        <v>1.1027027027027</v>
      </c>
      <c r="R219" s="15" t="n">
        <f aca="false">Q219*L219</f>
        <v>1.32324324324324</v>
      </c>
      <c r="S219" s="15" t="n">
        <f aca="false">J219-R219</f>
        <v>4.47675675675676</v>
      </c>
      <c r="T219" s="40" t="n">
        <f aca="false">MIN(189.6,(T218+S219))</f>
        <v>189.6</v>
      </c>
      <c r="V219" s="7" t="n">
        <v>972.1</v>
      </c>
      <c r="W219" s="7" t="n">
        <f aca="false">V219/D219</f>
        <v>202.520833333333</v>
      </c>
      <c r="X219" s="7" t="n">
        <f aca="false">X218+V219</f>
        <v>79375.7</v>
      </c>
      <c r="Y219" s="7" t="n">
        <f aca="false">Y218+V219</f>
        <v>24336.8</v>
      </c>
      <c r="AA219" s="7" t="n">
        <v>11.0452205681135</v>
      </c>
      <c r="AD219" s="17" t="n">
        <f aca="false">(AB207*(40/90))+(AB221*(50/90))</f>
        <v>175.810468682969</v>
      </c>
    </row>
    <row r="220" s="7" customFormat="true" ht="15" hidden="false" customHeight="false" outlineLevel="0" collapsed="false">
      <c r="A220" s="34"/>
      <c r="B220" s="35"/>
      <c r="C220" s="8" t="n">
        <v>41701</v>
      </c>
      <c r="D220" s="7" t="n">
        <v>5.6</v>
      </c>
      <c r="E220" s="7" t="n">
        <v>5.2</v>
      </c>
      <c r="F220" s="7" t="n">
        <v>8.3</v>
      </c>
      <c r="G220" s="7" t="n">
        <f aca="false">G219+D220</f>
        <v>1505.2</v>
      </c>
      <c r="H220" s="7" t="n">
        <f aca="false">H219+D220</f>
        <v>470.7</v>
      </c>
      <c r="I220" s="7" t="n">
        <v>10</v>
      </c>
      <c r="J220" s="38" t="n">
        <v>3.6</v>
      </c>
      <c r="K220" s="7" t="n">
        <f aca="false">K219+J220</f>
        <v>446.8</v>
      </c>
      <c r="L220" s="7" t="n">
        <v>1.1</v>
      </c>
      <c r="M220" s="7" t="n">
        <f aca="false">M219+L220</f>
        <v>173.9</v>
      </c>
      <c r="N220" s="7" t="n">
        <f aca="false">J220-L220</f>
        <v>2.5</v>
      </c>
      <c r="O220" s="7" t="n">
        <v>189.6</v>
      </c>
      <c r="P220" s="7" t="n">
        <v>181</v>
      </c>
      <c r="Q220" s="17" t="n">
        <f aca="false">1+((P220-104)/111)*(1.15-1)</f>
        <v>1.10405405405405</v>
      </c>
      <c r="R220" s="15" t="n">
        <f aca="false">Q220*L220</f>
        <v>1.21445945945946</v>
      </c>
      <c r="S220" s="15" t="n">
        <f aca="false">J220-R220</f>
        <v>2.38554054054054</v>
      </c>
      <c r="T220" s="40" t="n">
        <f aca="false">MIN(189.6,(T219+S220))</f>
        <v>189.6</v>
      </c>
      <c r="V220" s="16" t="n">
        <v>403.5</v>
      </c>
      <c r="W220" s="7" t="n">
        <f aca="false">V220/D220</f>
        <v>72.0535714285714</v>
      </c>
      <c r="X220" s="7" t="n">
        <f aca="false">X219+V220</f>
        <v>79779.2</v>
      </c>
      <c r="Y220" s="7" t="n">
        <f aca="false">Y219+V220</f>
        <v>24740.3</v>
      </c>
      <c r="AA220" s="7" t="n">
        <v>11.1065467497302</v>
      </c>
      <c r="AB220" s="39" t="s">
        <v>48</v>
      </c>
      <c r="AD220" s="39" t="s">
        <v>49</v>
      </c>
    </row>
    <row r="221" s="7" customFormat="true" ht="15" hidden="false" customHeight="false" outlineLevel="0" collapsed="false">
      <c r="A221" s="34"/>
      <c r="B221" s="35"/>
      <c r="C221" s="8" t="n">
        <v>41702</v>
      </c>
      <c r="D221" s="18" t="n">
        <v>5</v>
      </c>
      <c r="E221" s="18" t="n">
        <v>2</v>
      </c>
      <c r="F221" s="7" t="n">
        <v>7.8</v>
      </c>
      <c r="G221" s="7" t="n">
        <f aca="false">G220+D221</f>
        <v>1510.2</v>
      </c>
      <c r="H221" s="7" t="n">
        <f aca="false">H220+D221</f>
        <v>475.7</v>
      </c>
      <c r="J221" s="38" t="n">
        <v>0.1</v>
      </c>
      <c r="K221" s="7" t="n">
        <f aca="false">K220+J221</f>
        <v>446.9</v>
      </c>
      <c r="L221" s="7" t="n">
        <v>0.6</v>
      </c>
      <c r="M221" s="7" t="n">
        <f aca="false">M220+L221</f>
        <v>174.5</v>
      </c>
      <c r="N221" s="14" t="n">
        <f aca="false">J221-L221</f>
        <v>-0.5</v>
      </c>
      <c r="O221" s="7" t="n">
        <f aca="false">O220+N221</f>
        <v>189.1</v>
      </c>
      <c r="P221" s="7" t="n">
        <v>182</v>
      </c>
      <c r="Q221" s="17" t="n">
        <f aca="false">1+((P221-104)/111)*(1.15-1)</f>
        <v>1.10540540540541</v>
      </c>
      <c r="R221" s="15" t="n">
        <f aca="false">Q221*L221</f>
        <v>0.663243243243243</v>
      </c>
      <c r="S221" s="15" t="n">
        <f aca="false">J221-R221</f>
        <v>-0.563243243243243</v>
      </c>
      <c r="T221" s="40" t="n">
        <f aca="false">MIN(189.6,(T220+S221))</f>
        <v>189.036756756757</v>
      </c>
      <c r="V221" s="16" t="n">
        <v>596.8</v>
      </c>
      <c r="W221" s="7" t="n">
        <f aca="false">V221/D221</f>
        <v>119.36</v>
      </c>
      <c r="X221" s="7" t="n">
        <f aca="false">X220+V221</f>
        <v>80376</v>
      </c>
      <c r="Y221" s="7" t="n">
        <f aca="false">Y220+V221</f>
        <v>25337.1</v>
      </c>
      <c r="AA221" s="7" t="n">
        <v>11.1679780045177</v>
      </c>
      <c r="AB221" s="17" t="n">
        <f aca="false">AVERAGE(T227:T240)</f>
        <v>167.004913127413</v>
      </c>
      <c r="AD221" s="15" t="n">
        <f aca="false">(AB209*(40/90))+(AB223*(50/90))</f>
        <v>3.77777777777778</v>
      </c>
    </row>
    <row r="222" s="7" customFormat="true" ht="15" hidden="false" customHeight="false" outlineLevel="0" collapsed="false">
      <c r="A222" s="34"/>
      <c r="B222" s="35"/>
      <c r="C222" s="8" t="n">
        <v>41703</v>
      </c>
      <c r="D222" s="7" t="n">
        <v>5.2</v>
      </c>
      <c r="E222" s="19" t="n">
        <v>-0.3</v>
      </c>
      <c r="F222" s="7" t="n">
        <v>10.8</v>
      </c>
      <c r="G222" s="7" t="n">
        <f aca="false">G221+D222</f>
        <v>1515.4</v>
      </c>
      <c r="H222" s="7" t="n">
        <f aca="false">H221+D222</f>
        <v>480.9</v>
      </c>
      <c r="J222" s="38" t="n">
        <v>0</v>
      </c>
      <c r="K222" s="7" t="n">
        <f aca="false">K221+J222</f>
        <v>446.9</v>
      </c>
      <c r="L222" s="7" t="n">
        <v>1.4</v>
      </c>
      <c r="M222" s="7" t="n">
        <f aca="false">M221+L222</f>
        <v>175.9</v>
      </c>
      <c r="N222" s="14" t="n">
        <f aca="false">J222-L222</f>
        <v>-1.4</v>
      </c>
      <c r="O222" s="7" t="n">
        <f aca="false">O221+N222</f>
        <v>187.7</v>
      </c>
      <c r="P222" s="7" t="n">
        <v>183</v>
      </c>
      <c r="Q222" s="17" t="n">
        <f aca="false">1+((P222-104)/111)*(1.15-1)</f>
        <v>1.10675675675676</v>
      </c>
      <c r="R222" s="15" t="n">
        <f aca="false">Q222*L222</f>
        <v>1.54945945945946</v>
      </c>
      <c r="S222" s="15" t="n">
        <f aca="false">J222-R222</f>
        <v>-1.54945945945946</v>
      </c>
      <c r="T222" s="40" t="n">
        <f aca="false">MIN(189.6,(T221+S222))</f>
        <v>187.487297297297</v>
      </c>
      <c r="V222" s="7" t="n">
        <v>1143.3</v>
      </c>
      <c r="W222" s="7" t="n">
        <f aca="false">V222/D222</f>
        <v>219.865384615385</v>
      </c>
      <c r="X222" s="7" t="n">
        <f aca="false">X221+V222</f>
        <v>81519.3</v>
      </c>
      <c r="Y222" s="7" t="n">
        <f aca="false">Y221+V222</f>
        <v>26480.4</v>
      </c>
      <c r="AA222" s="7" t="n">
        <v>11.2295053735237</v>
      </c>
      <c r="AB222" s="39" t="s">
        <v>49</v>
      </c>
      <c r="AD222" s="39" t="s">
        <v>50</v>
      </c>
    </row>
    <row r="223" s="7" customFormat="true" ht="15" hidden="false" customHeight="false" outlineLevel="0" collapsed="false">
      <c r="A223" s="34"/>
      <c r="B223" s="35"/>
      <c r="C223" s="8" t="n">
        <v>41704</v>
      </c>
      <c r="D223" s="7" t="n">
        <v>6.1</v>
      </c>
      <c r="E223" s="18" t="n">
        <v>0.3</v>
      </c>
      <c r="F223" s="7" t="n">
        <v>11.8</v>
      </c>
      <c r="G223" s="7" t="n">
        <f aca="false">G222+D223</f>
        <v>1521.5</v>
      </c>
      <c r="H223" s="7" t="n">
        <f aca="false">H222+D223</f>
        <v>487</v>
      </c>
      <c r="J223" s="38" t="n">
        <v>0</v>
      </c>
      <c r="K223" s="7" t="n">
        <f aca="false">K222+J223</f>
        <v>446.9</v>
      </c>
      <c r="L223" s="7" t="n">
        <v>1.7</v>
      </c>
      <c r="M223" s="7" t="n">
        <f aca="false">M222+L223</f>
        <v>177.6</v>
      </c>
      <c r="N223" s="14" t="n">
        <f aca="false">J223-L223</f>
        <v>-1.7</v>
      </c>
      <c r="O223" s="7" t="n">
        <f aca="false">O222+N223</f>
        <v>186</v>
      </c>
      <c r="P223" s="7" t="n">
        <v>184</v>
      </c>
      <c r="Q223" s="17" t="n">
        <f aca="false">1+((P223-104)/111)*(1.15-1)</f>
        <v>1.10810810810811</v>
      </c>
      <c r="R223" s="15" t="n">
        <f aca="false">Q223*L223</f>
        <v>1.88378378378378</v>
      </c>
      <c r="S223" s="15" t="n">
        <f aca="false">J223-R223</f>
        <v>-1.88378378378378</v>
      </c>
      <c r="T223" s="40" t="n">
        <f aca="false">MIN(189.6,(T222+S223))</f>
        <v>185.603513513514</v>
      </c>
      <c r="V223" s="7" t="n">
        <v>1159.5</v>
      </c>
      <c r="W223" s="7" t="n">
        <f aca="false">V223/D223</f>
        <v>190.081967213115</v>
      </c>
      <c r="X223" s="7" t="n">
        <f aca="false">X222+V223</f>
        <v>82678.8</v>
      </c>
      <c r="Y223" s="7" t="n">
        <f aca="false">Y222+V223</f>
        <v>27639.9</v>
      </c>
      <c r="AA223" s="7" t="n">
        <v>11.2911202416762</v>
      </c>
      <c r="AB223" s="7" t="n">
        <v>6</v>
      </c>
      <c r="AD223" s="15" t="n">
        <f aca="false">(AB211*(40/90))+(AB225*(50/90))</f>
        <v>3.88888888888889</v>
      </c>
    </row>
    <row r="224" s="7" customFormat="true" ht="15" hidden="false" customHeight="false" outlineLevel="0" collapsed="false">
      <c r="A224" s="34"/>
      <c r="B224" s="35"/>
      <c r="C224" s="8" t="n">
        <v>41705</v>
      </c>
      <c r="D224" s="7" t="n">
        <v>7.5</v>
      </c>
      <c r="E224" s="18" t="n">
        <v>1.5</v>
      </c>
      <c r="F224" s="7" t="n">
        <v>12.3</v>
      </c>
      <c r="G224" s="7" t="n">
        <f aca="false">G223+D224</f>
        <v>1529</v>
      </c>
      <c r="H224" s="7" t="n">
        <f aca="false">H223+D224</f>
        <v>494.5</v>
      </c>
      <c r="J224" s="38" t="n">
        <v>0</v>
      </c>
      <c r="K224" s="7" t="n">
        <f aca="false">K223+J224</f>
        <v>446.9</v>
      </c>
      <c r="L224" s="7" t="n">
        <v>0.9</v>
      </c>
      <c r="M224" s="7" t="n">
        <f aca="false">M223+L224</f>
        <v>178.5</v>
      </c>
      <c r="N224" s="14" t="n">
        <f aca="false">J224-L224</f>
        <v>-0.9</v>
      </c>
      <c r="O224" s="7" t="n">
        <f aca="false">O223+N224</f>
        <v>185.1</v>
      </c>
      <c r="P224" s="7" t="n">
        <v>185</v>
      </c>
      <c r="Q224" s="17" t="n">
        <f aca="false">1+((P224-104)/111)*(1.15-1)</f>
        <v>1.10945945945946</v>
      </c>
      <c r="R224" s="15" t="n">
        <f aca="false">Q224*L224</f>
        <v>0.998513513513514</v>
      </c>
      <c r="S224" s="15" t="n">
        <f aca="false">J224-R224</f>
        <v>-0.998513513513514</v>
      </c>
      <c r="T224" s="40" t="n">
        <f aca="false">MIN(189.6,(T223+S224))</f>
        <v>184.605</v>
      </c>
      <c r="V224" s="16" t="n">
        <v>574.6</v>
      </c>
      <c r="W224" s="7" t="n">
        <f aca="false">V224/D224</f>
        <v>76.6133333333333</v>
      </c>
      <c r="X224" s="7" t="n">
        <f aca="false">X223+V224</f>
        <v>83253.4</v>
      </c>
      <c r="Y224" s="7" t="n">
        <f aca="false">Y223+V224</f>
        <v>28214.5</v>
      </c>
      <c r="AA224" s="7" t="n">
        <v>11.3528143173298</v>
      </c>
      <c r="AB224" s="39" t="s">
        <v>50</v>
      </c>
      <c r="AD224" s="39" t="s">
        <v>51</v>
      </c>
    </row>
    <row r="225" s="7" customFormat="true" ht="15" hidden="false" customHeight="false" outlineLevel="0" collapsed="false">
      <c r="A225" s="34"/>
      <c r="B225" s="35"/>
      <c r="C225" s="8" t="n">
        <v>41706</v>
      </c>
      <c r="D225" s="7" t="n">
        <v>9.1</v>
      </c>
      <c r="E225" s="18" t="n">
        <v>2.9</v>
      </c>
      <c r="F225" s="7" t="n">
        <v>14.7</v>
      </c>
      <c r="G225" s="7" t="n">
        <f aca="false">G224+D225</f>
        <v>1538.1</v>
      </c>
      <c r="H225" s="7" t="n">
        <f aca="false">H224+D225</f>
        <v>503.6</v>
      </c>
      <c r="J225" s="38" t="n">
        <v>0</v>
      </c>
      <c r="K225" s="7" t="n">
        <f aca="false">K224+J225</f>
        <v>446.9</v>
      </c>
      <c r="L225" s="7" t="n">
        <v>2</v>
      </c>
      <c r="M225" s="7" t="n">
        <f aca="false">M224+L225</f>
        <v>180.5</v>
      </c>
      <c r="N225" s="14" t="n">
        <f aca="false">J225-L225</f>
        <v>-2</v>
      </c>
      <c r="O225" s="7" t="n">
        <f aca="false">O224+N225</f>
        <v>183.1</v>
      </c>
      <c r="P225" s="7" t="n">
        <v>186</v>
      </c>
      <c r="Q225" s="17" t="n">
        <f aca="false">1+((P225-104)/111)*(1.15-1)</f>
        <v>1.11081081081081</v>
      </c>
      <c r="R225" s="15" t="n">
        <f aca="false">Q225*L225</f>
        <v>2.22162162162162</v>
      </c>
      <c r="S225" s="15" t="n">
        <f aca="false">J225-R225</f>
        <v>-2.22162162162162</v>
      </c>
      <c r="T225" s="40" t="n">
        <f aca="false">MIN(189.6,(T224+S225))</f>
        <v>182.383378378378</v>
      </c>
      <c r="V225" s="7" t="n">
        <v>1235.4</v>
      </c>
      <c r="W225" s="7" t="n">
        <f aca="false">V225/D225</f>
        <v>135.758241758242</v>
      </c>
      <c r="X225" s="7" t="n">
        <f aca="false">X224+V225</f>
        <v>84488.8</v>
      </c>
      <c r="Y225" s="7" t="n">
        <f aca="false">Y224+V225</f>
        <v>29449.9</v>
      </c>
      <c r="AA225" s="7" t="n">
        <v>11.4145796118836</v>
      </c>
      <c r="AB225" s="7" t="n">
        <v>3</v>
      </c>
      <c r="AD225" s="15" t="n">
        <f aca="false">(AB213*(40/90))+(AB227*(50/90))</f>
        <v>1.77777777777778</v>
      </c>
    </row>
    <row r="226" s="7" customFormat="true" ht="15" hidden="false" customHeight="false" outlineLevel="0" collapsed="false">
      <c r="A226" s="34"/>
      <c r="B226" s="35"/>
      <c r="C226" s="8" t="n">
        <v>41707</v>
      </c>
      <c r="D226" s="7" t="n">
        <v>10.6</v>
      </c>
      <c r="E226" s="18" t="n">
        <v>4.3</v>
      </c>
      <c r="F226" s="7" t="n">
        <v>17.9</v>
      </c>
      <c r="G226" s="7" t="n">
        <f aca="false">G225+D226</f>
        <v>1548.7</v>
      </c>
      <c r="H226" s="7" t="n">
        <f aca="false">H225+D226</f>
        <v>514.2</v>
      </c>
      <c r="I226" s="7" t="n">
        <v>-10</v>
      </c>
      <c r="J226" s="38" t="n">
        <v>0</v>
      </c>
      <c r="K226" s="7" t="n">
        <f aca="false">K225+J226</f>
        <v>446.9</v>
      </c>
      <c r="L226" s="7" t="n">
        <v>2.8</v>
      </c>
      <c r="M226" s="7" t="n">
        <f aca="false">M225+L226</f>
        <v>183.3</v>
      </c>
      <c r="N226" s="14" t="n">
        <f aca="false">J226-L226</f>
        <v>-2.8</v>
      </c>
      <c r="O226" s="7" t="n">
        <f aca="false">O225+N226</f>
        <v>180.3</v>
      </c>
      <c r="P226" s="7" t="n">
        <v>187</v>
      </c>
      <c r="Q226" s="17" t="n">
        <f aca="false">1+((P226-104)/111)*(1.15-1)</f>
        <v>1.11216216216216</v>
      </c>
      <c r="R226" s="15" t="n">
        <f aca="false">Q226*L226</f>
        <v>3.11405405405405</v>
      </c>
      <c r="S226" s="15" t="n">
        <f aca="false">J226-R226</f>
        <v>-3.11405405405405</v>
      </c>
      <c r="T226" s="46" t="n">
        <f aca="false">MIN(189.6,(T225+S226))</f>
        <v>179.269324324324</v>
      </c>
      <c r="V226" s="7" t="n">
        <v>1379.8</v>
      </c>
      <c r="W226" s="7" t="n">
        <f aca="false">V226/D226</f>
        <v>130.169811320755</v>
      </c>
      <c r="X226" s="7" t="n">
        <f aca="false">X225+V226</f>
        <v>85868.6</v>
      </c>
      <c r="Y226" s="7" t="n">
        <f aca="false">Y225+V226</f>
        <v>30829.7</v>
      </c>
      <c r="AA226" s="7" t="n">
        <v>11.4764084194862</v>
      </c>
      <c r="AB226" s="39" t="s">
        <v>51</v>
      </c>
      <c r="AD226" s="39" t="s">
        <v>52</v>
      </c>
    </row>
    <row r="227" s="7" customFormat="true" ht="15" hidden="false" customHeight="false" outlineLevel="0" collapsed="false">
      <c r="A227" s="34"/>
      <c r="B227" s="35"/>
      <c r="C227" s="8" t="n">
        <v>41708</v>
      </c>
      <c r="D227" s="7" t="n">
        <v>9.5</v>
      </c>
      <c r="E227" s="18" t="n">
        <v>1.9</v>
      </c>
      <c r="F227" s="7" t="n">
        <v>16.4</v>
      </c>
      <c r="G227" s="7" t="n">
        <f aca="false">G226+D227</f>
        <v>1558.2</v>
      </c>
      <c r="H227" s="7" t="n">
        <f aca="false">H226+D227</f>
        <v>523.7</v>
      </c>
      <c r="J227" s="38" t="n">
        <v>0</v>
      </c>
      <c r="K227" s="7" t="n">
        <f aca="false">K226+J227</f>
        <v>446.9</v>
      </c>
      <c r="L227" s="7" t="n">
        <v>2.2</v>
      </c>
      <c r="M227" s="7" t="n">
        <f aca="false">M226+L227</f>
        <v>185.5</v>
      </c>
      <c r="N227" s="14" t="n">
        <f aca="false">J227-L227</f>
        <v>-2.2</v>
      </c>
      <c r="O227" s="7" t="n">
        <f aca="false">O226+N227</f>
        <v>178.1</v>
      </c>
      <c r="P227" s="7" t="n">
        <v>188</v>
      </c>
      <c r="Q227" s="17" t="n">
        <f aca="false">1+((P227-104)/111)*(1.15-1)</f>
        <v>1.11351351351351</v>
      </c>
      <c r="R227" s="15" t="n">
        <f aca="false">Q227*L227</f>
        <v>2.44972972972973</v>
      </c>
      <c r="S227" s="15" t="n">
        <f aca="false">J227-R227</f>
        <v>-2.44972972972973</v>
      </c>
      <c r="T227" s="40" t="n">
        <f aca="false">MIN(189.6,(T226+S227))</f>
        <v>176.819594594595</v>
      </c>
      <c r="V227" s="7" t="n">
        <v>1348.7</v>
      </c>
      <c r="W227" s="7" t="n">
        <f aca="false">V227/D227</f>
        <v>141.968421052632</v>
      </c>
      <c r="X227" s="7" t="n">
        <f aca="false">X226+V227</f>
        <v>87217.3</v>
      </c>
      <c r="Y227" s="7" t="n">
        <f aca="false">Y226+V227</f>
        <v>32178.4</v>
      </c>
      <c r="AA227" s="7" t="n">
        <v>11.5382932968443</v>
      </c>
      <c r="AB227" s="7" t="n">
        <v>0</v>
      </c>
      <c r="AD227" s="15" t="n">
        <f aca="false">(AB215*(40/90))+(AB229*(50/90))</f>
        <v>11.7777777777778</v>
      </c>
    </row>
    <row r="228" s="7" customFormat="true" ht="15" hidden="false" customHeight="false" outlineLevel="0" collapsed="false">
      <c r="A228" s="34"/>
      <c r="B228" s="35"/>
      <c r="C228" s="8" t="n">
        <v>41709</v>
      </c>
      <c r="D228" s="7" t="n">
        <v>9.1</v>
      </c>
      <c r="E228" s="7" t="n">
        <v>7.8</v>
      </c>
      <c r="F228" s="7" t="n">
        <v>10.9</v>
      </c>
      <c r="G228" s="7" t="n">
        <f aca="false">G227+D228</f>
        <v>1567.3</v>
      </c>
      <c r="H228" s="7" t="n">
        <f aca="false">H227+D228</f>
        <v>532.8</v>
      </c>
      <c r="J228" s="38" t="n">
        <v>0.1</v>
      </c>
      <c r="K228" s="7" t="n">
        <f aca="false">K227+J228</f>
        <v>447</v>
      </c>
      <c r="L228" s="7" t="n">
        <v>1.8</v>
      </c>
      <c r="M228" s="7" t="n">
        <f aca="false">M227+L228</f>
        <v>187.3</v>
      </c>
      <c r="N228" s="14" t="n">
        <f aca="false">J228-L228</f>
        <v>-1.7</v>
      </c>
      <c r="O228" s="7" t="n">
        <f aca="false">O227+N228</f>
        <v>176.4</v>
      </c>
      <c r="P228" s="7" t="n">
        <v>189</v>
      </c>
      <c r="Q228" s="17" t="n">
        <f aca="false">1+((P228-104)/111)*(1.15-1)</f>
        <v>1.11486486486486</v>
      </c>
      <c r="R228" s="15" t="n">
        <f aca="false">Q228*L228</f>
        <v>2.00675675675676</v>
      </c>
      <c r="S228" s="15" t="n">
        <f aca="false">J228-R228</f>
        <v>-1.90675675675676</v>
      </c>
      <c r="T228" s="40" t="n">
        <f aca="false">MIN(189.6,(T227+S228))</f>
        <v>174.912837837838</v>
      </c>
      <c r="V228" s="7" t="n">
        <v>1279</v>
      </c>
      <c r="W228" s="7" t="n">
        <f aca="false">V228/D228</f>
        <v>140.549450549451</v>
      </c>
      <c r="X228" s="7" t="n">
        <f aca="false">X227+V228</f>
        <v>88496.3</v>
      </c>
      <c r="Y228" s="7" t="n">
        <f aca="false">Y227+V228</f>
        <v>33457.4</v>
      </c>
      <c r="AA228" s="7" t="n">
        <v>11.6002270431453</v>
      </c>
      <c r="AB228" s="39" t="s">
        <v>52</v>
      </c>
    </row>
    <row r="229" s="7" customFormat="true" ht="15" hidden="false" customHeight="false" outlineLevel="0" collapsed="false">
      <c r="A229" s="34"/>
      <c r="B229" s="35"/>
      <c r="C229" s="8" t="n">
        <v>41710</v>
      </c>
      <c r="D229" s="7" t="n">
        <v>8.8</v>
      </c>
      <c r="E229" s="18" t="n">
        <v>2.8</v>
      </c>
      <c r="F229" s="7" t="n">
        <v>14.5</v>
      </c>
      <c r="G229" s="7" t="n">
        <f aca="false">G228+D229</f>
        <v>1576.1</v>
      </c>
      <c r="H229" s="7" t="n">
        <f aca="false">H228+D229</f>
        <v>541.6</v>
      </c>
      <c r="J229" s="38" t="n">
        <v>0</v>
      </c>
      <c r="K229" s="7" t="n">
        <f aca="false">K228+J229</f>
        <v>447</v>
      </c>
      <c r="L229" s="7" t="n">
        <v>2.1</v>
      </c>
      <c r="M229" s="7" t="n">
        <f aca="false">M228+L229</f>
        <v>189.4</v>
      </c>
      <c r="N229" s="14" t="n">
        <f aca="false">J229-L229</f>
        <v>-2.1</v>
      </c>
      <c r="O229" s="7" t="n">
        <f aca="false">O228+N229</f>
        <v>174.3</v>
      </c>
      <c r="P229" s="7" t="n">
        <v>190</v>
      </c>
      <c r="Q229" s="17" t="n">
        <f aca="false">1+((P229-104)/111)*(1.15-1)</f>
        <v>1.11621621621622</v>
      </c>
      <c r="R229" s="15" t="n">
        <f aca="false">Q229*L229</f>
        <v>2.34405405405405</v>
      </c>
      <c r="S229" s="15" t="n">
        <f aca="false">J229-R229</f>
        <v>-2.34405405405405</v>
      </c>
      <c r="T229" s="40" t="n">
        <f aca="false">MIN(189.6,(T228+S229))</f>
        <v>172.568783783784</v>
      </c>
      <c r="V229" s="7" t="n">
        <v>1351.4</v>
      </c>
      <c r="W229" s="7" t="n">
        <f aca="false">V229/D229</f>
        <v>153.568181818182</v>
      </c>
      <c r="X229" s="7" t="n">
        <f aca="false">X228+V229</f>
        <v>89847.7</v>
      </c>
      <c r="Y229" s="7" t="n">
        <f aca="false">Y228+V229</f>
        <v>34808.8</v>
      </c>
      <c r="AA229" s="7" t="n">
        <v>11.6622026801018</v>
      </c>
      <c r="AB229" s="7" t="n">
        <f aca="false">SUM(J231:J240)</f>
        <v>8.8</v>
      </c>
    </row>
    <row r="230" s="43" customFormat="true" ht="15" hidden="false" customHeight="false" outlineLevel="0" collapsed="false">
      <c r="A230" s="34"/>
      <c r="B230" s="41" t="s">
        <v>54</v>
      </c>
      <c r="C230" s="42" t="n">
        <v>41711</v>
      </c>
      <c r="D230" s="43" t="n">
        <v>8.7</v>
      </c>
      <c r="E230" s="43" t="n">
        <v>2.3</v>
      </c>
      <c r="F230" s="43" t="n">
        <v>15.2</v>
      </c>
      <c r="G230" s="43" t="n">
        <f aca="false">G229+D230</f>
        <v>1584.8</v>
      </c>
      <c r="H230" s="43" t="n">
        <f aca="false">H229+D230</f>
        <v>550.3</v>
      </c>
      <c r="J230" s="43" t="n">
        <v>0.1</v>
      </c>
      <c r="K230" s="43" t="n">
        <f aca="false">K229+J230</f>
        <v>447.1</v>
      </c>
      <c r="L230" s="43" t="n">
        <v>2.2</v>
      </c>
      <c r="M230" s="43" t="n">
        <f aca="false">M229+L230</f>
        <v>191.6</v>
      </c>
      <c r="N230" s="43" t="n">
        <f aca="false">J230-L230</f>
        <v>-2.1</v>
      </c>
      <c r="O230" s="43" t="n">
        <f aca="false">O229+N230</f>
        <v>172.2</v>
      </c>
      <c r="P230" s="43" t="n">
        <v>191</v>
      </c>
      <c r="Q230" s="44" t="n">
        <f aca="false">1+((P230-104)/111)*(1.15-1)</f>
        <v>1.11756756756757</v>
      </c>
      <c r="R230" s="45" t="n">
        <f aca="false">Q230*L230</f>
        <v>2.45864864864865</v>
      </c>
      <c r="S230" s="45" t="n">
        <f aca="false">J230-R230</f>
        <v>-2.35864864864865</v>
      </c>
      <c r="T230" s="45" t="n">
        <f aca="false">MIN(189.6,(T229+S230))</f>
        <v>170.210135135135</v>
      </c>
      <c r="V230" s="43" t="n">
        <v>1468.8</v>
      </c>
      <c r="W230" s="43" t="n">
        <f aca="false">V230/D230</f>
        <v>168.827586206897</v>
      </c>
      <c r="X230" s="43" t="n">
        <f aca="false">X229+V230</f>
        <v>91316.5</v>
      </c>
      <c r="Y230" s="43" t="n">
        <f aca="false">Y229+V230</f>
        <v>36277.6</v>
      </c>
      <c r="AA230" s="43" t="n">
        <v>11.7242134321258</v>
      </c>
    </row>
    <row r="231" s="7" customFormat="true" ht="15" hidden="false" customHeight="false" outlineLevel="0" collapsed="false">
      <c r="A231" s="34"/>
      <c r="B231" s="35"/>
      <c r="C231" s="8" t="n">
        <v>41712</v>
      </c>
      <c r="D231" s="7" t="n">
        <v>7.6</v>
      </c>
      <c r="E231" s="18" t="n">
        <v>3</v>
      </c>
      <c r="F231" s="7" t="n">
        <v>10.6</v>
      </c>
      <c r="G231" s="7" t="n">
        <f aca="false">G230+D231</f>
        <v>1592.4</v>
      </c>
      <c r="H231" s="7" t="n">
        <f aca="false">H230+D231</f>
        <v>557.9</v>
      </c>
      <c r="J231" s="38" t="n">
        <v>0.1</v>
      </c>
      <c r="K231" s="7" t="n">
        <f aca="false">K230+J231</f>
        <v>447.2</v>
      </c>
      <c r="L231" s="7" t="n">
        <v>1.2</v>
      </c>
      <c r="M231" s="7" t="n">
        <f aca="false">M230+L231</f>
        <v>192.8</v>
      </c>
      <c r="N231" s="14" t="n">
        <f aca="false">J231-L231</f>
        <v>-1.1</v>
      </c>
      <c r="O231" s="7" t="n">
        <f aca="false">O230+N231</f>
        <v>171.1</v>
      </c>
      <c r="P231" s="7" t="n">
        <v>192</v>
      </c>
      <c r="Q231" s="17" t="n">
        <f aca="false">1+((P231-104)/111)*(1.15-1)</f>
        <v>1.11891891891892</v>
      </c>
      <c r="R231" s="15" t="n">
        <f aca="false">Q231*L231</f>
        <v>1.3427027027027</v>
      </c>
      <c r="S231" s="15" t="n">
        <f aca="false">J231-R231</f>
        <v>-1.2427027027027</v>
      </c>
      <c r="T231" s="40" t="n">
        <f aca="false">MIN(189.6,(T230+S231))</f>
        <v>168.967432432432</v>
      </c>
      <c r="V231" s="7" t="n">
        <v>994</v>
      </c>
      <c r="W231" s="7" t="n">
        <f aca="false">V231/D231</f>
        <v>130.789473684211</v>
      </c>
      <c r="X231" s="7" t="n">
        <f aca="false">X230+V231</f>
        <v>92310.5</v>
      </c>
      <c r="Y231" s="7" t="n">
        <f aca="false">Y230+V231</f>
        <v>37271.6</v>
      </c>
      <c r="AA231" s="7" t="n">
        <v>11.7862527066358</v>
      </c>
    </row>
    <row r="232" s="7" customFormat="true" ht="15" hidden="false" customHeight="false" outlineLevel="0" collapsed="false">
      <c r="A232" s="34"/>
      <c r="B232" s="35"/>
      <c r="C232" s="8" t="n">
        <v>41713</v>
      </c>
      <c r="D232" s="7" t="n">
        <v>9.5</v>
      </c>
      <c r="E232" s="7" t="n">
        <v>6.9</v>
      </c>
      <c r="F232" s="7" t="n">
        <v>11.7</v>
      </c>
      <c r="G232" s="7" t="n">
        <f aca="false">G231+D232</f>
        <v>1601.9</v>
      </c>
      <c r="H232" s="7" t="n">
        <f aca="false">H231+D232</f>
        <v>567.4</v>
      </c>
      <c r="J232" s="38" t="n">
        <v>0</v>
      </c>
      <c r="K232" s="7" t="n">
        <f aca="false">K231+J232</f>
        <v>447.2</v>
      </c>
      <c r="L232" s="7" t="n">
        <v>1.3</v>
      </c>
      <c r="M232" s="7" t="n">
        <f aca="false">M231+L232</f>
        <v>194.1</v>
      </c>
      <c r="N232" s="14" t="n">
        <f aca="false">J232-L232</f>
        <v>-1.3</v>
      </c>
      <c r="O232" s="7" t="n">
        <f aca="false">O231+N232</f>
        <v>169.8</v>
      </c>
      <c r="P232" s="7" t="n">
        <v>193</v>
      </c>
      <c r="Q232" s="17" t="n">
        <f aca="false">1+((P232-104)/111)*(1.15-1)</f>
        <v>1.12027027027027</v>
      </c>
      <c r="R232" s="15" t="n">
        <f aca="false">Q232*L232</f>
        <v>1.45635135135135</v>
      </c>
      <c r="S232" s="15" t="n">
        <f aca="false">J232-R232</f>
        <v>-1.45635135135135</v>
      </c>
      <c r="T232" s="40" t="n">
        <f aca="false">MIN(189.6,(T231+S232))</f>
        <v>167.511081081081</v>
      </c>
      <c r="V232" s="16" t="n">
        <v>749.8</v>
      </c>
      <c r="W232" s="7" t="n">
        <f aca="false">V232/D232</f>
        <v>78.9263157894737</v>
      </c>
      <c r="X232" s="7" t="n">
        <f aca="false">X231+V232</f>
        <v>93060.3</v>
      </c>
      <c r="Y232" s="7" t="n">
        <f aca="false">Y231+V232</f>
        <v>38021.4</v>
      </c>
      <c r="AA232" s="7" t="n">
        <v>11.8483140744981</v>
      </c>
    </row>
    <row r="233" s="7" customFormat="true" ht="15" hidden="false" customHeight="false" outlineLevel="0" collapsed="false">
      <c r="A233" s="34"/>
      <c r="B233" s="35"/>
      <c r="C233" s="8" t="n">
        <v>41714</v>
      </c>
      <c r="D233" s="7" t="n">
        <v>9.7</v>
      </c>
      <c r="E233" s="7" t="n">
        <v>5.9</v>
      </c>
      <c r="F233" s="7" t="n">
        <v>14.7</v>
      </c>
      <c r="G233" s="7" t="n">
        <f aca="false">G232+D233</f>
        <v>1611.6</v>
      </c>
      <c r="H233" s="7" t="n">
        <f aca="false">H232+D233</f>
        <v>577.1</v>
      </c>
      <c r="J233" s="38" t="n">
        <v>0</v>
      </c>
      <c r="K233" s="7" t="n">
        <f aca="false">K232+J233</f>
        <v>447.2</v>
      </c>
      <c r="L233" s="7" t="n">
        <v>1.7</v>
      </c>
      <c r="M233" s="7" t="n">
        <f aca="false">M232+L233</f>
        <v>195.8</v>
      </c>
      <c r="N233" s="14" t="n">
        <f aca="false">J233-L233</f>
        <v>-1.7</v>
      </c>
      <c r="O233" s="7" t="n">
        <f aca="false">O232+N233</f>
        <v>168.1</v>
      </c>
      <c r="P233" s="7" t="n">
        <v>194</v>
      </c>
      <c r="Q233" s="17" t="n">
        <f aca="false">1+((P233-104)/111)*(1.15-1)</f>
        <v>1.12162162162162</v>
      </c>
      <c r="R233" s="15" t="n">
        <f aca="false">Q233*L233</f>
        <v>1.90675675675676</v>
      </c>
      <c r="S233" s="15" t="n">
        <f aca="false">J233-R233</f>
        <v>-1.90675675675676</v>
      </c>
      <c r="T233" s="40" t="n">
        <f aca="false">MIN(189.6,(T232+S233))</f>
        <v>165.604324324324</v>
      </c>
      <c r="V233" s="7" t="n">
        <v>1047.1</v>
      </c>
      <c r="W233" s="7" t="n">
        <f aca="false">V233/D233</f>
        <v>107.948453608247</v>
      </c>
      <c r="X233" s="7" t="n">
        <f aca="false">X232+V233</f>
        <v>94107.4</v>
      </c>
      <c r="Y233" s="7" t="n">
        <f aca="false">Y232+V233</f>
        <v>39068.5</v>
      </c>
      <c r="AA233" s="7" t="n">
        <v>11.9103912506042</v>
      </c>
    </row>
    <row r="234" s="7" customFormat="true" ht="15" hidden="false" customHeight="false" outlineLevel="0" collapsed="false">
      <c r="A234" s="34"/>
      <c r="B234" s="35"/>
      <c r="C234" s="8" t="n">
        <v>41715</v>
      </c>
      <c r="D234" s="7" t="n">
        <v>8.7</v>
      </c>
      <c r="E234" s="7" t="n">
        <v>6.4</v>
      </c>
      <c r="F234" s="7" t="n">
        <v>9.7</v>
      </c>
      <c r="G234" s="7" t="n">
        <f aca="false">G233+D234</f>
        <v>1620.3</v>
      </c>
      <c r="H234" s="7" t="n">
        <f aca="false">H233+D234</f>
        <v>585.8</v>
      </c>
      <c r="J234" s="38" t="n">
        <v>0.3</v>
      </c>
      <c r="K234" s="7" t="n">
        <f aca="false">K233+J234</f>
        <v>447.5</v>
      </c>
      <c r="L234" s="7" t="n">
        <v>0.4</v>
      </c>
      <c r="M234" s="7" t="n">
        <f aca="false">M233+L234</f>
        <v>196.2</v>
      </c>
      <c r="N234" s="14" t="n">
        <f aca="false">J234-L234</f>
        <v>-0.1</v>
      </c>
      <c r="O234" s="7" t="n">
        <f aca="false">O233+N234</f>
        <v>168</v>
      </c>
      <c r="P234" s="7" t="n">
        <v>195</v>
      </c>
      <c r="Q234" s="17" t="n">
        <f aca="false">1+((P234-104)/111)*(1.15-1)</f>
        <v>1.12297297297297</v>
      </c>
      <c r="R234" s="15" t="n">
        <f aca="false">Q234*L234</f>
        <v>0.449189189189189</v>
      </c>
      <c r="S234" s="15" t="n">
        <f aca="false">J234-R234</f>
        <v>-0.149189189189189</v>
      </c>
      <c r="T234" s="40" t="n">
        <f aca="false">MIN(189.6,(T233+S234))</f>
        <v>165.455135135135</v>
      </c>
      <c r="V234" s="16" t="n">
        <v>421.9</v>
      </c>
      <c r="W234" s="7" t="n">
        <f aca="false">V234/D234</f>
        <v>48.4942528735632</v>
      </c>
      <c r="X234" s="7" t="n">
        <f aca="false">X233+V234</f>
        <v>94529.3</v>
      </c>
      <c r="Y234" s="7" t="n">
        <f aca="false">Y233+V234</f>
        <v>39490.4</v>
      </c>
      <c r="AA234" s="7" t="n">
        <v>11.9724780745811</v>
      </c>
    </row>
    <row r="235" s="7" customFormat="true" ht="15" hidden="false" customHeight="false" outlineLevel="0" collapsed="false">
      <c r="A235" s="34"/>
      <c r="B235" s="35"/>
      <c r="C235" s="8" t="n">
        <v>41716</v>
      </c>
      <c r="D235" s="7" t="n">
        <v>8.9</v>
      </c>
      <c r="E235" s="7" t="n">
        <v>7.8</v>
      </c>
      <c r="F235" s="7" t="n">
        <v>10.1</v>
      </c>
      <c r="G235" s="7" t="n">
        <f aca="false">G234+D235</f>
        <v>1629.2</v>
      </c>
      <c r="H235" s="7" t="n">
        <f aca="false">H234+D235</f>
        <v>594.7</v>
      </c>
      <c r="J235" s="38" t="n">
        <v>0.1</v>
      </c>
      <c r="K235" s="7" t="n">
        <f aca="false">K234+J235</f>
        <v>447.6</v>
      </c>
      <c r="L235" s="7" t="n">
        <v>0.9</v>
      </c>
      <c r="M235" s="7" t="n">
        <f aca="false">M234+L235</f>
        <v>197.1</v>
      </c>
      <c r="N235" s="14" t="n">
        <f aca="false">J235-L235</f>
        <v>-0.8</v>
      </c>
      <c r="O235" s="7" t="n">
        <f aca="false">O234+N235</f>
        <v>167.2</v>
      </c>
      <c r="P235" s="7" t="n">
        <v>196</v>
      </c>
      <c r="Q235" s="17" t="n">
        <f aca="false">1+((P235-104)/111)*(1.15-1)</f>
        <v>1.12432432432432</v>
      </c>
      <c r="R235" s="15" t="n">
        <f aca="false">Q235*L235</f>
        <v>1.01189189189189</v>
      </c>
      <c r="S235" s="15" t="n">
        <f aca="false">J235-R235</f>
        <v>-0.911891891891892</v>
      </c>
      <c r="T235" s="40" t="n">
        <f aca="false">MIN(189.6,(T234+S235))</f>
        <v>164.543243243243</v>
      </c>
      <c r="V235" s="16" t="n">
        <v>425.4</v>
      </c>
      <c r="W235" s="7" t="n">
        <f aca="false">V235/D235</f>
        <v>47.7977528089888</v>
      </c>
      <c r="X235" s="7" t="n">
        <f aca="false">X234+V235</f>
        <v>94954.7</v>
      </c>
      <c r="Y235" s="7" t="n">
        <f aca="false">Y234+V235</f>
        <v>39915.8</v>
      </c>
      <c r="AA235" s="7" t="n">
        <v>12.0345684916335</v>
      </c>
    </row>
    <row r="236" s="7" customFormat="true" ht="15" hidden="false" customHeight="false" outlineLevel="0" collapsed="false">
      <c r="A236" s="34"/>
      <c r="B236" s="35"/>
      <c r="C236" s="8" t="n">
        <v>41717</v>
      </c>
      <c r="D236" s="7" t="n">
        <v>9.1</v>
      </c>
      <c r="E236" s="7" t="n">
        <v>5.4</v>
      </c>
      <c r="F236" s="7" t="n">
        <v>13.4</v>
      </c>
      <c r="G236" s="7" t="n">
        <f aca="false">G235+D236</f>
        <v>1638.3</v>
      </c>
      <c r="H236" s="7" t="n">
        <f aca="false">H235+D236</f>
        <v>603.8</v>
      </c>
      <c r="J236" s="38" t="n">
        <v>0</v>
      </c>
      <c r="K236" s="7" t="n">
        <f aca="false">K235+J236</f>
        <v>447.6</v>
      </c>
      <c r="L236" s="7" t="n">
        <v>1.9</v>
      </c>
      <c r="M236" s="7" t="n">
        <f aca="false">M235+L236</f>
        <v>199</v>
      </c>
      <c r="N236" s="14" t="n">
        <f aca="false">J236-L236</f>
        <v>-1.9</v>
      </c>
      <c r="O236" s="7" t="n">
        <f aca="false">O235+N236</f>
        <v>165.3</v>
      </c>
      <c r="P236" s="7" t="n">
        <v>197</v>
      </c>
      <c r="Q236" s="17" t="n">
        <f aca="false">1+((P236-104)/111)*(1.15-1)</f>
        <v>1.12567567567568</v>
      </c>
      <c r="R236" s="15" t="n">
        <f aca="false">Q236*L236</f>
        <v>2.13878378378378</v>
      </c>
      <c r="S236" s="15" t="n">
        <f aca="false">J236-R236</f>
        <v>-2.13878378378378</v>
      </c>
      <c r="T236" s="40" t="n">
        <f aca="false">MIN(189.6,(T235+S236))</f>
        <v>162.404459459459</v>
      </c>
      <c r="V236" s="7" t="n">
        <v>1305.1</v>
      </c>
      <c r="W236" s="7" t="n">
        <f aca="false">V236/D236</f>
        <v>143.417582417582</v>
      </c>
      <c r="X236" s="7" t="n">
        <f aca="false">X235+V236</f>
        <v>96259.8</v>
      </c>
      <c r="Y236" s="7" t="n">
        <f aca="false">Y235+V236</f>
        <v>41220.9</v>
      </c>
      <c r="AA236" s="7" t="n">
        <v>12.0966565335137</v>
      </c>
    </row>
    <row r="237" s="7" customFormat="true" ht="15" hidden="false" customHeight="false" outlineLevel="0" collapsed="false">
      <c r="A237" s="34"/>
      <c r="B237" s="35"/>
      <c r="C237" s="8" t="n">
        <v>41718</v>
      </c>
      <c r="D237" s="7" t="n">
        <v>11.6</v>
      </c>
      <c r="E237" s="18" t="n">
        <v>4.8</v>
      </c>
      <c r="F237" s="7" t="n">
        <v>17.2</v>
      </c>
      <c r="G237" s="7" t="n">
        <f aca="false">G236+D237</f>
        <v>1649.9</v>
      </c>
      <c r="H237" s="7" t="n">
        <f aca="false">H236+D237</f>
        <v>615.4</v>
      </c>
      <c r="J237" s="38" t="n">
        <v>1.4</v>
      </c>
      <c r="K237" s="7" t="n">
        <f aca="false">K236+J237</f>
        <v>449</v>
      </c>
      <c r="L237" s="7" t="n">
        <v>2.6</v>
      </c>
      <c r="M237" s="7" t="n">
        <f aca="false">M236+L237</f>
        <v>201.6</v>
      </c>
      <c r="N237" s="14" t="n">
        <f aca="false">J237-L237</f>
        <v>-1.2</v>
      </c>
      <c r="O237" s="7" t="n">
        <f aca="false">O236+N237</f>
        <v>164.1</v>
      </c>
      <c r="P237" s="7" t="n">
        <v>198</v>
      </c>
      <c r="Q237" s="17" t="n">
        <f aca="false">1+((P237-104)/111)*(1.15-1)</f>
        <v>1.12702702702703</v>
      </c>
      <c r="R237" s="15" t="n">
        <f aca="false">Q237*L237</f>
        <v>2.93027027027027</v>
      </c>
      <c r="S237" s="15" t="n">
        <f aca="false">J237-R237</f>
        <v>-1.53027027027027</v>
      </c>
      <c r="T237" s="40" t="n">
        <f aca="false">MIN(189.6,(T236+S237))</f>
        <v>160.874189189189</v>
      </c>
      <c r="V237" s="7" t="n">
        <v>1470.2</v>
      </c>
      <c r="W237" s="7" t="n">
        <f aca="false">V237/D237</f>
        <v>126.741379310345</v>
      </c>
      <c r="X237" s="7" t="n">
        <f aca="false">X236+V237</f>
        <v>97730</v>
      </c>
      <c r="Y237" s="7" t="n">
        <f aca="false">Y236+V237</f>
        <v>42691.1</v>
      </c>
      <c r="AA237" s="7" t="n">
        <v>12.1587362996137</v>
      </c>
    </row>
    <row r="238" s="7" customFormat="true" ht="15" hidden="false" customHeight="false" outlineLevel="0" collapsed="false">
      <c r="A238" s="34"/>
      <c r="B238" s="35"/>
      <c r="C238" s="8" t="n">
        <v>41719</v>
      </c>
      <c r="D238" s="7" t="n">
        <v>8.8</v>
      </c>
      <c r="E238" s="7" t="n">
        <v>7.8</v>
      </c>
      <c r="F238" s="7" t="n">
        <v>10.4</v>
      </c>
      <c r="G238" s="7" t="n">
        <f aca="false">G237+D238</f>
        <v>1658.7</v>
      </c>
      <c r="H238" s="7" t="n">
        <f aca="false">H237+D238</f>
        <v>624.2</v>
      </c>
      <c r="J238" s="38" t="n">
        <v>3.1</v>
      </c>
      <c r="K238" s="7" t="n">
        <f aca="false">K237+J238</f>
        <v>452.1</v>
      </c>
      <c r="L238" s="7" t="n">
        <v>1.4</v>
      </c>
      <c r="M238" s="7" t="n">
        <f aca="false">M237+L238</f>
        <v>203</v>
      </c>
      <c r="N238" s="7" t="n">
        <f aca="false">J238-L238</f>
        <v>1.7</v>
      </c>
      <c r="O238" s="7" t="n">
        <f aca="false">O237+N238</f>
        <v>165.8</v>
      </c>
      <c r="P238" s="7" t="n">
        <v>199</v>
      </c>
      <c r="Q238" s="17" t="n">
        <f aca="false">1+((P238-104)/111)*(1.15-1)</f>
        <v>1.12837837837838</v>
      </c>
      <c r="R238" s="15" t="n">
        <f aca="false">Q238*L238</f>
        <v>1.57972972972973</v>
      </c>
      <c r="S238" s="15" t="n">
        <f aca="false">J238-R238</f>
        <v>1.52027027027027</v>
      </c>
      <c r="T238" s="40" t="n">
        <f aca="false">MIN(189.6,(T237+S238))</f>
        <v>162.394459459459</v>
      </c>
      <c r="V238" s="16" t="n">
        <v>751.3</v>
      </c>
      <c r="W238" s="7" t="n">
        <f aca="false">V238/D238</f>
        <v>85.375</v>
      </c>
      <c r="X238" s="7" t="n">
        <f aca="false">X237+V238</f>
        <v>98481.3</v>
      </c>
      <c r="Y238" s="7" t="n">
        <f aca="false">Y237+V238</f>
        <v>43442.4</v>
      </c>
      <c r="AA238" s="7" t="n">
        <v>12.2208019381753</v>
      </c>
    </row>
    <row r="239" s="7" customFormat="true" ht="15" hidden="false" customHeight="false" outlineLevel="0" collapsed="false">
      <c r="A239" s="34"/>
      <c r="B239" s="35"/>
      <c r="C239" s="8" t="n">
        <v>41720</v>
      </c>
      <c r="D239" s="7" t="n">
        <v>6.4</v>
      </c>
      <c r="E239" s="7" t="n">
        <v>5.3</v>
      </c>
      <c r="F239" s="7" t="n">
        <v>9.7</v>
      </c>
      <c r="G239" s="7" t="n">
        <f aca="false">G238+D239</f>
        <v>1665.1</v>
      </c>
      <c r="H239" s="7" t="n">
        <f aca="false">H238+D239</f>
        <v>630.6</v>
      </c>
      <c r="J239" s="38" t="n">
        <v>2.3</v>
      </c>
      <c r="K239" s="7" t="n">
        <f aca="false">K238+J239</f>
        <v>454.4</v>
      </c>
      <c r="L239" s="7" t="n">
        <v>1.5</v>
      </c>
      <c r="M239" s="7" t="n">
        <f aca="false">M238+L239</f>
        <v>204.5</v>
      </c>
      <c r="N239" s="7" t="n">
        <f aca="false">J239-L239</f>
        <v>0.8</v>
      </c>
      <c r="O239" s="7" t="n">
        <f aca="false">O238+N239</f>
        <v>166.6</v>
      </c>
      <c r="P239" s="7" t="n">
        <v>200</v>
      </c>
      <c r="Q239" s="17" t="n">
        <f aca="false">1+((P239-104)/111)*(1.15-1)</f>
        <v>1.12972972972973</v>
      </c>
      <c r="R239" s="15" t="n">
        <f aca="false">Q239*L239</f>
        <v>1.69459459459459</v>
      </c>
      <c r="S239" s="15" t="n">
        <f aca="false">J239-R239</f>
        <v>0.605405405405405</v>
      </c>
      <c r="T239" s="40" t="n">
        <f aca="false">MIN(189.6,(T238+S239))</f>
        <v>162.999864864865</v>
      </c>
      <c r="V239" s="16" t="n">
        <v>835.9</v>
      </c>
      <c r="W239" s="7" t="n">
        <f aca="false">V239/D239</f>
        <v>130.609375</v>
      </c>
      <c r="X239" s="7" t="n">
        <f aca="false">X238+V239</f>
        <v>99317.2</v>
      </c>
      <c r="Y239" s="7" t="n">
        <f aca="false">Y238+V239</f>
        <v>44278.3</v>
      </c>
      <c r="AA239" s="7" t="n">
        <v>12.2828476276119</v>
      </c>
    </row>
    <row r="240" s="7" customFormat="true" ht="15" hidden="false" customHeight="false" outlineLevel="0" collapsed="false">
      <c r="A240" s="34"/>
      <c r="B240" s="35"/>
      <c r="C240" s="8" t="n">
        <v>41721</v>
      </c>
      <c r="D240" s="7" t="n">
        <v>5.1</v>
      </c>
      <c r="E240" s="18" t="n">
        <v>3.1</v>
      </c>
      <c r="F240" s="7" t="n">
        <v>7.8</v>
      </c>
      <c r="G240" s="7" t="n">
        <f aca="false">G239+D240</f>
        <v>1670.2</v>
      </c>
      <c r="H240" s="7" t="n">
        <f aca="false">H239+D240</f>
        <v>635.7</v>
      </c>
      <c r="J240" s="38" t="n">
        <v>1.5</v>
      </c>
      <c r="K240" s="7" t="n">
        <f aca="false">K239+J240</f>
        <v>455.9</v>
      </c>
      <c r="L240" s="7" t="n">
        <v>1.5</v>
      </c>
      <c r="M240" s="7" t="n">
        <f aca="false">M239+L240</f>
        <v>206</v>
      </c>
      <c r="N240" s="7" t="n">
        <f aca="false">J240-L240</f>
        <v>0</v>
      </c>
      <c r="O240" s="7" t="n">
        <f aca="false">O239+N240</f>
        <v>166.6</v>
      </c>
      <c r="P240" s="7" t="n">
        <v>201</v>
      </c>
      <c r="Q240" s="17" t="n">
        <f aca="false">1+((P240-104)/111)*(1.15-1)</f>
        <v>1.13108108108108</v>
      </c>
      <c r="R240" s="15" t="n">
        <f aca="false">Q240*L240</f>
        <v>1.69662162162162</v>
      </c>
      <c r="S240" s="15" t="n">
        <f aca="false">J240-R240</f>
        <v>-0.196621621621621</v>
      </c>
      <c r="T240" s="40" t="n">
        <f aca="false">MIN(189.6,(T239+S240))</f>
        <v>162.803243243243</v>
      </c>
      <c r="V240" s="7" t="n">
        <v>1165.9</v>
      </c>
      <c r="W240" s="7" t="n">
        <f aca="false">V240/D240</f>
        <v>228.607843137255</v>
      </c>
      <c r="X240" s="7" t="n">
        <f aca="false">X239+V240</f>
        <v>100483.1</v>
      </c>
      <c r="Y240" s="7" t="n">
        <f aca="false">Y239+V240</f>
        <v>45444.2</v>
      </c>
      <c r="AA240" s="7" t="n">
        <v>12.3448675579349</v>
      </c>
    </row>
    <row r="241" s="7" customFormat="true" ht="15" hidden="false" customHeight="false" outlineLevel="0" collapsed="false">
      <c r="A241" s="34"/>
      <c r="B241" s="35"/>
      <c r="C241" s="8" t="n">
        <v>41722</v>
      </c>
      <c r="D241" s="7" t="n">
        <v>5.5</v>
      </c>
      <c r="E241" s="18" t="n">
        <v>0.9</v>
      </c>
      <c r="F241" s="7" t="n">
        <v>9.8</v>
      </c>
      <c r="G241" s="7" t="n">
        <f aca="false">G240+D241</f>
        <v>1675.7</v>
      </c>
      <c r="H241" s="7" t="n">
        <f aca="false">H240+D241</f>
        <v>641.2</v>
      </c>
      <c r="J241" s="7" t="n">
        <v>0</v>
      </c>
      <c r="K241" s="7" t="n">
        <f aca="false">K240+J241</f>
        <v>455.9</v>
      </c>
      <c r="L241" s="7" t="n">
        <v>1.3</v>
      </c>
      <c r="M241" s="7" t="n">
        <f aca="false">M240+L241</f>
        <v>207.3</v>
      </c>
      <c r="N241" s="14" t="n">
        <f aca="false">J241-L241</f>
        <v>-1.3</v>
      </c>
      <c r="O241" s="7" t="n">
        <f aca="false">O240+N241</f>
        <v>165.3</v>
      </c>
      <c r="P241" s="7" t="n">
        <v>202</v>
      </c>
      <c r="Q241" s="17" t="n">
        <f aca="false">1+((P241-104)/111)*(1.15-1)</f>
        <v>1.13243243243243</v>
      </c>
      <c r="R241" s="15" t="n">
        <f aca="false">Q241*L241</f>
        <v>1.47216216216216</v>
      </c>
      <c r="S241" s="15" t="n">
        <f aca="false">J241-R241</f>
        <v>-1.47216216216216</v>
      </c>
      <c r="T241" s="15" t="n">
        <f aca="false">MIN(189.6,(T240+S241))</f>
        <v>161.331081081081</v>
      </c>
      <c r="V241" s="7" t="n">
        <v>1022</v>
      </c>
      <c r="W241" s="7" t="n">
        <f aca="false">V241/D241</f>
        <v>185.818181818182</v>
      </c>
      <c r="X241" s="7" t="n">
        <f aca="false">X240+V241</f>
        <v>101505.1</v>
      </c>
      <c r="Y241" s="7" t="n">
        <f aca="false">Y240+V241</f>
        <v>46466.2</v>
      </c>
      <c r="AA241" s="7" t="n">
        <v>12.4068559122797</v>
      </c>
    </row>
    <row r="242" s="7" customFormat="true" ht="15" hidden="false" customHeight="false" outlineLevel="0" collapsed="false">
      <c r="A242" s="34"/>
      <c r="B242" s="35"/>
      <c r="C242" s="8" t="n">
        <v>41723</v>
      </c>
      <c r="D242" s="7" t="n">
        <v>5.1</v>
      </c>
      <c r="E242" s="18" t="n">
        <v>2.6</v>
      </c>
      <c r="F242" s="7" t="n">
        <v>8</v>
      </c>
      <c r="G242" s="7" t="n">
        <f aca="false">G241+D242</f>
        <v>1680.8</v>
      </c>
      <c r="H242" s="7" t="n">
        <f aca="false">H241+D242</f>
        <v>646.3</v>
      </c>
      <c r="J242" s="7" t="n">
        <v>0</v>
      </c>
      <c r="K242" s="7" t="n">
        <f aca="false">K241+J242</f>
        <v>455.9</v>
      </c>
      <c r="L242" s="7" t="n">
        <v>0.9</v>
      </c>
      <c r="M242" s="7" t="n">
        <f aca="false">M241+L242</f>
        <v>208.2</v>
      </c>
      <c r="N242" s="14" t="n">
        <f aca="false">J242-L242</f>
        <v>-0.9</v>
      </c>
      <c r="O242" s="7" t="n">
        <f aca="false">O241+N242</f>
        <v>164.4</v>
      </c>
      <c r="P242" s="7" t="n">
        <v>203</v>
      </c>
      <c r="Q242" s="17" t="n">
        <f aca="false">1+((P242-104)/111)*(1.15-1)</f>
        <v>1.13378378378378</v>
      </c>
      <c r="R242" s="15" t="n">
        <f aca="false">Q242*L242</f>
        <v>1.02040540540541</v>
      </c>
      <c r="S242" s="15" t="n">
        <f aca="false">J242-R242</f>
        <v>-1.02040540540541</v>
      </c>
      <c r="T242" s="15" t="n">
        <f aca="false">MIN(189.6,(T241+S242))</f>
        <v>160.310675675676</v>
      </c>
      <c r="V242" s="16" t="n">
        <v>671</v>
      </c>
      <c r="W242" s="7" t="n">
        <f aca="false">V242/D242</f>
        <v>131.56862745098</v>
      </c>
      <c r="X242" s="7" t="n">
        <f aca="false">X241+V242</f>
        <v>102176.1</v>
      </c>
      <c r="Y242" s="7" t="n">
        <f aca="false">Y241+V242</f>
        <v>47137.2</v>
      </c>
      <c r="AA242" s="7" t="n">
        <v>12.4688068485226</v>
      </c>
    </row>
    <row r="243" s="7" customFormat="true" ht="15" hidden="false" customHeight="false" outlineLevel="0" collapsed="false">
      <c r="A243" s="34"/>
      <c r="B243" s="35"/>
      <c r="C243" s="8" t="n">
        <v>41724</v>
      </c>
      <c r="D243" s="18" t="n">
        <v>4.7</v>
      </c>
      <c r="E243" s="18" t="n">
        <v>1</v>
      </c>
      <c r="F243" s="7" t="n">
        <v>9.8</v>
      </c>
      <c r="G243" s="7" t="n">
        <f aca="false">G242+D243</f>
        <v>1685.5</v>
      </c>
      <c r="H243" s="7" t="n">
        <f aca="false">H242+D243</f>
        <v>651</v>
      </c>
      <c r="J243" s="7" t="n">
        <v>0</v>
      </c>
      <c r="K243" s="7" t="n">
        <f aca="false">K242+J243</f>
        <v>455.9</v>
      </c>
      <c r="L243" s="7" t="n">
        <v>1.8</v>
      </c>
      <c r="M243" s="7" t="n">
        <f aca="false">M242+L243</f>
        <v>210</v>
      </c>
      <c r="N243" s="14" t="n">
        <f aca="false">J243-L243</f>
        <v>-1.8</v>
      </c>
      <c r="O243" s="7" t="n">
        <f aca="false">O242+N243</f>
        <v>162.6</v>
      </c>
      <c r="P243" s="7" t="n">
        <v>204</v>
      </c>
      <c r="Q243" s="17" t="n">
        <f aca="false">1+((P243-104)/111)*(1.15-1)</f>
        <v>1.13513513513514</v>
      </c>
      <c r="R243" s="15" t="n">
        <f aca="false">Q243*L243</f>
        <v>2.04324324324324</v>
      </c>
      <c r="S243" s="15" t="n">
        <f aca="false">J243-R243</f>
        <v>-2.04324324324324</v>
      </c>
      <c r="T243" s="15" t="n">
        <f aca="false">MIN(189.6,(T242+S243))</f>
        <v>158.267432432432</v>
      </c>
      <c r="V243" s="7" t="n">
        <v>1328.8</v>
      </c>
      <c r="W243" s="7" t="n">
        <f aca="false">V243/D243</f>
        <v>282.723404255319</v>
      </c>
      <c r="X243" s="7" t="n">
        <f aca="false">X242+V243</f>
        <v>103504.9</v>
      </c>
      <c r="Y243" s="7" t="n">
        <f aca="false">Y242+V243</f>
        <v>48466</v>
      </c>
      <c r="AA243" s="7" t="n">
        <v>12.5307144809848</v>
      </c>
    </row>
    <row r="244" s="7" customFormat="true" ht="15" hidden="false" customHeight="false" outlineLevel="0" collapsed="false">
      <c r="A244" s="34"/>
      <c r="B244" s="35"/>
      <c r="C244" s="8" t="n">
        <v>41725</v>
      </c>
      <c r="D244" s="18" t="n">
        <v>4.8</v>
      </c>
      <c r="E244" s="19" t="n">
        <v>-1.5</v>
      </c>
      <c r="F244" s="7" t="n">
        <v>10.6</v>
      </c>
      <c r="G244" s="7" t="n">
        <f aca="false">G243+D244</f>
        <v>1690.3</v>
      </c>
      <c r="H244" s="7" t="n">
        <f aca="false">H243+D244</f>
        <v>655.8</v>
      </c>
      <c r="J244" s="7" t="n">
        <v>0</v>
      </c>
      <c r="K244" s="7" t="n">
        <f aca="false">K243+J244</f>
        <v>455.9</v>
      </c>
      <c r="L244" s="7" t="n">
        <v>1.4</v>
      </c>
      <c r="M244" s="7" t="n">
        <f aca="false">M243+L244</f>
        <v>211.4</v>
      </c>
      <c r="N244" s="14" t="n">
        <f aca="false">J244-L244</f>
        <v>-1.4</v>
      </c>
      <c r="O244" s="7" t="n">
        <f aca="false">O243+N244</f>
        <v>161.2</v>
      </c>
      <c r="P244" s="7" t="n">
        <v>205</v>
      </c>
      <c r="Q244" s="17" t="n">
        <f aca="false">1+((P244-104)/111)*(1.15-1)</f>
        <v>1.13648648648649</v>
      </c>
      <c r="R244" s="15" t="n">
        <f aca="false">Q244*L244</f>
        <v>1.59108108108108</v>
      </c>
      <c r="S244" s="15" t="n">
        <f aca="false">J244-R244</f>
        <v>-1.59108108108108</v>
      </c>
      <c r="T244" s="15" t="n">
        <f aca="false">MIN(189.6,(T243+S244))</f>
        <v>156.676351351351</v>
      </c>
      <c r="V244" s="7" t="n">
        <v>1209.7</v>
      </c>
      <c r="W244" s="7" t="n">
        <f aca="false">V244/D244</f>
        <v>252.020833333333</v>
      </c>
      <c r="X244" s="7" t="n">
        <f aca="false">X243+V244</f>
        <v>104714.6</v>
      </c>
      <c r="Y244" s="7" t="n">
        <f aca="false">Y243+V244</f>
        <v>49675.7</v>
      </c>
      <c r="AA244" s="7" t="n">
        <v>12.5925728622148</v>
      </c>
    </row>
    <row r="245" s="7" customFormat="true" ht="15" hidden="false" customHeight="false" outlineLevel="0" collapsed="false">
      <c r="A245" s="34"/>
      <c r="B245" s="35"/>
      <c r="C245" s="8" t="n">
        <v>41726</v>
      </c>
      <c r="D245" s="7" t="n">
        <v>6.9</v>
      </c>
      <c r="E245" s="19" t="n">
        <v>-0.6</v>
      </c>
      <c r="F245" s="7" t="n">
        <v>13.7</v>
      </c>
      <c r="G245" s="7" t="n">
        <f aca="false">G244+D245</f>
        <v>1697.2</v>
      </c>
      <c r="H245" s="7" t="n">
        <f aca="false">H244+D245</f>
        <v>662.7</v>
      </c>
      <c r="J245" s="7" t="n">
        <v>0</v>
      </c>
      <c r="K245" s="7" t="n">
        <f aca="false">K244+J245</f>
        <v>455.9</v>
      </c>
      <c r="L245" s="7" t="n">
        <v>1.8</v>
      </c>
      <c r="M245" s="7" t="n">
        <f aca="false">M244+L245</f>
        <v>213.2</v>
      </c>
      <c r="N245" s="14" t="n">
        <f aca="false">J245-L245</f>
        <v>-1.8</v>
      </c>
      <c r="O245" s="7" t="n">
        <f aca="false">O244+N245</f>
        <v>159.4</v>
      </c>
      <c r="P245" s="7" t="n">
        <v>206</v>
      </c>
      <c r="Q245" s="17" t="n">
        <f aca="false">1+((P245-104)/111)*(1.15-1)</f>
        <v>1.13783783783784</v>
      </c>
      <c r="R245" s="15" t="n">
        <f aca="false">Q245*L245</f>
        <v>2.04810810810811</v>
      </c>
      <c r="S245" s="15" t="n">
        <f aca="false">J245-R245</f>
        <v>-2.04810810810811</v>
      </c>
      <c r="T245" s="15" t="n">
        <f aca="false">MIN(189.6,(T244+S245))</f>
        <v>154.628243243243</v>
      </c>
      <c r="V245" s="7" t="n">
        <v>1218.7</v>
      </c>
      <c r="W245" s="7" t="n">
        <f aca="false">V245/D245</f>
        <v>176.623188405797</v>
      </c>
      <c r="X245" s="7" t="n">
        <f aca="false">X244+V245</f>
        <v>105933.3</v>
      </c>
      <c r="Y245" s="7" t="n">
        <f aca="false">Y244+V245</f>
        <v>50894.4</v>
      </c>
      <c r="AA245" s="7" t="n">
        <v>12.6543759648451</v>
      </c>
    </row>
    <row r="246" s="7" customFormat="true" ht="15" hidden="false" customHeight="false" outlineLevel="0" collapsed="false">
      <c r="A246" s="34"/>
      <c r="B246" s="35"/>
      <c r="C246" s="8" t="n">
        <v>41727</v>
      </c>
      <c r="D246" s="7" t="n">
        <v>11</v>
      </c>
      <c r="E246" s="18" t="n">
        <v>3.4</v>
      </c>
      <c r="F246" s="7" t="n">
        <v>17.9</v>
      </c>
      <c r="G246" s="7" t="n">
        <f aca="false">G245+D246</f>
        <v>1708.2</v>
      </c>
      <c r="H246" s="7" t="n">
        <f aca="false">H245+D246</f>
        <v>673.7</v>
      </c>
      <c r="J246" s="7" t="n">
        <v>0</v>
      </c>
      <c r="K246" s="7" t="n">
        <f aca="false">K245+J246</f>
        <v>455.9</v>
      </c>
      <c r="L246" s="7" t="n">
        <v>2.9</v>
      </c>
      <c r="M246" s="7" t="n">
        <f aca="false">M245+L246</f>
        <v>216.1</v>
      </c>
      <c r="N246" s="14" t="n">
        <f aca="false">J246-L246</f>
        <v>-2.9</v>
      </c>
      <c r="O246" s="7" t="n">
        <f aca="false">O245+N246</f>
        <v>156.5</v>
      </c>
      <c r="P246" s="7" t="n">
        <v>207</v>
      </c>
      <c r="Q246" s="17" t="n">
        <f aca="false">1+((P246-104)/111)*(1.15-1)</f>
        <v>1.13918918918919</v>
      </c>
      <c r="R246" s="15" t="n">
        <f aca="false">Q246*L246</f>
        <v>3.30364864864865</v>
      </c>
      <c r="S246" s="15" t="n">
        <f aca="false">J246-R246</f>
        <v>-3.30364864864865</v>
      </c>
      <c r="T246" s="15" t="n">
        <f aca="false">MIN(189.6,(T245+S246))</f>
        <v>151.324594594595</v>
      </c>
      <c r="V246" s="7" t="n">
        <v>1417.7</v>
      </c>
      <c r="W246" s="7" t="n">
        <f aca="false">V246/D246</f>
        <v>128.881818181818</v>
      </c>
      <c r="X246" s="7" t="n">
        <f aca="false">X245+V246</f>
        <v>107351</v>
      </c>
      <c r="Y246" s="7" t="n">
        <f aca="false">Y245+V246</f>
        <v>52312.1</v>
      </c>
      <c r="AA246" s="7" t="n">
        <v>12.7161176635174</v>
      </c>
    </row>
    <row r="247" s="7" customFormat="true" ht="15" hidden="false" customHeight="false" outlineLevel="0" collapsed="false">
      <c r="A247" s="34"/>
      <c r="B247" s="35"/>
      <c r="C247" s="8" t="n">
        <v>41728</v>
      </c>
      <c r="D247" s="7" t="n">
        <v>11.8</v>
      </c>
      <c r="E247" s="7" t="n">
        <v>5.7</v>
      </c>
      <c r="F247" s="7" t="n">
        <v>18.3</v>
      </c>
      <c r="G247" s="7" t="n">
        <f aca="false">G246+D247</f>
        <v>1720</v>
      </c>
      <c r="H247" s="7" t="n">
        <f aca="false">H246+D247</f>
        <v>685.5</v>
      </c>
      <c r="J247" s="7" t="n">
        <v>0</v>
      </c>
      <c r="K247" s="7" t="n">
        <f aca="false">K246+J247</f>
        <v>455.9</v>
      </c>
      <c r="L247" s="7" t="n">
        <v>2.3</v>
      </c>
      <c r="M247" s="7" t="n">
        <f aca="false">M246+L247</f>
        <v>218.4</v>
      </c>
      <c r="N247" s="14" t="n">
        <f aca="false">J247-L247</f>
        <v>-2.3</v>
      </c>
      <c r="O247" s="7" t="n">
        <f aca="false">O246+N247</f>
        <v>154.2</v>
      </c>
      <c r="P247" s="7" t="n">
        <v>208</v>
      </c>
      <c r="Q247" s="17" t="n">
        <f aca="false">1+((P247-104)/111)*(1.15-1)</f>
        <v>1.14054054054054</v>
      </c>
      <c r="R247" s="15" t="n">
        <f aca="false">Q247*L247</f>
        <v>2.62324324324324</v>
      </c>
      <c r="S247" s="15" t="n">
        <f aca="false">J247-R247</f>
        <v>-2.62324324324324</v>
      </c>
      <c r="T247" s="15" t="n">
        <f aca="false">MIN(189.6,(T246+S247))</f>
        <v>148.701351351351</v>
      </c>
      <c r="V247" s="7" t="n">
        <v>1336.7</v>
      </c>
      <c r="W247" s="7" t="n">
        <f aca="false">V247/D247</f>
        <v>113.279661016949</v>
      </c>
      <c r="X247" s="7" t="n">
        <f aca="false">X246+V247</f>
        <v>108687.7</v>
      </c>
      <c r="Y247" s="7" t="n">
        <f aca="false">Y246+V247</f>
        <v>53648.8</v>
      </c>
      <c r="AA247" s="7" t="n">
        <v>12.7777917168725</v>
      </c>
    </row>
    <row r="248" s="7" customFormat="true" ht="15" hidden="false" customHeight="false" outlineLevel="0" collapsed="false">
      <c r="A248" s="34"/>
      <c r="B248" s="35"/>
      <c r="C248" s="8" t="n">
        <v>41729</v>
      </c>
      <c r="D248" s="7" t="n">
        <v>12.2</v>
      </c>
      <c r="E248" s="18" t="n">
        <v>5</v>
      </c>
      <c r="F248" s="7" t="n">
        <v>19.1</v>
      </c>
      <c r="G248" s="7" t="n">
        <f aca="false">G247+D248</f>
        <v>1732.2</v>
      </c>
      <c r="H248" s="7" t="n">
        <f aca="false">H247+D248</f>
        <v>697.7</v>
      </c>
      <c r="J248" s="7" t="n">
        <v>0</v>
      </c>
      <c r="K248" s="7" t="n">
        <f aca="false">K247+J248</f>
        <v>455.9</v>
      </c>
      <c r="L248" s="7" t="n">
        <v>2.1</v>
      </c>
      <c r="M248" s="7" t="n">
        <f aca="false">M247+L248</f>
        <v>220.5</v>
      </c>
      <c r="N248" s="14" t="n">
        <f aca="false">J248-L248</f>
        <v>-2.1</v>
      </c>
      <c r="O248" s="7" t="n">
        <f aca="false">O247+N248</f>
        <v>152.1</v>
      </c>
      <c r="P248" s="7" t="n">
        <v>209</v>
      </c>
      <c r="Q248" s="17" t="n">
        <f aca="false">1+((P248-104)/111)*(1.15-1)</f>
        <v>1.14189189189189</v>
      </c>
      <c r="R248" s="15" t="n">
        <f aca="false">Q248*L248</f>
        <v>2.39797297297297</v>
      </c>
      <c r="S248" s="15" t="n">
        <f aca="false">J248-R248</f>
        <v>-2.39797297297297</v>
      </c>
      <c r="T248" s="15" t="n">
        <f aca="false">MIN(189.6,(T247+S248))</f>
        <v>146.303378378378</v>
      </c>
      <c r="V248" s="7" t="n">
        <v>1234.6</v>
      </c>
      <c r="W248" s="7" t="n">
        <f aca="false">V248/D248</f>
        <v>101.196721311475</v>
      </c>
      <c r="X248" s="7" t="n">
        <f aca="false">X247+V248</f>
        <v>109922.3</v>
      </c>
      <c r="Y248" s="7" t="n">
        <f aca="false">Y247+V248</f>
        <v>54883.4</v>
      </c>
      <c r="AA248" s="7" t="n">
        <v>12.839391749601</v>
      </c>
    </row>
    <row r="249" s="7" customFormat="true" ht="15" hidden="false" customHeight="false" outlineLevel="0" collapsed="false">
      <c r="A249" s="34"/>
      <c r="B249" s="35"/>
      <c r="C249" s="8" t="n">
        <v>41730</v>
      </c>
      <c r="D249" s="7" t="n">
        <v>13.3</v>
      </c>
      <c r="E249" s="7" t="n">
        <v>7.5</v>
      </c>
      <c r="F249" s="7" t="n">
        <v>19.6</v>
      </c>
      <c r="G249" s="7" t="n">
        <f aca="false">G248+D249</f>
        <v>1745.5</v>
      </c>
      <c r="H249" s="7" t="n">
        <f aca="false">H248+D249</f>
        <v>711</v>
      </c>
      <c r="J249" s="7" t="n">
        <v>0</v>
      </c>
      <c r="K249" s="7" t="n">
        <f aca="false">K248+J249</f>
        <v>455.9</v>
      </c>
      <c r="L249" s="7" t="n">
        <v>2.5</v>
      </c>
      <c r="M249" s="7" t="n">
        <f aca="false">M248+L249</f>
        <v>223</v>
      </c>
      <c r="N249" s="14" t="n">
        <f aca="false">J249-L249</f>
        <v>-2.5</v>
      </c>
      <c r="O249" s="7" t="n">
        <f aca="false">O248+N249</f>
        <v>149.6</v>
      </c>
      <c r="P249" s="7" t="n">
        <v>210</v>
      </c>
      <c r="Q249" s="17" t="n">
        <f aca="false">1+((P249-104)/111)*(1.15-1)</f>
        <v>1.14324324324324</v>
      </c>
      <c r="R249" s="15" t="n">
        <f aca="false">Q249*L249</f>
        <v>2.85810810810811</v>
      </c>
      <c r="S249" s="15" t="n">
        <f aca="false">J249-R249</f>
        <v>-2.85810810810811</v>
      </c>
      <c r="T249" s="15" t="n">
        <f aca="false">MIN(189.6,(T248+S249))</f>
        <v>143.44527027027</v>
      </c>
      <c r="V249" s="7" t="n">
        <v>1503.1</v>
      </c>
      <c r="W249" s="7" t="n">
        <f aca="false">V249/D249</f>
        <v>113.015037593985</v>
      </c>
      <c r="X249" s="7" t="n">
        <f aca="false">X248+V249</f>
        <v>111425.4</v>
      </c>
      <c r="Y249" s="7" t="n">
        <f aca="false">Y248+V249</f>
        <v>56386.5</v>
      </c>
      <c r="AA249" s="7" t="n">
        <v>12.9009112345524</v>
      </c>
    </row>
    <row r="250" s="7" customFormat="true" ht="15" hidden="false" customHeight="false" outlineLevel="0" collapsed="false">
      <c r="A250" s="34"/>
      <c r="B250" s="35"/>
      <c r="C250" s="8" t="n">
        <v>41731</v>
      </c>
      <c r="D250" s="7" t="n">
        <v>14</v>
      </c>
      <c r="E250" s="7" t="n">
        <v>7.3</v>
      </c>
      <c r="F250" s="7" t="n">
        <v>20</v>
      </c>
      <c r="G250" s="7" t="n">
        <f aca="false">G249+D250</f>
        <v>1759.5</v>
      </c>
      <c r="H250" s="7" t="n">
        <f aca="false">H249+D250</f>
        <v>725</v>
      </c>
      <c r="J250" s="7" t="n">
        <v>0</v>
      </c>
      <c r="K250" s="7" t="n">
        <f aca="false">K249+J250</f>
        <v>455.9</v>
      </c>
      <c r="L250" s="7" t="n">
        <v>2.2</v>
      </c>
      <c r="M250" s="7" t="n">
        <f aca="false">M249+L250</f>
        <v>225.2</v>
      </c>
      <c r="N250" s="14" t="n">
        <f aca="false">J250-L250</f>
        <v>-2.2</v>
      </c>
      <c r="O250" s="7" t="n">
        <f aca="false">O249+N250</f>
        <v>147.4</v>
      </c>
      <c r="P250" s="7" t="n">
        <v>211</v>
      </c>
      <c r="Q250" s="17" t="n">
        <f aca="false">1+((P250-104)/111)*(1.15-1)</f>
        <v>1.14459459459459</v>
      </c>
      <c r="R250" s="15" t="n">
        <f aca="false">Q250*L250</f>
        <v>2.51810810810811</v>
      </c>
      <c r="S250" s="15" t="n">
        <f aca="false">J250-R250</f>
        <v>-2.51810810810811</v>
      </c>
      <c r="T250" s="15" t="n">
        <f aca="false">MIN(189.6,(T249+S250))</f>
        <v>140.927162162162</v>
      </c>
      <c r="V250" s="7" t="n">
        <v>1322.1</v>
      </c>
      <c r="W250" s="7" t="n">
        <f aca="false">V250/D250</f>
        <v>94.4357142857143</v>
      </c>
      <c r="X250" s="7" t="n">
        <f aca="false">X249+V250</f>
        <v>112747.5</v>
      </c>
      <c r="Y250" s="7" t="n">
        <f aca="false">Y249+V250</f>
        <v>57708.6</v>
      </c>
      <c r="AA250" s="7" t="n">
        <v>12.9623434749028</v>
      </c>
    </row>
    <row r="251" s="7" customFormat="true" ht="15" hidden="false" customHeight="false" outlineLevel="0" collapsed="false">
      <c r="A251" s="34"/>
      <c r="B251" s="35"/>
      <c r="C251" s="8" t="n">
        <v>41732</v>
      </c>
      <c r="D251" s="7" t="n">
        <v>13.7</v>
      </c>
      <c r="E251" s="7" t="n">
        <v>9.6</v>
      </c>
      <c r="F251" s="7" t="n">
        <v>18.3</v>
      </c>
      <c r="G251" s="7" t="n">
        <f aca="false">G250+D251</f>
        <v>1773.2</v>
      </c>
      <c r="H251" s="7" t="n">
        <f aca="false">H250+D251</f>
        <v>738.7</v>
      </c>
      <c r="J251" s="7" t="n">
        <v>0</v>
      </c>
      <c r="K251" s="7" t="n">
        <f aca="false">K250+J251</f>
        <v>455.9</v>
      </c>
      <c r="L251" s="7" t="n">
        <v>1.7</v>
      </c>
      <c r="M251" s="7" t="n">
        <f aca="false">M250+L251</f>
        <v>226.9</v>
      </c>
      <c r="N251" s="14" t="n">
        <f aca="false">J251-L251</f>
        <v>-1.7</v>
      </c>
      <c r="O251" s="7" t="n">
        <f aca="false">O250+N251</f>
        <v>145.7</v>
      </c>
      <c r="P251" s="7" t="n">
        <v>212</v>
      </c>
      <c r="Q251" s="17" t="n">
        <f aca="false">1+((P251-104)/111)*(1.15-1)</f>
        <v>1.14594594594595</v>
      </c>
      <c r="R251" s="15" t="n">
        <f aca="false">Q251*L251</f>
        <v>1.94810810810811</v>
      </c>
      <c r="S251" s="15" t="n">
        <f aca="false">J251-R251</f>
        <v>-1.94810810810811</v>
      </c>
      <c r="T251" s="15" t="n">
        <f aca="false">MIN(189.6,(T250+S251))</f>
        <v>138.979054054054</v>
      </c>
      <c r="V251" s="16" t="n">
        <v>672.2</v>
      </c>
      <c r="W251" s="7" t="n">
        <f aca="false">V251/D251</f>
        <v>49.0656934306569</v>
      </c>
      <c r="X251" s="7" t="n">
        <f aca="false">X250+V251</f>
        <v>113419.7</v>
      </c>
      <c r="Y251" s="7" t="n">
        <f aca="false">Y250+V251</f>
        <v>58380.8</v>
      </c>
      <c r="AA251" s="7" t="n">
        <v>13.0236815863797</v>
      </c>
    </row>
    <row r="252" s="50" customFormat="true" ht="15" hidden="false" customHeight="false" outlineLevel="0" collapsed="false">
      <c r="A252" s="34"/>
      <c r="B252" s="35"/>
      <c r="C252" s="47" t="n">
        <v>41733</v>
      </c>
      <c r="D252" s="48" t="n">
        <v>11.1</v>
      </c>
      <c r="E252" s="48" t="n">
        <v>10.9</v>
      </c>
      <c r="F252" s="48" t="n">
        <v>13</v>
      </c>
      <c r="G252" s="48" t="n">
        <f aca="false">G251+D252</f>
        <v>1784.3</v>
      </c>
      <c r="H252" s="48" t="n">
        <f aca="false">H251+D252</f>
        <v>749.8</v>
      </c>
      <c r="I252" s="48"/>
      <c r="J252" s="48" t="n">
        <v>0</v>
      </c>
      <c r="K252" s="48" t="n">
        <f aca="false">K251+J252</f>
        <v>455.9</v>
      </c>
      <c r="L252" s="48" t="n">
        <v>1</v>
      </c>
      <c r="M252" s="48" t="n">
        <f aca="false">M251+L252</f>
        <v>227.9</v>
      </c>
      <c r="N252" s="48" t="n">
        <f aca="false">J252-L252</f>
        <v>-1</v>
      </c>
      <c r="O252" s="48" t="n">
        <f aca="false">O251+N252</f>
        <v>144.7</v>
      </c>
      <c r="P252" s="48" t="n">
        <v>213</v>
      </c>
      <c r="Q252" s="17" t="n">
        <f aca="false">1+((P252-104)/111)*(1.15-1)</f>
        <v>1.1472972972973</v>
      </c>
      <c r="R252" s="49" t="n">
        <f aca="false">Q252*L252</f>
        <v>1.1472972972973</v>
      </c>
      <c r="S252" s="49" t="n">
        <f aca="false">J252-R252</f>
        <v>-1.1472972972973</v>
      </c>
      <c r="T252" s="15" t="n">
        <f aca="false">MIN(189.6,(T251+S252))</f>
        <v>137.831756756757</v>
      </c>
      <c r="U252" s="48"/>
      <c r="V252" s="48" t="n">
        <v>580.4</v>
      </c>
      <c r="W252" s="48" t="n">
        <f aca="false">V252/D252</f>
        <v>52.2882882882883</v>
      </c>
      <c r="X252" s="48" t="n">
        <f aca="false">X251+V252</f>
        <v>114000.1</v>
      </c>
      <c r="Y252" s="7" t="n">
        <f aca="false">Y251+V252</f>
        <v>58961.2</v>
      </c>
      <c r="Z252" s="48"/>
      <c r="AA252" s="7" t="n">
        <v>13.0849184795475</v>
      </c>
    </row>
    <row r="253" s="12" customFormat="true" ht="15" hidden="false" customHeight="true" outlineLevel="0" collapsed="false">
      <c r="A253" s="34"/>
      <c r="B253" s="35"/>
      <c r="C253" s="51" t="n">
        <v>41734</v>
      </c>
      <c r="D253" s="48" t="n">
        <v>11.4</v>
      </c>
      <c r="E253" s="52" t="n">
        <v>4.7</v>
      </c>
      <c r="F253" s="48" t="n">
        <v>16.9</v>
      </c>
      <c r="G253" s="48" t="n">
        <f aca="false">G252+D253</f>
        <v>1795.7</v>
      </c>
      <c r="H253" s="48" t="n">
        <f aca="false">H252+D253</f>
        <v>761.2</v>
      </c>
      <c r="I253" s="48"/>
      <c r="J253" s="48" t="n">
        <v>0</v>
      </c>
      <c r="K253" s="48" t="n">
        <f aca="false">K252+J253</f>
        <v>455.9</v>
      </c>
      <c r="L253" s="48" t="n">
        <v>2.4</v>
      </c>
      <c r="M253" s="48" t="n">
        <f aca="false">M252+L253</f>
        <v>230.3</v>
      </c>
      <c r="N253" s="48" t="n">
        <f aca="false">J253-L253</f>
        <v>-2.4</v>
      </c>
      <c r="O253" s="48" t="n">
        <f aca="false">O252+N253</f>
        <v>142.3</v>
      </c>
      <c r="P253" s="48" t="n">
        <v>214</v>
      </c>
      <c r="Q253" s="17" t="n">
        <f aca="false">1+((P253-104)/111)*(1.15-1)</f>
        <v>1.14864864864865</v>
      </c>
      <c r="R253" s="49" t="n">
        <f aca="false">Q253*L253</f>
        <v>2.75675675675676</v>
      </c>
      <c r="S253" s="49" t="n">
        <f aca="false">J253-R253</f>
        <v>-2.75675675675676</v>
      </c>
      <c r="T253" s="15" t="n">
        <f aca="false">MIN(189.6,(T252+S253))</f>
        <v>135.075</v>
      </c>
      <c r="U253" s="48"/>
      <c r="V253" s="48" t="n">
        <v>1506.6</v>
      </c>
      <c r="W253" s="48" t="n">
        <f aca="false">V253/D253</f>
        <v>132.157894736842</v>
      </c>
      <c r="X253" s="48" t="n">
        <f aca="false">X252+V253</f>
        <v>115506.7</v>
      </c>
      <c r="Y253" s="7" t="n">
        <f aca="false">Y252+V253</f>
        <v>60467.8</v>
      </c>
      <c r="Z253" s="48"/>
      <c r="AA253" s="7" t="n">
        <v>13.1460468421565</v>
      </c>
    </row>
    <row r="254" s="31" customFormat="true" ht="15" hidden="false" customHeight="false" outlineLevel="0" collapsed="false">
      <c r="A254" s="34"/>
      <c r="B254" s="53"/>
      <c r="C254" s="21" t="n">
        <v>41735</v>
      </c>
      <c r="D254" s="31" t="n">
        <v>14.3</v>
      </c>
      <c r="E254" s="31" t="n">
        <v>11.3</v>
      </c>
      <c r="F254" s="31" t="n">
        <v>16.8</v>
      </c>
      <c r="G254" s="31" t="n">
        <f aca="false">G253+D254</f>
        <v>1810</v>
      </c>
      <c r="H254" s="31" t="n">
        <f aca="false">H253+D254</f>
        <v>775.5</v>
      </c>
      <c r="J254" s="31" t="n">
        <v>1.2</v>
      </c>
      <c r="K254" s="31" t="n">
        <f aca="false">K253+J254</f>
        <v>457.1</v>
      </c>
      <c r="L254" s="31" t="n">
        <v>1</v>
      </c>
      <c r="M254" s="31" t="n">
        <f aca="false">M253+L254</f>
        <v>231.3</v>
      </c>
      <c r="N254" s="31" t="n">
        <f aca="false">J254-L254</f>
        <v>0.2</v>
      </c>
      <c r="O254" s="31" t="n">
        <f aca="false">O253+N254</f>
        <v>142.5</v>
      </c>
      <c r="P254" s="31" t="n">
        <v>215</v>
      </c>
      <c r="Q254" s="54" t="n">
        <f aca="false">1+((P254-104)/111)*(1.15-1)</f>
        <v>1.15</v>
      </c>
      <c r="R254" s="55" t="n">
        <f aca="false">Q254*L254</f>
        <v>1.15</v>
      </c>
      <c r="S254" s="55" t="n">
        <f aca="false">J254-R254</f>
        <v>0.05</v>
      </c>
      <c r="T254" s="24" t="n">
        <f aca="false">MIN(189.6,(T253+S254))</f>
        <v>135.125</v>
      </c>
      <c r="V254" s="32" t="n">
        <v>525.6</v>
      </c>
      <c r="W254" s="31" t="n">
        <f aca="false">V254/D254</f>
        <v>36.7552447552448</v>
      </c>
      <c r="X254" s="31" t="n">
        <f aca="false">X253+V254</f>
        <v>116032.3</v>
      </c>
      <c r="Y254" s="23" t="n">
        <f aca="false">Y253+V254</f>
        <v>60993.4</v>
      </c>
      <c r="AA254" s="23" t="n">
        <v>13.2070591215617</v>
      </c>
    </row>
    <row r="255" s="7" customFormat="true" ht="15" hidden="false" customHeight="true" outlineLevel="0" collapsed="false">
      <c r="A255" s="56" t="s">
        <v>55</v>
      </c>
      <c r="B255" s="57" t="s">
        <v>56</v>
      </c>
      <c r="C255" s="8" t="n">
        <v>41736</v>
      </c>
      <c r="D255" s="7" t="n">
        <v>14.7</v>
      </c>
      <c r="E255" s="7" t="n">
        <v>12.1</v>
      </c>
      <c r="F255" s="7" t="n">
        <v>20.6</v>
      </c>
      <c r="G255" s="7" t="n">
        <f aca="false">G254+D255</f>
        <v>1824.7</v>
      </c>
      <c r="H255" s="7" t="n">
        <v>14.7</v>
      </c>
      <c r="I255" s="58" t="s">
        <v>28</v>
      </c>
      <c r="J255" s="7" t="n">
        <v>14.2</v>
      </c>
      <c r="K255" s="7" t="n">
        <f aca="false">K254+J255</f>
        <v>471.3</v>
      </c>
      <c r="L255" s="7" t="n">
        <v>2.2</v>
      </c>
      <c r="M255" s="7" t="n">
        <f aca="false">M254+L255</f>
        <v>233.5</v>
      </c>
      <c r="N255" s="7" t="n">
        <f aca="false">J255-L255</f>
        <v>12</v>
      </c>
      <c r="O255" s="7" t="n">
        <f aca="false">O254+N255</f>
        <v>154.5</v>
      </c>
      <c r="P255" s="7" t="n">
        <v>216</v>
      </c>
      <c r="Q255" s="7" t="n">
        <v>1.15</v>
      </c>
      <c r="R255" s="15" t="n">
        <f aca="false">Q255*L255</f>
        <v>2.53</v>
      </c>
      <c r="S255" s="15" t="n">
        <f aca="false">J255-R255</f>
        <v>11.67</v>
      </c>
      <c r="T255" s="15" t="n">
        <f aca="false">MIN(189.6,(T254+S255))</f>
        <v>146.795</v>
      </c>
      <c r="U255" s="58" t="s">
        <v>29</v>
      </c>
      <c r="V255" s="16" t="n">
        <v>707</v>
      </c>
      <c r="W255" s="7" t="n">
        <f aca="false">V255/D255</f>
        <v>48.0952380952381</v>
      </c>
      <c r="X255" s="7" t="n">
        <f aca="false">X254+V255</f>
        <v>116739.3</v>
      </c>
      <c r="Y255" s="7" t="n">
        <v>707</v>
      </c>
      <c r="Z255" s="58" t="s">
        <v>30</v>
      </c>
      <c r="AA255" s="7" t="n">
        <v>13.2679475072184</v>
      </c>
    </row>
    <row r="256" s="7" customFormat="true" ht="15" hidden="false" customHeight="false" outlineLevel="0" collapsed="false">
      <c r="A256" s="56"/>
      <c r="C256" s="8" t="n">
        <v>41737</v>
      </c>
      <c r="D256" s="7" t="n">
        <v>8.6</v>
      </c>
      <c r="E256" s="7" t="n">
        <v>7.4</v>
      </c>
      <c r="F256" s="7" t="n">
        <v>10.9</v>
      </c>
      <c r="G256" s="7" t="n">
        <f aca="false">G255+D256</f>
        <v>1833.3</v>
      </c>
      <c r="H256" s="7" t="n">
        <f aca="false">H255+D256</f>
        <v>23.3</v>
      </c>
      <c r="I256" s="7" t="n">
        <f aca="false">MIN(E255:E275)</f>
        <v>3.2</v>
      </c>
      <c r="J256" s="7" t="n">
        <v>1.1</v>
      </c>
      <c r="K256" s="7" t="n">
        <f aca="false">K255+J256</f>
        <v>472.4</v>
      </c>
      <c r="L256" s="7" t="n">
        <v>2.4</v>
      </c>
      <c r="M256" s="7" t="n">
        <f aca="false">M255+L256</f>
        <v>235.9</v>
      </c>
      <c r="N256" s="14" t="n">
        <f aca="false">J256-L256</f>
        <v>-1.3</v>
      </c>
      <c r="O256" s="7" t="n">
        <f aca="false">O255+N256</f>
        <v>153.2</v>
      </c>
      <c r="P256" s="7" t="n">
        <v>217</v>
      </c>
      <c r="Q256" s="7" t="n">
        <v>1.15</v>
      </c>
      <c r="R256" s="15" t="n">
        <f aca="false">Q256*L256</f>
        <v>2.76</v>
      </c>
      <c r="S256" s="15" t="n">
        <f aca="false">J256-R256</f>
        <v>-1.66</v>
      </c>
      <c r="T256" s="15" t="n">
        <f aca="false">MIN(189.6,(T255+S256))</f>
        <v>145.135</v>
      </c>
      <c r="V256" s="7" t="n">
        <v>1785.5</v>
      </c>
      <c r="W256" s="7" t="n">
        <f aca="false">V256/D256</f>
        <v>207.616279069767</v>
      </c>
      <c r="X256" s="7" t="n">
        <f aca="false">X255+V256</f>
        <v>118524.8</v>
      </c>
      <c r="Y256" s="7" t="n">
        <f aca="false">Y255+V256</f>
        <v>2492.5</v>
      </c>
      <c r="Z256" s="7" t="n">
        <v>27449.9</v>
      </c>
      <c r="AA256" s="7" t="n">
        <v>13.3287039132659</v>
      </c>
    </row>
    <row r="257" s="7" customFormat="true" ht="15" hidden="false" customHeight="false" outlineLevel="0" collapsed="false">
      <c r="A257" s="56"/>
      <c r="C257" s="8" t="n">
        <v>41738</v>
      </c>
      <c r="D257" s="7" t="n">
        <v>8.5</v>
      </c>
      <c r="E257" s="18" t="n">
        <v>3.9</v>
      </c>
      <c r="F257" s="7" t="n">
        <v>12.9</v>
      </c>
      <c r="G257" s="7" t="n">
        <f aca="false">G256+D257</f>
        <v>1841.8</v>
      </c>
      <c r="H257" s="7" t="n">
        <f aca="false">H256+D257</f>
        <v>31.8</v>
      </c>
      <c r="I257" s="59" t="s">
        <v>31</v>
      </c>
      <c r="J257" s="7" t="n">
        <v>0</v>
      </c>
      <c r="K257" s="7" t="n">
        <f aca="false">K256+J257</f>
        <v>472.4</v>
      </c>
      <c r="L257" s="7" t="n">
        <v>1.9</v>
      </c>
      <c r="M257" s="7" t="n">
        <f aca="false">M256+L257</f>
        <v>237.8</v>
      </c>
      <c r="N257" s="14" t="n">
        <f aca="false">J257-L257</f>
        <v>-1.9</v>
      </c>
      <c r="O257" s="7" t="n">
        <f aca="false">O256+N257</f>
        <v>151.3</v>
      </c>
      <c r="P257" s="7" t="n">
        <v>218</v>
      </c>
      <c r="Q257" s="7" t="n">
        <v>1.15</v>
      </c>
      <c r="R257" s="15" t="n">
        <f aca="false">Q257*L257</f>
        <v>2.185</v>
      </c>
      <c r="S257" s="15" t="n">
        <f aca="false">J257-R257</f>
        <v>-2.185</v>
      </c>
      <c r="T257" s="15" t="n">
        <f aca="false">MIN(189.6,(T256+S257))</f>
        <v>142.95</v>
      </c>
      <c r="U257" s="59" t="s">
        <v>32</v>
      </c>
      <c r="V257" s="7" t="n">
        <v>1278.5</v>
      </c>
      <c r="W257" s="7" t="n">
        <f aca="false">V257/D257</f>
        <v>150.411764705882</v>
      </c>
      <c r="X257" s="7" t="n">
        <f aca="false">X256+V257</f>
        <v>119803.3</v>
      </c>
      <c r="Y257" s="7" t="n">
        <f aca="false">Y256+V257</f>
        <v>3771</v>
      </c>
      <c r="Z257" s="59" t="s">
        <v>33</v>
      </c>
      <c r="AA257" s="7" t="n">
        <v>13.3893199612104</v>
      </c>
    </row>
    <row r="258" s="7" customFormat="true" ht="15" hidden="false" customHeight="false" outlineLevel="0" collapsed="false">
      <c r="A258" s="56"/>
      <c r="C258" s="8" t="n">
        <v>41739</v>
      </c>
      <c r="D258" s="7" t="n">
        <v>9.3</v>
      </c>
      <c r="E258" s="18" t="n">
        <v>3.4</v>
      </c>
      <c r="F258" s="7" t="n">
        <v>14.5</v>
      </c>
      <c r="G258" s="7" t="n">
        <f aca="false">G257+D258</f>
        <v>1851.1</v>
      </c>
      <c r="H258" s="7" t="n">
        <f aca="false">H257+D258</f>
        <v>41.1</v>
      </c>
      <c r="I258" s="7" t="n">
        <f aca="false">MAX(F255:F275)</f>
        <v>20.6</v>
      </c>
      <c r="J258" s="7" t="n">
        <v>0</v>
      </c>
      <c r="K258" s="7" t="n">
        <f aca="false">K257+J258</f>
        <v>472.4</v>
      </c>
      <c r="L258" s="7" t="n">
        <v>2.4</v>
      </c>
      <c r="M258" s="7" t="n">
        <f aca="false">M257+L258</f>
        <v>240.2</v>
      </c>
      <c r="N258" s="14" t="n">
        <f aca="false">J258-L258</f>
        <v>-2.4</v>
      </c>
      <c r="O258" s="7" t="n">
        <f aca="false">O257+N258</f>
        <v>148.9</v>
      </c>
      <c r="P258" s="7" t="n">
        <v>219</v>
      </c>
      <c r="Q258" s="7" t="n">
        <v>1.15</v>
      </c>
      <c r="R258" s="15" t="n">
        <f aca="false">Q258*L258</f>
        <v>2.76</v>
      </c>
      <c r="S258" s="15" t="n">
        <f aca="false">J258-R258</f>
        <v>-2.76</v>
      </c>
      <c r="T258" s="15" t="n">
        <f aca="false">MIN(189.6,(T257+S258))</f>
        <v>140.19</v>
      </c>
      <c r="V258" s="7" t="n">
        <v>1768.6</v>
      </c>
      <c r="W258" s="7" t="n">
        <f aca="false">V258/D258</f>
        <v>190.172043010753</v>
      </c>
      <c r="X258" s="7" t="n">
        <f aca="false">X257+V258</f>
        <v>121571.9</v>
      </c>
      <c r="Y258" s="7" t="n">
        <f aca="false">Y257+V258</f>
        <v>5539.6</v>
      </c>
      <c r="Z258" s="17" t="n">
        <f aca="false">(Z256/100)/I268</f>
        <v>1.25628832951945</v>
      </c>
      <c r="AA258" s="7" t="n">
        <v>13.4497869627234</v>
      </c>
    </row>
    <row r="259" s="7" customFormat="true" ht="15" hidden="false" customHeight="false" outlineLevel="0" collapsed="false">
      <c r="A259" s="56"/>
      <c r="C259" s="8" t="n">
        <v>41740</v>
      </c>
      <c r="D259" s="7" t="n">
        <v>9.9</v>
      </c>
      <c r="E259" s="7" t="n">
        <v>5.5</v>
      </c>
      <c r="F259" s="7" t="n">
        <v>14.9</v>
      </c>
      <c r="G259" s="7" t="n">
        <f aca="false">G258+D259</f>
        <v>1861</v>
      </c>
      <c r="H259" s="7" t="n">
        <f aca="false">H258+D259</f>
        <v>51</v>
      </c>
      <c r="I259" s="59" t="s">
        <v>34</v>
      </c>
      <c r="J259" s="7" t="n">
        <v>0</v>
      </c>
      <c r="K259" s="7" t="n">
        <f aca="false">K258+J259</f>
        <v>472.4</v>
      </c>
      <c r="L259" s="7" t="n">
        <v>2.1</v>
      </c>
      <c r="M259" s="7" t="n">
        <f aca="false">M258+L259</f>
        <v>242.3</v>
      </c>
      <c r="N259" s="14" t="n">
        <f aca="false">J259-L259</f>
        <v>-2.1</v>
      </c>
      <c r="O259" s="7" t="n">
        <f aca="false">O258+N259</f>
        <v>146.8</v>
      </c>
      <c r="P259" s="7" t="n">
        <v>220</v>
      </c>
      <c r="Q259" s="7" t="n">
        <v>1.15</v>
      </c>
      <c r="R259" s="15" t="n">
        <f aca="false">Q259*L259</f>
        <v>2.415</v>
      </c>
      <c r="S259" s="15" t="n">
        <f aca="false">J259-R259</f>
        <v>-2.415</v>
      </c>
      <c r="T259" s="15" t="n">
        <f aca="false">MIN(189.6,(T258+S259))</f>
        <v>137.775</v>
      </c>
      <c r="U259" s="59" t="s">
        <v>35</v>
      </c>
      <c r="V259" s="7" t="n">
        <v>1431</v>
      </c>
      <c r="W259" s="7" t="n">
        <f aca="false">V259/D259</f>
        <v>144.545454545455</v>
      </c>
      <c r="X259" s="7" t="n">
        <f aca="false">X258+V259</f>
        <v>123002.9</v>
      </c>
      <c r="Y259" s="7" t="n">
        <f aca="false">Y258+V259</f>
        <v>6970.6</v>
      </c>
      <c r="Z259" s="59" t="s">
        <v>36</v>
      </c>
      <c r="AA259" s="7" t="n">
        <v>13.5100959025732</v>
      </c>
    </row>
    <row r="260" s="7" customFormat="true" ht="15" hidden="false" customHeight="false" outlineLevel="0" collapsed="false">
      <c r="A260" s="56"/>
      <c r="C260" s="8" t="n">
        <v>41741</v>
      </c>
      <c r="D260" s="7" t="n">
        <v>10</v>
      </c>
      <c r="E260" s="7" t="n">
        <v>6</v>
      </c>
      <c r="F260" s="7" t="n">
        <v>14</v>
      </c>
      <c r="G260" s="7" t="n">
        <f aca="false">G259+D260</f>
        <v>1871</v>
      </c>
      <c r="H260" s="7" t="n">
        <f aca="false">H259+D260</f>
        <v>61</v>
      </c>
      <c r="I260" s="15" t="n">
        <f aca="false">AVERAGE(D255:D275)</f>
        <v>10.4047619047619</v>
      </c>
      <c r="J260" s="7" t="n">
        <v>0</v>
      </c>
      <c r="K260" s="7" t="n">
        <f aca="false">K259+J260</f>
        <v>472.4</v>
      </c>
      <c r="L260" s="7" t="n">
        <v>1.4</v>
      </c>
      <c r="M260" s="7" t="n">
        <f aca="false">M259+L260</f>
        <v>243.7</v>
      </c>
      <c r="N260" s="14" t="n">
        <f aca="false">J260-L260</f>
        <v>-1.4</v>
      </c>
      <c r="O260" s="7" t="n">
        <f aca="false">O259+N260</f>
        <v>145.4</v>
      </c>
      <c r="P260" s="7" t="n">
        <v>221</v>
      </c>
      <c r="Q260" s="7" t="n">
        <v>1.15</v>
      </c>
      <c r="R260" s="15" t="n">
        <f aca="false">Q260*L260</f>
        <v>1.61</v>
      </c>
      <c r="S260" s="15" t="n">
        <f aca="false">J260-R260</f>
        <v>-1.61</v>
      </c>
      <c r="T260" s="15" t="n">
        <f aca="false">MIN(189.6,(T259+S260))</f>
        <v>136.165</v>
      </c>
      <c r="U260" s="7" t="n">
        <v>0</v>
      </c>
      <c r="V260" s="16" t="n">
        <v>797.3</v>
      </c>
      <c r="W260" s="7" t="n">
        <f aca="false">V260/D260</f>
        <v>79.73</v>
      </c>
      <c r="X260" s="7" t="n">
        <f aca="false">X259+V260</f>
        <v>123800.2</v>
      </c>
      <c r="Y260" s="7" t="n">
        <f aca="false">Y259+V260</f>
        <v>7767.9</v>
      </c>
      <c r="Z260" s="7" t="n">
        <v>5</v>
      </c>
      <c r="AA260" s="7" t="n">
        <v>13.5702374217108</v>
      </c>
    </row>
    <row r="261" s="7" customFormat="true" ht="15" hidden="false" customHeight="false" outlineLevel="0" collapsed="false">
      <c r="A261" s="56"/>
      <c r="C261" s="8" t="n">
        <v>41742</v>
      </c>
      <c r="D261" s="7" t="n">
        <v>10.1</v>
      </c>
      <c r="E261" s="7" t="n">
        <v>7.3</v>
      </c>
      <c r="F261" s="7" t="n">
        <v>13.9</v>
      </c>
      <c r="G261" s="7" t="n">
        <f aca="false">G260+D261</f>
        <v>1881.1</v>
      </c>
      <c r="H261" s="7" t="n">
        <f aca="false">H260+D261</f>
        <v>71.1</v>
      </c>
      <c r="I261" s="59" t="s">
        <v>37</v>
      </c>
      <c r="J261" s="7" t="n">
        <v>0</v>
      </c>
      <c r="K261" s="7" t="n">
        <f aca="false">K260+J261</f>
        <v>472.4</v>
      </c>
      <c r="L261" s="7" t="n">
        <v>2.3</v>
      </c>
      <c r="M261" s="7" t="n">
        <f aca="false">M260+L261</f>
        <v>246</v>
      </c>
      <c r="N261" s="14" t="n">
        <f aca="false">J261-L261</f>
        <v>-2.3</v>
      </c>
      <c r="O261" s="7" t="n">
        <f aca="false">O260+N261</f>
        <v>143.1</v>
      </c>
      <c r="P261" s="7" t="n">
        <v>222</v>
      </c>
      <c r="Q261" s="7" t="n">
        <v>1.15</v>
      </c>
      <c r="R261" s="15" t="n">
        <f aca="false">Q261*L261</f>
        <v>2.645</v>
      </c>
      <c r="S261" s="15" t="n">
        <f aca="false">J261-R261</f>
        <v>-2.645</v>
      </c>
      <c r="T261" s="15" t="n">
        <f aca="false">MIN(189.6,(T260+S261))</f>
        <v>133.52</v>
      </c>
      <c r="U261" s="59" t="s">
        <v>38</v>
      </c>
      <c r="V261" s="7" t="n">
        <v>1409.4</v>
      </c>
      <c r="W261" s="7" t="n">
        <f aca="false">V261/D261</f>
        <v>139.544554455446</v>
      </c>
      <c r="X261" s="7" t="n">
        <f aca="false">X260+V261</f>
        <v>125209.6</v>
      </c>
      <c r="Y261" s="7" t="n">
        <f aca="false">Y260+V261</f>
        <v>9177.3</v>
      </c>
      <c r="AA261" s="7" t="n">
        <v>13.630201800534</v>
      </c>
    </row>
    <row r="262" s="7" customFormat="true" ht="15" hidden="false" customHeight="false" outlineLevel="0" collapsed="false">
      <c r="A262" s="56"/>
      <c r="C262" s="8" t="n">
        <v>41743</v>
      </c>
      <c r="D262" s="7" t="n">
        <v>8.9</v>
      </c>
      <c r="E262" s="7" t="n">
        <v>5.6</v>
      </c>
      <c r="F262" s="7" t="n">
        <v>13.3</v>
      </c>
      <c r="G262" s="7" t="n">
        <f aca="false">G261+D262</f>
        <v>1890</v>
      </c>
      <c r="H262" s="7" t="n">
        <f aca="false">H261+D262</f>
        <v>80</v>
      </c>
      <c r="I262" s="7" t="n">
        <v>0</v>
      </c>
      <c r="J262" s="7" t="n">
        <v>0</v>
      </c>
      <c r="K262" s="7" t="n">
        <f aca="false">K261+J262</f>
        <v>472.4</v>
      </c>
      <c r="L262" s="7" t="n">
        <v>2.4</v>
      </c>
      <c r="M262" s="7" t="n">
        <f aca="false">M261+L262</f>
        <v>248.4</v>
      </c>
      <c r="N262" s="14" t="n">
        <f aca="false">J262-L262</f>
        <v>-2.4</v>
      </c>
      <c r="O262" s="7" t="n">
        <f aca="false">O261+N262</f>
        <v>140.7</v>
      </c>
      <c r="P262" s="7" t="n">
        <v>223</v>
      </c>
      <c r="Q262" s="7" t="n">
        <v>1.15</v>
      </c>
      <c r="R262" s="15" t="n">
        <f aca="false">Q262*L262</f>
        <v>2.76</v>
      </c>
      <c r="S262" s="15" t="n">
        <f aca="false">J262-R262</f>
        <v>-2.76</v>
      </c>
      <c r="T262" s="15" t="n">
        <f aca="false">MIN(189.6,(T261+S262))</f>
        <v>130.76</v>
      </c>
      <c r="U262" s="7" t="n">
        <v>0</v>
      </c>
      <c r="V262" s="7" t="n">
        <v>1429.3</v>
      </c>
      <c r="W262" s="7" t="n">
        <f aca="false">V262/D262</f>
        <v>160.595505617978</v>
      </c>
      <c r="X262" s="7" t="n">
        <f aca="false">X261+V262</f>
        <v>126638.9</v>
      </c>
      <c r="Y262" s="7" t="n">
        <f aca="false">Y261+V262</f>
        <v>10606.6</v>
      </c>
      <c r="AA262" s="7" t="n">
        <v>13.6899789423581</v>
      </c>
    </row>
    <row r="263" s="7" customFormat="true" ht="15" hidden="false" customHeight="false" outlineLevel="0" collapsed="false">
      <c r="A263" s="56"/>
      <c r="C263" s="8" t="n">
        <v>41744</v>
      </c>
      <c r="D263" s="7" t="n">
        <v>7.4</v>
      </c>
      <c r="E263" s="18" t="n">
        <v>3.4</v>
      </c>
      <c r="F263" s="7" t="n">
        <v>12.2</v>
      </c>
      <c r="G263" s="7" t="n">
        <f aca="false">G262+D263</f>
        <v>1897.4</v>
      </c>
      <c r="H263" s="7" t="n">
        <f aca="false">H262+D263</f>
        <v>87.4</v>
      </c>
      <c r="I263" s="59" t="s">
        <v>39</v>
      </c>
      <c r="J263" s="7" t="n">
        <v>0</v>
      </c>
      <c r="K263" s="7" t="n">
        <f aca="false">K262+J263</f>
        <v>472.4</v>
      </c>
      <c r="L263" s="7" t="n">
        <v>2.3</v>
      </c>
      <c r="M263" s="7" t="n">
        <f aca="false">M262+L263</f>
        <v>250.7</v>
      </c>
      <c r="N263" s="14" t="n">
        <f aca="false">J263-L263</f>
        <v>-2.3</v>
      </c>
      <c r="O263" s="7" t="n">
        <f aca="false">O262+N263</f>
        <v>138.4</v>
      </c>
      <c r="P263" s="7" t="n">
        <v>224</v>
      </c>
      <c r="Q263" s="7" t="n">
        <v>1.15</v>
      </c>
      <c r="R263" s="15" t="n">
        <f aca="false">Q263*L263</f>
        <v>2.645</v>
      </c>
      <c r="S263" s="15" t="n">
        <f aca="false">J263-R263</f>
        <v>-2.645</v>
      </c>
      <c r="T263" s="15" t="n">
        <f aca="false">MIN(189.6,(T262+S263))</f>
        <v>128.115</v>
      </c>
      <c r="U263" s="59" t="s">
        <v>40</v>
      </c>
      <c r="V263" s="7" t="n">
        <v>1530</v>
      </c>
      <c r="W263" s="7" t="n">
        <f aca="false">V263/D263</f>
        <v>206.756756756757</v>
      </c>
      <c r="X263" s="7" t="n">
        <f aca="false">X262+V263</f>
        <v>128168.9</v>
      </c>
      <c r="Y263" s="7" t="n">
        <f aca="false">Y262+V263</f>
        <v>12136.6</v>
      </c>
      <c r="AA263" s="7" t="n">
        <v>13.7495583571237</v>
      </c>
    </row>
    <row r="264" s="7" customFormat="true" ht="15" hidden="false" customHeight="false" outlineLevel="0" collapsed="false">
      <c r="A264" s="56"/>
      <c r="C264" s="8" t="n">
        <v>41745</v>
      </c>
      <c r="D264" s="7" t="n">
        <v>8.6</v>
      </c>
      <c r="E264" s="18" t="n">
        <v>3.2</v>
      </c>
      <c r="F264" s="7" t="n">
        <v>13.8</v>
      </c>
      <c r="G264" s="7" t="n">
        <f aca="false">G263+D264</f>
        <v>1906</v>
      </c>
      <c r="H264" s="7" t="n">
        <f aca="false">H263+D264</f>
        <v>96</v>
      </c>
      <c r="I264" s="7" t="n">
        <v>0</v>
      </c>
      <c r="J264" s="7" t="n">
        <v>0</v>
      </c>
      <c r="K264" s="7" t="n">
        <f aca="false">K263+J264</f>
        <v>472.4</v>
      </c>
      <c r="L264" s="7" t="n">
        <v>3.1</v>
      </c>
      <c r="M264" s="7" t="n">
        <f aca="false">M263+L264</f>
        <v>253.8</v>
      </c>
      <c r="N264" s="14" t="n">
        <f aca="false">J264-L264</f>
        <v>-3.1</v>
      </c>
      <c r="O264" s="7" t="n">
        <f aca="false">O263+N264</f>
        <v>135.3</v>
      </c>
      <c r="P264" s="7" t="n">
        <v>225</v>
      </c>
      <c r="Q264" s="7" t="n">
        <v>1.15</v>
      </c>
      <c r="R264" s="15" t="n">
        <f aca="false">Q264*L264</f>
        <v>3.565</v>
      </c>
      <c r="S264" s="15" t="n">
        <f aca="false">J264-R264</f>
        <v>-3.565</v>
      </c>
      <c r="T264" s="15" t="n">
        <f aca="false">MIN(189.6,(T263+S264))</f>
        <v>124.55</v>
      </c>
      <c r="U264" s="15" t="n">
        <f aca="false">MIN(T255:T275)</f>
        <v>106.57</v>
      </c>
      <c r="V264" s="7" t="n">
        <v>2254.9</v>
      </c>
      <c r="W264" s="7" t="n">
        <f aca="false">V264/D264</f>
        <v>262.197674418605</v>
      </c>
      <c r="X264" s="7" t="n">
        <f aca="false">X263+V264</f>
        <v>130423.8</v>
      </c>
      <c r="Y264" s="7" t="n">
        <f aca="false">Y263+V264</f>
        <v>14391.5</v>
      </c>
      <c r="AA264" s="7" t="n">
        <v>13.8089291453783</v>
      </c>
    </row>
    <row r="265" s="7" customFormat="true" ht="15" hidden="false" customHeight="false" outlineLevel="0" collapsed="false">
      <c r="A265" s="56"/>
      <c r="C265" s="8" t="n">
        <v>41746</v>
      </c>
      <c r="D265" s="7" t="n">
        <v>11.1</v>
      </c>
      <c r="E265" s="18" t="n">
        <v>4.1</v>
      </c>
      <c r="F265" s="7" t="n">
        <v>16.8</v>
      </c>
      <c r="G265" s="7" t="n">
        <f aca="false">G264+D265</f>
        <v>1917.1</v>
      </c>
      <c r="H265" s="7" t="n">
        <f aca="false">H264+D265</f>
        <v>107.1</v>
      </c>
      <c r="I265" s="59" t="s">
        <v>41</v>
      </c>
      <c r="J265" s="7" t="n">
        <v>0</v>
      </c>
      <c r="K265" s="7" t="n">
        <f aca="false">K264+J265</f>
        <v>472.4</v>
      </c>
      <c r="L265" s="7" t="n">
        <v>2.9</v>
      </c>
      <c r="M265" s="7" t="n">
        <f aca="false">M264+L265</f>
        <v>256.7</v>
      </c>
      <c r="N265" s="14" t="n">
        <f aca="false">J265-L265</f>
        <v>-2.9</v>
      </c>
      <c r="O265" s="7" t="n">
        <f aca="false">O264+N265</f>
        <v>132.4</v>
      </c>
      <c r="P265" s="7" t="n">
        <v>226</v>
      </c>
      <c r="Q265" s="7" t="n">
        <v>1.15</v>
      </c>
      <c r="R265" s="15" t="n">
        <f aca="false">Q265*L265</f>
        <v>3.335</v>
      </c>
      <c r="S265" s="15" t="n">
        <f aca="false">J265-R265</f>
        <v>-3.335</v>
      </c>
      <c r="T265" s="15" t="n">
        <f aca="false">MIN(189.6,(T264+S265))</f>
        <v>121.215</v>
      </c>
      <c r="U265" s="59" t="s">
        <v>42</v>
      </c>
      <c r="V265" s="7" t="n">
        <v>1925.3</v>
      </c>
      <c r="W265" s="7" t="n">
        <f aca="false">V265/D265</f>
        <v>173.45045045045</v>
      </c>
      <c r="X265" s="7" t="n">
        <f aca="false">X264+V265</f>
        <v>132349.1</v>
      </c>
      <c r="Y265" s="7" t="n">
        <f aca="false">Y264+V265</f>
        <v>16316.8</v>
      </c>
      <c r="AA265" s="7" t="n">
        <v>13.868079982568</v>
      </c>
    </row>
    <row r="266" s="7" customFormat="true" ht="15" hidden="false" customHeight="false" outlineLevel="0" collapsed="false">
      <c r="A266" s="56"/>
      <c r="C266" s="8" t="n">
        <v>41747</v>
      </c>
      <c r="D266" s="7" t="n">
        <v>9.3</v>
      </c>
      <c r="E266" s="7" t="n">
        <v>8.8</v>
      </c>
      <c r="F266" s="7" t="n">
        <v>11.7</v>
      </c>
      <c r="G266" s="7" t="n">
        <f aca="false">G265+D266</f>
        <v>1926.4</v>
      </c>
      <c r="H266" s="7" t="n">
        <f aca="false">H265+D266</f>
        <v>116.4</v>
      </c>
      <c r="I266" s="7" t="n">
        <v>6</v>
      </c>
      <c r="J266" s="7" t="n">
        <v>0</v>
      </c>
      <c r="K266" s="7" t="n">
        <f aca="false">K265+J266</f>
        <v>472.4</v>
      </c>
      <c r="L266" s="7" t="n">
        <v>3.3</v>
      </c>
      <c r="M266" s="7" t="n">
        <f aca="false">M265+L266</f>
        <v>260</v>
      </c>
      <c r="N266" s="14" t="n">
        <f aca="false">J266-L266</f>
        <v>-3.3</v>
      </c>
      <c r="O266" s="7" t="n">
        <f aca="false">O265+N266</f>
        <v>129.1</v>
      </c>
      <c r="P266" s="7" t="n">
        <v>227</v>
      </c>
      <c r="Q266" s="7" t="n">
        <v>1.15</v>
      </c>
      <c r="R266" s="15" t="n">
        <f aca="false">Q266*L266</f>
        <v>3.795</v>
      </c>
      <c r="S266" s="15" t="n">
        <f aca="false">J266-R266</f>
        <v>-3.795</v>
      </c>
      <c r="T266" s="15" t="n">
        <f aca="false">MIN(189.6,(T265+S266))</f>
        <v>117.42</v>
      </c>
      <c r="U266" s="15" t="n">
        <f aca="false">MAX(T255:T275)</f>
        <v>146.795</v>
      </c>
      <c r="V266" s="7" t="n">
        <v>1921.9</v>
      </c>
      <c r="W266" s="7" t="n">
        <f aca="false">V266/D266</f>
        <v>206.655913978495</v>
      </c>
      <c r="X266" s="7" t="n">
        <f aca="false">X265+V266</f>
        <v>134271</v>
      </c>
      <c r="Y266" s="7" t="n">
        <f aca="false">Y265+V266</f>
        <v>18238.7</v>
      </c>
      <c r="AA266" s="7" t="n">
        <v>13.9269991036858</v>
      </c>
    </row>
    <row r="267" s="7" customFormat="true" ht="15" hidden="false" customHeight="false" outlineLevel="0" collapsed="false">
      <c r="A267" s="56"/>
      <c r="C267" s="8" t="n">
        <v>41748</v>
      </c>
      <c r="D267" s="7" t="n">
        <v>9.3</v>
      </c>
      <c r="E267" s="18" t="n">
        <v>3.7</v>
      </c>
      <c r="F267" s="7" t="n">
        <v>12.6</v>
      </c>
      <c r="G267" s="7" t="n">
        <f aca="false">G266+D267</f>
        <v>1935.7</v>
      </c>
      <c r="H267" s="7" t="n">
        <f aca="false">H266+D267</f>
        <v>125.7</v>
      </c>
      <c r="I267" s="59" t="s">
        <v>43</v>
      </c>
      <c r="J267" s="7" t="n">
        <v>0</v>
      </c>
      <c r="K267" s="7" t="n">
        <f aca="false">K266+J267</f>
        <v>472.4</v>
      </c>
      <c r="L267" s="7" t="n">
        <v>2.5</v>
      </c>
      <c r="M267" s="7" t="n">
        <f aca="false">M266+L267</f>
        <v>262.5</v>
      </c>
      <c r="N267" s="14" t="n">
        <f aca="false">J267-L267</f>
        <v>-2.5</v>
      </c>
      <c r="O267" s="7" t="n">
        <f aca="false">O266+N267</f>
        <v>126.6</v>
      </c>
      <c r="P267" s="7" t="n">
        <v>228</v>
      </c>
      <c r="Q267" s="7" t="n">
        <v>1.15</v>
      </c>
      <c r="R267" s="15" t="n">
        <f aca="false">Q267*L267</f>
        <v>2.875</v>
      </c>
      <c r="S267" s="15" t="n">
        <f aca="false">J267-R267</f>
        <v>-2.875</v>
      </c>
      <c r="T267" s="15" t="n">
        <f aca="false">MIN(189.6,(T266+S267))</f>
        <v>114.545</v>
      </c>
      <c r="U267" s="59" t="s">
        <v>44</v>
      </c>
      <c r="V267" s="7" t="n">
        <v>1771.6</v>
      </c>
      <c r="W267" s="7" t="n">
        <f aca="false">V267/D267</f>
        <v>190.494623655914</v>
      </c>
      <c r="X267" s="7" t="n">
        <f aca="false">X266+V267</f>
        <v>136042.6</v>
      </c>
      <c r="Y267" s="7" t="n">
        <f aca="false">Y266+V267</f>
        <v>20010.3</v>
      </c>
      <c r="AA267" s="7" t="n">
        <v>13.9856742883214</v>
      </c>
    </row>
    <row r="268" s="7" customFormat="true" ht="15" hidden="false" customHeight="false" outlineLevel="0" collapsed="false">
      <c r="A268" s="56"/>
      <c r="C268" s="8" t="n">
        <v>41749</v>
      </c>
      <c r="D268" s="7" t="n">
        <v>12.4</v>
      </c>
      <c r="E268" s="7" t="n">
        <v>10.7</v>
      </c>
      <c r="F268" s="7" t="n">
        <v>15.3</v>
      </c>
      <c r="G268" s="7" t="n">
        <f aca="false">G267+D268</f>
        <v>1948.1</v>
      </c>
      <c r="H268" s="7" t="n">
        <f aca="false">H267+D268</f>
        <v>138.1</v>
      </c>
      <c r="I268" s="7" t="n">
        <v>218.5</v>
      </c>
      <c r="J268" s="7" t="n">
        <v>0</v>
      </c>
      <c r="K268" s="7" t="n">
        <f aca="false">K267+J268</f>
        <v>472.4</v>
      </c>
      <c r="L268" s="7" t="n">
        <v>2.4</v>
      </c>
      <c r="M268" s="7" t="n">
        <f aca="false">M267+L268</f>
        <v>264.9</v>
      </c>
      <c r="N268" s="14" t="n">
        <f aca="false">J268-L268</f>
        <v>-2.4</v>
      </c>
      <c r="O268" s="7" t="n">
        <f aca="false">O267+N268</f>
        <v>124.2</v>
      </c>
      <c r="P268" s="7" t="n">
        <v>229</v>
      </c>
      <c r="Q268" s="7" t="n">
        <v>1.15</v>
      </c>
      <c r="R268" s="15" t="n">
        <f aca="false">Q268*L268</f>
        <v>2.76</v>
      </c>
      <c r="S268" s="15" t="n">
        <f aca="false">J268-R268</f>
        <v>-2.76</v>
      </c>
      <c r="T268" s="15" t="n">
        <f aca="false">MIN(189.6,(T267+S268))</f>
        <v>111.785</v>
      </c>
      <c r="U268" s="17" t="n">
        <f aca="false">AVERAGE(T255:T275)</f>
        <v>123.248095238095</v>
      </c>
      <c r="V268" s="7" t="n">
        <v>953.6</v>
      </c>
      <c r="W268" s="7" t="n">
        <f aca="false">V268/D268</f>
        <v>76.9032258064516</v>
      </c>
      <c r="X268" s="7" t="n">
        <f aca="false">X267+V268</f>
        <v>136996.2</v>
      </c>
      <c r="Y268" s="7" t="n">
        <f aca="false">Y267+V268</f>
        <v>20963.9</v>
      </c>
      <c r="AA268" s="7" t="n">
        <v>14.0440928461666</v>
      </c>
    </row>
    <row r="269" s="7" customFormat="true" ht="15" hidden="false" customHeight="false" outlineLevel="0" collapsed="false">
      <c r="A269" s="56"/>
      <c r="C269" s="8" t="n">
        <v>41750</v>
      </c>
      <c r="D269" s="7" t="n">
        <v>11.2</v>
      </c>
      <c r="E269" s="7" t="n">
        <v>6.1</v>
      </c>
      <c r="F269" s="7" t="n">
        <v>16.2</v>
      </c>
      <c r="G269" s="7" t="n">
        <f aca="false">G268+D269</f>
        <v>1959.3</v>
      </c>
      <c r="H269" s="7" t="n">
        <f aca="false">H268+D269</f>
        <v>149.3</v>
      </c>
      <c r="J269" s="7" t="n">
        <v>0</v>
      </c>
      <c r="K269" s="7" t="n">
        <f aca="false">K268+J269</f>
        <v>472.4</v>
      </c>
      <c r="L269" s="7" t="n">
        <v>1.8</v>
      </c>
      <c r="M269" s="7" t="n">
        <f aca="false">M268+L269</f>
        <v>266.7</v>
      </c>
      <c r="N269" s="14" t="n">
        <f aca="false">J269-L269</f>
        <v>-1.8</v>
      </c>
      <c r="O269" s="7" t="n">
        <f aca="false">O268+N269</f>
        <v>122.4</v>
      </c>
      <c r="P269" s="7" t="n">
        <v>230</v>
      </c>
      <c r="Q269" s="7" t="n">
        <v>1.15</v>
      </c>
      <c r="R269" s="15" t="n">
        <f aca="false">Q269*L269</f>
        <v>2.07</v>
      </c>
      <c r="S269" s="15" t="n">
        <f aca="false">J269-R269</f>
        <v>-2.07</v>
      </c>
      <c r="T269" s="15" t="n">
        <f aca="false">MIN(189.6,(T268+S269))</f>
        <v>109.715</v>
      </c>
      <c r="U269" s="15" t="n">
        <f aca="false">(U268*100)/189.6</f>
        <v>65.0042696403456</v>
      </c>
      <c r="V269" s="7" t="n">
        <v>1067.1</v>
      </c>
      <c r="W269" s="7" t="n">
        <f aca="false">V269/D269</f>
        <v>95.2767857142857</v>
      </c>
      <c r="X269" s="7" t="n">
        <f aca="false">X268+V269</f>
        <v>138063.3</v>
      </c>
      <c r="Y269" s="7" t="n">
        <f aca="false">Y268+V269</f>
        <v>22031</v>
      </c>
      <c r="AA269" s="7" t="n">
        <v>14.1022416030313</v>
      </c>
    </row>
    <row r="270" s="7" customFormat="true" ht="15" hidden="false" customHeight="false" outlineLevel="0" collapsed="false">
      <c r="A270" s="56"/>
      <c r="C270" s="8" t="n">
        <v>41751</v>
      </c>
      <c r="D270" s="7" t="n">
        <v>12</v>
      </c>
      <c r="E270" s="7" t="n">
        <v>9.4</v>
      </c>
      <c r="F270" s="7" t="n">
        <v>17.6</v>
      </c>
      <c r="G270" s="7" t="n">
        <f aca="false">G269+D270</f>
        <v>1971.3</v>
      </c>
      <c r="H270" s="7" t="n">
        <f aca="false">H269+D270</f>
        <v>161.3</v>
      </c>
      <c r="J270" s="7" t="n">
        <v>1.8</v>
      </c>
      <c r="K270" s="7" t="n">
        <f aca="false">K269+J270</f>
        <v>474.2</v>
      </c>
      <c r="L270" s="7" t="n">
        <v>2.2</v>
      </c>
      <c r="M270" s="7" t="n">
        <f aca="false">M269+L270</f>
        <v>268.9</v>
      </c>
      <c r="N270" s="14" t="n">
        <f aca="false">J270-L270</f>
        <v>-0.4</v>
      </c>
      <c r="O270" s="7" t="n">
        <f aca="false">O269+N270</f>
        <v>122</v>
      </c>
      <c r="P270" s="7" t="n">
        <v>231</v>
      </c>
      <c r="Q270" s="7" t="n">
        <v>1.15</v>
      </c>
      <c r="R270" s="15" t="n">
        <f aca="false">Q270*L270</f>
        <v>2.53</v>
      </c>
      <c r="S270" s="15" t="n">
        <f aca="false">J270-R270</f>
        <v>-0.73</v>
      </c>
      <c r="T270" s="15" t="n">
        <f aca="false">MIN(189.6,(T269+S270))</f>
        <v>108.985</v>
      </c>
      <c r="V270" s="7" t="n">
        <v>1164.9</v>
      </c>
      <c r="W270" s="7" t="n">
        <f aca="false">V270/D270</f>
        <v>97.075</v>
      </c>
      <c r="X270" s="7" t="n">
        <f aca="false">X269+V270</f>
        <v>139228.2</v>
      </c>
      <c r="Y270" s="7" t="n">
        <f aca="false">Y269+V270</f>
        <v>23195.9</v>
      </c>
      <c r="AA270" s="7" t="n">
        <v>14.1601068874331</v>
      </c>
    </row>
    <row r="271" s="7" customFormat="true" ht="15" hidden="false" customHeight="false" outlineLevel="0" collapsed="false">
      <c r="A271" s="56"/>
      <c r="C271" s="8" t="n">
        <v>41752</v>
      </c>
      <c r="D271" s="7" t="n">
        <v>12.4</v>
      </c>
      <c r="E271" s="7" t="n">
        <v>6.6</v>
      </c>
      <c r="F271" s="7" t="n">
        <v>17.7</v>
      </c>
      <c r="G271" s="7" t="n">
        <f aca="false">G270+D271</f>
        <v>1983.7</v>
      </c>
      <c r="H271" s="7" t="n">
        <f aca="false">H270+D271</f>
        <v>173.7</v>
      </c>
      <c r="J271" s="7" t="n">
        <v>0</v>
      </c>
      <c r="K271" s="7" t="n">
        <f aca="false">K270+J271</f>
        <v>474.2</v>
      </c>
      <c r="L271" s="7" t="n">
        <v>2.1</v>
      </c>
      <c r="M271" s="7" t="n">
        <f aca="false">M270+L271</f>
        <v>271</v>
      </c>
      <c r="N271" s="14" t="n">
        <f aca="false">J271-L271</f>
        <v>-2.1</v>
      </c>
      <c r="O271" s="7" t="n">
        <f aca="false">O270+N271</f>
        <v>119.9</v>
      </c>
      <c r="P271" s="7" t="n">
        <v>232</v>
      </c>
      <c r="Q271" s="7" t="n">
        <v>1.15</v>
      </c>
      <c r="R271" s="15" t="n">
        <f aca="false">Q271*L271</f>
        <v>2.415</v>
      </c>
      <c r="S271" s="15" t="n">
        <f aca="false">J271-R271</f>
        <v>-2.415</v>
      </c>
      <c r="T271" s="15" t="n">
        <f aca="false">MIN(189.6,(T270+S271))</f>
        <v>106.57</v>
      </c>
      <c r="V271" s="7" t="n">
        <v>1399.3</v>
      </c>
      <c r="W271" s="7" t="n">
        <f aca="false">V271/D271</f>
        <v>112.846774193548</v>
      </c>
      <c r="X271" s="7" t="n">
        <f aca="false">X270+V271</f>
        <v>140627.5</v>
      </c>
      <c r="Y271" s="7" t="n">
        <f aca="false">Y270+V271</f>
        <v>24595.2</v>
      </c>
      <c r="AA271" s="7" t="n">
        <v>14.2176745178259</v>
      </c>
    </row>
    <row r="272" s="7" customFormat="true" ht="15" hidden="false" customHeight="false" outlineLevel="0" collapsed="false">
      <c r="A272" s="56"/>
      <c r="C272" s="8" t="n">
        <v>41753</v>
      </c>
      <c r="D272" s="7" t="n">
        <v>13.2</v>
      </c>
      <c r="E272" s="7" t="n">
        <v>10.1</v>
      </c>
      <c r="F272" s="7" t="n">
        <v>16</v>
      </c>
      <c r="G272" s="7" t="n">
        <f aca="false">G271+D272</f>
        <v>1996.9</v>
      </c>
      <c r="H272" s="7" t="n">
        <f aca="false">H271+D272</f>
        <v>186.9</v>
      </c>
      <c r="J272" s="7" t="n">
        <v>1.4</v>
      </c>
      <c r="K272" s="7" t="n">
        <f aca="false">K271+J272</f>
        <v>475.6</v>
      </c>
      <c r="L272" s="7" t="n">
        <v>1</v>
      </c>
      <c r="M272" s="7" t="n">
        <f aca="false">M271+L272</f>
        <v>272</v>
      </c>
      <c r="N272" s="7" t="n">
        <f aca="false">J272-L272</f>
        <v>0.4</v>
      </c>
      <c r="O272" s="7" t="n">
        <f aca="false">O271+N272</f>
        <v>120.3</v>
      </c>
      <c r="P272" s="7" t="n">
        <v>233</v>
      </c>
      <c r="Q272" s="7" t="n">
        <v>1.15</v>
      </c>
      <c r="R272" s="15" t="n">
        <f aca="false">Q272*L272</f>
        <v>1.15</v>
      </c>
      <c r="S272" s="15" t="n">
        <f aca="false">J272-R272</f>
        <v>0.25</v>
      </c>
      <c r="T272" s="15" t="n">
        <f aca="false">MIN(189.6,(T271+S272))</f>
        <v>106.82</v>
      </c>
      <c r="V272" s="16" t="n">
        <v>535.9</v>
      </c>
      <c r="W272" s="7" t="n">
        <f aca="false">V272/D272</f>
        <v>40.5984848484849</v>
      </c>
      <c r="X272" s="7" t="n">
        <f aca="false">X271+V272</f>
        <v>141163.4</v>
      </c>
      <c r="Y272" s="7" t="n">
        <f aca="false">Y271+V272</f>
        <v>25131.1</v>
      </c>
      <c r="AA272" s="7" t="n">
        <v>14.274929790539</v>
      </c>
    </row>
    <row r="273" s="7" customFormat="true" ht="15" hidden="false" customHeight="false" outlineLevel="0" collapsed="false">
      <c r="A273" s="56"/>
      <c r="C273" s="8" t="n">
        <v>41754</v>
      </c>
      <c r="D273" s="7" t="n">
        <v>12.5</v>
      </c>
      <c r="E273" s="7" t="n">
        <v>12</v>
      </c>
      <c r="F273" s="7" t="n">
        <v>16.2</v>
      </c>
      <c r="G273" s="7" t="n">
        <f aca="false">G272+D273</f>
        <v>2009.4</v>
      </c>
      <c r="H273" s="7" t="n">
        <f aca="false">H272+D273</f>
        <v>199.4</v>
      </c>
      <c r="J273" s="7" t="n">
        <v>2.2</v>
      </c>
      <c r="K273" s="7" t="n">
        <f aca="false">K272+J273</f>
        <v>477.8</v>
      </c>
      <c r="L273" s="7" t="n">
        <v>1.9</v>
      </c>
      <c r="M273" s="7" t="n">
        <f aca="false">M272+L273</f>
        <v>273.9</v>
      </c>
      <c r="N273" s="7" t="n">
        <f aca="false">J273-L273</f>
        <v>0.3</v>
      </c>
      <c r="O273" s="7" t="n">
        <f aca="false">O272+N273</f>
        <v>120.6</v>
      </c>
      <c r="P273" s="7" t="n">
        <v>234</v>
      </c>
      <c r="Q273" s="7" t="n">
        <v>1.15</v>
      </c>
      <c r="R273" s="15" t="n">
        <f aca="false">Q273*L273</f>
        <v>2.185</v>
      </c>
      <c r="S273" s="15" t="n">
        <f aca="false">J273-R273</f>
        <v>0.0150000000000006</v>
      </c>
      <c r="T273" s="15" t="n">
        <f aca="false">MIN(189.6,(T272+S273))</f>
        <v>106.835</v>
      </c>
      <c r="V273" s="7" t="n">
        <v>950.4</v>
      </c>
      <c r="W273" s="7" t="n">
        <f aca="false">V273/D273</f>
        <v>76.032</v>
      </c>
      <c r="X273" s="7" t="n">
        <f aca="false">X272+V273</f>
        <v>142113.8</v>
      </c>
      <c r="Y273" s="7" t="n">
        <f aca="false">Y272+V273</f>
        <v>26081.5</v>
      </c>
      <c r="AA273" s="7" t="n">
        <v>14.3318574685045</v>
      </c>
    </row>
    <row r="274" s="7" customFormat="true" ht="15" hidden="false" customHeight="false" outlineLevel="0" collapsed="false">
      <c r="A274" s="56"/>
      <c r="C274" s="8" t="n">
        <v>41755</v>
      </c>
      <c r="D274" s="7" t="n">
        <v>9.4</v>
      </c>
      <c r="E274" s="7" t="n">
        <v>6.8</v>
      </c>
      <c r="F274" s="7" t="n">
        <v>11.6</v>
      </c>
      <c r="G274" s="7" t="n">
        <f aca="false">G273+D274</f>
        <v>2018.8</v>
      </c>
      <c r="H274" s="7" t="n">
        <f aca="false">H273+D274</f>
        <v>208.8</v>
      </c>
      <c r="J274" s="7" t="n">
        <v>3.4</v>
      </c>
      <c r="K274" s="7" t="n">
        <f aca="false">K273+J274</f>
        <v>481.2</v>
      </c>
      <c r="L274" s="7" t="n">
        <v>0.8</v>
      </c>
      <c r="M274" s="7" t="n">
        <f aca="false">M273+L274</f>
        <v>274.7</v>
      </c>
      <c r="N274" s="7" t="n">
        <f aca="false">J274-L274</f>
        <v>2.6</v>
      </c>
      <c r="O274" s="7" t="n">
        <f aca="false">O273+N274</f>
        <v>123.2</v>
      </c>
      <c r="P274" s="7" t="n">
        <v>235</v>
      </c>
      <c r="Q274" s="7" t="n">
        <v>1.15</v>
      </c>
      <c r="R274" s="15" t="n">
        <f aca="false">Q274*L274</f>
        <v>0.92</v>
      </c>
      <c r="S274" s="15" t="n">
        <f aca="false">J274-R274</f>
        <v>2.48</v>
      </c>
      <c r="T274" s="15" t="n">
        <f aca="false">MIN(189.6,(T273+S274))</f>
        <v>109.315</v>
      </c>
      <c r="V274" s="16" t="n">
        <v>623.6</v>
      </c>
      <c r="W274" s="7" t="n">
        <f aca="false">V274/D274</f>
        <v>66.3404255319149</v>
      </c>
      <c r="X274" s="7" t="n">
        <f aca="false">X273+V274</f>
        <v>142737.4</v>
      </c>
      <c r="Y274" s="7" t="n">
        <f aca="false">Y273+V274</f>
        <v>26705.1</v>
      </c>
      <c r="AA274" s="7" t="n">
        <v>14.3884417708522</v>
      </c>
    </row>
    <row r="275" s="31" customFormat="true" ht="15" hidden="false" customHeight="false" outlineLevel="0" collapsed="false">
      <c r="A275" s="56"/>
      <c r="B275" s="60" t="s">
        <v>57</v>
      </c>
      <c r="C275" s="21" t="n">
        <v>41756</v>
      </c>
      <c r="D275" s="31" t="n">
        <v>9.7</v>
      </c>
      <c r="E275" s="31" t="n">
        <v>7.2</v>
      </c>
      <c r="F275" s="31" t="n">
        <v>12.7</v>
      </c>
      <c r="G275" s="31" t="n">
        <f aca="false">G274+D275</f>
        <v>2028.5</v>
      </c>
      <c r="H275" s="31" t="n">
        <f aca="false">H274+D275</f>
        <v>218.5</v>
      </c>
      <c r="J275" s="31" t="n">
        <v>1</v>
      </c>
      <c r="K275" s="31" t="n">
        <f aca="false">K274+J275</f>
        <v>482.2</v>
      </c>
      <c r="L275" s="31" t="n">
        <v>1.1</v>
      </c>
      <c r="M275" s="31" t="n">
        <f aca="false">M274+L275</f>
        <v>275.8</v>
      </c>
      <c r="N275" s="61" t="n">
        <f aca="false">J275-L275</f>
        <v>-0.1</v>
      </c>
      <c r="O275" s="31" t="n">
        <f aca="false">O274+N275</f>
        <v>123.1</v>
      </c>
      <c r="P275" s="31" t="n">
        <v>236</v>
      </c>
      <c r="Q275" s="31" t="n">
        <v>1.15</v>
      </c>
      <c r="R275" s="55" t="n">
        <f aca="false">Q275*L275</f>
        <v>1.265</v>
      </c>
      <c r="S275" s="55" t="n">
        <f aca="false">J275-R275</f>
        <v>-0.265</v>
      </c>
      <c r="T275" s="24" t="n">
        <f aca="false">MIN(189.6,(T274+S275))</f>
        <v>109.05</v>
      </c>
      <c r="V275" s="32" t="n">
        <v>744.8</v>
      </c>
      <c r="W275" s="31" t="n">
        <f aca="false">V275/D275</f>
        <v>76.7835051546392</v>
      </c>
      <c r="X275" s="31" t="n">
        <f aca="false">X274+V275</f>
        <v>143482.2</v>
      </c>
      <c r="Y275" s="31" t="n">
        <f aca="false">Y274+V275</f>
        <v>27449.9</v>
      </c>
      <c r="AA275" s="23" t="n">
        <v>14.4446663634609</v>
      </c>
    </row>
    <row r="276" s="64" customFormat="true" ht="15" hidden="false" customHeight="false" outlineLevel="0" collapsed="false">
      <c r="A276" s="62" t="n">
        <v>300</v>
      </c>
      <c r="B276" s="35"/>
      <c r="C276" s="63" t="n">
        <v>41757</v>
      </c>
      <c r="D276" s="48" t="n">
        <v>10.7</v>
      </c>
      <c r="E276" s="48" t="n">
        <v>7</v>
      </c>
      <c r="F276" s="48" t="n">
        <v>13.7</v>
      </c>
      <c r="G276" s="48" t="n">
        <f aca="false">G275+D276</f>
        <v>2039.2</v>
      </c>
      <c r="H276" s="48" t="n">
        <v>10.7</v>
      </c>
      <c r="I276" s="48"/>
      <c r="J276" s="48" t="n">
        <v>0</v>
      </c>
      <c r="K276" s="48" t="n">
        <f aca="false">K275+J276</f>
        <v>482.2</v>
      </c>
      <c r="L276" s="48" t="n">
        <v>1.8</v>
      </c>
      <c r="M276" s="48" t="n">
        <f aca="false">M275+L276</f>
        <v>277.6</v>
      </c>
      <c r="N276" s="48" t="n">
        <f aca="false">J276-L276</f>
        <v>-1.8</v>
      </c>
      <c r="O276" s="48" t="n">
        <f aca="false">O275+N276</f>
        <v>121.3</v>
      </c>
      <c r="P276" s="48" t="n">
        <v>237</v>
      </c>
      <c r="Q276" s="48" t="n">
        <v>1.15</v>
      </c>
      <c r="R276" s="49" t="n">
        <f aca="false">Q276*L276</f>
        <v>2.07</v>
      </c>
      <c r="S276" s="49" t="n">
        <f aca="false">J276-R276</f>
        <v>-2.07</v>
      </c>
      <c r="T276" s="15" t="n">
        <f aca="false">MIN(189.6,(T275+S276))</f>
        <v>106.98</v>
      </c>
      <c r="U276" s="48"/>
      <c r="V276" s="48" t="n">
        <v>1398.1</v>
      </c>
      <c r="W276" s="48" t="n">
        <f aca="false">V276/D276</f>
        <v>130.663551401869</v>
      </c>
      <c r="X276" s="48" t="n">
        <f aca="false">X275+V276</f>
        <v>144880.3</v>
      </c>
      <c r="Y276" s="48" t="n">
        <v>1398.1</v>
      </c>
      <c r="Z276" s="48"/>
      <c r="AA276" s="7" t="n">
        <v>14.5005143505566</v>
      </c>
    </row>
    <row r="277" s="7" customFormat="true" ht="15" hidden="false" customHeight="true" outlineLevel="0" collapsed="false">
      <c r="A277" s="62"/>
      <c r="B277" s="11"/>
      <c r="C277" s="8" t="n">
        <v>41758</v>
      </c>
      <c r="D277" s="7" t="n">
        <v>11.5</v>
      </c>
      <c r="E277" s="7" t="n">
        <v>6.8</v>
      </c>
      <c r="F277" s="7" t="n">
        <v>16.7</v>
      </c>
      <c r="G277" s="7" t="n">
        <f aca="false">G276+D277</f>
        <v>2050.7</v>
      </c>
      <c r="H277" s="7" t="n">
        <f aca="false">H276+D277</f>
        <v>22.2</v>
      </c>
      <c r="I277" s="65" t="s">
        <v>28</v>
      </c>
      <c r="J277" s="7" t="n">
        <v>2</v>
      </c>
      <c r="K277" s="7" t="n">
        <f aca="false">K276+J277</f>
        <v>484.2</v>
      </c>
      <c r="L277" s="7" t="n">
        <v>1.8</v>
      </c>
      <c r="M277" s="7" t="n">
        <f aca="false">M276+L277</f>
        <v>279.4</v>
      </c>
      <c r="N277" s="7" t="n">
        <f aca="false">J277-L277</f>
        <v>0.2</v>
      </c>
      <c r="O277" s="7" t="n">
        <f aca="false">O276+N277</f>
        <v>121.5</v>
      </c>
      <c r="P277" s="7" t="n">
        <v>238</v>
      </c>
      <c r="Q277" s="7" t="n">
        <v>1.15</v>
      </c>
      <c r="R277" s="15" t="n">
        <f aca="false">Q277*L277</f>
        <v>2.07</v>
      </c>
      <c r="S277" s="15" t="n">
        <f aca="false">J277-R277</f>
        <v>-0.0699999999999998</v>
      </c>
      <c r="T277" s="15" t="n">
        <f aca="false">MIN(189.6,(T276+S277))</f>
        <v>106.91</v>
      </c>
      <c r="U277" s="65" t="s">
        <v>29</v>
      </c>
      <c r="V277" s="7" t="n">
        <v>1194.4</v>
      </c>
      <c r="W277" s="7" t="n">
        <f aca="false">V277/D277</f>
        <v>103.860869565217</v>
      </c>
      <c r="X277" s="7" t="n">
        <f aca="false">X276+V277</f>
        <v>146074.7</v>
      </c>
      <c r="Y277" s="7" t="n">
        <f aca="false">Y276+V277</f>
        <v>2592.5</v>
      </c>
      <c r="Z277" s="65" t="s">
        <v>30</v>
      </c>
      <c r="AA277" s="7" t="n">
        <v>14.5559682674546</v>
      </c>
    </row>
    <row r="278" s="7" customFormat="true" ht="15" hidden="false" customHeight="false" outlineLevel="0" collapsed="false">
      <c r="A278" s="62"/>
      <c r="B278" s="11"/>
      <c r="C278" s="8" t="n">
        <v>41759</v>
      </c>
      <c r="D278" s="7" t="n">
        <v>12.5</v>
      </c>
      <c r="E278" s="7" t="n">
        <v>8.6</v>
      </c>
      <c r="F278" s="7" t="n">
        <v>16.8</v>
      </c>
      <c r="G278" s="7" t="n">
        <f aca="false">G277+D278</f>
        <v>2063.2</v>
      </c>
      <c r="H278" s="7" t="n">
        <f aca="false">H277+D278</f>
        <v>34.7</v>
      </c>
      <c r="I278" s="7" t="n">
        <v>4.3</v>
      </c>
      <c r="J278" s="7" t="n">
        <v>1.8</v>
      </c>
      <c r="K278" s="7" t="n">
        <f aca="false">K277+J278</f>
        <v>486</v>
      </c>
      <c r="L278" s="7" t="n">
        <v>3</v>
      </c>
      <c r="M278" s="7" t="n">
        <f aca="false">M277+L278</f>
        <v>282.4</v>
      </c>
      <c r="N278" s="14" t="n">
        <f aca="false">J278-L278</f>
        <v>-1.2</v>
      </c>
      <c r="O278" s="7" t="n">
        <f aca="false">O277+N278</f>
        <v>120.3</v>
      </c>
      <c r="P278" s="7" t="n">
        <v>239</v>
      </c>
      <c r="Q278" s="7" t="n">
        <v>1.15</v>
      </c>
      <c r="R278" s="15" t="n">
        <f aca="false">Q278*L278</f>
        <v>3.45</v>
      </c>
      <c r="S278" s="15" t="n">
        <f aca="false">J278-R278</f>
        <v>-1.65</v>
      </c>
      <c r="T278" s="15" t="n">
        <f aca="false">MIN(189.6,(T277+S278))</f>
        <v>105.26</v>
      </c>
      <c r="V278" s="7" t="n">
        <v>1825.6</v>
      </c>
      <c r="W278" s="7" t="n">
        <f aca="false">V278/D278</f>
        <v>146.048</v>
      </c>
      <c r="X278" s="7" t="n">
        <f aca="false">X277+V278</f>
        <v>147900.3</v>
      </c>
      <c r="Y278" s="7" t="n">
        <f aca="false">Y277+V278</f>
        <v>4418.1</v>
      </c>
      <c r="Z278" s="7" t="n">
        <v>38204.6</v>
      </c>
      <c r="AA278" s="7" t="n">
        <v>14.6110100745474</v>
      </c>
    </row>
    <row r="279" s="7" customFormat="true" ht="15" hidden="false" customHeight="false" outlineLevel="0" collapsed="false">
      <c r="A279" s="62"/>
      <c r="B279" s="11"/>
      <c r="C279" s="8" t="n">
        <v>41760</v>
      </c>
      <c r="D279" s="7" t="n">
        <v>11.2</v>
      </c>
      <c r="E279" s="7" t="n">
        <v>8.4</v>
      </c>
      <c r="F279" s="7" t="n">
        <v>12.7</v>
      </c>
      <c r="G279" s="7" t="n">
        <f aca="false">G278+D279</f>
        <v>2074.4</v>
      </c>
      <c r="H279" s="7" t="n">
        <f aca="false">H278+D279</f>
        <v>45.9</v>
      </c>
      <c r="I279" s="65" t="s">
        <v>31</v>
      </c>
      <c r="J279" s="7" t="n">
        <v>11.2</v>
      </c>
      <c r="K279" s="7" t="n">
        <f aca="false">K278+J279</f>
        <v>497.2</v>
      </c>
      <c r="L279" s="7" t="n">
        <v>1.1</v>
      </c>
      <c r="M279" s="7" t="n">
        <f aca="false">M278+L279</f>
        <v>283.5</v>
      </c>
      <c r="N279" s="7" t="n">
        <f aca="false">J279-L279</f>
        <v>10.1</v>
      </c>
      <c r="O279" s="7" t="n">
        <f aca="false">O278+N279</f>
        <v>130.4</v>
      </c>
      <c r="P279" s="7" t="n">
        <v>240</v>
      </c>
      <c r="Q279" s="7" t="n">
        <v>1.15</v>
      </c>
      <c r="R279" s="15" t="n">
        <f aca="false">Q279*L279</f>
        <v>1.265</v>
      </c>
      <c r="S279" s="15" t="n">
        <f aca="false">J279-R279</f>
        <v>9.935</v>
      </c>
      <c r="T279" s="15" t="n">
        <f aca="false">MIN(189.6,(T278+S279))</f>
        <v>115.195</v>
      </c>
      <c r="U279" s="65" t="s">
        <v>32</v>
      </c>
      <c r="V279" s="16" t="n">
        <v>766</v>
      </c>
      <c r="W279" s="7" t="n">
        <f aca="false">V279/D279</f>
        <v>68.3928571428572</v>
      </c>
      <c r="X279" s="7" t="n">
        <f aca="false">X278+V279</f>
        <v>148666.3</v>
      </c>
      <c r="Y279" s="7" t="n">
        <f aca="false">Y278+V279</f>
        <v>5184.1</v>
      </c>
      <c r="Z279" s="65" t="s">
        <v>33</v>
      </c>
      <c r="AA279" s="7" t="n">
        <v>14.6656211526435</v>
      </c>
    </row>
    <row r="280" s="7" customFormat="true" ht="15" hidden="false" customHeight="false" outlineLevel="0" collapsed="false">
      <c r="A280" s="62"/>
      <c r="B280" s="11"/>
      <c r="C280" s="8" t="n">
        <v>41761</v>
      </c>
      <c r="D280" s="7" t="n">
        <v>11</v>
      </c>
      <c r="E280" s="7" t="n">
        <v>10.3</v>
      </c>
      <c r="F280" s="7" t="n">
        <v>14.4</v>
      </c>
      <c r="G280" s="7" t="n">
        <f aca="false">G279+D280</f>
        <v>2085.4</v>
      </c>
      <c r="H280" s="7" t="n">
        <f aca="false">H279+D280</f>
        <v>56.9</v>
      </c>
      <c r="I280" s="7" t="n">
        <f aca="false">MAX(F276:F300)</f>
        <v>24.4</v>
      </c>
      <c r="J280" s="7" t="n">
        <v>0.3</v>
      </c>
      <c r="K280" s="7" t="n">
        <f aca="false">K279+J280</f>
        <v>497.5</v>
      </c>
      <c r="L280" s="7" t="n">
        <v>2.1</v>
      </c>
      <c r="M280" s="7" t="n">
        <f aca="false">M279+L280</f>
        <v>285.6</v>
      </c>
      <c r="N280" s="14" t="n">
        <f aca="false">J280-L280</f>
        <v>-1.8</v>
      </c>
      <c r="O280" s="7" t="n">
        <f aca="false">O279+N280</f>
        <v>128.6</v>
      </c>
      <c r="P280" s="7" t="n">
        <v>241</v>
      </c>
      <c r="Q280" s="7" t="n">
        <v>1.15</v>
      </c>
      <c r="R280" s="15" t="n">
        <f aca="false">Q280*L280</f>
        <v>2.415</v>
      </c>
      <c r="S280" s="15" t="n">
        <f aca="false">J280-R280</f>
        <v>-2.115</v>
      </c>
      <c r="T280" s="15" t="n">
        <f aca="false">MIN(189.6,(T279+S280))</f>
        <v>113.08</v>
      </c>
      <c r="V280" s="7" t="n">
        <v>1060.5</v>
      </c>
      <c r="W280" s="7" t="n">
        <f aca="false">V280/D280</f>
        <v>96.4090909090909</v>
      </c>
      <c r="X280" s="7" t="n">
        <f aca="false">X279+V280</f>
        <v>149726.8</v>
      </c>
      <c r="Y280" s="7" t="n">
        <f aca="false">Y279+V280</f>
        <v>6244.6</v>
      </c>
      <c r="Z280" s="17" t="n">
        <f aca="false">(Z278/100)/I290</f>
        <v>1.22923423423423</v>
      </c>
      <c r="AA280" s="7" t="n">
        <v>14.7197822997689</v>
      </c>
    </row>
    <row r="281" s="7" customFormat="true" ht="15" hidden="false" customHeight="false" outlineLevel="0" collapsed="false">
      <c r="A281" s="62"/>
      <c r="B281" s="11"/>
      <c r="C281" s="8" t="n">
        <v>41762</v>
      </c>
      <c r="D281" s="7" t="n">
        <v>9.2</v>
      </c>
      <c r="E281" s="7" t="n">
        <v>5.8</v>
      </c>
      <c r="F281" s="7" t="n">
        <v>13.2</v>
      </c>
      <c r="G281" s="7" t="n">
        <f aca="false">G280+D281</f>
        <v>2094.6</v>
      </c>
      <c r="H281" s="7" t="n">
        <f aca="false">H280+D281</f>
        <v>66.1</v>
      </c>
      <c r="I281" s="65" t="s">
        <v>34</v>
      </c>
      <c r="J281" s="7" t="n">
        <v>0</v>
      </c>
      <c r="K281" s="7" t="n">
        <f aca="false">K280+J281</f>
        <v>497.5</v>
      </c>
      <c r="L281" s="7" t="n">
        <v>2.9</v>
      </c>
      <c r="M281" s="7" t="n">
        <f aca="false">M280+L281</f>
        <v>288.5</v>
      </c>
      <c r="N281" s="14" t="n">
        <f aca="false">J281-L281</f>
        <v>-2.9</v>
      </c>
      <c r="O281" s="7" t="n">
        <f aca="false">O280+N281</f>
        <v>125.7</v>
      </c>
      <c r="P281" s="7" t="n">
        <v>242</v>
      </c>
      <c r="Q281" s="7" t="n">
        <v>1.15</v>
      </c>
      <c r="R281" s="15" t="n">
        <f aca="false">Q281*L281</f>
        <v>3.335</v>
      </c>
      <c r="S281" s="15" t="n">
        <f aca="false">J281-R281</f>
        <v>-3.335</v>
      </c>
      <c r="T281" s="15" t="n">
        <f aca="false">MIN(189.6,(T280+S281))</f>
        <v>109.745</v>
      </c>
      <c r="U281" s="65" t="s">
        <v>35</v>
      </c>
      <c r="V281" s="7" t="n">
        <v>2011.6</v>
      </c>
      <c r="W281" s="7" t="n">
        <f aca="false">V281/D281</f>
        <v>218.652173913044</v>
      </c>
      <c r="X281" s="7" t="n">
        <f aca="false">X280+V281</f>
        <v>151738.4</v>
      </c>
      <c r="Y281" s="7" t="n">
        <f aca="false">Y280+V281</f>
        <v>8256.2</v>
      </c>
      <c r="Z281" s="65" t="s">
        <v>36</v>
      </c>
      <c r="AA281" s="7" t="n">
        <v>14.7734737295446</v>
      </c>
    </row>
    <row r="282" s="7" customFormat="true" ht="15" hidden="false" customHeight="false" outlineLevel="0" collapsed="false">
      <c r="A282" s="62"/>
      <c r="B282" s="11"/>
      <c r="C282" s="8" t="n">
        <v>41763</v>
      </c>
      <c r="D282" s="7" t="n">
        <v>9.9</v>
      </c>
      <c r="E282" s="18" t="n">
        <v>4.3</v>
      </c>
      <c r="F282" s="7" t="n">
        <v>14.8</v>
      </c>
      <c r="G282" s="7" t="n">
        <f aca="false">G281+D282</f>
        <v>2104.5</v>
      </c>
      <c r="H282" s="7" t="n">
        <f aca="false">H281+D282</f>
        <v>76</v>
      </c>
      <c r="I282" s="15" t="n">
        <f aca="false">AVERAGE(D276:D300)</f>
        <v>12.432</v>
      </c>
      <c r="J282" s="7" t="n">
        <v>0</v>
      </c>
      <c r="K282" s="7" t="n">
        <f aca="false">K281+J282</f>
        <v>497.5</v>
      </c>
      <c r="L282" s="7" t="n">
        <v>2.1</v>
      </c>
      <c r="M282" s="7" t="n">
        <f aca="false">M281+L282</f>
        <v>290.6</v>
      </c>
      <c r="N282" s="14" t="n">
        <f aca="false">J282-L282</f>
        <v>-2.1</v>
      </c>
      <c r="O282" s="7" t="n">
        <f aca="false">O281+N282</f>
        <v>123.6</v>
      </c>
      <c r="P282" s="7" t="n">
        <v>243</v>
      </c>
      <c r="Q282" s="7" t="n">
        <v>1.15</v>
      </c>
      <c r="R282" s="15" t="n">
        <f aca="false">Q282*L282</f>
        <v>2.415</v>
      </c>
      <c r="S282" s="15" t="n">
        <f aca="false">J282-R282</f>
        <v>-2.415</v>
      </c>
      <c r="T282" s="15" t="n">
        <f aca="false">MIN(189.6,(T281+S282))</f>
        <v>107.33</v>
      </c>
      <c r="U282" s="7" t="n">
        <v>0</v>
      </c>
      <c r="V282" s="7" t="n">
        <v>1522</v>
      </c>
      <c r="W282" s="7" t="n">
        <f aca="false">V282/D282</f>
        <v>153.737373737374</v>
      </c>
      <c r="X282" s="7" t="n">
        <f aca="false">X281+V282</f>
        <v>153260.4</v>
      </c>
      <c r="Y282" s="7" t="n">
        <f aca="false">Y281+V282</f>
        <v>9778.2</v>
      </c>
      <c r="Z282" s="7" t="n">
        <v>6</v>
      </c>
      <c r="AA282" s="7" t="n">
        <v>14.8266750712589</v>
      </c>
    </row>
    <row r="283" s="7" customFormat="true" ht="15" hidden="false" customHeight="false" outlineLevel="0" collapsed="false">
      <c r="A283" s="62"/>
      <c r="B283" s="11"/>
      <c r="C283" s="8" t="n">
        <v>41764</v>
      </c>
      <c r="D283" s="7" t="n">
        <v>13.5</v>
      </c>
      <c r="E283" s="7" t="n">
        <v>6.6</v>
      </c>
      <c r="F283" s="7" t="n">
        <v>19.4</v>
      </c>
      <c r="G283" s="7" t="n">
        <f aca="false">G282+D283</f>
        <v>2118</v>
      </c>
      <c r="H283" s="7" t="n">
        <f aca="false">H282+D283</f>
        <v>89.5</v>
      </c>
      <c r="I283" s="65" t="s">
        <v>37</v>
      </c>
      <c r="J283" s="7" t="n">
        <v>0.2</v>
      </c>
      <c r="K283" s="7" t="n">
        <f aca="false">K282+J283</f>
        <v>497.7</v>
      </c>
      <c r="L283" s="7" t="n">
        <v>3.4</v>
      </c>
      <c r="M283" s="7" t="n">
        <f aca="false">M282+L283</f>
        <v>294</v>
      </c>
      <c r="N283" s="14" t="n">
        <f aca="false">J283-L283</f>
        <v>-3.2</v>
      </c>
      <c r="O283" s="7" t="n">
        <f aca="false">O282+N283</f>
        <v>120.4</v>
      </c>
      <c r="P283" s="7" t="n">
        <v>244</v>
      </c>
      <c r="Q283" s="7" t="n">
        <v>1.15</v>
      </c>
      <c r="R283" s="15" t="n">
        <f aca="false">Q283*L283</f>
        <v>3.91</v>
      </c>
      <c r="S283" s="15" t="n">
        <f aca="false">J283-R283</f>
        <v>-3.71</v>
      </c>
      <c r="T283" s="15" t="n">
        <f aca="false">MIN(189.6,(T282+S283))</f>
        <v>103.62</v>
      </c>
      <c r="U283" s="65" t="s">
        <v>38</v>
      </c>
      <c r="V283" s="7" t="n">
        <v>2095.3</v>
      </c>
      <c r="W283" s="7" t="n">
        <f aca="false">V283/D283</f>
        <v>155.207407407407</v>
      </c>
      <c r="X283" s="7" t="n">
        <f aca="false">X282+V283</f>
        <v>155355.7</v>
      </c>
      <c r="Y283" s="7" t="n">
        <f aca="false">Y282+V283</f>
        <v>11873.5</v>
      </c>
      <c r="AA283" s="7" t="n">
        <v>14.8793653717553</v>
      </c>
    </row>
    <row r="284" s="7" customFormat="true" ht="15" hidden="false" customHeight="false" outlineLevel="0" collapsed="false">
      <c r="A284" s="62"/>
      <c r="B284" s="11"/>
      <c r="C284" s="8" t="n">
        <v>41765</v>
      </c>
      <c r="D284" s="7" t="n">
        <v>13.6</v>
      </c>
      <c r="E284" s="7" t="n">
        <v>11.2</v>
      </c>
      <c r="F284" s="7" t="n">
        <v>17.8</v>
      </c>
      <c r="G284" s="7" t="n">
        <f aca="false">G283+D284</f>
        <v>2131.6</v>
      </c>
      <c r="H284" s="7" t="n">
        <f aca="false">H283+D284</f>
        <v>103.1</v>
      </c>
      <c r="I284" s="7" t="n">
        <v>0</v>
      </c>
      <c r="J284" s="7" t="n">
        <v>18.6</v>
      </c>
      <c r="K284" s="7" t="n">
        <f aca="false">K283+J284</f>
        <v>516.3</v>
      </c>
      <c r="L284" s="7" t="n">
        <v>1.9</v>
      </c>
      <c r="M284" s="7" t="n">
        <f aca="false">M283+L284</f>
        <v>295.9</v>
      </c>
      <c r="N284" s="7" t="n">
        <f aca="false">J284-L284</f>
        <v>16.7</v>
      </c>
      <c r="O284" s="7" t="n">
        <f aca="false">O283+N284</f>
        <v>137.1</v>
      </c>
      <c r="P284" s="7" t="n">
        <v>245</v>
      </c>
      <c r="Q284" s="7" t="n">
        <v>1.15</v>
      </c>
      <c r="R284" s="15" t="n">
        <f aca="false">Q284*L284</f>
        <v>2.185</v>
      </c>
      <c r="S284" s="15" t="n">
        <f aca="false">J284-R284</f>
        <v>16.415</v>
      </c>
      <c r="T284" s="15" t="n">
        <f aca="false">MIN(189.6,(T283+S284))</f>
        <v>120.035</v>
      </c>
      <c r="U284" s="7" t="n">
        <v>0</v>
      </c>
      <c r="V284" s="16" t="n">
        <v>829.8</v>
      </c>
      <c r="W284" s="7" t="n">
        <f aca="false">V284/D284</f>
        <v>61.0147058823529</v>
      </c>
      <c r="X284" s="7" t="n">
        <f aca="false">X283+V284</f>
        <v>156185.5</v>
      </c>
      <c r="Y284" s="7" t="n">
        <f aca="false">Y283+V284</f>
        <v>12703.3</v>
      </c>
      <c r="AA284" s="7" t="n">
        <v>14.9315230992589</v>
      </c>
    </row>
    <row r="285" s="7" customFormat="true" ht="15" hidden="false" customHeight="false" outlineLevel="0" collapsed="false">
      <c r="A285" s="62"/>
      <c r="B285" s="11"/>
      <c r="C285" s="8" t="n">
        <v>41766</v>
      </c>
      <c r="D285" s="7" t="n">
        <v>11.8</v>
      </c>
      <c r="E285" s="7" t="n">
        <v>10.9</v>
      </c>
      <c r="F285" s="7" t="n">
        <v>13.8</v>
      </c>
      <c r="G285" s="7" t="n">
        <f aca="false">G284+D285</f>
        <v>2143.4</v>
      </c>
      <c r="H285" s="7" t="n">
        <f aca="false">H284+D285</f>
        <v>114.9</v>
      </c>
      <c r="I285" s="65" t="s">
        <v>39</v>
      </c>
      <c r="J285" s="7" t="n">
        <v>0.5</v>
      </c>
      <c r="K285" s="7" t="n">
        <f aca="false">K284+J285</f>
        <v>516.8</v>
      </c>
      <c r="L285" s="7" t="n">
        <v>1.9</v>
      </c>
      <c r="M285" s="7" t="n">
        <f aca="false">M284+L285</f>
        <v>297.8</v>
      </c>
      <c r="N285" s="14" t="n">
        <f aca="false">J285-L285</f>
        <v>-1.4</v>
      </c>
      <c r="O285" s="7" t="n">
        <f aca="false">O284+N285</f>
        <v>135.7</v>
      </c>
      <c r="P285" s="7" t="n">
        <v>246</v>
      </c>
      <c r="Q285" s="7" t="n">
        <v>1.15</v>
      </c>
      <c r="R285" s="15" t="n">
        <f aca="false">Q285*L285</f>
        <v>2.185</v>
      </c>
      <c r="S285" s="15" t="n">
        <f aca="false">J285-R285</f>
        <v>-1.685</v>
      </c>
      <c r="T285" s="15" t="n">
        <f aca="false">MIN(189.6,(T284+S285))</f>
        <v>118.35</v>
      </c>
      <c r="U285" s="65" t="s">
        <v>40</v>
      </c>
      <c r="V285" s="7" t="n">
        <v>1144.7</v>
      </c>
      <c r="W285" s="7" t="n">
        <f aca="false">V285/D285</f>
        <v>97.0084745762712</v>
      </c>
      <c r="X285" s="7" t="n">
        <f aca="false">X284+V285</f>
        <v>157330.2</v>
      </c>
      <c r="Y285" s="7" t="n">
        <f aca="false">Y284+V285</f>
        <v>13848</v>
      </c>
      <c r="AA285" s="7" t="n">
        <v>14.9831261492678</v>
      </c>
    </row>
    <row r="286" s="7" customFormat="true" ht="15" hidden="false" customHeight="false" outlineLevel="0" collapsed="false">
      <c r="A286" s="62"/>
      <c r="B286" s="11"/>
      <c r="C286" s="8" t="n">
        <v>41767</v>
      </c>
      <c r="D286" s="7" t="n">
        <v>11.9</v>
      </c>
      <c r="E286" s="7" t="n">
        <v>8.6</v>
      </c>
      <c r="F286" s="7" t="n">
        <v>13.6</v>
      </c>
      <c r="G286" s="7" t="n">
        <f aca="false">G285+D286</f>
        <v>2155.3</v>
      </c>
      <c r="H286" s="7" t="n">
        <f aca="false">H285+D286</f>
        <v>126.8</v>
      </c>
      <c r="I286" s="7" t="n">
        <v>0</v>
      </c>
      <c r="J286" s="7" t="n">
        <v>12.7</v>
      </c>
      <c r="K286" s="7" t="n">
        <f aca="false">K285+J286</f>
        <v>529.5</v>
      </c>
      <c r="L286" s="7" t="n">
        <v>0.9</v>
      </c>
      <c r="M286" s="7" t="n">
        <f aca="false">M285+L286</f>
        <v>298.7</v>
      </c>
      <c r="N286" s="7" t="n">
        <f aca="false">J286-L286</f>
        <v>11.8</v>
      </c>
      <c r="O286" s="7" t="n">
        <f aca="false">O285+N286</f>
        <v>147.5</v>
      </c>
      <c r="P286" s="7" t="n">
        <v>247</v>
      </c>
      <c r="Q286" s="7" t="n">
        <v>1.15</v>
      </c>
      <c r="R286" s="15" t="n">
        <f aca="false">Q286*L286</f>
        <v>1.035</v>
      </c>
      <c r="S286" s="15" t="n">
        <f aca="false">J286-R286</f>
        <v>11.665</v>
      </c>
      <c r="T286" s="15" t="n">
        <f aca="false">MIN(189.6,(T285+S286))</f>
        <v>130.015</v>
      </c>
      <c r="U286" s="15" t="n">
        <f aca="false">MIN(T276:T300)</f>
        <v>103.62</v>
      </c>
      <c r="V286" s="16" t="n">
        <v>571.7</v>
      </c>
      <c r="W286" s="7" t="n">
        <f aca="false">V286/D286</f>
        <v>48.0420168067227</v>
      </c>
      <c r="X286" s="7" t="n">
        <f aca="false">X285+V286</f>
        <v>157901.9</v>
      </c>
      <c r="Y286" s="7" t="n">
        <f aca="false">Y285+V286</f>
        <v>14419.7</v>
      </c>
      <c r="AA286" s="7" t="n">
        <v>15.0341518526344</v>
      </c>
    </row>
    <row r="287" s="7" customFormat="true" ht="15" hidden="false" customHeight="false" outlineLevel="0" collapsed="false">
      <c r="A287" s="62"/>
      <c r="B287" s="11"/>
      <c r="C287" s="8" t="n">
        <v>41768</v>
      </c>
      <c r="D287" s="7" t="n">
        <v>12.7</v>
      </c>
      <c r="E287" s="7" t="n">
        <v>11.2</v>
      </c>
      <c r="F287" s="7" t="n">
        <v>15.3</v>
      </c>
      <c r="G287" s="7" t="n">
        <f aca="false">G286+D287</f>
        <v>2168</v>
      </c>
      <c r="H287" s="7" t="n">
        <f aca="false">H286+D287</f>
        <v>139.5</v>
      </c>
      <c r="I287" s="65" t="s">
        <v>41</v>
      </c>
      <c r="J287" s="7" t="n">
        <v>0</v>
      </c>
      <c r="K287" s="7" t="n">
        <f aca="false">K286+J287</f>
        <v>529.5</v>
      </c>
      <c r="L287" s="7" t="n">
        <v>2.5</v>
      </c>
      <c r="M287" s="7" t="n">
        <f aca="false">M286+L287</f>
        <v>301.2</v>
      </c>
      <c r="N287" s="14" t="n">
        <f aca="false">J287-L287</f>
        <v>-2.5</v>
      </c>
      <c r="O287" s="7" t="n">
        <f aca="false">O286+N287</f>
        <v>145</v>
      </c>
      <c r="P287" s="7" t="n">
        <v>248</v>
      </c>
      <c r="Q287" s="7" t="n">
        <v>1.15</v>
      </c>
      <c r="R287" s="15" t="n">
        <f aca="false">Q287*L287</f>
        <v>2.875</v>
      </c>
      <c r="S287" s="15" t="n">
        <f aca="false">J287-R287</f>
        <v>-2.875</v>
      </c>
      <c r="T287" s="15" t="n">
        <f aca="false">MIN(189.6,(T286+S287))</f>
        <v>127.14</v>
      </c>
      <c r="U287" s="65" t="s">
        <v>42</v>
      </c>
      <c r="V287" s="7" t="n">
        <v>1404.3</v>
      </c>
      <c r="W287" s="7" t="n">
        <f aca="false">V287/D287</f>
        <v>110.574803149606</v>
      </c>
      <c r="X287" s="7" t="n">
        <f aca="false">X286+V287</f>
        <v>159306.2</v>
      </c>
      <c r="Y287" s="7" t="n">
        <f aca="false">Y286+V287</f>
        <v>15824</v>
      </c>
      <c r="AA287" s="7" t="n">
        <v>15.0845769859628</v>
      </c>
    </row>
    <row r="288" s="7" customFormat="true" ht="15" hidden="false" customHeight="false" outlineLevel="0" collapsed="false">
      <c r="A288" s="62"/>
      <c r="B288" s="11"/>
      <c r="C288" s="8" t="n">
        <v>41769</v>
      </c>
      <c r="D288" s="7" t="n">
        <v>12</v>
      </c>
      <c r="E288" s="7" t="n">
        <v>8.7</v>
      </c>
      <c r="F288" s="7" t="n">
        <v>14.1</v>
      </c>
      <c r="G288" s="7" t="n">
        <f aca="false">G287+D288</f>
        <v>2180</v>
      </c>
      <c r="H288" s="7" t="n">
        <f aca="false">H287+D288</f>
        <v>151.5</v>
      </c>
      <c r="I288" s="7" t="n">
        <v>1</v>
      </c>
      <c r="J288" s="7" t="n">
        <v>6.6</v>
      </c>
      <c r="K288" s="7" t="n">
        <f aca="false">K287+J288</f>
        <v>536.1</v>
      </c>
      <c r="L288" s="7" t="n">
        <v>1</v>
      </c>
      <c r="M288" s="7" t="n">
        <f aca="false">M287+L288</f>
        <v>302.2</v>
      </c>
      <c r="N288" s="7" t="n">
        <f aca="false">J288-L288</f>
        <v>5.6</v>
      </c>
      <c r="O288" s="7" t="n">
        <f aca="false">O287+N288</f>
        <v>150.6</v>
      </c>
      <c r="P288" s="7" t="n">
        <v>249</v>
      </c>
      <c r="Q288" s="7" t="n">
        <v>1.15</v>
      </c>
      <c r="R288" s="15" t="n">
        <f aca="false">Q288*L288</f>
        <v>1.15</v>
      </c>
      <c r="S288" s="15" t="n">
        <f aca="false">J288-R288</f>
        <v>5.45</v>
      </c>
      <c r="T288" s="15" t="n">
        <f aca="false">MIN(189.6,(T287+S288))</f>
        <v>132.59</v>
      </c>
      <c r="U288" s="15" t="n">
        <f aca="false">MAX(T276:T300)</f>
        <v>135.12</v>
      </c>
      <c r="V288" s="16" t="n">
        <v>584.4</v>
      </c>
      <c r="W288" s="7" t="n">
        <f aca="false">V288/D288</f>
        <v>48.7</v>
      </c>
      <c r="X288" s="7" t="n">
        <f aca="false">X287+V288</f>
        <v>159890.6</v>
      </c>
      <c r="Y288" s="7" t="n">
        <f aca="false">Y287+V288</f>
        <v>16408.4</v>
      </c>
      <c r="AA288" s="7" t="n">
        <v>15.1343777844481</v>
      </c>
    </row>
    <row r="289" s="7" customFormat="true" ht="15" hidden="false" customHeight="false" outlineLevel="0" collapsed="false">
      <c r="A289" s="62"/>
      <c r="B289" s="11"/>
      <c r="C289" s="8" t="n">
        <v>41770</v>
      </c>
      <c r="D289" s="7" t="n">
        <v>10.6</v>
      </c>
      <c r="E289" s="7" t="n">
        <v>9</v>
      </c>
      <c r="F289" s="7" t="n">
        <v>12.9</v>
      </c>
      <c r="G289" s="7" t="n">
        <f aca="false">G288+D289</f>
        <v>2190.6</v>
      </c>
      <c r="H289" s="7" t="n">
        <f aca="false">H288+D289</f>
        <v>162.1</v>
      </c>
      <c r="I289" s="65" t="s">
        <v>43</v>
      </c>
      <c r="J289" s="7" t="n">
        <v>1.8</v>
      </c>
      <c r="K289" s="7" t="n">
        <f aca="false">K288+J289</f>
        <v>537.9</v>
      </c>
      <c r="L289" s="7" t="n">
        <v>2.5</v>
      </c>
      <c r="M289" s="7" t="n">
        <f aca="false">M288+L289</f>
        <v>304.7</v>
      </c>
      <c r="N289" s="14" t="n">
        <f aca="false">J289-L289</f>
        <v>-0.7</v>
      </c>
      <c r="O289" s="7" t="n">
        <f aca="false">O288+N289</f>
        <v>149.9</v>
      </c>
      <c r="P289" s="7" t="n">
        <v>250</v>
      </c>
      <c r="Q289" s="7" t="n">
        <v>1.15</v>
      </c>
      <c r="R289" s="15" t="n">
        <f aca="false">Q289*L289</f>
        <v>2.875</v>
      </c>
      <c r="S289" s="15" t="n">
        <f aca="false">J289-R289</f>
        <v>-1.075</v>
      </c>
      <c r="T289" s="15" t="n">
        <f aca="false">MIN(189.6,(T288+S289))</f>
        <v>131.515</v>
      </c>
      <c r="U289" s="65" t="s">
        <v>44</v>
      </c>
      <c r="V289" s="7" t="n">
        <v>1655.6</v>
      </c>
      <c r="W289" s="7" t="n">
        <f aca="false">V289/D289</f>
        <v>156.188679245283</v>
      </c>
      <c r="X289" s="7" t="n">
        <f aca="false">X288+V289</f>
        <v>161546.2</v>
      </c>
      <c r="Y289" s="7" t="n">
        <f aca="false">Y288+V289</f>
        <v>18064</v>
      </c>
      <c r="AA289" s="7" t="n">
        <v>15.1835299572792</v>
      </c>
    </row>
    <row r="290" s="7" customFormat="true" ht="15" hidden="false" customHeight="false" outlineLevel="0" collapsed="false">
      <c r="A290" s="62"/>
      <c r="B290" s="11"/>
      <c r="C290" s="8" t="n">
        <v>41771</v>
      </c>
      <c r="D290" s="7" t="n">
        <v>9.7</v>
      </c>
      <c r="E290" s="7" t="n">
        <v>7.8</v>
      </c>
      <c r="F290" s="7" t="n">
        <v>12</v>
      </c>
      <c r="G290" s="7" t="n">
        <f aca="false">G289+D290</f>
        <v>2200.3</v>
      </c>
      <c r="H290" s="7" t="n">
        <f aca="false">H289+D290</f>
        <v>171.8</v>
      </c>
      <c r="I290" s="7" t="n">
        <v>310.8</v>
      </c>
      <c r="J290" s="7" t="n">
        <v>4</v>
      </c>
      <c r="K290" s="7" t="n">
        <f aca="false">K289+J290</f>
        <v>541.9</v>
      </c>
      <c r="L290" s="7" t="n">
        <v>1.6</v>
      </c>
      <c r="M290" s="7" t="n">
        <f aca="false">M289+L290</f>
        <v>306.3</v>
      </c>
      <c r="N290" s="7" t="n">
        <f aca="false">J290-L290</f>
        <v>2.4</v>
      </c>
      <c r="O290" s="7" t="n">
        <f aca="false">O289+N290</f>
        <v>152.3</v>
      </c>
      <c r="P290" s="7" t="n">
        <v>251</v>
      </c>
      <c r="Q290" s="7" t="n">
        <v>1.15</v>
      </c>
      <c r="R290" s="15" t="n">
        <f aca="false">Q290*L290</f>
        <v>1.84</v>
      </c>
      <c r="S290" s="15" t="n">
        <f aca="false">J290-R290</f>
        <v>2.16</v>
      </c>
      <c r="T290" s="15" t="n">
        <f aca="false">MIN(189.6,(T289+S290))</f>
        <v>133.675</v>
      </c>
      <c r="U290" s="17" t="n">
        <f aca="false">AVERAGE(T276:T300)</f>
        <v>120.1172</v>
      </c>
      <c r="V290" s="7" t="n">
        <v>1085.7</v>
      </c>
      <c r="W290" s="7" t="n">
        <f aca="false">V290/D290</f>
        <v>111.927835051546</v>
      </c>
      <c r="X290" s="7" t="n">
        <f aca="false">X289+V290</f>
        <v>162631.9</v>
      </c>
      <c r="Y290" s="7" t="n">
        <f aca="false">Y289+V290</f>
        <v>19149.7</v>
      </c>
      <c r="AA290" s="7" t="n">
        <v>15.2320087057244</v>
      </c>
    </row>
    <row r="291" s="7" customFormat="true" ht="15" hidden="false" customHeight="false" outlineLevel="0" collapsed="false">
      <c r="A291" s="62"/>
      <c r="B291" s="11"/>
      <c r="C291" s="8" t="n">
        <v>41772</v>
      </c>
      <c r="D291" s="7" t="n">
        <v>9.7</v>
      </c>
      <c r="E291" s="7" t="n">
        <v>6.4</v>
      </c>
      <c r="F291" s="7" t="n">
        <v>13</v>
      </c>
      <c r="G291" s="7" t="n">
        <f aca="false">G290+D291</f>
        <v>2210</v>
      </c>
      <c r="H291" s="7" t="n">
        <f aca="false">H290+D291</f>
        <v>181.5</v>
      </c>
      <c r="J291" s="7" t="n">
        <v>3.4</v>
      </c>
      <c r="K291" s="7" t="n">
        <f aca="false">K290+J291</f>
        <v>545.3</v>
      </c>
      <c r="L291" s="7" t="n">
        <v>1.7</v>
      </c>
      <c r="M291" s="7" t="n">
        <f aca="false">M290+L291</f>
        <v>308</v>
      </c>
      <c r="N291" s="7" t="n">
        <f aca="false">J291-L291</f>
        <v>1.7</v>
      </c>
      <c r="O291" s="7" t="n">
        <f aca="false">O290+N291</f>
        <v>154</v>
      </c>
      <c r="P291" s="7" t="n">
        <v>252</v>
      </c>
      <c r="Q291" s="7" t="n">
        <v>1.15</v>
      </c>
      <c r="R291" s="15" t="n">
        <f aca="false">Q291*L291</f>
        <v>1.955</v>
      </c>
      <c r="S291" s="15" t="n">
        <f aca="false">J291-R291</f>
        <v>1.445</v>
      </c>
      <c r="T291" s="15" t="n">
        <f aca="false">MIN(189.6,(T290+S291))</f>
        <v>135.12</v>
      </c>
      <c r="V291" s="7" t="n">
        <v>1353.4</v>
      </c>
      <c r="W291" s="7" t="n">
        <f aca="false">V291/D291</f>
        <v>139.525773195876</v>
      </c>
      <c r="X291" s="7" t="n">
        <f aca="false">X290+V291</f>
        <v>163985.3</v>
      </c>
      <c r="Y291" s="7" t="n">
        <f aca="false">Y290+V291</f>
        <v>20503.1</v>
      </c>
      <c r="AA291" s="7" t="n">
        <v>15.2797887440146</v>
      </c>
    </row>
    <row r="292" s="7" customFormat="true" ht="15" hidden="false" customHeight="false" outlineLevel="0" collapsed="false">
      <c r="A292" s="62"/>
      <c r="B292" s="11"/>
      <c r="C292" s="8" t="n">
        <v>41773</v>
      </c>
      <c r="D292" s="7" t="n">
        <v>10.5</v>
      </c>
      <c r="E292" s="7" t="n">
        <v>5.8</v>
      </c>
      <c r="F292" s="7" t="n">
        <v>15.7</v>
      </c>
      <c r="G292" s="7" t="n">
        <f aca="false">G291+D292</f>
        <v>2220.5</v>
      </c>
      <c r="H292" s="7" t="n">
        <f aca="false">H291+D292</f>
        <v>192</v>
      </c>
      <c r="J292" s="7" t="n">
        <v>0</v>
      </c>
      <c r="K292" s="7" t="n">
        <f aca="false">K291+J292</f>
        <v>545.3</v>
      </c>
      <c r="L292" s="7" t="n">
        <v>2.6</v>
      </c>
      <c r="M292" s="7" t="n">
        <f aca="false">M291+L292</f>
        <v>310.6</v>
      </c>
      <c r="N292" s="14" t="n">
        <f aca="false">J292-L292</f>
        <v>-2.6</v>
      </c>
      <c r="O292" s="7" t="n">
        <f aca="false">O291+N292</f>
        <v>151.4</v>
      </c>
      <c r="P292" s="7" t="n">
        <v>253</v>
      </c>
      <c r="Q292" s="7" t="n">
        <v>1.15</v>
      </c>
      <c r="R292" s="15" t="n">
        <f aca="false">Q292*L292</f>
        <v>2.99</v>
      </c>
      <c r="S292" s="15" t="n">
        <f aca="false">J292-R292</f>
        <v>-2.99</v>
      </c>
      <c r="T292" s="15" t="n">
        <f aca="false">MIN(189.6,(T291+S292))</f>
        <v>132.13</v>
      </c>
      <c r="U292" s="15" t="n">
        <f aca="false">(U290*100)/189.6</f>
        <v>63.3529535864979</v>
      </c>
      <c r="V292" s="7" t="n">
        <v>1661.4</v>
      </c>
      <c r="W292" s="7" t="n">
        <f aca="false">V292/D292</f>
        <v>158.228571428571</v>
      </c>
      <c r="X292" s="7" t="n">
        <f aca="false">X291+V292</f>
        <v>165646.7</v>
      </c>
      <c r="Y292" s="7" t="n">
        <f aca="false">Y291+V292</f>
        <v>22164.5</v>
      </c>
      <c r="AA292" s="7" t="n">
        <v>15.3268443231302</v>
      </c>
    </row>
    <row r="293" s="7" customFormat="true" ht="15" hidden="false" customHeight="false" outlineLevel="0" collapsed="false">
      <c r="A293" s="62"/>
      <c r="B293" s="11"/>
      <c r="C293" s="8" t="n">
        <v>41774</v>
      </c>
      <c r="D293" s="7" t="n">
        <v>10.4</v>
      </c>
      <c r="E293" s="7" t="n">
        <v>5.5</v>
      </c>
      <c r="F293" s="7" t="n">
        <v>14.6</v>
      </c>
      <c r="G293" s="7" t="n">
        <f aca="false">G292+D293</f>
        <v>2230.9</v>
      </c>
      <c r="H293" s="7" t="n">
        <f aca="false">H292+D293</f>
        <v>202.4</v>
      </c>
      <c r="J293" s="7" t="n">
        <v>0</v>
      </c>
      <c r="K293" s="7" t="n">
        <f aca="false">K292+J293</f>
        <v>545.3</v>
      </c>
      <c r="L293" s="7" t="n">
        <v>3.1</v>
      </c>
      <c r="M293" s="7" t="n">
        <f aca="false">M292+L293</f>
        <v>313.7</v>
      </c>
      <c r="N293" s="14" t="n">
        <f aca="false">J293-L293</f>
        <v>-3.1</v>
      </c>
      <c r="O293" s="7" t="n">
        <f aca="false">O292+N293</f>
        <v>148.3</v>
      </c>
      <c r="P293" s="7" t="n">
        <v>254</v>
      </c>
      <c r="Q293" s="7" t="n">
        <v>1.15</v>
      </c>
      <c r="R293" s="15" t="n">
        <f aca="false">Q293*L293</f>
        <v>3.565</v>
      </c>
      <c r="S293" s="15" t="n">
        <f aca="false">J293-R293</f>
        <v>-3.565</v>
      </c>
      <c r="T293" s="15" t="n">
        <f aca="false">MIN(189.6,(T292+S293))</f>
        <v>128.565</v>
      </c>
      <c r="V293" s="7" t="n">
        <v>2320.2</v>
      </c>
      <c r="W293" s="7" t="n">
        <f aca="false">V293/D293</f>
        <v>223.096153846154</v>
      </c>
      <c r="X293" s="7" t="n">
        <f aca="false">X292+V293</f>
        <v>167966.9</v>
      </c>
      <c r="Y293" s="7" t="n">
        <f aca="false">Y292+V293</f>
        <v>24484.7</v>
      </c>
      <c r="AA293" s="7" t="n">
        <v>15.3731492575923</v>
      </c>
    </row>
    <row r="294" s="7" customFormat="true" ht="15" hidden="false" customHeight="false" outlineLevel="0" collapsed="false">
      <c r="A294" s="62"/>
      <c r="B294" s="11"/>
      <c r="C294" s="8" t="n">
        <v>41775</v>
      </c>
      <c r="D294" s="7" t="n">
        <v>12.4</v>
      </c>
      <c r="E294" s="7" t="n">
        <v>6.4</v>
      </c>
      <c r="F294" s="7" t="n">
        <v>17</v>
      </c>
      <c r="G294" s="7" t="n">
        <f aca="false">G293+D294</f>
        <v>2243.3</v>
      </c>
      <c r="H294" s="7" t="n">
        <f aca="false">H293+D294</f>
        <v>214.8</v>
      </c>
      <c r="J294" s="7" t="n">
        <v>0</v>
      </c>
      <c r="K294" s="7" t="n">
        <f aca="false">K293+J294</f>
        <v>545.3</v>
      </c>
      <c r="L294" s="7" t="n">
        <v>3.6</v>
      </c>
      <c r="M294" s="7" t="n">
        <f aca="false">M293+L294</f>
        <v>317.3</v>
      </c>
      <c r="N294" s="14" t="n">
        <f aca="false">J294-L294</f>
        <v>-3.6</v>
      </c>
      <c r="O294" s="7" t="n">
        <f aca="false">O293+N294</f>
        <v>144.7</v>
      </c>
      <c r="P294" s="7" t="n">
        <v>255</v>
      </c>
      <c r="Q294" s="7" t="n">
        <v>1.15</v>
      </c>
      <c r="R294" s="15" t="n">
        <f aca="false">Q294*L294</f>
        <v>4.14</v>
      </c>
      <c r="S294" s="15" t="n">
        <f aca="false">J294-R294</f>
        <v>-4.14</v>
      </c>
      <c r="T294" s="15" t="n">
        <f aca="false">MIN(189.6,(T293+S294))</f>
        <v>124.425</v>
      </c>
      <c r="V294" s="7" t="n">
        <v>2534.9</v>
      </c>
      <c r="W294" s="7" t="n">
        <f aca="false">V294/D294</f>
        <v>204.427419354839</v>
      </c>
      <c r="X294" s="7" t="n">
        <f aca="false">X293+V294</f>
        <v>170501.8</v>
      </c>
      <c r="Y294" s="7" t="n">
        <f aca="false">Y293+V294</f>
        <v>27019.6</v>
      </c>
      <c r="AA294" s="7" t="n">
        <v>15.4186769553468</v>
      </c>
    </row>
    <row r="295" s="7" customFormat="true" ht="15" hidden="false" customHeight="false" outlineLevel="0" collapsed="false">
      <c r="A295" s="62"/>
      <c r="B295" s="11"/>
      <c r="C295" s="8" t="n">
        <v>41776</v>
      </c>
      <c r="D295" s="7" t="n">
        <v>14.5</v>
      </c>
      <c r="E295" s="7" t="n">
        <v>8.9</v>
      </c>
      <c r="F295" s="7" t="n">
        <v>19.4</v>
      </c>
      <c r="G295" s="7" t="n">
        <f aca="false">G294+D295</f>
        <v>2257.8</v>
      </c>
      <c r="H295" s="7" t="n">
        <f aca="false">H294+D295</f>
        <v>229.3</v>
      </c>
      <c r="J295" s="7" t="n">
        <v>0</v>
      </c>
      <c r="K295" s="7" t="n">
        <f aca="false">K294+J295</f>
        <v>545.3</v>
      </c>
      <c r="L295" s="7" t="n">
        <v>4.2</v>
      </c>
      <c r="M295" s="7" t="n">
        <f aca="false">M294+L295</f>
        <v>321.5</v>
      </c>
      <c r="N295" s="14" t="n">
        <f aca="false">J295-L295</f>
        <v>-4.2</v>
      </c>
      <c r="O295" s="7" t="n">
        <f aca="false">O294+N295</f>
        <v>140.5</v>
      </c>
      <c r="P295" s="7" t="n">
        <v>256</v>
      </c>
      <c r="Q295" s="7" t="n">
        <v>1.15</v>
      </c>
      <c r="R295" s="15" t="n">
        <f aca="false">Q295*L295</f>
        <v>4.83</v>
      </c>
      <c r="S295" s="15" t="n">
        <f aca="false">J295-R295</f>
        <v>-4.83</v>
      </c>
      <c r="T295" s="15" t="n">
        <f aca="false">MIN(189.6,(T294+S295))</f>
        <v>119.595</v>
      </c>
      <c r="V295" s="7" t="n">
        <v>2653.9</v>
      </c>
      <c r="W295" s="7" t="n">
        <f aca="false">V295/D295</f>
        <v>183.027586206897</v>
      </c>
      <c r="X295" s="7" t="n">
        <f aca="false">X294+V295</f>
        <v>173155.7</v>
      </c>
      <c r="Y295" s="7" t="n">
        <f aca="false">Y294+V295</f>
        <v>29673.5</v>
      </c>
      <c r="AA295" s="7" t="n">
        <v>15.4634004508182</v>
      </c>
    </row>
    <row r="296" s="7" customFormat="true" ht="15" hidden="false" customHeight="false" outlineLevel="0" collapsed="false">
      <c r="A296" s="62"/>
      <c r="B296" s="11"/>
      <c r="C296" s="8" t="n">
        <v>41777</v>
      </c>
      <c r="D296" s="7" t="n">
        <v>16.8</v>
      </c>
      <c r="E296" s="7" t="n">
        <v>10.2</v>
      </c>
      <c r="F296" s="7" t="n">
        <v>21.9</v>
      </c>
      <c r="G296" s="7" t="n">
        <f aca="false">G295+D296</f>
        <v>2274.6</v>
      </c>
      <c r="H296" s="7" t="n">
        <f aca="false">H295+D296</f>
        <v>246.1</v>
      </c>
      <c r="J296" s="7" t="n">
        <v>0</v>
      </c>
      <c r="K296" s="7" t="n">
        <f aca="false">K295+J296</f>
        <v>545.3</v>
      </c>
      <c r="L296" s="7" t="n">
        <v>4.3</v>
      </c>
      <c r="M296" s="7" t="n">
        <f aca="false">M295+L296</f>
        <v>325.8</v>
      </c>
      <c r="N296" s="14" t="n">
        <f aca="false">J296-L296</f>
        <v>-4.3</v>
      </c>
      <c r="O296" s="7" t="n">
        <f aca="false">O295+N296</f>
        <v>136.2</v>
      </c>
      <c r="P296" s="7" t="n">
        <v>257</v>
      </c>
      <c r="Q296" s="7" t="n">
        <v>1.15</v>
      </c>
      <c r="R296" s="15" t="n">
        <f aca="false">Q296*L296</f>
        <v>4.945</v>
      </c>
      <c r="S296" s="15" t="n">
        <f aca="false">J296-R296</f>
        <v>-4.945</v>
      </c>
      <c r="T296" s="15" t="n">
        <f aca="false">MIN(189.6,(T295+S296))</f>
        <v>114.65</v>
      </c>
      <c r="V296" s="7" t="n">
        <v>2648</v>
      </c>
      <c r="W296" s="7" t="n">
        <f aca="false">V296/D296</f>
        <v>157.619047619048</v>
      </c>
      <c r="X296" s="7" t="n">
        <f aca="false">X295+V296</f>
        <v>175803.7</v>
      </c>
      <c r="Y296" s="7" t="n">
        <f aca="false">Y295+V296</f>
        <v>32321.5</v>
      </c>
      <c r="AA296" s="7" t="n">
        <v>15.5072924411982</v>
      </c>
    </row>
    <row r="297" s="7" customFormat="true" ht="15" hidden="false" customHeight="false" outlineLevel="0" collapsed="false">
      <c r="A297" s="62"/>
      <c r="B297" s="11"/>
      <c r="C297" s="8" t="n">
        <v>41778</v>
      </c>
      <c r="D297" s="7" t="n">
        <v>18.8</v>
      </c>
      <c r="E297" s="7" t="n">
        <v>12.9</v>
      </c>
      <c r="F297" s="7" t="n">
        <v>24.4</v>
      </c>
      <c r="G297" s="7" t="n">
        <f aca="false">G296+D297</f>
        <v>2293.4</v>
      </c>
      <c r="H297" s="7" t="n">
        <f aca="false">H296+D297</f>
        <v>264.9</v>
      </c>
      <c r="J297" s="7" t="n">
        <v>0</v>
      </c>
      <c r="K297" s="7" t="n">
        <f aca="false">K296+J297</f>
        <v>545.3</v>
      </c>
      <c r="L297" s="7" t="n">
        <v>5.2</v>
      </c>
      <c r="M297" s="7" t="n">
        <f aca="false">M296+L297</f>
        <v>331</v>
      </c>
      <c r="N297" s="14" t="n">
        <f aca="false">J297-L297</f>
        <v>-5.2</v>
      </c>
      <c r="O297" s="7" t="n">
        <f aca="false">O296+N297</f>
        <v>131</v>
      </c>
      <c r="P297" s="7" t="n">
        <v>258</v>
      </c>
      <c r="Q297" s="7" t="n">
        <v>1.15</v>
      </c>
      <c r="R297" s="15" t="n">
        <f aca="false">Q297*L297</f>
        <v>5.98</v>
      </c>
      <c r="S297" s="15" t="n">
        <f aca="false">J297-R297</f>
        <v>-5.98</v>
      </c>
      <c r="T297" s="15" t="n">
        <f aca="false">MIN(189.6,(T296+S297))</f>
        <v>108.67</v>
      </c>
      <c r="V297" s="7" t="n">
        <v>2667.8</v>
      </c>
      <c r="W297" s="7" t="n">
        <f aca="false">V297/D297</f>
        <v>141.904255319149</v>
      </c>
      <c r="X297" s="7" t="n">
        <f aca="false">X296+V297</f>
        <v>178471.5</v>
      </c>
      <c r="Y297" s="7" t="n">
        <f aca="false">Y296+V297</f>
        <v>34989.3</v>
      </c>
      <c r="AA297" s="7" t="n">
        <v>15.5503253260155</v>
      </c>
    </row>
    <row r="298" s="7" customFormat="true" ht="15" hidden="false" customHeight="false" outlineLevel="0" collapsed="false">
      <c r="A298" s="62"/>
      <c r="B298" s="11"/>
      <c r="C298" s="8" t="n">
        <v>41779</v>
      </c>
      <c r="D298" s="7" t="n">
        <v>16.2</v>
      </c>
      <c r="E298" s="7" t="n">
        <v>13.6</v>
      </c>
      <c r="F298" s="7" t="n">
        <v>21.7</v>
      </c>
      <c r="G298" s="7" t="n">
        <f aca="false">G297+D298</f>
        <v>2309.6</v>
      </c>
      <c r="H298" s="7" t="n">
        <f aca="false">H297+D298</f>
        <v>281.1</v>
      </c>
      <c r="J298" s="7" t="n">
        <v>11.5</v>
      </c>
      <c r="K298" s="7" t="n">
        <f aca="false">K297+J298</f>
        <v>556.8</v>
      </c>
      <c r="L298" s="7" t="n">
        <v>2.3</v>
      </c>
      <c r="M298" s="7" t="n">
        <f aca="false">M297+L298</f>
        <v>333.3</v>
      </c>
      <c r="N298" s="7" t="n">
        <f aca="false">J298-L298</f>
        <v>9.2</v>
      </c>
      <c r="O298" s="7" t="n">
        <f aca="false">O297+N298</f>
        <v>140.2</v>
      </c>
      <c r="P298" s="7" t="n">
        <v>259</v>
      </c>
      <c r="Q298" s="7" t="n">
        <v>1.15</v>
      </c>
      <c r="R298" s="15" t="n">
        <f aca="false">Q298*L298</f>
        <v>2.645</v>
      </c>
      <c r="S298" s="15" t="n">
        <f aca="false">J298-R298</f>
        <v>8.855</v>
      </c>
      <c r="T298" s="15" t="n">
        <f aca="false">MIN(189.6,(T297+S298))</f>
        <v>117.525</v>
      </c>
      <c r="V298" s="16" t="n">
        <v>828.6</v>
      </c>
      <c r="W298" s="7" t="n">
        <f aca="false">V298/D298</f>
        <v>51.1481481481482</v>
      </c>
      <c r="X298" s="7" t="n">
        <f aca="false">X297+V298</f>
        <v>179300.1</v>
      </c>
      <c r="Y298" s="7" t="n">
        <f aca="false">Y297+V298</f>
        <v>35817.9</v>
      </c>
      <c r="AA298" s="7" t="n">
        <v>15.5924712500165</v>
      </c>
    </row>
    <row r="299" s="7" customFormat="true" ht="15" hidden="false" customHeight="false" outlineLevel="0" collapsed="false">
      <c r="A299" s="62"/>
      <c r="B299" s="11"/>
      <c r="C299" s="8" t="n">
        <v>41780</v>
      </c>
      <c r="D299" s="7" t="n">
        <v>14.8</v>
      </c>
      <c r="E299" s="7" t="n">
        <v>12.9</v>
      </c>
      <c r="F299" s="7" t="n">
        <v>17.7</v>
      </c>
      <c r="G299" s="7" t="n">
        <f aca="false">G298+D299</f>
        <v>2324.4</v>
      </c>
      <c r="H299" s="7" t="n">
        <f aca="false">H298+D299</f>
        <v>295.9</v>
      </c>
      <c r="J299" s="7" t="n">
        <v>15</v>
      </c>
      <c r="K299" s="7" t="n">
        <f aca="false">K298+J299</f>
        <v>571.8</v>
      </c>
      <c r="L299" s="7" t="n">
        <v>1.3</v>
      </c>
      <c r="M299" s="7" t="n">
        <f aca="false">M298+L299</f>
        <v>334.6</v>
      </c>
      <c r="N299" s="7" t="n">
        <f aca="false">J299-L299</f>
        <v>13.7</v>
      </c>
      <c r="O299" s="7" t="n">
        <f aca="false">O298+N299</f>
        <v>153.9</v>
      </c>
      <c r="P299" s="7" t="n">
        <v>260</v>
      </c>
      <c r="Q299" s="7" t="n">
        <v>1.15</v>
      </c>
      <c r="R299" s="15" t="n">
        <f aca="false">Q299*L299</f>
        <v>1.495</v>
      </c>
      <c r="S299" s="15" t="n">
        <f aca="false">J299-R299</f>
        <v>13.505</v>
      </c>
      <c r="T299" s="15" t="n">
        <f aca="false">MIN(189.6,(T298+S299))</f>
        <v>131.03</v>
      </c>
      <c r="V299" s="16" t="n">
        <v>636.2</v>
      </c>
      <c r="W299" s="7" t="n">
        <f aca="false">V299/D299</f>
        <v>42.9864864864865</v>
      </c>
      <c r="X299" s="7" t="n">
        <f aca="false">X298+V299</f>
        <v>179936.3</v>
      </c>
      <c r="Y299" s="7" t="n">
        <f aca="false">Y298+V299</f>
        <v>36454.1</v>
      </c>
      <c r="AA299" s="7" t="n">
        <v>15.6337021493682</v>
      </c>
    </row>
    <row r="300" s="67" customFormat="true" ht="15" hidden="false" customHeight="false" outlineLevel="0" collapsed="false">
      <c r="A300" s="62"/>
      <c r="B300" s="20"/>
      <c r="C300" s="66" t="n">
        <v>41781</v>
      </c>
      <c r="D300" s="67" t="n">
        <v>14.9</v>
      </c>
      <c r="E300" s="67" t="n">
        <v>12.9</v>
      </c>
      <c r="F300" s="67" t="n">
        <v>18.6</v>
      </c>
      <c r="G300" s="67" t="n">
        <f aca="false">G299+D300</f>
        <v>2339.3</v>
      </c>
      <c r="H300" s="67" t="n">
        <f aca="false">H299+D300</f>
        <v>310.8</v>
      </c>
      <c r="J300" s="67" t="n">
        <v>2.2</v>
      </c>
      <c r="K300" s="67" t="n">
        <f aca="false">K299+J300</f>
        <v>574</v>
      </c>
      <c r="L300" s="67" t="n">
        <v>3</v>
      </c>
      <c r="M300" s="67" t="n">
        <f aca="false">M299+L300</f>
        <v>337.6</v>
      </c>
      <c r="N300" s="67" t="n">
        <f aca="false">J300-L300</f>
        <v>-0.8</v>
      </c>
      <c r="O300" s="23" t="n">
        <f aca="false">O299+N300</f>
        <v>153.1</v>
      </c>
      <c r="P300" s="23" t="n">
        <v>261</v>
      </c>
      <c r="Q300" s="23" t="n">
        <v>1.15</v>
      </c>
      <c r="R300" s="24" t="n">
        <f aca="false">Q300*L300</f>
        <v>3.45</v>
      </c>
      <c r="S300" s="24" t="n">
        <f aca="false">J300-R300</f>
        <v>-1.25</v>
      </c>
      <c r="T300" s="24" t="n">
        <f aca="false">MIN(189.6,(T299+S300))</f>
        <v>129.78</v>
      </c>
      <c r="V300" s="67" t="n">
        <v>1750.5</v>
      </c>
      <c r="W300" s="67" t="n">
        <f aca="false">V300/D300</f>
        <v>117.48322147651</v>
      </c>
      <c r="X300" s="67" t="n">
        <f aca="false">X299+V300</f>
        <v>181686.8</v>
      </c>
      <c r="Y300" s="67" t="n">
        <f aca="false">Y299+V300</f>
        <v>38204.6</v>
      </c>
      <c r="AA300" s="23" t="n">
        <v>15.6739898011683</v>
      </c>
    </row>
    <row r="301" s="7" customFormat="true" ht="15" hidden="false" customHeight="false" outlineLevel="0" collapsed="false">
      <c r="A301" s="68" t="n">
        <v>600</v>
      </c>
      <c r="B301" s="11"/>
      <c r="C301" s="8" t="n">
        <v>41782</v>
      </c>
      <c r="D301" s="7" t="n">
        <v>14.1</v>
      </c>
      <c r="E301" s="7" t="n">
        <v>10.5</v>
      </c>
      <c r="F301" s="7" t="n">
        <v>17.3</v>
      </c>
      <c r="G301" s="7" t="n">
        <f aca="false">G300+D301</f>
        <v>2353.4</v>
      </c>
      <c r="H301" s="7" t="n">
        <v>14.1</v>
      </c>
      <c r="I301" s="69" t="s">
        <v>28</v>
      </c>
      <c r="J301" s="7" t="n">
        <v>4</v>
      </c>
      <c r="K301" s="7" t="n">
        <f aca="false">K300+J301</f>
        <v>578</v>
      </c>
      <c r="L301" s="7" t="n">
        <v>2.9</v>
      </c>
      <c r="M301" s="7" t="n">
        <f aca="false">M300+L301</f>
        <v>340.5</v>
      </c>
      <c r="N301" s="7" t="n">
        <f aca="false">J301-L301</f>
        <v>1.1</v>
      </c>
      <c r="O301" s="7" t="n">
        <f aca="false">O300+N301</f>
        <v>154.2</v>
      </c>
      <c r="P301" s="7" t="n">
        <v>262</v>
      </c>
      <c r="Q301" s="17" t="n">
        <f aca="false">1.15+((P301-261)/57)*(0.35-1.15)</f>
        <v>1.1359649122807</v>
      </c>
      <c r="R301" s="15" t="n">
        <f aca="false">Q301*L301</f>
        <v>3.29429824561403</v>
      </c>
      <c r="S301" s="15" t="n">
        <f aca="false">J301-R301</f>
        <v>0.705701754385966</v>
      </c>
      <c r="T301" s="15" t="n">
        <f aca="false">MIN(189.6,(T300+S301))</f>
        <v>130.485701754386</v>
      </c>
      <c r="U301" s="69" t="s">
        <v>29</v>
      </c>
      <c r="V301" s="7" t="n">
        <v>1875.3</v>
      </c>
      <c r="W301" s="7" t="n">
        <f aca="false">V301/D301</f>
        <v>133</v>
      </c>
      <c r="X301" s="7" t="n">
        <f aca="false">X300+V301</f>
        <v>183562.1</v>
      </c>
      <c r="Y301" s="7" t="n">
        <v>1875.3</v>
      </c>
      <c r="Z301" s="69" t="s">
        <v>30</v>
      </c>
      <c r="AA301" s="7" t="n">
        <v>15.7133058762291</v>
      </c>
    </row>
    <row r="302" s="7" customFormat="true" ht="15" hidden="false" customHeight="false" outlineLevel="0" collapsed="false">
      <c r="A302" s="68"/>
      <c r="B302" s="11"/>
      <c r="C302" s="8" t="n">
        <v>41783</v>
      </c>
      <c r="D302" s="7" t="n">
        <v>12.7</v>
      </c>
      <c r="E302" s="7" t="n">
        <v>10.9</v>
      </c>
      <c r="F302" s="7" t="n">
        <v>14.9</v>
      </c>
      <c r="G302" s="7" t="n">
        <f aca="false">G301+D302</f>
        <v>2366.1</v>
      </c>
      <c r="H302" s="7" t="n">
        <f aca="false">H301+D302</f>
        <v>26.8</v>
      </c>
      <c r="I302" s="7" t="n">
        <f aca="false">MIN(E301:E320)</f>
        <v>7.4</v>
      </c>
      <c r="J302" s="7" t="n">
        <v>2.6</v>
      </c>
      <c r="K302" s="7" t="n">
        <f aca="false">K301+J302</f>
        <v>580.6</v>
      </c>
      <c r="L302" s="7" t="n">
        <v>2</v>
      </c>
      <c r="M302" s="7" t="n">
        <f aca="false">M301+L302</f>
        <v>342.5</v>
      </c>
      <c r="N302" s="7" t="n">
        <f aca="false">J302-L302</f>
        <v>0.6</v>
      </c>
      <c r="O302" s="7" t="n">
        <f aca="false">O301+N302</f>
        <v>154.8</v>
      </c>
      <c r="P302" s="7" t="n">
        <v>263</v>
      </c>
      <c r="Q302" s="17" t="n">
        <f aca="false">1.15+((P302-261)/57)*(0.35-1.15)</f>
        <v>1.1219298245614</v>
      </c>
      <c r="R302" s="15" t="n">
        <f aca="false">Q302*L302</f>
        <v>2.24385964912281</v>
      </c>
      <c r="S302" s="15" t="n">
        <f aca="false">J302-R302</f>
        <v>0.356140350877193</v>
      </c>
      <c r="T302" s="15" t="n">
        <f aca="false">MIN(189.6,(T301+S302))</f>
        <v>130.841842105263</v>
      </c>
      <c r="V302" s="7" t="n">
        <v>1144.6</v>
      </c>
      <c r="W302" s="7" t="n">
        <f aca="false">V302/D302</f>
        <v>90.1259842519685</v>
      </c>
      <c r="X302" s="7" t="n">
        <f aca="false">X301+V302</f>
        <v>184706.7</v>
      </c>
      <c r="Y302" s="7" t="n">
        <f aca="false">Y301+V302</f>
        <v>3019.9</v>
      </c>
      <c r="Z302" s="7" t="n">
        <v>29336.8</v>
      </c>
      <c r="AA302" s="7" t="n">
        <v>15.7516219950701</v>
      </c>
    </row>
    <row r="303" s="7" customFormat="true" ht="15" hidden="false" customHeight="false" outlineLevel="0" collapsed="false">
      <c r="A303" s="68"/>
      <c r="B303" s="11"/>
      <c r="C303" s="8" t="n">
        <v>41784</v>
      </c>
      <c r="D303" s="7" t="n">
        <v>14.3</v>
      </c>
      <c r="E303" s="7" t="n">
        <v>9.3</v>
      </c>
      <c r="F303" s="7" t="n">
        <v>18.3</v>
      </c>
      <c r="G303" s="7" t="n">
        <f aca="false">G302+D303</f>
        <v>2380.4</v>
      </c>
      <c r="H303" s="7" t="n">
        <f aca="false">H302+D303</f>
        <v>41.1</v>
      </c>
      <c r="I303" s="69" t="s">
        <v>31</v>
      </c>
      <c r="J303" s="7" t="n">
        <v>0.9</v>
      </c>
      <c r="K303" s="7" t="n">
        <f aca="false">K302+J303</f>
        <v>581.5</v>
      </c>
      <c r="L303" s="7" t="n">
        <v>2.4</v>
      </c>
      <c r="M303" s="7" t="n">
        <f aca="false">M302+L303</f>
        <v>344.9</v>
      </c>
      <c r="N303" s="14" t="n">
        <f aca="false">J303-L303</f>
        <v>-1.5</v>
      </c>
      <c r="O303" s="7" t="n">
        <f aca="false">O302+N303</f>
        <v>153.3</v>
      </c>
      <c r="P303" s="7" t="n">
        <v>264</v>
      </c>
      <c r="Q303" s="17" t="n">
        <f aca="false">1.15+((P303-261)/57)*(0.35-1.15)</f>
        <v>1.10789473684211</v>
      </c>
      <c r="R303" s="15" t="n">
        <f aca="false">Q303*L303</f>
        <v>2.65894736842105</v>
      </c>
      <c r="S303" s="15" t="n">
        <f aca="false">J303-R303</f>
        <v>-1.75894736842105</v>
      </c>
      <c r="T303" s="15" t="n">
        <f aca="false">MIN(189.6,(T302+S303))</f>
        <v>129.082894736842</v>
      </c>
      <c r="U303" s="69" t="s">
        <v>32</v>
      </c>
      <c r="V303" s="7" t="n">
        <v>1625.2</v>
      </c>
      <c r="W303" s="7" t="n">
        <f aca="false">V303/D303</f>
        <v>113.65034965035</v>
      </c>
      <c r="X303" s="7" t="n">
        <f aca="false">X302+V303</f>
        <v>186331.9</v>
      </c>
      <c r="Y303" s="7" t="n">
        <f aca="false">Y302+V303</f>
        <v>4645.1</v>
      </c>
      <c r="Z303" s="69" t="s">
        <v>33</v>
      </c>
      <c r="AA303" s="7" t="n">
        <v>15.7889097870295</v>
      </c>
    </row>
    <row r="304" s="7" customFormat="true" ht="15" hidden="false" customHeight="false" outlineLevel="0" collapsed="false">
      <c r="A304" s="68"/>
      <c r="B304" s="11"/>
      <c r="C304" s="8" t="n">
        <v>41785</v>
      </c>
      <c r="D304" s="7" t="n">
        <v>12.9</v>
      </c>
      <c r="E304" s="7" t="n">
        <v>11.4</v>
      </c>
      <c r="F304" s="7" t="n">
        <v>14.2</v>
      </c>
      <c r="G304" s="7" t="n">
        <f aca="false">G303+D304</f>
        <v>2393.3</v>
      </c>
      <c r="H304" s="7" t="n">
        <f aca="false">H303+D304</f>
        <v>54</v>
      </c>
      <c r="I304" s="7" t="n">
        <f aca="false">MAX(F301:F320)</f>
        <v>25.5</v>
      </c>
      <c r="J304" s="7" t="n">
        <v>8.2</v>
      </c>
      <c r="K304" s="7" t="n">
        <f aca="false">K303+J304</f>
        <v>589.7</v>
      </c>
      <c r="L304" s="7" t="n">
        <v>1.2</v>
      </c>
      <c r="M304" s="7" t="n">
        <f aca="false">M303+L304</f>
        <v>346.1</v>
      </c>
      <c r="N304" s="7" t="n">
        <f aca="false">J304-L304</f>
        <v>7</v>
      </c>
      <c r="O304" s="7" t="n">
        <f aca="false">O303+N304</f>
        <v>160.3</v>
      </c>
      <c r="P304" s="7" t="n">
        <v>265</v>
      </c>
      <c r="Q304" s="17" t="n">
        <f aca="false">1.15+((P304-261)/57)*(0.35-1.15)</f>
        <v>1.09385964912281</v>
      </c>
      <c r="R304" s="15" t="n">
        <f aca="false">Q304*L304</f>
        <v>1.31263157894737</v>
      </c>
      <c r="S304" s="15" t="n">
        <f aca="false">J304-R304</f>
        <v>6.88736842105263</v>
      </c>
      <c r="T304" s="15" t="n">
        <f aca="false">MIN(189.6,(T303+S304))</f>
        <v>135.970263157895</v>
      </c>
      <c r="V304" s="16" t="n">
        <v>680.9</v>
      </c>
      <c r="W304" s="7" t="n">
        <f aca="false">V304/D304</f>
        <v>52.7829457364341</v>
      </c>
      <c r="X304" s="7" t="n">
        <f aca="false">X303+V304</f>
        <v>187012.8</v>
      </c>
      <c r="Y304" s="7" t="n">
        <f aca="false">Y303+V304</f>
        <v>5326</v>
      </c>
      <c r="Z304" s="17" t="n">
        <f aca="false">(Z302/100)/I314</f>
        <v>0.959659797186784</v>
      </c>
      <c r="AA304" s="7" t="n">
        <v>15.825140952375</v>
      </c>
    </row>
    <row r="305" s="7" customFormat="true" ht="15" hidden="false" customHeight="false" outlineLevel="0" collapsed="false">
      <c r="A305" s="68"/>
      <c r="B305" s="11"/>
      <c r="C305" s="8" t="n">
        <v>41786</v>
      </c>
      <c r="D305" s="7" t="n">
        <v>13.5</v>
      </c>
      <c r="E305" s="7" t="n">
        <v>12.9</v>
      </c>
      <c r="F305" s="7" t="n">
        <v>15.3</v>
      </c>
      <c r="G305" s="7" t="n">
        <f aca="false">G304+D305</f>
        <v>2406.8</v>
      </c>
      <c r="H305" s="7" t="n">
        <f aca="false">H304+D305</f>
        <v>67.5</v>
      </c>
      <c r="I305" s="69" t="s">
        <v>34</v>
      </c>
      <c r="J305" s="7" t="n">
        <v>0</v>
      </c>
      <c r="K305" s="7" t="n">
        <f aca="false">K304+J305</f>
        <v>589.7</v>
      </c>
      <c r="L305" s="7" t="n">
        <v>1.3</v>
      </c>
      <c r="M305" s="7" t="n">
        <f aca="false">M304+L305</f>
        <v>347.4</v>
      </c>
      <c r="N305" s="14" t="n">
        <f aca="false">J305-L305</f>
        <v>-1.3</v>
      </c>
      <c r="O305" s="7" t="n">
        <f aca="false">O304+N305</f>
        <v>159</v>
      </c>
      <c r="P305" s="7" t="n">
        <v>266</v>
      </c>
      <c r="Q305" s="17" t="n">
        <f aca="false">1.15+((P305-261)/57)*(0.35-1.15)</f>
        <v>1.07982456140351</v>
      </c>
      <c r="R305" s="15" t="n">
        <f aca="false">Q305*L305</f>
        <v>1.40377192982456</v>
      </c>
      <c r="S305" s="15" t="n">
        <f aca="false">J305-R305</f>
        <v>-1.40377192982456</v>
      </c>
      <c r="T305" s="15" t="n">
        <f aca="false">MIN(189.6,(T304+S305))</f>
        <v>134.56649122807</v>
      </c>
      <c r="U305" s="69" t="s">
        <v>35</v>
      </c>
      <c r="V305" s="16" t="n">
        <v>580.7</v>
      </c>
      <c r="W305" s="7" t="n">
        <f aca="false">V305/D305</f>
        <v>43.0148148148148</v>
      </c>
      <c r="X305" s="7" t="n">
        <f aca="false">X304+V305</f>
        <v>187593.5</v>
      </c>
      <c r="Y305" s="7" t="n">
        <f aca="false">Y304+V305</f>
        <v>5906.7</v>
      </c>
      <c r="Z305" s="69" t="s">
        <v>36</v>
      </c>
      <c r="AA305" s="7" t="n">
        <v>15.8602873272624</v>
      </c>
    </row>
    <row r="306" s="7" customFormat="true" ht="15" hidden="false" customHeight="false" outlineLevel="0" collapsed="false">
      <c r="A306" s="68"/>
      <c r="B306" s="11"/>
      <c r="C306" s="8" t="n">
        <v>41787</v>
      </c>
      <c r="D306" s="7" t="n">
        <v>12.6</v>
      </c>
      <c r="E306" s="7" t="n">
        <v>12.2</v>
      </c>
      <c r="F306" s="7" t="n">
        <v>13.3</v>
      </c>
      <c r="G306" s="7" t="n">
        <f aca="false">G305+D306</f>
        <v>2419.4</v>
      </c>
      <c r="H306" s="7" t="n">
        <f aca="false">H305+D306</f>
        <v>80.1</v>
      </c>
      <c r="I306" s="15" t="n">
        <f aca="false">AVERAGE(D301:D320)</f>
        <v>15.285</v>
      </c>
      <c r="J306" s="7" t="n">
        <v>0.3</v>
      </c>
      <c r="K306" s="7" t="n">
        <f aca="false">K305+J306</f>
        <v>590</v>
      </c>
      <c r="L306" s="7" t="n">
        <v>1.4</v>
      </c>
      <c r="M306" s="7" t="n">
        <f aca="false">M305+L306</f>
        <v>348.8</v>
      </c>
      <c r="N306" s="14" t="n">
        <f aca="false">J306-L306</f>
        <v>-1.1</v>
      </c>
      <c r="O306" s="7" t="n">
        <f aca="false">O305+N306</f>
        <v>157.9</v>
      </c>
      <c r="P306" s="7" t="n">
        <v>267</v>
      </c>
      <c r="Q306" s="17" t="n">
        <f aca="false">1.15+((P306-261)/57)*(0.35-1.15)</f>
        <v>1.06578947368421</v>
      </c>
      <c r="R306" s="15" t="n">
        <f aca="false">Q306*L306</f>
        <v>1.49210526315789</v>
      </c>
      <c r="S306" s="15" t="n">
        <f aca="false">J306-R306</f>
        <v>-1.19210526315789</v>
      </c>
      <c r="T306" s="15" t="n">
        <f aca="false">MIN(189.6,(T305+S306))</f>
        <v>133.374385964912</v>
      </c>
      <c r="U306" s="7" t="n">
        <v>0</v>
      </c>
      <c r="V306" s="16" t="n">
        <v>833.3</v>
      </c>
      <c r="W306" s="7" t="n">
        <f aca="false">V306/D306</f>
        <v>66.1349206349206</v>
      </c>
      <c r="X306" s="7" t="n">
        <f aca="false">X305+V306</f>
        <v>188426.8</v>
      </c>
      <c r="Y306" s="7" t="n">
        <f aca="false">Y305+V306</f>
        <v>6740</v>
      </c>
      <c r="Z306" s="7" t="n">
        <v>5</v>
      </c>
      <c r="AA306" s="7" t="n">
        <v>15.8943209513573</v>
      </c>
    </row>
    <row r="307" s="7" customFormat="true" ht="15" hidden="false" customHeight="false" outlineLevel="0" collapsed="false">
      <c r="A307" s="68"/>
      <c r="B307" s="11"/>
      <c r="C307" s="8" t="n">
        <v>41788</v>
      </c>
      <c r="D307" s="7" t="n">
        <v>14.6</v>
      </c>
      <c r="E307" s="7" t="n">
        <v>11.8</v>
      </c>
      <c r="F307" s="7" t="n">
        <v>17.9</v>
      </c>
      <c r="G307" s="7" t="n">
        <f aca="false">G306+D307</f>
        <v>2434</v>
      </c>
      <c r="H307" s="7" t="n">
        <f aca="false">H306+D307</f>
        <v>94.7</v>
      </c>
      <c r="I307" s="69" t="s">
        <v>37</v>
      </c>
      <c r="J307" s="7" t="n">
        <v>0</v>
      </c>
      <c r="K307" s="7" t="n">
        <f aca="false">K306+J307</f>
        <v>590</v>
      </c>
      <c r="L307" s="7" t="n">
        <v>2.3</v>
      </c>
      <c r="M307" s="7" t="n">
        <f aca="false">M306+L307</f>
        <v>351.1</v>
      </c>
      <c r="N307" s="14" t="n">
        <f aca="false">J307-L307</f>
        <v>-2.3</v>
      </c>
      <c r="O307" s="7" t="n">
        <f aca="false">O306+N307</f>
        <v>155.6</v>
      </c>
      <c r="P307" s="7" t="n">
        <v>268</v>
      </c>
      <c r="Q307" s="17" t="n">
        <f aca="false">1.15+((P307-261)/57)*(0.35-1.15)</f>
        <v>1.05175438596491</v>
      </c>
      <c r="R307" s="15" t="n">
        <f aca="false">Q307*L307</f>
        <v>2.4190350877193</v>
      </c>
      <c r="S307" s="15" t="n">
        <f aca="false">J307-R307</f>
        <v>-2.4190350877193</v>
      </c>
      <c r="T307" s="15" t="n">
        <f aca="false">MIN(189.6,(T306+S307))</f>
        <v>130.955350877193</v>
      </c>
      <c r="U307" s="69" t="s">
        <v>38</v>
      </c>
      <c r="V307" s="7" t="n">
        <v>1279.1</v>
      </c>
      <c r="W307" s="7" t="n">
        <f aca="false">V307/D307</f>
        <v>87.6095890410959</v>
      </c>
      <c r="X307" s="7" t="n">
        <f aca="false">X306+V307</f>
        <v>189705.9</v>
      </c>
      <c r="Y307" s="7" t="n">
        <f aca="false">Y306+V307</f>
        <v>8019.1</v>
      </c>
      <c r="AA307" s="7" t="n">
        <v>15.9272141379056</v>
      </c>
    </row>
    <row r="308" s="7" customFormat="true" ht="15" hidden="false" customHeight="false" outlineLevel="0" collapsed="false">
      <c r="A308" s="68"/>
      <c r="B308" s="11"/>
      <c r="C308" s="8" t="n">
        <v>41789</v>
      </c>
      <c r="D308" s="7" t="n">
        <v>15</v>
      </c>
      <c r="E308" s="7" t="n">
        <v>12.4</v>
      </c>
      <c r="F308" s="7" t="n">
        <v>18.3</v>
      </c>
      <c r="G308" s="7" t="n">
        <f aca="false">G307+D308</f>
        <v>2449</v>
      </c>
      <c r="H308" s="7" t="n">
        <f aca="false">H307+D308</f>
        <v>109.7</v>
      </c>
      <c r="I308" s="7" t="n">
        <v>0</v>
      </c>
      <c r="J308" s="7" t="n">
        <v>0</v>
      </c>
      <c r="K308" s="7" t="n">
        <f aca="false">K307+J308</f>
        <v>590</v>
      </c>
      <c r="L308" s="7" t="n">
        <v>3.4</v>
      </c>
      <c r="M308" s="7" t="n">
        <f aca="false">M307+L308</f>
        <v>354.5</v>
      </c>
      <c r="N308" s="14" t="n">
        <f aca="false">J308-L308</f>
        <v>-3.4</v>
      </c>
      <c r="O308" s="7" t="n">
        <f aca="false">O307+N308</f>
        <v>152.2</v>
      </c>
      <c r="P308" s="7" t="n">
        <v>269</v>
      </c>
      <c r="Q308" s="17" t="n">
        <f aca="false">1.15+((P308-261)/57)*(0.35-1.15)</f>
        <v>1.03771929824561</v>
      </c>
      <c r="R308" s="15" t="n">
        <f aca="false">Q308*L308</f>
        <v>3.52824561403509</v>
      </c>
      <c r="S308" s="15" t="n">
        <f aca="false">J308-R308</f>
        <v>-3.52824561403509</v>
      </c>
      <c r="T308" s="15" t="n">
        <f aca="false">MIN(189.6,(T307+S308))</f>
        <v>127.427105263158</v>
      </c>
      <c r="U308" s="7" t="n">
        <v>0</v>
      </c>
      <c r="V308" s="7" t="n">
        <v>2064.3</v>
      </c>
      <c r="W308" s="7" t="n">
        <f aca="false">V308/D308</f>
        <v>137.62</v>
      </c>
      <c r="X308" s="7" t="n">
        <f aca="false">X307+V308</f>
        <v>191770.2</v>
      </c>
      <c r="Y308" s="7" t="n">
        <f aca="false">Y307+V308</f>
        <v>10083.4</v>
      </c>
      <c r="AA308" s="7" t="n">
        <v>15.9589395459995</v>
      </c>
    </row>
    <row r="309" s="7" customFormat="true" ht="15" hidden="false" customHeight="false" outlineLevel="0" collapsed="false">
      <c r="A309" s="68"/>
      <c r="B309" s="11"/>
      <c r="C309" s="8" t="n">
        <v>41790</v>
      </c>
      <c r="D309" s="7" t="n">
        <v>13.4</v>
      </c>
      <c r="E309" s="7" t="n">
        <v>10.7</v>
      </c>
      <c r="F309" s="7" t="n">
        <v>18</v>
      </c>
      <c r="G309" s="7" t="n">
        <f aca="false">G308+D309</f>
        <v>2462.4</v>
      </c>
      <c r="H309" s="7" t="n">
        <f aca="false">H308+D309</f>
        <v>123.1</v>
      </c>
      <c r="I309" s="69" t="s">
        <v>39</v>
      </c>
      <c r="J309" s="7" t="n">
        <v>0</v>
      </c>
      <c r="K309" s="7" t="n">
        <f aca="false">K308+J309</f>
        <v>590</v>
      </c>
      <c r="L309" s="7" t="n">
        <v>3.3</v>
      </c>
      <c r="M309" s="7" t="n">
        <f aca="false">M308+L309</f>
        <v>357.8</v>
      </c>
      <c r="N309" s="14" t="n">
        <f aca="false">J309-L309</f>
        <v>-3.3</v>
      </c>
      <c r="O309" s="7" t="n">
        <f aca="false">O308+N309</f>
        <v>148.9</v>
      </c>
      <c r="P309" s="7" t="n">
        <v>270</v>
      </c>
      <c r="Q309" s="17" t="n">
        <f aca="false">1.15+((P309-261)/57)*(0.35-1.15)</f>
        <v>1.02368421052632</v>
      </c>
      <c r="R309" s="15" t="n">
        <f aca="false">Q309*L309</f>
        <v>3.37815789473684</v>
      </c>
      <c r="S309" s="15" t="n">
        <f aca="false">J309-R309</f>
        <v>-3.37815789473684</v>
      </c>
      <c r="T309" s="15" t="n">
        <f aca="false">MIN(189.6,(T308+S309))</f>
        <v>124.048947368421</v>
      </c>
      <c r="U309" s="69" t="s">
        <v>40</v>
      </c>
      <c r="V309" s="7" t="n">
        <v>1917.2</v>
      </c>
      <c r="W309" s="7" t="n">
        <f aca="false">V309/D309</f>
        <v>143.074626865672</v>
      </c>
      <c r="X309" s="7" t="n">
        <f aca="false">X308+V309</f>
        <v>193687.4</v>
      </c>
      <c r="Y309" s="7" t="n">
        <f aca="false">Y308+V309</f>
        <v>12000.6</v>
      </c>
      <c r="AA309" s="7" t="n">
        <v>15.9894702547585</v>
      </c>
    </row>
    <row r="310" s="7" customFormat="true" ht="15" hidden="false" customHeight="false" outlineLevel="0" collapsed="false">
      <c r="A310" s="68"/>
      <c r="B310" s="11"/>
      <c r="C310" s="8" t="n">
        <v>41791</v>
      </c>
      <c r="D310" s="7" t="n">
        <v>12.7</v>
      </c>
      <c r="E310" s="7" t="n">
        <v>7.4</v>
      </c>
      <c r="F310" s="7" t="n">
        <v>17.4</v>
      </c>
      <c r="G310" s="7" t="n">
        <f aca="false">G309+D310</f>
        <v>2475.1</v>
      </c>
      <c r="H310" s="7" t="n">
        <f aca="false">H309+D310</f>
        <v>135.8</v>
      </c>
      <c r="I310" s="7" t="n">
        <v>2</v>
      </c>
      <c r="J310" s="7" t="n">
        <v>0</v>
      </c>
      <c r="K310" s="7" t="n">
        <f aca="false">K309+J310</f>
        <v>590</v>
      </c>
      <c r="L310" s="7" t="n">
        <v>1.8</v>
      </c>
      <c r="M310" s="7" t="n">
        <f aca="false">M309+L310</f>
        <v>359.6</v>
      </c>
      <c r="N310" s="14" t="n">
        <f aca="false">J310-L310</f>
        <v>-1.8</v>
      </c>
      <c r="O310" s="7" t="n">
        <f aca="false">O309+N310</f>
        <v>147.1</v>
      </c>
      <c r="P310" s="7" t="n">
        <v>271</v>
      </c>
      <c r="Q310" s="17" t="n">
        <f aca="false">1.15+((P310-261)/57)*(0.35-1.15)</f>
        <v>1.00964912280702</v>
      </c>
      <c r="R310" s="15" t="n">
        <f aca="false">Q310*L310</f>
        <v>1.81736842105263</v>
      </c>
      <c r="S310" s="15" t="n">
        <f aca="false">J310-R310</f>
        <v>-1.81736842105263</v>
      </c>
      <c r="T310" s="15" t="n">
        <f aca="false">MIN(189.6,(T309+S310))</f>
        <v>122.231578947368</v>
      </c>
      <c r="U310" s="15" t="n">
        <f aca="false">MIN(T301:T320)</f>
        <v>119.643859649123</v>
      </c>
      <c r="V310" s="7" t="n">
        <v>1138.1</v>
      </c>
      <c r="W310" s="7" t="n">
        <f aca="false">V310/D310</f>
        <v>89.6141732283465</v>
      </c>
      <c r="X310" s="7" t="n">
        <f aca="false">X309+V310</f>
        <v>194825.5</v>
      </c>
      <c r="Y310" s="7" t="n">
        <f aca="false">Y309+V310</f>
        <v>13138.7</v>
      </c>
      <c r="AA310" s="7" t="n">
        <v>16.0187798391047</v>
      </c>
    </row>
    <row r="311" s="7" customFormat="true" ht="15" hidden="false" customHeight="false" outlineLevel="0" collapsed="false">
      <c r="A311" s="68"/>
      <c r="B311" s="11"/>
      <c r="C311" s="8" t="n">
        <v>41792</v>
      </c>
      <c r="D311" s="7" t="n">
        <v>14</v>
      </c>
      <c r="E311" s="7" t="n">
        <v>9</v>
      </c>
      <c r="F311" s="7" t="n">
        <v>18.1</v>
      </c>
      <c r="G311" s="7" t="n">
        <f aca="false">G310+D311</f>
        <v>2489.1</v>
      </c>
      <c r="H311" s="7" t="n">
        <f aca="false">H310+D311</f>
        <v>149.8</v>
      </c>
      <c r="I311" s="69" t="s">
        <v>41</v>
      </c>
      <c r="J311" s="7" t="n">
        <v>0.2</v>
      </c>
      <c r="K311" s="7" t="n">
        <f aca="false">K310+J311</f>
        <v>590.2</v>
      </c>
      <c r="L311" s="7" t="n">
        <v>2.8</v>
      </c>
      <c r="M311" s="7" t="n">
        <f aca="false">M310+L311</f>
        <v>362.4</v>
      </c>
      <c r="N311" s="14" t="n">
        <f aca="false">J311-L311</f>
        <v>-2.6</v>
      </c>
      <c r="O311" s="7" t="n">
        <f aca="false">O310+N311</f>
        <v>144.5</v>
      </c>
      <c r="P311" s="7" t="n">
        <v>272</v>
      </c>
      <c r="Q311" s="17" t="n">
        <f aca="false">1.15+((P311-261)/57)*(0.35-1.15)</f>
        <v>0.995614035087719</v>
      </c>
      <c r="R311" s="15" t="n">
        <f aca="false">Q311*L311</f>
        <v>2.78771929824561</v>
      </c>
      <c r="S311" s="15" t="n">
        <f aca="false">J311-R311</f>
        <v>-2.58771929824561</v>
      </c>
      <c r="T311" s="15" t="n">
        <f aca="false">MIN(189.6,(T310+S311))</f>
        <v>119.643859649123</v>
      </c>
      <c r="U311" s="69" t="s">
        <v>42</v>
      </c>
      <c r="V311" s="7" t="n">
        <v>1872.2</v>
      </c>
      <c r="W311" s="7" t="n">
        <f aca="false">V311/D311</f>
        <v>133.728571428571</v>
      </c>
      <c r="X311" s="7" t="n">
        <f aca="false">X310+V311</f>
        <v>196697.7</v>
      </c>
      <c r="Y311" s="7" t="n">
        <f aca="false">Y310+V311</f>
        <v>15010.9</v>
      </c>
      <c r="AA311" s="7" t="n">
        <v>16.0468424467846</v>
      </c>
    </row>
    <row r="312" s="7" customFormat="true" ht="15" hidden="false" customHeight="false" outlineLevel="0" collapsed="false">
      <c r="A312" s="68"/>
      <c r="B312" s="11"/>
      <c r="C312" s="8" t="n">
        <v>41793</v>
      </c>
      <c r="D312" s="7" t="n">
        <v>14.8</v>
      </c>
      <c r="E312" s="7" t="n">
        <v>11.9</v>
      </c>
      <c r="F312" s="7" t="n">
        <v>16.9</v>
      </c>
      <c r="G312" s="7" t="n">
        <f aca="false">G311+D312</f>
        <v>2503.9</v>
      </c>
      <c r="H312" s="7" t="n">
        <f aca="false">H311+D312</f>
        <v>164.6</v>
      </c>
      <c r="I312" s="7" t="n">
        <v>0</v>
      </c>
      <c r="J312" s="7" t="n">
        <v>8.8</v>
      </c>
      <c r="K312" s="7" t="n">
        <f aca="false">K311+J312</f>
        <v>599</v>
      </c>
      <c r="L312" s="7" t="n">
        <v>1.5</v>
      </c>
      <c r="M312" s="7" t="n">
        <f aca="false">M311+L312</f>
        <v>363.9</v>
      </c>
      <c r="N312" s="7" t="n">
        <f aca="false">J312-L312</f>
        <v>7.3</v>
      </c>
      <c r="O312" s="7" t="n">
        <f aca="false">O311+N312</f>
        <v>151.8</v>
      </c>
      <c r="P312" s="7" t="n">
        <v>273</v>
      </c>
      <c r="Q312" s="17" t="n">
        <f aca="false">1.15+((P312-261)/57)*(0.35-1.15)</f>
        <v>0.981578947368421</v>
      </c>
      <c r="R312" s="15" t="n">
        <f aca="false">Q312*L312</f>
        <v>1.47236842105263</v>
      </c>
      <c r="S312" s="15" t="n">
        <f aca="false">J312-R312</f>
        <v>7.32763157894737</v>
      </c>
      <c r="T312" s="15" t="n">
        <f aca="false">MIN(189.6,(T311+S312))</f>
        <v>126.97149122807</v>
      </c>
      <c r="U312" s="15" t="n">
        <f aca="false">MAX(T301:T320)</f>
        <v>147.770087719298</v>
      </c>
      <c r="V312" s="7" t="n">
        <v>1008.1</v>
      </c>
      <c r="W312" s="7" t="n">
        <f aca="false">V312/D312</f>
        <v>68.1148648648649</v>
      </c>
      <c r="X312" s="7" t="n">
        <f aca="false">X311+V312</f>
        <v>197705.8</v>
      </c>
      <c r="Y312" s="7" t="n">
        <f aca="false">Y311+V312</f>
        <v>16019</v>
      </c>
      <c r="AA312" s="7" t="n">
        <v>16.073632876256</v>
      </c>
    </row>
    <row r="313" s="7" customFormat="true" ht="15" hidden="false" customHeight="false" outlineLevel="0" collapsed="false">
      <c r="A313" s="68"/>
      <c r="B313" s="11"/>
      <c r="C313" s="8" t="n">
        <v>41794</v>
      </c>
      <c r="D313" s="7" t="n">
        <v>13.1</v>
      </c>
      <c r="E313" s="7" t="n">
        <v>12.8</v>
      </c>
      <c r="F313" s="7" t="n">
        <v>16.4</v>
      </c>
      <c r="G313" s="7" t="n">
        <f aca="false">G312+D313</f>
        <v>2517</v>
      </c>
      <c r="H313" s="7" t="n">
        <f aca="false">H312+D313</f>
        <v>177.7</v>
      </c>
      <c r="I313" s="69" t="s">
        <v>43</v>
      </c>
      <c r="J313" s="7" t="n">
        <v>14.3</v>
      </c>
      <c r="K313" s="7" t="n">
        <f aca="false">K312+J313</f>
        <v>613.3</v>
      </c>
      <c r="L313" s="7" t="n">
        <v>1.9</v>
      </c>
      <c r="M313" s="7" t="n">
        <f aca="false">M312+L313</f>
        <v>365.8</v>
      </c>
      <c r="N313" s="7" t="n">
        <f aca="false">J313-L313</f>
        <v>12.4</v>
      </c>
      <c r="O313" s="7" t="n">
        <f aca="false">O312+N313</f>
        <v>164.2</v>
      </c>
      <c r="P313" s="7" t="n">
        <v>274</v>
      </c>
      <c r="Q313" s="17" t="n">
        <f aca="false">1.15+((P313-261)/57)*(0.35-1.15)</f>
        <v>0.967543859649123</v>
      </c>
      <c r="R313" s="15" t="n">
        <f aca="false">Q313*L313</f>
        <v>1.83833333333333</v>
      </c>
      <c r="S313" s="15" t="n">
        <f aca="false">J313-R313</f>
        <v>12.4616666666667</v>
      </c>
      <c r="T313" s="15" t="n">
        <f aca="false">MIN(189.6,(T312+S313))</f>
        <v>139.433157894737</v>
      </c>
      <c r="U313" s="69" t="s">
        <v>44</v>
      </c>
      <c r="V313" s="16" t="n">
        <v>886.7</v>
      </c>
      <c r="W313" s="7" t="n">
        <f aca="false">V313/D313</f>
        <v>67.6870229007634</v>
      </c>
      <c r="X313" s="7" t="n">
        <f aca="false">X312+V313</f>
        <v>198592.5</v>
      </c>
      <c r="Y313" s="7" t="n">
        <f aca="false">Y312+V313</f>
        <v>16905.7</v>
      </c>
      <c r="AA313" s="7" t="n">
        <v>16.0991266550297</v>
      </c>
    </row>
    <row r="314" s="7" customFormat="true" ht="15" hidden="false" customHeight="false" outlineLevel="0" collapsed="false">
      <c r="A314" s="68"/>
      <c r="B314" s="11"/>
      <c r="C314" s="8" t="n">
        <v>41795</v>
      </c>
      <c r="D314" s="7" t="n">
        <v>13.3</v>
      </c>
      <c r="E314" s="7" t="n">
        <v>7.5</v>
      </c>
      <c r="F314" s="7" t="n">
        <v>17.7</v>
      </c>
      <c r="G314" s="7" t="n">
        <f aca="false">G313+D314</f>
        <v>2530.3</v>
      </c>
      <c r="H314" s="7" t="n">
        <f aca="false">H313+D314</f>
        <v>191</v>
      </c>
      <c r="I314" s="7" t="n">
        <v>305.7</v>
      </c>
      <c r="J314" s="7" t="n">
        <v>0</v>
      </c>
      <c r="K314" s="7" t="n">
        <f aca="false">K313+J314</f>
        <v>613.3</v>
      </c>
      <c r="L314" s="7" t="n">
        <v>2.8</v>
      </c>
      <c r="M314" s="7" t="n">
        <f aca="false">M313+L314</f>
        <v>368.6</v>
      </c>
      <c r="N314" s="14" t="n">
        <f aca="false">J314-L314</f>
        <v>-2.8</v>
      </c>
      <c r="O314" s="7" t="n">
        <f aca="false">O313+N314</f>
        <v>161.4</v>
      </c>
      <c r="P314" s="7" t="n">
        <v>275</v>
      </c>
      <c r="Q314" s="17" t="n">
        <f aca="false">1.15+((P314-261)/57)*(0.35-1.15)</f>
        <v>0.953508771929825</v>
      </c>
      <c r="R314" s="15" t="n">
        <f aca="false">Q314*L314</f>
        <v>2.66982456140351</v>
      </c>
      <c r="S314" s="15" t="n">
        <f aca="false">J314-R314</f>
        <v>-2.66982456140351</v>
      </c>
      <c r="T314" s="15" t="n">
        <f aca="false">MIN(189.6,(T313+S314))</f>
        <v>136.763333333333</v>
      </c>
      <c r="U314" s="17" t="n">
        <f aca="false">AVERAGE(T301:T320)</f>
        <v>132.370061403509</v>
      </c>
      <c r="V314" s="7" t="n">
        <v>1859.6</v>
      </c>
      <c r="W314" s="7" t="n">
        <f aca="false">V314/D314</f>
        <v>139.81954887218</v>
      </c>
      <c r="X314" s="7" t="n">
        <f aca="false">X313+V314</f>
        <v>200452.1</v>
      </c>
      <c r="Y314" s="7" t="n">
        <f aca="false">Y313+V314</f>
        <v>18765.3</v>
      </c>
      <c r="AA314" s="7" t="n">
        <v>16.1233001180291</v>
      </c>
    </row>
    <row r="315" s="7" customFormat="true" ht="15" hidden="false" customHeight="false" outlineLevel="0" collapsed="false">
      <c r="A315" s="68"/>
      <c r="B315" s="11"/>
      <c r="C315" s="8" t="n">
        <v>41796</v>
      </c>
      <c r="D315" s="7" t="n">
        <v>18</v>
      </c>
      <c r="E315" s="7" t="n">
        <v>9.6</v>
      </c>
      <c r="F315" s="7" t="n">
        <v>23.4</v>
      </c>
      <c r="G315" s="7" t="n">
        <f aca="false">G314+D315</f>
        <v>2548.3</v>
      </c>
      <c r="H315" s="7" t="n">
        <f aca="false">H314+D315</f>
        <v>209</v>
      </c>
      <c r="J315" s="7" t="n">
        <v>0</v>
      </c>
      <c r="K315" s="7" t="n">
        <f aca="false">K314+J315</f>
        <v>613.3</v>
      </c>
      <c r="L315" s="7" t="n">
        <v>4.4</v>
      </c>
      <c r="M315" s="7" t="n">
        <f aca="false">M314+L315</f>
        <v>373</v>
      </c>
      <c r="N315" s="14" t="n">
        <f aca="false">J315-L315</f>
        <v>-4.4</v>
      </c>
      <c r="O315" s="7" t="n">
        <f aca="false">O314+N315</f>
        <v>157</v>
      </c>
      <c r="P315" s="7" t="n">
        <v>276</v>
      </c>
      <c r="Q315" s="17" t="n">
        <f aca="false">1.15+((P315-261)/57)*(0.35-1.15)</f>
        <v>0.939473684210526</v>
      </c>
      <c r="R315" s="15" t="n">
        <f aca="false">Q315*L315</f>
        <v>4.13368421052632</v>
      </c>
      <c r="S315" s="15" t="n">
        <f aca="false">J315-R315</f>
        <v>-4.13368421052632</v>
      </c>
      <c r="T315" s="15" t="n">
        <f aca="false">MIN(189.6,(T314+S315))</f>
        <v>132.629649122807</v>
      </c>
      <c r="V315" s="7" t="n">
        <v>2721.1</v>
      </c>
      <c r="W315" s="7" t="n">
        <f aca="false">V315/D315</f>
        <v>151.172222222222</v>
      </c>
      <c r="X315" s="7" t="n">
        <f aca="false">X314+V315</f>
        <v>203173.2</v>
      </c>
      <c r="Y315" s="7" t="n">
        <f aca="false">Y314+V315</f>
        <v>21486.4</v>
      </c>
      <c r="AA315" s="7" t="n">
        <v>16.1461304855085</v>
      </c>
    </row>
    <row r="316" s="7" customFormat="true" ht="15" hidden="false" customHeight="false" outlineLevel="0" collapsed="false">
      <c r="A316" s="68"/>
      <c r="B316" s="11"/>
      <c r="C316" s="8" t="n">
        <v>41797</v>
      </c>
      <c r="D316" s="7" t="n">
        <v>20.7</v>
      </c>
      <c r="E316" s="7" t="n">
        <v>15.7</v>
      </c>
      <c r="F316" s="12" t="n">
        <v>25.5</v>
      </c>
      <c r="G316" s="7" t="n">
        <f aca="false">G315+D316</f>
        <v>2569</v>
      </c>
      <c r="H316" s="7" t="n">
        <f aca="false">H315+D316</f>
        <v>229.7</v>
      </c>
      <c r="J316" s="7" t="n">
        <v>1.7</v>
      </c>
      <c r="K316" s="7" t="n">
        <f aca="false">K315+J316</f>
        <v>615</v>
      </c>
      <c r="L316" s="7" t="n">
        <v>3.6</v>
      </c>
      <c r="M316" s="7" t="n">
        <f aca="false">M315+L316</f>
        <v>376.6</v>
      </c>
      <c r="N316" s="14" t="n">
        <f aca="false">J316-L316</f>
        <v>-1.9</v>
      </c>
      <c r="O316" s="7" t="n">
        <f aca="false">O315+N316</f>
        <v>155.1</v>
      </c>
      <c r="P316" s="7" t="n">
        <v>277</v>
      </c>
      <c r="Q316" s="17" t="n">
        <f aca="false">1.15+((P316-261)/57)*(0.35-1.15)</f>
        <v>0.925438596491228</v>
      </c>
      <c r="R316" s="15" t="n">
        <f aca="false">Q316*L316</f>
        <v>3.33157894736842</v>
      </c>
      <c r="S316" s="15" t="n">
        <f aca="false">J316-R316</f>
        <v>-1.63157894736842</v>
      </c>
      <c r="T316" s="15" t="n">
        <f aca="false">MIN(189.6,(T315+S316))</f>
        <v>130.998070175439</v>
      </c>
      <c r="U316" s="15" t="n">
        <f aca="false">(U314*100)/189.6</f>
        <v>69.8154332296987</v>
      </c>
      <c r="V316" s="7" t="n">
        <v>1911.6</v>
      </c>
      <c r="W316" s="7" t="n">
        <f aca="false">V316/D316</f>
        <v>92.3478260869565</v>
      </c>
      <c r="X316" s="7" t="n">
        <f aca="false">X315+V316</f>
        <v>205084.8</v>
      </c>
      <c r="Y316" s="7" t="n">
        <f aca="false">Y315+V316</f>
        <v>23398</v>
      </c>
      <c r="AA316" s="7" t="n">
        <v>16.167595940049</v>
      </c>
    </row>
    <row r="317" s="7" customFormat="true" ht="15" hidden="false" customHeight="false" outlineLevel="0" collapsed="false">
      <c r="A317" s="68"/>
      <c r="B317" s="11"/>
      <c r="C317" s="8" t="n">
        <v>41798</v>
      </c>
      <c r="D317" s="7" t="n">
        <v>19.9</v>
      </c>
      <c r="E317" s="7" t="n">
        <v>14.5</v>
      </c>
      <c r="F317" s="12" t="n">
        <v>25.2</v>
      </c>
      <c r="G317" s="7" t="n">
        <f aca="false">G316+D317</f>
        <v>2588.9</v>
      </c>
      <c r="H317" s="7" t="n">
        <f aca="false">H316+D317</f>
        <v>249.6</v>
      </c>
      <c r="J317" s="7" t="n">
        <v>1.5</v>
      </c>
      <c r="K317" s="7" t="n">
        <f aca="false">K316+J317</f>
        <v>616.5</v>
      </c>
      <c r="L317" s="7" t="n">
        <v>3.3</v>
      </c>
      <c r="M317" s="7" t="n">
        <f aca="false">M316+L317</f>
        <v>379.9</v>
      </c>
      <c r="N317" s="14" t="n">
        <f aca="false">J317-L317</f>
        <v>-1.8</v>
      </c>
      <c r="O317" s="7" t="n">
        <f aca="false">O316+N317</f>
        <v>153.3</v>
      </c>
      <c r="P317" s="7" t="n">
        <v>278</v>
      </c>
      <c r="Q317" s="17" t="n">
        <f aca="false">1.15+((P317-261)/57)*(0.35-1.15)</f>
        <v>0.91140350877193</v>
      </c>
      <c r="R317" s="15" t="n">
        <f aca="false">Q317*L317</f>
        <v>3.00763157894737</v>
      </c>
      <c r="S317" s="15" t="n">
        <f aca="false">J317-R317</f>
        <v>-1.50763157894737</v>
      </c>
      <c r="T317" s="15" t="n">
        <f aca="false">MIN(189.6,(T316+S317))</f>
        <v>129.490438596491</v>
      </c>
      <c r="V317" s="7" t="n">
        <v>1692</v>
      </c>
      <c r="W317" s="7" t="n">
        <f aca="false">V317/D317</f>
        <v>85.0251256281407</v>
      </c>
      <c r="X317" s="7" t="n">
        <f aca="false">X316+V317</f>
        <v>206776.8</v>
      </c>
      <c r="Y317" s="7" t="n">
        <f aca="false">Y316+V317</f>
        <v>25090</v>
      </c>
      <c r="AA317" s="7" t="n">
        <v>16.1876757021374</v>
      </c>
    </row>
    <row r="318" s="7" customFormat="true" ht="15" hidden="false" customHeight="false" outlineLevel="0" collapsed="false">
      <c r="A318" s="68"/>
      <c r="B318" s="11"/>
      <c r="C318" s="8" t="n">
        <v>41799</v>
      </c>
      <c r="D318" s="7" t="n">
        <v>20.7</v>
      </c>
      <c r="E318" s="7" t="n">
        <v>17.8</v>
      </c>
      <c r="F318" s="7" t="n">
        <v>23.9</v>
      </c>
      <c r="G318" s="7" t="n">
        <f aca="false">G317+D318</f>
        <v>2609.6</v>
      </c>
      <c r="H318" s="7" t="n">
        <f aca="false">H317+D318</f>
        <v>270.3</v>
      </c>
      <c r="J318" s="7" t="n">
        <v>13</v>
      </c>
      <c r="K318" s="7" t="n">
        <f aca="false">K317+J318</f>
        <v>629.5</v>
      </c>
      <c r="L318" s="7" t="n">
        <v>2.4</v>
      </c>
      <c r="M318" s="7" t="n">
        <f aca="false">M317+L318</f>
        <v>382.3</v>
      </c>
      <c r="N318" s="7" t="n">
        <f aca="false">J318-L318</f>
        <v>10.6</v>
      </c>
      <c r="O318" s="7" t="n">
        <f aca="false">O317+N318</f>
        <v>163.9</v>
      </c>
      <c r="P318" s="7" t="n">
        <v>279</v>
      </c>
      <c r="Q318" s="17" t="n">
        <f aca="false">1.15+((P318-261)/57)*(0.35-1.15)</f>
        <v>0.897368421052632</v>
      </c>
      <c r="R318" s="15" t="n">
        <f aca="false">Q318*L318</f>
        <v>2.15368421052632</v>
      </c>
      <c r="S318" s="15" t="n">
        <f aca="false">J318-R318</f>
        <v>10.8463157894737</v>
      </c>
      <c r="T318" s="15" t="n">
        <f aca="false">MIN(189.6,(T317+S318))</f>
        <v>140.336754385965</v>
      </c>
      <c r="V318" s="7" t="n">
        <v>1173.5</v>
      </c>
      <c r="W318" s="7" t="n">
        <f aca="false">V318/D318</f>
        <v>56.6908212560386</v>
      </c>
      <c r="X318" s="7" t="n">
        <f aca="false">X317+V318</f>
        <v>207950.3</v>
      </c>
      <c r="Y318" s="7" t="n">
        <f aca="false">Y317+V318</f>
        <v>26263.5</v>
      </c>
      <c r="AA318" s="7" t="n">
        <v>16.2063501038219</v>
      </c>
    </row>
    <row r="319" s="7" customFormat="true" ht="15" hidden="false" customHeight="false" outlineLevel="0" collapsed="false">
      <c r="A319" s="68"/>
      <c r="B319" s="11"/>
      <c r="C319" s="8" t="n">
        <v>41800</v>
      </c>
      <c r="D319" s="7" t="n">
        <v>17.8</v>
      </c>
      <c r="E319" s="7" t="n">
        <v>17.5</v>
      </c>
      <c r="F319" s="7" t="n">
        <v>20.9</v>
      </c>
      <c r="G319" s="7" t="n">
        <f aca="false">G318+D319</f>
        <v>2627.4</v>
      </c>
      <c r="H319" s="7" t="n">
        <f aca="false">H318+D319</f>
        <v>288.1</v>
      </c>
      <c r="J319" s="7" t="n">
        <v>9.2</v>
      </c>
      <c r="K319" s="7" t="n">
        <f aca="false">K318+J319</f>
        <v>638.7</v>
      </c>
      <c r="L319" s="7" t="n">
        <v>2</v>
      </c>
      <c r="M319" s="7" t="n">
        <f aca="false">M318+L319</f>
        <v>384.3</v>
      </c>
      <c r="N319" s="7" t="n">
        <f aca="false">J319-L319</f>
        <v>7.2</v>
      </c>
      <c r="O319" s="7" t="n">
        <f aca="false">O318+N319</f>
        <v>171.1</v>
      </c>
      <c r="P319" s="7" t="n">
        <v>280</v>
      </c>
      <c r="Q319" s="17" t="n">
        <f aca="false">1.15+((P319-261)/57)*(0.35-1.15)</f>
        <v>0.883333333333333</v>
      </c>
      <c r="R319" s="15" t="n">
        <f aca="false">Q319*L319</f>
        <v>1.76666666666667</v>
      </c>
      <c r="S319" s="15" t="n">
        <f aca="false">J319-R319</f>
        <v>7.43333333333333</v>
      </c>
      <c r="T319" s="15" t="n">
        <f aca="false">MIN(189.6,(T318+S319))</f>
        <v>147.770087719298</v>
      </c>
      <c r="V319" s="16" t="n">
        <v>869.1</v>
      </c>
      <c r="W319" s="7" t="n">
        <f aca="false">V319/D319</f>
        <v>48.8258426966292</v>
      </c>
      <c r="X319" s="7" t="n">
        <f aca="false">X318+V319</f>
        <v>208819.4</v>
      </c>
      <c r="Y319" s="7" t="n">
        <f aca="false">Y318+V319</f>
        <v>27132.6</v>
      </c>
      <c r="AA319" s="7" t="n">
        <v>16.2236006599317</v>
      </c>
    </row>
    <row r="320" s="67" customFormat="true" ht="15" hidden="false" customHeight="false" outlineLevel="0" collapsed="false">
      <c r="A320" s="68"/>
      <c r="B320" s="20"/>
      <c r="C320" s="66" t="n">
        <v>41801</v>
      </c>
      <c r="D320" s="67" t="n">
        <v>17.6</v>
      </c>
      <c r="E320" s="67" t="n">
        <v>13</v>
      </c>
      <c r="F320" s="67" t="n">
        <v>22</v>
      </c>
      <c r="G320" s="67" t="n">
        <f aca="false">G319+D320</f>
        <v>2645</v>
      </c>
      <c r="H320" s="67" t="n">
        <f aca="false">H319+D320</f>
        <v>305.7</v>
      </c>
      <c r="J320" s="67" t="n">
        <v>0</v>
      </c>
      <c r="K320" s="67" t="n">
        <f aca="false">K319+J320</f>
        <v>638.7</v>
      </c>
      <c r="L320" s="67" t="n">
        <v>3.9</v>
      </c>
      <c r="M320" s="67" t="n">
        <f aca="false">M319+L320</f>
        <v>388.2</v>
      </c>
      <c r="N320" s="67" t="n">
        <f aca="false">J320-L320</f>
        <v>-3.9</v>
      </c>
      <c r="O320" s="23" t="n">
        <f aca="false">O319+N320</f>
        <v>167.2</v>
      </c>
      <c r="P320" s="23" t="n">
        <v>281</v>
      </c>
      <c r="Q320" s="54" t="n">
        <f aca="false">1.15+((P320-261)/57)*(0.35-1.15)</f>
        <v>0.869298245614035</v>
      </c>
      <c r="R320" s="24" t="n">
        <f aca="false">Q320*L320</f>
        <v>3.39026315789474</v>
      </c>
      <c r="S320" s="24" t="n">
        <f aca="false">J320-R320</f>
        <v>-3.39026315789474</v>
      </c>
      <c r="T320" s="24" t="n">
        <f aca="false">MIN(189.6,(T319+S320))</f>
        <v>144.379824561404</v>
      </c>
      <c r="V320" s="67" t="n">
        <v>2204.2</v>
      </c>
      <c r="W320" s="67" t="n">
        <f aca="false">V320/D320</f>
        <v>125.238636363636</v>
      </c>
      <c r="X320" s="67" t="n">
        <f aca="false">X319+V320</f>
        <v>211023.6</v>
      </c>
      <c r="Y320" s="67" t="n">
        <f aca="false">Y319+V320</f>
        <v>29336.8</v>
      </c>
      <c r="AA320" s="23" t="n">
        <v>16.2394101363499</v>
      </c>
    </row>
    <row r="321" s="7" customFormat="true" ht="15" hidden="false" customHeight="false" outlineLevel="0" collapsed="false">
      <c r="A321" s="70" t="n">
        <v>1000</v>
      </c>
      <c r="B321" s="11"/>
      <c r="C321" s="8" t="n">
        <v>41802</v>
      </c>
      <c r="D321" s="7" t="n">
        <v>17.2</v>
      </c>
      <c r="E321" s="7" t="n">
        <v>12.1</v>
      </c>
      <c r="F321" s="7" t="n">
        <v>21.8</v>
      </c>
      <c r="G321" s="7" t="n">
        <f aca="false">G320+D321</f>
        <v>2662.2</v>
      </c>
      <c r="H321" s="7" t="n">
        <v>17.2</v>
      </c>
      <c r="I321" s="71" t="s">
        <v>28</v>
      </c>
      <c r="J321" s="7" t="n">
        <v>0</v>
      </c>
      <c r="K321" s="7" t="n">
        <f aca="false">K320+J321</f>
        <v>638.7</v>
      </c>
      <c r="L321" s="7" t="n">
        <v>4.8</v>
      </c>
      <c r="M321" s="7" t="n">
        <f aca="false">M320+L321</f>
        <v>393</v>
      </c>
      <c r="N321" s="14" t="n">
        <f aca="false">J321-L321</f>
        <v>-4.8</v>
      </c>
      <c r="O321" s="7" t="n">
        <f aca="false">O320+N321</f>
        <v>162.4</v>
      </c>
      <c r="P321" s="7" t="n">
        <v>282</v>
      </c>
      <c r="Q321" s="17" t="n">
        <f aca="false">1.15+((P321-261)/57)*(0.35-1.15)</f>
        <v>0.855263157894737</v>
      </c>
      <c r="R321" s="15" t="n">
        <f aca="false">Q321*L321</f>
        <v>4.10526315789474</v>
      </c>
      <c r="S321" s="15" t="n">
        <f aca="false">J321-R321</f>
        <v>-4.10526315789474</v>
      </c>
      <c r="T321" s="15" t="n">
        <f aca="false">MIN(189.6,(T320+S321))</f>
        <v>140.274561403509</v>
      </c>
      <c r="U321" s="71" t="s">
        <v>29</v>
      </c>
      <c r="V321" s="7" t="n">
        <v>2773.3</v>
      </c>
      <c r="W321" s="7" t="n">
        <f aca="false">V321/D321</f>
        <v>161.238372093023</v>
      </c>
      <c r="X321" s="7" t="n">
        <f aca="false">X320+V321</f>
        <v>213796.9</v>
      </c>
      <c r="Y321" s="7" t="n">
        <v>2773.3</v>
      </c>
      <c r="Z321" s="71" t="s">
        <v>30</v>
      </c>
      <c r="AA321" s="7" t="n">
        <v>16.2537626148335</v>
      </c>
    </row>
    <row r="322" s="7" customFormat="true" ht="15" hidden="false" customHeight="false" outlineLevel="0" collapsed="false">
      <c r="A322" s="70"/>
      <c r="B322" s="11"/>
      <c r="C322" s="8" t="n">
        <v>41803</v>
      </c>
      <c r="D322" s="7" t="n">
        <v>17.3</v>
      </c>
      <c r="E322" s="7" t="n">
        <v>12.1</v>
      </c>
      <c r="F322" s="7" t="n">
        <v>21.9</v>
      </c>
      <c r="G322" s="7" t="n">
        <f aca="false">G321+D322</f>
        <v>2679.5</v>
      </c>
      <c r="H322" s="7" t="n">
        <f aca="false">H321+D322</f>
        <v>34.5</v>
      </c>
      <c r="I322" s="7" t="n">
        <f aca="false">MIN(E321:E345)</f>
        <v>8.6</v>
      </c>
      <c r="J322" s="7" t="n">
        <v>0.1</v>
      </c>
      <c r="K322" s="7" t="n">
        <f aca="false">K321+J322</f>
        <v>638.8</v>
      </c>
      <c r="L322" s="7" t="n">
        <v>4.5</v>
      </c>
      <c r="M322" s="7" t="n">
        <f aca="false">M321+L322</f>
        <v>397.5</v>
      </c>
      <c r="N322" s="14" t="n">
        <f aca="false">J322-L322</f>
        <v>-4.4</v>
      </c>
      <c r="O322" s="7" t="n">
        <f aca="false">O321+N322</f>
        <v>158</v>
      </c>
      <c r="P322" s="7" t="n">
        <v>283</v>
      </c>
      <c r="Q322" s="17" t="n">
        <f aca="false">1.15+((P322-261)/57)*(0.35-1.15)</f>
        <v>0.841228070175439</v>
      </c>
      <c r="R322" s="15" t="n">
        <f aca="false">Q322*L322</f>
        <v>3.78552631578947</v>
      </c>
      <c r="S322" s="15" t="n">
        <f aca="false">J322-R322</f>
        <v>-3.68552631578947</v>
      </c>
      <c r="T322" s="15" t="n">
        <f aca="false">MIN(189.6,(T321+S322))</f>
        <v>136.589035087719</v>
      </c>
      <c r="V322" s="7" t="n">
        <v>2694.6</v>
      </c>
      <c r="W322" s="7" t="n">
        <f aca="false">V322/D322</f>
        <v>155.757225433526</v>
      </c>
      <c r="X322" s="7" t="n">
        <f aca="false">X321+V322</f>
        <v>216491.5</v>
      </c>
      <c r="Y322" s="7" t="n">
        <f aca="false">Y321+V322</f>
        <v>5467.9</v>
      </c>
      <c r="Z322" s="7" t="n">
        <v>41022.1</v>
      </c>
      <c r="AA322" s="7" t="n">
        <v>16.2666435538859</v>
      </c>
    </row>
    <row r="323" s="7" customFormat="true" ht="15" hidden="false" customHeight="false" outlineLevel="0" collapsed="false">
      <c r="A323" s="70"/>
      <c r="B323" s="11"/>
      <c r="C323" s="8" t="n">
        <v>41804</v>
      </c>
      <c r="D323" s="7" t="n">
        <v>15.6</v>
      </c>
      <c r="E323" s="7" t="n">
        <v>12</v>
      </c>
      <c r="F323" s="7" t="n">
        <v>19.6</v>
      </c>
      <c r="G323" s="7" t="n">
        <f aca="false">G322+D323</f>
        <v>2695.1</v>
      </c>
      <c r="H323" s="7" t="n">
        <f aca="false">H322+D323</f>
        <v>50.1</v>
      </c>
      <c r="I323" s="71" t="s">
        <v>31</v>
      </c>
      <c r="J323" s="7" t="n">
        <v>0</v>
      </c>
      <c r="K323" s="7" t="n">
        <f aca="false">K322+J323</f>
        <v>638.8</v>
      </c>
      <c r="L323" s="7" t="n">
        <v>3.1</v>
      </c>
      <c r="M323" s="7" t="n">
        <f aca="false">M322+L323</f>
        <v>400.6</v>
      </c>
      <c r="N323" s="14" t="n">
        <f aca="false">J323-L323</f>
        <v>-3.1</v>
      </c>
      <c r="O323" s="7" t="n">
        <f aca="false">O322+N323</f>
        <v>154.9</v>
      </c>
      <c r="P323" s="7" t="n">
        <v>284</v>
      </c>
      <c r="Q323" s="17" t="n">
        <f aca="false">1.15+((P323-261)/57)*(0.35-1.15)</f>
        <v>0.82719298245614</v>
      </c>
      <c r="R323" s="15" t="n">
        <f aca="false">Q323*L323</f>
        <v>2.56429824561404</v>
      </c>
      <c r="S323" s="15" t="n">
        <f aca="false">J323-R323</f>
        <v>-2.56429824561404</v>
      </c>
      <c r="T323" s="15" t="n">
        <f aca="false">MIN(189.6,(T322+S323))</f>
        <v>134.024736842105</v>
      </c>
      <c r="U323" s="71" t="s">
        <v>32</v>
      </c>
      <c r="V323" s="7" t="n">
        <v>1622.6</v>
      </c>
      <c r="W323" s="7" t="n">
        <f aca="false">V323/D323</f>
        <v>104.012820512821</v>
      </c>
      <c r="X323" s="7" t="n">
        <f aca="false">X322+V323</f>
        <v>218114.1</v>
      </c>
      <c r="Y323" s="7" t="n">
        <f aca="false">Y322+V323</f>
        <v>7090.5</v>
      </c>
      <c r="Z323" s="71" t="s">
        <v>33</v>
      </c>
      <c r="AA323" s="7" t="n">
        <v>16.2780398452072</v>
      </c>
    </row>
    <row r="324" s="7" customFormat="true" ht="15" hidden="false" customHeight="false" outlineLevel="0" collapsed="false">
      <c r="A324" s="70"/>
      <c r="B324" s="11"/>
      <c r="C324" s="8" t="n">
        <v>41805</v>
      </c>
      <c r="D324" s="7" t="n">
        <v>14.5</v>
      </c>
      <c r="E324" s="7" t="n">
        <v>10.8</v>
      </c>
      <c r="F324" s="7" t="n">
        <v>17.8</v>
      </c>
      <c r="G324" s="7" t="n">
        <f aca="false">G323+D324</f>
        <v>2709.6</v>
      </c>
      <c r="H324" s="7" t="n">
        <f aca="false">H323+D324</f>
        <v>64.6</v>
      </c>
      <c r="I324" s="7" t="n">
        <v>25.9</v>
      </c>
      <c r="J324" s="7" t="n">
        <v>0</v>
      </c>
      <c r="K324" s="7" t="n">
        <f aca="false">K323+J324</f>
        <v>638.8</v>
      </c>
      <c r="L324" s="7" t="n">
        <v>2.7</v>
      </c>
      <c r="M324" s="7" t="n">
        <f aca="false">M323+L324</f>
        <v>403.3</v>
      </c>
      <c r="N324" s="14" t="n">
        <f aca="false">J324-L324</f>
        <v>-2.7</v>
      </c>
      <c r="O324" s="7" t="n">
        <f aca="false">O323+N324</f>
        <v>152.2</v>
      </c>
      <c r="P324" s="7" t="n">
        <v>285</v>
      </c>
      <c r="Q324" s="17" t="n">
        <f aca="false">1.15+((P324-261)/57)*(0.35-1.15)</f>
        <v>0.813157894736842</v>
      </c>
      <c r="R324" s="15" t="n">
        <f aca="false">Q324*L324</f>
        <v>2.19552631578947</v>
      </c>
      <c r="S324" s="15" t="n">
        <f aca="false">J324-R324</f>
        <v>-2.19552631578947</v>
      </c>
      <c r="T324" s="15" t="n">
        <f aca="false">MIN(189.6,(T323+S324))</f>
        <v>131.829210526316</v>
      </c>
      <c r="V324" s="7" t="n">
        <v>1629.8</v>
      </c>
      <c r="W324" s="7" t="n">
        <f aca="false">V324/D324</f>
        <v>112.4</v>
      </c>
      <c r="X324" s="7" t="n">
        <f aca="false">X323+V324</f>
        <v>219743.9</v>
      </c>
      <c r="Y324" s="7" t="n">
        <f aca="false">Y323+V324</f>
        <v>8720.3</v>
      </c>
      <c r="Z324" s="17" t="n">
        <f aca="false">(Z322/100)/I334</f>
        <v>1.00396720509055</v>
      </c>
      <c r="AA324" s="7" t="n">
        <v>16.2879398652712</v>
      </c>
    </row>
    <row r="325" s="7" customFormat="true" ht="15" hidden="false" customHeight="false" outlineLevel="0" collapsed="false">
      <c r="A325" s="70"/>
      <c r="B325" s="11"/>
      <c r="C325" s="8" t="n">
        <v>41806</v>
      </c>
      <c r="D325" s="7" t="n">
        <v>13.9</v>
      </c>
      <c r="E325" s="7" t="n">
        <v>10.1</v>
      </c>
      <c r="F325" s="7" t="n">
        <v>16.6</v>
      </c>
      <c r="G325" s="7" t="n">
        <f aca="false">G324+D325</f>
        <v>2723.5</v>
      </c>
      <c r="H325" s="7" t="n">
        <f aca="false">H324+D325</f>
        <v>78.5</v>
      </c>
      <c r="I325" s="71" t="s">
        <v>34</v>
      </c>
      <c r="J325" s="7" t="n">
        <v>0</v>
      </c>
      <c r="K325" s="7" t="n">
        <f aca="false">K324+J325</f>
        <v>638.8</v>
      </c>
      <c r="L325" s="7" t="n">
        <v>2.5</v>
      </c>
      <c r="M325" s="7" t="n">
        <f aca="false">M324+L325</f>
        <v>405.8</v>
      </c>
      <c r="N325" s="14" t="n">
        <f aca="false">J325-L325</f>
        <v>-2.5</v>
      </c>
      <c r="O325" s="7" t="n">
        <f aca="false">O324+N325</f>
        <v>149.7</v>
      </c>
      <c r="P325" s="7" t="n">
        <v>286</v>
      </c>
      <c r="Q325" s="17" t="n">
        <f aca="false">1.15+((P325-261)/57)*(0.35-1.15)</f>
        <v>0.799122807017544</v>
      </c>
      <c r="R325" s="15" t="n">
        <f aca="false">Q325*L325</f>
        <v>1.99780701754386</v>
      </c>
      <c r="S325" s="15" t="n">
        <f aca="false">J325-R325</f>
        <v>-1.99780701754386</v>
      </c>
      <c r="T325" s="15" t="n">
        <f aca="false">MIN(189.6,(T324+S325))</f>
        <v>129.831403508772</v>
      </c>
      <c r="U325" s="71" t="s">
        <v>35</v>
      </c>
      <c r="V325" s="7" t="n">
        <v>1597.1</v>
      </c>
      <c r="W325" s="7" t="n">
        <f aca="false">V325/D325</f>
        <v>114.89928057554</v>
      </c>
      <c r="X325" s="7" t="n">
        <f aca="false">X324+V325</f>
        <v>221341</v>
      </c>
      <c r="Y325" s="7" t="n">
        <f aca="false">Y324+V325</f>
        <v>10317.4</v>
      </c>
      <c r="Z325" s="71" t="s">
        <v>36</v>
      </c>
      <c r="AA325" s="7" t="n">
        <v>16.2963335216077</v>
      </c>
    </row>
    <row r="326" s="7" customFormat="true" ht="15" hidden="false" customHeight="false" outlineLevel="0" collapsed="false">
      <c r="A326" s="70"/>
      <c r="B326" s="11"/>
      <c r="C326" s="8" t="n">
        <v>41807</v>
      </c>
      <c r="D326" s="7" t="n">
        <v>14.3</v>
      </c>
      <c r="E326" s="7" t="n">
        <v>11.7</v>
      </c>
      <c r="F326" s="7" t="n">
        <v>16.9</v>
      </c>
      <c r="G326" s="7" t="n">
        <f aca="false">G325+D326</f>
        <v>2737.8</v>
      </c>
      <c r="H326" s="7" t="n">
        <f aca="false">H325+D326</f>
        <v>92.8</v>
      </c>
      <c r="I326" s="15" t="n">
        <f aca="false">AVERAGE(D321:D345)</f>
        <v>16.344</v>
      </c>
      <c r="J326" s="7" t="n">
        <v>0</v>
      </c>
      <c r="K326" s="7" t="n">
        <f aca="false">K325+J326</f>
        <v>638.8</v>
      </c>
      <c r="L326" s="7" t="n">
        <v>2.1</v>
      </c>
      <c r="M326" s="7" t="n">
        <f aca="false">M325+L326</f>
        <v>407.9</v>
      </c>
      <c r="N326" s="14" t="n">
        <f aca="false">J326-L326</f>
        <v>-2.1</v>
      </c>
      <c r="O326" s="7" t="n">
        <f aca="false">O325+N326</f>
        <v>147.6</v>
      </c>
      <c r="P326" s="7" t="n">
        <v>287</v>
      </c>
      <c r="Q326" s="17" t="n">
        <f aca="false">1.15+((P326-261)/57)*(0.35-1.15)</f>
        <v>0.785087719298246</v>
      </c>
      <c r="R326" s="15" t="n">
        <f aca="false">Q326*L326</f>
        <v>1.64868421052632</v>
      </c>
      <c r="S326" s="15" t="n">
        <f aca="false">J326-R326</f>
        <v>-1.64868421052632</v>
      </c>
      <c r="T326" s="15" t="n">
        <f aca="false">MIN(189.6,(T325+S326))</f>
        <v>128.182719298246</v>
      </c>
      <c r="U326" s="7" t="n">
        <v>0</v>
      </c>
      <c r="V326" s="7" t="n">
        <v>936</v>
      </c>
      <c r="W326" s="7" t="n">
        <f aca="false">V326/D326</f>
        <v>65.4545454545455</v>
      </c>
      <c r="X326" s="7" t="n">
        <f aca="false">X325+V326</f>
        <v>222277</v>
      </c>
      <c r="Y326" s="7" t="n">
        <f aca="false">Y325+V326</f>
        <v>11253.4</v>
      </c>
      <c r="Z326" s="7" t="n">
        <v>4</v>
      </c>
      <c r="AA326" s="7" t="n">
        <v>16.3032122934073</v>
      </c>
    </row>
    <row r="327" s="7" customFormat="true" ht="15" hidden="false" customHeight="false" outlineLevel="0" collapsed="false">
      <c r="A327" s="70"/>
      <c r="B327" s="11"/>
      <c r="C327" s="8" t="n">
        <v>41808</v>
      </c>
      <c r="D327" s="7" t="n">
        <v>15.6</v>
      </c>
      <c r="E327" s="7" t="n">
        <v>11.2</v>
      </c>
      <c r="F327" s="7" t="n">
        <v>19.8</v>
      </c>
      <c r="G327" s="7" t="n">
        <f aca="false">G326+D327</f>
        <v>2753.4</v>
      </c>
      <c r="H327" s="7" t="n">
        <f aca="false">H326+D327</f>
        <v>108.4</v>
      </c>
      <c r="I327" s="71" t="s">
        <v>37</v>
      </c>
      <c r="J327" s="7" t="n">
        <v>0</v>
      </c>
      <c r="K327" s="7" t="n">
        <f aca="false">K326+J327</f>
        <v>638.8</v>
      </c>
      <c r="L327" s="7" t="n">
        <v>3.5</v>
      </c>
      <c r="M327" s="7" t="n">
        <f aca="false">M326+L327</f>
        <v>411.4</v>
      </c>
      <c r="N327" s="14" t="n">
        <f aca="false">J327-L327</f>
        <v>-3.5</v>
      </c>
      <c r="O327" s="7" t="n">
        <f aca="false">O326+N327</f>
        <v>144.1</v>
      </c>
      <c r="P327" s="7" t="n">
        <v>288</v>
      </c>
      <c r="Q327" s="17" t="n">
        <f aca="false">1.15+((P327-261)/57)*(0.35-1.15)</f>
        <v>0.771052631578947</v>
      </c>
      <c r="R327" s="15" t="n">
        <f aca="false">Q327*L327</f>
        <v>2.69868421052632</v>
      </c>
      <c r="S327" s="15" t="n">
        <f aca="false">J327-R327</f>
        <v>-2.69868421052632</v>
      </c>
      <c r="T327" s="15" t="n">
        <f aca="false">MIN(189.6,(T326+S327))</f>
        <v>125.484035087719</v>
      </c>
      <c r="U327" s="71" t="s">
        <v>38</v>
      </c>
      <c r="V327" s="7" t="n">
        <v>2125.3</v>
      </c>
      <c r="W327" s="7" t="n">
        <f aca="false">V327/D327</f>
        <v>136.23717948718</v>
      </c>
      <c r="X327" s="7" t="n">
        <f aca="false">X326+V327</f>
        <v>224402.3</v>
      </c>
      <c r="Y327" s="7" t="n">
        <f aca="false">Y326+V327</f>
        <v>13378.7</v>
      </c>
      <c r="AA327" s="7" t="n">
        <v>16.3085692661064</v>
      </c>
    </row>
    <row r="328" s="7" customFormat="true" ht="15" hidden="false" customHeight="false" outlineLevel="0" collapsed="false">
      <c r="A328" s="70"/>
      <c r="B328" s="11"/>
      <c r="C328" s="8" t="n">
        <v>41809</v>
      </c>
      <c r="D328" s="7" t="n">
        <v>15.7</v>
      </c>
      <c r="E328" s="7" t="n">
        <v>11</v>
      </c>
      <c r="F328" s="7" t="n">
        <v>19.8</v>
      </c>
      <c r="G328" s="7" t="n">
        <f aca="false">G327+D328</f>
        <v>2769.1</v>
      </c>
      <c r="H328" s="7" t="n">
        <f aca="false">H327+D328</f>
        <v>124.1</v>
      </c>
      <c r="I328" s="7" t="n">
        <v>0</v>
      </c>
      <c r="J328" s="7" t="n">
        <v>0</v>
      </c>
      <c r="K328" s="7" t="n">
        <f aca="false">K327+J328</f>
        <v>638.8</v>
      </c>
      <c r="L328" s="7" t="n">
        <v>2.2</v>
      </c>
      <c r="M328" s="7" t="n">
        <f aca="false">M327+L328</f>
        <v>413.6</v>
      </c>
      <c r="N328" s="14" t="n">
        <f aca="false">J328-L328</f>
        <v>-2.2</v>
      </c>
      <c r="O328" s="7" t="n">
        <f aca="false">O327+N328</f>
        <v>141.9</v>
      </c>
      <c r="P328" s="7" t="n">
        <v>289</v>
      </c>
      <c r="Q328" s="17" t="n">
        <f aca="false">1.15+((P328-261)/57)*(0.35-1.15)</f>
        <v>0.757017543859649</v>
      </c>
      <c r="R328" s="15" t="n">
        <f aca="false">Q328*L328</f>
        <v>1.66543859649123</v>
      </c>
      <c r="S328" s="15" t="n">
        <f aca="false">J328-R328</f>
        <v>-1.66543859649123</v>
      </c>
      <c r="T328" s="15" t="n">
        <f aca="false">MIN(189.6,(T327+S328))</f>
        <v>123.818596491228</v>
      </c>
      <c r="U328" s="7" t="n">
        <v>0</v>
      </c>
      <c r="V328" s="7" t="n">
        <v>1238.8</v>
      </c>
      <c r="W328" s="7" t="n">
        <f aca="false">V328/D328</f>
        <v>78.9044585987261</v>
      </c>
      <c r="X328" s="7" t="n">
        <f aca="false">X327+V328</f>
        <v>225641.1</v>
      </c>
      <c r="Y328" s="7" t="n">
        <f aca="false">Y327+V328</f>
        <v>14617.5</v>
      </c>
      <c r="AA328" s="7" t="n">
        <v>16.3123991596558</v>
      </c>
    </row>
    <row r="329" s="7" customFormat="true" ht="15" hidden="false" customHeight="false" outlineLevel="0" collapsed="false">
      <c r="A329" s="70"/>
      <c r="B329" s="11"/>
      <c r="C329" s="8" t="n">
        <v>41810</v>
      </c>
      <c r="D329" s="7" t="n">
        <v>14.5</v>
      </c>
      <c r="E329" s="7" t="n">
        <v>12.8</v>
      </c>
      <c r="F329" s="7" t="n">
        <v>17.9</v>
      </c>
      <c r="G329" s="7" t="n">
        <f aca="false">G328+D329</f>
        <v>2783.6</v>
      </c>
      <c r="H329" s="7" t="n">
        <f aca="false">H328+D329</f>
        <v>138.6</v>
      </c>
      <c r="I329" s="71" t="s">
        <v>39</v>
      </c>
      <c r="J329" s="7" t="n">
        <v>0</v>
      </c>
      <c r="K329" s="7" t="n">
        <f aca="false">K328+J329</f>
        <v>638.8</v>
      </c>
      <c r="L329" s="7" t="n">
        <v>2.2</v>
      </c>
      <c r="M329" s="7" t="n">
        <f aca="false">M328+L329</f>
        <v>415.8</v>
      </c>
      <c r="N329" s="14" t="n">
        <f aca="false">J329-L329</f>
        <v>-2.2</v>
      </c>
      <c r="O329" s="7" t="n">
        <f aca="false">O328+N329</f>
        <v>139.7</v>
      </c>
      <c r="P329" s="7" t="n">
        <v>290</v>
      </c>
      <c r="Q329" s="17" t="n">
        <f aca="false">1.15+((P329-261)/57)*(0.35-1.15)</f>
        <v>0.742982456140351</v>
      </c>
      <c r="R329" s="15" t="n">
        <f aca="false">Q329*L329</f>
        <v>1.63456140350877</v>
      </c>
      <c r="S329" s="15" t="n">
        <f aca="false">J329-R329</f>
        <v>-1.63456140350877</v>
      </c>
      <c r="T329" s="15" t="n">
        <f aca="false">MIN(189.6,(T328+S329))</f>
        <v>122.184035087719</v>
      </c>
      <c r="U329" s="71" t="s">
        <v>40</v>
      </c>
      <c r="V329" s="7" t="n">
        <v>1109.6</v>
      </c>
      <c r="W329" s="7" t="n">
        <f aca="false">V329/D329</f>
        <v>76.5241379310345</v>
      </c>
      <c r="X329" s="7" t="n">
        <f aca="false">X328+V329</f>
        <v>226750.7</v>
      </c>
      <c r="Y329" s="7" t="n">
        <f aca="false">Y328+V329</f>
        <v>15727.1</v>
      </c>
      <c r="AA329" s="7" t="n">
        <v>16.3146983502313</v>
      </c>
    </row>
    <row r="330" s="7" customFormat="true" ht="15" hidden="false" customHeight="false" outlineLevel="0" collapsed="false">
      <c r="A330" s="70"/>
      <c r="B330" s="11"/>
      <c r="C330" s="8" t="n">
        <v>41811</v>
      </c>
      <c r="D330" s="7" t="n">
        <v>16</v>
      </c>
      <c r="E330" s="7" t="n">
        <v>8.6</v>
      </c>
      <c r="F330" s="7" t="n">
        <v>21.1</v>
      </c>
      <c r="G330" s="7" t="n">
        <f aca="false">G329+D330</f>
        <v>2799.6</v>
      </c>
      <c r="H330" s="7" t="n">
        <f aca="false">H329+D330</f>
        <v>154.6</v>
      </c>
      <c r="I330" s="7" t="n">
        <v>1</v>
      </c>
      <c r="J330" s="7" t="n">
        <v>0</v>
      </c>
      <c r="K330" s="7" t="n">
        <f aca="false">K329+J330</f>
        <v>638.8</v>
      </c>
      <c r="L330" s="7" t="n">
        <v>3.6</v>
      </c>
      <c r="M330" s="7" t="n">
        <f aca="false">M329+L330</f>
        <v>419.4</v>
      </c>
      <c r="N330" s="14" t="n">
        <f aca="false">J330-L330</f>
        <v>-3.6</v>
      </c>
      <c r="O330" s="7" t="n">
        <f aca="false">O329+N330</f>
        <v>136.1</v>
      </c>
      <c r="P330" s="7" t="n">
        <v>291</v>
      </c>
      <c r="Q330" s="17" t="n">
        <f aca="false">1.15+((P330-261)/57)*(0.35-1.15)</f>
        <v>0.728947368421053</v>
      </c>
      <c r="R330" s="15" t="n">
        <f aca="false">Q330*L330</f>
        <v>2.62421052631579</v>
      </c>
      <c r="S330" s="15" t="n">
        <f aca="false">J330-R330</f>
        <v>-2.62421052631579</v>
      </c>
      <c r="T330" s="15" t="n">
        <f aca="false">MIN(189.6,(T329+S330))</f>
        <v>119.559824561404</v>
      </c>
      <c r="U330" s="15" t="n">
        <f aca="false">MIN(T321:T345)</f>
        <v>106.364473684211</v>
      </c>
      <c r="V330" s="7" t="n">
        <v>2130.1</v>
      </c>
      <c r="W330" s="7" t="n">
        <f aca="false">V330/D330</f>
        <v>133.13125</v>
      </c>
      <c r="X330" s="7" t="n">
        <f aca="false">X329+V330</f>
        <v>228880.8</v>
      </c>
      <c r="Y330" s="7" t="n">
        <f aca="false">Y329+V330</f>
        <v>17857.2</v>
      </c>
      <c r="AA330" s="7" t="n">
        <v>16.315464885196</v>
      </c>
    </row>
    <row r="331" s="7" customFormat="true" ht="15" hidden="false" customHeight="false" outlineLevel="0" collapsed="false">
      <c r="A331" s="70"/>
      <c r="B331" s="11"/>
      <c r="C331" s="8" t="n">
        <v>41812</v>
      </c>
      <c r="D331" s="7" t="n">
        <v>17.9</v>
      </c>
      <c r="E331" s="7" t="n">
        <v>10.7</v>
      </c>
      <c r="F331" s="7" t="n">
        <v>22.9</v>
      </c>
      <c r="G331" s="7" t="n">
        <f aca="false">G330+D331</f>
        <v>2817.5</v>
      </c>
      <c r="H331" s="7" t="n">
        <f aca="false">H330+D331</f>
        <v>172.5</v>
      </c>
      <c r="I331" s="71" t="s">
        <v>41</v>
      </c>
      <c r="J331" s="7" t="n">
        <v>0</v>
      </c>
      <c r="K331" s="7" t="n">
        <f aca="false">K330+J331</f>
        <v>638.8</v>
      </c>
      <c r="L331" s="7" t="n">
        <v>4</v>
      </c>
      <c r="M331" s="7" t="n">
        <f aca="false">M330+L331</f>
        <v>423.4</v>
      </c>
      <c r="N331" s="14" t="n">
        <f aca="false">J331-L331</f>
        <v>-4</v>
      </c>
      <c r="O331" s="7" t="n">
        <f aca="false">O330+N331</f>
        <v>132.1</v>
      </c>
      <c r="P331" s="7" t="n">
        <v>292</v>
      </c>
      <c r="Q331" s="17" t="n">
        <f aca="false">1.15+((P331-261)/57)*(0.35-1.15)</f>
        <v>0.714912280701754</v>
      </c>
      <c r="R331" s="15" t="n">
        <f aca="false">Q331*L331</f>
        <v>2.85964912280702</v>
      </c>
      <c r="S331" s="15" t="n">
        <f aca="false">J331-R331</f>
        <v>-2.85964912280702</v>
      </c>
      <c r="T331" s="15" t="n">
        <f aca="false">MIN(189.6,(T330+S331))</f>
        <v>116.700175438597</v>
      </c>
      <c r="U331" s="71" t="s">
        <v>42</v>
      </c>
      <c r="V331" s="7" t="n">
        <v>2409.9</v>
      </c>
      <c r="W331" s="7" t="n">
        <f aca="false">V331/D331</f>
        <v>134.631284916201</v>
      </c>
      <c r="X331" s="7" t="n">
        <f aca="false">X330+V331</f>
        <v>231290.7</v>
      </c>
      <c r="Y331" s="7" t="n">
        <f aca="false">Y330+V331</f>
        <v>20267.1</v>
      </c>
      <c r="AA331" s="7" t="n">
        <v>16.3146984911828</v>
      </c>
    </row>
    <row r="332" s="7" customFormat="true" ht="15" hidden="false" customHeight="false" outlineLevel="0" collapsed="false">
      <c r="A332" s="70"/>
      <c r="B332" s="11"/>
      <c r="C332" s="8" t="n">
        <v>41813</v>
      </c>
      <c r="D332" s="7" t="n">
        <v>17.4</v>
      </c>
      <c r="E332" s="7" t="n">
        <v>13.7</v>
      </c>
      <c r="F332" s="7" t="n">
        <v>22.1</v>
      </c>
      <c r="G332" s="7" t="n">
        <f aca="false">G331+D332</f>
        <v>2834.9</v>
      </c>
      <c r="H332" s="7" t="n">
        <f aca="false">H331+D332</f>
        <v>189.9</v>
      </c>
      <c r="I332" s="7" t="n">
        <v>0</v>
      </c>
      <c r="J332" s="7" t="n">
        <v>0</v>
      </c>
      <c r="K332" s="7" t="n">
        <f aca="false">K331+J332</f>
        <v>638.8</v>
      </c>
      <c r="L332" s="7" t="n">
        <v>4.7</v>
      </c>
      <c r="M332" s="7" t="n">
        <f aca="false">M331+L332</f>
        <v>428.1</v>
      </c>
      <c r="N332" s="14" t="n">
        <f aca="false">J332-L332</f>
        <v>-4.7</v>
      </c>
      <c r="O332" s="7" t="n">
        <f aca="false">O331+N332</f>
        <v>127.4</v>
      </c>
      <c r="P332" s="7" t="n">
        <v>293</v>
      </c>
      <c r="Q332" s="17" t="n">
        <f aca="false">1.15+((P332-261)/57)*(0.35-1.15)</f>
        <v>0.700877192982456</v>
      </c>
      <c r="R332" s="15" t="n">
        <f aca="false">Q332*L332</f>
        <v>3.29412280701754</v>
      </c>
      <c r="S332" s="15" t="n">
        <f aca="false">J332-R332</f>
        <v>-3.29412280701754</v>
      </c>
      <c r="T332" s="15" t="n">
        <f aca="false">MIN(189.6,(T331+S332))</f>
        <v>113.406052631579</v>
      </c>
      <c r="U332" s="15" t="n">
        <f aca="false">MAX(T321:T345)</f>
        <v>140.274561403509</v>
      </c>
      <c r="V332" s="7" t="n">
        <v>2359.9</v>
      </c>
      <c r="W332" s="7" t="n">
        <f aca="false">V332/D332</f>
        <v>135.626436781609</v>
      </c>
      <c r="X332" s="7" t="n">
        <f aca="false">X331+V332</f>
        <v>233650.6</v>
      </c>
      <c r="Y332" s="7" t="n">
        <f aca="false">Y331+V332</f>
        <v>22627</v>
      </c>
      <c r="AA332" s="7" t="n">
        <v>16.3124005752277</v>
      </c>
    </row>
    <row r="333" s="7" customFormat="true" ht="15" hidden="false" customHeight="false" outlineLevel="0" collapsed="false">
      <c r="A333" s="70"/>
      <c r="B333" s="11"/>
      <c r="C333" s="8" t="n">
        <v>41814</v>
      </c>
      <c r="D333" s="7" t="n">
        <v>17.9</v>
      </c>
      <c r="E333" s="7" t="n">
        <v>11.2</v>
      </c>
      <c r="F333" s="7" t="n">
        <v>23.7</v>
      </c>
      <c r="G333" s="7" t="n">
        <f aca="false">G332+D333</f>
        <v>2852.8</v>
      </c>
      <c r="H333" s="7" t="n">
        <f aca="false">H332+D333</f>
        <v>207.8</v>
      </c>
      <c r="I333" s="71" t="s">
        <v>43</v>
      </c>
      <c r="J333" s="7" t="n">
        <v>0.1</v>
      </c>
      <c r="K333" s="7" t="n">
        <f aca="false">K332+J333</f>
        <v>638.9</v>
      </c>
      <c r="L333" s="7" t="n">
        <v>3.7</v>
      </c>
      <c r="M333" s="7" t="n">
        <f aca="false">M332+L333</f>
        <v>431.8</v>
      </c>
      <c r="N333" s="14" t="n">
        <f aca="false">J333-L333</f>
        <v>-3.6</v>
      </c>
      <c r="O333" s="7" t="n">
        <f aca="false">O332+N333</f>
        <v>123.8</v>
      </c>
      <c r="P333" s="7" t="n">
        <v>294</v>
      </c>
      <c r="Q333" s="17" t="n">
        <f aca="false">1.15+((P333-261)/57)*(0.35-1.15)</f>
        <v>0.686842105263158</v>
      </c>
      <c r="R333" s="15" t="n">
        <f aca="false">Q333*L333</f>
        <v>2.54131578947368</v>
      </c>
      <c r="S333" s="15" t="n">
        <f aca="false">J333-R333</f>
        <v>-2.44131578947368</v>
      </c>
      <c r="T333" s="15" t="n">
        <f aca="false">MIN(189.6,(T332+S333))</f>
        <v>110.964736842105</v>
      </c>
      <c r="U333" s="71" t="s">
        <v>44</v>
      </c>
      <c r="V333" s="7" t="n">
        <v>1980.4</v>
      </c>
      <c r="W333" s="7" t="n">
        <f aca="false">V333/D333</f>
        <v>110.63687150838</v>
      </c>
      <c r="X333" s="7" t="n">
        <f aca="false">X332+V333</f>
        <v>235631</v>
      </c>
      <c r="Y333" s="7" t="n">
        <f aca="false">Y332+V333</f>
        <v>24607.4</v>
      </c>
      <c r="AA333" s="7" t="n">
        <v>16.3085742189409</v>
      </c>
    </row>
    <row r="334" s="7" customFormat="true" ht="15" hidden="false" customHeight="false" outlineLevel="0" collapsed="false">
      <c r="A334" s="70"/>
      <c r="B334" s="11"/>
      <c r="C334" s="8" t="n">
        <v>41815</v>
      </c>
      <c r="D334" s="7" t="n">
        <v>15.9</v>
      </c>
      <c r="E334" s="7" t="n">
        <v>14.2</v>
      </c>
      <c r="F334" s="7" t="n">
        <v>19.2</v>
      </c>
      <c r="G334" s="7" t="n">
        <f aca="false">G333+D334</f>
        <v>2868.7</v>
      </c>
      <c r="H334" s="7" t="n">
        <f aca="false">H333+D334</f>
        <v>223.7</v>
      </c>
      <c r="I334" s="7" t="n">
        <v>408.6</v>
      </c>
      <c r="J334" s="7" t="n">
        <v>0</v>
      </c>
      <c r="K334" s="7" t="n">
        <f aca="false">K333+J334</f>
        <v>638.9</v>
      </c>
      <c r="L334" s="7" t="n">
        <v>3.9</v>
      </c>
      <c r="M334" s="7" t="n">
        <f aca="false">M333+L334</f>
        <v>435.7</v>
      </c>
      <c r="N334" s="14" t="n">
        <f aca="false">J334-L334</f>
        <v>-3.9</v>
      </c>
      <c r="O334" s="7" t="n">
        <f aca="false">O333+N334</f>
        <v>119.9</v>
      </c>
      <c r="P334" s="7" t="n">
        <v>295</v>
      </c>
      <c r="Q334" s="17" t="n">
        <f aca="false">1.15+((P334-261)/57)*(0.35-1.15)</f>
        <v>0.67280701754386</v>
      </c>
      <c r="R334" s="15" t="n">
        <f aca="false">Q334*L334</f>
        <v>2.62394736842105</v>
      </c>
      <c r="S334" s="15" t="n">
        <f aca="false">J334-R334</f>
        <v>-2.62394736842105</v>
      </c>
      <c r="T334" s="15" t="n">
        <f aca="false">MIN(189.6,(T333+S334))</f>
        <v>108.340789473684</v>
      </c>
      <c r="U334" s="17" t="n">
        <f aca="false">AVERAGE(T321:T345)</f>
        <v>123.16730877193</v>
      </c>
      <c r="V334" s="7" t="n">
        <v>1873.7</v>
      </c>
      <c r="W334" s="7" t="n">
        <f aca="false">V334/D334</f>
        <v>117.842767295597</v>
      </c>
      <c r="X334" s="7" t="n">
        <f aca="false">X333+V334</f>
        <v>237504.7</v>
      </c>
      <c r="Y334" s="7" t="n">
        <f aca="false">Y333+V334</f>
        <v>26481.1</v>
      </c>
      <c r="AA334" s="7" t="n">
        <v>16.3032241657692</v>
      </c>
    </row>
    <row r="335" s="7" customFormat="true" ht="15" hidden="false" customHeight="false" outlineLevel="0" collapsed="false">
      <c r="A335" s="70"/>
      <c r="B335" s="11"/>
      <c r="C335" s="8" t="n">
        <v>41816</v>
      </c>
      <c r="D335" s="7" t="n">
        <v>17.1</v>
      </c>
      <c r="E335" s="7" t="n">
        <v>9.5</v>
      </c>
      <c r="F335" s="7" t="n">
        <v>22.5</v>
      </c>
      <c r="G335" s="7" t="n">
        <f aca="false">G334+D335</f>
        <v>2885.8</v>
      </c>
      <c r="H335" s="7" t="n">
        <f aca="false">H334+D335</f>
        <v>240.8</v>
      </c>
      <c r="J335" s="7" t="n">
        <v>0</v>
      </c>
      <c r="K335" s="7" t="n">
        <f aca="false">K334+J335</f>
        <v>638.9</v>
      </c>
      <c r="L335" s="7" t="n">
        <v>3</v>
      </c>
      <c r="M335" s="7" t="n">
        <f aca="false">M334+L335</f>
        <v>438.7</v>
      </c>
      <c r="N335" s="14" t="n">
        <f aca="false">J335-L335</f>
        <v>-3</v>
      </c>
      <c r="O335" s="7" t="n">
        <f aca="false">O334+N335</f>
        <v>116.9</v>
      </c>
      <c r="P335" s="7" t="n">
        <v>296</v>
      </c>
      <c r="Q335" s="17" t="n">
        <f aca="false">1.15+((P335-261)/57)*(0.35-1.15)</f>
        <v>0.658771929824561</v>
      </c>
      <c r="R335" s="15" t="n">
        <f aca="false">Q335*L335</f>
        <v>1.97631578947368</v>
      </c>
      <c r="S335" s="15" t="n">
        <f aca="false">J335-R335</f>
        <v>-1.97631578947368</v>
      </c>
      <c r="T335" s="15" t="n">
        <f aca="false">MIN(189.6,(T334+S335))</f>
        <v>106.364473684211</v>
      </c>
      <c r="V335" s="7" t="n">
        <v>1705.8</v>
      </c>
      <c r="W335" s="7" t="n">
        <f aca="false">V335/D335</f>
        <v>99.7543859649123</v>
      </c>
      <c r="X335" s="7" t="n">
        <f aca="false">X334+V335</f>
        <v>239210.5</v>
      </c>
      <c r="Y335" s="7" t="n">
        <f aca="false">Y334+V335</f>
        <v>28186.9</v>
      </c>
      <c r="AA335" s="7" t="n">
        <v>16.2963568014584</v>
      </c>
    </row>
    <row r="336" s="7" customFormat="true" ht="15" hidden="false" customHeight="false" outlineLevel="0" collapsed="false">
      <c r="A336" s="70"/>
      <c r="B336" s="11"/>
      <c r="C336" s="8" t="n">
        <v>41817</v>
      </c>
      <c r="D336" s="7" t="n">
        <v>17.5</v>
      </c>
      <c r="E336" s="7" t="n">
        <v>15.1</v>
      </c>
      <c r="F336" s="7" t="n">
        <v>21.9</v>
      </c>
      <c r="G336" s="7" t="n">
        <f aca="false">G335+D336</f>
        <v>2903.3</v>
      </c>
      <c r="H336" s="7" t="n">
        <f aca="false">H335+D336</f>
        <v>258.3</v>
      </c>
      <c r="J336" s="7" t="n">
        <v>4.1</v>
      </c>
      <c r="K336" s="7" t="n">
        <f aca="false">K335+J336</f>
        <v>643</v>
      </c>
      <c r="L336" s="7" t="n">
        <v>2.6</v>
      </c>
      <c r="M336" s="7" t="n">
        <f aca="false">M335+L336</f>
        <v>441.3</v>
      </c>
      <c r="N336" s="7" t="n">
        <f aca="false">J336-L336</f>
        <v>1.5</v>
      </c>
      <c r="O336" s="7" t="n">
        <f aca="false">O335+N336</f>
        <v>118.4</v>
      </c>
      <c r="P336" s="7" t="n">
        <v>297</v>
      </c>
      <c r="Q336" s="17" t="n">
        <f aca="false">1.15+((P336-261)/57)*(0.35-1.15)</f>
        <v>0.644736842105263</v>
      </c>
      <c r="R336" s="15" t="n">
        <f aca="false">Q336*L336</f>
        <v>1.67631578947368</v>
      </c>
      <c r="S336" s="15" t="n">
        <f aca="false">J336-R336</f>
        <v>2.42368421052632</v>
      </c>
      <c r="T336" s="15" t="n">
        <f aca="false">MIN(189.6,(T335+S336))</f>
        <v>108.788157894737</v>
      </c>
      <c r="U336" s="15" t="n">
        <f aca="false">(U334*100)/189.6</f>
        <v>64.9616607446888</v>
      </c>
      <c r="V336" s="7" t="n">
        <v>1297.6</v>
      </c>
      <c r="W336" s="7" t="n">
        <f aca="false">V336/D336</f>
        <v>74.1485714285714</v>
      </c>
      <c r="X336" s="7" t="n">
        <f aca="false">X335+V336</f>
        <v>240508.1</v>
      </c>
      <c r="Y336" s="7" t="n">
        <f aca="false">Y335+V336</f>
        <v>29484.5</v>
      </c>
      <c r="AA336" s="7" t="n">
        <v>16.2879801278877</v>
      </c>
    </row>
    <row r="337" s="7" customFormat="true" ht="15" hidden="false" customHeight="false" outlineLevel="0" collapsed="false">
      <c r="A337" s="70"/>
      <c r="B337" s="11"/>
      <c r="C337" s="8" t="n">
        <v>41818</v>
      </c>
      <c r="D337" s="7" t="n">
        <v>14.9</v>
      </c>
      <c r="E337" s="7" t="n">
        <v>14.1</v>
      </c>
      <c r="F337" s="7" t="n">
        <v>15.9</v>
      </c>
      <c r="G337" s="7" t="n">
        <f aca="false">G336+D337</f>
        <v>2918.2</v>
      </c>
      <c r="H337" s="7" t="n">
        <f aca="false">H336+D337</f>
        <v>273.2</v>
      </c>
      <c r="J337" s="7" t="n">
        <v>10.5</v>
      </c>
      <c r="K337" s="7" t="n">
        <f aca="false">K336+J337</f>
        <v>653.5</v>
      </c>
      <c r="L337" s="7" t="n">
        <v>1.4</v>
      </c>
      <c r="M337" s="7" t="n">
        <f aca="false">M336+L337</f>
        <v>442.7</v>
      </c>
      <c r="N337" s="7" t="n">
        <f aca="false">J337-L337</f>
        <v>9.1</v>
      </c>
      <c r="O337" s="7" t="n">
        <f aca="false">O336+N337</f>
        <v>127.5</v>
      </c>
      <c r="P337" s="7" t="n">
        <v>298</v>
      </c>
      <c r="Q337" s="17" t="n">
        <f aca="false">1.15+((P337-261)/57)*(0.35-1.15)</f>
        <v>0.630701754385965</v>
      </c>
      <c r="R337" s="15" t="n">
        <f aca="false">Q337*L337</f>
        <v>0.882982456140351</v>
      </c>
      <c r="S337" s="15" t="n">
        <f aca="false">J337-R337</f>
        <v>9.61701754385965</v>
      </c>
      <c r="T337" s="15" t="n">
        <f aca="false">MIN(189.6,(T336+S337))</f>
        <v>118.405175438597</v>
      </c>
      <c r="V337" s="7" t="n">
        <v>946.4</v>
      </c>
      <c r="W337" s="7" t="n">
        <f aca="false">V337/D337</f>
        <v>63.5167785234899</v>
      </c>
      <c r="X337" s="7" t="n">
        <f aca="false">X336+V337</f>
        <v>241454.5</v>
      </c>
      <c r="Y337" s="7" t="n">
        <f aca="false">Y336+V337</f>
        <v>30430.9</v>
      </c>
      <c r="AA337" s="7" t="n">
        <v>16.2781037304994</v>
      </c>
    </row>
    <row r="338" s="7" customFormat="true" ht="15" hidden="false" customHeight="false" outlineLevel="0" collapsed="false">
      <c r="A338" s="70"/>
      <c r="B338" s="11"/>
      <c r="C338" s="8" t="n">
        <v>41819</v>
      </c>
      <c r="D338" s="7" t="n">
        <v>14</v>
      </c>
      <c r="E338" s="7" t="n">
        <v>13</v>
      </c>
      <c r="F338" s="7" t="n">
        <v>16</v>
      </c>
      <c r="G338" s="7" t="n">
        <f aca="false">G337+D338</f>
        <v>2932.2</v>
      </c>
      <c r="H338" s="7" t="n">
        <f aca="false">H337+D338</f>
        <v>287.2</v>
      </c>
      <c r="J338" s="7" t="n">
        <v>6.6</v>
      </c>
      <c r="K338" s="7" t="n">
        <f aca="false">K337+J338</f>
        <v>660.1</v>
      </c>
      <c r="L338" s="7" t="n">
        <v>1.6</v>
      </c>
      <c r="M338" s="7" t="n">
        <f aca="false">M337+L338</f>
        <v>444.3</v>
      </c>
      <c r="N338" s="7" t="n">
        <f aca="false">J338-L338</f>
        <v>5</v>
      </c>
      <c r="O338" s="7" t="n">
        <f aca="false">O337+N338</f>
        <v>132.5</v>
      </c>
      <c r="P338" s="7" t="n">
        <v>299</v>
      </c>
      <c r="Q338" s="17" t="n">
        <f aca="false">1.15+((P338-261)/57)*(0.35-1.15)</f>
        <v>0.616666666666667</v>
      </c>
      <c r="R338" s="15" t="n">
        <f aca="false">Q338*L338</f>
        <v>0.986666666666667</v>
      </c>
      <c r="S338" s="15" t="n">
        <f aca="false">J338-R338</f>
        <v>5.61333333333333</v>
      </c>
      <c r="T338" s="15" t="n">
        <f aca="false">MIN(189.6,(T337+S338))</f>
        <v>124.01850877193</v>
      </c>
      <c r="V338" s="16" t="n">
        <v>848.4</v>
      </c>
      <c r="W338" s="7" t="n">
        <f aca="false">V338/D338</f>
        <v>60.6</v>
      </c>
      <c r="X338" s="7" t="n">
        <f aca="false">X337+V338</f>
        <v>242302.9</v>
      </c>
      <c r="Y338" s="7" t="n">
        <f aca="false">Y337+V338</f>
        <v>31279.3</v>
      </c>
      <c r="AA338" s="7" t="n">
        <v>16.266738739605</v>
      </c>
    </row>
    <row r="339" s="7" customFormat="true" ht="15" hidden="false" customHeight="false" outlineLevel="0" collapsed="false">
      <c r="A339" s="70"/>
      <c r="B339" s="11"/>
      <c r="C339" s="8" t="n">
        <v>41820</v>
      </c>
      <c r="D339" s="7" t="n">
        <v>14.9</v>
      </c>
      <c r="E339" s="7" t="n">
        <v>10.6</v>
      </c>
      <c r="F339" s="7" t="n">
        <v>19.6</v>
      </c>
      <c r="G339" s="7" t="n">
        <f aca="false">G338+D339</f>
        <v>2947.1</v>
      </c>
      <c r="H339" s="7" t="n">
        <f aca="false">H338+D339</f>
        <v>302.1</v>
      </c>
      <c r="J339" s="7" t="n">
        <v>3.2</v>
      </c>
      <c r="K339" s="7" t="n">
        <f aca="false">K338+J339</f>
        <v>663.3</v>
      </c>
      <c r="L339" s="7" t="n">
        <v>1.3</v>
      </c>
      <c r="M339" s="7" t="n">
        <f aca="false">M338+L339</f>
        <v>445.6</v>
      </c>
      <c r="N339" s="7" t="n">
        <f aca="false">J339-L339</f>
        <v>1.9</v>
      </c>
      <c r="O339" s="7" t="n">
        <f aca="false">O338+N339</f>
        <v>134.4</v>
      </c>
      <c r="P339" s="7" t="n">
        <v>300</v>
      </c>
      <c r="Q339" s="17" t="n">
        <f aca="false">1.15+((P339-261)/57)*(0.35-1.15)</f>
        <v>0.602631578947368</v>
      </c>
      <c r="R339" s="15" t="n">
        <f aca="false">Q339*L339</f>
        <v>0.783421052631579</v>
      </c>
      <c r="S339" s="15" t="n">
        <f aca="false">J339-R339</f>
        <v>2.41657894736842</v>
      </c>
      <c r="T339" s="15" t="n">
        <f aca="false">MIN(189.6,(T338+S339))</f>
        <v>126.435087719298</v>
      </c>
      <c r="V339" s="16" t="n">
        <v>692.1</v>
      </c>
      <c r="W339" s="7" t="n">
        <f aca="false">V339/D339</f>
        <v>46.4496644295302</v>
      </c>
      <c r="X339" s="7" t="n">
        <f aca="false">X338+V339</f>
        <v>242995</v>
      </c>
      <c r="Y339" s="7" t="n">
        <f aca="false">Y338+V339</f>
        <v>31971.4</v>
      </c>
      <c r="AA339" s="7" t="n">
        <v>16.2538977858922</v>
      </c>
    </row>
    <row r="340" s="7" customFormat="true" ht="15" hidden="false" customHeight="false" outlineLevel="0" collapsed="false">
      <c r="A340" s="70"/>
      <c r="B340" s="11"/>
      <c r="C340" s="8" t="n">
        <v>41821</v>
      </c>
      <c r="D340" s="7" t="n">
        <v>16.4</v>
      </c>
      <c r="E340" s="7" t="n">
        <v>12.6</v>
      </c>
      <c r="F340" s="7" t="n">
        <v>20</v>
      </c>
      <c r="G340" s="7" t="n">
        <f aca="false">G339+D340</f>
        <v>2963.5</v>
      </c>
      <c r="H340" s="7" t="n">
        <f aca="false">H339+D340</f>
        <v>318.5</v>
      </c>
      <c r="J340" s="7" t="n">
        <v>0</v>
      </c>
      <c r="K340" s="7" t="n">
        <f aca="false">K339+J340</f>
        <v>663.3</v>
      </c>
      <c r="L340" s="7" t="n">
        <v>2.4</v>
      </c>
      <c r="M340" s="7" t="n">
        <f aca="false">M339+L340</f>
        <v>448</v>
      </c>
      <c r="N340" s="14" t="n">
        <f aca="false">J340-L340</f>
        <v>-2.4</v>
      </c>
      <c r="O340" s="7" t="n">
        <f aca="false">O339+N340</f>
        <v>132</v>
      </c>
      <c r="P340" s="7" t="n">
        <v>301</v>
      </c>
      <c r="Q340" s="17" t="n">
        <f aca="false">1.15+((P340-261)/57)*(0.35-1.15)</f>
        <v>0.58859649122807</v>
      </c>
      <c r="R340" s="15" t="n">
        <f aca="false">Q340*L340</f>
        <v>1.41263157894737</v>
      </c>
      <c r="S340" s="15" t="n">
        <f aca="false">J340-R340</f>
        <v>-1.41263157894737</v>
      </c>
      <c r="T340" s="15" t="n">
        <f aca="false">MIN(189.6,(T339+S340))</f>
        <v>125.022456140351</v>
      </c>
      <c r="V340" s="7" t="n">
        <v>1033.3</v>
      </c>
      <c r="W340" s="7" t="n">
        <f aca="false">V340/D340</f>
        <v>63.0060975609756</v>
      </c>
      <c r="X340" s="7" t="n">
        <f aca="false">X339+V340</f>
        <v>244028.3</v>
      </c>
      <c r="Y340" s="7" t="n">
        <f aca="false">Y339+V340</f>
        <v>33004.7</v>
      </c>
      <c r="AA340" s="7" t="n">
        <v>16.2395949505057</v>
      </c>
    </row>
    <row r="341" s="7" customFormat="true" ht="15" hidden="false" customHeight="false" outlineLevel="0" collapsed="false">
      <c r="A341" s="70"/>
      <c r="B341" s="11"/>
      <c r="C341" s="8" t="n">
        <v>41822</v>
      </c>
      <c r="D341" s="7" t="n">
        <v>16.7</v>
      </c>
      <c r="E341" s="7" t="n">
        <v>11.8</v>
      </c>
      <c r="F341" s="7" t="n">
        <v>21.5</v>
      </c>
      <c r="G341" s="7" t="n">
        <f aca="false">G340+D341</f>
        <v>2980.2</v>
      </c>
      <c r="H341" s="7" t="n">
        <f aca="false">H340+D341</f>
        <v>335.2</v>
      </c>
      <c r="J341" s="7" t="n">
        <v>0</v>
      </c>
      <c r="K341" s="7" t="n">
        <f aca="false">K340+J341</f>
        <v>663.3</v>
      </c>
      <c r="L341" s="7" t="n">
        <v>4.8</v>
      </c>
      <c r="M341" s="7" t="n">
        <f aca="false">M340+L341</f>
        <v>452.8</v>
      </c>
      <c r="N341" s="14" t="n">
        <f aca="false">J341-L341</f>
        <v>-4.8</v>
      </c>
      <c r="O341" s="7" t="n">
        <f aca="false">O340+N341</f>
        <v>127.2</v>
      </c>
      <c r="P341" s="7" t="n">
        <v>302</v>
      </c>
      <c r="Q341" s="17" t="n">
        <f aca="false">1.15+((P341-261)/57)*(0.35-1.15)</f>
        <v>0.574561403508772</v>
      </c>
      <c r="R341" s="15" t="n">
        <f aca="false">Q341*L341</f>
        <v>2.7578947368421</v>
      </c>
      <c r="S341" s="15" t="n">
        <f aca="false">J341-R341</f>
        <v>-2.7578947368421</v>
      </c>
      <c r="T341" s="15" t="n">
        <f aca="false">MIN(189.6,(T340+S341))</f>
        <v>122.264561403509</v>
      </c>
      <c r="V341" s="7" t="n">
        <v>2733.3</v>
      </c>
      <c r="W341" s="7" t="n">
        <f aca="false">V341/D341</f>
        <v>163.670658682635</v>
      </c>
      <c r="X341" s="7" t="n">
        <f aca="false">X340+V341</f>
        <v>246761.6</v>
      </c>
      <c r="Y341" s="7" t="n">
        <f aca="false">Y340+V341</f>
        <v>35738</v>
      </c>
      <c r="AA341" s="7" t="n">
        <v>16.2238457101089</v>
      </c>
    </row>
    <row r="342" s="7" customFormat="true" ht="15" hidden="false" customHeight="false" outlineLevel="0" collapsed="false">
      <c r="A342" s="70"/>
      <c r="B342" s="11"/>
      <c r="C342" s="8" t="n">
        <v>41823</v>
      </c>
      <c r="D342" s="7" t="n">
        <v>19.9</v>
      </c>
      <c r="E342" s="7" t="n">
        <v>12.7</v>
      </c>
      <c r="F342" s="12" t="n">
        <v>25.9</v>
      </c>
      <c r="G342" s="7" t="n">
        <f aca="false">G341+D342</f>
        <v>3000.1</v>
      </c>
      <c r="H342" s="7" t="n">
        <f aca="false">H341+D342</f>
        <v>355.1</v>
      </c>
      <c r="J342" s="7" t="n">
        <v>0</v>
      </c>
      <c r="K342" s="7" t="n">
        <f aca="false">K341+J342</f>
        <v>663.3</v>
      </c>
      <c r="L342" s="7" t="n">
        <v>5.3</v>
      </c>
      <c r="M342" s="7" t="n">
        <f aca="false">M341+L342</f>
        <v>458.1</v>
      </c>
      <c r="N342" s="14" t="n">
        <f aca="false">J342-L342</f>
        <v>-5.3</v>
      </c>
      <c r="O342" s="7" t="n">
        <f aca="false">O341+N342</f>
        <v>121.9</v>
      </c>
      <c r="P342" s="7" t="n">
        <v>303</v>
      </c>
      <c r="Q342" s="17" t="n">
        <f aca="false">1.15+((P342-261)/57)*(0.35-1.15)</f>
        <v>0.560526315789474</v>
      </c>
      <c r="R342" s="15" t="n">
        <f aca="false">Q342*L342</f>
        <v>2.97078947368421</v>
      </c>
      <c r="S342" s="15" t="n">
        <f aca="false">J342-R342</f>
        <v>-2.97078947368421</v>
      </c>
      <c r="T342" s="15" t="n">
        <f aca="false">MIN(189.6,(T341+S342))</f>
        <v>119.293771929825</v>
      </c>
      <c r="V342" s="7" t="n">
        <v>2724.4</v>
      </c>
      <c r="W342" s="7" t="n">
        <f aca="false">V342/D342</f>
        <v>136.904522613065</v>
      </c>
      <c r="X342" s="7" t="n">
        <f aca="false">X341+V342</f>
        <v>249486</v>
      </c>
      <c r="Y342" s="7" t="n">
        <f aca="false">Y341+V342</f>
        <v>38462.4</v>
      </c>
      <c r="AA342" s="7" t="n">
        <v>16.2066668773704</v>
      </c>
    </row>
    <row r="343" s="7" customFormat="true" ht="15" hidden="false" customHeight="false" outlineLevel="0" collapsed="false">
      <c r="A343" s="70"/>
      <c r="B343" s="11"/>
      <c r="C343" s="8" t="n">
        <v>41824</v>
      </c>
      <c r="D343" s="7" t="n">
        <v>18.9</v>
      </c>
      <c r="E343" s="7" t="n">
        <v>13.6</v>
      </c>
      <c r="F343" s="7" t="n">
        <v>21.8</v>
      </c>
      <c r="G343" s="7" t="n">
        <f aca="false">G342+D343</f>
        <v>3019</v>
      </c>
      <c r="H343" s="7" t="n">
        <f aca="false">H342+D343</f>
        <v>374</v>
      </c>
      <c r="J343" s="7" t="n">
        <v>4.5</v>
      </c>
      <c r="K343" s="7" t="n">
        <f aca="false">K342+J343</f>
        <v>667.8</v>
      </c>
      <c r="L343" s="7" t="n">
        <v>1.9</v>
      </c>
      <c r="M343" s="7" t="n">
        <f aca="false">M342+L343</f>
        <v>460</v>
      </c>
      <c r="N343" s="7" t="n">
        <f aca="false">J343-L343</f>
        <v>2.6</v>
      </c>
      <c r="O343" s="7" t="n">
        <f aca="false">O342+N343</f>
        <v>124.5</v>
      </c>
      <c r="P343" s="7" t="n">
        <v>304</v>
      </c>
      <c r="Q343" s="17" t="n">
        <f aca="false">1.15+((P343-261)/57)*(0.35-1.15)</f>
        <v>0.546491228070175</v>
      </c>
      <c r="R343" s="15" t="n">
        <f aca="false">Q343*L343</f>
        <v>1.03833333333333</v>
      </c>
      <c r="S343" s="15" t="n">
        <f aca="false">J343-R343</f>
        <v>3.46166666666667</v>
      </c>
      <c r="T343" s="15" t="n">
        <f aca="false">MIN(189.6,(T342+S343))</f>
        <v>122.755438596491</v>
      </c>
      <c r="V343" s="7" t="n">
        <v>1131.1</v>
      </c>
      <c r="W343" s="7" t="n">
        <f aca="false">V343/D343</f>
        <v>59.8465608465609</v>
      </c>
      <c r="X343" s="7" t="n">
        <f aca="false">X342+V343</f>
        <v>250617.1</v>
      </c>
      <c r="Y343" s="7" t="n">
        <f aca="false">Y342+V343</f>
        <v>39593.5</v>
      </c>
      <c r="AA343" s="7" t="n">
        <v>16.188076537342</v>
      </c>
    </row>
    <row r="344" s="7" customFormat="true" ht="15" hidden="false" customHeight="false" outlineLevel="0" collapsed="false">
      <c r="A344" s="70"/>
      <c r="B344" s="11"/>
      <c r="C344" s="8" t="n">
        <v>41825</v>
      </c>
      <c r="D344" s="7" t="n">
        <v>18.7</v>
      </c>
      <c r="E344" s="7" t="n">
        <v>16.7</v>
      </c>
      <c r="F344" s="7" t="n">
        <v>20.4</v>
      </c>
      <c r="G344" s="7" t="n">
        <f aca="false">G343+D344</f>
        <v>3037.7</v>
      </c>
      <c r="H344" s="7" t="n">
        <f aca="false">H343+D344</f>
        <v>392.7</v>
      </c>
      <c r="J344" s="7" t="n">
        <v>2.7</v>
      </c>
      <c r="K344" s="7" t="n">
        <f aca="false">K343+J344</f>
        <v>670.5</v>
      </c>
      <c r="L344" s="7" t="n">
        <v>1.3</v>
      </c>
      <c r="M344" s="7" t="n">
        <f aca="false">M343+L344</f>
        <v>461.3</v>
      </c>
      <c r="N344" s="7" t="n">
        <f aca="false">J344-L344</f>
        <v>1.4</v>
      </c>
      <c r="O344" s="7" t="n">
        <f aca="false">O343+N344</f>
        <v>125.9</v>
      </c>
      <c r="P344" s="7" t="n">
        <v>305</v>
      </c>
      <c r="Q344" s="17" t="n">
        <f aca="false">1.15+((P344-261)/57)*(0.35-1.15)</f>
        <v>0.532456140350877</v>
      </c>
      <c r="R344" s="15" t="n">
        <f aca="false">Q344*L344</f>
        <v>0.69219298245614</v>
      </c>
      <c r="S344" s="15" t="n">
        <f aca="false">J344-R344</f>
        <v>2.00780701754386</v>
      </c>
      <c r="T344" s="15" t="n">
        <f aca="false">MIN(189.6,(T343+S344))</f>
        <v>124.763245614035</v>
      </c>
      <c r="V344" s="16" t="n">
        <v>539.5</v>
      </c>
      <c r="W344" s="7" t="n">
        <f aca="false">V344/D344</f>
        <v>28.8502673796791</v>
      </c>
      <c r="X344" s="7" t="n">
        <f aca="false">X343+V344</f>
        <v>251156.6</v>
      </c>
      <c r="Y344" s="7" t="n">
        <f aca="false">Y343+V344</f>
        <v>40133</v>
      </c>
      <c r="AA344" s="7" t="n">
        <v>16.1680939802181</v>
      </c>
    </row>
    <row r="345" s="67" customFormat="true" ht="15" hidden="false" customHeight="false" outlineLevel="0" collapsed="false">
      <c r="A345" s="70"/>
      <c r="B345" s="20"/>
      <c r="C345" s="66" t="n">
        <v>41826</v>
      </c>
      <c r="D345" s="67" t="n">
        <v>15.9</v>
      </c>
      <c r="E345" s="67" t="n">
        <v>14.8</v>
      </c>
      <c r="F345" s="67" t="n">
        <v>18.2</v>
      </c>
      <c r="G345" s="67" t="n">
        <f aca="false">G344+D345</f>
        <v>3053.6</v>
      </c>
      <c r="H345" s="67" t="n">
        <f aca="false">H344+D345</f>
        <v>408.6</v>
      </c>
      <c r="J345" s="67" t="n">
        <v>16</v>
      </c>
      <c r="K345" s="67" t="n">
        <f aca="false">K344+J345</f>
        <v>686.5</v>
      </c>
      <c r="L345" s="67" t="n">
        <v>1.7</v>
      </c>
      <c r="M345" s="67" t="n">
        <f aca="false">M344+L345</f>
        <v>463</v>
      </c>
      <c r="N345" s="67" t="n">
        <f aca="false">J345-L345</f>
        <v>14.3</v>
      </c>
      <c r="O345" s="23" t="n">
        <f aca="false">O344+N345</f>
        <v>140.2</v>
      </c>
      <c r="P345" s="23" t="n">
        <v>306</v>
      </c>
      <c r="Q345" s="54" t="n">
        <f aca="false">1.15+((P345-261)/57)*(0.35-1.15)</f>
        <v>0.518421052631579</v>
      </c>
      <c r="R345" s="24" t="n">
        <f aca="false">Q345*L345</f>
        <v>0.881315789473684</v>
      </c>
      <c r="S345" s="24" t="n">
        <f aca="false">J345-R345</f>
        <v>15.1186842105263</v>
      </c>
      <c r="T345" s="24" t="n">
        <f aca="false">MIN(189.6,(T344+S345))</f>
        <v>139.881929824562</v>
      </c>
      <c r="V345" s="32" t="n">
        <v>889.1</v>
      </c>
      <c r="W345" s="67" t="n">
        <f aca="false">V345/D345</f>
        <v>55.9182389937107</v>
      </c>
      <c r="X345" s="67" t="n">
        <f aca="false">X344+V345</f>
        <v>252045.7</v>
      </c>
      <c r="Y345" s="67" t="n">
        <f aca="false">Y344+V345</f>
        <v>41022.1</v>
      </c>
      <c r="AA345" s="23" t="n">
        <v>16.1467396309795</v>
      </c>
    </row>
    <row r="346" s="7" customFormat="true" ht="15" hidden="false" customHeight="true" outlineLevel="0" collapsed="false">
      <c r="A346" s="72" t="s">
        <v>58</v>
      </c>
      <c r="B346" s="72"/>
      <c r="C346" s="8" t="n">
        <v>41827</v>
      </c>
      <c r="D346" s="7" t="n">
        <v>15.6</v>
      </c>
      <c r="E346" s="7" t="n">
        <v>10.1</v>
      </c>
      <c r="F346" s="7" t="n">
        <v>19.6</v>
      </c>
      <c r="G346" s="7" t="n">
        <f aca="false">G345+D346</f>
        <v>3069.2</v>
      </c>
      <c r="H346" s="7" t="n">
        <v>15.6</v>
      </c>
      <c r="J346" s="7" t="n">
        <v>7.1</v>
      </c>
      <c r="K346" s="7" t="n">
        <f aca="false">K345+J346</f>
        <v>693.6</v>
      </c>
      <c r="L346" s="7" t="n">
        <v>2.5</v>
      </c>
      <c r="M346" s="7" t="n">
        <f aca="false">M345+L346</f>
        <v>465.5</v>
      </c>
      <c r="N346" s="7" t="n">
        <f aca="false">J346-L346</f>
        <v>4.6</v>
      </c>
      <c r="O346" s="7" t="n">
        <f aca="false">O345+N346</f>
        <v>144.8</v>
      </c>
      <c r="P346" s="7" t="n">
        <v>307</v>
      </c>
      <c r="Q346" s="17" t="n">
        <f aca="false">1.15+((P346-261)/57)*(0.35-1.15)</f>
        <v>0.504385964912281</v>
      </c>
      <c r="R346" s="15" t="n">
        <f aca="false">Q346*L346</f>
        <v>1.2609649122807</v>
      </c>
      <c r="S346" s="15" t="n">
        <f aca="false">J346-R346</f>
        <v>5.8390350877193</v>
      </c>
      <c r="T346" s="15" t="n">
        <f aca="false">MIN(189.6,(T345+S346))</f>
        <v>145.720964912281</v>
      </c>
      <c r="V346" s="7" t="n">
        <v>1718.6</v>
      </c>
      <c r="W346" s="7" t="n">
        <f aca="false">V346/D346</f>
        <v>110.166666666667</v>
      </c>
      <c r="X346" s="7" t="n">
        <f aca="false">X345+V346</f>
        <v>253764.3</v>
      </c>
      <c r="Y346" s="7" t="n">
        <v>1718.6</v>
      </c>
      <c r="AA346" s="7" t="n">
        <v>16.1240349764324</v>
      </c>
    </row>
    <row r="347" s="7" customFormat="true" ht="15" hidden="false" customHeight="false" outlineLevel="0" collapsed="false">
      <c r="A347" s="72"/>
      <c r="B347" s="72"/>
      <c r="C347" s="8" t="n">
        <v>41828</v>
      </c>
      <c r="D347" s="7" t="n">
        <v>14.4</v>
      </c>
      <c r="E347" s="7" t="n">
        <v>13.2</v>
      </c>
      <c r="F347" s="7" t="n">
        <v>16.7</v>
      </c>
      <c r="G347" s="7" t="n">
        <f aca="false">G346+D347</f>
        <v>3083.6</v>
      </c>
      <c r="H347" s="7" t="n">
        <f aca="false">H346+D347</f>
        <v>30</v>
      </c>
      <c r="J347" s="7" t="n">
        <v>2.4</v>
      </c>
      <c r="K347" s="7" t="n">
        <f aca="false">K346+J347</f>
        <v>696</v>
      </c>
      <c r="L347" s="7" t="n">
        <v>1.4</v>
      </c>
      <c r="M347" s="7" t="n">
        <f aca="false">M346+L347</f>
        <v>466.9</v>
      </c>
      <c r="N347" s="7" t="n">
        <f aca="false">J347-L347</f>
        <v>1</v>
      </c>
      <c r="O347" s="7" t="n">
        <f aca="false">O346+N347</f>
        <v>145.8</v>
      </c>
      <c r="P347" s="7" t="n">
        <v>308</v>
      </c>
      <c r="Q347" s="17" t="n">
        <f aca="false">1.15+((P347-261)/57)*(0.35-1.15)</f>
        <v>0.490350877192982</v>
      </c>
      <c r="R347" s="15" t="n">
        <f aca="false">Q347*L347</f>
        <v>0.686491228070175</v>
      </c>
      <c r="S347" s="15" t="n">
        <f aca="false">J347-R347</f>
        <v>1.71350877192982</v>
      </c>
      <c r="T347" s="15" t="n">
        <f aca="false">MIN(189.6,(T346+S347))</f>
        <v>147.434473684211</v>
      </c>
      <c r="V347" s="16" t="n">
        <v>794.8</v>
      </c>
      <c r="W347" s="7" t="n">
        <f aca="false">V347/D347</f>
        <v>55.1944444444444</v>
      </c>
      <c r="X347" s="7" t="n">
        <f aca="false">X346+V347</f>
        <v>254559.1</v>
      </c>
      <c r="Y347" s="7" t="n">
        <f aca="false">Y346+V347</f>
        <v>2513.4</v>
      </c>
      <c r="AA347" s="7" t="n">
        <v>16.100002490156</v>
      </c>
    </row>
    <row r="348" s="7" customFormat="true" ht="15" hidden="false" customHeight="false" outlineLevel="0" collapsed="false">
      <c r="A348" s="72"/>
      <c r="B348" s="72"/>
      <c r="C348" s="8" t="n">
        <v>41829</v>
      </c>
      <c r="D348" s="7" t="n">
        <v>13.9</v>
      </c>
      <c r="E348" s="7" t="n">
        <v>11.8</v>
      </c>
      <c r="F348" s="7" t="n">
        <v>14.8</v>
      </c>
      <c r="G348" s="7" t="n">
        <f aca="false">G347+D348</f>
        <v>3097.5</v>
      </c>
      <c r="H348" s="7" t="n">
        <f aca="false">H347+D348</f>
        <v>43.9</v>
      </c>
      <c r="J348" s="7" t="n">
        <v>20.7</v>
      </c>
      <c r="K348" s="7" t="n">
        <f aca="false">K347+J348</f>
        <v>716.7</v>
      </c>
      <c r="L348" s="7" t="n">
        <v>0.8</v>
      </c>
      <c r="M348" s="7" t="n">
        <f aca="false">M347+L348</f>
        <v>467.7</v>
      </c>
      <c r="N348" s="7" t="n">
        <f aca="false">J348-L348</f>
        <v>19.9</v>
      </c>
      <c r="O348" s="7" t="n">
        <f aca="false">O347+N348</f>
        <v>165.7</v>
      </c>
      <c r="P348" s="7" t="n">
        <v>309</v>
      </c>
      <c r="Q348" s="17" t="n">
        <f aca="false">1.15+((P348-261)/57)*(0.35-1.15)</f>
        <v>0.476315789473684</v>
      </c>
      <c r="R348" s="15" t="n">
        <f aca="false">Q348*L348</f>
        <v>0.381052631578947</v>
      </c>
      <c r="S348" s="15" t="n">
        <f aca="false">J348-R348</f>
        <v>20.3189473684211</v>
      </c>
      <c r="T348" s="15" t="n">
        <f aca="false">MIN(189.6,(T347+S348))</f>
        <v>167.753421052632</v>
      </c>
      <c r="V348" s="16" t="n">
        <v>557.6</v>
      </c>
      <c r="W348" s="7" t="n">
        <f aca="false">V348/D348</f>
        <v>40.1151079136691</v>
      </c>
      <c r="X348" s="7" t="n">
        <f aca="false">X347+V348</f>
        <v>255116.7</v>
      </c>
      <c r="Y348" s="7" t="n">
        <f aca="false">Y347+V348</f>
        <v>3071</v>
      </c>
      <c r="AA348" s="7" t="n">
        <v>16.0746655558675</v>
      </c>
    </row>
    <row r="349" s="7" customFormat="true" ht="15" hidden="false" customHeight="false" outlineLevel="0" collapsed="false">
      <c r="A349" s="72"/>
      <c r="B349" s="72"/>
      <c r="C349" s="8" t="n">
        <v>41830</v>
      </c>
      <c r="D349" s="7" t="n">
        <v>15.4</v>
      </c>
      <c r="E349" s="7" t="n">
        <v>14.1</v>
      </c>
      <c r="F349" s="7" t="n">
        <v>16.5</v>
      </c>
      <c r="G349" s="7" t="n">
        <f aca="false">G348+D349</f>
        <v>3112.9</v>
      </c>
      <c r="H349" s="7" t="n">
        <f aca="false">H348+D349</f>
        <v>59.3</v>
      </c>
      <c r="J349" s="7" t="n">
        <v>18.9</v>
      </c>
      <c r="K349" s="7" t="n">
        <f aca="false">K348+J349</f>
        <v>735.6</v>
      </c>
      <c r="L349" s="7" t="n">
        <v>1</v>
      </c>
      <c r="M349" s="7" t="n">
        <f aca="false">M348+L349</f>
        <v>468.7</v>
      </c>
      <c r="N349" s="7" t="n">
        <f aca="false">J349-L349</f>
        <v>17.9</v>
      </c>
      <c r="O349" s="7" t="n">
        <f aca="false">O348+N349</f>
        <v>183.6</v>
      </c>
      <c r="P349" s="7" t="n">
        <v>310</v>
      </c>
      <c r="Q349" s="17" t="n">
        <f aca="false">1.15+((P349-261)/57)*(0.35-1.15)</f>
        <v>0.462280701754386</v>
      </c>
      <c r="R349" s="15" t="n">
        <f aca="false">Q349*L349</f>
        <v>0.462280701754386</v>
      </c>
      <c r="S349" s="15" t="n">
        <f aca="false">J349-R349</f>
        <v>18.4377192982456</v>
      </c>
      <c r="T349" s="15" t="n">
        <f aca="false">MIN(189.6,(T348+S349))</f>
        <v>186.191140350877</v>
      </c>
      <c r="V349" s="16" t="n">
        <v>516.7</v>
      </c>
      <c r="W349" s="7" t="n">
        <f aca="false">V349/D349</f>
        <v>33.5519480519481</v>
      </c>
      <c r="X349" s="7" t="n">
        <f aca="false">X348+V349</f>
        <v>255633.4</v>
      </c>
      <c r="Y349" s="7" t="n">
        <f aca="false">Y348+V349</f>
        <v>3587.7</v>
      </c>
      <c r="AA349" s="7" t="n">
        <v>16.0480483897061</v>
      </c>
    </row>
    <row r="350" s="7" customFormat="true" ht="15" hidden="false" customHeight="false" outlineLevel="0" collapsed="false">
      <c r="A350" s="72"/>
      <c r="B350" s="72"/>
      <c r="C350" s="8" t="n">
        <v>41831</v>
      </c>
      <c r="D350" s="7" t="n">
        <v>15.2</v>
      </c>
      <c r="E350" s="7" t="n">
        <v>14.5</v>
      </c>
      <c r="F350" s="7" t="n">
        <v>15.8</v>
      </c>
      <c r="G350" s="7" t="n">
        <f aca="false">G349+D350</f>
        <v>3128.1</v>
      </c>
      <c r="H350" s="7" t="n">
        <f aca="false">H349+D350</f>
        <v>74.5</v>
      </c>
      <c r="J350" s="7" t="n">
        <v>8</v>
      </c>
      <c r="K350" s="7" t="n">
        <f aca="false">K349+J350</f>
        <v>743.6</v>
      </c>
      <c r="L350" s="7" t="n">
        <v>0.8</v>
      </c>
      <c r="M350" s="7" t="n">
        <f aca="false">M349+L350</f>
        <v>469.5</v>
      </c>
      <c r="N350" s="7" t="n">
        <f aca="false">J350-L350</f>
        <v>7.2</v>
      </c>
      <c r="O350" s="7" t="n">
        <v>189.6</v>
      </c>
      <c r="P350" s="7" t="n">
        <v>311</v>
      </c>
      <c r="Q350" s="17" t="n">
        <f aca="false">1.15+((P350-261)/57)*(0.35-1.15)</f>
        <v>0.448245614035088</v>
      </c>
      <c r="R350" s="15" t="n">
        <f aca="false">Q350*L350</f>
        <v>0.35859649122807</v>
      </c>
      <c r="S350" s="15" t="n">
        <f aca="false">J350-R350</f>
        <v>7.64140350877193</v>
      </c>
      <c r="T350" s="15" t="n">
        <f aca="false">MIN(189.6,(T349+S350))</f>
        <v>189.6</v>
      </c>
      <c r="V350" s="16" t="n">
        <v>400.5</v>
      </c>
      <c r="W350" s="7" t="n">
        <f aca="false">V350/D350</f>
        <v>26.3486842105263</v>
      </c>
      <c r="X350" s="7" t="n">
        <f aca="false">X349+V350</f>
        <v>256033.9</v>
      </c>
      <c r="Y350" s="7" t="n">
        <f aca="false">Y349+V350</f>
        <v>3988.2</v>
      </c>
      <c r="AA350" s="7" t="n">
        <v>16.0201759619198</v>
      </c>
    </row>
    <row r="351" s="7" customFormat="true" ht="15" hidden="false" customHeight="false" outlineLevel="0" collapsed="false">
      <c r="A351" s="72"/>
      <c r="B351" s="72"/>
      <c r="C351" s="8" t="n">
        <v>41832</v>
      </c>
      <c r="D351" s="7" t="n">
        <v>16.7</v>
      </c>
      <c r="E351" s="7" t="n">
        <v>14.3</v>
      </c>
      <c r="F351" s="7" t="n">
        <v>20.8</v>
      </c>
      <c r="G351" s="7" t="n">
        <f aca="false">G350+D351</f>
        <v>3144.8</v>
      </c>
      <c r="H351" s="7" t="n">
        <f aca="false">H350+D351</f>
        <v>91.2</v>
      </c>
      <c r="J351" s="7" t="n">
        <v>1.2</v>
      </c>
      <c r="K351" s="7" t="n">
        <f aca="false">K350+J351</f>
        <v>744.8</v>
      </c>
      <c r="L351" s="7" t="n">
        <v>1.4</v>
      </c>
      <c r="M351" s="7" t="n">
        <f aca="false">M350+L351</f>
        <v>470.9</v>
      </c>
      <c r="N351" s="14" t="n">
        <f aca="false">J351-L351</f>
        <v>-0.2</v>
      </c>
      <c r="O351" s="7" t="n">
        <f aca="false">O350+N351</f>
        <v>189.4</v>
      </c>
      <c r="P351" s="7" t="n">
        <v>312</v>
      </c>
      <c r="Q351" s="17" t="n">
        <f aca="false">1.15+((P351-261)/57)*(0.35-1.15)</f>
        <v>0.43421052631579</v>
      </c>
      <c r="R351" s="15" t="n">
        <f aca="false">Q351*L351</f>
        <v>0.607894736842105</v>
      </c>
      <c r="S351" s="15" t="n">
        <f aca="false">J351-R351</f>
        <v>0.592105263157895</v>
      </c>
      <c r="T351" s="15" t="n">
        <f aca="false">MIN(189.6,(T350+S351))</f>
        <v>189.6</v>
      </c>
      <c r="V351" s="16" t="n">
        <v>631.5</v>
      </c>
      <c r="W351" s="7" t="n">
        <f aca="false">V351/D351</f>
        <v>37.814371257485</v>
      </c>
      <c r="X351" s="7" t="n">
        <f aca="false">X350+V351</f>
        <v>256665.4</v>
      </c>
      <c r="Y351" s="7" t="n">
        <f aca="false">Y350+V351</f>
        <v>4619.7</v>
      </c>
      <c r="AA351" s="7" t="n">
        <v>15.9910739184252</v>
      </c>
    </row>
    <row r="352" s="7" customFormat="true" ht="15" hidden="false" customHeight="false" outlineLevel="0" collapsed="false">
      <c r="A352" s="72"/>
      <c r="B352" s="72"/>
      <c r="C352" s="8" t="n">
        <v>41833</v>
      </c>
      <c r="D352" s="7" t="n">
        <v>17.5</v>
      </c>
      <c r="E352" s="7" t="n">
        <v>13.7</v>
      </c>
      <c r="F352" s="7" t="n">
        <v>20.9</v>
      </c>
      <c r="G352" s="7" t="n">
        <f aca="false">G351+D352</f>
        <v>3162.3</v>
      </c>
      <c r="H352" s="7" t="n">
        <f aca="false">H351+D352</f>
        <v>108.7</v>
      </c>
      <c r="J352" s="7" t="n">
        <v>4.2</v>
      </c>
      <c r="K352" s="7" t="n">
        <f aca="false">K351+J352</f>
        <v>749</v>
      </c>
      <c r="L352" s="7" t="n">
        <v>1.7</v>
      </c>
      <c r="M352" s="7" t="n">
        <f aca="false">M351+L352</f>
        <v>472.6</v>
      </c>
      <c r="N352" s="7" t="n">
        <f aca="false">J352-L352</f>
        <v>2.5</v>
      </c>
      <c r="O352" s="7" t="n">
        <v>189.6</v>
      </c>
      <c r="P352" s="7" t="n">
        <v>313</v>
      </c>
      <c r="Q352" s="17" t="n">
        <f aca="false">1.15+((P352-261)/57)*(0.35-1.15)</f>
        <v>0.420175438596491</v>
      </c>
      <c r="R352" s="15" t="n">
        <f aca="false">Q352*L352</f>
        <v>0.714298245614035</v>
      </c>
      <c r="S352" s="15" t="n">
        <f aca="false">J352-R352</f>
        <v>3.48570175438597</v>
      </c>
      <c r="T352" s="15" t="n">
        <f aca="false">MIN(189.6,(T351+S352))</f>
        <v>189.6</v>
      </c>
      <c r="V352" s="16" t="n">
        <v>811.8</v>
      </c>
      <c r="W352" s="7" t="n">
        <f aca="false">V352/D352</f>
        <v>46.3885714285714</v>
      </c>
      <c r="X352" s="7" t="n">
        <f aca="false">X351+V352</f>
        <v>257477.2</v>
      </c>
      <c r="Y352" s="7" t="n">
        <f aca="false">Y351+V352</f>
        <v>5431.5</v>
      </c>
      <c r="AA352" s="7" t="n">
        <v>15.960768502684</v>
      </c>
    </row>
    <row r="353" s="7" customFormat="true" ht="15" hidden="false" customHeight="false" outlineLevel="0" collapsed="false">
      <c r="A353" s="72"/>
      <c r="B353" s="72"/>
      <c r="C353" s="8" t="n">
        <v>41834</v>
      </c>
      <c r="D353" s="7" t="n">
        <v>17.2</v>
      </c>
      <c r="E353" s="7" t="n">
        <v>13.2</v>
      </c>
      <c r="F353" s="7" t="n">
        <v>20.8</v>
      </c>
      <c r="G353" s="7" t="n">
        <f aca="false">G352+D353</f>
        <v>3179.5</v>
      </c>
      <c r="H353" s="7" t="n">
        <f aca="false">H352+D353</f>
        <v>125.9</v>
      </c>
      <c r="J353" s="7" t="n">
        <v>0</v>
      </c>
      <c r="K353" s="7" t="n">
        <f aca="false">K352+J353</f>
        <v>749</v>
      </c>
      <c r="L353" s="7" t="n">
        <v>4.3</v>
      </c>
      <c r="M353" s="7" t="n">
        <f aca="false">M352+L353</f>
        <v>476.9</v>
      </c>
      <c r="N353" s="14" t="n">
        <f aca="false">J353-L353</f>
        <v>-4.3</v>
      </c>
      <c r="O353" s="7" t="n">
        <f aca="false">O352+N353</f>
        <v>185.3</v>
      </c>
      <c r="P353" s="7" t="n">
        <v>314</v>
      </c>
      <c r="Q353" s="17" t="n">
        <f aca="false">1.15+((P353-261)/57)*(0.35-1.15)</f>
        <v>0.406140350877193</v>
      </c>
      <c r="R353" s="15" t="n">
        <f aca="false">Q353*L353</f>
        <v>1.74640350877193</v>
      </c>
      <c r="S353" s="15" t="n">
        <f aca="false">J353-R353</f>
        <v>-1.74640350877193</v>
      </c>
      <c r="T353" s="15" t="n">
        <f aca="false">MIN(189.6,(T352+S353))</f>
        <v>187.853596491228</v>
      </c>
      <c r="V353" s="7" t="n">
        <v>2351.2</v>
      </c>
      <c r="W353" s="7" t="n">
        <f aca="false">V353/D353</f>
        <v>136.697674418605</v>
      </c>
      <c r="X353" s="7" t="n">
        <f aca="false">X352+V353</f>
        <v>259828.4</v>
      </c>
      <c r="Y353" s="7" t="n">
        <f aca="false">Y352+V353</f>
        <v>7782.7</v>
      </c>
      <c r="AA353" s="7" t="n">
        <v>15.9292864783163</v>
      </c>
    </row>
    <row r="354" s="7" customFormat="true" ht="15" hidden="false" customHeight="false" outlineLevel="0" collapsed="false">
      <c r="A354" s="72"/>
      <c r="B354" s="72"/>
      <c r="C354" s="8" t="n">
        <v>41835</v>
      </c>
      <c r="D354" s="7" t="n">
        <v>17.4</v>
      </c>
      <c r="E354" s="7" t="n">
        <v>11.4</v>
      </c>
      <c r="F354" s="7" t="n">
        <v>21.1</v>
      </c>
      <c r="G354" s="7" t="n">
        <f aca="false">G353+D354</f>
        <v>3196.9</v>
      </c>
      <c r="H354" s="7" t="n">
        <f aca="false">H353+D354</f>
        <v>143.3</v>
      </c>
      <c r="J354" s="7" t="n">
        <v>0</v>
      </c>
      <c r="K354" s="7" t="n">
        <f aca="false">K353+J354</f>
        <v>749</v>
      </c>
      <c r="L354" s="7" t="n">
        <v>1.2</v>
      </c>
      <c r="M354" s="7" t="n">
        <f aca="false">M353+L354</f>
        <v>478.1</v>
      </c>
      <c r="N354" s="14" t="n">
        <f aca="false">J354-L354</f>
        <v>-1.2</v>
      </c>
      <c r="O354" s="7" t="n">
        <f aca="false">O353+N354</f>
        <v>184.1</v>
      </c>
      <c r="P354" s="7" t="n">
        <v>315</v>
      </c>
      <c r="Q354" s="17" t="n">
        <f aca="false">1.15+((P354-261)/57)*(0.35-1.15)</f>
        <v>0.392105263157895</v>
      </c>
      <c r="R354" s="15" t="n">
        <f aca="false">Q354*L354</f>
        <v>0.470526315789474</v>
      </c>
      <c r="S354" s="15" t="n">
        <f aca="false">J354-R354</f>
        <v>-0.470526315789474</v>
      </c>
      <c r="T354" s="15" t="n">
        <f aca="false">MIN(189.6,(T353+S354))</f>
        <v>187.383070175439</v>
      </c>
      <c r="V354" s="16" t="n">
        <v>834.4</v>
      </c>
      <c r="W354" s="7" t="n">
        <f aca="false">V354/D354</f>
        <v>47.9540229885058</v>
      </c>
      <c r="X354" s="7" t="n">
        <f aca="false">X353+V354</f>
        <v>260662.8</v>
      </c>
      <c r="Y354" s="7" t="n">
        <f aca="false">Y353+V354</f>
        <v>8617.1</v>
      </c>
      <c r="AA354" s="7" t="n">
        <v>15.8966550528422</v>
      </c>
    </row>
    <row r="355" s="7" customFormat="true" ht="15" hidden="false" customHeight="false" outlineLevel="0" collapsed="false">
      <c r="A355" s="72"/>
      <c r="B355" s="72"/>
      <c r="C355" s="8" t="n">
        <v>41836</v>
      </c>
      <c r="D355" s="7" t="n">
        <v>21</v>
      </c>
      <c r="E355" s="7" t="n">
        <v>14.2</v>
      </c>
      <c r="F355" s="7" t="n">
        <v>27.1</v>
      </c>
      <c r="G355" s="7" t="n">
        <f aca="false">G354+D355</f>
        <v>3217.9</v>
      </c>
      <c r="H355" s="7" t="n">
        <f aca="false">H354+D355</f>
        <v>164.3</v>
      </c>
      <c r="J355" s="7" t="n">
        <v>0</v>
      </c>
      <c r="K355" s="7" t="n">
        <f aca="false">K354+J355</f>
        <v>749</v>
      </c>
      <c r="L355" s="7" t="n">
        <v>3.2</v>
      </c>
      <c r="M355" s="7" t="n">
        <f aca="false">M354+L355</f>
        <v>481.3</v>
      </c>
      <c r="N355" s="14" t="n">
        <f aca="false">J355-L355</f>
        <v>-3.2</v>
      </c>
      <c r="O355" s="7" t="n">
        <f aca="false">O354+N355</f>
        <v>180.9</v>
      </c>
      <c r="P355" s="7" t="n">
        <v>316</v>
      </c>
      <c r="Q355" s="17" t="n">
        <f aca="false">1.15+((P355-261)/57)*(0.35-1.15)</f>
        <v>0.378070175438596</v>
      </c>
      <c r="R355" s="15" t="n">
        <f aca="false">Q355*L355</f>
        <v>1.20982456140351</v>
      </c>
      <c r="S355" s="15" t="n">
        <f aca="false">J355-R355</f>
        <v>-1.20982456140351</v>
      </c>
      <c r="T355" s="15" t="n">
        <f aca="false">MIN(189.6,(T354+S355))</f>
        <v>186.173245614035</v>
      </c>
      <c r="V355" s="7" t="n">
        <v>1639.5</v>
      </c>
      <c r="W355" s="7" t="n">
        <f aca="false">V355/D355</f>
        <v>78.0714285714286</v>
      </c>
      <c r="X355" s="7" t="n">
        <f aca="false">X354+V355</f>
        <v>262302.3</v>
      </c>
      <c r="Y355" s="7" t="n">
        <f aca="false">Y354+V355</f>
        <v>10256.6</v>
      </c>
      <c r="AA355" s="7" t="n">
        <v>15.8629018029114</v>
      </c>
    </row>
    <row r="356" s="7" customFormat="true" ht="15" hidden="false" customHeight="false" outlineLevel="0" collapsed="false">
      <c r="A356" s="72"/>
      <c r="B356" s="72"/>
      <c r="C356" s="8" t="n">
        <v>41837</v>
      </c>
      <c r="D356" s="7" t="n">
        <v>22.7</v>
      </c>
      <c r="E356" s="7" t="n">
        <v>15.4</v>
      </c>
      <c r="F356" s="7" t="n">
        <v>28.3</v>
      </c>
      <c r="G356" s="7" t="n">
        <f aca="false">G355+D356</f>
        <v>3240.6</v>
      </c>
      <c r="H356" s="7" t="n">
        <f aca="false">H355+D356</f>
        <v>187</v>
      </c>
      <c r="J356" s="7" t="n">
        <v>0</v>
      </c>
      <c r="K356" s="7" t="n">
        <f aca="false">K355+J356</f>
        <v>749</v>
      </c>
      <c r="L356" s="7" t="n">
        <v>4.1</v>
      </c>
      <c r="M356" s="7" t="n">
        <f aca="false">M355+L356</f>
        <v>485.4</v>
      </c>
      <c r="N356" s="14" t="n">
        <f aca="false">J356-L356</f>
        <v>-4.1</v>
      </c>
      <c r="O356" s="7" t="n">
        <f aca="false">O355+N356</f>
        <v>176.8</v>
      </c>
      <c r="P356" s="7" t="n">
        <v>317</v>
      </c>
      <c r="Q356" s="17" t="n">
        <f aca="false">1.15+((P356-261)/57)*(0.35-1.15)</f>
        <v>0.364035087719298</v>
      </c>
      <c r="R356" s="15" t="n">
        <f aca="false">Q356*L356</f>
        <v>1.49254385964912</v>
      </c>
      <c r="S356" s="15" t="n">
        <f aca="false">J356-R356</f>
        <v>-1.49254385964912</v>
      </c>
      <c r="T356" s="15" t="n">
        <f aca="false">MIN(189.6,(T355+S356))</f>
        <v>184.680701754386</v>
      </c>
      <c r="V356" s="7" t="n">
        <v>1915.9</v>
      </c>
      <c r="W356" s="7" t="n">
        <f aca="false">V356/D356</f>
        <v>84.4008810572687</v>
      </c>
      <c r="X356" s="7" t="n">
        <f aca="false">X355+V356</f>
        <v>264218.2</v>
      </c>
      <c r="Y356" s="7" t="n">
        <f aca="false">Y355+V356</f>
        <v>12172.5</v>
      </c>
      <c r="AA356" s="7" t="n">
        <v>15.8280546013505</v>
      </c>
    </row>
    <row r="357" s="7" customFormat="true" ht="15" hidden="false" customHeight="false" outlineLevel="0" collapsed="false">
      <c r="A357" s="72"/>
      <c r="B357" s="72"/>
      <c r="C357" s="8" t="n">
        <v>41838</v>
      </c>
      <c r="D357" s="7" t="n">
        <v>25.6</v>
      </c>
      <c r="E357" s="7" t="n">
        <v>19.2</v>
      </c>
      <c r="F357" s="7" t="n">
        <v>31.7</v>
      </c>
      <c r="G357" s="7" t="n">
        <f aca="false">G356+D357</f>
        <v>3266.2</v>
      </c>
      <c r="H357" s="7" t="n">
        <f aca="false">H356+D357</f>
        <v>212.6</v>
      </c>
      <c r="J357" s="7" t="n">
        <v>0</v>
      </c>
      <c r="K357" s="7" t="n">
        <f aca="false">K356+J357</f>
        <v>749</v>
      </c>
      <c r="L357" s="7" t="n">
        <v>5.9</v>
      </c>
      <c r="M357" s="7" t="n">
        <f aca="false">M356+L357</f>
        <v>491.3</v>
      </c>
      <c r="N357" s="14" t="n">
        <f aca="false">J357-L357</f>
        <v>-5.9</v>
      </c>
      <c r="O357" s="7" t="n">
        <f aca="false">O356+N357</f>
        <v>170.9</v>
      </c>
      <c r="P357" s="7" t="n">
        <v>318</v>
      </c>
      <c r="Q357" s="17" t="n">
        <f aca="false">1.15+((P357-261)/57)*(0.35-1.15)</f>
        <v>0.35</v>
      </c>
      <c r="R357" s="15" t="n">
        <f aca="false">Q357*L357</f>
        <v>2.065</v>
      </c>
      <c r="S357" s="15" t="n">
        <f aca="false">J357-R357</f>
        <v>-2.065</v>
      </c>
      <c r="T357" s="15" t="n">
        <f aca="false">MIN(189.6,(T356+S357))</f>
        <v>182.615701754386</v>
      </c>
      <c r="V357" s="7" t="n">
        <v>2512.4</v>
      </c>
      <c r="W357" s="7" t="n">
        <f aca="false">V357/D357</f>
        <v>98.140625</v>
      </c>
      <c r="X357" s="7" t="n">
        <f aca="false">X356+V357</f>
        <v>266730.6</v>
      </c>
      <c r="Y357" s="7" t="n">
        <f aca="false">Y356+V357</f>
        <v>14684.9</v>
      </c>
      <c r="AA357" s="7" t="n">
        <v>15.7921415463214</v>
      </c>
    </row>
    <row r="358" s="7" customFormat="true" ht="15" hidden="false" customHeight="false" outlineLevel="0" collapsed="false">
      <c r="A358" s="73" t="s">
        <v>59</v>
      </c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</sheetData>
  <mergeCells count="16">
    <mergeCell ref="D1:I2"/>
    <mergeCell ref="J1:U2"/>
    <mergeCell ref="V1:Z2"/>
    <mergeCell ref="P3:T3"/>
    <mergeCell ref="G4:H4"/>
    <mergeCell ref="X4:Y4"/>
    <mergeCell ref="A39:Z39"/>
    <mergeCell ref="A40:A112"/>
    <mergeCell ref="A113:A143"/>
    <mergeCell ref="A144:A254"/>
    <mergeCell ref="A255:A275"/>
    <mergeCell ref="A276:A300"/>
    <mergeCell ref="A301:A320"/>
    <mergeCell ref="A321:A345"/>
    <mergeCell ref="A346:A357"/>
    <mergeCell ref="A358:Z358"/>
  </mergeCells>
  <conditionalFormatting sqref="T1:T4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63.2</formula>
    </cfRule>
  </conditionalFormatting>
  <conditionalFormatting sqref="T5:T358">
    <cfRule type="cellIs" priority="4" operator="equal" aboveAverage="0" equalAverage="0" bottom="0" percent="0" rank="0" text="" dxfId="2">
      <formula>0</formula>
    </cfRule>
    <cfRule type="cellIs" priority="5" operator="lessThanOrEqual" aboveAverage="0" equalAverage="0" bottom="0" percent="0" rank="0" text="" dxfId="3">
      <formula>63.2</formula>
    </cfRule>
  </conditionalFormatting>
  <conditionalFormatting sqref="S40:S357">
    <cfRule type="cellIs" priority="6" operator="lessThanOrEqual" aboveAverage="0" equalAverage="0" bottom="0" percent="0" rank="0" text="" dxfId="4">
      <formula>0</formula>
    </cfRule>
  </conditionalFormatting>
  <conditionalFormatting sqref="N5:N38">
    <cfRule type="cellIs" priority="7" operator="lessThanOrEqual" aboveAverage="0" equalAverage="0" bottom="0" percent="0" rank="0" text="" dxfId="5">
      <formula>0</formula>
    </cfRule>
    <cfRule type="cellIs" priority="8" operator="lessThanOr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I206" activePane="bottomRight" state="frozen"/>
      <selection pane="topLeft" activeCell="A1" activeCellId="0" sqref="A1"/>
      <selection pane="topRight" activeCell="I1" activeCellId="0" sqref="I1"/>
      <selection pane="bottomLeft" activeCell="A206" activeCellId="0" sqref="A206"/>
      <selection pane="bottomRight" activeCell="AB220" activeCellId="0" sqref="AB220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 t="s">
        <v>3</v>
      </c>
      <c r="Q3" s="2"/>
      <c r="R3" s="2"/>
      <c r="S3" s="2"/>
      <c r="T3" s="2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60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61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</row>
    <row r="5" s="7" customFormat="true" ht="15" hidden="false" customHeight="false" outlineLevel="0" collapsed="false">
      <c r="C5" s="8" t="n">
        <v>41487</v>
      </c>
      <c r="D5" s="7" t="n">
        <v>25.1</v>
      </c>
      <c r="E5" s="7" t="n">
        <v>14.5</v>
      </c>
      <c r="F5" s="7" t="n">
        <v>31.6</v>
      </c>
      <c r="G5" s="5"/>
      <c r="H5" s="5"/>
      <c r="J5" s="7" t="n">
        <v>0</v>
      </c>
      <c r="L5" s="7" t="n">
        <v>5.7</v>
      </c>
      <c r="N5" s="7" t="n">
        <f aca="false">J5-L5</f>
        <v>-5.7</v>
      </c>
      <c r="O5" s="7" t="n">
        <v>0</v>
      </c>
      <c r="T5" s="7" t="n">
        <v>0</v>
      </c>
      <c r="V5" s="7" t="n">
        <v>2518.2</v>
      </c>
      <c r="X5" s="5"/>
      <c r="Y5" s="5"/>
    </row>
    <row r="6" s="7" customFormat="true" ht="15" hidden="false" customHeight="false" outlineLevel="0" collapsed="false">
      <c r="C6" s="8" t="n">
        <v>41488</v>
      </c>
      <c r="D6" s="7" t="n">
        <v>24.2</v>
      </c>
      <c r="E6" s="7" t="n">
        <v>20</v>
      </c>
      <c r="F6" s="7" t="n">
        <v>33.2</v>
      </c>
      <c r="G6" s="5"/>
      <c r="H6" s="5"/>
      <c r="J6" s="7" t="n">
        <v>0</v>
      </c>
      <c r="L6" s="7" t="n">
        <v>6</v>
      </c>
      <c r="N6" s="7" t="n">
        <f aca="false">J6-L6</f>
        <v>-6</v>
      </c>
      <c r="O6" s="7" t="n">
        <v>0</v>
      </c>
      <c r="T6" s="7" t="n">
        <v>0</v>
      </c>
      <c r="V6" s="7" t="n">
        <v>2133.8</v>
      </c>
      <c r="X6" s="5"/>
      <c r="Y6" s="5"/>
    </row>
    <row r="7" s="7" customFormat="true" ht="15" hidden="false" customHeight="false" outlineLevel="0" collapsed="false">
      <c r="C7" s="8" t="n">
        <v>41489</v>
      </c>
      <c r="D7" s="7" t="n">
        <v>19.5</v>
      </c>
      <c r="E7" s="7" t="n">
        <v>17.4</v>
      </c>
      <c r="F7" s="7" t="n">
        <v>23</v>
      </c>
      <c r="G7" s="5"/>
      <c r="H7" s="5"/>
      <c r="J7" s="7" t="n">
        <v>0</v>
      </c>
      <c r="L7" s="7" t="n">
        <v>4.2</v>
      </c>
      <c r="N7" s="7" t="n">
        <f aca="false">J7-L7</f>
        <v>-4.2</v>
      </c>
      <c r="O7" s="7" t="n">
        <v>0</v>
      </c>
      <c r="T7" s="7" t="n">
        <v>0</v>
      </c>
      <c r="V7" s="7" t="n">
        <v>1938.1</v>
      </c>
      <c r="X7" s="5"/>
      <c r="Y7" s="5"/>
    </row>
    <row r="8" s="7" customFormat="true" ht="15" hidden="false" customHeight="false" outlineLevel="0" collapsed="false">
      <c r="C8" s="8" t="n">
        <v>41490</v>
      </c>
      <c r="D8" s="7" t="n">
        <v>19.6</v>
      </c>
      <c r="E8" s="7" t="n">
        <v>13.4</v>
      </c>
      <c r="F8" s="7" t="n">
        <v>25.5</v>
      </c>
      <c r="G8" s="5"/>
      <c r="H8" s="5"/>
      <c r="J8" s="7" t="n">
        <v>0</v>
      </c>
      <c r="L8" s="7" t="n">
        <v>3.7</v>
      </c>
      <c r="N8" s="7" t="n">
        <f aca="false">J8-L8</f>
        <v>-3.7</v>
      </c>
      <c r="O8" s="7" t="n">
        <v>0</v>
      </c>
      <c r="T8" s="7" t="n">
        <v>0</v>
      </c>
      <c r="V8" s="7" t="n">
        <v>1732.9</v>
      </c>
      <c r="X8" s="5"/>
      <c r="Y8" s="5"/>
    </row>
    <row r="9" s="7" customFormat="true" ht="15" hidden="false" customHeight="false" outlineLevel="0" collapsed="false">
      <c r="C9" s="8" t="n">
        <v>41491</v>
      </c>
      <c r="D9" s="7" t="n">
        <v>21.3</v>
      </c>
      <c r="E9" s="7" t="n">
        <v>14</v>
      </c>
      <c r="F9" s="7" t="n">
        <v>28.2</v>
      </c>
      <c r="G9" s="5"/>
      <c r="H9" s="5"/>
      <c r="J9" s="7" t="n">
        <v>0</v>
      </c>
      <c r="L9" s="7" t="n">
        <v>4.4</v>
      </c>
      <c r="N9" s="7" t="n">
        <f aca="false">J9-L9</f>
        <v>-4.4</v>
      </c>
      <c r="O9" s="7" t="n">
        <v>0</v>
      </c>
      <c r="T9" s="7" t="n">
        <v>0</v>
      </c>
      <c r="V9" s="7" t="n">
        <v>1839.8</v>
      </c>
      <c r="X9" s="5"/>
      <c r="Y9" s="5"/>
    </row>
    <row r="10" s="7" customFormat="true" ht="15" hidden="false" customHeight="false" outlineLevel="0" collapsed="false">
      <c r="C10" s="8" t="n">
        <v>41492</v>
      </c>
      <c r="D10" s="7" t="n">
        <v>19.4</v>
      </c>
      <c r="E10" s="7" t="n">
        <v>15.4</v>
      </c>
      <c r="F10" s="7" t="n">
        <v>23.1</v>
      </c>
      <c r="G10" s="5"/>
      <c r="H10" s="5"/>
      <c r="J10" s="7" t="n">
        <v>0</v>
      </c>
      <c r="L10" s="7" t="n">
        <v>2</v>
      </c>
      <c r="N10" s="7" t="n">
        <f aca="false">J10-L10</f>
        <v>-2</v>
      </c>
      <c r="O10" s="7" t="n">
        <v>0</v>
      </c>
      <c r="T10" s="7" t="n">
        <v>0</v>
      </c>
      <c r="V10" s="7" t="n">
        <v>973.6</v>
      </c>
      <c r="X10" s="5"/>
      <c r="Y10" s="5"/>
    </row>
    <row r="11" s="7" customFormat="true" ht="15" hidden="false" customHeight="false" outlineLevel="0" collapsed="false">
      <c r="C11" s="8" t="n">
        <v>41493</v>
      </c>
      <c r="D11" s="7" t="n">
        <v>16.5</v>
      </c>
      <c r="E11" s="7" t="n">
        <v>16.3</v>
      </c>
      <c r="F11" s="7" t="n">
        <v>17.7</v>
      </c>
      <c r="G11" s="5"/>
      <c r="H11" s="5"/>
      <c r="J11" s="7" t="n">
        <v>13.2</v>
      </c>
      <c r="L11" s="7" t="n">
        <v>1.5</v>
      </c>
      <c r="N11" s="7" t="n">
        <f aca="false">J11-L11</f>
        <v>11.7</v>
      </c>
      <c r="O11" s="7" t="n">
        <f aca="false">O10+N11</f>
        <v>11.7</v>
      </c>
      <c r="T11" s="7" t="n">
        <v>11.7</v>
      </c>
      <c r="V11" s="7" t="n">
        <v>641.2</v>
      </c>
      <c r="X11" s="5"/>
      <c r="Y11" s="5"/>
    </row>
    <row r="12" s="7" customFormat="true" ht="15" hidden="false" customHeight="false" outlineLevel="0" collapsed="false">
      <c r="C12" s="8" t="n">
        <v>41494</v>
      </c>
      <c r="D12" s="7" t="n">
        <v>16.5</v>
      </c>
      <c r="E12" s="7" t="n">
        <v>12.6</v>
      </c>
      <c r="F12" s="7" t="n">
        <v>20.8</v>
      </c>
      <c r="G12" s="5"/>
      <c r="H12" s="5"/>
      <c r="J12" s="7" t="n">
        <v>0</v>
      </c>
      <c r="L12" s="7" t="n">
        <v>3.2</v>
      </c>
      <c r="N12" s="7" t="n">
        <f aca="false">J12-L12</f>
        <v>-3.2</v>
      </c>
      <c r="O12" s="7" t="n">
        <f aca="false">O11+N12</f>
        <v>8.5</v>
      </c>
      <c r="T12" s="7" t="n">
        <v>8.5</v>
      </c>
      <c r="V12" s="7" t="n">
        <v>1642.1</v>
      </c>
      <c r="X12" s="5"/>
      <c r="Y12" s="5"/>
    </row>
    <row r="13" s="7" customFormat="true" ht="15" hidden="false" customHeight="false" outlineLevel="0" collapsed="false">
      <c r="C13" s="8" t="n">
        <v>41495</v>
      </c>
      <c r="D13" s="7" t="n">
        <v>17.4</v>
      </c>
      <c r="E13" s="7" t="n">
        <v>12</v>
      </c>
      <c r="F13" s="7" t="n">
        <v>23.8</v>
      </c>
      <c r="G13" s="5"/>
      <c r="H13" s="5"/>
      <c r="J13" s="7" t="n">
        <v>0.1</v>
      </c>
      <c r="L13" s="7" t="n">
        <v>4.2</v>
      </c>
      <c r="N13" s="7" t="n">
        <f aca="false">J13-L13</f>
        <v>-4.1</v>
      </c>
      <c r="O13" s="7" t="n">
        <f aca="false">O12+N13</f>
        <v>4.4</v>
      </c>
      <c r="T13" s="7" t="n">
        <v>4.4</v>
      </c>
      <c r="V13" s="7" t="n">
        <v>1968.6</v>
      </c>
      <c r="X13" s="5"/>
      <c r="Y13" s="5"/>
    </row>
    <row r="14" s="7" customFormat="true" ht="15" hidden="false" customHeight="false" outlineLevel="0" collapsed="false">
      <c r="C14" s="8" t="n">
        <v>41496</v>
      </c>
      <c r="D14" s="7" t="n">
        <v>15.8</v>
      </c>
      <c r="E14" s="7" t="n">
        <v>11.9</v>
      </c>
      <c r="F14" s="7" t="n">
        <v>20.5</v>
      </c>
      <c r="G14" s="5"/>
      <c r="H14" s="5"/>
      <c r="J14" s="7" t="n">
        <v>0</v>
      </c>
      <c r="L14" s="7" t="n">
        <v>3.3</v>
      </c>
      <c r="N14" s="7" t="n">
        <f aca="false">J14-L14</f>
        <v>-3.3</v>
      </c>
      <c r="O14" s="7" t="n">
        <f aca="false">O13+N14</f>
        <v>1.1</v>
      </c>
      <c r="T14" s="7" t="n">
        <v>1.1</v>
      </c>
      <c r="V14" s="7" t="n">
        <v>1703.5</v>
      </c>
      <c r="X14" s="5"/>
      <c r="Y14" s="5"/>
    </row>
    <row r="15" s="7" customFormat="true" ht="15" hidden="false" customHeight="false" outlineLevel="0" collapsed="false">
      <c r="C15" s="8" t="n">
        <v>41497</v>
      </c>
      <c r="D15" s="7" t="n">
        <v>16.9</v>
      </c>
      <c r="E15" s="7" t="n">
        <v>9.4</v>
      </c>
      <c r="F15" s="7" t="n">
        <v>22.2</v>
      </c>
      <c r="G15" s="5"/>
      <c r="H15" s="5"/>
      <c r="J15" s="7" t="n">
        <v>0.6</v>
      </c>
      <c r="L15" s="7" t="n">
        <v>2.4</v>
      </c>
      <c r="N15" s="7" t="n">
        <f aca="false">J15-L15</f>
        <v>-1.8</v>
      </c>
      <c r="O15" s="7" t="n">
        <v>0</v>
      </c>
      <c r="T15" s="7" t="n">
        <v>0</v>
      </c>
      <c r="V15" s="7" t="n">
        <v>1159.7</v>
      </c>
      <c r="X15" s="5"/>
      <c r="Y15" s="5"/>
    </row>
    <row r="16" s="7" customFormat="true" ht="15" hidden="false" customHeight="false" outlineLevel="0" collapsed="false">
      <c r="C16" s="8" t="n">
        <v>41498</v>
      </c>
      <c r="D16" s="7" t="n">
        <v>16.8</v>
      </c>
      <c r="E16" s="7" t="n">
        <v>15</v>
      </c>
      <c r="F16" s="7" t="n">
        <v>20.3</v>
      </c>
      <c r="G16" s="5"/>
      <c r="H16" s="5"/>
      <c r="J16" s="7" t="n">
        <v>0</v>
      </c>
      <c r="L16" s="7" t="n">
        <v>3.2</v>
      </c>
      <c r="N16" s="7" t="n">
        <f aca="false">J16-L16</f>
        <v>-3.2</v>
      </c>
      <c r="O16" s="7" t="n">
        <v>0</v>
      </c>
      <c r="T16" s="7" t="n">
        <v>0</v>
      </c>
      <c r="V16" s="7" t="n">
        <v>1582.9</v>
      </c>
      <c r="X16" s="5"/>
      <c r="Y16" s="5"/>
    </row>
    <row r="17" s="7" customFormat="true" ht="15" hidden="false" customHeight="false" outlineLevel="0" collapsed="false">
      <c r="C17" s="8" t="n">
        <v>41499</v>
      </c>
      <c r="D17" s="7" t="n">
        <v>15.6</v>
      </c>
      <c r="E17" s="7" t="n">
        <v>11.8</v>
      </c>
      <c r="F17" s="7" t="n">
        <v>19.7</v>
      </c>
      <c r="G17" s="5"/>
      <c r="H17" s="5"/>
      <c r="J17" s="7" t="n">
        <v>0</v>
      </c>
      <c r="L17" s="7" t="n">
        <v>3.1</v>
      </c>
      <c r="N17" s="7" t="n">
        <f aca="false">J17-L17</f>
        <v>-3.1</v>
      </c>
      <c r="O17" s="7" t="n">
        <v>0</v>
      </c>
      <c r="T17" s="7" t="n">
        <v>0</v>
      </c>
      <c r="V17" s="7" t="n">
        <v>1592.5</v>
      </c>
      <c r="X17" s="5"/>
      <c r="Y17" s="5"/>
    </row>
    <row r="18" s="7" customFormat="true" ht="15" hidden="false" customHeight="false" outlineLevel="0" collapsed="false">
      <c r="C18" s="8" t="n">
        <v>41500</v>
      </c>
      <c r="D18" s="7" t="n">
        <v>17.1</v>
      </c>
      <c r="E18" s="7" t="n">
        <v>12.8</v>
      </c>
      <c r="F18" s="7" t="n">
        <v>21.9</v>
      </c>
      <c r="G18" s="5"/>
      <c r="H18" s="5"/>
      <c r="J18" s="7" t="n">
        <v>0</v>
      </c>
      <c r="L18" s="7" t="n">
        <v>3.7</v>
      </c>
      <c r="N18" s="7" t="n">
        <f aca="false">J18-L18</f>
        <v>-3.7</v>
      </c>
      <c r="O18" s="7" t="n">
        <v>0</v>
      </c>
      <c r="T18" s="7" t="n">
        <v>0</v>
      </c>
      <c r="V18" s="7" t="n">
        <v>1977.6</v>
      </c>
      <c r="X18" s="5"/>
      <c r="Y18" s="5"/>
    </row>
    <row r="19" s="7" customFormat="true" ht="15" hidden="false" customHeight="false" outlineLevel="0" collapsed="false">
      <c r="C19" s="8" t="n">
        <v>41501</v>
      </c>
      <c r="D19" s="7" t="n">
        <v>18.7</v>
      </c>
      <c r="E19" s="7" t="n">
        <v>11.7</v>
      </c>
      <c r="F19" s="7" t="n">
        <v>24.7</v>
      </c>
      <c r="G19" s="5"/>
      <c r="H19" s="5"/>
      <c r="J19" s="7" t="n">
        <v>0</v>
      </c>
      <c r="L19" s="7" t="n">
        <v>3</v>
      </c>
      <c r="N19" s="7" t="n">
        <f aca="false">J19-L19</f>
        <v>-3</v>
      </c>
      <c r="O19" s="7" t="n">
        <v>0</v>
      </c>
      <c r="T19" s="7" t="n">
        <v>0</v>
      </c>
      <c r="V19" s="7" t="n">
        <v>1436</v>
      </c>
      <c r="X19" s="5"/>
      <c r="Y19" s="5"/>
    </row>
    <row r="20" s="7" customFormat="true" ht="15" hidden="false" customHeight="false" outlineLevel="0" collapsed="false">
      <c r="C20" s="8" t="n">
        <v>41502</v>
      </c>
      <c r="D20" s="7" t="n">
        <v>19.5</v>
      </c>
      <c r="E20" s="7" t="n">
        <v>13.4</v>
      </c>
      <c r="F20" s="7" t="n">
        <v>27.5</v>
      </c>
      <c r="G20" s="5"/>
      <c r="H20" s="5"/>
      <c r="J20" s="7" t="n">
        <v>0.2</v>
      </c>
      <c r="L20" s="7" t="n">
        <v>3.4</v>
      </c>
      <c r="N20" s="7" t="n">
        <f aca="false">J20-L20</f>
        <v>-3.2</v>
      </c>
      <c r="O20" s="7" t="n">
        <v>0</v>
      </c>
      <c r="T20" s="7" t="n">
        <v>0</v>
      </c>
      <c r="V20" s="7" t="n">
        <v>1164.3</v>
      </c>
      <c r="X20" s="5"/>
      <c r="Y20" s="5"/>
    </row>
    <row r="21" s="7" customFormat="true" ht="15" hidden="false" customHeight="false" outlineLevel="0" collapsed="false">
      <c r="C21" s="8" t="n">
        <v>41503</v>
      </c>
      <c r="D21" s="7" t="n">
        <v>20.3</v>
      </c>
      <c r="E21" s="7" t="n">
        <v>16.2</v>
      </c>
      <c r="F21" s="7" t="n">
        <v>23.9</v>
      </c>
      <c r="G21" s="5"/>
      <c r="H21" s="5"/>
      <c r="J21" s="7" t="n">
        <v>1.7</v>
      </c>
      <c r="L21" s="7" t="n">
        <v>3.2</v>
      </c>
      <c r="N21" s="7" t="n">
        <f aca="false">J21-L21</f>
        <v>-1.5</v>
      </c>
      <c r="O21" s="7" t="n">
        <v>0</v>
      </c>
      <c r="T21" s="7" t="n">
        <v>0</v>
      </c>
      <c r="V21" s="7" t="n">
        <v>1260.4</v>
      </c>
      <c r="X21" s="5"/>
      <c r="Y21" s="5"/>
    </row>
    <row r="22" s="7" customFormat="true" ht="15" hidden="false" customHeight="false" outlineLevel="0" collapsed="false">
      <c r="C22" s="8" t="n">
        <v>41504</v>
      </c>
      <c r="D22" s="7" t="n">
        <v>18.9</v>
      </c>
      <c r="E22" s="7" t="n">
        <v>18</v>
      </c>
      <c r="F22" s="7" t="n">
        <v>20.3</v>
      </c>
      <c r="G22" s="5"/>
      <c r="H22" s="5"/>
      <c r="J22" s="7" t="n">
        <v>9.2</v>
      </c>
      <c r="L22" s="7" t="n">
        <v>1.7</v>
      </c>
      <c r="N22" s="7" t="n">
        <f aca="false">J22-L22</f>
        <v>7.5</v>
      </c>
      <c r="O22" s="7" t="n">
        <f aca="false">O21+N22</f>
        <v>7.5</v>
      </c>
      <c r="T22" s="7" t="n">
        <v>7.5</v>
      </c>
      <c r="V22" s="7" t="n">
        <v>607.1</v>
      </c>
      <c r="X22" s="5"/>
      <c r="Y22" s="5"/>
    </row>
    <row r="23" s="7" customFormat="true" ht="15" hidden="false" customHeight="false" outlineLevel="0" collapsed="false">
      <c r="C23" s="8" t="n">
        <v>41505</v>
      </c>
      <c r="D23" s="7" t="n">
        <v>16.8</v>
      </c>
      <c r="E23" s="7" t="n">
        <v>15.1</v>
      </c>
      <c r="F23" s="7" t="n">
        <v>20.6</v>
      </c>
      <c r="G23" s="5"/>
      <c r="H23" s="5"/>
      <c r="J23" s="7" t="n">
        <v>0.1</v>
      </c>
      <c r="L23" s="7" t="n">
        <v>3.7</v>
      </c>
      <c r="N23" s="7" t="n">
        <f aca="false">J23-L23</f>
        <v>-3.6</v>
      </c>
      <c r="O23" s="7" t="n">
        <f aca="false">O22+N23</f>
        <v>3.9</v>
      </c>
      <c r="T23" s="7" t="n">
        <v>3.9</v>
      </c>
      <c r="V23" s="7" t="n">
        <v>1603.3</v>
      </c>
      <c r="X23" s="5"/>
      <c r="Y23" s="5"/>
    </row>
    <row r="24" s="7" customFormat="true" ht="15" hidden="false" customHeight="false" outlineLevel="0" collapsed="false">
      <c r="C24" s="8" t="n">
        <v>41506</v>
      </c>
      <c r="D24" s="7" t="n">
        <v>16.1</v>
      </c>
      <c r="E24" s="7" t="n">
        <v>10</v>
      </c>
      <c r="F24" s="7" t="n">
        <v>21.9</v>
      </c>
      <c r="G24" s="5"/>
      <c r="H24" s="5"/>
      <c r="J24" s="7" t="n">
        <v>0</v>
      </c>
      <c r="L24" s="7" t="n">
        <v>3.5</v>
      </c>
      <c r="N24" s="7" t="n">
        <f aca="false">J24-L24</f>
        <v>-3.5</v>
      </c>
      <c r="O24" s="7" t="n">
        <f aca="false">O23+N24</f>
        <v>0.399999999999999</v>
      </c>
      <c r="T24" s="7" t="n">
        <v>0.4</v>
      </c>
      <c r="V24" s="7" t="n">
        <v>1899.2</v>
      </c>
      <c r="X24" s="5"/>
      <c r="Y24" s="5"/>
    </row>
    <row r="25" s="7" customFormat="true" ht="15" hidden="false" customHeight="false" outlineLevel="0" collapsed="false">
      <c r="C25" s="8" t="n">
        <v>41507</v>
      </c>
      <c r="D25" s="7" t="n">
        <v>17.8</v>
      </c>
      <c r="E25" s="7" t="n">
        <v>11.2</v>
      </c>
      <c r="F25" s="7" t="n">
        <v>23.9</v>
      </c>
      <c r="G25" s="5"/>
      <c r="H25" s="5"/>
      <c r="J25" s="7" t="n">
        <v>0</v>
      </c>
      <c r="L25" s="7" t="n">
        <v>4.3</v>
      </c>
      <c r="N25" s="7" t="n">
        <f aca="false">J25-L25</f>
        <v>-4.3</v>
      </c>
      <c r="O25" s="7" t="n">
        <v>0</v>
      </c>
      <c r="T25" s="7" t="n">
        <v>0</v>
      </c>
      <c r="V25" s="7" t="n">
        <v>2177.3</v>
      </c>
      <c r="X25" s="5"/>
      <c r="Y25" s="5"/>
    </row>
    <row r="26" s="7" customFormat="true" ht="15" hidden="false" customHeight="false" outlineLevel="0" collapsed="false">
      <c r="C26" s="8" t="n">
        <v>41508</v>
      </c>
      <c r="D26" s="7" t="n">
        <v>19.1</v>
      </c>
      <c r="E26" s="7" t="n">
        <v>13.2</v>
      </c>
      <c r="F26" s="7" t="n">
        <v>24</v>
      </c>
      <c r="G26" s="5"/>
      <c r="H26" s="5"/>
      <c r="J26" s="7" t="n">
        <v>0</v>
      </c>
      <c r="L26" s="7" t="n">
        <v>3</v>
      </c>
      <c r="N26" s="7" t="n">
        <f aca="false">J26-L26</f>
        <v>-3</v>
      </c>
      <c r="O26" s="7" t="n">
        <v>0</v>
      </c>
      <c r="T26" s="7" t="n">
        <v>0</v>
      </c>
      <c r="V26" s="7" t="n">
        <v>1359.4</v>
      </c>
      <c r="X26" s="5"/>
      <c r="Y26" s="5"/>
    </row>
    <row r="27" s="7" customFormat="true" ht="15" hidden="false" customHeight="false" outlineLevel="0" collapsed="false">
      <c r="C27" s="8" t="n">
        <v>41509</v>
      </c>
      <c r="D27" s="7" t="n">
        <v>21.2</v>
      </c>
      <c r="E27" s="7" t="n">
        <v>15.3</v>
      </c>
      <c r="F27" s="7" t="n">
        <v>27.7</v>
      </c>
      <c r="G27" s="5"/>
      <c r="H27" s="5"/>
      <c r="J27" s="7" t="n">
        <v>2.1</v>
      </c>
      <c r="L27" s="7" t="n">
        <v>4.1</v>
      </c>
      <c r="N27" s="7" t="n">
        <f aca="false">J27-L27</f>
        <v>-2</v>
      </c>
      <c r="O27" s="7" t="n">
        <v>0</v>
      </c>
      <c r="T27" s="7" t="n">
        <v>0</v>
      </c>
      <c r="V27" s="7" t="n">
        <v>1711.8</v>
      </c>
      <c r="X27" s="5"/>
      <c r="Y27" s="5"/>
    </row>
    <row r="28" s="7" customFormat="true" ht="15" hidden="false" customHeight="false" outlineLevel="0" collapsed="false">
      <c r="C28" s="8" t="n">
        <v>41510</v>
      </c>
      <c r="D28" s="7" t="n">
        <v>16.6</v>
      </c>
      <c r="E28" s="7" t="n">
        <v>16</v>
      </c>
      <c r="F28" s="7" t="n">
        <v>17.2</v>
      </c>
      <c r="G28" s="5"/>
      <c r="H28" s="5"/>
      <c r="J28" s="7" t="n">
        <v>20.2</v>
      </c>
      <c r="L28" s="7" t="n">
        <v>1.1</v>
      </c>
      <c r="N28" s="7" t="n">
        <f aca="false">J28-L28</f>
        <v>19.1</v>
      </c>
      <c r="O28" s="7" t="n">
        <f aca="false">O27+N28</f>
        <v>19.1</v>
      </c>
      <c r="T28" s="7" t="n">
        <v>19.1</v>
      </c>
      <c r="V28" s="7" t="n">
        <v>403</v>
      </c>
      <c r="X28" s="5"/>
      <c r="Y28" s="5"/>
    </row>
    <row r="29" s="7" customFormat="true" ht="15" hidden="false" customHeight="false" outlineLevel="0" collapsed="false">
      <c r="C29" s="8" t="n">
        <v>41511</v>
      </c>
      <c r="D29" s="7" t="n">
        <v>14.2</v>
      </c>
      <c r="E29" s="7" t="n">
        <v>14.1</v>
      </c>
      <c r="F29" s="7" t="n">
        <v>15.1</v>
      </c>
      <c r="G29" s="5"/>
      <c r="H29" s="5"/>
      <c r="J29" s="7" t="n">
        <v>2.5</v>
      </c>
      <c r="L29" s="7" t="n">
        <v>1</v>
      </c>
      <c r="N29" s="7" t="n">
        <f aca="false">J29-L29</f>
        <v>1.5</v>
      </c>
      <c r="O29" s="7" t="n">
        <f aca="false">O28+N29</f>
        <v>20.6</v>
      </c>
      <c r="T29" s="7" t="n">
        <v>20.6</v>
      </c>
      <c r="V29" s="7" t="n">
        <v>470.4</v>
      </c>
      <c r="X29" s="5"/>
      <c r="Y29" s="5"/>
    </row>
    <row r="30" s="7" customFormat="true" ht="15" hidden="false" customHeight="false" outlineLevel="0" collapsed="false">
      <c r="C30" s="8" t="n">
        <v>41512</v>
      </c>
      <c r="D30" s="7" t="n">
        <v>17.2</v>
      </c>
      <c r="E30" s="7" t="n">
        <v>12.3</v>
      </c>
      <c r="F30" s="7" t="n">
        <v>22.7</v>
      </c>
      <c r="G30" s="5"/>
      <c r="H30" s="5"/>
      <c r="J30" s="7" t="n">
        <v>0</v>
      </c>
      <c r="L30" s="7" t="n">
        <v>3.4</v>
      </c>
      <c r="N30" s="7" t="n">
        <f aca="false">J30-L30</f>
        <v>-3.4</v>
      </c>
      <c r="O30" s="7" t="n">
        <f aca="false">O29+N30</f>
        <v>17.2</v>
      </c>
      <c r="T30" s="7" t="n">
        <v>17.2</v>
      </c>
      <c r="V30" s="7" t="n">
        <v>1707.5</v>
      </c>
      <c r="X30" s="5"/>
      <c r="Y30" s="5"/>
    </row>
    <row r="31" s="7" customFormat="true" ht="15" hidden="false" customHeight="false" outlineLevel="0" collapsed="false">
      <c r="C31" s="8" t="n">
        <v>41513</v>
      </c>
      <c r="D31" s="7" t="n">
        <v>18</v>
      </c>
      <c r="E31" s="7" t="n">
        <v>15.3</v>
      </c>
      <c r="F31" s="7" t="n">
        <v>21.6</v>
      </c>
      <c r="G31" s="5"/>
      <c r="H31" s="5"/>
      <c r="J31" s="7" t="n">
        <v>0</v>
      </c>
      <c r="L31" s="7" t="n">
        <v>2.8</v>
      </c>
      <c r="N31" s="7" t="n">
        <f aca="false">J31-L31</f>
        <v>-2.8</v>
      </c>
      <c r="O31" s="7" t="n">
        <f aca="false">O30+N31</f>
        <v>14.4</v>
      </c>
      <c r="T31" s="7" t="n">
        <v>14.4</v>
      </c>
      <c r="V31" s="7" t="n">
        <v>1276.6</v>
      </c>
      <c r="X31" s="5"/>
      <c r="Y31" s="5"/>
    </row>
    <row r="32" s="7" customFormat="true" ht="15" hidden="false" customHeight="false" outlineLevel="0" collapsed="false">
      <c r="C32" s="8" t="n">
        <v>41514</v>
      </c>
      <c r="D32" s="7" t="n">
        <v>17.1</v>
      </c>
      <c r="E32" s="7" t="n">
        <v>13.1</v>
      </c>
      <c r="F32" s="7" t="n">
        <v>22.6</v>
      </c>
      <c r="G32" s="5"/>
      <c r="H32" s="5"/>
      <c r="J32" s="7" t="n">
        <v>0.2</v>
      </c>
      <c r="L32" s="7" t="n">
        <v>3.5</v>
      </c>
      <c r="N32" s="7" t="n">
        <f aca="false">J32-L32</f>
        <v>-3.3</v>
      </c>
      <c r="O32" s="7" t="n">
        <f aca="false">O31+N32</f>
        <v>11.1</v>
      </c>
      <c r="T32" s="7" t="n">
        <v>11.1</v>
      </c>
      <c r="V32" s="7" t="n">
        <v>1566</v>
      </c>
      <c r="X32" s="5"/>
      <c r="Y32" s="5"/>
    </row>
    <row r="33" s="7" customFormat="true" ht="15" hidden="false" customHeight="false" outlineLevel="0" collapsed="false">
      <c r="C33" s="8" t="n">
        <v>41515</v>
      </c>
      <c r="D33" s="7" t="n">
        <v>16.4</v>
      </c>
      <c r="E33" s="7" t="n">
        <v>12.5</v>
      </c>
      <c r="F33" s="7" t="n">
        <v>21.8</v>
      </c>
      <c r="G33" s="5"/>
      <c r="H33" s="5"/>
      <c r="J33" s="7" t="n">
        <v>0</v>
      </c>
      <c r="L33" s="7" t="n">
        <v>3.4</v>
      </c>
      <c r="N33" s="7" t="n">
        <f aca="false">J33-L33</f>
        <v>-3.4</v>
      </c>
      <c r="O33" s="7" t="n">
        <f aca="false">O32+N33</f>
        <v>7.7</v>
      </c>
      <c r="T33" s="7" t="n">
        <v>7.7</v>
      </c>
      <c r="V33" s="7" t="n">
        <v>1767.9</v>
      </c>
      <c r="X33" s="5"/>
      <c r="Y33" s="5"/>
    </row>
    <row r="34" s="7" customFormat="true" ht="15" hidden="false" customHeight="false" outlineLevel="0" collapsed="false">
      <c r="C34" s="8" t="n">
        <v>41516</v>
      </c>
      <c r="D34" s="7" t="n">
        <v>16.4</v>
      </c>
      <c r="E34" s="7" t="n">
        <v>10.7</v>
      </c>
      <c r="F34" s="7" t="n">
        <v>21.5</v>
      </c>
      <c r="G34" s="5"/>
      <c r="H34" s="5"/>
      <c r="J34" s="7" t="n">
        <v>0</v>
      </c>
      <c r="L34" s="7" t="n">
        <v>2.6</v>
      </c>
      <c r="N34" s="7" t="n">
        <f aca="false">J34-L34</f>
        <v>-2.6</v>
      </c>
      <c r="O34" s="7" t="n">
        <f aca="false">O33+N34</f>
        <v>5.1</v>
      </c>
      <c r="T34" s="7" t="n">
        <v>5.1</v>
      </c>
      <c r="V34" s="7" t="n">
        <v>1394</v>
      </c>
      <c r="X34" s="5"/>
      <c r="Y34" s="5"/>
    </row>
    <row r="35" s="7" customFormat="true" ht="15" hidden="false" customHeight="false" outlineLevel="0" collapsed="false">
      <c r="C35" s="8" t="n">
        <v>41517</v>
      </c>
      <c r="D35" s="7" t="n">
        <v>16.8</v>
      </c>
      <c r="E35" s="7" t="n">
        <v>15.5</v>
      </c>
      <c r="F35" s="7" t="n">
        <v>20.4</v>
      </c>
      <c r="G35" s="5"/>
      <c r="H35" s="5"/>
      <c r="J35" s="7" t="n">
        <v>0</v>
      </c>
      <c r="L35" s="7" t="n">
        <v>1.9</v>
      </c>
      <c r="N35" s="7" t="n">
        <f aca="false">J35-L35</f>
        <v>-1.9</v>
      </c>
      <c r="O35" s="7" t="n">
        <f aca="false">O34+N35</f>
        <v>3.2</v>
      </c>
      <c r="T35" s="7" t="n">
        <v>3.2</v>
      </c>
      <c r="V35" s="7" t="n">
        <v>954.9</v>
      </c>
      <c r="X35" s="5"/>
      <c r="Y35" s="5"/>
    </row>
    <row r="36" s="7" customFormat="true" ht="15" hidden="false" customHeight="false" outlineLevel="0" collapsed="false">
      <c r="C36" s="8" t="n">
        <v>41518</v>
      </c>
      <c r="D36" s="7" t="n">
        <v>13.1</v>
      </c>
      <c r="E36" s="7" t="n">
        <v>8</v>
      </c>
      <c r="F36" s="7" t="n">
        <v>18.5</v>
      </c>
      <c r="G36" s="5"/>
      <c r="H36" s="5"/>
      <c r="J36" s="7" t="n">
        <v>0</v>
      </c>
      <c r="L36" s="7" t="n">
        <v>2.7</v>
      </c>
      <c r="N36" s="7" t="n">
        <f aca="false">J36-L36</f>
        <v>-2.7</v>
      </c>
      <c r="O36" s="7" t="n">
        <f aca="false">O35+N36</f>
        <v>0.499999999999998</v>
      </c>
      <c r="T36" s="7" t="n">
        <v>0.5</v>
      </c>
      <c r="V36" s="7" t="n">
        <v>1477.2</v>
      </c>
      <c r="X36" s="5"/>
      <c r="Y36" s="5"/>
    </row>
    <row r="37" s="7" customFormat="true" ht="15" hidden="false" customHeight="false" outlineLevel="0" collapsed="false">
      <c r="C37" s="8" t="n">
        <v>41519</v>
      </c>
      <c r="D37" s="7" t="n">
        <v>15.1</v>
      </c>
      <c r="E37" s="7" t="n">
        <v>10.6</v>
      </c>
      <c r="F37" s="7" t="n">
        <v>20.8</v>
      </c>
      <c r="G37" s="5"/>
      <c r="H37" s="5"/>
      <c r="J37" s="7" t="n">
        <v>0</v>
      </c>
      <c r="L37" s="7" t="n">
        <v>3.5</v>
      </c>
      <c r="N37" s="7" t="n">
        <f aca="false">J37-L37</f>
        <v>-3.5</v>
      </c>
      <c r="O37" s="7" t="n">
        <v>0</v>
      </c>
      <c r="T37" s="7" t="n">
        <v>0</v>
      </c>
      <c r="V37" s="7" t="n">
        <v>1767</v>
      </c>
      <c r="X37" s="5"/>
      <c r="Y37" s="5"/>
    </row>
    <row r="38" s="7" customFormat="true" ht="15" hidden="false" customHeight="false" outlineLevel="0" collapsed="false">
      <c r="C38" s="8" t="n">
        <v>41520</v>
      </c>
      <c r="D38" s="7" t="n">
        <v>17.6</v>
      </c>
      <c r="E38" s="7" t="n">
        <v>10.9</v>
      </c>
      <c r="F38" s="7" t="n">
        <v>23.4</v>
      </c>
      <c r="G38" s="5"/>
      <c r="H38" s="5"/>
      <c r="J38" s="7" t="n">
        <v>0.2</v>
      </c>
      <c r="L38" s="7" t="n">
        <v>3.6</v>
      </c>
      <c r="N38" s="7" t="n">
        <f aca="false">J38-L38</f>
        <v>-3.4</v>
      </c>
      <c r="O38" s="7" t="n">
        <v>0</v>
      </c>
      <c r="T38" s="7" t="n">
        <v>0</v>
      </c>
      <c r="V38" s="7" t="n">
        <v>1795.1</v>
      </c>
      <c r="X38" s="5"/>
      <c r="Y38" s="5"/>
    </row>
    <row r="39" s="7" customFormat="true" ht="15" hidden="false" customHeight="false" outlineLevel="0" collapsed="false">
      <c r="A39" s="9" t="s">
        <v>26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="7" customFormat="true" ht="15" hidden="false" customHeight="false" outlineLevel="0" collapsed="false">
      <c r="A40" s="10" t="s">
        <v>27</v>
      </c>
      <c r="B40" s="11"/>
      <c r="C40" s="8" t="n">
        <v>41521</v>
      </c>
      <c r="D40" s="7" t="n">
        <v>20.2</v>
      </c>
      <c r="E40" s="7" t="n">
        <v>11.9</v>
      </c>
      <c r="F40" s="12" t="n">
        <v>27.3</v>
      </c>
      <c r="G40" s="7" t="n">
        <f aca="false">D40</f>
        <v>20.2</v>
      </c>
      <c r="I40" s="13" t="s">
        <v>28</v>
      </c>
      <c r="J40" s="7" t="n">
        <v>0</v>
      </c>
      <c r="K40" s="7" t="n">
        <f aca="false">J40</f>
        <v>0</v>
      </c>
      <c r="L40" s="7" t="n">
        <v>4.3</v>
      </c>
      <c r="M40" s="7" t="n">
        <f aca="false">L40</f>
        <v>4.3</v>
      </c>
      <c r="N40" s="14" t="n">
        <f aca="false">J40-L40</f>
        <v>-4.3</v>
      </c>
      <c r="O40" s="7" t="n">
        <f aca="false">O38+N40</f>
        <v>-4.3</v>
      </c>
      <c r="P40" s="7" t="n">
        <v>1</v>
      </c>
      <c r="Q40" s="7" t="n">
        <v>0.35</v>
      </c>
      <c r="R40" s="15" t="n">
        <f aca="false">Q40*L40</f>
        <v>1.505</v>
      </c>
      <c r="S40" s="15" t="n">
        <f aca="false">J40-R40</f>
        <v>-1.505</v>
      </c>
      <c r="T40" s="15" t="n">
        <v>0</v>
      </c>
      <c r="U40" s="13" t="s">
        <v>29</v>
      </c>
      <c r="V40" s="7" t="n">
        <v>2061.8</v>
      </c>
      <c r="W40" s="7" t="n">
        <f aca="false">V40/D40</f>
        <v>102.069306930693</v>
      </c>
      <c r="X40" s="7" t="n">
        <f aca="false">V40</f>
        <v>2061.8</v>
      </c>
      <c r="Z40" s="13" t="s">
        <v>30</v>
      </c>
      <c r="AA40" s="7" t="n">
        <v>13.3043407395317</v>
      </c>
    </row>
    <row r="41" s="7" customFormat="true" ht="15" hidden="false" customHeight="false" outlineLevel="0" collapsed="false">
      <c r="A41" s="10"/>
      <c r="B41" s="11"/>
      <c r="C41" s="8" t="n">
        <v>41522</v>
      </c>
      <c r="D41" s="7" t="n">
        <v>22</v>
      </c>
      <c r="E41" s="7" t="n">
        <v>14.5</v>
      </c>
      <c r="F41" s="12" t="n">
        <v>30.7</v>
      </c>
      <c r="G41" s="7" t="n">
        <f aca="false">G40+D41</f>
        <v>42.2</v>
      </c>
      <c r="I41" s="7" t="n">
        <v>-0.1</v>
      </c>
      <c r="J41" s="7" t="n">
        <v>0</v>
      </c>
      <c r="K41" s="7" t="n">
        <f aca="false">K40+J41</f>
        <v>0</v>
      </c>
      <c r="L41" s="7" t="n">
        <v>4.9</v>
      </c>
      <c r="M41" s="7" t="n">
        <f aca="false">M40+L41</f>
        <v>9.2</v>
      </c>
      <c r="N41" s="14" t="n">
        <f aca="false">J41-L41</f>
        <v>-4.9</v>
      </c>
      <c r="O41" s="7" t="n">
        <f aca="false">O40+N41</f>
        <v>-9.2</v>
      </c>
      <c r="P41" s="7" t="n">
        <v>2</v>
      </c>
      <c r="Q41" s="7" t="n">
        <v>0.35</v>
      </c>
      <c r="R41" s="15" t="n">
        <f aca="false">Q41*L41</f>
        <v>1.715</v>
      </c>
      <c r="S41" s="15" t="n">
        <f aca="false">J41-R41</f>
        <v>-1.715</v>
      </c>
      <c r="T41" s="15" t="n">
        <v>0</v>
      </c>
      <c r="V41" s="7" t="n">
        <v>1907.6</v>
      </c>
      <c r="W41" s="7" t="n">
        <f aca="false">V41/D41</f>
        <v>86.7090909090909</v>
      </c>
      <c r="X41" s="7" t="n">
        <f aca="false">X40+V41</f>
        <v>3969.4</v>
      </c>
      <c r="Z41" s="7" t="n">
        <v>46235.9</v>
      </c>
      <c r="AA41" s="7" t="n">
        <v>13.2443644788464</v>
      </c>
    </row>
    <row r="42" s="7" customFormat="true" ht="15" hidden="false" customHeight="false" outlineLevel="0" collapsed="false">
      <c r="A42" s="10"/>
      <c r="B42" s="11"/>
      <c r="C42" s="8" t="n">
        <v>41523</v>
      </c>
      <c r="D42" s="7" t="n">
        <v>15.4</v>
      </c>
      <c r="E42" s="7" t="n">
        <v>12.7</v>
      </c>
      <c r="F42" s="7" t="n">
        <v>16.8</v>
      </c>
      <c r="G42" s="7" t="n">
        <f aca="false">G41+D42</f>
        <v>57.6</v>
      </c>
      <c r="I42" s="13" t="s">
        <v>31</v>
      </c>
      <c r="J42" s="7" t="n">
        <v>5.9</v>
      </c>
      <c r="K42" s="7" t="n">
        <f aca="false">K41+J42</f>
        <v>5.9</v>
      </c>
      <c r="L42" s="7" t="n">
        <v>1.3</v>
      </c>
      <c r="M42" s="7" t="n">
        <f aca="false">M41+L42</f>
        <v>10.5</v>
      </c>
      <c r="N42" s="7" t="n">
        <f aca="false">J42-L42</f>
        <v>4.6</v>
      </c>
      <c r="O42" s="7" t="n">
        <f aca="false">O41+N42</f>
        <v>-4.6</v>
      </c>
      <c r="P42" s="7" t="n">
        <v>3</v>
      </c>
      <c r="Q42" s="7" t="n">
        <v>0.35</v>
      </c>
      <c r="R42" s="15" t="n">
        <f aca="false">Q42*L42</f>
        <v>0.455</v>
      </c>
      <c r="S42" s="15" t="n">
        <f aca="false">J42-R42</f>
        <v>5.445</v>
      </c>
      <c r="T42" s="15" t="n">
        <f aca="false">MIN(189.6,(T41+S42))</f>
        <v>5.445</v>
      </c>
      <c r="U42" s="13" t="s">
        <v>32</v>
      </c>
      <c r="V42" s="16" t="n">
        <v>709.9</v>
      </c>
      <c r="W42" s="7" t="n">
        <f aca="false">V42/D42</f>
        <v>46.0974025974026</v>
      </c>
      <c r="X42" s="7" t="n">
        <f aca="false">X41+V42</f>
        <v>4679.3</v>
      </c>
      <c r="Z42" s="13" t="s">
        <v>33</v>
      </c>
      <c r="AA42" s="7" t="n">
        <v>13.1842668281984</v>
      </c>
    </row>
    <row r="43" s="7" customFormat="true" ht="15" hidden="false" customHeight="false" outlineLevel="0" collapsed="false">
      <c r="A43" s="10"/>
      <c r="B43" s="11"/>
      <c r="C43" s="8" t="n">
        <v>41524</v>
      </c>
      <c r="D43" s="7" t="n">
        <v>15.2</v>
      </c>
      <c r="E43" s="7" t="n">
        <v>11.7</v>
      </c>
      <c r="F43" s="7" t="n">
        <v>18.8</v>
      </c>
      <c r="G43" s="7" t="n">
        <f aca="false">G42+D43</f>
        <v>72.8</v>
      </c>
      <c r="I43" s="7" t="n">
        <v>30.7</v>
      </c>
      <c r="J43" s="7" t="n">
        <v>0</v>
      </c>
      <c r="K43" s="7" t="n">
        <f aca="false">K42+J43</f>
        <v>5.9</v>
      </c>
      <c r="L43" s="7" t="n">
        <v>3</v>
      </c>
      <c r="M43" s="7" t="n">
        <f aca="false">M42+L43</f>
        <v>13.5</v>
      </c>
      <c r="N43" s="14" t="n">
        <f aca="false">J43-L43</f>
        <v>-3</v>
      </c>
      <c r="O43" s="7" t="n">
        <f aca="false">O42+N43</f>
        <v>-7.6</v>
      </c>
      <c r="P43" s="7" t="n">
        <v>4</v>
      </c>
      <c r="Q43" s="7" t="n">
        <v>0.35</v>
      </c>
      <c r="R43" s="15" t="n">
        <f aca="false">Q43*L43</f>
        <v>1.05</v>
      </c>
      <c r="S43" s="15" t="n">
        <f aca="false">J43-R43</f>
        <v>-1.05</v>
      </c>
      <c r="T43" s="15" t="n">
        <f aca="false">MIN(189.6,(T42+S43))</f>
        <v>4.395</v>
      </c>
      <c r="V43" s="7" t="n">
        <v>1707</v>
      </c>
      <c r="W43" s="7" t="n">
        <f aca="false">V43/D43</f>
        <v>112.302631578947</v>
      </c>
      <c r="X43" s="7" t="n">
        <f aca="false">X42+V43</f>
        <v>6386.3</v>
      </c>
      <c r="Z43" s="17"/>
      <c r="AA43" s="7" t="n">
        <v>13.1240552211427</v>
      </c>
    </row>
    <row r="44" s="7" customFormat="true" ht="15" hidden="false" customHeight="false" outlineLevel="0" collapsed="false">
      <c r="A44" s="10"/>
      <c r="B44" s="11"/>
      <c r="C44" s="8" t="n">
        <v>41525</v>
      </c>
      <c r="D44" s="7" t="n">
        <v>14.2</v>
      </c>
      <c r="E44" s="7" t="n">
        <v>10.8</v>
      </c>
      <c r="F44" s="7" t="n">
        <v>19.9</v>
      </c>
      <c r="G44" s="7" t="n">
        <f aca="false">G43+D44</f>
        <v>87</v>
      </c>
      <c r="I44" s="13" t="s">
        <v>34</v>
      </c>
      <c r="J44" s="7" t="n">
        <v>2.9</v>
      </c>
      <c r="K44" s="7" t="n">
        <f aca="false">K43+J44</f>
        <v>8.8</v>
      </c>
      <c r="L44" s="7" t="n">
        <v>2.4</v>
      </c>
      <c r="M44" s="7" t="n">
        <f aca="false">M43+L44</f>
        <v>15.9</v>
      </c>
      <c r="N44" s="7" t="n">
        <f aca="false">J44-L44</f>
        <v>0.5</v>
      </c>
      <c r="O44" s="7" t="n">
        <f aca="false">O43+N44</f>
        <v>-7.1</v>
      </c>
      <c r="P44" s="7" t="n">
        <v>5</v>
      </c>
      <c r="Q44" s="7" t="n">
        <v>0.35</v>
      </c>
      <c r="R44" s="15" t="n">
        <f aca="false">Q44*L44</f>
        <v>0.84</v>
      </c>
      <c r="S44" s="15" t="n">
        <f aca="false">J44-R44</f>
        <v>2.06</v>
      </c>
      <c r="T44" s="15" t="n">
        <f aca="false">MIN(189.6,(T43+S44))</f>
        <v>6.455</v>
      </c>
      <c r="U44" s="13" t="s">
        <v>35</v>
      </c>
      <c r="V44" s="7" t="n">
        <v>1086.1</v>
      </c>
      <c r="W44" s="7" t="n">
        <f aca="false">V44/D44</f>
        <v>76.4859154929577</v>
      </c>
      <c r="X44" s="7" t="n">
        <f aca="false">X43+V44</f>
        <v>7472.4</v>
      </c>
      <c r="Z44" s="13" t="s">
        <v>36</v>
      </c>
      <c r="AA44" s="7" t="n">
        <v>13.0637368312795</v>
      </c>
    </row>
    <row r="45" s="7" customFormat="true" ht="15" hidden="false" customHeight="false" outlineLevel="0" collapsed="false">
      <c r="A45" s="10"/>
      <c r="B45" s="11"/>
      <c r="C45" s="8" t="n">
        <v>41526</v>
      </c>
      <c r="D45" s="7" t="n">
        <v>11.8</v>
      </c>
      <c r="E45" s="7" t="n">
        <v>8.8</v>
      </c>
      <c r="F45" s="7" t="n">
        <v>15.3</v>
      </c>
      <c r="G45" s="7" t="n">
        <f aca="false">G44+D45</f>
        <v>98.8</v>
      </c>
      <c r="I45" s="15" t="n">
        <f aca="false">AVERAGE(D40:D112)</f>
        <v>12.4205479452055</v>
      </c>
      <c r="J45" s="7" t="n">
        <v>17.9</v>
      </c>
      <c r="K45" s="7" t="n">
        <f aca="false">K44+J45</f>
        <v>26.7</v>
      </c>
      <c r="L45" s="7" t="n">
        <v>1.1</v>
      </c>
      <c r="M45" s="7" t="n">
        <f aca="false">M44+L45</f>
        <v>17</v>
      </c>
      <c r="N45" s="7" t="n">
        <f aca="false">J45-L45</f>
        <v>16.8</v>
      </c>
      <c r="O45" s="7" t="n">
        <f aca="false">O44+N45</f>
        <v>9.7</v>
      </c>
      <c r="P45" s="7" t="n">
        <v>6</v>
      </c>
      <c r="Q45" s="7" t="n">
        <v>0.35</v>
      </c>
      <c r="R45" s="15" t="n">
        <f aca="false">Q45*L45</f>
        <v>0.385</v>
      </c>
      <c r="S45" s="15" t="n">
        <f aca="false">J45-R45</f>
        <v>17.515</v>
      </c>
      <c r="T45" s="15" t="n">
        <f aca="false">MIN(189.6,(T44+S45))</f>
        <v>23.97</v>
      </c>
      <c r="U45" s="7" t="n">
        <v>2</v>
      </c>
      <c r="V45" s="16" t="n">
        <v>509</v>
      </c>
      <c r="W45" s="7" t="n">
        <f aca="false">V45/D45</f>
        <v>43.135593220339</v>
      </c>
      <c r="X45" s="7" t="n">
        <f aca="false">X44+V45</f>
        <v>7981.4</v>
      </c>
      <c r="Z45" s="7" t="n">
        <v>58</v>
      </c>
      <c r="AA45" s="7" t="n">
        <v>13.0033185890361</v>
      </c>
    </row>
    <row r="46" s="7" customFormat="true" ht="15" hidden="false" customHeight="false" outlineLevel="0" collapsed="false">
      <c r="A46" s="10"/>
      <c r="B46" s="11"/>
      <c r="C46" s="8" t="n">
        <v>41527</v>
      </c>
      <c r="D46" s="7" t="n">
        <v>11.9</v>
      </c>
      <c r="E46" s="7" t="n">
        <v>9.1</v>
      </c>
      <c r="F46" s="7" t="n">
        <v>15</v>
      </c>
      <c r="G46" s="7" t="n">
        <f aca="false">G45+D46</f>
        <v>110.7</v>
      </c>
      <c r="I46" s="13" t="s">
        <v>37</v>
      </c>
      <c r="J46" s="7" t="n">
        <v>2.3</v>
      </c>
      <c r="K46" s="7" t="n">
        <f aca="false">K45+J46</f>
        <v>29</v>
      </c>
      <c r="L46" s="7" t="n">
        <v>1.4</v>
      </c>
      <c r="M46" s="7" t="n">
        <f aca="false">M45+L46</f>
        <v>18.4</v>
      </c>
      <c r="N46" s="7" t="n">
        <f aca="false">J46-L46</f>
        <v>0.9</v>
      </c>
      <c r="O46" s="7" t="n">
        <f aca="false">O45+N46</f>
        <v>10.6</v>
      </c>
      <c r="P46" s="7" t="n">
        <v>7</v>
      </c>
      <c r="Q46" s="7" t="n">
        <v>0.35</v>
      </c>
      <c r="R46" s="15" t="n">
        <f aca="false">Q46*L46</f>
        <v>0.49</v>
      </c>
      <c r="S46" s="15" t="n">
        <f aca="false">J46-R46</f>
        <v>1.81</v>
      </c>
      <c r="T46" s="15" t="n">
        <f aca="false">MIN(189.6,(T45+S46))</f>
        <v>25.78</v>
      </c>
      <c r="U46" s="13" t="s">
        <v>38</v>
      </c>
      <c r="V46" s="16" t="n">
        <v>717.1</v>
      </c>
      <c r="W46" s="7" t="n">
        <f aca="false">V46/D46</f>
        <v>60.2605042016807</v>
      </c>
      <c r="X46" s="7" t="n">
        <f aca="false">X45+V46</f>
        <v>8698.5</v>
      </c>
      <c r="AA46" s="7" t="n">
        <v>12.9428071984942</v>
      </c>
    </row>
    <row r="47" s="7" customFormat="true" ht="15" hidden="false" customHeight="false" outlineLevel="0" collapsed="false">
      <c r="A47" s="10"/>
      <c r="B47" s="11"/>
      <c r="C47" s="8" t="n">
        <v>41528</v>
      </c>
      <c r="D47" s="7" t="n">
        <v>12.7</v>
      </c>
      <c r="E47" s="7" t="n">
        <v>11.9</v>
      </c>
      <c r="F47" s="7" t="n">
        <v>14.1</v>
      </c>
      <c r="G47" s="7" t="n">
        <f aca="false">G46+D47</f>
        <v>123.4</v>
      </c>
      <c r="I47" s="7" t="n">
        <v>1</v>
      </c>
      <c r="J47" s="7" t="n">
        <v>0.4</v>
      </c>
      <c r="K47" s="7" t="n">
        <f aca="false">K46+J47</f>
        <v>29.4</v>
      </c>
      <c r="L47" s="7" t="n">
        <v>1.1</v>
      </c>
      <c r="M47" s="7" t="n">
        <f aca="false">M46+L47</f>
        <v>19.5</v>
      </c>
      <c r="N47" s="14" t="n">
        <f aca="false">J47-L47</f>
        <v>-0.7</v>
      </c>
      <c r="O47" s="7" t="n">
        <f aca="false">O46+N47</f>
        <v>9.9</v>
      </c>
      <c r="P47" s="7" t="n">
        <v>8</v>
      </c>
      <c r="Q47" s="7" t="n">
        <v>0.35</v>
      </c>
      <c r="R47" s="15" t="n">
        <f aca="false">Q47*L47</f>
        <v>0.385</v>
      </c>
      <c r="S47" s="15" t="n">
        <f aca="false">J47-R47</f>
        <v>0.015</v>
      </c>
      <c r="T47" s="15" t="n">
        <f aca="false">MIN(189.6,(T46+S47))</f>
        <v>25.795</v>
      </c>
      <c r="U47" s="7" t="n">
        <v>34</v>
      </c>
      <c r="V47" s="16" t="n">
        <v>470.8</v>
      </c>
      <c r="W47" s="7" t="n">
        <f aca="false">V47/D47</f>
        <v>37.0708661417323</v>
      </c>
      <c r="X47" s="7" t="n">
        <f aca="false">X46+V47</f>
        <v>9169.3</v>
      </c>
      <c r="AA47" s="7" t="n">
        <v>12.8822091542565</v>
      </c>
    </row>
    <row r="48" s="7" customFormat="true" ht="15" hidden="false" customHeight="false" outlineLevel="0" collapsed="false">
      <c r="A48" s="10"/>
      <c r="B48" s="11"/>
      <c r="C48" s="8" t="n">
        <v>41529</v>
      </c>
      <c r="D48" s="7" t="n">
        <v>13.8</v>
      </c>
      <c r="E48" s="7" t="n">
        <v>11.1</v>
      </c>
      <c r="F48" s="7" t="n">
        <v>16.8</v>
      </c>
      <c r="G48" s="7" t="n">
        <f aca="false">G47+D48</f>
        <v>137.2</v>
      </c>
      <c r="I48" s="13" t="s">
        <v>39</v>
      </c>
      <c r="J48" s="7" t="n">
        <v>0.1</v>
      </c>
      <c r="K48" s="7" t="n">
        <f aca="false">K47+J48</f>
        <v>29.5</v>
      </c>
      <c r="L48" s="7" t="n">
        <v>1.3</v>
      </c>
      <c r="M48" s="7" t="n">
        <f aca="false">M47+L48</f>
        <v>20.8</v>
      </c>
      <c r="N48" s="14" t="n">
        <f aca="false">J48-L48</f>
        <v>-1.2</v>
      </c>
      <c r="O48" s="7" t="n">
        <f aca="false">O47+N48</f>
        <v>8.7</v>
      </c>
      <c r="P48" s="7" t="n">
        <v>9</v>
      </c>
      <c r="Q48" s="7" t="n">
        <v>0.35</v>
      </c>
      <c r="R48" s="15" t="n">
        <f aca="false">Q48*L48</f>
        <v>0.455</v>
      </c>
      <c r="S48" s="15" t="n">
        <f aca="false">J48-R48</f>
        <v>-0.355</v>
      </c>
      <c r="T48" s="15" t="n">
        <f aca="false">MIN(189.6,(T47+S48))</f>
        <v>25.44</v>
      </c>
      <c r="U48" s="13" t="s">
        <v>40</v>
      </c>
      <c r="V48" s="16" t="n">
        <v>671</v>
      </c>
      <c r="W48" s="7" t="n">
        <f aca="false">V48/D48</f>
        <v>48.6231884057971</v>
      </c>
      <c r="X48" s="7" t="n">
        <f aca="false">X47+V48</f>
        <v>9840.3</v>
      </c>
      <c r="AA48" s="7" t="n">
        <v>12.8215307583491</v>
      </c>
    </row>
    <row r="49" s="7" customFormat="true" ht="15" hidden="false" customHeight="false" outlineLevel="0" collapsed="false">
      <c r="A49" s="10"/>
      <c r="B49" s="11"/>
      <c r="C49" s="8" t="n">
        <v>41530</v>
      </c>
      <c r="D49" s="7" t="n">
        <v>14.9</v>
      </c>
      <c r="E49" s="7" t="n">
        <v>11.4</v>
      </c>
      <c r="F49" s="7" t="n">
        <v>17.3</v>
      </c>
      <c r="G49" s="7" t="n">
        <f aca="false">G48+D49</f>
        <v>152.1</v>
      </c>
      <c r="I49" s="7" t="n">
        <v>2</v>
      </c>
      <c r="J49" s="7" t="n">
        <v>8.7</v>
      </c>
      <c r="K49" s="7" t="n">
        <f aca="false">K48+J49</f>
        <v>38.2</v>
      </c>
      <c r="L49" s="7" t="n">
        <v>0.6</v>
      </c>
      <c r="M49" s="7" t="n">
        <f aca="false">M48+L49</f>
        <v>21.4</v>
      </c>
      <c r="N49" s="7" t="n">
        <f aca="false">J49-L49</f>
        <v>8.1</v>
      </c>
      <c r="O49" s="7" t="n">
        <f aca="false">O48+N49</f>
        <v>16.8</v>
      </c>
      <c r="P49" s="7" t="n">
        <v>10</v>
      </c>
      <c r="Q49" s="7" t="n">
        <f aca="false">0.35+((P49-9)/64)*(1-0.35)</f>
        <v>0.36015625</v>
      </c>
      <c r="R49" s="15" t="n">
        <f aca="false">Q49*L49</f>
        <v>0.21609375</v>
      </c>
      <c r="S49" s="15" t="n">
        <f aca="false">J49-R49</f>
        <v>8.48390625</v>
      </c>
      <c r="T49" s="15" t="n">
        <f aca="false">MIN(189.6,(T48+S49))</f>
        <v>33.92390625</v>
      </c>
      <c r="U49" s="15" t="n">
        <v>0</v>
      </c>
      <c r="V49" s="16" t="n">
        <v>384.5</v>
      </c>
      <c r="W49" s="7" t="n">
        <f aca="false">V49/D49</f>
        <v>25.8053691275168</v>
      </c>
      <c r="X49" s="7" t="n">
        <f aca="false">X48+V49</f>
        <v>10224.8</v>
      </c>
      <c r="AA49" s="7" t="n">
        <v>12.7607781371563</v>
      </c>
    </row>
    <row r="50" s="7" customFormat="true" ht="15" hidden="false" customHeight="false" outlineLevel="0" collapsed="false">
      <c r="A50" s="10"/>
      <c r="B50" s="11"/>
      <c r="C50" s="8" t="n">
        <v>41531</v>
      </c>
      <c r="D50" s="7" t="n">
        <v>14.2</v>
      </c>
      <c r="E50" s="7" t="n">
        <v>13.3</v>
      </c>
      <c r="F50" s="7" t="n">
        <v>15</v>
      </c>
      <c r="G50" s="7" t="n">
        <f aca="false">G49+D50</f>
        <v>166.3</v>
      </c>
      <c r="I50" s="13" t="s">
        <v>41</v>
      </c>
      <c r="J50" s="7" t="n">
        <v>1.9</v>
      </c>
      <c r="K50" s="7" t="n">
        <f aca="false">K49+J50</f>
        <v>40.1</v>
      </c>
      <c r="L50" s="7" t="n">
        <v>0.8</v>
      </c>
      <c r="M50" s="7" t="n">
        <f aca="false">M49+L50</f>
        <v>22.2</v>
      </c>
      <c r="N50" s="7" t="n">
        <f aca="false">J50-L50</f>
        <v>1.1</v>
      </c>
      <c r="O50" s="7" t="n">
        <f aca="false">O49+N50</f>
        <v>17.9</v>
      </c>
      <c r="P50" s="7" t="n">
        <v>11</v>
      </c>
      <c r="Q50" s="7" t="n">
        <f aca="false">0.35+((P50-9)/64)*(1-0.35)</f>
        <v>0.3703125</v>
      </c>
      <c r="R50" s="15" t="n">
        <f aca="false">Q50*L50</f>
        <v>0.29625</v>
      </c>
      <c r="S50" s="15" t="n">
        <f aca="false">J50-R50</f>
        <v>1.60375</v>
      </c>
      <c r="T50" s="15" t="n">
        <f aca="false">MIN(189.6,(T49+S50))</f>
        <v>35.52765625</v>
      </c>
      <c r="U50" s="13" t="s">
        <v>42</v>
      </c>
      <c r="V50" s="16" t="n">
        <v>425.9</v>
      </c>
      <c r="W50" s="7" t="n">
        <f aca="false">V50/D50</f>
        <v>29.9929577464789</v>
      </c>
      <c r="X50" s="7" t="n">
        <f aca="false">X49+V50</f>
        <v>10650.7</v>
      </c>
      <c r="AA50" s="7" t="n">
        <v>12.6999572583863</v>
      </c>
    </row>
    <row r="51" s="7" customFormat="true" ht="15" hidden="false" customHeight="false" outlineLevel="0" collapsed="false">
      <c r="A51" s="10"/>
      <c r="B51" s="11"/>
      <c r="C51" s="8" t="n">
        <v>41532</v>
      </c>
      <c r="D51" s="7" t="n">
        <v>13.1</v>
      </c>
      <c r="E51" s="7" t="n">
        <v>8.8</v>
      </c>
      <c r="F51" s="7" t="n">
        <v>16</v>
      </c>
      <c r="G51" s="7" t="n">
        <f aca="false">G50+D51</f>
        <v>179.4</v>
      </c>
      <c r="I51" s="7" t="n">
        <v>7</v>
      </c>
      <c r="J51" s="7" t="n">
        <v>2.5</v>
      </c>
      <c r="K51" s="7" t="n">
        <f aca="false">K50+J51</f>
        <v>42.6</v>
      </c>
      <c r="L51" s="7" t="n">
        <v>1.6</v>
      </c>
      <c r="M51" s="7" t="n">
        <f aca="false">M50+L51</f>
        <v>23.8</v>
      </c>
      <c r="N51" s="7" t="n">
        <f aca="false">J51-L51</f>
        <v>0.9</v>
      </c>
      <c r="O51" s="7" t="n">
        <f aca="false">O50+N51</f>
        <v>18.8</v>
      </c>
      <c r="P51" s="7" t="n">
        <v>12</v>
      </c>
      <c r="Q51" s="7" t="n">
        <f aca="false">0.35+((P51-9)/64)*(1-0.35)</f>
        <v>0.38046875</v>
      </c>
      <c r="R51" s="15" t="n">
        <f aca="false">Q51*L51</f>
        <v>0.60875</v>
      </c>
      <c r="S51" s="15" t="n">
        <f aca="false">J51-R51</f>
        <v>1.89125</v>
      </c>
      <c r="T51" s="15" t="n">
        <f aca="false">MIN(189.6,(T50+S51))</f>
        <v>37.41890625</v>
      </c>
      <c r="U51" s="15" t="n">
        <v>172.4</v>
      </c>
      <c r="V51" s="16" t="n">
        <v>788.8</v>
      </c>
      <c r="W51" s="7" t="n">
        <f aca="false">V51/D51</f>
        <v>60.2137404580153</v>
      </c>
      <c r="X51" s="7" t="n">
        <f aca="false">X50+V51</f>
        <v>11439.5</v>
      </c>
      <c r="AA51" s="7" t="n">
        <v>12.6390739480711</v>
      </c>
    </row>
    <row r="52" s="7" customFormat="true" ht="15" hidden="false" customHeight="false" outlineLevel="0" collapsed="false">
      <c r="A52" s="10"/>
      <c r="B52" s="11"/>
      <c r="C52" s="8" t="n">
        <v>41533</v>
      </c>
      <c r="D52" s="7" t="n">
        <v>11.7</v>
      </c>
      <c r="E52" s="7" t="n">
        <v>11.4</v>
      </c>
      <c r="F52" s="7" t="n">
        <v>13.2</v>
      </c>
      <c r="G52" s="7" t="n">
        <f aca="false">G51+D52</f>
        <v>191.1</v>
      </c>
      <c r="I52" s="13" t="s">
        <v>43</v>
      </c>
      <c r="J52" s="7" t="n">
        <v>3.3</v>
      </c>
      <c r="K52" s="7" t="n">
        <f aca="false">K51+J52</f>
        <v>45.9</v>
      </c>
      <c r="L52" s="7" t="n">
        <v>1.5</v>
      </c>
      <c r="M52" s="7" t="n">
        <f aca="false">M51+L52</f>
        <v>25.3</v>
      </c>
      <c r="N52" s="7" t="n">
        <f aca="false">J52-L52</f>
        <v>1.8</v>
      </c>
      <c r="O52" s="7" t="n">
        <f aca="false">O51+N52</f>
        <v>20.6</v>
      </c>
      <c r="P52" s="7" t="n">
        <v>13</v>
      </c>
      <c r="Q52" s="7" t="n">
        <f aca="false">0.35+((P52-9)/64)*(1-0.35)</f>
        <v>0.390625</v>
      </c>
      <c r="R52" s="15" t="n">
        <f aca="false">Q52*L52</f>
        <v>0.5859375</v>
      </c>
      <c r="S52" s="15" t="n">
        <f aca="false">J52-R52</f>
        <v>2.7140625</v>
      </c>
      <c r="T52" s="15" t="n">
        <f aca="false">MIN(189.6,(T51+S52))</f>
        <v>40.13296875</v>
      </c>
      <c r="U52" s="13" t="s">
        <v>44</v>
      </c>
      <c r="V52" s="16" t="n">
        <v>700.4</v>
      </c>
      <c r="W52" s="7" t="n">
        <f aca="false">V52/D52</f>
        <v>59.8632478632479</v>
      </c>
      <c r="X52" s="7" t="n">
        <f aca="false">X51+V52</f>
        <v>12139.9</v>
      </c>
      <c r="AA52" s="7" t="n">
        <v>12.5781339075999</v>
      </c>
    </row>
    <row r="53" s="7" customFormat="true" ht="15" hidden="false" customHeight="false" outlineLevel="0" collapsed="false">
      <c r="A53" s="10"/>
      <c r="B53" s="11"/>
      <c r="C53" s="8" t="n">
        <v>41534</v>
      </c>
      <c r="D53" s="7" t="n">
        <v>11.8</v>
      </c>
      <c r="E53" s="7" t="n">
        <v>8.2</v>
      </c>
      <c r="F53" s="7" t="n">
        <v>15.5</v>
      </c>
      <c r="G53" s="7" t="n">
        <f aca="false">G52+D53</f>
        <v>202.9</v>
      </c>
      <c r="I53" s="7" t="n">
        <v>906.7</v>
      </c>
      <c r="J53" s="7" t="n">
        <v>18.3</v>
      </c>
      <c r="K53" s="7" t="n">
        <f aca="false">K52+J53</f>
        <v>64.2</v>
      </c>
      <c r="L53" s="7" t="n">
        <v>1.7</v>
      </c>
      <c r="M53" s="7" t="n">
        <f aca="false">M52+L53</f>
        <v>27</v>
      </c>
      <c r="N53" s="7" t="n">
        <f aca="false">J53-L53</f>
        <v>16.6</v>
      </c>
      <c r="O53" s="7" t="n">
        <f aca="false">O52+N53</f>
        <v>37.2</v>
      </c>
      <c r="P53" s="7" t="n">
        <v>14</v>
      </c>
      <c r="Q53" s="7" t="n">
        <f aca="false">0.35+((P53-9)/64)*(1-0.35)</f>
        <v>0.40078125</v>
      </c>
      <c r="R53" s="15" t="n">
        <f aca="false">Q53*L53</f>
        <v>0.681328125</v>
      </c>
      <c r="S53" s="15" t="n">
        <f aca="false">J53-R53</f>
        <v>17.618671875</v>
      </c>
      <c r="T53" s="15" t="n">
        <f aca="false">MIN(189.6,(T52+S53))</f>
        <v>57.751640625</v>
      </c>
      <c r="U53" s="17" t="n">
        <f aca="false">AVERAGE(T40:T112)</f>
        <v>81.0888869863014</v>
      </c>
      <c r="V53" s="7" t="n">
        <v>1007.9</v>
      </c>
      <c r="W53" s="7" t="n">
        <f aca="false">V53/D53</f>
        <v>85.4152542372881</v>
      </c>
      <c r="X53" s="7" t="n">
        <f aca="false">X52+V53</f>
        <v>13147.8</v>
      </c>
      <c r="AA53" s="7" t="n">
        <v>12.5171427307916</v>
      </c>
    </row>
    <row r="54" s="7" customFormat="true" ht="15" hidden="false" customHeight="false" outlineLevel="0" collapsed="false">
      <c r="A54" s="10"/>
      <c r="B54" s="11"/>
      <c r="C54" s="8" t="n">
        <v>41535</v>
      </c>
      <c r="D54" s="7" t="n">
        <v>13.3</v>
      </c>
      <c r="E54" s="7" t="n">
        <v>12.3</v>
      </c>
      <c r="F54" s="7" t="n">
        <v>15.2</v>
      </c>
      <c r="G54" s="7" t="n">
        <f aca="false">G53+D54</f>
        <v>216.2</v>
      </c>
      <c r="J54" s="7" t="n">
        <v>4.2</v>
      </c>
      <c r="K54" s="7" t="n">
        <f aca="false">K53+J54</f>
        <v>68.4</v>
      </c>
      <c r="L54" s="7" t="n">
        <v>0.9</v>
      </c>
      <c r="M54" s="7" t="n">
        <f aca="false">M53+L54</f>
        <v>27.9</v>
      </c>
      <c r="N54" s="7" t="n">
        <f aca="false">J54-L54</f>
        <v>3.3</v>
      </c>
      <c r="O54" s="7" t="n">
        <f aca="false">O53+N54</f>
        <v>40.5</v>
      </c>
      <c r="P54" s="7" t="n">
        <v>15</v>
      </c>
      <c r="Q54" s="7" t="n">
        <f aca="false">0.35+((P54-9)/64)*(1-0.35)</f>
        <v>0.4109375</v>
      </c>
      <c r="R54" s="15" t="n">
        <f aca="false">Q54*L54</f>
        <v>0.36984375</v>
      </c>
      <c r="S54" s="15" t="n">
        <f aca="false">J54-R54</f>
        <v>3.83015625</v>
      </c>
      <c r="T54" s="15" t="n">
        <f aca="false">MIN(189.6,(T53+S54))</f>
        <v>61.581796875</v>
      </c>
      <c r="V54" s="16" t="n">
        <v>365.6</v>
      </c>
      <c r="W54" s="7" t="n">
        <f aca="false">V54/D54</f>
        <v>27.4887218045113</v>
      </c>
      <c r="X54" s="7" t="n">
        <f aca="false">X53+V54</f>
        <v>13513.4</v>
      </c>
      <c r="AA54" s="7" t="n">
        <v>12.4561059210099</v>
      </c>
    </row>
    <row r="55" s="7" customFormat="true" ht="15" hidden="false" customHeight="false" outlineLevel="0" collapsed="false">
      <c r="A55" s="10"/>
      <c r="B55" s="11"/>
      <c r="C55" s="8" t="n">
        <v>41536</v>
      </c>
      <c r="D55" s="7" t="n">
        <v>12.8</v>
      </c>
      <c r="E55" s="7" t="n">
        <v>8.2</v>
      </c>
      <c r="F55" s="7" t="n">
        <v>15.9</v>
      </c>
      <c r="G55" s="7" t="n">
        <f aca="false">G54+D55</f>
        <v>229</v>
      </c>
      <c r="J55" s="7" t="n">
        <v>0</v>
      </c>
      <c r="K55" s="7" t="n">
        <f aca="false">K54+J55</f>
        <v>68.4</v>
      </c>
      <c r="L55" s="7" t="n">
        <v>1.5</v>
      </c>
      <c r="M55" s="7" t="n">
        <f aca="false">M54+L55</f>
        <v>29.4</v>
      </c>
      <c r="N55" s="14" t="n">
        <f aca="false">J55-L55</f>
        <v>-1.5</v>
      </c>
      <c r="O55" s="7" t="n">
        <f aca="false">O54+N55</f>
        <v>39</v>
      </c>
      <c r="P55" s="7" t="n">
        <v>16</v>
      </c>
      <c r="Q55" s="7" t="n">
        <f aca="false">0.35+((P55-9)/64)*(1-0.35)</f>
        <v>0.42109375</v>
      </c>
      <c r="R55" s="15" t="n">
        <f aca="false">Q55*L55</f>
        <v>0.631640625</v>
      </c>
      <c r="S55" s="15" t="n">
        <f aca="false">J55-R55</f>
        <v>-0.631640625</v>
      </c>
      <c r="T55" s="15" t="n">
        <f aca="false">MIN(189.6,(T54+S55))</f>
        <v>60.95015625</v>
      </c>
      <c r="U55" s="15" t="n">
        <f aca="false">(81.1*100)/189.6</f>
        <v>42.7742616033755</v>
      </c>
      <c r="V55" s="16" t="n">
        <v>892.6</v>
      </c>
      <c r="W55" s="7" t="n">
        <f aca="false">V55/D55</f>
        <v>69.734375</v>
      </c>
      <c r="X55" s="7" t="n">
        <f aca="false">X54+V55</f>
        <v>14406</v>
      </c>
      <c r="AA55" s="7" t="n">
        <v>12.3950289083268</v>
      </c>
    </row>
    <row r="56" s="7" customFormat="true" ht="15" hidden="false" customHeight="false" outlineLevel="0" collapsed="false">
      <c r="A56" s="10"/>
      <c r="B56" s="11"/>
      <c r="C56" s="8" t="n">
        <v>41537</v>
      </c>
      <c r="D56" s="7" t="n">
        <v>13.3</v>
      </c>
      <c r="E56" s="7" t="n">
        <v>12.6</v>
      </c>
      <c r="F56" s="7" t="n">
        <v>17.2</v>
      </c>
      <c r="G56" s="7" t="n">
        <f aca="false">G55+D56</f>
        <v>242.3</v>
      </c>
      <c r="J56" s="7" t="n">
        <v>0</v>
      </c>
      <c r="K56" s="7" t="n">
        <f aca="false">K55+J56</f>
        <v>68.4</v>
      </c>
      <c r="L56" s="7" t="n">
        <v>2.2</v>
      </c>
      <c r="M56" s="7" t="n">
        <f aca="false">M55+L56</f>
        <v>31.6</v>
      </c>
      <c r="N56" s="14" t="n">
        <f aca="false">J56-L56</f>
        <v>-2.2</v>
      </c>
      <c r="O56" s="7" t="n">
        <f aca="false">O55+N56</f>
        <v>36.8</v>
      </c>
      <c r="P56" s="7" t="n">
        <v>17</v>
      </c>
      <c r="Q56" s="7" t="n">
        <f aca="false">0.35+((P56-9)/64)*(1-0.35)</f>
        <v>0.43125</v>
      </c>
      <c r="R56" s="15" t="n">
        <f aca="false">Q56*L56</f>
        <v>0.94875</v>
      </c>
      <c r="S56" s="15" t="n">
        <f aca="false">J56-R56</f>
        <v>-0.94875</v>
      </c>
      <c r="T56" s="15" t="n">
        <f aca="false">MIN(189.6,(T55+S56))</f>
        <v>60.00140625</v>
      </c>
      <c r="V56" s="7" t="n">
        <v>1026.1</v>
      </c>
      <c r="W56" s="7" t="n">
        <f aca="false">V56/D56</f>
        <v>77.1503759398496</v>
      </c>
      <c r="X56" s="7" t="n">
        <f aca="false">X55+V56</f>
        <v>15432.1</v>
      </c>
      <c r="AA56" s="7" t="n">
        <v>12.3339170667409</v>
      </c>
    </row>
    <row r="57" s="7" customFormat="true" ht="15" hidden="false" customHeight="false" outlineLevel="0" collapsed="false">
      <c r="A57" s="10"/>
      <c r="B57" s="11"/>
      <c r="C57" s="8" t="n">
        <v>41538</v>
      </c>
      <c r="D57" s="7" t="n">
        <v>13.5</v>
      </c>
      <c r="E57" s="7" t="n">
        <v>8</v>
      </c>
      <c r="F57" s="7" t="n">
        <v>17</v>
      </c>
      <c r="G57" s="7" t="n">
        <f aca="false">G56+D57</f>
        <v>255.8</v>
      </c>
      <c r="J57" s="7" t="n">
        <v>0.1</v>
      </c>
      <c r="K57" s="7" t="n">
        <f aca="false">K56+J57</f>
        <v>68.5</v>
      </c>
      <c r="L57" s="7" t="n">
        <v>1.3</v>
      </c>
      <c r="M57" s="7" t="n">
        <f aca="false">M56+L57</f>
        <v>32.9</v>
      </c>
      <c r="N57" s="14" t="n">
        <f aca="false">J57-L57</f>
        <v>-1.2</v>
      </c>
      <c r="O57" s="7" t="n">
        <f aca="false">O56+N57</f>
        <v>35.6</v>
      </c>
      <c r="P57" s="7" t="n">
        <v>18</v>
      </c>
      <c r="Q57" s="7" t="n">
        <f aca="false">0.35+((P57-9)/64)*(1-0.35)</f>
        <v>0.44140625</v>
      </c>
      <c r="R57" s="15" t="n">
        <f aca="false">Q57*L57</f>
        <v>0.573828125</v>
      </c>
      <c r="S57" s="15" t="n">
        <f aca="false">J57-R57</f>
        <v>-0.473828125</v>
      </c>
      <c r="T57" s="15" t="n">
        <f aca="false">MIN(189.6,(T56+S57))</f>
        <v>59.527578125</v>
      </c>
      <c r="V57" s="16" t="n">
        <v>757.9</v>
      </c>
      <c r="W57" s="7" t="n">
        <f aca="false">V57/D57</f>
        <v>56.1407407407407</v>
      </c>
      <c r="X57" s="7" t="n">
        <f aca="false">X56+V57</f>
        <v>16190</v>
      </c>
      <c r="AA57" s="7" t="n">
        <v>12.2727757314573</v>
      </c>
    </row>
    <row r="58" s="7" customFormat="true" ht="15" hidden="false" customHeight="false" outlineLevel="0" collapsed="false">
      <c r="A58" s="10"/>
      <c r="B58" s="11"/>
      <c r="C58" s="8" t="n">
        <v>41539</v>
      </c>
      <c r="D58" s="7" t="n">
        <v>17</v>
      </c>
      <c r="E58" s="7" t="n">
        <v>14.5</v>
      </c>
      <c r="F58" s="7" t="n">
        <v>20.3</v>
      </c>
      <c r="G58" s="7" t="n">
        <f aca="false">G57+D58</f>
        <v>272.8</v>
      </c>
      <c r="J58" s="7" t="n">
        <v>0</v>
      </c>
      <c r="K58" s="7" t="n">
        <f aca="false">K57+J58</f>
        <v>68.5</v>
      </c>
      <c r="L58" s="7" t="n">
        <v>1.9</v>
      </c>
      <c r="M58" s="7" t="n">
        <f aca="false">M57+L58</f>
        <v>34.8</v>
      </c>
      <c r="N58" s="14" t="n">
        <f aca="false">J58-L58</f>
        <v>-1.9</v>
      </c>
      <c r="O58" s="7" t="n">
        <f aca="false">O57+N58</f>
        <v>33.7</v>
      </c>
      <c r="P58" s="7" t="n">
        <v>19</v>
      </c>
      <c r="Q58" s="7" t="n">
        <f aca="false">0.35+((P58-9)/64)*(1-0.35)</f>
        <v>0.4515625</v>
      </c>
      <c r="R58" s="15" t="n">
        <f aca="false">Q58*L58</f>
        <v>0.85796875</v>
      </c>
      <c r="S58" s="15" t="n">
        <f aca="false">J58-R58</f>
        <v>-0.85796875</v>
      </c>
      <c r="T58" s="15" t="n">
        <f aca="false">MIN(189.6,(T57+S58))</f>
        <v>58.669609375</v>
      </c>
      <c r="V58" s="16" t="n">
        <v>876.7</v>
      </c>
      <c r="W58" s="7" t="n">
        <f aca="false">V58/D58</f>
        <v>51.5705882352941</v>
      </c>
      <c r="X58" s="7" t="n">
        <f aca="false">X57+V58</f>
        <v>17066.7</v>
      </c>
      <c r="AA58" s="7" t="n">
        <v>12.2116102162378</v>
      </c>
    </row>
    <row r="59" s="7" customFormat="true" ht="15" hidden="false" customHeight="false" outlineLevel="0" collapsed="false">
      <c r="A59" s="10"/>
      <c r="B59" s="11"/>
      <c r="C59" s="8" t="n">
        <v>41540</v>
      </c>
      <c r="D59" s="7" t="n">
        <v>15.5</v>
      </c>
      <c r="E59" s="7" t="n">
        <v>10.5</v>
      </c>
      <c r="F59" s="7" t="n">
        <v>20.8</v>
      </c>
      <c r="G59" s="7" t="n">
        <f aca="false">G58+D59</f>
        <v>288.3</v>
      </c>
      <c r="J59" s="7" t="n">
        <v>0.1</v>
      </c>
      <c r="K59" s="7" t="n">
        <f aca="false">K58+J59</f>
        <v>68.6</v>
      </c>
      <c r="L59" s="7" t="n">
        <v>2.7</v>
      </c>
      <c r="M59" s="7" t="n">
        <f aca="false">M58+L59</f>
        <v>37.5</v>
      </c>
      <c r="N59" s="14" t="n">
        <f aca="false">J59-L59</f>
        <v>-2.6</v>
      </c>
      <c r="O59" s="7" t="n">
        <f aca="false">O58+N59</f>
        <v>31.1</v>
      </c>
      <c r="P59" s="7" t="n">
        <v>20</v>
      </c>
      <c r="Q59" s="7" t="n">
        <f aca="false">0.35+((P59-9)/64)*(1-0.35)</f>
        <v>0.46171875</v>
      </c>
      <c r="R59" s="15" t="n">
        <f aca="false">Q59*L59</f>
        <v>1.246640625</v>
      </c>
      <c r="S59" s="15" t="n">
        <f aca="false">J59-R59</f>
        <v>-1.146640625</v>
      </c>
      <c r="T59" s="15" t="n">
        <f aca="false">MIN(189.6,(T58+S59))</f>
        <v>57.52296875</v>
      </c>
      <c r="V59" s="7" t="n">
        <v>1456.3</v>
      </c>
      <c r="W59" s="7" t="n">
        <f aca="false">V59/D59</f>
        <v>93.9548387096774</v>
      </c>
      <c r="X59" s="7" t="n">
        <f aca="false">X58+V59</f>
        <v>18523</v>
      </c>
      <c r="AA59" s="7" t="n">
        <v>12.1504258308271</v>
      </c>
    </row>
    <row r="60" s="7" customFormat="true" ht="15" hidden="false" customHeight="false" outlineLevel="0" collapsed="false">
      <c r="A60" s="10"/>
      <c r="B60" s="11"/>
      <c r="C60" s="8" t="n">
        <v>41541</v>
      </c>
      <c r="D60" s="7" t="n">
        <v>15.1</v>
      </c>
      <c r="E60" s="7" t="n">
        <v>10.6</v>
      </c>
      <c r="F60" s="7" t="n">
        <v>21.1</v>
      </c>
      <c r="G60" s="7" t="n">
        <f aca="false">G59+D60</f>
        <v>303.4</v>
      </c>
      <c r="J60" s="7" t="n">
        <v>0.2</v>
      </c>
      <c r="K60" s="7" t="n">
        <f aca="false">K59+J60</f>
        <v>68.8</v>
      </c>
      <c r="L60" s="7" t="n">
        <v>2.8</v>
      </c>
      <c r="M60" s="7" t="n">
        <f aca="false">M59+L60</f>
        <v>40.3</v>
      </c>
      <c r="N60" s="14" t="n">
        <f aca="false">J60-L60</f>
        <v>-2.6</v>
      </c>
      <c r="O60" s="7" t="n">
        <f aca="false">O59+N60</f>
        <v>28.5</v>
      </c>
      <c r="P60" s="7" t="n">
        <v>21</v>
      </c>
      <c r="Q60" s="7" t="n">
        <f aca="false">0.35+((P60-9)/64)*(1-0.35)</f>
        <v>0.471875</v>
      </c>
      <c r="R60" s="15" t="n">
        <f aca="false">Q60*L60</f>
        <v>1.32125</v>
      </c>
      <c r="S60" s="15" t="n">
        <f aca="false">J60-R60</f>
        <v>-1.12125</v>
      </c>
      <c r="T60" s="15" t="n">
        <f aca="false">MIN(189.6,(T59+S60))</f>
        <v>56.40171875</v>
      </c>
      <c r="V60" s="7" t="n">
        <v>1457.4</v>
      </c>
      <c r="W60" s="7" t="n">
        <f aca="false">V60/D60</f>
        <v>96.5165562913907</v>
      </c>
      <c r="X60" s="7" t="n">
        <f aca="false">X59+V60</f>
        <v>19980.4</v>
      </c>
      <c r="AA60" s="7" t="n">
        <v>12.0892278984656</v>
      </c>
    </row>
    <row r="61" s="7" customFormat="true" ht="15" hidden="false" customHeight="false" outlineLevel="0" collapsed="false">
      <c r="A61" s="10"/>
      <c r="B61" s="11"/>
      <c r="C61" s="8" t="n">
        <v>41542</v>
      </c>
      <c r="D61" s="7" t="n">
        <v>15.7</v>
      </c>
      <c r="E61" s="7" t="n">
        <v>9.6</v>
      </c>
      <c r="F61" s="7" t="n">
        <v>21.5</v>
      </c>
      <c r="G61" s="7" t="n">
        <f aca="false">G60+D61</f>
        <v>319.1</v>
      </c>
      <c r="J61" s="7" t="n">
        <v>1.2</v>
      </c>
      <c r="K61" s="7" t="n">
        <f aca="false">K60+J61</f>
        <v>70</v>
      </c>
      <c r="L61" s="7" t="n">
        <v>2.1</v>
      </c>
      <c r="M61" s="7" t="n">
        <f aca="false">M60+L61</f>
        <v>42.4</v>
      </c>
      <c r="N61" s="14" t="n">
        <f aca="false">J61-L61</f>
        <v>-0.9</v>
      </c>
      <c r="O61" s="7" t="n">
        <f aca="false">O60+N61</f>
        <v>27.6</v>
      </c>
      <c r="P61" s="7" t="n">
        <v>22</v>
      </c>
      <c r="Q61" s="7" t="n">
        <f aca="false">0.35+((P61-9)/64)*(1-0.35)</f>
        <v>0.48203125</v>
      </c>
      <c r="R61" s="15" t="n">
        <f aca="false">Q61*L61</f>
        <v>1.012265625</v>
      </c>
      <c r="S61" s="15" t="n">
        <f aca="false">J61-R61</f>
        <v>0.187734375</v>
      </c>
      <c r="T61" s="15" t="n">
        <f aca="false">MIN(189.6,(T60+S61))</f>
        <v>56.589453125</v>
      </c>
      <c r="V61" s="7" t="n">
        <v>1090.3</v>
      </c>
      <c r="W61" s="7" t="n">
        <f aca="false">V61/D61</f>
        <v>69.4458598726115</v>
      </c>
      <c r="X61" s="7" t="n">
        <f aca="false">X60+V61</f>
        <v>21070.7</v>
      </c>
      <c r="AA61" s="7" t="n">
        <v>12.0280217734959</v>
      </c>
    </row>
    <row r="62" s="7" customFormat="true" ht="15" hidden="false" customHeight="false" outlineLevel="0" collapsed="false">
      <c r="A62" s="10"/>
      <c r="B62" s="11"/>
      <c r="C62" s="8" t="n">
        <v>41543</v>
      </c>
      <c r="D62" s="7" t="n">
        <v>15.2</v>
      </c>
      <c r="E62" s="7" t="n">
        <v>13.4</v>
      </c>
      <c r="F62" s="7" t="n">
        <v>18.8</v>
      </c>
      <c r="G62" s="7" t="n">
        <f aca="false">G61+D62</f>
        <v>334.3</v>
      </c>
      <c r="J62" s="7" t="n">
        <v>0.1</v>
      </c>
      <c r="K62" s="7" t="n">
        <f aca="false">K61+J62</f>
        <v>70.1</v>
      </c>
      <c r="L62" s="7" t="n">
        <v>1.4</v>
      </c>
      <c r="M62" s="7" t="n">
        <f aca="false">M61+L62</f>
        <v>43.8</v>
      </c>
      <c r="N62" s="14" t="n">
        <f aca="false">J62-L62</f>
        <v>-1.3</v>
      </c>
      <c r="O62" s="7" t="n">
        <f aca="false">O61+N62</f>
        <v>26.3</v>
      </c>
      <c r="P62" s="7" t="n">
        <v>23</v>
      </c>
      <c r="Q62" s="7" t="n">
        <f aca="false">0.35+((P62-9)/64)*(1-0.35)</f>
        <v>0.4921875</v>
      </c>
      <c r="R62" s="15" t="n">
        <f aca="false">Q62*L62</f>
        <v>0.6890625</v>
      </c>
      <c r="S62" s="15" t="n">
        <f aca="false">J62-R62</f>
        <v>-0.5890625</v>
      </c>
      <c r="T62" s="15" t="n">
        <f aca="false">MIN(189.6,(T61+S62))</f>
        <v>56.000390625</v>
      </c>
      <c r="V62" s="16" t="n">
        <v>646.8</v>
      </c>
      <c r="W62" s="7" t="n">
        <f aca="false">V62/D62</f>
        <v>42.5526315789474</v>
      </c>
      <c r="X62" s="7" t="n">
        <f aca="false">X61+V62</f>
        <v>21717.5</v>
      </c>
      <c r="AA62" s="7" t="n">
        <v>11.9668128590714</v>
      </c>
    </row>
    <row r="63" s="7" customFormat="true" ht="15" hidden="false" customHeight="false" outlineLevel="0" collapsed="false">
      <c r="A63" s="10"/>
      <c r="B63" s="11"/>
      <c r="C63" s="8" t="n">
        <v>41544</v>
      </c>
      <c r="D63" s="7" t="n">
        <v>13.4</v>
      </c>
      <c r="E63" s="7" t="n">
        <v>9.2</v>
      </c>
      <c r="F63" s="7" t="n">
        <v>17.2</v>
      </c>
      <c r="G63" s="7" t="n">
        <f aca="false">G62+D63</f>
        <v>347.7</v>
      </c>
      <c r="J63" s="7" t="n">
        <v>0.2</v>
      </c>
      <c r="K63" s="7" t="n">
        <f aca="false">K62+J63</f>
        <v>70.3</v>
      </c>
      <c r="L63" s="7" t="n">
        <v>1.8</v>
      </c>
      <c r="M63" s="7" t="n">
        <f aca="false">M62+L63</f>
        <v>45.6</v>
      </c>
      <c r="N63" s="14" t="n">
        <f aca="false">J63-L63</f>
        <v>-1.6</v>
      </c>
      <c r="O63" s="7" t="n">
        <f aca="false">O62+N63</f>
        <v>24.7</v>
      </c>
      <c r="P63" s="7" t="n">
        <v>24</v>
      </c>
      <c r="Q63" s="7" t="n">
        <f aca="false">0.35+((P63-9)/64)*(1-0.35)</f>
        <v>0.50234375</v>
      </c>
      <c r="R63" s="15" t="n">
        <f aca="false">Q63*L63</f>
        <v>0.90421875</v>
      </c>
      <c r="S63" s="15" t="n">
        <f aca="false">J63-R63</f>
        <v>-0.70421875</v>
      </c>
      <c r="T63" s="15" t="n">
        <f aca="false">MIN(189.6,(T62+S63))</f>
        <v>55.296171875</v>
      </c>
      <c r="V63" s="7" t="n">
        <v>1179.7</v>
      </c>
      <c r="W63" s="7" t="n">
        <f aca="false">V63/D63</f>
        <v>88.0373134328358</v>
      </c>
      <c r="X63" s="7" t="n">
        <f aca="false">X62+V63</f>
        <v>22897.2</v>
      </c>
      <c r="AA63" s="7" t="n">
        <v>11.9056066249754</v>
      </c>
    </row>
    <row r="64" s="7" customFormat="true" ht="15" hidden="false" customHeight="false" outlineLevel="0" collapsed="false">
      <c r="A64" s="10"/>
      <c r="B64" s="11"/>
      <c r="C64" s="8" t="n">
        <v>41545</v>
      </c>
      <c r="D64" s="7" t="n">
        <v>16</v>
      </c>
      <c r="E64" s="7" t="n">
        <v>12.4</v>
      </c>
      <c r="F64" s="7" t="n">
        <v>19.7</v>
      </c>
      <c r="G64" s="7" t="n">
        <f aca="false">G63+D64</f>
        <v>363.7</v>
      </c>
      <c r="J64" s="7" t="n">
        <v>0</v>
      </c>
      <c r="K64" s="7" t="n">
        <f aca="false">K63+J64</f>
        <v>70.3</v>
      </c>
      <c r="L64" s="7" t="n">
        <v>1.4</v>
      </c>
      <c r="M64" s="7" t="n">
        <f aca="false">M63+L64</f>
        <v>47</v>
      </c>
      <c r="N64" s="14" t="n">
        <f aca="false">J64-L64</f>
        <v>-1.4</v>
      </c>
      <c r="O64" s="7" t="n">
        <f aca="false">O63+N64</f>
        <v>23.3</v>
      </c>
      <c r="P64" s="7" t="n">
        <v>25</v>
      </c>
      <c r="Q64" s="7" t="n">
        <f aca="false">0.35+((P64-9)/64)*(1-0.35)</f>
        <v>0.5125</v>
      </c>
      <c r="R64" s="15" t="n">
        <f aca="false">Q64*L64</f>
        <v>0.7175</v>
      </c>
      <c r="S64" s="15" t="n">
        <f aca="false">J64-R64</f>
        <v>-0.7175</v>
      </c>
      <c r="T64" s="15" t="n">
        <f aca="false">MIN(189.6,(T63+S64))</f>
        <v>54.578671875</v>
      </c>
      <c r="V64" s="16" t="n">
        <v>543</v>
      </c>
      <c r="W64" s="7" t="n">
        <f aca="false">V64/D64</f>
        <v>33.9375</v>
      </c>
      <c r="X64" s="7" t="n">
        <f aca="false">X63+V64</f>
        <v>23440.2</v>
      </c>
      <c r="AA64" s="7" t="n">
        <v>11.8444086255583</v>
      </c>
    </row>
    <row r="65" s="7" customFormat="true" ht="15" hidden="false" customHeight="false" outlineLevel="0" collapsed="false">
      <c r="A65" s="10"/>
      <c r="B65" s="11"/>
      <c r="C65" s="8" t="n">
        <v>41546</v>
      </c>
      <c r="D65" s="7" t="n">
        <v>16.3</v>
      </c>
      <c r="E65" s="7" t="n">
        <v>13.6</v>
      </c>
      <c r="F65" s="7" t="n">
        <v>20.1</v>
      </c>
      <c r="G65" s="7" t="n">
        <f aca="false">G64+D65</f>
        <v>380</v>
      </c>
      <c r="J65" s="7" t="n">
        <v>0</v>
      </c>
      <c r="K65" s="7" t="n">
        <f aca="false">K64+J65</f>
        <v>70.3</v>
      </c>
      <c r="L65" s="7" t="n">
        <v>2.1</v>
      </c>
      <c r="M65" s="7" t="n">
        <f aca="false">M64+L65</f>
        <v>49.1</v>
      </c>
      <c r="N65" s="14" t="n">
        <f aca="false">J65-L65</f>
        <v>-2.1</v>
      </c>
      <c r="O65" s="7" t="n">
        <f aca="false">O64+N65</f>
        <v>21.2</v>
      </c>
      <c r="P65" s="7" t="n">
        <v>26</v>
      </c>
      <c r="Q65" s="7" t="n">
        <f aca="false">0.35+((P65-9)/64)*(1-0.35)</f>
        <v>0.52265625</v>
      </c>
      <c r="R65" s="15" t="n">
        <f aca="false">Q65*L65</f>
        <v>1.097578125</v>
      </c>
      <c r="S65" s="15" t="n">
        <f aca="false">J65-R65</f>
        <v>-1.097578125</v>
      </c>
      <c r="T65" s="15" t="n">
        <f aca="false">MIN(189.6,(T64+S65))</f>
        <v>53.48109375</v>
      </c>
      <c r="V65" s="7" t="n">
        <v>1065.2</v>
      </c>
      <c r="W65" s="7" t="n">
        <f aca="false">V65/D65</f>
        <v>65.3496932515337</v>
      </c>
      <c r="X65" s="7" t="n">
        <f aca="false">X64+V65</f>
        <v>24505.4</v>
      </c>
      <c r="AA65" s="7" t="n">
        <v>11.7832245178004</v>
      </c>
    </row>
    <row r="66" s="7" customFormat="true" ht="15" hidden="false" customHeight="false" outlineLevel="0" collapsed="false">
      <c r="A66" s="10"/>
      <c r="B66" s="11"/>
      <c r="C66" s="8" t="n">
        <v>41547</v>
      </c>
      <c r="D66" s="7" t="n">
        <v>14.2</v>
      </c>
      <c r="E66" s="7" t="n">
        <v>10.7</v>
      </c>
      <c r="F66" s="7" t="n">
        <v>18.4</v>
      </c>
      <c r="G66" s="7" t="n">
        <f aca="false">G65+D66</f>
        <v>394.2</v>
      </c>
      <c r="J66" s="7" t="n">
        <v>0</v>
      </c>
      <c r="K66" s="7" t="n">
        <f aca="false">K65+J66</f>
        <v>70.3</v>
      </c>
      <c r="L66" s="7" t="n">
        <v>2.3</v>
      </c>
      <c r="M66" s="7" t="n">
        <f aca="false">M65+L66</f>
        <v>51.4</v>
      </c>
      <c r="N66" s="14" t="n">
        <f aca="false">J66-L66</f>
        <v>-2.3</v>
      </c>
      <c r="O66" s="7" t="n">
        <f aca="false">O65+N66</f>
        <v>18.9</v>
      </c>
      <c r="P66" s="7" t="n">
        <v>27</v>
      </c>
      <c r="Q66" s="7" t="n">
        <f aca="false">0.35+((P66-9)/64)*(1-0.35)</f>
        <v>0.5328125</v>
      </c>
      <c r="R66" s="15" t="n">
        <f aca="false">Q66*L66</f>
        <v>1.22546875</v>
      </c>
      <c r="S66" s="15" t="n">
        <f aca="false">J66-R66</f>
        <v>-1.22546875</v>
      </c>
      <c r="T66" s="15" t="n">
        <f aca="false">MIN(189.6,(T65+S66))</f>
        <v>52.255625</v>
      </c>
      <c r="V66" s="7" t="n">
        <v>1130.5</v>
      </c>
      <c r="W66" s="7" t="n">
        <f aca="false">V66/D66</f>
        <v>79.612676056338</v>
      </c>
      <c r="X66" s="7" t="n">
        <f aca="false">X65+V66</f>
        <v>25635.9</v>
      </c>
      <c r="AA66" s="7" t="n">
        <v>11.7220600795062</v>
      </c>
    </row>
    <row r="67" s="7" customFormat="true" ht="15" hidden="false" customHeight="false" outlineLevel="0" collapsed="false">
      <c r="A67" s="10"/>
      <c r="B67" s="11"/>
      <c r="C67" s="8" t="n">
        <v>41548</v>
      </c>
      <c r="D67" s="7" t="n">
        <v>13.4</v>
      </c>
      <c r="E67" s="7" t="n">
        <v>11.9</v>
      </c>
      <c r="F67" s="7" t="n">
        <v>15.8</v>
      </c>
      <c r="G67" s="7" t="n">
        <f aca="false">G66+D67</f>
        <v>407.6</v>
      </c>
      <c r="J67" s="7" t="n">
        <v>0</v>
      </c>
      <c r="K67" s="7" t="n">
        <f aca="false">K66+J67</f>
        <v>70.3</v>
      </c>
      <c r="L67" s="7" t="n">
        <v>1.9</v>
      </c>
      <c r="M67" s="7" t="n">
        <f aca="false">M66+L67</f>
        <v>53.3</v>
      </c>
      <c r="N67" s="14" t="n">
        <f aca="false">J67-L67</f>
        <v>-1.9</v>
      </c>
      <c r="O67" s="7" t="n">
        <f aca="false">O66+N67</f>
        <v>17</v>
      </c>
      <c r="P67" s="7" t="n">
        <v>28</v>
      </c>
      <c r="Q67" s="7" t="n">
        <f aca="false">0.35+((P67-9)/64)*(1-0.35)</f>
        <v>0.54296875</v>
      </c>
      <c r="R67" s="15" t="n">
        <f aca="false">Q67*L67</f>
        <v>1.031640625</v>
      </c>
      <c r="S67" s="15" t="n">
        <f aca="false">J67-R67</f>
        <v>-1.031640625</v>
      </c>
      <c r="T67" s="15" t="n">
        <f aca="false">MIN(189.6,(T66+S67))</f>
        <v>51.223984375</v>
      </c>
      <c r="V67" s="7" t="n">
        <v>1008</v>
      </c>
      <c r="W67" s="7" t="n">
        <f aca="false">V67/D67</f>
        <v>75.2238805970149</v>
      </c>
      <c r="X67" s="7" t="n">
        <f aca="false">X66+V67</f>
        <v>26643.9</v>
      </c>
      <c r="AA67" s="7" t="n">
        <v>11.6609212276372</v>
      </c>
    </row>
    <row r="68" s="7" customFormat="true" ht="15" hidden="false" customHeight="false" outlineLevel="0" collapsed="false">
      <c r="A68" s="10"/>
      <c r="B68" s="11"/>
      <c r="C68" s="8" t="n">
        <v>41549</v>
      </c>
      <c r="D68" s="7" t="n">
        <v>14.8</v>
      </c>
      <c r="E68" s="7" t="n">
        <v>9.9</v>
      </c>
      <c r="F68" s="7" t="n">
        <v>18.8</v>
      </c>
      <c r="G68" s="7" t="n">
        <f aca="false">G67+D68</f>
        <v>422.4</v>
      </c>
      <c r="J68" s="7" t="n">
        <v>0</v>
      </c>
      <c r="K68" s="7" t="n">
        <f aca="false">K67+J68</f>
        <v>70.3</v>
      </c>
      <c r="L68" s="7" t="n">
        <v>1.8</v>
      </c>
      <c r="M68" s="7" t="n">
        <f aca="false">M67+L68</f>
        <v>55.1</v>
      </c>
      <c r="N68" s="14" t="n">
        <f aca="false">J68-L68</f>
        <v>-1.8</v>
      </c>
      <c r="O68" s="7" t="n">
        <f aca="false">O67+N68</f>
        <v>15.2</v>
      </c>
      <c r="P68" s="7" t="n">
        <v>29</v>
      </c>
      <c r="Q68" s="7" t="n">
        <f aca="false">0.35+((P68-9)/64)*(1-0.35)</f>
        <v>0.553125</v>
      </c>
      <c r="R68" s="15" t="n">
        <f aca="false">Q68*L68</f>
        <v>0.995625</v>
      </c>
      <c r="S68" s="15" t="n">
        <f aca="false">J68-R68</f>
        <v>-0.995625</v>
      </c>
      <c r="T68" s="15" t="n">
        <f aca="false">MIN(189.6,(T67+S68))</f>
        <v>50.228359375</v>
      </c>
      <c r="V68" s="7" t="n">
        <v>1016.1</v>
      </c>
      <c r="W68" s="7" t="n">
        <f aca="false">V68/D68</f>
        <v>68.6554054054054</v>
      </c>
      <c r="X68" s="7" t="n">
        <f aca="false">X67+V68</f>
        <v>27660</v>
      </c>
      <c r="AA68" s="7" t="n">
        <v>11.5998140367872</v>
      </c>
    </row>
    <row r="69" s="7" customFormat="true" ht="15" hidden="false" customHeight="false" outlineLevel="0" collapsed="false">
      <c r="A69" s="10"/>
      <c r="B69" s="11"/>
      <c r="C69" s="8" t="n">
        <v>41550</v>
      </c>
      <c r="D69" s="7" t="n">
        <v>15.5</v>
      </c>
      <c r="E69" s="7" t="n">
        <v>10.4</v>
      </c>
      <c r="F69" s="7" t="n">
        <v>18</v>
      </c>
      <c r="G69" s="7" t="n">
        <f aca="false">G68+D69</f>
        <v>437.9</v>
      </c>
      <c r="J69" s="7" t="n">
        <v>3.8</v>
      </c>
      <c r="K69" s="7" t="n">
        <f aca="false">K68+J69</f>
        <v>74.1</v>
      </c>
      <c r="L69" s="7" t="n">
        <v>1.1</v>
      </c>
      <c r="M69" s="7" t="n">
        <f aca="false">M68+L69</f>
        <v>56.2</v>
      </c>
      <c r="N69" s="7" t="n">
        <f aca="false">J69-L69</f>
        <v>2.7</v>
      </c>
      <c r="O69" s="7" t="n">
        <f aca="false">O68+N69</f>
        <v>17.9</v>
      </c>
      <c r="P69" s="7" t="n">
        <v>30</v>
      </c>
      <c r="Q69" s="7" t="n">
        <f aca="false">0.35+((P69-9)/64)*(1-0.35)</f>
        <v>0.56328125</v>
      </c>
      <c r="R69" s="15" t="n">
        <f aca="false">Q69*L69</f>
        <v>0.619609375</v>
      </c>
      <c r="S69" s="15" t="n">
        <f aca="false">J69-R69</f>
        <v>3.180390625</v>
      </c>
      <c r="T69" s="15" t="n">
        <f aca="false">MIN(189.6,(T68+S69))</f>
        <v>53.40875</v>
      </c>
      <c r="V69" s="16" t="n">
        <v>669.3</v>
      </c>
      <c r="W69" s="7" t="n">
        <f aca="false">V69/D69</f>
        <v>43.1806451612903</v>
      </c>
      <c r="X69" s="7" t="n">
        <f aca="false">X68+V69</f>
        <v>28329.3</v>
      </c>
      <c r="AA69" s="7" t="n">
        <v>11.5387447578035</v>
      </c>
    </row>
    <row r="70" s="7" customFormat="true" ht="15" hidden="false" customHeight="false" outlineLevel="0" collapsed="false">
      <c r="A70" s="10"/>
      <c r="B70" s="11"/>
      <c r="C70" s="8" t="n">
        <v>41551</v>
      </c>
      <c r="D70" s="7" t="n">
        <v>17.2</v>
      </c>
      <c r="E70" s="7" t="n">
        <v>16.7</v>
      </c>
      <c r="F70" s="7" t="n">
        <v>19.8</v>
      </c>
      <c r="G70" s="7" t="n">
        <f aca="false">G69+D70</f>
        <v>455.1</v>
      </c>
      <c r="J70" s="7" t="n">
        <v>0</v>
      </c>
      <c r="K70" s="7" t="n">
        <f aca="false">K69+J70</f>
        <v>74.1</v>
      </c>
      <c r="L70" s="7" t="n">
        <v>1.8</v>
      </c>
      <c r="M70" s="7" t="n">
        <f aca="false">M69+L70</f>
        <v>58</v>
      </c>
      <c r="N70" s="14" t="n">
        <f aca="false">J70-L70</f>
        <v>-1.8</v>
      </c>
      <c r="O70" s="7" t="n">
        <f aca="false">O69+N70</f>
        <v>16.1</v>
      </c>
      <c r="P70" s="7" t="n">
        <v>31</v>
      </c>
      <c r="Q70" s="7" t="n">
        <f aca="false">0.35+((P70-9)/64)*(1-0.35)</f>
        <v>0.5734375</v>
      </c>
      <c r="R70" s="15" t="n">
        <f aca="false">Q70*L70</f>
        <v>1.0321875</v>
      </c>
      <c r="S70" s="15" t="n">
        <f aca="false">J70-R70</f>
        <v>-1.0321875</v>
      </c>
      <c r="T70" s="15" t="n">
        <f aca="false">MIN(189.6,(T69+S70))</f>
        <v>52.3765625</v>
      </c>
      <c r="V70" s="16" t="n">
        <v>612.6</v>
      </c>
      <c r="W70" s="7" t="n">
        <f aca="false">V70/D70</f>
        <v>35.6162790697674</v>
      </c>
      <c r="X70" s="7" t="n">
        <f aca="false">X69+V70</f>
        <v>28941.9</v>
      </c>
      <c r="AA70" s="7" t="n">
        <v>11.477719836557</v>
      </c>
    </row>
    <row r="71" s="7" customFormat="true" ht="15" hidden="false" customHeight="false" outlineLevel="0" collapsed="false">
      <c r="A71" s="10"/>
      <c r="B71" s="11"/>
      <c r="C71" s="8" t="n">
        <v>41552</v>
      </c>
      <c r="D71" s="7" t="n">
        <v>15.1</v>
      </c>
      <c r="E71" s="7" t="n">
        <v>13.3</v>
      </c>
      <c r="F71" s="7" t="n">
        <v>18.4</v>
      </c>
      <c r="G71" s="7" t="n">
        <f aca="false">G70+D71</f>
        <v>470.2</v>
      </c>
      <c r="J71" s="7" t="n">
        <v>0.3</v>
      </c>
      <c r="K71" s="7" t="n">
        <f aca="false">K70+J71</f>
        <v>74.4</v>
      </c>
      <c r="L71" s="7" t="n">
        <v>1.3</v>
      </c>
      <c r="M71" s="7" t="n">
        <f aca="false">M70+L71</f>
        <v>59.3</v>
      </c>
      <c r="N71" s="14" t="n">
        <f aca="false">J71-L71</f>
        <v>-1</v>
      </c>
      <c r="O71" s="7" t="n">
        <f aca="false">O70+N71</f>
        <v>15.1</v>
      </c>
      <c r="P71" s="7" t="n">
        <v>32</v>
      </c>
      <c r="Q71" s="7" t="n">
        <f aca="false">0.35+((P71-9)/64)*(1-0.35)</f>
        <v>0.58359375</v>
      </c>
      <c r="R71" s="15" t="n">
        <f aca="false">Q71*L71</f>
        <v>0.758671875</v>
      </c>
      <c r="S71" s="15" t="n">
        <f aca="false">J71-R71</f>
        <v>-0.458671875</v>
      </c>
      <c r="T71" s="15" t="n">
        <f aca="false">MIN(189.6,(T70+S71))</f>
        <v>51.917890625</v>
      </c>
      <c r="V71" s="16" t="n">
        <v>737.3</v>
      </c>
      <c r="W71" s="7" t="n">
        <f aca="false">V71/D71</f>
        <v>48.8278145695364</v>
      </c>
      <c r="X71" s="7" t="n">
        <f aca="false">X70+V71</f>
        <v>29679.2</v>
      </c>
      <c r="AA71" s="7" t="n">
        <v>11.4167459328616</v>
      </c>
    </row>
    <row r="72" s="7" customFormat="true" ht="15" hidden="false" customHeight="false" outlineLevel="0" collapsed="false">
      <c r="A72" s="10"/>
      <c r="B72" s="11"/>
      <c r="C72" s="8" t="n">
        <v>41553</v>
      </c>
      <c r="D72" s="7" t="n">
        <v>13.9</v>
      </c>
      <c r="E72" s="7" t="n">
        <v>11.8</v>
      </c>
      <c r="F72" s="7" t="n">
        <v>18.6</v>
      </c>
      <c r="G72" s="7" t="n">
        <f aca="false">G71+D72</f>
        <v>484.1</v>
      </c>
      <c r="J72" s="7" t="n">
        <v>0</v>
      </c>
      <c r="K72" s="7" t="n">
        <f aca="false">K71+J72</f>
        <v>74.4</v>
      </c>
      <c r="L72" s="7" t="n">
        <v>1.8</v>
      </c>
      <c r="M72" s="7" t="n">
        <f aca="false">M71+L72</f>
        <v>61.1</v>
      </c>
      <c r="N72" s="14" t="n">
        <f aca="false">J72-L72</f>
        <v>-1.8</v>
      </c>
      <c r="O72" s="7" t="n">
        <f aca="false">O71+N72</f>
        <v>13.3</v>
      </c>
      <c r="P72" s="7" t="n">
        <v>33</v>
      </c>
      <c r="Q72" s="7" t="n">
        <f aca="false">0.35+((P72-9)/64)*(1-0.35)</f>
        <v>0.59375</v>
      </c>
      <c r="R72" s="15" t="n">
        <f aca="false">Q72*L72</f>
        <v>1.06875</v>
      </c>
      <c r="S72" s="15" t="n">
        <f aca="false">J72-R72</f>
        <v>-1.06875</v>
      </c>
      <c r="T72" s="15" t="n">
        <f aca="false">MIN(189.6,(T71+S72))</f>
        <v>50.849140625</v>
      </c>
      <c r="V72" s="16" t="n">
        <v>829.3</v>
      </c>
      <c r="W72" s="7" t="n">
        <f aca="false">V72/D72</f>
        <v>59.6618705035971</v>
      </c>
      <c r="X72" s="7" t="n">
        <f aca="false">X71+V72</f>
        <v>30508.5</v>
      </c>
      <c r="AA72" s="7" t="n">
        <v>11.3558299395414</v>
      </c>
    </row>
    <row r="73" s="7" customFormat="true" ht="15" hidden="false" customHeight="false" outlineLevel="0" collapsed="false">
      <c r="A73" s="10"/>
      <c r="B73" s="11"/>
      <c r="C73" s="8" t="n">
        <v>41554</v>
      </c>
      <c r="D73" s="7" t="n">
        <v>12.7</v>
      </c>
      <c r="E73" s="7" t="n">
        <v>7.2</v>
      </c>
      <c r="F73" s="7" t="n">
        <v>18.5</v>
      </c>
      <c r="G73" s="7" t="n">
        <f aca="false">G72+D73</f>
        <v>496.8</v>
      </c>
      <c r="J73" s="7" t="n">
        <v>0</v>
      </c>
      <c r="K73" s="7" t="n">
        <f aca="false">K72+J73</f>
        <v>74.4</v>
      </c>
      <c r="L73" s="7" t="n">
        <v>2.1</v>
      </c>
      <c r="M73" s="7" t="n">
        <f aca="false">M72+L73</f>
        <v>63.2</v>
      </c>
      <c r="N73" s="14" t="n">
        <f aca="false">J73-L73</f>
        <v>-2.1</v>
      </c>
      <c r="O73" s="7" t="n">
        <f aca="false">O72+N73</f>
        <v>11.2</v>
      </c>
      <c r="P73" s="7" t="n">
        <v>34</v>
      </c>
      <c r="Q73" s="7" t="n">
        <f aca="false">0.35+((P73-9)/64)*(1-0.35)</f>
        <v>0.60390625</v>
      </c>
      <c r="R73" s="15" t="n">
        <f aca="false">Q73*L73</f>
        <v>1.268203125</v>
      </c>
      <c r="S73" s="15" t="n">
        <f aca="false">J73-R73</f>
        <v>-1.268203125</v>
      </c>
      <c r="T73" s="15" t="n">
        <f aca="false">MIN(189.6,(T72+S73))</f>
        <v>49.5809375</v>
      </c>
      <c r="V73" s="7" t="n">
        <v>1066.7</v>
      </c>
      <c r="W73" s="7" t="n">
        <f aca="false">V73/D73</f>
        <v>83.992125984252</v>
      </c>
      <c r="X73" s="7" t="n">
        <f aca="false">X72+V73</f>
        <v>31575.2</v>
      </c>
      <c r="AA73" s="7" t="n">
        <v>11.2949790016434</v>
      </c>
    </row>
    <row r="74" s="7" customFormat="true" ht="15" hidden="false" customHeight="false" outlineLevel="0" collapsed="false">
      <c r="A74" s="10"/>
      <c r="B74" s="11"/>
      <c r="C74" s="8" t="n">
        <v>41555</v>
      </c>
      <c r="D74" s="7" t="n">
        <v>13.3</v>
      </c>
      <c r="E74" s="7" t="n">
        <v>8.9</v>
      </c>
      <c r="F74" s="7" t="n">
        <v>17.3</v>
      </c>
      <c r="G74" s="7" t="n">
        <f aca="false">G73+D74</f>
        <v>510.1</v>
      </c>
      <c r="J74" s="7" t="n">
        <v>2.1</v>
      </c>
      <c r="K74" s="7" t="n">
        <f aca="false">K73+J74</f>
        <v>76.5</v>
      </c>
      <c r="L74" s="7" t="n">
        <v>1.2</v>
      </c>
      <c r="M74" s="7" t="n">
        <f aca="false">M73+L74</f>
        <v>64.4</v>
      </c>
      <c r="N74" s="7" t="n">
        <f aca="false">J74-L74</f>
        <v>0.9</v>
      </c>
      <c r="O74" s="7" t="n">
        <f aca="false">O73+N74</f>
        <v>12.1</v>
      </c>
      <c r="P74" s="7" t="n">
        <v>35</v>
      </c>
      <c r="Q74" s="7" t="n">
        <f aca="false">0.35+((P74-9)/64)*(1-0.35)</f>
        <v>0.6140625</v>
      </c>
      <c r="R74" s="15" t="n">
        <f aca="false">Q74*L74</f>
        <v>0.736875</v>
      </c>
      <c r="S74" s="15" t="n">
        <f aca="false">J74-R74</f>
        <v>1.363125</v>
      </c>
      <c r="T74" s="15" t="n">
        <f aca="false">MIN(189.6,(T73+S74))</f>
        <v>50.9440625</v>
      </c>
      <c r="V74" s="16" t="n">
        <v>518.6</v>
      </c>
      <c r="W74" s="7" t="n">
        <f aca="false">V74/D74</f>
        <v>38.9924812030075</v>
      </c>
      <c r="X74" s="7" t="n">
        <f aca="false">X73+V74</f>
        <v>32093.8</v>
      </c>
      <c r="AA74" s="7" t="n">
        <v>11.2342005357897</v>
      </c>
    </row>
    <row r="75" s="7" customFormat="true" ht="15" hidden="false" customHeight="false" outlineLevel="0" collapsed="false">
      <c r="A75" s="10"/>
      <c r="B75" s="11"/>
      <c r="C75" s="8" t="n">
        <v>41556</v>
      </c>
      <c r="D75" s="7" t="n">
        <v>13.5</v>
      </c>
      <c r="E75" s="7" t="n">
        <v>11.3</v>
      </c>
      <c r="F75" s="7" t="n">
        <v>16</v>
      </c>
      <c r="G75" s="7" t="n">
        <f aca="false">G74+D75</f>
        <v>523.6</v>
      </c>
      <c r="J75" s="7" t="n">
        <v>2.1</v>
      </c>
      <c r="K75" s="7" t="n">
        <f aca="false">K74+J75</f>
        <v>78.6</v>
      </c>
      <c r="L75" s="7" t="n">
        <v>0.9</v>
      </c>
      <c r="M75" s="7" t="n">
        <f aca="false">M74+L75</f>
        <v>65.3</v>
      </c>
      <c r="N75" s="7" t="n">
        <f aca="false">J75-L75</f>
        <v>1.2</v>
      </c>
      <c r="O75" s="7" t="n">
        <f aca="false">O74+N75</f>
        <v>13.3</v>
      </c>
      <c r="P75" s="7" t="n">
        <v>36</v>
      </c>
      <c r="Q75" s="7" t="n">
        <f aca="false">0.35+((P75-9)/64)*(1-0.35)</f>
        <v>0.62421875</v>
      </c>
      <c r="R75" s="15" t="n">
        <f aca="false">Q75*L75</f>
        <v>0.561796875</v>
      </c>
      <c r="S75" s="15" t="n">
        <f aca="false">J75-R75</f>
        <v>1.538203125</v>
      </c>
      <c r="T75" s="15" t="n">
        <f aca="false">MIN(189.6,(T74+S75))</f>
        <v>52.482265625</v>
      </c>
      <c r="V75" s="16" t="n">
        <v>406.2</v>
      </c>
      <c r="W75" s="7" t="n">
        <f aca="false">V75/D75</f>
        <v>30.0888888888889</v>
      </c>
      <c r="X75" s="7" t="n">
        <f aca="false">X74+V75</f>
        <v>32500</v>
      </c>
      <c r="AA75" s="7" t="n">
        <v>11.173502249662</v>
      </c>
    </row>
    <row r="76" s="7" customFormat="true" ht="15" hidden="false" customHeight="false" outlineLevel="0" collapsed="false">
      <c r="A76" s="10"/>
      <c r="B76" s="11"/>
      <c r="C76" s="8" t="n">
        <v>41557</v>
      </c>
      <c r="D76" s="7" t="n">
        <v>8.4</v>
      </c>
      <c r="E76" s="7" t="n">
        <v>6.1</v>
      </c>
      <c r="F76" s="7" t="n">
        <v>9.3</v>
      </c>
      <c r="G76" s="7" t="n">
        <f aca="false">G75+D76</f>
        <v>532</v>
      </c>
      <c r="J76" s="7" t="n">
        <v>20.5</v>
      </c>
      <c r="K76" s="7" t="n">
        <f aca="false">K75+J76</f>
        <v>99.1</v>
      </c>
      <c r="L76" s="7" t="n">
        <v>0.7</v>
      </c>
      <c r="M76" s="7" t="n">
        <f aca="false">M75+L76</f>
        <v>66</v>
      </c>
      <c r="N76" s="7" t="n">
        <f aca="false">J76-L76</f>
        <v>19.8</v>
      </c>
      <c r="O76" s="7" t="n">
        <f aca="false">O75+N76</f>
        <v>33.1</v>
      </c>
      <c r="P76" s="7" t="n">
        <v>37</v>
      </c>
      <c r="Q76" s="7" t="n">
        <f aca="false">0.35+((P76-9)/64)*(1-0.35)</f>
        <v>0.634375</v>
      </c>
      <c r="R76" s="15" t="n">
        <f aca="false">Q76*L76</f>
        <v>0.4440625</v>
      </c>
      <c r="S76" s="15" t="n">
        <f aca="false">J76-R76</f>
        <v>20.0559375</v>
      </c>
      <c r="T76" s="15" t="n">
        <f aca="false">MIN(189.6,(T75+S76))</f>
        <v>72.538203125</v>
      </c>
      <c r="V76" s="16" t="n">
        <v>350.2</v>
      </c>
      <c r="W76" s="7" t="n">
        <f aca="false">V76/D76</f>
        <v>41.6904761904762</v>
      </c>
      <c r="X76" s="7" t="n">
        <f aca="false">X75+V76</f>
        <v>32850.2</v>
      </c>
      <c r="AA76" s="7" t="n">
        <v>11.1128921616082</v>
      </c>
    </row>
    <row r="77" s="7" customFormat="true" ht="15" hidden="false" customHeight="false" outlineLevel="0" collapsed="false">
      <c r="A77" s="10"/>
      <c r="B77" s="11"/>
      <c r="C77" s="8" t="n">
        <v>41558</v>
      </c>
      <c r="D77" s="7" t="n">
        <v>8.5</v>
      </c>
      <c r="E77" s="7" t="n">
        <v>7.7</v>
      </c>
      <c r="F77" s="7" t="n">
        <v>9.5</v>
      </c>
      <c r="G77" s="7" t="n">
        <f aca="false">G76+D77</f>
        <v>540.5</v>
      </c>
      <c r="J77" s="7" t="n">
        <v>1.1</v>
      </c>
      <c r="K77" s="7" t="n">
        <f aca="false">K76+J77</f>
        <v>100.2</v>
      </c>
      <c r="L77" s="7" t="n">
        <v>1.1</v>
      </c>
      <c r="M77" s="7" t="n">
        <f aca="false">M76+L77</f>
        <v>67.1</v>
      </c>
      <c r="N77" s="7" t="n">
        <f aca="false">J77-L77</f>
        <v>0</v>
      </c>
      <c r="O77" s="7" t="n">
        <f aca="false">O76+N77</f>
        <v>33.1</v>
      </c>
      <c r="P77" s="7" t="n">
        <v>38</v>
      </c>
      <c r="Q77" s="7" t="n">
        <f aca="false">0.35+((P77-9)/64)*(1-0.35)</f>
        <v>0.64453125</v>
      </c>
      <c r="R77" s="15" t="n">
        <f aca="false">Q77*L77</f>
        <v>0.708984375</v>
      </c>
      <c r="S77" s="15" t="n">
        <f aca="false">J77-R77</f>
        <v>0.391015625</v>
      </c>
      <c r="T77" s="15" t="n">
        <f aca="false">MIN(189.6,(T76+S77))</f>
        <v>72.92921875</v>
      </c>
      <c r="V77" s="16" t="n">
        <v>724.3</v>
      </c>
      <c r="W77" s="7" t="n">
        <f aca="false">V77/D77</f>
        <v>85.2117647058824</v>
      </c>
      <c r="X77" s="7" t="n">
        <f aca="false">X76+V77</f>
        <v>33574.5</v>
      </c>
      <c r="AA77" s="7" t="n">
        <v>11.0523786203561</v>
      </c>
    </row>
    <row r="78" s="7" customFormat="true" ht="15" hidden="false" customHeight="false" outlineLevel="0" collapsed="false">
      <c r="A78" s="10"/>
      <c r="B78" s="11"/>
      <c r="C78" s="8" t="n">
        <v>41559</v>
      </c>
      <c r="D78" s="7" t="n">
        <v>7.5</v>
      </c>
      <c r="E78" s="7" t="n">
        <v>6.7</v>
      </c>
      <c r="F78" s="7" t="n">
        <v>9.7</v>
      </c>
      <c r="G78" s="7" t="n">
        <f aca="false">G77+D78</f>
        <v>548</v>
      </c>
      <c r="J78" s="7" t="n">
        <v>0</v>
      </c>
      <c r="K78" s="7" t="n">
        <f aca="false">K77+J78</f>
        <v>100.2</v>
      </c>
      <c r="L78" s="7" t="n">
        <v>0.9</v>
      </c>
      <c r="M78" s="7" t="n">
        <f aca="false">M77+L78</f>
        <v>68</v>
      </c>
      <c r="N78" s="14" t="n">
        <f aca="false">J78-L78</f>
        <v>-0.9</v>
      </c>
      <c r="O78" s="7" t="n">
        <f aca="false">O77+N78</f>
        <v>32.2</v>
      </c>
      <c r="P78" s="7" t="n">
        <v>39</v>
      </c>
      <c r="Q78" s="7" t="n">
        <f aca="false">0.35+((P78-9)/64)*(1-0.35)</f>
        <v>0.6546875</v>
      </c>
      <c r="R78" s="15" t="n">
        <f aca="false">Q78*L78</f>
        <v>0.58921875</v>
      </c>
      <c r="S78" s="15" t="n">
        <f aca="false">J78-R78</f>
        <v>-0.58921875</v>
      </c>
      <c r="T78" s="15" t="n">
        <f aca="false">MIN(189.6,(T77+S78))</f>
        <v>72.34</v>
      </c>
      <c r="V78" s="16" t="n">
        <v>585.2</v>
      </c>
      <c r="W78" s="7" t="n">
        <f aca="false">V78/D78</f>
        <v>78.0266666666667</v>
      </c>
      <c r="X78" s="7" t="n">
        <f aca="false">X77+V78</f>
        <v>34159.7</v>
      </c>
      <c r="AA78" s="7" t="n">
        <v>10.9919703248208</v>
      </c>
    </row>
    <row r="79" s="7" customFormat="true" ht="15" hidden="false" customHeight="false" outlineLevel="0" collapsed="false">
      <c r="A79" s="10"/>
      <c r="B79" s="11"/>
      <c r="C79" s="8" t="n">
        <v>41560</v>
      </c>
      <c r="D79" s="7" t="n">
        <v>8.4</v>
      </c>
      <c r="E79" s="7" t="n">
        <v>5.6</v>
      </c>
      <c r="F79" s="7" t="n">
        <v>9.8</v>
      </c>
      <c r="G79" s="7" t="n">
        <f aca="false">G78+D79</f>
        <v>556.4</v>
      </c>
      <c r="J79" s="7" t="n">
        <v>10.1</v>
      </c>
      <c r="K79" s="7" t="n">
        <f aca="false">K78+J79</f>
        <v>110.3</v>
      </c>
      <c r="L79" s="7" t="n">
        <v>0.7</v>
      </c>
      <c r="M79" s="7" t="n">
        <f aca="false">M78+L79</f>
        <v>68.7</v>
      </c>
      <c r="N79" s="7" t="n">
        <f aca="false">J79-L79</f>
        <v>9.4</v>
      </c>
      <c r="O79" s="7" t="n">
        <f aca="false">O78+N79</f>
        <v>41.6</v>
      </c>
      <c r="P79" s="7" t="n">
        <v>40</v>
      </c>
      <c r="Q79" s="7" t="n">
        <f aca="false">0.35+((P79-9)/64)*(1-0.35)</f>
        <v>0.66484375</v>
      </c>
      <c r="R79" s="15" t="n">
        <f aca="false">Q79*L79</f>
        <v>0.465390625</v>
      </c>
      <c r="S79" s="15" t="n">
        <f aca="false">J79-R79</f>
        <v>9.634609375</v>
      </c>
      <c r="T79" s="15" t="n">
        <f aca="false">MIN(189.6,(T78+S79))</f>
        <v>81.974609375</v>
      </c>
      <c r="V79" s="16" t="n">
        <v>450.3</v>
      </c>
      <c r="W79" s="7" t="n">
        <f aca="false">V79/D79</f>
        <v>53.6071428571429</v>
      </c>
      <c r="X79" s="7" t="n">
        <f aca="false">X78+V79</f>
        <v>34610</v>
      </c>
      <c r="AA79" s="7" t="n">
        <v>10.9316763439821</v>
      </c>
    </row>
    <row r="80" s="7" customFormat="true" ht="15" hidden="false" customHeight="false" outlineLevel="0" collapsed="false">
      <c r="A80" s="10"/>
      <c r="B80" s="11"/>
      <c r="C80" s="8" t="n">
        <v>41561</v>
      </c>
      <c r="D80" s="7" t="n">
        <v>10.2</v>
      </c>
      <c r="E80" s="7" t="n">
        <v>9.3</v>
      </c>
      <c r="F80" s="7" t="n">
        <v>11.8</v>
      </c>
      <c r="G80" s="7" t="n">
        <f aca="false">G79+D80</f>
        <v>566.6</v>
      </c>
      <c r="J80" s="7" t="n">
        <v>11.1</v>
      </c>
      <c r="K80" s="7" t="n">
        <f aca="false">K79+J80</f>
        <v>121.4</v>
      </c>
      <c r="L80" s="7" t="n">
        <v>0.9</v>
      </c>
      <c r="M80" s="7" t="n">
        <f aca="false">M79+L80</f>
        <v>69.6</v>
      </c>
      <c r="N80" s="7" t="n">
        <f aca="false">J80-L80</f>
        <v>10.2</v>
      </c>
      <c r="O80" s="7" t="n">
        <f aca="false">O79+N80</f>
        <v>51.8</v>
      </c>
      <c r="P80" s="7" t="n">
        <v>41</v>
      </c>
      <c r="Q80" s="7" t="n">
        <f aca="false">0.35+((P80-9)/64)*(1-0.35)</f>
        <v>0.675</v>
      </c>
      <c r="R80" s="15" t="n">
        <f aca="false">Q80*L80</f>
        <v>0.6075</v>
      </c>
      <c r="S80" s="15" t="n">
        <f aca="false">J80-R80</f>
        <v>10.4925</v>
      </c>
      <c r="T80" s="15" t="n">
        <f aca="false">MIN(189.6,(T79+S80))</f>
        <v>92.467109375</v>
      </c>
      <c r="V80" s="16" t="n">
        <v>211</v>
      </c>
      <c r="W80" s="7" t="n">
        <f aca="false">V80/D80</f>
        <v>20.6862745098039</v>
      </c>
      <c r="X80" s="7" t="n">
        <f aca="false">X79+V80</f>
        <v>34821</v>
      </c>
      <c r="AA80" s="7" t="n">
        <v>10.8715061368113</v>
      </c>
    </row>
    <row r="81" s="7" customFormat="true" ht="15" hidden="false" customHeight="false" outlineLevel="0" collapsed="false">
      <c r="A81" s="10"/>
      <c r="B81" s="11"/>
      <c r="C81" s="8" t="n">
        <v>41562</v>
      </c>
      <c r="D81" s="7" t="n">
        <v>9.6</v>
      </c>
      <c r="E81" s="7" t="n">
        <v>8.9</v>
      </c>
      <c r="F81" s="7" t="n">
        <v>12.4</v>
      </c>
      <c r="G81" s="7" t="n">
        <f aca="false">G80+D81</f>
        <v>576.2</v>
      </c>
      <c r="J81" s="7" t="n">
        <v>0.2</v>
      </c>
      <c r="K81" s="7" t="n">
        <f aca="false">K80+J81</f>
        <v>121.6</v>
      </c>
      <c r="L81" s="7" t="n">
        <v>1.4</v>
      </c>
      <c r="M81" s="7" t="n">
        <f aca="false">M80+L81</f>
        <v>71</v>
      </c>
      <c r="N81" s="14" t="n">
        <f aca="false">J81-L81</f>
        <v>-1.2</v>
      </c>
      <c r="O81" s="7" t="n">
        <f aca="false">O80+N81</f>
        <v>50.6</v>
      </c>
      <c r="P81" s="7" t="n">
        <v>42</v>
      </c>
      <c r="Q81" s="7" t="n">
        <f aca="false">0.35+((P81-9)/64)*(1-0.35)</f>
        <v>0.68515625</v>
      </c>
      <c r="R81" s="15" t="n">
        <f aca="false">Q81*L81</f>
        <v>0.95921875</v>
      </c>
      <c r="S81" s="15" t="n">
        <f aca="false">J81-R81</f>
        <v>-0.75921875</v>
      </c>
      <c r="T81" s="15" t="n">
        <f aca="false">MIN(189.6,(T80+S81))</f>
        <v>91.707890625</v>
      </c>
      <c r="V81" s="16" t="n">
        <v>739.3</v>
      </c>
      <c r="W81" s="7" t="n">
        <f aca="false">V81/D81</f>
        <v>77.0104166666667</v>
      </c>
      <c r="X81" s="7" t="n">
        <f aca="false">X80+V81</f>
        <v>35560.3</v>
      </c>
      <c r="AA81" s="7" t="n">
        <v>10.811469572217</v>
      </c>
    </row>
    <row r="82" s="7" customFormat="true" ht="15" hidden="false" customHeight="false" outlineLevel="0" collapsed="false">
      <c r="A82" s="10"/>
      <c r="B82" s="11"/>
      <c r="C82" s="8" t="n">
        <v>41563</v>
      </c>
      <c r="D82" s="7" t="n">
        <v>8.5</v>
      </c>
      <c r="E82" s="18" t="n">
        <v>3.8</v>
      </c>
      <c r="F82" s="7" t="n">
        <v>11.2</v>
      </c>
      <c r="G82" s="7" t="n">
        <f aca="false">G81+D82</f>
        <v>584.7</v>
      </c>
      <c r="J82" s="7" t="n">
        <v>7.8</v>
      </c>
      <c r="K82" s="7" t="n">
        <f aca="false">K81+J82</f>
        <v>129.4</v>
      </c>
      <c r="L82" s="7" t="n">
        <v>0.4</v>
      </c>
      <c r="M82" s="7" t="n">
        <f aca="false">M81+L82</f>
        <v>71.4</v>
      </c>
      <c r="N82" s="7" t="n">
        <f aca="false">J82-L82</f>
        <v>7.4</v>
      </c>
      <c r="O82" s="7" t="n">
        <f aca="false">O81+N82</f>
        <v>58</v>
      </c>
      <c r="P82" s="7" t="n">
        <v>43</v>
      </c>
      <c r="Q82" s="7" t="n">
        <f aca="false">0.35+((P82-9)/64)*(1-0.35)</f>
        <v>0.6953125</v>
      </c>
      <c r="R82" s="15" t="n">
        <f aca="false">Q82*L82</f>
        <v>0.278125</v>
      </c>
      <c r="S82" s="15" t="n">
        <f aca="false">J82-R82</f>
        <v>7.521875</v>
      </c>
      <c r="T82" s="15" t="n">
        <f aca="false">MIN(189.6,(T81+S82))</f>
        <v>99.229765625</v>
      </c>
      <c r="V82" s="16" t="n">
        <v>274.7</v>
      </c>
      <c r="W82" s="7" t="n">
        <f aca="false">V82/D82</f>
        <v>32.3176470588235</v>
      </c>
      <c r="X82" s="7" t="n">
        <f aca="false">X81+V82</f>
        <v>35835</v>
      </c>
      <c r="AA82" s="7" t="n">
        <v>10.7515769489798</v>
      </c>
    </row>
    <row r="83" s="7" customFormat="true" ht="15" hidden="false" customHeight="false" outlineLevel="0" collapsed="false">
      <c r="A83" s="10"/>
      <c r="B83" s="11"/>
      <c r="C83" s="8" t="n">
        <v>41564</v>
      </c>
      <c r="D83" s="7" t="n">
        <v>12.5</v>
      </c>
      <c r="E83" s="7" t="n">
        <v>10.7</v>
      </c>
      <c r="F83" s="7" t="n">
        <v>16.2</v>
      </c>
      <c r="G83" s="7" t="n">
        <f aca="false">G82+D83</f>
        <v>597.2</v>
      </c>
      <c r="J83" s="7" t="n">
        <v>1.5</v>
      </c>
      <c r="K83" s="7" t="n">
        <f aca="false">K82+J83</f>
        <v>130.9</v>
      </c>
      <c r="L83" s="7" t="n">
        <v>1.1</v>
      </c>
      <c r="M83" s="7" t="n">
        <f aca="false">M82+L83</f>
        <v>72.5</v>
      </c>
      <c r="N83" s="7" t="n">
        <f aca="false">J83-L83</f>
        <v>0.4</v>
      </c>
      <c r="O83" s="7" t="n">
        <f aca="false">O82+N83</f>
        <v>58.4</v>
      </c>
      <c r="P83" s="7" t="n">
        <v>44</v>
      </c>
      <c r="Q83" s="7" t="n">
        <f aca="false">0.35+((P83-9)/64)*(1-0.35)</f>
        <v>0.70546875</v>
      </c>
      <c r="R83" s="15" t="n">
        <f aca="false">Q83*L83</f>
        <v>0.776015625</v>
      </c>
      <c r="S83" s="15" t="n">
        <f aca="false">J83-R83</f>
        <v>0.723984375</v>
      </c>
      <c r="T83" s="15" t="n">
        <f aca="false">MIN(189.6,(T82+S83))</f>
        <v>99.95375</v>
      </c>
      <c r="V83" s="16" t="n">
        <v>342</v>
      </c>
      <c r="W83" s="7" t="n">
        <f aca="false">V83/D83</f>
        <v>27.36</v>
      </c>
      <c r="X83" s="7" t="n">
        <f aca="false">X82+V83</f>
        <v>36177</v>
      </c>
      <c r="AA83" s="7" t="n">
        <v>10.691839015637</v>
      </c>
    </row>
    <row r="84" s="7" customFormat="true" ht="15" hidden="false" customHeight="false" outlineLevel="0" collapsed="false">
      <c r="A84" s="10"/>
      <c r="B84" s="11"/>
      <c r="C84" s="8" t="n">
        <v>41565</v>
      </c>
      <c r="D84" s="7" t="n">
        <v>10.1</v>
      </c>
      <c r="E84" s="7" t="n">
        <v>8.3</v>
      </c>
      <c r="F84" s="7" t="n">
        <v>12.4</v>
      </c>
      <c r="G84" s="7" t="n">
        <f aca="false">G83+D84</f>
        <v>607.3</v>
      </c>
      <c r="J84" s="7" t="n">
        <v>0.2</v>
      </c>
      <c r="K84" s="7" t="n">
        <f aca="false">K83+J84</f>
        <v>131.1</v>
      </c>
      <c r="L84" s="7" t="n">
        <v>0.6</v>
      </c>
      <c r="M84" s="7" t="n">
        <f aca="false">M83+L84</f>
        <v>73.1</v>
      </c>
      <c r="N84" s="14" t="n">
        <f aca="false">J84-L84</f>
        <v>-0.4</v>
      </c>
      <c r="O84" s="7" t="n">
        <f aca="false">O83+N84</f>
        <v>58</v>
      </c>
      <c r="P84" s="7" t="n">
        <v>45</v>
      </c>
      <c r="Q84" s="7" t="n">
        <f aca="false">0.35+((P84-9)/64)*(1-0.35)</f>
        <v>0.715625</v>
      </c>
      <c r="R84" s="15" t="n">
        <f aca="false">Q84*L84</f>
        <v>0.429375</v>
      </c>
      <c r="S84" s="15" t="n">
        <f aca="false">J84-R84</f>
        <v>-0.229375</v>
      </c>
      <c r="T84" s="15" t="n">
        <f aca="false">MIN(189.6,(T83+S84))</f>
        <v>99.724375</v>
      </c>
      <c r="V84" s="16" t="n">
        <v>335</v>
      </c>
      <c r="W84" s="7" t="n">
        <f aca="false">V84/D84</f>
        <v>33.1683168316832</v>
      </c>
      <c r="X84" s="7" t="n">
        <f aca="false">X83+V84</f>
        <v>36512</v>
      </c>
      <c r="AA84" s="7" t="n">
        <v>10.6322669902773</v>
      </c>
    </row>
    <row r="85" s="7" customFormat="true" ht="15" hidden="false" customHeight="false" outlineLevel="0" collapsed="false">
      <c r="A85" s="10"/>
      <c r="B85" s="11"/>
      <c r="C85" s="8" t="n">
        <v>41566</v>
      </c>
      <c r="D85" s="7" t="n">
        <v>12.6</v>
      </c>
      <c r="E85" s="7" t="n">
        <v>9.1</v>
      </c>
      <c r="F85" s="7" t="n">
        <v>14.9</v>
      </c>
      <c r="G85" s="7" t="n">
        <f aca="false">G84+D85</f>
        <v>619.9</v>
      </c>
      <c r="J85" s="7" t="n">
        <v>0.6</v>
      </c>
      <c r="K85" s="7" t="n">
        <f aca="false">K84+J85</f>
        <v>131.7</v>
      </c>
      <c r="L85" s="7" t="n">
        <v>0.4</v>
      </c>
      <c r="M85" s="7" t="n">
        <f aca="false">M84+L85</f>
        <v>73.5</v>
      </c>
      <c r="N85" s="7" t="n">
        <f aca="false">J85-L85</f>
        <v>0.2</v>
      </c>
      <c r="O85" s="7" t="n">
        <f aca="false">O84+N85</f>
        <v>58.2</v>
      </c>
      <c r="P85" s="7" t="n">
        <v>46</v>
      </c>
      <c r="Q85" s="7" t="n">
        <f aca="false">0.35+((P85-9)/64)*(1-0.35)</f>
        <v>0.72578125</v>
      </c>
      <c r="R85" s="15" t="n">
        <f aca="false">Q85*L85</f>
        <v>0.2903125</v>
      </c>
      <c r="S85" s="15" t="n">
        <f aca="false">J85-R85</f>
        <v>0.3096875</v>
      </c>
      <c r="T85" s="15" t="n">
        <f aca="false">MIN(189.6,(T84+S85))</f>
        <v>100.0340625</v>
      </c>
      <c r="V85" s="16" t="n">
        <v>209</v>
      </c>
      <c r="W85" s="7" t="n">
        <f aca="false">V85/D85</f>
        <v>16.5873015873016</v>
      </c>
      <c r="X85" s="7" t="n">
        <f aca="false">X84+V85</f>
        <v>36721</v>
      </c>
      <c r="AA85" s="7" t="n">
        <v>10.5728725801969</v>
      </c>
    </row>
    <row r="86" s="7" customFormat="true" ht="15" hidden="false" customHeight="false" outlineLevel="0" collapsed="false">
      <c r="A86" s="10"/>
      <c r="B86" s="11"/>
      <c r="C86" s="8" t="n">
        <v>41567</v>
      </c>
      <c r="D86" s="7" t="n">
        <v>14</v>
      </c>
      <c r="E86" s="7" t="n">
        <v>12.7</v>
      </c>
      <c r="F86" s="7" t="n">
        <v>16</v>
      </c>
      <c r="G86" s="7" t="n">
        <f aca="false">G85+D86</f>
        <v>633.9</v>
      </c>
      <c r="J86" s="7" t="n">
        <v>3.6</v>
      </c>
      <c r="K86" s="7" t="n">
        <f aca="false">K85+J86</f>
        <v>135.3</v>
      </c>
      <c r="L86" s="7" t="n">
        <v>0.9</v>
      </c>
      <c r="M86" s="7" t="n">
        <f aca="false">M85+L86</f>
        <v>74.4</v>
      </c>
      <c r="N86" s="7" t="n">
        <f aca="false">J86-L86</f>
        <v>2.7</v>
      </c>
      <c r="O86" s="7" t="n">
        <f aca="false">O85+N86</f>
        <v>60.9</v>
      </c>
      <c r="P86" s="7" t="n">
        <v>47</v>
      </c>
      <c r="Q86" s="7" t="n">
        <f aca="false">0.35+((P86-9)/64)*(1-0.35)</f>
        <v>0.7359375</v>
      </c>
      <c r="R86" s="15" t="n">
        <f aca="false">Q86*L86</f>
        <v>0.66234375</v>
      </c>
      <c r="S86" s="15" t="n">
        <f aca="false">J86-R86</f>
        <v>2.93765625</v>
      </c>
      <c r="T86" s="15" t="n">
        <f aca="false">MIN(189.6,(T85+S86))</f>
        <v>102.97171875</v>
      </c>
      <c r="V86" s="16" t="n">
        <v>364.2</v>
      </c>
      <c r="W86" s="7" t="n">
        <f aca="false">V86/D86</f>
        <v>26.0142857142857</v>
      </c>
      <c r="X86" s="7" t="n">
        <f aca="false">X85+V86</f>
        <v>37085.2</v>
      </c>
      <c r="AA86" s="7" t="n">
        <v>10.5136680013647</v>
      </c>
    </row>
    <row r="87" s="7" customFormat="true" ht="15" hidden="false" customHeight="false" outlineLevel="0" collapsed="false">
      <c r="A87" s="10"/>
      <c r="B87" s="11"/>
      <c r="C87" s="8" t="n">
        <v>41568</v>
      </c>
      <c r="D87" s="7" t="n">
        <v>15.4</v>
      </c>
      <c r="E87" s="7" t="n">
        <v>13.4</v>
      </c>
      <c r="F87" s="7" t="n">
        <v>18.1</v>
      </c>
      <c r="G87" s="7" t="n">
        <f aca="false">G86+D87</f>
        <v>649.3</v>
      </c>
      <c r="J87" s="7" t="n">
        <v>0.1</v>
      </c>
      <c r="K87" s="7" t="n">
        <f aca="false">K86+J87</f>
        <v>135.4</v>
      </c>
      <c r="L87" s="7" t="n">
        <v>1.2</v>
      </c>
      <c r="M87" s="7" t="n">
        <f aca="false">M86+L87</f>
        <v>75.6</v>
      </c>
      <c r="N87" s="14" t="n">
        <f aca="false">J87-L87</f>
        <v>-1.1</v>
      </c>
      <c r="O87" s="7" t="n">
        <f aca="false">O86+N87</f>
        <v>59.8</v>
      </c>
      <c r="P87" s="7" t="n">
        <v>48</v>
      </c>
      <c r="Q87" s="7" t="n">
        <f aca="false">0.35+((P87-9)/64)*(1-0.35)</f>
        <v>0.74609375</v>
      </c>
      <c r="R87" s="15" t="n">
        <f aca="false">Q87*L87</f>
        <v>0.8953125</v>
      </c>
      <c r="S87" s="15" t="n">
        <f aca="false">J87-R87</f>
        <v>-0.7953125</v>
      </c>
      <c r="T87" s="15" t="n">
        <f aca="false">MIN(189.6,(T86+S87))</f>
        <v>102.17640625</v>
      </c>
      <c r="V87" s="16" t="n">
        <v>342.9</v>
      </c>
      <c r="W87" s="7" t="n">
        <f aca="false">V87/D87</f>
        <v>22.2662337662338</v>
      </c>
      <c r="X87" s="7" t="n">
        <f aca="false">X86+V87</f>
        <v>37428.1</v>
      </c>
      <c r="AA87" s="7" t="n">
        <v>10.4546659976386</v>
      </c>
    </row>
    <row r="88" s="7" customFormat="true" ht="15" hidden="false" customHeight="false" outlineLevel="0" collapsed="false">
      <c r="A88" s="10"/>
      <c r="B88" s="11"/>
      <c r="C88" s="8" t="n">
        <v>41569</v>
      </c>
      <c r="D88" s="7" t="n">
        <v>16.6</v>
      </c>
      <c r="E88" s="7" t="n">
        <v>14.5</v>
      </c>
      <c r="F88" s="7" t="n">
        <v>19.7</v>
      </c>
      <c r="G88" s="7" t="n">
        <f aca="false">G87+D88</f>
        <v>665.9</v>
      </c>
      <c r="J88" s="7" t="n">
        <v>0.1</v>
      </c>
      <c r="K88" s="7" t="n">
        <f aca="false">K87+J88</f>
        <v>135.5</v>
      </c>
      <c r="L88" s="7" t="n">
        <v>1.3</v>
      </c>
      <c r="M88" s="7" t="n">
        <f aca="false">M87+L88</f>
        <v>76.9</v>
      </c>
      <c r="N88" s="14" t="n">
        <f aca="false">J88-L88</f>
        <v>-1.2</v>
      </c>
      <c r="O88" s="7" t="n">
        <f aca="false">O87+N88</f>
        <v>58.6</v>
      </c>
      <c r="P88" s="7" t="n">
        <v>49</v>
      </c>
      <c r="Q88" s="7" t="n">
        <f aca="false">0.35+((P88-9)/64)*(1-0.35)</f>
        <v>0.75625</v>
      </c>
      <c r="R88" s="15" t="n">
        <f aca="false">Q88*L88</f>
        <v>0.983125</v>
      </c>
      <c r="S88" s="15" t="n">
        <f aca="false">J88-R88</f>
        <v>-0.883125</v>
      </c>
      <c r="T88" s="15" t="n">
        <f aca="false">MIN(189.6,(T87+S88))</f>
        <v>101.29328125</v>
      </c>
      <c r="V88" s="16" t="n">
        <v>405.2</v>
      </c>
      <c r="W88" s="7" t="n">
        <f aca="false">V88/D88</f>
        <v>24.4096385542169</v>
      </c>
      <c r="X88" s="7" t="n">
        <f aca="false">X87+V88</f>
        <v>37833.3</v>
      </c>
      <c r="AA88" s="7" t="n">
        <v>10.3958798596663</v>
      </c>
    </row>
    <row r="89" s="7" customFormat="true" ht="15" hidden="false" customHeight="false" outlineLevel="0" collapsed="false">
      <c r="A89" s="10"/>
      <c r="B89" s="11"/>
      <c r="C89" s="8" t="n">
        <v>41570</v>
      </c>
      <c r="D89" s="7" t="n">
        <v>15.2</v>
      </c>
      <c r="E89" s="7" t="n">
        <v>14</v>
      </c>
      <c r="F89" s="7" t="n">
        <v>18.4</v>
      </c>
      <c r="G89" s="7" t="n">
        <f aca="false">G88+D89</f>
        <v>681.1</v>
      </c>
      <c r="J89" s="7" t="n">
        <v>3.2</v>
      </c>
      <c r="K89" s="7" t="n">
        <f aca="false">K88+J89</f>
        <v>138.7</v>
      </c>
      <c r="L89" s="7" t="n">
        <v>1.9</v>
      </c>
      <c r="M89" s="7" t="n">
        <f aca="false">M88+L89</f>
        <v>78.8</v>
      </c>
      <c r="N89" s="7" t="n">
        <f aca="false">J89-L89</f>
        <v>1.3</v>
      </c>
      <c r="O89" s="7" t="n">
        <f aca="false">O88+N89</f>
        <v>59.9</v>
      </c>
      <c r="P89" s="7" t="n">
        <v>50</v>
      </c>
      <c r="Q89" s="7" t="n">
        <f aca="false">0.35+((P89-9)/64)*(1-0.35)</f>
        <v>0.76640625</v>
      </c>
      <c r="R89" s="15" t="n">
        <f aca="false">Q89*L89</f>
        <v>1.456171875</v>
      </c>
      <c r="S89" s="15" t="n">
        <f aca="false">J89-R89</f>
        <v>1.743828125</v>
      </c>
      <c r="T89" s="15" t="n">
        <f aca="false">MIN(189.6,(T88+S89))</f>
        <v>103.037109375</v>
      </c>
      <c r="V89" s="16" t="n">
        <v>598.6</v>
      </c>
      <c r="W89" s="7" t="n">
        <f aca="false">V89/D89</f>
        <v>39.3815789473684</v>
      </c>
      <c r="X89" s="7" t="n">
        <f aca="false">X88+V89</f>
        <v>38431.9</v>
      </c>
      <c r="AA89" s="7" t="n">
        <v>10.3373234434006</v>
      </c>
    </row>
    <row r="90" s="7" customFormat="true" ht="15" hidden="false" customHeight="false" outlineLevel="0" collapsed="false">
      <c r="A90" s="10"/>
      <c r="B90" s="11"/>
      <c r="C90" s="8" t="n">
        <v>41571</v>
      </c>
      <c r="D90" s="7" t="n">
        <v>12.2</v>
      </c>
      <c r="E90" s="7" t="n">
        <v>11.2</v>
      </c>
      <c r="F90" s="7" t="n">
        <v>14</v>
      </c>
      <c r="G90" s="7" t="n">
        <f aca="false">G89+D90</f>
        <v>693.3</v>
      </c>
      <c r="J90" s="7" t="n">
        <v>1.1</v>
      </c>
      <c r="K90" s="7" t="n">
        <f aca="false">K89+J90</f>
        <v>139.8</v>
      </c>
      <c r="L90" s="7" t="n">
        <v>0.7</v>
      </c>
      <c r="M90" s="7" t="n">
        <f aca="false">M89+L90</f>
        <v>79.5</v>
      </c>
      <c r="N90" s="7" t="n">
        <f aca="false">J90-L90</f>
        <v>0.4</v>
      </c>
      <c r="O90" s="7" t="n">
        <f aca="false">O89+N90</f>
        <v>60.3</v>
      </c>
      <c r="P90" s="7" t="n">
        <v>51</v>
      </c>
      <c r="Q90" s="7" t="n">
        <f aca="false">0.35+((P90-9)/64)*(1-0.35)</f>
        <v>0.7765625</v>
      </c>
      <c r="R90" s="15" t="n">
        <f aca="false">Q90*L90</f>
        <v>0.54359375</v>
      </c>
      <c r="S90" s="15" t="n">
        <f aca="false">J90-R90</f>
        <v>0.55640625</v>
      </c>
      <c r="T90" s="15" t="n">
        <f aca="false">MIN(189.6,(T89+S90))</f>
        <v>103.593515625</v>
      </c>
      <c r="V90" s="16" t="n">
        <v>290.8</v>
      </c>
      <c r="W90" s="7" t="n">
        <f aca="false">V90/D90</f>
        <v>23.8360655737705</v>
      </c>
      <c r="X90" s="7" t="n">
        <f aca="false">X89+V90</f>
        <v>38722.7</v>
      </c>
      <c r="AA90" s="7" t="n">
        <v>10.2790111881509</v>
      </c>
    </row>
    <row r="91" s="7" customFormat="true" ht="15" hidden="false" customHeight="false" outlineLevel="0" collapsed="false">
      <c r="A91" s="10"/>
      <c r="B91" s="11"/>
      <c r="C91" s="8" t="n">
        <v>41572</v>
      </c>
      <c r="D91" s="7" t="n">
        <v>15.4</v>
      </c>
      <c r="E91" s="7" t="n">
        <v>11.5</v>
      </c>
      <c r="F91" s="7" t="n">
        <v>17.7</v>
      </c>
      <c r="G91" s="7" t="n">
        <f aca="false">G90+D91</f>
        <v>708.7</v>
      </c>
      <c r="J91" s="7" t="n">
        <v>1.5</v>
      </c>
      <c r="K91" s="7" t="n">
        <f aca="false">K90+J91</f>
        <v>141.3</v>
      </c>
      <c r="L91" s="7" t="n">
        <v>0.9</v>
      </c>
      <c r="M91" s="7" t="n">
        <f aca="false">M90+L91</f>
        <v>80.4</v>
      </c>
      <c r="N91" s="7" t="n">
        <f aca="false">J91-L91</f>
        <v>0.6</v>
      </c>
      <c r="O91" s="7" t="n">
        <f aca="false">O90+N91</f>
        <v>60.9</v>
      </c>
      <c r="P91" s="7" t="n">
        <v>52</v>
      </c>
      <c r="Q91" s="7" t="n">
        <f aca="false">0.35+((P91-9)/64)*(1-0.35)</f>
        <v>0.78671875</v>
      </c>
      <c r="R91" s="15" t="n">
        <f aca="false">Q91*L91</f>
        <v>0.708046875</v>
      </c>
      <c r="S91" s="15" t="n">
        <f aca="false">J91-R91</f>
        <v>0.791953125</v>
      </c>
      <c r="T91" s="15" t="n">
        <f aca="false">MIN(189.6,(T90+S91))</f>
        <v>104.38546875</v>
      </c>
      <c r="V91" s="16" t="n">
        <v>610.4</v>
      </c>
      <c r="W91" s="7" t="n">
        <f aca="false">V91/D91</f>
        <v>39.6363636363636</v>
      </c>
      <c r="X91" s="7" t="n">
        <f aca="false">X90+V91</f>
        <v>39333.1</v>
      </c>
      <c r="AA91" s="7" t="n">
        <v>10.2209581340834</v>
      </c>
    </row>
    <row r="92" s="7" customFormat="true" ht="15" hidden="false" customHeight="false" outlineLevel="0" collapsed="false">
      <c r="A92" s="10"/>
      <c r="B92" s="11"/>
      <c r="C92" s="8" t="n">
        <v>41573</v>
      </c>
      <c r="D92" s="7" t="n">
        <v>15.7</v>
      </c>
      <c r="E92" s="7" t="n">
        <v>14.2</v>
      </c>
      <c r="F92" s="7" t="n">
        <v>18.8</v>
      </c>
      <c r="G92" s="7" t="n">
        <f aca="false">G91+D92</f>
        <v>724.4</v>
      </c>
      <c r="J92" s="7" t="n">
        <v>0.8</v>
      </c>
      <c r="K92" s="7" t="n">
        <f aca="false">K91+J92</f>
        <v>142.1</v>
      </c>
      <c r="L92" s="7" t="n">
        <v>1.6</v>
      </c>
      <c r="M92" s="7" t="n">
        <f aca="false">M91+L92</f>
        <v>82</v>
      </c>
      <c r="N92" s="14" t="n">
        <f aca="false">J92-L92</f>
        <v>-0.8</v>
      </c>
      <c r="O92" s="7" t="n">
        <f aca="false">O91+N92</f>
        <v>60.1</v>
      </c>
      <c r="P92" s="7" t="n">
        <v>53</v>
      </c>
      <c r="Q92" s="7" t="n">
        <f aca="false">0.35+((P92-9)/64)*(1-0.35)</f>
        <v>0.796875</v>
      </c>
      <c r="R92" s="15" t="n">
        <f aca="false">Q92*L92</f>
        <v>1.275</v>
      </c>
      <c r="S92" s="15" t="n">
        <f aca="false">J92-R92</f>
        <v>-0.475</v>
      </c>
      <c r="T92" s="15" t="n">
        <f aca="false">MIN(189.6,(T91+S92))</f>
        <v>103.91046875</v>
      </c>
      <c r="V92" s="16" t="n">
        <v>576.9</v>
      </c>
      <c r="W92" s="7" t="n">
        <f aca="false">V92/D92</f>
        <v>36.7452229299363</v>
      </c>
      <c r="X92" s="7" t="n">
        <f aca="false">X91+V92</f>
        <v>39910</v>
      </c>
      <c r="AA92" s="7" t="n">
        <v>10.1631799390808</v>
      </c>
    </row>
    <row r="93" s="7" customFormat="true" ht="15" hidden="false" customHeight="false" outlineLevel="0" collapsed="false">
      <c r="A93" s="10"/>
      <c r="B93" s="11"/>
      <c r="C93" s="8" t="n">
        <v>41574</v>
      </c>
      <c r="D93" s="7" t="n">
        <v>14.7</v>
      </c>
      <c r="E93" s="7" t="n">
        <v>14.1</v>
      </c>
      <c r="F93" s="7" t="n">
        <v>16.1</v>
      </c>
      <c r="G93" s="7" t="n">
        <f aca="false">G92+D93</f>
        <v>739.1</v>
      </c>
      <c r="J93" s="7" t="n">
        <v>3.4</v>
      </c>
      <c r="K93" s="7" t="n">
        <f aca="false">K92+J93</f>
        <v>145.5</v>
      </c>
      <c r="L93" s="7" t="n">
        <v>2.3</v>
      </c>
      <c r="M93" s="7" t="n">
        <f aca="false">M92+L93</f>
        <v>84.3</v>
      </c>
      <c r="N93" s="7" t="n">
        <f aca="false">J93-L93</f>
        <v>1.1</v>
      </c>
      <c r="O93" s="7" t="n">
        <f aca="false">O92+N93</f>
        <v>61.2</v>
      </c>
      <c r="P93" s="7" t="n">
        <v>54</v>
      </c>
      <c r="Q93" s="7" t="n">
        <f aca="false">0.35+((P93-9)/64)*(1-0.35)</f>
        <v>0.80703125</v>
      </c>
      <c r="R93" s="15" t="n">
        <f aca="false">Q93*L93</f>
        <v>1.856171875</v>
      </c>
      <c r="S93" s="15" t="n">
        <f aca="false">J93-R93</f>
        <v>1.543828125</v>
      </c>
      <c r="T93" s="15" t="n">
        <f aca="false">MIN(189.6,(T92+S93))</f>
        <v>105.454296875</v>
      </c>
      <c r="V93" s="16" t="n">
        <v>312.5</v>
      </c>
      <c r="W93" s="7" t="n">
        <f aca="false">V93/D93</f>
        <v>21.2585034013605</v>
      </c>
      <c r="X93" s="7" t="n">
        <f aca="false">X92+V93</f>
        <v>40222.5</v>
      </c>
      <c r="AA93" s="7" t="n">
        <v>10.1056928948582</v>
      </c>
    </row>
    <row r="94" s="7" customFormat="true" ht="15" hidden="false" customHeight="false" outlineLevel="0" collapsed="false">
      <c r="A94" s="10"/>
      <c r="B94" s="11"/>
      <c r="C94" s="8" t="n">
        <v>41575</v>
      </c>
      <c r="D94" s="7" t="n">
        <v>12.7</v>
      </c>
      <c r="E94" s="7" t="n">
        <v>10.2</v>
      </c>
      <c r="F94" s="7" t="n">
        <v>15.5</v>
      </c>
      <c r="G94" s="7" t="n">
        <f aca="false">G93+D94</f>
        <v>751.8</v>
      </c>
      <c r="J94" s="7" t="n">
        <v>2.3</v>
      </c>
      <c r="K94" s="7" t="n">
        <f aca="false">K93+J94</f>
        <v>147.8</v>
      </c>
      <c r="L94" s="7" t="n">
        <v>1.5</v>
      </c>
      <c r="M94" s="7" t="n">
        <f aca="false">M93+L94</f>
        <v>85.8</v>
      </c>
      <c r="N94" s="7" t="n">
        <f aca="false">J94-L94</f>
        <v>0.8</v>
      </c>
      <c r="O94" s="7" t="n">
        <f aca="false">O93+N94</f>
        <v>62</v>
      </c>
      <c r="P94" s="7" t="n">
        <v>55</v>
      </c>
      <c r="Q94" s="7" t="n">
        <f aca="false">0.35+((P94-9)/64)*(1-0.35)</f>
        <v>0.8171875</v>
      </c>
      <c r="R94" s="15" t="n">
        <f aca="false">Q94*L94</f>
        <v>1.22578125</v>
      </c>
      <c r="S94" s="15" t="n">
        <f aca="false">J94-R94</f>
        <v>1.07421875</v>
      </c>
      <c r="T94" s="15" t="n">
        <f aca="false">MIN(189.6,(T93+S94))</f>
        <v>106.528515625</v>
      </c>
      <c r="V94" s="16" t="n">
        <v>345.3</v>
      </c>
      <c r="W94" s="7" t="n">
        <f aca="false">V94/D94</f>
        <v>27.1889763779528</v>
      </c>
      <c r="X94" s="7" t="n">
        <f aca="false">X93+V94</f>
        <v>40567.8</v>
      </c>
      <c r="AA94" s="7" t="n">
        <v>10.0485139422284</v>
      </c>
    </row>
    <row r="95" s="7" customFormat="true" ht="15" hidden="false" customHeight="false" outlineLevel="0" collapsed="false">
      <c r="A95" s="10"/>
      <c r="B95" s="11"/>
      <c r="C95" s="8" t="n">
        <v>41576</v>
      </c>
      <c r="D95" s="7" t="n">
        <v>9.2</v>
      </c>
      <c r="E95" s="7" t="n">
        <v>8.3</v>
      </c>
      <c r="F95" s="7" t="n">
        <v>12.5</v>
      </c>
      <c r="G95" s="7" t="n">
        <f aca="false">G94+D95</f>
        <v>761</v>
      </c>
      <c r="J95" s="7" t="n">
        <v>0.7</v>
      </c>
      <c r="K95" s="7" t="n">
        <f aca="false">K94+J95</f>
        <v>148.5</v>
      </c>
      <c r="L95" s="7" t="n">
        <v>1.5</v>
      </c>
      <c r="M95" s="7" t="n">
        <f aca="false">M94+L95</f>
        <v>87.3</v>
      </c>
      <c r="N95" s="14" t="n">
        <f aca="false">J95-L95</f>
        <v>-0.8</v>
      </c>
      <c r="O95" s="7" t="n">
        <f aca="false">O94+N95</f>
        <v>61.2</v>
      </c>
      <c r="P95" s="7" t="n">
        <v>56</v>
      </c>
      <c r="Q95" s="7" t="n">
        <f aca="false">0.35+((P95-9)/64)*(1-0.35)</f>
        <v>0.82734375</v>
      </c>
      <c r="R95" s="15" t="n">
        <f aca="false">Q95*L95</f>
        <v>1.241015625</v>
      </c>
      <c r="S95" s="15" t="n">
        <f aca="false">J95-R95</f>
        <v>-0.541015625</v>
      </c>
      <c r="T95" s="15" t="n">
        <f aca="false">MIN(189.6,(T94+S95))</f>
        <v>105.9875</v>
      </c>
      <c r="V95" s="16" t="n">
        <v>562.5</v>
      </c>
      <c r="W95" s="7" t="n">
        <f aca="false">V95/D95</f>
        <v>61.1413043478261</v>
      </c>
      <c r="X95" s="7" t="n">
        <f aca="false">X94+V95</f>
        <v>41130.3</v>
      </c>
      <c r="AA95" s="7" t="n">
        <v>9.99166068540131</v>
      </c>
    </row>
    <row r="96" s="7" customFormat="true" ht="15" hidden="false" customHeight="false" outlineLevel="0" collapsed="false">
      <c r="A96" s="10"/>
      <c r="B96" s="11"/>
      <c r="C96" s="8" t="n">
        <v>41577</v>
      </c>
      <c r="D96" s="7" t="n">
        <v>7.7</v>
      </c>
      <c r="E96" s="18" t="n">
        <v>4.6</v>
      </c>
      <c r="F96" s="7" t="n">
        <v>13.1</v>
      </c>
      <c r="G96" s="7" t="n">
        <f aca="false">G95+D96</f>
        <v>768.7</v>
      </c>
      <c r="J96" s="7" t="n">
        <v>0</v>
      </c>
      <c r="K96" s="7" t="n">
        <f aca="false">K95+J96</f>
        <v>148.5</v>
      </c>
      <c r="L96" s="7" t="n">
        <v>1.4</v>
      </c>
      <c r="M96" s="7" t="n">
        <f aca="false">M95+L96</f>
        <v>88.7</v>
      </c>
      <c r="N96" s="14" t="n">
        <f aca="false">J96-L96</f>
        <v>-1.4</v>
      </c>
      <c r="O96" s="7" t="n">
        <f aca="false">O95+N96</f>
        <v>59.8</v>
      </c>
      <c r="P96" s="7" t="n">
        <v>57</v>
      </c>
      <c r="Q96" s="7" t="n">
        <f aca="false">0.35+((P96-9)/64)*(1-0.35)</f>
        <v>0.8375</v>
      </c>
      <c r="R96" s="15" t="n">
        <f aca="false">Q96*L96</f>
        <v>1.1725</v>
      </c>
      <c r="S96" s="15" t="n">
        <f aca="false">J96-R96</f>
        <v>-1.1725</v>
      </c>
      <c r="T96" s="15" t="n">
        <f aca="false">MIN(189.6,(T95+S96))</f>
        <v>104.815</v>
      </c>
      <c r="V96" s="16" t="n">
        <v>830.6</v>
      </c>
      <c r="W96" s="7" t="n">
        <f aca="false">V96/D96</f>
        <v>107.87012987013</v>
      </c>
      <c r="X96" s="7" t="n">
        <f aca="false">X95+V96</f>
        <v>41960.9</v>
      </c>
      <c r="AA96" s="7" t="n">
        <v>9.93515140519334</v>
      </c>
    </row>
    <row r="97" s="7" customFormat="true" ht="15" hidden="false" customHeight="false" outlineLevel="0" collapsed="false">
      <c r="A97" s="10"/>
      <c r="B97" s="11"/>
      <c r="C97" s="8" t="n">
        <v>41578</v>
      </c>
      <c r="D97" s="7" t="n">
        <v>9.2</v>
      </c>
      <c r="E97" s="18" t="n">
        <v>4.6</v>
      </c>
      <c r="F97" s="7" t="n">
        <v>13</v>
      </c>
      <c r="G97" s="7" t="n">
        <f aca="false">G96+D97</f>
        <v>777.9</v>
      </c>
      <c r="J97" s="7" t="n">
        <v>1.1</v>
      </c>
      <c r="K97" s="7" t="n">
        <f aca="false">K96+J97</f>
        <v>149.6</v>
      </c>
      <c r="L97" s="7" t="n">
        <v>1</v>
      </c>
      <c r="M97" s="7" t="n">
        <f aca="false">M96+L97</f>
        <v>89.7</v>
      </c>
      <c r="N97" s="7" t="n">
        <f aca="false">J97-L97</f>
        <v>0.1</v>
      </c>
      <c r="O97" s="7" t="n">
        <f aca="false">O96+N97</f>
        <v>59.9</v>
      </c>
      <c r="P97" s="7" t="n">
        <v>58</v>
      </c>
      <c r="Q97" s="7" t="n">
        <f aca="false">0.35+((P97-9)/64)*(1-0.35)</f>
        <v>0.84765625</v>
      </c>
      <c r="R97" s="15" t="n">
        <f aca="false">Q97*L97</f>
        <v>0.84765625</v>
      </c>
      <c r="S97" s="15" t="n">
        <f aca="false">J97-R97</f>
        <v>0.25234375</v>
      </c>
      <c r="T97" s="15" t="n">
        <f aca="false">MIN(189.6,(T96+S97))</f>
        <v>105.06734375</v>
      </c>
      <c r="V97" s="16" t="n">
        <v>639.4</v>
      </c>
      <c r="W97" s="7" t="n">
        <f aca="false">V97/D97</f>
        <v>69.5</v>
      </c>
      <c r="X97" s="7" t="n">
        <f aca="false">X96+V97</f>
        <v>42600.3</v>
      </c>
      <c r="AA97" s="7" t="n">
        <v>9.87900507101492</v>
      </c>
    </row>
    <row r="98" s="7" customFormat="true" ht="15" hidden="false" customHeight="false" outlineLevel="0" collapsed="false">
      <c r="A98" s="10"/>
      <c r="B98" s="11"/>
      <c r="C98" s="8" t="n">
        <v>41579</v>
      </c>
      <c r="D98" s="7" t="n">
        <v>10</v>
      </c>
      <c r="E98" s="7" t="n">
        <v>9.1</v>
      </c>
      <c r="F98" s="7" t="n">
        <v>13.1</v>
      </c>
      <c r="G98" s="7" t="n">
        <f aca="false">G97+D98</f>
        <v>787.9</v>
      </c>
      <c r="J98" s="7" t="n">
        <v>12.7</v>
      </c>
      <c r="K98" s="7" t="n">
        <f aca="false">K97+J98</f>
        <v>162.3</v>
      </c>
      <c r="L98" s="7" t="n">
        <v>0.8</v>
      </c>
      <c r="M98" s="7" t="n">
        <f aca="false">M97+L98</f>
        <v>90.5</v>
      </c>
      <c r="N98" s="7" t="n">
        <f aca="false">J98-L98</f>
        <v>11.9</v>
      </c>
      <c r="O98" s="7" t="n">
        <f aca="false">O97+N98</f>
        <v>71.8</v>
      </c>
      <c r="P98" s="7" t="n">
        <v>59</v>
      </c>
      <c r="Q98" s="7" t="n">
        <f aca="false">0.35+((P98-9)/64)*(1-0.35)</f>
        <v>0.8578125</v>
      </c>
      <c r="R98" s="15" t="n">
        <f aca="false">Q98*L98</f>
        <v>0.68625</v>
      </c>
      <c r="S98" s="15" t="n">
        <f aca="false">J98-R98</f>
        <v>12.01375</v>
      </c>
      <c r="T98" s="15" t="n">
        <f aca="false">MIN(189.6,(T97+S98))</f>
        <v>117.08109375</v>
      </c>
      <c r="V98" s="16" t="n">
        <v>102.2</v>
      </c>
      <c r="W98" s="7" t="n">
        <f aca="false">V98/D98</f>
        <v>10.22</v>
      </c>
      <c r="X98" s="7" t="n">
        <f aca="false">X97+V98</f>
        <v>42702.5</v>
      </c>
      <c r="AA98" s="7" t="n">
        <v>9.82324135149748</v>
      </c>
    </row>
    <row r="99" s="7" customFormat="true" ht="15" hidden="false" customHeight="false" outlineLevel="0" collapsed="false">
      <c r="A99" s="10"/>
      <c r="B99" s="11"/>
      <c r="C99" s="8" t="n">
        <v>41580</v>
      </c>
      <c r="D99" s="7" t="n">
        <v>12.9</v>
      </c>
      <c r="E99" s="7" t="n">
        <v>9.3</v>
      </c>
      <c r="F99" s="7" t="n">
        <v>14.8</v>
      </c>
      <c r="G99" s="7" t="n">
        <f aca="false">G98+D99</f>
        <v>800.8</v>
      </c>
      <c r="J99" s="7" t="n">
        <v>4.1</v>
      </c>
      <c r="K99" s="7" t="n">
        <f aca="false">K98+J99</f>
        <v>166.4</v>
      </c>
      <c r="L99" s="7" t="n">
        <v>0.5</v>
      </c>
      <c r="M99" s="7" t="n">
        <f aca="false">M98+L99</f>
        <v>91</v>
      </c>
      <c r="N99" s="7" t="n">
        <f aca="false">J99-L99</f>
        <v>3.6</v>
      </c>
      <c r="O99" s="7" t="n">
        <f aca="false">O98+N99</f>
        <v>75.4</v>
      </c>
      <c r="P99" s="7" t="n">
        <v>60</v>
      </c>
      <c r="Q99" s="7" t="n">
        <f aca="false">0.35+((P99-9)/64)*(1-0.35)</f>
        <v>0.86796875</v>
      </c>
      <c r="R99" s="15" t="n">
        <f aca="false">Q99*L99</f>
        <v>0.433984375</v>
      </c>
      <c r="S99" s="15" t="n">
        <f aca="false">J99-R99</f>
        <v>3.666015625</v>
      </c>
      <c r="T99" s="15" t="n">
        <f aca="false">MIN(189.6,(T98+S99))</f>
        <v>120.747109375</v>
      </c>
      <c r="V99" s="16" t="n">
        <v>286.4</v>
      </c>
      <c r="W99" s="7" t="n">
        <f aca="false">V99/D99</f>
        <v>22.2015503875969</v>
      </c>
      <c r="X99" s="7" t="n">
        <f aca="false">X98+V99</f>
        <v>42988.9</v>
      </c>
      <c r="AA99" s="7" t="n">
        <v>9.76788062361241</v>
      </c>
    </row>
    <row r="100" s="7" customFormat="true" ht="15" hidden="false" customHeight="false" outlineLevel="0" collapsed="false">
      <c r="A100" s="10"/>
      <c r="B100" s="11"/>
      <c r="C100" s="8" t="n">
        <v>41581</v>
      </c>
      <c r="D100" s="7" t="n">
        <v>9.2</v>
      </c>
      <c r="E100" s="7" t="n">
        <v>7.4</v>
      </c>
      <c r="F100" s="7" t="n">
        <v>11.9</v>
      </c>
      <c r="G100" s="7" t="n">
        <f aca="false">G99+D100</f>
        <v>810.000000000001</v>
      </c>
      <c r="J100" s="7" t="n">
        <v>4.7</v>
      </c>
      <c r="K100" s="7" t="n">
        <f aca="false">K99+J100</f>
        <v>171.1</v>
      </c>
      <c r="L100" s="7" t="n">
        <v>1.3</v>
      </c>
      <c r="M100" s="7" t="n">
        <f aca="false">M99+L100</f>
        <v>92.3</v>
      </c>
      <c r="N100" s="7" t="n">
        <f aca="false">J100-L100</f>
        <v>3.4</v>
      </c>
      <c r="O100" s="7" t="n">
        <f aca="false">O99+N100</f>
        <v>78.8</v>
      </c>
      <c r="P100" s="7" t="n">
        <v>61</v>
      </c>
      <c r="Q100" s="7" t="n">
        <f aca="false">0.35+((P100-9)/64)*(1-0.35)</f>
        <v>0.878125</v>
      </c>
      <c r="R100" s="15" t="n">
        <f aca="false">Q100*L100</f>
        <v>1.1415625</v>
      </c>
      <c r="S100" s="15" t="n">
        <f aca="false">J100-R100</f>
        <v>3.5584375</v>
      </c>
      <c r="T100" s="15" t="n">
        <f aca="false">MIN(189.6,(T99+S100))</f>
        <v>124.305546875</v>
      </c>
      <c r="V100" s="16" t="n">
        <v>262.7</v>
      </c>
      <c r="W100" s="7" t="n">
        <f aca="false">V100/D100</f>
        <v>28.554347826087</v>
      </c>
      <c r="X100" s="7" t="n">
        <f aca="false">X99+V100</f>
        <v>43251.6</v>
      </c>
      <c r="AA100" s="7" t="n">
        <v>9.71294398012771</v>
      </c>
    </row>
    <row r="101" s="7" customFormat="true" ht="15" hidden="false" customHeight="false" outlineLevel="0" collapsed="false">
      <c r="A101" s="10"/>
      <c r="B101" s="11"/>
      <c r="C101" s="8" t="n">
        <v>41582</v>
      </c>
      <c r="D101" s="7" t="n">
        <v>8.2</v>
      </c>
      <c r="E101" s="18" t="n">
        <v>4.8</v>
      </c>
      <c r="F101" s="7" t="n">
        <v>11.6</v>
      </c>
      <c r="G101" s="7" t="n">
        <f aca="false">G100+D101</f>
        <v>818.200000000001</v>
      </c>
      <c r="J101" s="7" t="n">
        <v>0.4</v>
      </c>
      <c r="K101" s="7" t="n">
        <f aca="false">K100+J101</f>
        <v>171.5</v>
      </c>
      <c r="L101" s="7" t="n">
        <v>0.5</v>
      </c>
      <c r="M101" s="7" t="n">
        <f aca="false">M100+L101</f>
        <v>92.8</v>
      </c>
      <c r="N101" s="14" t="n">
        <f aca="false">J101-L101</f>
        <v>-0.1</v>
      </c>
      <c r="O101" s="7" t="n">
        <f aca="false">O100+N101</f>
        <v>78.7</v>
      </c>
      <c r="P101" s="7" t="n">
        <v>62</v>
      </c>
      <c r="Q101" s="7" t="n">
        <f aca="false">0.35+((P101-9)/64)*(1-0.35)</f>
        <v>0.88828125</v>
      </c>
      <c r="R101" s="15" t="n">
        <f aca="false">Q101*L101</f>
        <v>0.444140625</v>
      </c>
      <c r="S101" s="15" t="n">
        <f aca="false">J101-R101</f>
        <v>-0.044140625</v>
      </c>
      <c r="T101" s="15" t="n">
        <f aca="false">MIN(189.6,(T100+S101))</f>
        <v>124.26140625</v>
      </c>
      <c r="V101" s="16" t="n">
        <v>233</v>
      </c>
      <c r="W101" s="7" t="n">
        <f aca="false">V101/D101</f>
        <v>28.4146341463415</v>
      </c>
      <c r="X101" s="7" t="n">
        <f aca="false">X100+V101</f>
        <v>43484.6</v>
      </c>
      <c r="AA101" s="7" t="n">
        <v>9.65845323524096</v>
      </c>
    </row>
    <row r="102" s="7" customFormat="true" ht="15" hidden="false" customHeight="false" outlineLevel="0" collapsed="false">
      <c r="A102" s="10"/>
      <c r="B102" s="11"/>
      <c r="C102" s="8" t="n">
        <v>41583</v>
      </c>
      <c r="D102" s="7" t="n">
        <v>7.6</v>
      </c>
      <c r="E102" s="18" t="n">
        <v>4</v>
      </c>
      <c r="F102" s="7" t="n">
        <v>10.5</v>
      </c>
      <c r="G102" s="7" t="n">
        <f aca="false">G101+D102</f>
        <v>825.800000000001</v>
      </c>
      <c r="J102" s="7" t="n">
        <v>11.8</v>
      </c>
      <c r="K102" s="7" t="n">
        <f aca="false">K101+J102</f>
        <v>183.3</v>
      </c>
      <c r="L102" s="7" t="n">
        <v>0.5</v>
      </c>
      <c r="M102" s="7" t="n">
        <f aca="false">M101+L102</f>
        <v>93.3</v>
      </c>
      <c r="N102" s="7" t="n">
        <f aca="false">J102-L102</f>
        <v>11.3</v>
      </c>
      <c r="O102" s="7" t="n">
        <f aca="false">O101+N102</f>
        <v>90</v>
      </c>
      <c r="P102" s="7" t="n">
        <v>63</v>
      </c>
      <c r="Q102" s="7" t="n">
        <f aca="false">0.35+((P102-9)/64)*(1-0.35)</f>
        <v>0.8984375</v>
      </c>
      <c r="R102" s="15" t="n">
        <f aca="false">Q102*L102</f>
        <v>0.44921875</v>
      </c>
      <c r="S102" s="15" t="n">
        <f aca="false">J102-R102</f>
        <v>11.35078125</v>
      </c>
      <c r="T102" s="15" t="n">
        <f aca="false">MIN(189.6,(T101+S102))</f>
        <v>135.6121875</v>
      </c>
      <c r="V102" s="16" t="n">
        <v>115</v>
      </c>
      <c r="W102" s="7" t="n">
        <f aca="false">V102/D102</f>
        <v>15.1315789473684</v>
      </c>
      <c r="X102" s="7" t="n">
        <f aca="false">X101+V102</f>
        <v>43599.6</v>
      </c>
      <c r="AA102" s="7" t="n">
        <v>9.60443092822046</v>
      </c>
    </row>
    <row r="103" s="7" customFormat="true" ht="15" hidden="false" customHeight="false" outlineLevel="0" collapsed="false">
      <c r="A103" s="10"/>
      <c r="B103" s="11"/>
      <c r="C103" s="8" t="n">
        <v>41584</v>
      </c>
      <c r="D103" s="7" t="n">
        <v>12.8</v>
      </c>
      <c r="E103" s="7" t="n">
        <v>9.9</v>
      </c>
      <c r="F103" s="7" t="n">
        <v>14.3</v>
      </c>
      <c r="G103" s="7" t="n">
        <f aca="false">G102+D103</f>
        <v>838.600000000001</v>
      </c>
      <c r="J103" s="7" t="n">
        <v>2.4</v>
      </c>
      <c r="K103" s="7" t="n">
        <f aca="false">K102+J103</f>
        <v>185.7</v>
      </c>
      <c r="L103" s="7" t="n">
        <v>0.5</v>
      </c>
      <c r="M103" s="7" t="n">
        <f aca="false">M102+L103</f>
        <v>93.8</v>
      </c>
      <c r="N103" s="7" t="n">
        <f aca="false">J103-L103</f>
        <v>1.9</v>
      </c>
      <c r="O103" s="7" t="n">
        <f aca="false">O102+N103</f>
        <v>91.9</v>
      </c>
      <c r="P103" s="7" t="n">
        <v>64</v>
      </c>
      <c r="Q103" s="7" t="n">
        <f aca="false">0.35+((P103-9)/64)*(1-0.35)</f>
        <v>0.90859375</v>
      </c>
      <c r="R103" s="15" t="n">
        <f aca="false">Q103*L103</f>
        <v>0.454296875</v>
      </c>
      <c r="S103" s="15" t="n">
        <f aca="false">J103-R103</f>
        <v>1.945703125</v>
      </c>
      <c r="T103" s="15" t="n">
        <f aca="false">MIN(189.6,(T102+S103))</f>
        <v>137.557890625</v>
      </c>
      <c r="V103" s="16" t="n">
        <v>145.4</v>
      </c>
      <c r="W103" s="7" t="n">
        <f aca="false">V103/D103</f>
        <v>11.359375</v>
      </c>
      <c r="X103" s="7" t="n">
        <f aca="false">X102+V103</f>
        <v>43745</v>
      </c>
      <c r="AA103" s="7" t="n">
        <v>9.55090032488063</v>
      </c>
    </row>
    <row r="104" s="7" customFormat="true" ht="15" hidden="false" customHeight="false" outlineLevel="0" collapsed="false">
      <c r="A104" s="10"/>
      <c r="B104" s="11"/>
      <c r="C104" s="8" t="n">
        <v>41585</v>
      </c>
      <c r="D104" s="7" t="n">
        <v>12.7</v>
      </c>
      <c r="E104" s="7" t="n">
        <v>11.8</v>
      </c>
      <c r="F104" s="7" t="n">
        <v>13.6</v>
      </c>
      <c r="G104" s="7" t="n">
        <f aca="false">G103+D104</f>
        <v>851.300000000001</v>
      </c>
      <c r="J104" s="7" t="n">
        <v>18.9</v>
      </c>
      <c r="K104" s="7" t="n">
        <f aca="false">K103+J104</f>
        <v>204.6</v>
      </c>
      <c r="L104" s="7" t="n">
        <v>0.5</v>
      </c>
      <c r="M104" s="7" t="n">
        <f aca="false">M103+L104</f>
        <v>94.3</v>
      </c>
      <c r="N104" s="7" t="n">
        <f aca="false">J104-L104</f>
        <v>18.4</v>
      </c>
      <c r="O104" s="7" t="n">
        <f aca="false">O103+N104</f>
        <v>110.3</v>
      </c>
      <c r="P104" s="7" t="n">
        <v>65</v>
      </c>
      <c r="Q104" s="7" t="n">
        <f aca="false">0.35+((P104-9)/64)*(1-0.35)</f>
        <v>0.91875</v>
      </c>
      <c r="R104" s="15" t="n">
        <f aca="false">Q104*L104</f>
        <v>0.459375</v>
      </c>
      <c r="S104" s="15" t="n">
        <f aca="false">J104-R104</f>
        <v>18.440625</v>
      </c>
      <c r="T104" s="15" t="n">
        <f aca="false">MIN(189.6,(T103+S104))</f>
        <v>155.998515625</v>
      </c>
      <c r="V104" s="16" t="n">
        <v>123.5</v>
      </c>
      <c r="W104" s="7" t="n">
        <f aca="false">V104/D104</f>
        <v>9.7244094488189</v>
      </c>
      <c r="X104" s="7" t="n">
        <f aca="false">X103+V104</f>
        <v>43868.5</v>
      </c>
      <c r="AA104" s="7" t="n">
        <v>9.49788541671261</v>
      </c>
    </row>
    <row r="105" s="7" customFormat="true" ht="15" hidden="false" customHeight="false" outlineLevel="0" collapsed="false">
      <c r="A105" s="10"/>
      <c r="B105" s="11"/>
      <c r="C105" s="8" t="n">
        <v>41586</v>
      </c>
      <c r="D105" s="7" t="n">
        <v>9.9</v>
      </c>
      <c r="E105" s="7" t="n">
        <v>8.4</v>
      </c>
      <c r="F105" s="7" t="n">
        <v>12.3</v>
      </c>
      <c r="G105" s="7" t="n">
        <f aca="false">G104+D105</f>
        <v>861.200000000001</v>
      </c>
      <c r="J105" s="7" t="n">
        <v>5.4</v>
      </c>
      <c r="K105" s="7" t="n">
        <f aca="false">K104+J105</f>
        <v>210</v>
      </c>
      <c r="L105" s="7" t="n">
        <v>0.4</v>
      </c>
      <c r="M105" s="7" t="n">
        <f aca="false">M104+L105</f>
        <v>94.7</v>
      </c>
      <c r="N105" s="7" t="n">
        <f aca="false">J105-L105</f>
        <v>5</v>
      </c>
      <c r="O105" s="7" t="n">
        <f aca="false">O104+N105</f>
        <v>115.3</v>
      </c>
      <c r="P105" s="7" t="n">
        <v>66</v>
      </c>
      <c r="Q105" s="7" t="n">
        <f aca="false">0.35+((P105-9)/64)*(1-0.35)</f>
        <v>0.92890625</v>
      </c>
      <c r="R105" s="15" t="n">
        <f aca="false">Q105*L105</f>
        <v>0.3715625</v>
      </c>
      <c r="S105" s="15" t="n">
        <f aca="false">J105-R105</f>
        <v>5.0284375</v>
      </c>
      <c r="T105" s="15" t="n">
        <f aca="false">MIN(189.6,(T104+S105))</f>
        <v>161.026953125</v>
      </c>
      <c r="V105" s="16" t="n">
        <v>118.9</v>
      </c>
      <c r="W105" s="7" t="n">
        <f aca="false">V105/D105</f>
        <v>12.010101010101</v>
      </c>
      <c r="X105" s="7" t="n">
        <f aca="false">X104+V105</f>
        <v>43987.4</v>
      </c>
      <c r="AA105" s="7" t="n">
        <v>9.44541091748669</v>
      </c>
    </row>
    <row r="106" s="7" customFormat="true" ht="15" hidden="false" customHeight="false" outlineLevel="0" collapsed="false">
      <c r="A106" s="10"/>
      <c r="B106" s="11"/>
      <c r="C106" s="8" t="n">
        <v>41587</v>
      </c>
      <c r="D106" s="7" t="n">
        <v>7.8</v>
      </c>
      <c r="E106" s="7" t="n">
        <v>5.5</v>
      </c>
      <c r="F106" s="7" t="n">
        <v>9.6</v>
      </c>
      <c r="G106" s="7" t="n">
        <f aca="false">G105+D106</f>
        <v>869.000000000001</v>
      </c>
      <c r="J106" s="7" t="n">
        <v>6</v>
      </c>
      <c r="K106" s="7" t="n">
        <f aca="false">K105+J106</f>
        <v>216</v>
      </c>
      <c r="L106" s="7" t="n">
        <v>0.5</v>
      </c>
      <c r="M106" s="7" t="n">
        <f aca="false">M105+L106</f>
        <v>95.2</v>
      </c>
      <c r="N106" s="7" t="n">
        <f aca="false">J106-L106</f>
        <v>5.5</v>
      </c>
      <c r="O106" s="7" t="n">
        <v>189.6</v>
      </c>
      <c r="P106" s="7" t="n">
        <v>67</v>
      </c>
      <c r="Q106" s="7" t="n">
        <f aca="false">0.35+((P106-9)/64)*(1-0.35)</f>
        <v>0.9390625</v>
      </c>
      <c r="R106" s="15" t="n">
        <f aca="false">Q106*L106</f>
        <v>0.46953125</v>
      </c>
      <c r="S106" s="15" t="n">
        <f aca="false">J106-R106</f>
        <v>5.53046875</v>
      </c>
      <c r="T106" s="15" t="n">
        <f aca="false">MIN(189.6,(T105+S106))</f>
        <v>166.557421875</v>
      </c>
      <c r="V106" s="16" t="n">
        <v>198.6</v>
      </c>
      <c r="W106" s="7" t="n">
        <f aca="false">V106/D106</f>
        <v>25.4615384615385</v>
      </c>
      <c r="X106" s="7" t="n">
        <f aca="false">X105+V106</f>
        <v>44186</v>
      </c>
      <c r="AA106" s="7" t="n">
        <v>9.39350225713998</v>
      </c>
    </row>
    <row r="107" s="7" customFormat="true" ht="15" hidden="false" customHeight="false" outlineLevel="0" collapsed="false">
      <c r="A107" s="10"/>
      <c r="B107" s="11"/>
      <c r="C107" s="8" t="n">
        <v>41588</v>
      </c>
      <c r="D107" s="7" t="n">
        <v>6.4</v>
      </c>
      <c r="E107" s="7" t="n">
        <v>6.2</v>
      </c>
      <c r="F107" s="7" t="n">
        <v>8.6</v>
      </c>
      <c r="G107" s="7" t="n">
        <f aca="false">G106+D107</f>
        <v>875.4</v>
      </c>
      <c r="J107" s="7" t="n">
        <v>1.5</v>
      </c>
      <c r="K107" s="7" t="n">
        <f aca="false">K106+J107</f>
        <v>217.5</v>
      </c>
      <c r="L107" s="7" t="n">
        <v>1</v>
      </c>
      <c r="M107" s="7" t="n">
        <f aca="false">M106+L107</f>
        <v>96.2</v>
      </c>
      <c r="N107" s="7" t="n">
        <f aca="false">J107-L107</f>
        <v>0.5</v>
      </c>
      <c r="O107" s="7" t="n">
        <v>189.6</v>
      </c>
      <c r="P107" s="7" t="n">
        <v>68</v>
      </c>
      <c r="Q107" s="7" t="n">
        <f aca="false">0.35+((P107-9)/64)*(1-0.35)</f>
        <v>0.94921875</v>
      </c>
      <c r="R107" s="15" t="n">
        <f aca="false">Q107*L107</f>
        <v>0.94921875</v>
      </c>
      <c r="S107" s="15" t="n">
        <f aca="false">J107-R107</f>
        <v>0.55078125</v>
      </c>
      <c r="T107" s="15" t="n">
        <f aca="false">MIN(189.6,(T106+S107))</f>
        <v>167.108203125</v>
      </c>
      <c r="V107" s="16" t="n">
        <v>353.5</v>
      </c>
      <c r="W107" s="7" t="n">
        <f aca="false">V107/D107</f>
        <v>55.234375</v>
      </c>
      <c r="X107" s="7" t="n">
        <f aca="false">X106+V107</f>
        <v>44539.5</v>
      </c>
      <c r="AA107" s="7" t="n">
        <v>9.34218557276114</v>
      </c>
    </row>
    <row r="108" s="7" customFormat="true" ht="15" hidden="false" customHeight="false" outlineLevel="0" collapsed="false">
      <c r="A108" s="10"/>
      <c r="B108" s="11"/>
      <c r="C108" s="8" t="n">
        <v>41589</v>
      </c>
      <c r="D108" s="7" t="n">
        <v>5.6</v>
      </c>
      <c r="E108" s="19" t="n">
        <v>-0.1</v>
      </c>
      <c r="F108" s="7" t="n">
        <v>9.4</v>
      </c>
      <c r="G108" s="7" t="n">
        <f aca="false">G107+D108</f>
        <v>881.000000000001</v>
      </c>
      <c r="J108" s="7" t="n">
        <v>0</v>
      </c>
      <c r="K108" s="7" t="n">
        <f aca="false">K107+J108</f>
        <v>217.5</v>
      </c>
      <c r="L108" s="7" t="n">
        <v>0.6</v>
      </c>
      <c r="M108" s="7" t="n">
        <f aca="false">M107+L108</f>
        <v>96.8</v>
      </c>
      <c r="N108" s="14" t="n">
        <f aca="false">J108-L108</f>
        <v>-0.6</v>
      </c>
      <c r="O108" s="7" t="n">
        <f aca="false">O107+N108</f>
        <v>189</v>
      </c>
      <c r="P108" s="7" t="n">
        <v>69</v>
      </c>
      <c r="Q108" s="7" t="n">
        <f aca="false">0.35+((P108-9)/64)*(1-0.35)</f>
        <v>0.959375</v>
      </c>
      <c r="R108" s="15" t="n">
        <f aca="false">Q108*L108</f>
        <v>0.575625</v>
      </c>
      <c r="S108" s="15" t="n">
        <f aca="false">J108-R108</f>
        <v>-0.575625</v>
      </c>
      <c r="T108" s="15" t="n">
        <f aca="false">MIN(189.6,(T107+S108))</f>
        <v>166.532578125</v>
      </c>
      <c r="V108" s="16" t="n">
        <v>329.1</v>
      </c>
      <c r="W108" s="7" t="n">
        <f aca="false">V108/D108</f>
        <v>58.7678571428572</v>
      </c>
      <c r="X108" s="7" t="n">
        <f aca="false">X107+V108</f>
        <v>44868.6</v>
      </c>
      <c r="AA108" s="7" t="n">
        <v>9.29148769648325</v>
      </c>
    </row>
    <row r="109" s="7" customFormat="true" ht="15" hidden="false" customHeight="false" outlineLevel="0" collapsed="false">
      <c r="A109" s="10"/>
      <c r="B109" s="11"/>
      <c r="C109" s="8" t="n">
        <v>41590</v>
      </c>
      <c r="D109" s="7" t="n">
        <v>8.2</v>
      </c>
      <c r="E109" s="7" t="n">
        <v>7.2</v>
      </c>
      <c r="F109" s="7" t="n">
        <v>9.3</v>
      </c>
      <c r="G109" s="7" t="n">
        <f aca="false">G108+D109</f>
        <v>889.200000000001</v>
      </c>
      <c r="J109" s="7" t="n">
        <v>3.6</v>
      </c>
      <c r="K109" s="7" t="n">
        <f aca="false">K108+J109</f>
        <v>221.1</v>
      </c>
      <c r="L109" s="7" t="n">
        <v>0.6</v>
      </c>
      <c r="M109" s="7" t="n">
        <f aca="false">M108+L109</f>
        <v>97.4</v>
      </c>
      <c r="N109" s="7" t="n">
        <f aca="false">J109-L109</f>
        <v>3</v>
      </c>
      <c r="O109" s="7" t="n">
        <v>189.6</v>
      </c>
      <c r="P109" s="7" t="n">
        <v>70</v>
      </c>
      <c r="Q109" s="7" t="n">
        <f aca="false">0.35+((P109-9)/64)*(1-0.35)</f>
        <v>0.96953125</v>
      </c>
      <c r="R109" s="15" t="n">
        <f aca="false">Q109*L109</f>
        <v>0.58171875</v>
      </c>
      <c r="S109" s="15" t="n">
        <f aca="false">J109-R109</f>
        <v>3.01828125</v>
      </c>
      <c r="T109" s="15" t="n">
        <f aca="false">MIN(189.6,(T108+S109))</f>
        <v>169.550859375</v>
      </c>
      <c r="V109" s="16" t="n">
        <v>201.6</v>
      </c>
      <c r="W109" s="7" t="n">
        <f aca="false">V109/D109</f>
        <v>24.5853658536585</v>
      </c>
      <c r="X109" s="7" t="n">
        <f aca="false">X108+V109</f>
        <v>45070.2</v>
      </c>
      <c r="AA109" s="7" t="n">
        <v>9.2414361400975</v>
      </c>
    </row>
    <row r="110" s="7" customFormat="true" ht="15" hidden="false" customHeight="false" outlineLevel="0" collapsed="false">
      <c r="A110" s="10"/>
      <c r="B110" s="11"/>
      <c r="C110" s="8" t="n">
        <v>41591</v>
      </c>
      <c r="D110" s="7" t="n">
        <v>5.2</v>
      </c>
      <c r="E110" s="18" t="n">
        <v>2.3</v>
      </c>
      <c r="F110" s="7" t="n">
        <v>10.6</v>
      </c>
      <c r="G110" s="7" t="n">
        <f aca="false">G109+D110</f>
        <v>894.400000000001</v>
      </c>
      <c r="J110" s="7" t="n">
        <v>0.7</v>
      </c>
      <c r="K110" s="7" t="n">
        <f aca="false">K109+J110</f>
        <v>221.8</v>
      </c>
      <c r="L110" s="7" t="n">
        <v>1.1</v>
      </c>
      <c r="M110" s="7" t="n">
        <f aca="false">M109+L110</f>
        <v>98.5</v>
      </c>
      <c r="N110" s="14" t="n">
        <f aca="false">J110-L110</f>
        <v>-0.4</v>
      </c>
      <c r="O110" s="7" t="n">
        <f aca="false">O109+N110</f>
        <v>189.2</v>
      </c>
      <c r="P110" s="7" t="n">
        <v>71</v>
      </c>
      <c r="Q110" s="7" t="n">
        <f aca="false">0.35+((P110-9)/64)*(1-0.35)</f>
        <v>0.9796875</v>
      </c>
      <c r="R110" s="15" t="n">
        <f aca="false">Q110*L110</f>
        <v>1.07765625</v>
      </c>
      <c r="S110" s="15" t="n">
        <f aca="false">J110-R110</f>
        <v>-0.37765625</v>
      </c>
      <c r="T110" s="15" t="n">
        <f aca="false">MIN(189.6,(T109+S110))</f>
        <v>169.173203125</v>
      </c>
      <c r="V110" s="16" t="n">
        <v>690.1</v>
      </c>
      <c r="W110" s="7" t="n">
        <f aca="false">V110/D110</f>
        <v>132.711538461538</v>
      </c>
      <c r="X110" s="7" t="n">
        <f aca="false">X109+V110</f>
        <v>45760.3</v>
      </c>
      <c r="AA110" s="7" t="n">
        <v>9.19205907620333</v>
      </c>
    </row>
    <row r="111" s="7" customFormat="true" ht="15" hidden="false" customHeight="false" outlineLevel="0" collapsed="false">
      <c r="A111" s="10"/>
      <c r="B111" s="11"/>
      <c r="C111" s="8" t="n">
        <v>41592</v>
      </c>
      <c r="D111" s="7" t="n">
        <v>5.8</v>
      </c>
      <c r="E111" s="18" t="n">
        <v>0.9</v>
      </c>
      <c r="F111" s="7" t="n">
        <v>9.5</v>
      </c>
      <c r="G111" s="7" t="n">
        <f aca="false">G110+D111</f>
        <v>900.200000000001</v>
      </c>
      <c r="J111" s="7" t="n">
        <v>3.5</v>
      </c>
      <c r="K111" s="7" t="n">
        <f aca="false">K110+J111</f>
        <v>225.3</v>
      </c>
      <c r="L111" s="7" t="n">
        <v>0.3</v>
      </c>
      <c r="M111" s="7" t="n">
        <f aca="false">M110+L111</f>
        <v>98.8</v>
      </c>
      <c r="N111" s="7" t="n">
        <f aca="false">J111-L111</f>
        <v>3.2</v>
      </c>
      <c r="O111" s="7" t="n">
        <v>189.6</v>
      </c>
      <c r="P111" s="7" t="n">
        <v>72</v>
      </c>
      <c r="Q111" s="7" t="n">
        <f aca="false">0.35+((P111-9)/64)*(1-0.35)</f>
        <v>0.98984375</v>
      </c>
      <c r="R111" s="15" t="n">
        <f aca="false">Q111*L111</f>
        <v>0.296953125</v>
      </c>
      <c r="S111" s="15" t="n">
        <f aca="false">J111-R111</f>
        <v>3.203046875</v>
      </c>
      <c r="T111" s="15" t="n">
        <f aca="false">MIN(189.6,(T110+S111))</f>
        <v>172.37625</v>
      </c>
      <c r="V111" s="16" t="n">
        <v>245.1</v>
      </c>
      <c r="W111" s="7" t="n">
        <f aca="false">V111/D111</f>
        <v>42.2586206896552</v>
      </c>
      <c r="X111" s="7" t="n">
        <f aca="false">X110+V111</f>
        <v>46005.4</v>
      </c>
      <c r="AA111" s="7" t="n">
        <v>9.14338531571597</v>
      </c>
    </row>
    <row r="112" s="22" customFormat="true" ht="15" hidden="false" customHeight="true" outlineLevel="0" collapsed="false">
      <c r="A112" s="10"/>
      <c r="B112" s="20"/>
      <c r="C112" s="21" t="n">
        <v>41593</v>
      </c>
      <c r="D112" s="22" t="n">
        <v>6.5</v>
      </c>
      <c r="E112" s="22" t="n">
        <v>5.4</v>
      </c>
      <c r="F112" s="22" t="n">
        <v>9</v>
      </c>
      <c r="G112" s="22" t="n">
        <f aca="false">G111+D112</f>
        <v>906.700000000001</v>
      </c>
      <c r="J112" s="22" t="n">
        <v>0</v>
      </c>
      <c r="K112" s="22" t="n">
        <f aca="false">K111+J112</f>
        <v>225.3</v>
      </c>
      <c r="L112" s="22" t="n">
        <v>0.8</v>
      </c>
      <c r="M112" s="22" t="n">
        <f aca="false">M111+L112</f>
        <v>99.6</v>
      </c>
      <c r="N112" s="22" t="n">
        <f aca="false">J112-L112</f>
        <v>-0.8</v>
      </c>
      <c r="O112" s="23" t="n">
        <f aca="false">O111+N112</f>
        <v>188.8</v>
      </c>
      <c r="P112" s="23" t="n">
        <v>73</v>
      </c>
      <c r="Q112" s="23" t="n">
        <f aca="false">0.35+((P112-9)/64)*(1-0.35)</f>
        <v>1</v>
      </c>
      <c r="R112" s="24" t="n">
        <f aca="false">Q112*L112</f>
        <v>0.8</v>
      </c>
      <c r="S112" s="24" t="n">
        <f aca="false">J112-R112</f>
        <v>-0.8</v>
      </c>
      <c r="T112" s="24" t="n">
        <f aca="false">MIN(189.6,(T111+S112))</f>
        <v>171.57625</v>
      </c>
      <c r="V112" s="22" t="n">
        <v>230.5</v>
      </c>
      <c r="W112" s="22" t="n">
        <f aca="false">V112/D112</f>
        <v>35.4615384615385</v>
      </c>
      <c r="X112" s="22" t="n">
        <f aca="false">X111+V112</f>
        <v>46235.9</v>
      </c>
      <c r="AA112" s="23" t="n">
        <v>9.0954442815599</v>
      </c>
    </row>
    <row r="113" s="7" customFormat="true" ht="15" hidden="false" customHeight="true" outlineLevel="0" collapsed="false">
      <c r="A113" s="25" t="s">
        <v>45</v>
      </c>
      <c r="B113" s="11"/>
      <c r="C113" s="8" t="n">
        <v>41594</v>
      </c>
      <c r="D113" s="18" t="n">
        <v>4.2</v>
      </c>
      <c r="E113" s="18" t="n">
        <v>3.8</v>
      </c>
      <c r="F113" s="18" t="n">
        <v>5</v>
      </c>
      <c r="G113" s="7" t="n">
        <f aca="false">G112+D113</f>
        <v>910.900000000001</v>
      </c>
      <c r="H113" s="7" t="n">
        <f aca="false">4.2</f>
        <v>4.2</v>
      </c>
      <c r="I113" s="26" t="s">
        <v>28</v>
      </c>
      <c r="J113" s="7" t="n">
        <v>0</v>
      </c>
      <c r="K113" s="7" t="n">
        <f aca="false">K112+J113</f>
        <v>225.3</v>
      </c>
      <c r="L113" s="7" t="n">
        <v>0.6</v>
      </c>
      <c r="M113" s="7" t="n">
        <f aca="false">M112+L113</f>
        <v>100.2</v>
      </c>
      <c r="N113" s="14" t="n">
        <f aca="false">J113-L113</f>
        <v>-0.6</v>
      </c>
      <c r="O113" s="7" t="n">
        <f aca="false">O112+N113</f>
        <v>188.2</v>
      </c>
      <c r="P113" s="7" t="n">
        <v>74</v>
      </c>
      <c r="Q113" s="7" t="n">
        <v>1</v>
      </c>
      <c r="R113" s="15" t="n">
        <f aca="false">Q113*L113</f>
        <v>0.6</v>
      </c>
      <c r="S113" s="15" t="n">
        <f aca="false">J113-R113</f>
        <v>-0.6</v>
      </c>
      <c r="T113" s="15" t="n">
        <f aca="false">MIN(189.6,(T112+S113))</f>
        <v>170.97625</v>
      </c>
      <c r="U113" s="26" t="s">
        <v>29</v>
      </c>
      <c r="V113" s="16" t="n">
        <v>441.2</v>
      </c>
      <c r="W113" s="7" t="n">
        <f aca="false">V113/D113</f>
        <v>105.047619047619</v>
      </c>
      <c r="X113" s="7" t="n">
        <f aca="false">X112+V113</f>
        <v>46677.1</v>
      </c>
      <c r="Y113" s="7" t="n">
        <f aca="false">V113</f>
        <v>441.2</v>
      </c>
      <c r="Z113" s="26" t="s">
        <v>30</v>
      </c>
      <c r="AA113" s="7" t="n">
        <v>9.04826597838681</v>
      </c>
    </row>
    <row r="114" s="7" customFormat="true" ht="15" hidden="false" customHeight="false" outlineLevel="0" collapsed="false">
      <c r="A114" s="25"/>
      <c r="B114" s="11"/>
      <c r="C114" s="8" t="n">
        <v>41595</v>
      </c>
      <c r="D114" s="18" t="n">
        <v>5</v>
      </c>
      <c r="E114" s="18" t="n">
        <v>4.1</v>
      </c>
      <c r="F114" s="7" t="n">
        <v>5.8</v>
      </c>
      <c r="G114" s="7" t="n">
        <f aca="false">G113+D114</f>
        <v>915.900000000001</v>
      </c>
      <c r="H114" s="7" t="n">
        <f aca="false">H113+D114</f>
        <v>9.2</v>
      </c>
      <c r="I114" s="7" t="n">
        <v>-2.8</v>
      </c>
      <c r="J114" s="7" t="n">
        <v>0</v>
      </c>
      <c r="K114" s="7" t="n">
        <f aca="false">K113+J114</f>
        <v>225.3</v>
      </c>
      <c r="L114" s="7" t="n">
        <v>0.2</v>
      </c>
      <c r="M114" s="7" t="n">
        <f aca="false">M113+L114</f>
        <v>100.4</v>
      </c>
      <c r="N114" s="14" t="n">
        <f aca="false">J114-L114</f>
        <v>-0.2</v>
      </c>
      <c r="O114" s="7" t="n">
        <f aca="false">O113+N114</f>
        <v>188</v>
      </c>
      <c r="P114" s="7" t="n">
        <v>75</v>
      </c>
      <c r="Q114" s="7" t="n">
        <v>1</v>
      </c>
      <c r="R114" s="15" t="n">
        <f aca="false">Q114*L114</f>
        <v>0.2</v>
      </c>
      <c r="S114" s="15" t="n">
        <f aca="false">J114-R114</f>
        <v>-0.2</v>
      </c>
      <c r="T114" s="15" t="n">
        <f aca="false">MIN(189.6,(T113+S114))</f>
        <v>170.77625</v>
      </c>
      <c r="V114" s="16" t="n">
        <v>175.5</v>
      </c>
      <c r="W114" s="7" t="n">
        <f aca="false">V114/D114</f>
        <v>35.1</v>
      </c>
      <c r="X114" s="7" t="n">
        <f aca="false">X113+V114</f>
        <v>46852.6</v>
      </c>
      <c r="Y114" s="7" t="n">
        <f aca="false">Y113+V114</f>
        <v>616.7</v>
      </c>
      <c r="Z114" s="7" t="n">
        <v>8803</v>
      </c>
      <c r="AA114" s="7" t="n">
        <v>9.00188095816921</v>
      </c>
    </row>
    <row r="115" s="7" customFormat="true" ht="15" hidden="false" customHeight="false" outlineLevel="0" collapsed="false">
      <c r="A115" s="25"/>
      <c r="B115" s="27" t="n">
        <v>1</v>
      </c>
      <c r="C115" s="8" t="n">
        <v>41596</v>
      </c>
      <c r="D115" s="18" t="n">
        <v>4.5</v>
      </c>
      <c r="E115" s="18" t="n">
        <v>4.1</v>
      </c>
      <c r="F115" s="7" t="n">
        <v>5.8</v>
      </c>
      <c r="G115" s="7" t="n">
        <f aca="false">G114+D115</f>
        <v>920.400000000001</v>
      </c>
      <c r="H115" s="7" t="n">
        <f aca="false">H114+D115</f>
        <v>13.7</v>
      </c>
      <c r="I115" s="26" t="s">
        <v>31</v>
      </c>
      <c r="J115" s="7" t="n">
        <v>1.2</v>
      </c>
      <c r="K115" s="7" t="n">
        <f aca="false">K114+J115</f>
        <v>226.5</v>
      </c>
      <c r="L115" s="7" t="n">
        <v>0.5</v>
      </c>
      <c r="M115" s="7" t="n">
        <f aca="false">M114+L115</f>
        <v>100.9</v>
      </c>
      <c r="N115" s="7" t="n">
        <f aca="false">J115-L115</f>
        <v>0.7</v>
      </c>
      <c r="O115" s="7" t="n">
        <f aca="false">O114+N115</f>
        <v>188.7</v>
      </c>
      <c r="P115" s="7" t="n">
        <v>76</v>
      </c>
      <c r="Q115" s="7" t="n">
        <v>1</v>
      </c>
      <c r="R115" s="15" t="n">
        <f aca="false">Q115*L115</f>
        <v>0.5</v>
      </c>
      <c r="S115" s="15" t="n">
        <f aca="false">J115-R115</f>
        <v>0.7</v>
      </c>
      <c r="T115" s="15" t="n">
        <f aca="false">MIN(189.6,(T114+S115))</f>
        <v>171.47625</v>
      </c>
      <c r="U115" s="26" t="s">
        <v>32</v>
      </c>
      <c r="V115" s="16" t="n">
        <v>157.1</v>
      </c>
      <c r="W115" s="7" t="n">
        <f aca="false">V115/D115</f>
        <v>34.9111111111111</v>
      </c>
      <c r="X115" s="7" t="n">
        <f aca="false">X114+V115</f>
        <v>47009.7</v>
      </c>
      <c r="Y115" s="7" t="n">
        <f aca="false">Y114+V115</f>
        <v>773.8</v>
      </c>
      <c r="Z115" s="26" t="s">
        <v>33</v>
      </c>
      <c r="AA115" s="28" t="n">
        <v>8.95632028153667</v>
      </c>
    </row>
    <row r="116" s="7" customFormat="true" ht="15" hidden="false" customHeight="false" outlineLevel="0" collapsed="false">
      <c r="A116" s="25"/>
      <c r="B116" s="27" t="n">
        <v>2</v>
      </c>
      <c r="C116" s="8" t="n">
        <v>41597</v>
      </c>
      <c r="D116" s="18" t="n">
        <v>4.7</v>
      </c>
      <c r="E116" s="18" t="n">
        <v>3</v>
      </c>
      <c r="F116" s="7" t="n">
        <v>6.6</v>
      </c>
      <c r="G116" s="7" t="n">
        <f aca="false">G115+D116</f>
        <v>925.100000000001</v>
      </c>
      <c r="H116" s="7" t="n">
        <f aca="false">H115+D116</f>
        <v>18.4</v>
      </c>
      <c r="I116" s="7" t="n">
        <f aca="false">MAX(F113:F143)</f>
        <v>9.6</v>
      </c>
      <c r="J116" s="7" t="n">
        <v>0.1</v>
      </c>
      <c r="K116" s="7" t="n">
        <f aca="false">K115+J116</f>
        <v>226.6</v>
      </c>
      <c r="L116" s="7" t="n">
        <v>0.6</v>
      </c>
      <c r="M116" s="7" t="n">
        <f aca="false">M115+L116</f>
        <v>101.5</v>
      </c>
      <c r="N116" s="14" t="n">
        <f aca="false">J116-L116</f>
        <v>-0.5</v>
      </c>
      <c r="O116" s="7" t="n">
        <f aca="false">O115+N116</f>
        <v>188.2</v>
      </c>
      <c r="P116" s="7" t="n">
        <v>77</v>
      </c>
      <c r="Q116" s="7" t="n">
        <v>1</v>
      </c>
      <c r="R116" s="15" t="n">
        <f aca="false">Q116*L116</f>
        <v>0.6</v>
      </c>
      <c r="S116" s="15" t="n">
        <f aca="false">J116-R116</f>
        <v>-0.5</v>
      </c>
      <c r="T116" s="15" t="n">
        <f aca="false">MIN(189.6,(T115+S116))</f>
        <v>170.97625</v>
      </c>
      <c r="V116" s="16" t="n">
        <v>446</v>
      </c>
      <c r="W116" s="7" t="n">
        <f aca="false">V116/D116</f>
        <v>94.8936170212766</v>
      </c>
      <c r="X116" s="7" t="n">
        <f aca="false">X115+V116</f>
        <v>47455.7</v>
      </c>
      <c r="Y116" s="7" t="n">
        <f aca="false">Y115+V116</f>
        <v>1219.8</v>
      </c>
      <c r="Z116" s="17"/>
      <c r="AA116" s="28" t="n">
        <v>8.91161547474022</v>
      </c>
    </row>
    <row r="117" s="7" customFormat="true" ht="15" hidden="false" customHeight="false" outlineLevel="0" collapsed="false">
      <c r="A117" s="25"/>
      <c r="B117" s="27" t="n">
        <v>3</v>
      </c>
      <c r="C117" s="8" t="n">
        <v>41598</v>
      </c>
      <c r="D117" s="18" t="n">
        <v>2.1</v>
      </c>
      <c r="E117" s="18" t="n">
        <v>0.3</v>
      </c>
      <c r="F117" s="18" t="n">
        <v>4.3</v>
      </c>
      <c r="G117" s="7" t="n">
        <f aca="false">G116+D117</f>
        <v>927.200000000001</v>
      </c>
      <c r="H117" s="7" t="n">
        <f aca="false">H116+D117</f>
        <v>20.5</v>
      </c>
      <c r="I117" s="26" t="s">
        <v>34</v>
      </c>
      <c r="J117" s="7" t="n">
        <v>0.7</v>
      </c>
      <c r="K117" s="7" t="n">
        <f aca="false">K116+J117</f>
        <v>227.3</v>
      </c>
      <c r="L117" s="7" t="n">
        <v>0.4</v>
      </c>
      <c r="M117" s="7" t="n">
        <f aca="false">M116+L117</f>
        <v>101.9</v>
      </c>
      <c r="N117" s="7" t="n">
        <f aca="false">J117-L117</f>
        <v>0.3</v>
      </c>
      <c r="O117" s="7" t="n">
        <f aca="false">O116+N117</f>
        <v>188.5</v>
      </c>
      <c r="P117" s="7" t="n">
        <v>78</v>
      </c>
      <c r="Q117" s="7" t="n">
        <v>1</v>
      </c>
      <c r="R117" s="15" t="n">
        <f aca="false">Q117*L117</f>
        <v>0.4</v>
      </c>
      <c r="S117" s="15" t="n">
        <f aca="false">J117-R117</f>
        <v>0.3</v>
      </c>
      <c r="T117" s="15" t="n">
        <f aca="false">MIN(189.6,(T116+S117))</f>
        <v>171.27625</v>
      </c>
      <c r="U117" s="26" t="s">
        <v>35</v>
      </c>
      <c r="V117" s="16" t="n">
        <v>132.1</v>
      </c>
      <c r="W117" s="7" t="n">
        <f aca="false">V117/D117</f>
        <v>62.9047619047619</v>
      </c>
      <c r="X117" s="7" t="n">
        <f aca="false">X116+V117</f>
        <v>47587.8</v>
      </c>
      <c r="Y117" s="7" t="n">
        <f aca="false">Y116+V117</f>
        <v>1351.9</v>
      </c>
      <c r="Z117" s="26" t="s">
        <v>36</v>
      </c>
      <c r="AA117" s="28" t="n">
        <v>8.86779848215216</v>
      </c>
    </row>
    <row r="118" s="7" customFormat="true" ht="15" hidden="false" customHeight="false" outlineLevel="0" collapsed="false">
      <c r="A118" s="25"/>
      <c r="B118" s="27" t="n">
        <v>4</v>
      </c>
      <c r="C118" s="8" t="n">
        <v>41599</v>
      </c>
      <c r="D118" s="18" t="n">
        <v>1.8</v>
      </c>
      <c r="E118" s="18" t="n">
        <v>0.1</v>
      </c>
      <c r="F118" s="18" t="n">
        <v>3.3</v>
      </c>
      <c r="G118" s="7" t="n">
        <f aca="false">G117+D118</f>
        <v>929.000000000001</v>
      </c>
      <c r="H118" s="7" t="n">
        <f aca="false">H117+D118</f>
        <v>22.3</v>
      </c>
      <c r="I118" s="15" t="n">
        <f aca="false">AVERAGE(D113:D143)</f>
        <v>4.09354838709678</v>
      </c>
      <c r="J118" s="7" t="n">
        <v>0</v>
      </c>
      <c r="K118" s="7" t="n">
        <f aca="false">K117+J118</f>
        <v>227.3</v>
      </c>
      <c r="L118" s="7" t="n">
        <v>0.2</v>
      </c>
      <c r="M118" s="7" t="n">
        <f aca="false">M117+L118</f>
        <v>102.1</v>
      </c>
      <c r="N118" s="14" t="n">
        <f aca="false">J118-L118</f>
        <v>-0.2</v>
      </c>
      <c r="O118" s="7" t="n">
        <f aca="false">O117+N118</f>
        <v>188.3</v>
      </c>
      <c r="P118" s="7" t="n">
        <v>79</v>
      </c>
      <c r="Q118" s="7" t="n">
        <v>1</v>
      </c>
      <c r="R118" s="15" t="n">
        <f aca="false">Q118*L118</f>
        <v>0.2</v>
      </c>
      <c r="S118" s="15" t="n">
        <f aca="false">J118-R118</f>
        <v>-0.2</v>
      </c>
      <c r="T118" s="15" t="n">
        <f aca="false">MIN(189.6,(T117+S118))</f>
        <v>171.07625</v>
      </c>
      <c r="U118" s="7" t="n">
        <v>0</v>
      </c>
      <c r="V118" s="16" t="n">
        <v>148.8</v>
      </c>
      <c r="W118" s="7" t="n">
        <f aca="false">V118/D118</f>
        <v>82.6666666666667</v>
      </c>
      <c r="X118" s="7" t="n">
        <f aca="false">X117+V118</f>
        <v>47736.6</v>
      </c>
      <c r="Y118" s="7" t="n">
        <f aca="false">Y117+V118</f>
        <v>1500.7</v>
      </c>
      <c r="Z118" s="7" t="n">
        <v>31</v>
      </c>
      <c r="AA118" s="28" t="n">
        <v>8.82490161423389</v>
      </c>
    </row>
    <row r="119" s="7" customFormat="true" ht="15" hidden="false" customHeight="false" outlineLevel="0" collapsed="false">
      <c r="A119" s="25"/>
      <c r="B119" s="27" t="n">
        <v>5</v>
      </c>
      <c r="C119" s="8" t="n">
        <v>41600</v>
      </c>
      <c r="D119" s="18" t="n">
        <v>3.4</v>
      </c>
      <c r="E119" s="18" t="n">
        <v>0.5</v>
      </c>
      <c r="F119" s="18" t="n">
        <v>4.9</v>
      </c>
      <c r="G119" s="7" t="n">
        <f aca="false">G118+D119</f>
        <v>932.400000000001</v>
      </c>
      <c r="H119" s="7" t="n">
        <f aca="false">H118+D119</f>
        <v>25.7</v>
      </c>
      <c r="I119" s="26" t="s">
        <v>37</v>
      </c>
      <c r="J119" s="7" t="n">
        <v>0</v>
      </c>
      <c r="K119" s="7" t="n">
        <f aca="false">K118+J119</f>
        <v>227.3</v>
      </c>
      <c r="L119" s="7" t="n">
        <v>0.4</v>
      </c>
      <c r="M119" s="7" t="n">
        <f aca="false">M118+L119</f>
        <v>102.5</v>
      </c>
      <c r="N119" s="14" t="n">
        <f aca="false">J119-L119</f>
        <v>-0.4</v>
      </c>
      <c r="O119" s="7" t="n">
        <f aca="false">O118+N119</f>
        <v>187.9</v>
      </c>
      <c r="P119" s="7" t="n">
        <v>80</v>
      </c>
      <c r="Q119" s="7" t="n">
        <v>1</v>
      </c>
      <c r="R119" s="15" t="n">
        <f aca="false">Q119*L119</f>
        <v>0.4</v>
      </c>
      <c r="S119" s="15" t="n">
        <f aca="false">J119-R119</f>
        <v>-0.4</v>
      </c>
      <c r="T119" s="15" t="n">
        <f aca="false">MIN(189.6,(T118+S119))</f>
        <v>170.67625</v>
      </c>
      <c r="U119" s="26" t="s">
        <v>38</v>
      </c>
      <c r="V119" s="16" t="n">
        <v>285.8</v>
      </c>
      <c r="W119" s="7" t="n">
        <f aca="false">V119/D119</f>
        <v>84.0588235294118</v>
      </c>
      <c r="X119" s="7" t="n">
        <f aca="false">X118+V119</f>
        <v>48022.4</v>
      </c>
      <c r="Y119" s="7" t="n">
        <f aca="false">Y118+V119</f>
        <v>1786.5</v>
      </c>
      <c r="AA119" s="28" t="n">
        <v>8.78295749093237</v>
      </c>
    </row>
    <row r="120" s="7" customFormat="true" ht="15" hidden="false" customHeight="false" outlineLevel="0" collapsed="false">
      <c r="A120" s="25"/>
      <c r="B120" s="27" t="n">
        <v>6</v>
      </c>
      <c r="C120" s="8" t="n">
        <v>41601</v>
      </c>
      <c r="D120" s="18" t="n">
        <v>4.5</v>
      </c>
      <c r="E120" s="18" t="n">
        <v>3.3</v>
      </c>
      <c r="F120" s="7" t="n">
        <v>6.3</v>
      </c>
      <c r="G120" s="7" t="n">
        <f aca="false">G119+D120</f>
        <v>936.900000000001</v>
      </c>
      <c r="H120" s="7" t="n">
        <f aca="false">H119+D120</f>
        <v>30.2</v>
      </c>
      <c r="I120" s="7" t="n">
        <v>7</v>
      </c>
      <c r="J120" s="7" t="n">
        <v>0</v>
      </c>
      <c r="K120" s="7" t="n">
        <f aca="false">K119+J120</f>
        <v>227.3</v>
      </c>
      <c r="L120" s="7" t="n">
        <v>0.7</v>
      </c>
      <c r="M120" s="7" t="n">
        <f aca="false">M119+L120</f>
        <v>103.2</v>
      </c>
      <c r="N120" s="14" t="n">
        <f aca="false">J120-L120</f>
        <v>-0.7</v>
      </c>
      <c r="O120" s="7" t="n">
        <f aca="false">O119+N120</f>
        <v>187.2</v>
      </c>
      <c r="P120" s="7" t="n">
        <v>81</v>
      </c>
      <c r="Q120" s="7" t="n">
        <v>1</v>
      </c>
      <c r="R120" s="15" t="n">
        <f aca="false">Q120*L120</f>
        <v>0.7</v>
      </c>
      <c r="S120" s="15" t="n">
        <f aca="false">J120-R120</f>
        <v>-0.7</v>
      </c>
      <c r="T120" s="15" t="n">
        <f aca="false">MIN(189.6,(T119+S120))</f>
        <v>169.97625</v>
      </c>
      <c r="U120" s="7" t="n">
        <v>0</v>
      </c>
      <c r="V120" s="16" t="n">
        <v>235.9</v>
      </c>
      <c r="W120" s="7" t="n">
        <f aca="false">V120/D120</f>
        <v>52.4222222222222</v>
      </c>
      <c r="X120" s="7" t="n">
        <f aca="false">X119+V120</f>
        <v>48258.3</v>
      </c>
      <c r="Y120" s="7" t="n">
        <f aca="false">Y119+V120</f>
        <v>2022.4</v>
      </c>
      <c r="AA120" s="28" t="n">
        <v>8.74199898049803</v>
      </c>
    </row>
    <row r="121" s="7" customFormat="true" ht="15" hidden="false" customHeight="false" outlineLevel="0" collapsed="false">
      <c r="A121" s="25"/>
      <c r="B121" s="11"/>
      <c r="C121" s="8" t="n">
        <v>41602</v>
      </c>
      <c r="D121" s="7" t="n">
        <v>5.3</v>
      </c>
      <c r="E121" s="18" t="n">
        <v>2.1</v>
      </c>
      <c r="F121" s="7" t="n">
        <v>8</v>
      </c>
      <c r="G121" s="7" t="n">
        <f aca="false">G120+D121</f>
        <v>942.200000000001</v>
      </c>
      <c r="H121" s="7" t="n">
        <f aca="false">H120+D121</f>
        <v>35.5</v>
      </c>
      <c r="I121" s="26" t="s">
        <v>39</v>
      </c>
      <c r="J121" s="7" t="n">
        <v>0</v>
      </c>
      <c r="K121" s="7" t="n">
        <f aca="false">K120+J121</f>
        <v>227.3</v>
      </c>
      <c r="L121" s="7" t="n">
        <v>0.4</v>
      </c>
      <c r="M121" s="7" t="n">
        <f aca="false">M120+L121</f>
        <v>103.6</v>
      </c>
      <c r="N121" s="14" t="n">
        <f aca="false">J121-L121</f>
        <v>-0.4</v>
      </c>
      <c r="O121" s="7" t="n">
        <f aca="false">O120+N121</f>
        <v>186.8</v>
      </c>
      <c r="P121" s="7" t="n">
        <v>82</v>
      </c>
      <c r="Q121" s="7" t="n">
        <v>1</v>
      </c>
      <c r="R121" s="15" t="n">
        <f aca="false">Q121*L121</f>
        <v>0.4</v>
      </c>
      <c r="S121" s="15" t="n">
        <f aca="false">J121-R121</f>
        <v>-0.4</v>
      </c>
      <c r="T121" s="15" t="n">
        <f aca="false">MIN(189.6,(T120+S121))</f>
        <v>169.57625</v>
      </c>
      <c r="U121" s="26" t="s">
        <v>40</v>
      </c>
      <c r="V121" s="16" t="n">
        <v>139.1</v>
      </c>
      <c r="W121" s="7" t="n">
        <f aca="false">V121/D121</f>
        <v>26.2452830188679</v>
      </c>
      <c r="X121" s="7" t="n">
        <f aca="false">X120+V121</f>
        <v>48397.4</v>
      </c>
      <c r="Y121" s="7" t="n">
        <f aca="false">Y120+V121</f>
        <v>2161.5</v>
      </c>
      <c r="AA121" s="28" t="n">
        <v>8.70205913375169</v>
      </c>
    </row>
    <row r="122" s="7" customFormat="true" ht="15" hidden="false" customHeight="false" outlineLevel="0" collapsed="false">
      <c r="A122" s="25"/>
      <c r="B122" s="11"/>
      <c r="C122" s="8" t="n">
        <v>41603</v>
      </c>
      <c r="D122" s="7" t="n">
        <v>5.2</v>
      </c>
      <c r="E122" s="18" t="n">
        <v>4.2</v>
      </c>
      <c r="F122" s="7" t="n">
        <v>6.7</v>
      </c>
      <c r="G122" s="7" t="n">
        <f aca="false">G121+D122</f>
        <v>947.400000000001</v>
      </c>
      <c r="H122" s="7" t="n">
        <f aca="false">H121+D122</f>
        <v>40.7</v>
      </c>
      <c r="I122" s="7" t="n">
        <v>0</v>
      </c>
      <c r="J122" s="7" t="n">
        <v>0</v>
      </c>
      <c r="K122" s="7" t="n">
        <f aca="false">K121+J122</f>
        <v>227.3</v>
      </c>
      <c r="L122" s="7" t="n">
        <v>0.6</v>
      </c>
      <c r="M122" s="7" t="n">
        <f aca="false">M121+L122</f>
        <v>104.2</v>
      </c>
      <c r="N122" s="14" t="n">
        <f aca="false">J122-L122</f>
        <v>-0.6</v>
      </c>
      <c r="O122" s="7" t="n">
        <f aca="false">O121+N122</f>
        <v>186.2</v>
      </c>
      <c r="P122" s="7" t="n">
        <v>83</v>
      </c>
      <c r="Q122" s="7" t="n">
        <v>1</v>
      </c>
      <c r="R122" s="15" t="n">
        <f aca="false">Q122*L122</f>
        <v>0.6</v>
      </c>
      <c r="S122" s="15" t="n">
        <f aca="false">J122-R122</f>
        <v>-0.6</v>
      </c>
      <c r="T122" s="15" t="n">
        <f aca="false">MIN(189.6,(T121+S122))</f>
        <v>168.97625</v>
      </c>
      <c r="U122" s="15" t="n">
        <f aca="false">MIN(T113:T143)</f>
        <v>164.47625</v>
      </c>
      <c r="V122" s="16" t="n">
        <v>233.5</v>
      </c>
      <c r="W122" s="7" t="n">
        <f aca="false">V122/D122</f>
        <v>44.9038461538462</v>
      </c>
      <c r="X122" s="7" t="n">
        <f aca="false">X121+V122</f>
        <v>48630.9</v>
      </c>
      <c r="Y122" s="7" t="n">
        <f aca="false">Y121+V122</f>
        <v>2395</v>
      </c>
      <c r="AA122" s="28" t="n">
        <v>8.66317111386645</v>
      </c>
    </row>
    <row r="123" s="7" customFormat="true" ht="15" hidden="false" customHeight="false" outlineLevel="0" collapsed="false">
      <c r="A123" s="25"/>
      <c r="B123" s="27" t="n">
        <v>7</v>
      </c>
      <c r="C123" s="8" t="n">
        <v>41604</v>
      </c>
      <c r="D123" s="18" t="n">
        <v>4.7</v>
      </c>
      <c r="E123" s="18" t="n">
        <v>1.5</v>
      </c>
      <c r="F123" s="7" t="n">
        <v>7.3</v>
      </c>
      <c r="G123" s="7" t="n">
        <f aca="false">G122+D123</f>
        <v>952.100000000001</v>
      </c>
      <c r="H123" s="7" t="n">
        <f aca="false">H122+D123</f>
        <v>45.4</v>
      </c>
      <c r="I123" s="26" t="s">
        <v>41</v>
      </c>
      <c r="J123" s="7" t="n">
        <v>0.5</v>
      </c>
      <c r="K123" s="7" t="n">
        <f aca="false">K122+J123</f>
        <v>227.8</v>
      </c>
      <c r="L123" s="7" t="n">
        <v>0.4</v>
      </c>
      <c r="M123" s="7" t="n">
        <f aca="false">M122+L123</f>
        <v>104.6</v>
      </c>
      <c r="N123" s="7" t="n">
        <f aca="false">J123-L123</f>
        <v>0.1</v>
      </c>
      <c r="O123" s="7" t="n">
        <f aca="false">O122+N123</f>
        <v>186.3</v>
      </c>
      <c r="P123" s="7" t="n">
        <v>84</v>
      </c>
      <c r="Q123" s="7" t="n">
        <v>1</v>
      </c>
      <c r="R123" s="15" t="n">
        <f aca="false">Q123*L123</f>
        <v>0.4</v>
      </c>
      <c r="S123" s="15" t="n">
        <f aca="false">J123-R123</f>
        <v>0.1</v>
      </c>
      <c r="T123" s="15" t="n">
        <f aca="false">MIN(189.6,(T122+S123))</f>
        <v>169.07625</v>
      </c>
      <c r="U123" s="26" t="s">
        <v>42</v>
      </c>
      <c r="V123" s="16" t="n">
        <v>276.9</v>
      </c>
      <c r="W123" s="7" t="n">
        <f aca="false">V123/D123</f>
        <v>58.9148936170213</v>
      </c>
      <c r="X123" s="7" t="n">
        <f aca="false">X122+V123</f>
        <v>48907.8</v>
      </c>
      <c r="Y123" s="7" t="n">
        <f aca="false">Y122+V123</f>
        <v>2671.9</v>
      </c>
      <c r="AA123" s="28" t="n">
        <v>8.62536812177169</v>
      </c>
    </row>
    <row r="124" s="7" customFormat="true" ht="15" hidden="false" customHeight="false" outlineLevel="0" collapsed="false">
      <c r="A124" s="25"/>
      <c r="B124" s="27" t="n">
        <v>8</v>
      </c>
      <c r="C124" s="8" t="n">
        <v>41605</v>
      </c>
      <c r="D124" s="18" t="n">
        <v>3.9</v>
      </c>
      <c r="E124" s="18" t="n">
        <v>3.1</v>
      </c>
      <c r="F124" s="7" t="n">
        <v>5.3</v>
      </c>
      <c r="G124" s="7" t="n">
        <f aca="false">G123+D124</f>
        <v>956.000000000001</v>
      </c>
      <c r="H124" s="7" t="n">
        <f aca="false">H123+D124</f>
        <v>49.3</v>
      </c>
      <c r="I124" s="7" t="n">
        <v>22</v>
      </c>
      <c r="J124" s="7" t="n">
        <v>0</v>
      </c>
      <c r="K124" s="7" t="n">
        <f aca="false">K123+J124</f>
        <v>227.8</v>
      </c>
      <c r="L124" s="7" t="n">
        <v>0.4</v>
      </c>
      <c r="M124" s="7" t="n">
        <f aca="false">M123+L124</f>
        <v>105</v>
      </c>
      <c r="N124" s="14" t="n">
        <f aca="false">J124-L124</f>
        <v>-0.4</v>
      </c>
      <c r="O124" s="7" t="n">
        <f aca="false">O123+N124</f>
        <v>185.9</v>
      </c>
      <c r="P124" s="7" t="n">
        <v>85</v>
      </c>
      <c r="Q124" s="7" t="n">
        <v>1</v>
      </c>
      <c r="R124" s="15" t="n">
        <f aca="false">Q124*L124</f>
        <v>0.4</v>
      </c>
      <c r="S124" s="15" t="n">
        <f aca="false">J124-R124</f>
        <v>-0.4</v>
      </c>
      <c r="T124" s="15" t="n">
        <f aca="false">MIN(189.6,(T123+S124))</f>
        <v>168.67625</v>
      </c>
      <c r="U124" s="15" t="n">
        <f aca="false">MAX(T113:T143)</f>
        <v>171.47625</v>
      </c>
      <c r="V124" s="16" t="n">
        <v>175.2</v>
      </c>
      <c r="W124" s="7" t="n">
        <f aca="false">V124/D124</f>
        <v>44.9230769230769</v>
      </c>
      <c r="X124" s="7" t="n">
        <f aca="false">X123+V124</f>
        <v>49083</v>
      </c>
      <c r="Y124" s="7" t="n">
        <f aca="false">Y123+V124</f>
        <v>2847.1</v>
      </c>
      <c r="AA124" s="28" t="n">
        <v>8.58868331733055</v>
      </c>
    </row>
    <row r="125" s="7" customFormat="true" ht="15" hidden="false" customHeight="false" outlineLevel="0" collapsed="false">
      <c r="A125" s="25"/>
      <c r="B125" s="11"/>
      <c r="C125" s="8" t="n">
        <v>41606</v>
      </c>
      <c r="D125" s="7" t="n">
        <v>5.3</v>
      </c>
      <c r="E125" s="18" t="n">
        <v>2.8</v>
      </c>
      <c r="F125" s="7" t="n">
        <v>6.9</v>
      </c>
      <c r="G125" s="7" t="n">
        <f aca="false">G124+D125</f>
        <v>961.300000000001</v>
      </c>
      <c r="H125" s="7" t="n">
        <f aca="false">H124+D125</f>
        <v>54.6</v>
      </c>
      <c r="I125" s="26" t="s">
        <v>43</v>
      </c>
      <c r="J125" s="7" t="n">
        <v>0.2</v>
      </c>
      <c r="K125" s="7" t="n">
        <f aca="false">K124+J125</f>
        <v>228</v>
      </c>
      <c r="L125" s="7" t="n">
        <v>0.2</v>
      </c>
      <c r="M125" s="7" t="n">
        <f aca="false">M124+L125</f>
        <v>105.2</v>
      </c>
      <c r="N125" s="7" t="n">
        <f aca="false">J125-L125</f>
        <v>0</v>
      </c>
      <c r="O125" s="7" t="n">
        <f aca="false">O124+N125</f>
        <v>185.9</v>
      </c>
      <c r="P125" s="7" t="n">
        <v>86</v>
      </c>
      <c r="Q125" s="7" t="n">
        <v>1</v>
      </c>
      <c r="R125" s="15" t="n">
        <f aca="false">Q125*L125</f>
        <v>0.2</v>
      </c>
      <c r="S125" s="15" t="n">
        <f aca="false">J125-R125</f>
        <v>0</v>
      </c>
      <c r="T125" s="15" t="n">
        <f aca="false">MIN(189.6,(T124+S125))</f>
        <v>168.67625</v>
      </c>
      <c r="U125" s="26" t="s">
        <v>44</v>
      </c>
      <c r="V125" s="16" t="n">
        <v>154.9</v>
      </c>
      <c r="W125" s="7" t="n">
        <f aca="false">V125/D125</f>
        <v>29.2264150943396</v>
      </c>
      <c r="X125" s="7" t="n">
        <f aca="false">X124+V125</f>
        <v>49237.9</v>
      </c>
      <c r="Y125" s="7" t="n">
        <f aca="false">Y124+V125</f>
        <v>3002</v>
      </c>
      <c r="AA125" s="28" t="n">
        <v>8.55314973648841</v>
      </c>
    </row>
    <row r="126" s="7" customFormat="true" ht="15" hidden="false" customHeight="false" outlineLevel="0" collapsed="false">
      <c r="A126" s="25"/>
      <c r="B126" s="11"/>
      <c r="C126" s="8" t="n">
        <v>41607</v>
      </c>
      <c r="D126" s="7" t="n">
        <v>7.2</v>
      </c>
      <c r="E126" s="7" t="n">
        <v>6.6</v>
      </c>
      <c r="F126" s="7" t="n">
        <v>8.5</v>
      </c>
      <c r="G126" s="7" t="n">
        <f aca="false">G125+D126</f>
        <v>968.500000000001</v>
      </c>
      <c r="H126" s="7" t="n">
        <f aca="false">H125+D126</f>
        <v>61.8</v>
      </c>
      <c r="I126" s="7" t="n">
        <v>127.8</v>
      </c>
      <c r="J126" s="7" t="n">
        <v>0</v>
      </c>
      <c r="K126" s="7" t="n">
        <f aca="false">K125+J126</f>
        <v>228</v>
      </c>
      <c r="L126" s="7" t="n">
        <v>0.4</v>
      </c>
      <c r="M126" s="7" t="n">
        <f aca="false">M125+L126</f>
        <v>105.6</v>
      </c>
      <c r="N126" s="14" t="n">
        <f aca="false">J126-L126</f>
        <v>-0.4</v>
      </c>
      <c r="O126" s="7" t="n">
        <f aca="false">O125+N126</f>
        <v>185.5</v>
      </c>
      <c r="P126" s="7" t="n">
        <v>87</v>
      </c>
      <c r="Q126" s="7" t="n">
        <v>1</v>
      </c>
      <c r="R126" s="15" t="n">
        <f aca="false">Q126*L126</f>
        <v>0.4</v>
      </c>
      <c r="S126" s="15" t="n">
        <f aca="false">J126-R126</f>
        <v>-0.4</v>
      </c>
      <c r="T126" s="15" t="n">
        <f aca="false">MIN(189.6,(T125+S126))</f>
        <v>168.27625</v>
      </c>
      <c r="U126" s="17" t="n">
        <f aca="false">AVERAGE(T113:T143)</f>
        <v>168.040766129032</v>
      </c>
      <c r="V126" s="16" t="n">
        <v>183.9</v>
      </c>
      <c r="W126" s="7" t="n">
        <f aca="false">V126/D126</f>
        <v>25.5416666666667</v>
      </c>
      <c r="X126" s="7" t="n">
        <f aca="false">X125+V126</f>
        <v>49421.8</v>
      </c>
      <c r="Y126" s="7" t="n">
        <f aca="false">Y125+V126</f>
        <v>3185.9</v>
      </c>
      <c r="AA126" s="28" t="n">
        <v>8.51880020463869</v>
      </c>
    </row>
    <row r="127" s="7" customFormat="true" ht="15" hidden="false" customHeight="false" outlineLevel="0" collapsed="false">
      <c r="A127" s="25"/>
      <c r="B127" s="11"/>
      <c r="C127" s="8" t="n">
        <v>41608</v>
      </c>
      <c r="D127" s="7" t="n">
        <v>6.1</v>
      </c>
      <c r="E127" s="18" t="n">
        <v>4.8</v>
      </c>
      <c r="F127" s="7" t="n">
        <v>8.5</v>
      </c>
      <c r="G127" s="7" t="n">
        <f aca="false">G126+D127</f>
        <v>974.600000000001</v>
      </c>
      <c r="H127" s="7" t="n">
        <f aca="false">H126+D127</f>
        <v>67.9</v>
      </c>
      <c r="J127" s="7" t="n">
        <v>0</v>
      </c>
      <c r="K127" s="7" t="n">
        <f aca="false">K126+J127</f>
        <v>228</v>
      </c>
      <c r="L127" s="7" t="n">
        <v>0.8</v>
      </c>
      <c r="M127" s="7" t="n">
        <f aca="false">M126+L127</f>
        <v>106.4</v>
      </c>
      <c r="N127" s="14" t="n">
        <f aca="false">J127-L127</f>
        <v>-0.8</v>
      </c>
      <c r="O127" s="7" t="n">
        <f aca="false">O126+N127</f>
        <v>184.7</v>
      </c>
      <c r="P127" s="7" t="n">
        <v>88</v>
      </c>
      <c r="Q127" s="7" t="n">
        <v>1</v>
      </c>
      <c r="R127" s="15" t="n">
        <f aca="false">Q127*L127</f>
        <v>0.8</v>
      </c>
      <c r="S127" s="15" t="n">
        <f aca="false">J127-R127</f>
        <v>-0.8</v>
      </c>
      <c r="T127" s="15" t="n">
        <f aca="false">MIN(189.6,(T126+S127))</f>
        <v>167.47625</v>
      </c>
      <c r="U127" s="26" t="s">
        <v>46</v>
      </c>
      <c r="V127" s="16" t="n">
        <v>170.9</v>
      </c>
      <c r="W127" s="7" t="n">
        <f aca="false">V127/D127</f>
        <v>28.016393442623</v>
      </c>
      <c r="X127" s="7" t="n">
        <f aca="false">X126+V127</f>
        <v>49592.7</v>
      </c>
      <c r="Y127" s="7" t="n">
        <f aca="false">Y126+V127</f>
        <v>3356.8</v>
      </c>
      <c r="AA127" s="28" t="n">
        <v>8.48566724650208</v>
      </c>
    </row>
    <row r="128" s="7" customFormat="true" ht="15" hidden="false" customHeight="false" outlineLevel="0" collapsed="false">
      <c r="A128" s="25"/>
      <c r="B128" s="11"/>
      <c r="C128" s="8" t="n">
        <v>41609</v>
      </c>
      <c r="D128" s="7" t="n">
        <v>5.4</v>
      </c>
      <c r="E128" s="18" t="n">
        <v>3.6</v>
      </c>
      <c r="F128" s="7" t="n">
        <v>8.4</v>
      </c>
      <c r="G128" s="7" t="n">
        <f aca="false">G127+D128</f>
        <v>980.000000000001</v>
      </c>
      <c r="H128" s="7" t="n">
        <f aca="false">H127+D128</f>
        <v>73.3</v>
      </c>
      <c r="J128" s="7" t="n">
        <v>0</v>
      </c>
      <c r="K128" s="7" t="n">
        <f aca="false">K127+J128</f>
        <v>228</v>
      </c>
      <c r="L128" s="7" t="n">
        <v>0.7</v>
      </c>
      <c r="M128" s="7" t="n">
        <f aca="false">M127+L128</f>
        <v>107.1</v>
      </c>
      <c r="N128" s="14" t="n">
        <f aca="false">J128-L128</f>
        <v>-0.7</v>
      </c>
      <c r="O128" s="7" t="n">
        <f aca="false">O127+N128</f>
        <v>184</v>
      </c>
      <c r="P128" s="7" t="n">
        <v>89</v>
      </c>
      <c r="Q128" s="7" t="n">
        <v>1</v>
      </c>
      <c r="R128" s="15" t="n">
        <f aca="false">Q128*L128</f>
        <v>0.7</v>
      </c>
      <c r="S128" s="15" t="n">
        <f aca="false">J128-R128</f>
        <v>-0.7</v>
      </c>
      <c r="T128" s="15" t="n">
        <f aca="false">MIN(189.6,(T127+S128))</f>
        <v>166.77625</v>
      </c>
      <c r="U128" s="7" t="n">
        <v>29</v>
      </c>
      <c r="V128" s="16" t="n">
        <v>384</v>
      </c>
      <c r="W128" s="7" t="n">
        <f aca="false">V128/D128</f>
        <v>71.1111111111111</v>
      </c>
      <c r="X128" s="7" t="n">
        <f aca="false">X127+V128</f>
        <v>49976.7</v>
      </c>
      <c r="Y128" s="7" t="n">
        <f aca="false">Y127+V128</f>
        <v>3740.8</v>
      </c>
      <c r="AA128" s="28" t="n">
        <v>8.45378299286625</v>
      </c>
    </row>
    <row r="129" s="7" customFormat="true" ht="15" hidden="false" customHeight="false" outlineLevel="0" collapsed="false">
      <c r="A129" s="25"/>
      <c r="B129" s="11"/>
      <c r="C129" s="8" t="n">
        <v>41610</v>
      </c>
      <c r="D129" s="7" t="n">
        <v>5.2</v>
      </c>
      <c r="E129" s="18" t="n">
        <v>3.9</v>
      </c>
      <c r="F129" s="7" t="n">
        <v>7.8</v>
      </c>
      <c r="G129" s="7" t="n">
        <f aca="false">G128+D129</f>
        <v>985.200000000001</v>
      </c>
      <c r="H129" s="7" t="n">
        <f aca="false">H128+D129</f>
        <v>78.5</v>
      </c>
      <c r="J129" s="7" t="n">
        <v>0</v>
      </c>
      <c r="K129" s="7" t="n">
        <f aca="false">K128+J129</f>
        <v>228</v>
      </c>
      <c r="L129" s="7" t="n">
        <v>0.8</v>
      </c>
      <c r="M129" s="7" t="n">
        <f aca="false">M128+L129</f>
        <v>107.9</v>
      </c>
      <c r="N129" s="14" t="n">
        <f aca="false">J129-L129</f>
        <v>-0.8</v>
      </c>
      <c r="O129" s="7" t="n">
        <f aca="false">O128+N129</f>
        <v>183.2</v>
      </c>
      <c r="P129" s="7" t="n">
        <v>90</v>
      </c>
      <c r="Q129" s="7" t="n">
        <v>1</v>
      </c>
      <c r="R129" s="15" t="n">
        <f aca="false">Q129*L129</f>
        <v>0.8</v>
      </c>
      <c r="S129" s="15" t="n">
        <f aca="false">J129-R129</f>
        <v>-0.8</v>
      </c>
      <c r="T129" s="15" t="n">
        <f aca="false">MIN(189.6,(T128+S129))</f>
        <v>165.97625</v>
      </c>
      <c r="V129" s="16" t="n">
        <v>337.9</v>
      </c>
      <c r="W129" s="7" t="n">
        <f aca="false">V129/D129</f>
        <v>64.9807692307692</v>
      </c>
      <c r="X129" s="7" t="n">
        <f aca="false">X128+V129</f>
        <v>50314.6</v>
      </c>
      <c r="Y129" s="7" t="n">
        <f aca="false">Y128+V129</f>
        <v>4078.7</v>
      </c>
      <c r="AA129" s="28" t="n">
        <v>8.42317908458435</v>
      </c>
    </row>
    <row r="130" s="7" customFormat="true" ht="15" hidden="false" customHeight="false" outlineLevel="0" collapsed="false">
      <c r="A130" s="25"/>
      <c r="B130" s="27" t="n">
        <v>9</v>
      </c>
      <c r="C130" s="8" t="n">
        <v>41611</v>
      </c>
      <c r="D130" s="18" t="n">
        <v>0.5</v>
      </c>
      <c r="E130" s="19" t="n">
        <v>-1.7</v>
      </c>
      <c r="F130" s="18" t="n">
        <v>3.9</v>
      </c>
      <c r="G130" s="7" t="n">
        <f aca="false">G129+D130</f>
        <v>985.700000000001</v>
      </c>
      <c r="H130" s="7" t="n">
        <f aca="false">H129+D130</f>
        <v>79</v>
      </c>
      <c r="J130" s="7" t="n">
        <v>0</v>
      </c>
      <c r="K130" s="7" t="n">
        <f aca="false">K129+J130</f>
        <v>228</v>
      </c>
      <c r="L130" s="7" t="n">
        <v>0.6</v>
      </c>
      <c r="M130" s="7" t="n">
        <f aca="false">M129+L130</f>
        <v>108.5</v>
      </c>
      <c r="N130" s="14" t="n">
        <f aca="false">J130-L130</f>
        <v>-0.6</v>
      </c>
      <c r="O130" s="7" t="n">
        <f aca="false">O129+N130</f>
        <v>182.6</v>
      </c>
      <c r="P130" s="7" t="n">
        <v>91</v>
      </c>
      <c r="Q130" s="7" t="n">
        <v>1</v>
      </c>
      <c r="R130" s="15" t="n">
        <f aca="false">Q130*L130</f>
        <v>0.6</v>
      </c>
      <c r="S130" s="15" t="n">
        <f aca="false">J130-R130</f>
        <v>-0.6</v>
      </c>
      <c r="T130" s="15" t="n">
        <f aca="false">MIN(189.6,(T129+S130))</f>
        <v>165.37625</v>
      </c>
      <c r="U130" s="15" t="n">
        <f aca="false">(U126*100)/189.6</f>
        <v>88.6290960596162</v>
      </c>
      <c r="V130" s="16" t="n">
        <v>465.1</v>
      </c>
      <c r="W130" s="7" t="n">
        <f aca="false">V130/D130</f>
        <v>930.2</v>
      </c>
      <c r="X130" s="7" t="n">
        <f aca="false">X129+V130</f>
        <v>50779.7</v>
      </c>
      <c r="Y130" s="7" t="n">
        <f aca="false">Y129+V130</f>
        <v>4543.8</v>
      </c>
      <c r="AA130" s="28" t="n">
        <v>8.39388657428115</v>
      </c>
    </row>
    <row r="131" s="7" customFormat="true" ht="15" hidden="false" customHeight="false" outlineLevel="0" collapsed="false">
      <c r="A131" s="25"/>
      <c r="B131" s="27" t="n">
        <v>10</v>
      </c>
      <c r="C131" s="8" t="n">
        <v>41612</v>
      </c>
      <c r="D131" s="18" t="n">
        <v>4.9</v>
      </c>
      <c r="E131" s="19" t="n">
        <v>-0.2</v>
      </c>
      <c r="F131" s="7" t="n">
        <v>6.9</v>
      </c>
      <c r="G131" s="7" t="n">
        <f aca="false">G130+D131</f>
        <v>990.600000000001</v>
      </c>
      <c r="H131" s="7" t="n">
        <f aca="false">H130+D131</f>
        <v>83.9</v>
      </c>
      <c r="J131" s="7" t="n">
        <v>0.4</v>
      </c>
      <c r="K131" s="7" t="n">
        <f aca="false">K130+J131</f>
        <v>228.4</v>
      </c>
      <c r="L131" s="7" t="n">
        <v>0.2</v>
      </c>
      <c r="M131" s="7" t="n">
        <f aca="false">M130+L131</f>
        <v>108.7</v>
      </c>
      <c r="N131" s="7" t="n">
        <f aca="false">J131-L131</f>
        <v>0.2</v>
      </c>
      <c r="O131" s="7" t="n">
        <f aca="false">O130+N131</f>
        <v>182.8</v>
      </c>
      <c r="P131" s="7" t="n">
        <v>92</v>
      </c>
      <c r="Q131" s="7" t="n">
        <v>1</v>
      </c>
      <c r="R131" s="15" t="n">
        <f aca="false">Q131*L131</f>
        <v>0.2</v>
      </c>
      <c r="S131" s="15" t="n">
        <f aca="false">J131-R131</f>
        <v>0.2</v>
      </c>
      <c r="T131" s="15" t="n">
        <f aca="false">MIN(189.6,(T130+S131))</f>
        <v>165.57625</v>
      </c>
      <c r="V131" s="16" t="n">
        <v>177.8</v>
      </c>
      <c r="W131" s="7" t="n">
        <f aca="false">V131/D131</f>
        <v>36.2857142857143</v>
      </c>
      <c r="X131" s="7" t="n">
        <f aca="false">X130+V131</f>
        <v>50957.5</v>
      </c>
      <c r="Y131" s="7" t="n">
        <f aca="false">Y130+V131</f>
        <v>4721.6</v>
      </c>
      <c r="AA131" s="28" t="n">
        <v>8.36593582626487</v>
      </c>
    </row>
    <row r="132" s="7" customFormat="true" ht="15" hidden="false" customHeight="false" outlineLevel="0" collapsed="false">
      <c r="A132" s="25"/>
      <c r="B132" s="27" t="n">
        <v>11</v>
      </c>
      <c r="C132" s="8" t="n">
        <v>41613</v>
      </c>
      <c r="D132" s="18" t="n">
        <v>4.2</v>
      </c>
      <c r="E132" s="19" t="n">
        <v>-0.7</v>
      </c>
      <c r="F132" s="7" t="n">
        <v>7.9</v>
      </c>
      <c r="G132" s="7" t="n">
        <f aca="false">G131+D132</f>
        <v>994.800000000001</v>
      </c>
      <c r="H132" s="7" t="n">
        <f aca="false">H131+D132</f>
        <v>88.1</v>
      </c>
      <c r="J132" s="7" t="n">
        <v>1.9</v>
      </c>
      <c r="K132" s="7" t="n">
        <f aca="false">K131+J132</f>
        <v>230.3</v>
      </c>
      <c r="L132" s="7" t="n">
        <v>0.4</v>
      </c>
      <c r="M132" s="7" t="n">
        <f aca="false">M131+L132</f>
        <v>109.1</v>
      </c>
      <c r="N132" s="7" t="n">
        <f aca="false">J132-L132</f>
        <v>1.5</v>
      </c>
      <c r="O132" s="7" t="n">
        <f aca="false">O131+N132</f>
        <v>184.3</v>
      </c>
      <c r="P132" s="7" t="n">
        <v>93</v>
      </c>
      <c r="Q132" s="7" t="n">
        <v>1</v>
      </c>
      <c r="R132" s="15" t="n">
        <f aca="false">Q132*L132</f>
        <v>0.4</v>
      </c>
      <c r="S132" s="15" t="n">
        <f aca="false">J132-R132</f>
        <v>1.5</v>
      </c>
      <c r="T132" s="15" t="n">
        <f aca="false">MIN(189.6,(T131+S132))</f>
        <v>167.07625</v>
      </c>
      <c r="V132" s="16" t="n">
        <v>389.7</v>
      </c>
      <c r="W132" s="7" t="n">
        <f aca="false">V132/D132</f>
        <v>92.7857142857143</v>
      </c>
      <c r="X132" s="7" t="n">
        <f aca="false">X131+V132</f>
        <v>51347.2</v>
      </c>
      <c r="Y132" s="7" t="n">
        <f aca="false">Y131+V132</f>
        <v>5111.3</v>
      </c>
      <c r="AA132" s="28" t="n">
        <v>8.33935641519034</v>
      </c>
    </row>
    <row r="133" s="7" customFormat="true" ht="15" hidden="false" customHeight="false" outlineLevel="0" collapsed="false">
      <c r="A133" s="25"/>
      <c r="B133" s="27" t="n">
        <v>12</v>
      </c>
      <c r="C133" s="8" t="n">
        <v>41614</v>
      </c>
      <c r="D133" s="18" t="n">
        <v>4.2</v>
      </c>
      <c r="E133" s="18" t="n">
        <v>2.2</v>
      </c>
      <c r="F133" s="7" t="n">
        <v>6.1</v>
      </c>
      <c r="G133" s="7" t="n">
        <f aca="false">G132+D133</f>
        <v>999.000000000001</v>
      </c>
      <c r="H133" s="7" t="n">
        <f aca="false">H132+D133</f>
        <v>92.3</v>
      </c>
      <c r="J133" s="7" t="n">
        <v>0.3</v>
      </c>
      <c r="K133" s="7" t="n">
        <f aca="false">K132+J133</f>
        <v>230.6</v>
      </c>
      <c r="L133" s="7" t="n">
        <v>0.8</v>
      </c>
      <c r="M133" s="7" t="n">
        <f aca="false">M132+L133</f>
        <v>109.9</v>
      </c>
      <c r="N133" s="14" t="n">
        <f aca="false">J133-L133</f>
        <v>-0.5</v>
      </c>
      <c r="O133" s="7" t="n">
        <f aca="false">O132+N133</f>
        <v>183.8</v>
      </c>
      <c r="P133" s="7" t="n">
        <v>94</v>
      </c>
      <c r="Q133" s="7" t="n">
        <v>1</v>
      </c>
      <c r="R133" s="15" t="n">
        <f aca="false">Q133*L133</f>
        <v>0.8</v>
      </c>
      <c r="S133" s="15" t="n">
        <f aca="false">J133-R133</f>
        <v>-0.5</v>
      </c>
      <c r="T133" s="15" t="n">
        <f aca="false">MIN(189.6,(T132+S133))</f>
        <v>166.57625</v>
      </c>
      <c r="V133" s="16" t="n">
        <v>367.3</v>
      </c>
      <c r="W133" s="7" t="n">
        <f aca="false">V133/D133</f>
        <v>87.452380952381</v>
      </c>
      <c r="X133" s="7" t="n">
        <f aca="false">X132+V133</f>
        <v>51714.5</v>
      </c>
      <c r="Y133" s="7" t="n">
        <f aca="false">Y132+V133</f>
        <v>5478.6</v>
      </c>
      <c r="AA133" s="28" t="n">
        <v>8.31417702406231</v>
      </c>
    </row>
    <row r="134" s="7" customFormat="true" ht="15" hidden="false" customHeight="false" outlineLevel="0" collapsed="false">
      <c r="A134" s="25"/>
      <c r="B134" s="11"/>
      <c r="C134" s="8" t="n">
        <v>41615</v>
      </c>
      <c r="D134" s="7" t="n">
        <v>6.2</v>
      </c>
      <c r="E134" s="18" t="n">
        <v>4.3</v>
      </c>
      <c r="F134" s="7" t="n">
        <v>7.4</v>
      </c>
      <c r="G134" s="7" t="n">
        <f aca="false">G133+D134</f>
        <v>1005.2</v>
      </c>
      <c r="H134" s="7" t="n">
        <f aca="false">H133+D134</f>
        <v>98.5</v>
      </c>
      <c r="J134" s="7" t="n">
        <v>0.5</v>
      </c>
      <c r="K134" s="7" t="n">
        <f aca="false">K133+J134</f>
        <v>231.1</v>
      </c>
      <c r="L134" s="7" t="n">
        <v>0.2</v>
      </c>
      <c r="M134" s="7" t="n">
        <f aca="false">M133+L134</f>
        <v>110.1</v>
      </c>
      <c r="N134" s="7" t="n">
        <f aca="false">J134-L134</f>
        <v>0.3</v>
      </c>
      <c r="O134" s="7" t="n">
        <f aca="false">O133+N134</f>
        <v>184.1</v>
      </c>
      <c r="P134" s="7" t="n">
        <v>95</v>
      </c>
      <c r="Q134" s="7" t="n">
        <v>1</v>
      </c>
      <c r="R134" s="15" t="n">
        <f aca="false">Q134*L134</f>
        <v>0.2</v>
      </c>
      <c r="S134" s="15" t="n">
        <f aca="false">J134-R134</f>
        <v>0.3</v>
      </c>
      <c r="T134" s="15" t="n">
        <f aca="false">MIN(189.6,(T133+S134))</f>
        <v>166.87625</v>
      </c>
      <c r="V134" s="16" t="n">
        <v>133.7</v>
      </c>
      <c r="W134" s="7" t="n">
        <f aca="false">V134/D134</f>
        <v>21.5645161290323</v>
      </c>
      <c r="X134" s="7" t="n">
        <f aca="false">X133+V134</f>
        <v>51848.2</v>
      </c>
      <c r="Y134" s="7" t="n">
        <f aca="false">Y133+V134</f>
        <v>5612.3</v>
      </c>
      <c r="AA134" s="28" t="n">
        <v>8.2904253422086</v>
      </c>
    </row>
    <row r="135" s="7" customFormat="true" ht="15" hidden="false" customHeight="false" outlineLevel="0" collapsed="false">
      <c r="A135" s="25"/>
      <c r="B135" s="11"/>
      <c r="C135" s="8" t="n">
        <v>41616</v>
      </c>
      <c r="D135" s="7" t="n">
        <v>5.7</v>
      </c>
      <c r="E135" s="18" t="n">
        <v>4.4</v>
      </c>
      <c r="F135" s="7" t="n">
        <v>8.4</v>
      </c>
      <c r="G135" s="7" t="n">
        <f aca="false">G134+D135</f>
        <v>1010.9</v>
      </c>
      <c r="H135" s="7" t="n">
        <f aca="false">H134+D135</f>
        <v>104.2</v>
      </c>
      <c r="J135" s="7" t="n">
        <v>0.4</v>
      </c>
      <c r="K135" s="7" t="n">
        <f aca="false">K134+J135</f>
        <v>231.5</v>
      </c>
      <c r="L135" s="7" t="n">
        <v>0.6</v>
      </c>
      <c r="M135" s="7" t="n">
        <f aca="false">M134+L135</f>
        <v>110.7</v>
      </c>
      <c r="N135" s="14" t="n">
        <f aca="false">J135-L135</f>
        <v>-0.2</v>
      </c>
      <c r="O135" s="7" t="n">
        <f aca="false">O134+N135</f>
        <v>183.9</v>
      </c>
      <c r="P135" s="7" t="n">
        <v>96</v>
      </c>
      <c r="Q135" s="7" t="n">
        <v>1</v>
      </c>
      <c r="R135" s="15" t="n">
        <f aca="false">Q135*L135</f>
        <v>0.6</v>
      </c>
      <c r="S135" s="15" t="n">
        <f aca="false">J135-R135</f>
        <v>-0.2</v>
      </c>
      <c r="T135" s="15" t="n">
        <f aca="false">MIN(189.6,(T134+S135))</f>
        <v>166.67625</v>
      </c>
      <c r="V135" s="16" t="n">
        <v>262.9</v>
      </c>
      <c r="W135" s="7" t="n">
        <f aca="false">V135/D135</f>
        <v>46.1228070175439</v>
      </c>
      <c r="X135" s="7" t="n">
        <f aca="false">X134+V135</f>
        <v>52111.1</v>
      </c>
      <c r="Y135" s="7" t="n">
        <f aca="false">Y134+V135</f>
        <v>5875.2</v>
      </c>
      <c r="AA135" s="28" t="n">
        <v>8.26812796388679</v>
      </c>
    </row>
    <row r="136" s="7" customFormat="true" ht="15" hidden="false" customHeight="false" outlineLevel="0" collapsed="false">
      <c r="A136" s="25"/>
      <c r="B136" s="27" t="n">
        <v>13</v>
      </c>
      <c r="C136" s="8" t="n">
        <v>41617</v>
      </c>
      <c r="D136" s="18" t="n">
        <v>2.9</v>
      </c>
      <c r="E136" s="18" t="n">
        <v>1.1</v>
      </c>
      <c r="F136" s="7" t="n">
        <v>7.3</v>
      </c>
      <c r="G136" s="7" t="n">
        <f aca="false">G135+D136</f>
        <v>1013.8</v>
      </c>
      <c r="H136" s="7" t="n">
        <f aca="false">H135+D136</f>
        <v>107.1</v>
      </c>
      <c r="J136" s="7" t="n">
        <v>0</v>
      </c>
      <c r="K136" s="7" t="n">
        <f aca="false">K135+J136</f>
        <v>231.5</v>
      </c>
      <c r="L136" s="7" t="n">
        <v>0.8</v>
      </c>
      <c r="M136" s="7" t="n">
        <f aca="false">M135+L136</f>
        <v>111.5</v>
      </c>
      <c r="N136" s="14" t="n">
        <f aca="false">J136-L136</f>
        <v>-0.8</v>
      </c>
      <c r="O136" s="7" t="n">
        <f aca="false">O135+N136</f>
        <v>183.1</v>
      </c>
      <c r="P136" s="7" t="n">
        <v>97</v>
      </c>
      <c r="Q136" s="7" t="n">
        <v>1</v>
      </c>
      <c r="R136" s="15" t="n">
        <f aca="false">Q136*L136</f>
        <v>0.8</v>
      </c>
      <c r="S136" s="15" t="n">
        <f aca="false">J136-R136</f>
        <v>-0.8</v>
      </c>
      <c r="T136" s="15" t="n">
        <f aca="false">MIN(189.6,(T135+S136))</f>
        <v>165.87625</v>
      </c>
      <c r="V136" s="16" t="n">
        <v>423.8</v>
      </c>
      <c r="W136" s="7" t="n">
        <f aca="false">V136/D136</f>
        <v>146.137931034483</v>
      </c>
      <c r="X136" s="7" t="n">
        <f aca="false">X135+V136</f>
        <v>52534.9</v>
      </c>
      <c r="Y136" s="7" t="n">
        <f aca="false">Y135+V136</f>
        <v>6299</v>
      </c>
      <c r="AA136" s="28" t="n">
        <v>8.24731028821774</v>
      </c>
    </row>
    <row r="137" s="7" customFormat="true" ht="15" hidden="false" customHeight="false" outlineLevel="0" collapsed="false">
      <c r="A137" s="25"/>
      <c r="B137" s="27" t="n">
        <v>14</v>
      </c>
      <c r="C137" s="8" t="n">
        <v>41618</v>
      </c>
      <c r="D137" s="18" t="n">
        <v>0.6</v>
      </c>
      <c r="E137" s="19" t="n">
        <v>-2.3</v>
      </c>
      <c r="F137" s="18" t="n">
        <v>4.8</v>
      </c>
      <c r="G137" s="7" t="n">
        <f aca="false">G136+D137</f>
        <v>1014.4</v>
      </c>
      <c r="H137" s="7" t="n">
        <f aca="false">H136+D137</f>
        <v>107.7</v>
      </c>
      <c r="J137" s="7" t="n">
        <v>0.2</v>
      </c>
      <c r="K137" s="7" t="n">
        <f aca="false">K136+J137</f>
        <v>231.7</v>
      </c>
      <c r="L137" s="7" t="n">
        <v>0.7</v>
      </c>
      <c r="M137" s="7" t="n">
        <f aca="false">M136+L137</f>
        <v>112.2</v>
      </c>
      <c r="N137" s="14" t="n">
        <f aca="false">J137-L137</f>
        <v>-0.5</v>
      </c>
      <c r="O137" s="7" t="n">
        <f aca="false">O136+N137</f>
        <v>182.6</v>
      </c>
      <c r="P137" s="7" t="n">
        <v>98</v>
      </c>
      <c r="Q137" s="7" t="n">
        <v>1</v>
      </c>
      <c r="R137" s="15" t="n">
        <f aca="false">Q137*L137</f>
        <v>0.7</v>
      </c>
      <c r="S137" s="15" t="n">
        <f aca="false">J137-R137</f>
        <v>-0.5</v>
      </c>
      <c r="T137" s="15" t="n">
        <f aca="false">MIN(189.6,(T136+S137))</f>
        <v>165.37625</v>
      </c>
      <c r="V137" s="16" t="n">
        <v>452.4</v>
      </c>
      <c r="W137" s="7" t="n">
        <f aca="false">V137/D137</f>
        <v>754</v>
      </c>
      <c r="X137" s="7" t="n">
        <f aca="false">X136+V137</f>
        <v>52987.3</v>
      </c>
      <c r="Y137" s="7" t="n">
        <f aca="false">Y136+V137</f>
        <v>6751.4</v>
      </c>
      <c r="AA137" s="28" t="n">
        <v>8.22799642116085</v>
      </c>
    </row>
    <row r="138" s="7" customFormat="true" ht="15" hidden="false" customHeight="false" outlineLevel="0" collapsed="false">
      <c r="A138" s="25"/>
      <c r="B138" s="27" t="n">
        <v>15</v>
      </c>
      <c r="C138" s="8" t="n">
        <v>41619</v>
      </c>
      <c r="D138" s="18" t="n">
        <v>0</v>
      </c>
      <c r="E138" s="19" t="n">
        <v>-2.1</v>
      </c>
      <c r="F138" s="18" t="n">
        <v>3.7</v>
      </c>
      <c r="G138" s="7" t="n">
        <f aca="false">G137+D138</f>
        <v>1014.4</v>
      </c>
      <c r="H138" s="7" t="n">
        <f aca="false">H137+D138</f>
        <v>107.7</v>
      </c>
      <c r="J138" s="7" t="n">
        <v>0</v>
      </c>
      <c r="K138" s="7" t="n">
        <f aca="false">K137+J138</f>
        <v>231.7</v>
      </c>
      <c r="L138" s="7" t="n">
        <v>0.7</v>
      </c>
      <c r="M138" s="7" t="n">
        <f aca="false">M137+L138</f>
        <v>112.9</v>
      </c>
      <c r="N138" s="14" t="n">
        <f aca="false">J138-L138</f>
        <v>-0.7</v>
      </c>
      <c r="O138" s="7" t="n">
        <f aca="false">O137+N138</f>
        <v>181.9</v>
      </c>
      <c r="P138" s="7" t="n">
        <v>99</v>
      </c>
      <c r="Q138" s="7" t="n">
        <v>1</v>
      </c>
      <c r="R138" s="15" t="n">
        <f aca="false">Q138*L138</f>
        <v>0.7</v>
      </c>
      <c r="S138" s="15" t="n">
        <f aca="false">J138-R138</f>
        <v>-0.7</v>
      </c>
      <c r="T138" s="15" t="n">
        <f aca="false">MIN(189.6,(T137+S138))</f>
        <v>164.67625</v>
      </c>
      <c r="V138" s="16" t="n">
        <v>413.1</v>
      </c>
      <c r="W138" s="7" t="e">
        <f aca="false">V138/D138</f>
        <v>#DIV/0!</v>
      </c>
      <c r="X138" s="7" t="n">
        <f aca="false">X137+V138</f>
        <v>53400.4</v>
      </c>
      <c r="Y138" s="7" t="n">
        <f aca="false">Y137+V138</f>
        <v>7164.5</v>
      </c>
      <c r="AA138" s="28" t="n">
        <v>8.21020908026093</v>
      </c>
    </row>
    <row r="139" s="7" customFormat="true" ht="15" hidden="false" customHeight="false" outlineLevel="0" collapsed="false">
      <c r="A139" s="25"/>
      <c r="B139" s="27" t="n">
        <v>16</v>
      </c>
      <c r="C139" s="8" t="n">
        <v>41620</v>
      </c>
      <c r="D139" s="19" t="n">
        <v>-0.9</v>
      </c>
      <c r="E139" s="19" t="n">
        <v>-2.8</v>
      </c>
      <c r="F139" s="18" t="n">
        <v>0.9</v>
      </c>
      <c r="G139" s="7" t="n">
        <v>1014.4</v>
      </c>
      <c r="H139" s="7" t="n">
        <v>107.7</v>
      </c>
      <c r="J139" s="7" t="n">
        <v>0.1</v>
      </c>
      <c r="K139" s="7" t="n">
        <f aca="false">K138+J139</f>
        <v>231.8</v>
      </c>
      <c r="L139" s="7" t="n">
        <v>0.3</v>
      </c>
      <c r="M139" s="7" t="n">
        <f aca="false">M138+L139</f>
        <v>113.2</v>
      </c>
      <c r="N139" s="14" t="n">
        <f aca="false">J139-L139</f>
        <v>-0.2</v>
      </c>
      <c r="O139" s="7" t="n">
        <f aca="false">O138+N139</f>
        <v>181.7</v>
      </c>
      <c r="P139" s="7" t="n">
        <v>100</v>
      </c>
      <c r="Q139" s="7" t="n">
        <v>1</v>
      </c>
      <c r="R139" s="15" t="n">
        <f aca="false">Q139*L139</f>
        <v>0.3</v>
      </c>
      <c r="S139" s="15" t="n">
        <f aca="false">J139-R139</f>
        <v>-0.2</v>
      </c>
      <c r="T139" s="15" t="n">
        <f aca="false">MIN(189.6,(T138+S139))</f>
        <v>164.47625</v>
      </c>
      <c r="V139" s="16" t="n">
        <v>252.9</v>
      </c>
      <c r="W139" s="7" t="n">
        <f aca="false">V139/D139</f>
        <v>-281</v>
      </c>
      <c r="X139" s="7" t="n">
        <f aca="false">X138+V139</f>
        <v>53653.3</v>
      </c>
      <c r="Y139" s="7" t="n">
        <f aca="false">Y138+V139</f>
        <v>7417.4</v>
      </c>
      <c r="AA139" s="28" t="n">
        <v>8.19396950290205</v>
      </c>
    </row>
    <row r="140" s="7" customFormat="true" ht="15" hidden="false" customHeight="false" outlineLevel="0" collapsed="false">
      <c r="A140" s="25"/>
      <c r="B140" s="27" t="n">
        <v>17</v>
      </c>
      <c r="C140" s="8" t="n">
        <v>41621</v>
      </c>
      <c r="D140" s="18" t="n">
        <v>1.2</v>
      </c>
      <c r="E140" s="19" t="n">
        <v>-2.1</v>
      </c>
      <c r="F140" s="18" t="n">
        <v>3.7</v>
      </c>
      <c r="G140" s="7" t="n">
        <f aca="false">G139+D140</f>
        <v>1015.6</v>
      </c>
      <c r="H140" s="7" t="n">
        <f aca="false">H139+D140</f>
        <v>108.9</v>
      </c>
      <c r="J140" s="7" t="n">
        <v>4.2</v>
      </c>
      <c r="K140" s="7" t="n">
        <f aca="false">K139+J140</f>
        <v>236</v>
      </c>
      <c r="L140" s="7" t="n">
        <v>0.3</v>
      </c>
      <c r="M140" s="7" t="n">
        <f aca="false">M139+L140</f>
        <v>113.5</v>
      </c>
      <c r="N140" s="7" t="n">
        <f aca="false">J140-L140</f>
        <v>3.9</v>
      </c>
      <c r="O140" s="7" t="n">
        <f aca="false">O139+N140</f>
        <v>185.6</v>
      </c>
      <c r="P140" s="7" t="n">
        <v>101</v>
      </c>
      <c r="Q140" s="7" t="n">
        <v>1</v>
      </c>
      <c r="R140" s="15" t="n">
        <f aca="false">Q140*L140</f>
        <v>0.3</v>
      </c>
      <c r="S140" s="15" t="n">
        <f aca="false">J140-R140</f>
        <v>3.9</v>
      </c>
      <c r="T140" s="15" t="n">
        <f aca="false">MIN(189.6,(T139+S140))</f>
        <v>168.37625</v>
      </c>
      <c r="V140" s="16" t="n">
        <v>275.5</v>
      </c>
      <c r="W140" s="7" t="n">
        <f aca="false">V140/D140</f>
        <v>229.583333333333</v>
      </c>
      <c r="X140" s="7" t="n">
        <f aca="false">X139+V140</f>
        <v>53928.8</v>
      </c>
      <c r="Y140" s="7" t="n">
        <f aca="false">Y139+V140</f>
        <v>7692.9</v>
      </c>
      <c r="AA140" s="28" t="n">
        <v>8.17929735880139</v>
      </c>
    </row>
    <row r="141" s="7" customFormat="true" ht="15" hidden="false" customHeight="false" outlineLevel="0" collapsed="false">
      <c r="A141" s="25"/>
      <c r="B141" s="11"/>
      <c r="C141" s="8" t="n">
        <v>41622</v>
      </c>
      <c r="D141" s="7" t="n">
        <v>5.7</v>
      </c>
      <c r="E141" s="18" t="n">
        <v>2.6</v>
      </c>
      <c r="F141" s="7" t="n">
        <v>7.9</v>
      </c>
      <c r="G141" s="7" t="n">
        <f aca="false">G140+D141</f>
        <v>1021.3</v>
      </c>
      <c r="H141" s="7" t="n">
        <f aca="false">H140+D141</f>
        <v>114.6</v>
      </c>
      <c r="J141" s="7" t="n">
        <v>0.4</v>
      </c>
      <c r="K141" s="7" t="n">
        <f aca="false">K140+J141</f>
        <v>236.4</v>
      </c>
      <c r="L141" s="7" t="n">
        <v>0.4</v>
      </c>
      <c r="M141" s="7" t="n">
        <f aca="false">M140+L141</f>
        <v>113.9</v>
      </c>
      <c r="N141" s="7" t="n">
        <f aca="false">J141-L141</f>
        <v>0</v>
      </c>
      <c r="O141" s="7" t="n">
        <f aca="false">O140+N141</f>
        <v>185.6</v>
      </c>
      <c r="P141" s="7" t="n">
        <v>102</v>
      </c>
      <c r="Q141" s="7" t="n">
        <v>1</v>
      </c>
      <c r="R141" s="15" t="n">
        <f aca="false">Q141*L141</f>
        <v>0.4</v>
      </c>
      <c r="S141" s="15" t="n">
        <f aca="false">J141-R141</f>
        <v>0</v>
      </c>
      <c r="T141" s="15" t="n">
        <f aca="false">MIN(189.6,(T140+S141))</f>
        <v>168.37625</v>
      </c>
      <c r="V141" s="16" t="n">
        <v>360.7</v>
      </c>
      <c r="W141" s="7" t="n">
        <f aca="false">V141/D141</f>
        <v>63.280701754386</v>
      </c>
      <c r="X141" s="7" t="n">
        <f aca="false">X140+V141</f>
        <v>54289.5</v>
      </c>
      <c r="Y141" s="7" t="n">
        <f aca="false">Y140+V141</f>
        <v>8053.6</v>
      </c>
      <c r="AA141" s="28" t="n">
        <v>8.16621066746338</v>
      </c>
    </row>
    <row r="142" s="7" customFormat="true" ht="15" hidden="false" customHeight="false" outlineLevel="0" collapsed="false">
      <c r="A142" s="25"/>
      <c r="B142" s="11"/>
      <c r="C142" s="8" t="n">
        <v>41623</v>
      </c>
      <c r="D142" s="7" t="n">
        <v>6.6</v>
      </c>
      <c r="E142" s="7" t="n">
        <v>5.9</v>
      </c>
      <c r="F142" s="7" t="n">
        <v>7.9</v>
      </c>
      <c r="G142" s="7" t="n">
        <f aca="false">G141+D142</f>
        <v>1027.9</v>
      </c>
      <c r="H142" s="7" t="n">
        <f aca="false">H141+D142</f>
        <v>121.2</v>
      </c>
      <c r="J142" s="7" t="n">
        <v>0</v>
      </c>
      <c r="K142" s="7" t="n">
        <f aca="false">K141+J142</f>
        <v>236.4</v>
      </c>
      <c r="L142" s="7" t="n">
        <v>1.2</v>
      </c>
      <c r="M142" s="7" t="n">
        <f aca="false">M141+L142</f>
        <v>115.1</v>
      </c>
      <c r="N142" s="14" t="n">
        <f aca="false">J142-L142</f>
        <v>-1.2</v>
      </c>
      <c r="O142" s="7" t="n">
        <f aca="false">O141+N142</f>
        <v>184.4</v>
      </c>
      <c r="P142" s="7" t="n">
        <v>103</v>
      </c>
      <c r="Q142" s="7" t="n">
        <v>1</v>
      </c>
      <c r="R142" s="15" t="n">
        <f aca="false">Q142*L142</f>
        <v>1.2</v>
      </c>
      <c r="S142" s="15" t="n">
        <f aca="false">J142-R142</f>
        <v>-1.2</v>
      </c>
      <c r="T142" s="15" t="n">
        <f aca="false">MIN(189.6,(T141+S142))</f>
        <v>167.17625</v>
      </c>
      <c r="V142" s="16" t="n">
        <v>272.3</v>
      </c>
      <c r="W142" s="7" t="n">
        <f aca="false">V142/D142</f>
        <v>41.2575757575758</v>
      </c>
      <c r="X142" s="7" t="n">
        <f aca="false">X141+V142</f>
        <v>54561.8</v>
      </c>
      <c r="Y142" s="7" t="n">
        <f aca="false">Y141+V142</f>
        <v>8325.9</v>
      </c>
      <c r="AA142" s="28" t="n">
        <v>8.15472572129291</v>
      </c>
    </row>
    <row r="143" s="30" customFormat="true" ht="15" hidden="false" customHeight="false" outlineLevel="0" collapsed="false">
      <c r="A143" s="25"/>
      <c r="B143" s="20"/>
      <c r="C143" s="29" t="n">
        <v>41624</v>
      </c>
      <c r="D143" s="30" t="n">
        <v>6.6</v>
      </c>
      <c r="E143" s="30" t="n">
        <v>4.2</v>
      </c>
      <c r="F143" s="30" t="n">
        <v>9.6</v>
      </c>
      <c r="G143" s="30" t="n">
        <f aca="false">G142+D143</f>
        <v>1034.5</v>
      </c>
      <c r="H143" s="31" t="n">
        <f aca="false">H142+D143</f>
        <v>127.8</v>
      </c>
      <c r="I143" s="31"/>
      <c r="J143" s="30" t="n">
        <v>0</v>
      </c>
      <c r="K143" s="30" t="n">
        <f aca="false">K142+J143</f>
        <v>236.4</v>
      </c>
      <c r="L143" s="30" t="n">
        <v>1.1</v>
      </c>
      <c r="M143" s="30" t="n">
        <f aca="false">M142+L143</f>
        <v>116.2</v>
      </c>
      <c r="N143" s="30" t="n">
        <f aca="false">J143-L143</f>
        <v>-1.1</v>
      </c>
      <c r="O143" s="23" t="n">
        <f aca="false">O142+N143</f>
        <v>183.3</v>
      </c>
      <c r="P143" s="23" t="n">
        <v>104</v>
      </c>
      <c r="Q143" s="23" t="n">
        <v>1</v>
      </c>
      <c r="R143" s="24" t="n">
        <f aca="false">Q143*L143</f>
        <v>1.1</v>
      </c>
      <c r="S143" s="24" t="n">
        <f aca="false">J143-R143</f>
        <v>-1.1</v>
      </c>
      <c r="T143" s="24" t="n">
        <f aca="false">MIN(189.6,(T142+S143))</f>
        <v>166.07625</v>
      </c>
      <c r="V143" s="32" t="n">
        <v>477.1</v>
      </c>
      <c r="W143" s="30" t="n">
        <f aca="false">V143/D143</f>
        <v>72.2878787878788</v>
      </c>
      <c r="X143" s="30" t="n">
        <f aca="false">X142+V143</f>
        <v>55038.9</v>
      </c>
      <c r="Y143" s="31" t="n">
        <f aca="false">Y142+V143</f>
        <v>8803</v>
      </c>
      <c r="AA143" s="33" t="n">
        <v>8.14485701503406</v>
      </c>
    </row>
    <row r="144" s="7" customFormat="true" ht="15" hidden="false" customHeight="true" outlineLevel="0" collapsed="false">
      <c r="A144" s="74" t="s">
        <v>47</v>
      </c>
      <c r="B144" s="35"/>
      <c r="C144" s="8" t="n">
        <v>41625</v>
      </c>
      <c r="D144" s="7" t="n">
        <v>6</v>
      </c>
      <c r="E144" s="18" t="n">
        <v>3.7</v>
      </c>
      <c r="F144" s="7" t="n">
        <v>7.4</v>
      </c>
      <c r="G144" s="7" t="n">
        <f aca="false">G143+D144</f>
        <v>1040.5</v>
      </c>
      <c r="H144" s="7" t="n">
        <f aca="false">6</f>
        <v>6</v>
      </c>
      <c r="I144" s="36" t="s">
        <v>28</v>
      </c>
      <c r="J144" s="7" t="n">
        <v>0</v>
      </c>
      <c r="K144" s="7" t="n">
        <f aca="false">K143+J144</f>
        <v>236.4</v>
      </c>
      <c r="L144" s="7" t="n">
        <v>0.6</v>
      </c>
      <c r="M144" s="7" t="n">
        <f aca="false">M143+L144</f>
        <v>116.8</v>
      </c>
      <c r="N144" s="14" t="n">
        <f aca="false">J144-L144</f>
        <v>-0.6</v>
      </c>
      <c r="O144" s="7" t="n">
        <f aca="false">O143+N144</f>
        <v>182.7</v>
      </c>
      <c r="P144" s="7" t="n">
        <v>105</v>
      </c>
      <c r="Q144" s="17" t="n">
        <f aca="false">1+((P144-104)/110)*(1.15-1)</f>
        <v>1.00136363636364</v>
      </c>
      <c r="R144" s="15" t="n">
        <f aca="false">Q144*L144</f>
        <v>0.600818181818182</v>
      </c>
      <c r="S144" s="15" t="n">
        <f aca="false">J144-R144</f>
        <v>-0.600818181818182</v>
      </c>
      <c r="T144" s="15" t="n">
        <f aca="false">MIN(189.6,(T143+S144))</f>
        <v>165.475431818182</v>
      </c>
      <c r="U144" s="36" t="s">
        <v>29</v>
      </c>
      <c r="V144" s="16" t="n">
        <v>154.4</v>
      </c>
      <c r="W144" s="7" t="n">
        <f aca="false">V144/D144</f>
        <v>25.7333333333333</v>
      </c>
      <c r="X144" s="7" t="n">
        <f aca="false">X143+V144</f>
        <v>55193.3</v>
      </c>
      <c r="Y144" s="7" t="n">
        <v>154.4</v>
      </c>
      <c r="Z144" s="36" t="s">
        <v>30</v>
      </c>
      <c r="AA144" s="28" t="n">
        <v>8.13661718215996</v>
      </c>
    </row>
    <row r="145" s="7" customFormat="true" ht="15" hidden="false" customHeight="false" outlineLevel="0" collapsed="false">
      <c r="A145" s="74"/>
      <c r="B145" s="35"/>
      <c r="C145" s="8" t="n">
        <v>41626</v>
      </c>
      <c r="D145" s="7" t="n">
        <v>7.6</v>
      </c>
      <c r="E145" s="7" t="n">
        <v>5.5</v>
      </c>
      <c r="F145" s="7" t="n">
        <v>8.9</v>
      </c>
      <c r="G145" s="7" t="n">
        <f aca="false">G144+D145</f>
        <v>1048.1</v>
      </c>
      <c r="H145" s="7" t="n">
        <f aca="false">H144+D145</f>
        <v>13.6</v>
      </c>
      <c r="I145" s="7" t="n">
        <f aca="false">MIN(E144:E253)</f>
        <v>-1.5</v>
      </c>
      <c r="J145" s="7" t="n">
        <v>7.6</v>
      </c>
      <c r="K145" s="7" t="n">
        <f aca="false">K144+J145</f>
        <v>244</v>
      </c>
      <c r="L145" s="7" t="n">
        <v>0.6</v>
      </c>
      <c r="M145" s="7" t="n">
        <f aca="false">M144+L145</f>
        <v>117.4</v>
      </c>
      <c r="N145" s="7" t="n">
        <f aca="false">J145-L145</f>
        <v>7</v>
      </c>
      <c r="O145" s="7" t="n">
        <v>189.6</v>
      </c>
      <c r="P145" s="7" t="n">
        <v>106</v>
      </c>
      <c r="Q145" s="17" t="n">
        <f aca="false">1+((P145-104)/110)*(1.15-1)</f>
        <v>1.00272727272727</v>
      </c>
      <c r="R145" s="15" t="n">
        <f aca="false">Q145*L145</f>
        <v>0.601636363636364</v>
      </c>
      <c r="S145" s="15" t="n">
        <f aca="false">J145-R145</f>
        <v>6.99836363636364</v>
      </c>
      <c r="T145" s="15" t="n">
        <f aca="false">MIN(189.6,(T144+S145))</f>
        <v>172.473795454546</v>
      </c>
      <c r="V145" s="16" t="n">
        <v>369.7</v>
      </c>
      <c r="W145" s="7" t="n">
        <f aca="false">V145/D145</f>
        <v>48.6447368421053</v>
      </c>
      <c r="X145" s="7" t="n">
        <f aca="false">X144+V145</f>
        <v>55563</v>
      </c>
      <c r="Y145" s="7" t="n">
        <f aca="false">Y144+V145</f>
        <v>524.1</v>
      </c>
      <c r="Z145" s="7" t="n">
        <v>60647.8</v>
      </c>
      <c r="AA145" s="28" t="n">
        <v>8.13001693878818</v>
      </c>
    </row>
    <row r="146" s="7" customFormat="true" ht="15" hidden="false" customHeight="false" outlineLevel="0" collapsed="false">
      <c r="A146" s="74"/>
      <c r="B146" s="35"/>
      <c r="C146" s="8" t="n">
        <v>41627</v>
      </c>
      <c r="D146" s="7" t="n">
        <v>6.9</v>
      </c>
      <c r="E146" s="18" t="n">
        <v>4.4</v>
      </c>
      <c r="F146" s="7" t="n">
        <v>8.7</v>
      </c>
      <c r="G146" s="7" t="n">
        <f aca="false">G145+D146</f>
        <v>1055</v>
      </c>
      <c r="H146" s="7" t="n">
        <f aca="false">H145+D146</f>
        <v>20.5</v>
      </c>
      <c r="I146" s="36" t="s">
        <v>31</v>
      </c>
      <c r="J146" s="7" t="n">
        <v>1.1</v>
      </c>
      <c r="K146" s="7" t="n">
        <f aca="false">K145+J146</f>
        <v>245.1</v>
      </c>
      <c r="L146" s="7" t="n">
        <v>0.5</v>
      </c>
      <c r="M146" s="7" t="n">
        <f aca="false">M145+L146</f>
        <v>117.9</v>
      </c>
      <c r="N146" s="7" t="n">
        <f aca="false">J146-L146</f>
        <v>0.6</v>
      </c>
      <c r="O146" s="7" t="n">
        <v>189.6</v>
      </c>
      <c r="P146" s="7" t="n">
        <v>107</v>
      </c>
      <c r="Q146" s="17" t="n">
        <f aca="false">1+((P146-104)/110)*(1.15-1)</f>
        <v>1.00409090909091</v>
      </c>
      <c r="R146" s="15" t="n">
        <f aca="false">Q146*L146</f>
        <v>0.502045454545455</v>
      </c>
      <c r="S146" s="15" t="n">
        <f aca="false">J146-R146</f>
        <v>0.597954545454546</v>
      </c>
      <c r="T146" s="15" t="n">
        <f aca="false">MIN(189.6,(T145+S146))</f>
        <v>173.07175</v>
      </c>
      <c r="U146" s="36" t="s">
        <v>32</v>
      </c>
      <c r="V146" s="16" t="n">
        <v>391.8</v>
      </c>
      <c r="W146" s="7" t="n">
        <f aca="false">V146/D146</f>
        <v>56.7826086956522</v>
      </c>
      <c r="X146" s="7" t="n">
        <f aca="false">X145+V146</f>
        <v>55954.8</v>
      </c>
      <c r="Y146" s="7" t="n">
        <f aca="false">Y145+V146</f>
        <v>915.9</v>
      </c>
      <c r="Z146" s="36" t="s">
        <v>33</v>
      </c>
      <c r="AA146" s="28" t="n">
        <v>8.12506503563669</v>
      </c>
    </row>
    <row r="147" s="7" customFormat="true" ht="15" hidden="false" customHeight="false" outlineLevel="0" collapsed="false">
      <c r="A147" s="74"/>
      <c r="B147" s="27" t="n">
        <v>18</v>
      </c>
      <c r="C147" s="8" t="n">
        <v>41628</v>
      </c>
      <c r="D147" s="18" t="n">
        <v>4.5</v>
      </c>
      <c r="E147" s="18" t="n">
        <v>1.9</v>
      </c>
      <c r="F147" s="7" t="n">
        <v>7.3</v>
      </c>
      <c r="G147" s="7" t="n">
        <f aca="false">G146+D147</f>
        <v>1059.5</v>
      </c>
      <c r="H147" s="7" t="n">
        <f aca="false">H146+D147</f>
        <v>25</v>
      </c>
      <c r="I147" s="7" t="n">
        <f aca="false">MAX(F144:F253)</f>
        <v>20</v>
      </c>
      <c r="J147" s="7" t="n">
        <v>0.2</v>
      </c>
      <c r="K147" s="7" t="n">
        <f aca="false">K146+J147</f>
        <v>245.3</v>
      </c>
      <c r="L147" s="7" t="n">
        <v>0.6</v>
      </c>
      <c r="M147" s="7" t="n">
        <f aca="false">M146+L147</f>
        <v>118.5</v>
      </c>
      <c r="N147" s="14" t="n">
        <f aca="false">J147-L147</f>
        <v>-0.4</v>
      </c>
      <c r="O147" s="7" t="n">
        <f aca="false">O146+N147</f>
        <v>189.2</v>
      </c>
      <c r="P147" s="7" t="n">
        <v>108</v>
      </c>
      <c r="Q147" s="17" t="n">
        <f aca="false">1+((P147-104)/110)*(1.15-1)</f>
        <v>1.00545454545455</v>
      </c>
      <c r="R147" s="15" t="n">
        <f aca="false">Q147*L147</f>
        <v>0.603272727272727</v>
      </c>
      <c r="S147" s="15" t="n">
        <f aca="false">J147-R147</f>
        <v>-0.403272727272727</v>
      </c>
      <c r="T147" s="15" t="n">
        <f aca="false">MIN(189.6,(T146+S147))</f>
        <v>172.668477272727</v>
      </c>
      <c r="V147" s="16" t="n">
        <v>433.5</v>
      </c>
      <c r="W147" s="7" t="n">
        <f aca="false">V147/D147</f>
        <v>96.3333333333333</v>
      </c>
      <c r="X147" s="7" t="n">
        <f aca="false">X146+V147</f>
        <v>56388.3</v>
      </c>
      <c r="Y147" s="7" t="n">
        <f aca="false">Y146+V147</f>
        <v>1349.4</v>
      </c>
      <c r="Z147" s="17" t="n">
        <f aca="false">(Z145/100)/I157</f>
        <v>0.782047711154094</v>
      </c>
      <c r="AA147" s="28" t="n">
        <v>8.12176821846773</v>
      </c>
    </row>
    <row r="148" s="7" customFormat="true" ht="15" hidden="false" customHeight="false" outlineLevel="0" collapsed="false">
      <c r="A148" s="74"/>
      <c r="B148" s="35"/>
      <c r="C148" s="8" t="n">
        <v>41629</v>
      </c>
      <c r="D148" s="7" t="n">
        <v>5.8</v>
      </c>
      <c r="E148" s="18" t="n">
        <v>4.4</v>
      </c>
      <c r="F148" s="7" t="n">
        <v>7.9</v>
      </c>
      <c r="G148" s="7" t="n">
        <f aca="false">G147+D148</f>
        <v>1065.3</v>
      </c>
      <c r="H148" s="7" t="n">
        <f aca="false">H147+D148</f>
        <v>30.8</v>
      </c>
      <c r="I148" s="36" t="s">
        <v>34</v>
      </c>
      <c r="J148" s="7" t="n">
        <v>0.4</v>
      </c>
      <c r="K148" s="7" t="n">
        <f aca="false">K147+J148</f>
        <v>245.7</v>
      </c>
      <c r="L148" s="7" t="n">
        <v>1.1</v>
      </c>
      <c r="M148" s="7" t="n">
        <f aca="false">M147+L148</f>
        <v>119.6</v>
      </c>
      <c r="N148" s="14" t="n">
        <f aca="false">J148-L148</f>
        <v>-0.7</v>
      </c>
      <c r="O148" s="7" t="n">
        <f aca="false">O147+N148</f>
        <v>188.5</v>
      </c>
      <c r="P148" s="7" t="n">
        <v>109</v>
      </c>
      <c r="Q148" s="17" t="n">
        <f aca="false">1+((P148-104)/110)*(1.15-1)</f>
        <v>1.00681818181818</v>
      </c>
      <c r="R148" s="15" t="n">
        <f aca="false">Q148*L148</f>
        <v>1.1075</v>
      </c>
      <c r="S148" s="15" t="n">
        <f aca="false">J148-R148</f>
        <v>-0.7075</v>
      </c>
      <c r="T148" s="15" t="n">
        <f aca="false">MIN(189.6,(T147+S148))</f>
        <v>171.960977272727</v>
      </c>
      <c r="U148" s="36" t="s">
        <v>35</v>
      </c>
      <c r="V148" s="16" t="n">
        <v>181.3</v>
      </c>
      <c r="W148" s="7" t="n">
        <f aca="false">V148/D148</f>
        <v>31.2586206896552</v>
      </c>
      <c r="X148" s="7" t="n">
        <f aca="false">X147+V148</f>
        <v>56569.6</v>
      </c>
      <c r="Y148" s="7" t="n">
        <f aca="false">Y147+V148</f>
        <v>1530.7</v>
      </c>
      <c r="Z148" s="36" t="s">
        <v>36</v>
      </c>
      <c r="AA148" s="28" t="n">
        <v>8.12013119739199</v>
      </c>
    </row>
    <row r="149" s="7" customFormat="true" ht="15" hidden="false" customHeight="false" outlineLevel="0" collapsed="false">
      <c r="A149" s="74"/>
      <c r="B149" s="35"/>
      <c r="C149" s="8" t="n">
        <v>41630</v>
      </c>
      <c r="D149" s="37" t="n">
        <v>7.9</v>
      </c>
      <c r="E149" s="37" t="n">
        <v>5.9</v>
      </c>
      <c r="F149" s="37" t="n">
        <v>9.4</v>
      </c>
      <c r="G149" s="37" t="n">
        <f aca="false">G148+D149</f>
        <v>1073.2</v>
      </c>
      <c r="H149" s="7" t="n">
        <f aca="false">H148+D149</f>
        <v>38.7</v>
      </c>
      <c r="I149" s="15" t="n">
        <f aca="false">AVERAGE(D144:D253)</f>
        <v>6.92</v>
      </c>
      <c r="J149" s="37" t="n">
        <v>2.5</v>
      </c>
      <c r="K149" s="37" t="n">
        <f aca="false">K148+J149</f>
        <v>248.2</v>
      </c>
      <c r="L149" s="37" t="n">
        <v>0.4</v>
      </c>
      <c r="M149" s="37" t="n">
        <f aca="false">M148+L149</f>
        <v>120</v>
      </c>
      <c r="N149" s="37" t="n">
        <f aca="false">J149-L149</f>
        <v>2.1</v>
      </c>
      <c r="O149" s="7" t="n">
        <v>189.6</v>
      </c>
      <c r="P149" s="7" t="n">
        <v>110</v>
      </c>
      <c r="Q149" s="17" t="n">
        <f aca="false">1+((P149-104)/110)*(1.15-1)</f>
        <v>1.00818181818182</v>
      </c>
      <c r="R149" s="15" t="n">
        <f aca="false">Q149*L149</f>
        <v>0.403272727272727</v>
      </c>
      <c r="S149" s="15" t="n">
        <f aca="false">J149-R149</f>
        <v>2.09672727272727</v>
      </c>
      <c r="T149" s="15" t="n">
        <f aca="false">MIN(189.6,(T148+S149))</f>
        <v>174.057704545455</v>
      </c>
      <c r="U149" s="7" t="n">
        <v>0</v>
      </c>
      <c r="V149" s="16" t="n">
        <v>191.4</v>
      </c>
      <c r="W149" s="7" t="n">
        <f aca="false">V149/D149</f>
        <v>24.2278481012658</v>
      </c>
      <c r="X149" s="7" t="n">
        <f aca="false">X148+V149</f>
        <v>56761</v>
      </c>
      <c r="Y149" s="7" t="n">
        <f aca="false">Y148+V149</f>
        <v>1722.1</v>
      </c>
      <c r="Z149" s="7" t="n">
        <v>84</v>
      </c>
      <c r="AA149" s="28" t="n">
        <v>8.12015662532492</v>
      </c>
    </row>
    <row r="150" s="7" customFormat="true" ht="15" hidden="false" customHeight="false" outlineLevel="0" collapsed="false">
      <c r="A150" s="74"/>
      <c r="B150" s="35"/>
      <c r="C150" s="8" t="n">
        <v>41631</v>
      </c>
      <c r="D150" s="7" t="n">
        <v>8.7</v>
      </c>
      <c r="E150" s="7" t="n">
        <v>5.4</v>
      </c>
      <c r="F150" s="7" t="n">
        <v>11.1</v>
      </c>
      <c r="G150" s="7" t="n">
        <f aca="false">G149+D150</f>
        <v>1081.9</v>
      </c>
      <c r="H150" s="7" t="n">
        <f aca="false">H149+D150</f>
        <v>47.4</v>
      </c>
      <c r="I150" s="36" t="s">
        <v>37</v>
      </c>
      <c r="J150" s="7" t="n">
        <v>0.9</v>
      </c>
      <c r="K150" s="7" t="n">
        <f aca="false">K149+J150</f>
        <v>249.1</v>
      </c>
      <c r="L150" s="7" t="n">
        <v>1</v>
      </c>
      <c r="M150" s="7" t="n">
        <f aca="false">M149+L150</f>
        <v>121</v>
      </c>
      <c r="N150" s="14" t="n">
        <f aca="false">J150-L150</f>
        <v>-0.1</v>
      </c>
      <c r="O150" s="7" t="n">
        <f aca="false">O149+N150</f>
        <v>189.5</v>
      </c>
      <c r="P150" s="7" t="n">
        <v>111</v>
      </c>
      <c r="Q150" s="17" t="n">
        <f aca="false">1+((P150-104)/110)*(1.15-1)</f>
        <v>1.00954545454545</v>
      </c>
      <c r="R150" s="15" t="n">
        <f aca="false">Q150*L150</f>
        <v>1.00954545454545</v>
      </c>
      <c r="S150" s="15" t="n">
        <f aca="false">J150-R150</f>
        <v>-0.109545454545455</v>
      </c>
      <c r="T150" s="15" t="n">
        <f aca="false">MIN(189.6,(T149+S150))</f>
        <v>173.948159090909</v>
      </c>
      <c r="U150" s="36" t="s">
        <v>38</v>
      </c>
      <c r="V150" s="16" t="n">
        <v>74.9</v>
      </c>
      <c r="W150" s="7" t="n">
        <f aca="false">V150/D150</f>
        <v>8.60919540229885</v>
      </c>
      <c r="X150" s="7" t="n">
        <f aca="false">X149+V150</f>
        <v>56835.9</v>
      </c>
      <c r="Y150" s="7" t="n">
        <f aca="false">Y149+V150</f>
        <v>1797</v>
      </c>
      <c r="AA150" s="28" t="n">
        <v>8.12184508580092</v>
      </c>
    </row>
    <row r="151" s="7" customFormat="true" ht="15" hidden="false" customHeight="false" outlineLevel="0" collapsed="false">
      <c r="A151" s="74"/>
      <c r="B151" s="35"/>
      <c r="C151" s="8" t="n">
        <v>41632</v>
      </c>
      <c r="D151" s="7" t="n">
        <v>9.7</v>
      </c>
      <c r="E151" s="7" t="n">
        <v>7.8</v>
      </c>
      <c r="F151" s="7" t="n">
        <v>10.6</v>
      </c>
      <c r="G151" s="7" t="n">
        <f aca="false">G150+D151</f>
        <v>1091.6</v>
      </c>
      <c r="H151" s="7" t="n">
        <f aca="false">H150+D151</f>
        <v>57.1</v>
      </c>
      <c r="I151" s="7" t="n">
        <v>5</v>
      </c>
      <c r="J151" s="7" t="n">
        <v>14.6</v>
      </c>
      <c r="K151" s="7" t="n">
        <f aca="false">K150+J151</f>
        <v>263.7</v>
      </c>
      <c r="L151" s="7" t="n">
        <v>1.2</v>
      </c>
      <c r="M151" s="7" t="n">
        <f aca="false">M150+L151</f>
        <v>122.2</v>
      </c>
      <c r="N151" s="7" t="n">
        <f aca="false">J151-L151</f>
        <v>13.4</v>
      </c>
      <c r="O151" s="7" t="n">
        <v>189.6</v>
      </c>
      <c r="P151" s="7" t="n">
        <v>112</v>
      </c>
      <c r="Q151" s="17" t="n">
        <f aca="false">1+((P151-104)/110)*(1.15-1)</f>
        <v>1.01090909090909</v>
      </c>
      <c r="R151" s="15" t="n">
        <f aca="false">Q151*L151</f>
        <v>1.21309090909091</v>
      </c>
      <c r="S151" s="15" t="n">
        <f aca="false">J151-R151</f>
        <v>13.3869090909091</v>
      </c>
      <c r="T151" s="15" t="n">
        <f aca="false">MIN(189.6,(T150+S151))</f>
        <v>187.335068181818</v>
      </c>
      <c r="U151" s="7" t="n">
        <v>0</v>
      </c>
      <c r="V151" s="16" t="n">
        <v>75</v>
      </c>
      <c r="W151" s="7" t="n">
        <f aca="false">V151/D151</f>
        <v>7.7319587628866</v>
      </c>
      <c r="X151" s="7" t="n">
        <f aca="false">X150+V151</f>
        <v>56910.9</v>
      </c>
      <c r="Y151" s="7" t="n">
        <f aca="false">Y150+V151</f>
        <v>1872</v>
      </c>
      <c r="AA151" s="28" t="n">
        <v>8.12519509026255</v>
      </c>
    </row>
    <row r="152" s="7" customFormat="true" ht="15" hidden="false" customHeight="false" outlineLevel="0" collapsed="false">
      <c r="A152" s="74"/>
      <c r="B152" s="35"/>
      <c r="C152" s="8" t="n">
        <v>41633</v>
      </c>
      <c r="D152" s="7" t="n">
        <v>6.6</v>
      </c>
      <c r="E152" s="7" t="n">
        <v>5.9</v>
      </c>
      <c r="F152" s="7" t="n">
        <v>8.1</v>
      </c>
      <c r="G152" s="7" t="n">
        <f aca="false">G151+D152</f>
        <v>1098.2</v>
      </c>
      <c r="H152" s="7" t="n">
        <f aca="false">H151+D152</f>
        <v>63.7</v>
      </c>
      <c r="I152" s="36" t="s">
        <v>39</v>
      </c>
      <c r="J152" s="7" t="n">
        <v>3.7</v>
      </c>
      <c r="K152" s="7" t="n">
        <f aca="false">K151+J152</f>
        <v>267.4</v>
      </c>
      <c r="L152" s="7" t="n">
        <v>0.6</v>
      </c>
      <c r="M152" s="7" t="n">
        <f aca="false">M151+L152</f>
        <v>122.8</v>
      </c>
      <c r="N152" s="7" t="n">
        <f aca="false">J152-L152</f>
        <v>3.1</v>
      </c>
      <c r="O152" s="7" t="n">
        <v>189.6</v>
      </c>
      <c r="P152" s="7" t="n">
        <v>113</v>
      </c>
      <c r="Q152" s="17" t="n">
        <f aca="false">1+((P152-104)/110)*(1.15-1)</f>
        <v>1.01227272727273</v>
      </c>
      <c r="R152" s="15" t="n">
        <f aca="false">Q152*L152</f>
        <v>0.607363636363636</v>
      </c>
      <c r="S152" s="15" t="n">
        <f aca="false">J152-R152</f>
        <v>3.09263636363636</v>
      </c>
      <c r="T152" s="15" t="n">
        <f aca="false">MIN(189.6,(T151+S152))</f>
        <v>189.6</v>
      </c>
      <c r="U152" s="36" t="s">
        <v>40</v>
      </c>
      <c r="V152" s="16" t="n">
        <v>345.5</v>
      </c>
      <c r="W152" s="7" t="n">
        <f aca="false">V152/D152</f>
        <v>52.3484848484849</v>
      </c>
      <c r="X152" s="7" t="n">
        <f aca="false">X151+V152</f>
        <v>57256.4</v>
      </c>
      <c r="Y152" s="7" t="n">
        <f aca="false">Y151+V152</f>
        <v>2217.5</v>
      </c>
      <c r="AA152" s="28" t="n">
        <v>8.13020308485049</v>
      </c>
    </row>
    <row r="153" s="7" customFormat="true" ht="15" hidden="false" customHeight="false" outlineLevel="0" collapsed="false">
      <c r="A153" s="74"/>
      <c r="B153" s="35"/>
      <c r="C153" s="8" t="n">
        <v>41634</v>
      </c>
      <c r="D153" s="7" t="n">
        <v>5.5</v>
      </c>
      <c r="E153" s="18" t="n">
        <v>4.2</v>
      </c>
      <c r="F153" s="7" t="n">
        <v>7.7</v>
      </c>
      <c r="G153" s="7" t="n">
        <f aca="false">G152+D153</f>
        <v>1103.7</v>
      </c>
      <c r="H153" s="7" t="n">
        <f aca="false">H152+D153</f>
        <v>69.2</v>
      </c>
      <c r="I153" s="7" t="n">
        <v>0</v>
      </c>
      <c r="J153" s="7" t="n">
        <v>1</v>
      </c>
      <c r="K153" s="7" t="n">
        <f aca="false">K152+J153</f>
        <v>268.4</v>
      </c>
      <c r="L153" s="7" t="n">
        <v>0.7</v>
      </c>
      <c r="M153" s="7" t="n">
        <f aca="false">M152+L153</f>
        <v>123.5</v>
      </c>
      <c r="N153" s="7" t="n">
        <f aca="false">J153-L153</f>
        <v>0.3</v>
      </c>
      <c r="O153" s="7" t="n">
        <v>189.6</v>
      </c>
      <c r="P153" s="7" t="n">
        <v>114</v>
      </c>
      <c r="Q153" s="17" t="n">
        <f aca="false">1+((P153-104)/110)*(1.15-1)</f>
        <v>1.01363636363636</v>
      </c>
      <c r="R153" s="15" t="n">
        <f aca="false">Q153*L153</f>
        <v>0.709545454545455</v>
      </c>
      <c r="S153" s="15" t="n">
        <f aca="false">J153-R153</f>
        <v>0.290454545454546</v>
      </c>
      <c r="T153" s="15" t="n">
        <f aca="false">MIN(189.6,(T152+S153))</f>
        <v>189.6</v>
      </c>
      <c r="U153" s="15" t="n">
        <f aca="false">MIN(T144:T253)</f>
        <v>135.009318181818</v>
      </c>
      <c r="V153" s="16" t="n">
        <v>434.8</v>
      </c>
      <c r="W153" s="7" t="n">
        <f aca="false">V153/D153</f>
        <v>79.0545454545455</v>
      </c>
      <c r="X153" s="7" t="n">
        <f aca="false">X152+V153</f>
        <v>57691.2</v>
      </c>
      <c r="Y153" s="7" t="n">
        <f aca="false">Y152+V153</f>
        <v>2652.3</v>
      </c>
      <c r="AA153" s="28" t="n">
        <v>8.13686346662892</v>
      </c>
    </row>
    <row r="154" s="7" customFormat="true" ht="15" hidden="false" customHeight="false" outlineLevel="0" collapsed="false">
      <c r="A154" s="74"/>
      <c r="B154" s="35"/>
      <c r="C154" s="8" t="n">
        <v>41635</v>
      </c>
      <c r="D154" s="7" t="n">
        <v>8.5</v>
      </c>
      <c r="E154" s="18" t="n">
        <v>4.5</v>
      </c>
      <c r="F154" s="7" t="n">
        <v>10.3</v>
      </c>
      <c r="G154" s="7" t="n">
        <f aca="false">G153+D154</f>
        <v>1112.2</v>
      </c>
      <c r="H154" s="7" t="n">
        <f aca="false">H153+D154</f>
        <v>77.7</v>
      </c>
      <c r="I154" s="36" t="s">
        <v>41</v>
      </c>
      <c r="J154" s="7" t="n">
        <v>24.8</v>
      </c>
      <c r="K154" s="7" t="n">
        <f aca="false">K153+J154</f>
        <v>293.2</v>
      </c>
      <c r="L154" s="7" t="n">
        <v>0.1</v>
      </c>
      <c r="M154" s="7" t="n">
        <f aca="false">M153+L154</f>
        <v>123.6</v>
      </c>
      <c r="N154" s="7" t="n">
        <f aca="false">J154-L154</f>
        <v>24.7</v>
      </c>
      <c r="O154" s="7" t="n">
        <v>189.6</v>
      </c>
      <c r="P154" s="7" t="n">
        <v>115</v>
      </c>
      <c r="Q154" s="17" t="n">
        <f aca="false">1+((P154-104)/110)*(1.15-1)</f>
        <v>1.015</v>
      </c>
      <c r="R154" s="15" t="n">
        <f aca="false">Q154*L154</f>
        <v>0.1015</v>
      </c>
      <c r="S154" s="15" t="n">
        <f aca="false">J154-R154</f>
        <v>24.6985</v>
      </c>
      <c r="T154" s="15" t="n">
        <f aca="false">MIN(189.6,(T153+S154))</f>
        <v>189.6</v>
      </c>
      <c r="U154" s="36" t="s">
        <v>42</v>
      </c>
      <c r="V154" s="16" t="n">
        <v>65.9</v>
      </c>
      <c r="W154" s="7" t="n">
        <f aca="false">V154/D154</f>
        <v>7.75294117647059</v>
      </c>
      <c r="X154" s="7" t="n">
        <f aca="false">X153+V154</f>
        <v>57757.1</v>
      </c>
      <c r="Y154" s="7" t="n">
        <f aca="false">Y153+V154</f>
        <v>2718.2</v>
      </c>
      <c r="AA154" s="28" t="n">
        <v>8.14516860909032</v>
      </c>
    </row>
    <row r="155" s="7" customFormat="true" ht="15" hidden="false" customHeight="false" outlineLevel="0" collapsed="false">
      <c r="A155" s="74"/>
      <c r="B155" s="35"/>
      <c r="C155" s="8" t="n">
        <v>41636</v>
      </c>
      <c r="D155" s="7" t="n">
        <v>6.8</v>
      </c>
      <c r="E155" s="7" t="n">
        <v>6.1</v>
      </c>
      <c r="F155" s="7" t="n">
        <v>8.9</v>
      </c>
      <c r="G155" s="7" t="n">
        <f aca="false">G154+D155</f>
        <v>1119</v>
      </c>
      <c r="H155" s="7" t="n">
        <f aca="false">H154+D155</f>
        <v>84.5</v>
      </c>
      <c r="I155" s="7" t="n">
        <v>65</v>
      </c>
      <c r="J155" s="7" t="n">
        <v>0.8</v>
      </c>
      <c r="K155" s="7" t="n">
        <f aca="false">K154+J155</f>
        <v>294</v>
      </c>
      <c r="L155" s="7" t="n">
        <v>0.6</v>
      </c>
      <c r="M155" s="7" t="n">
        <f aca="false">M154+L155</f>
        <v>124.2</v>
      </c>
      <c r="N155" s="7" t="n">
        <f aca="false">J155-L155</f>
        <v>0.2</v>
      </c>
      <c r="O155" s="7" t="n">
        <v>189.6</v>
      </c>
      <c r="P155" s="7" t="n">
        <v>116</v>
      </c>
      <c r="Q155" s="17" t="n">
        <f aca="false">1+((P155-104)/110)*(1.15-1)</f>
        <v>1.01636363636364</v>
      </c>
      <c r="R155" s="15" t="n">
        <f aca="false">Q155*L155</f>
        <v>0.609818181818182</v>
      </c>
      <c r="S155" s="15" t="n">
        <f aca="false">J155-R155</f>
        <v>0.190181818181818</v>
      </c>
      <c r="T155" s="15" t="n">
        <f aca="false">MIN(189.6,(T154+S155))</f>
        <v>189.6</v>
      </c>
      <c r="U155" s="15" t="n">
        <f aca="false">MAX(T144:T253)</f>
        <v>189.6</v>
      </c>
      <c r="V155" s="16" t="n">
        <v>243.6</v>
      </c>
      <c r="W155" s="7" t="n">
        <f aca="false">V155/D155</f>
        <v>35.8235294117647</v>
      </c>
      <c r="X155" s="7" t="n">
        <f aca="false">X154+V155</f>
        <v>58000.7</v>
      </c>
      <c r="Y155" s="7" t="n">
        <f aca="false">Y154+V155</f>
        <v>2961.8</v>
      </c>
      <c r="AA155" s="28" t="n">
        <v>8.15510889669624</v>
      </c>
    </row>
    <row r="156" s="7" customFormat="true" ht="15" hidden="false" customHeight="false" outlineLevel="0" collapsed="false">
      <c r="A156" s="74"/>
      <c r="B156" s="27" t="n">
        <v>19</v>
      </c>
      <c r="C156" s="8" t="n">
        <v>41637</v>
      </c>
      <c r="D156" s="18" t="n">
        <v>4.5</v>
      </c>
      <c r="E156" s="18" t="n">
        <v>3.8</v>
      </c>
      <c r="F156" s="7" t="n">
        <v>6.7</v>
      </c>
      <c r="G156" s="7" t="n">
        <f aca="false">G155+D156</f>
        <v>1123.5</v>
      </c>
      <c r="H156" s="7" t="n">
        <f aca="false">H155+D156</f>
        <v>89</v>
      </c>
      <c r="I156" s="36" t="s">
        <v>43</v>
      </c>
      <c r="J156" s="7" t="n">
        <v>0.6</v>
      </c>
      <c r="K156" s="7" t="n">
        <f aca="false">K155+J156</f>
        <v>294.6</v>
      </c>
      <c r="L156" s="7" t="n">
        <v>0.7</v>
      </c>
      <c r="M156" s="7" t="n">
        <f aca="false">M155+L156</f>
        <v>124.9</v>
      </c>
      <c r="N156" s="14" t="n">
        <f aca="false">J156-L156</f>
        <v>-0.1</v>
      </c>
      <c r="O156" s="7" t="n">
        <f aca="false">O155+N156</f>
        <v>189.5</v>
      </c>
      <c r="P156" s="7" t="n">
        <v>117</v>
      </c>
      <c r="Q156" s="17" t="n">
        <f aca="false">1+((P156-104)/110)*(1.15-1)</f>
        <v>1.01772727272727</v>
      </c>
      <c r="R156" s="15" t="n">
        <f aca="false">Q156*L156</f>
        <v>0.712409090909091</v>
      </c>
      <c r="S156" s="15" t="n">
        <f aca="false">J156-R156</f>
        <v>-0.112409090909091</v>
      </c>
      <c r="T156" s="15" t="n">
        <f aca="false">MIN(189.6,(T155+S156))</f>
        <v>189.487590909091</v>
      </c>
      <c r="U156" s="36" t="s">
        <v>44</v>
      </c>
      <c r="V156" s="16" t="n">
        <v>412.8</v>
      </c>
      <c r="W156" s="7" t="n">
        <f aca="false">V156/D156</f>
        <v>91.7333333333333</v>
      </c>
      <c r="X156" s="7" t="n">
        <f aca="false">X155+V156</f>
        <v>58413.5</v>
      </c>
      <c r="Y156" s="7" t="n">
        <f aca="false">Y155+V156</f>
        <v>3374.6</v>
      </c>
      <c r="AA156" s="28" t="n">
        <v>8.16667276812664</v>
      </c>
    </row>
    <row r="157" s="7" customFormat="true" ht="15" hidden="false" customHeight="false" outlineLevel="0" collapsed="false">
      <c r="A157" s="74"/>
      <c r="B157" s="27" t="n">
        <v>20</v>
      </c>
      <c r="C157" s="8" t="n">
        <v>41638</v>
      </c>
      <c r="D157" s="18" t="n">
        <v>4.8</v>
      </c>
      <c r="E157" s="18" t="n">
        <v>2.3</v>
      </c>
      <c r="F157" s="7" t="n">
        <v>6.2</v>
      </c>
      <c r="G157" s="7" t="n">
        <f aca="false">G156+D157</f>
        <v>1128.3</v>
      </c>
      <c r="H157" s="7" t="n">
        <f aca="false">H156+D157</f>
        <v>93.8</v>
      </c>
      <c r="I157" s="7" t="n">
        <v>775.5</v>
      </c>
      <c r="J157" s="7" t="n">
        <v>2.4</v>
      </c>
      <c r="K157" s="7" t="n">
        <f aca="false">K156+J157</f>
        <v>297</v>
      </c>
      <c r="L157" s="7" t="n">
        <v>0.3</v>
      </c>
      <c r="M157" s="7" t="n">
        <f aca="false">M156+L157</f>
        <v>125.2</v>
      </c>
      <c r="N157" s="7" t="n">
        <f aca="false">J157-L157</f>
        <v>2.1</v>
      </c>
      <c r="O157" s="7" t="n">
        <v>189.6</v>
      </c>
      <c r="P157" s="7" t="n">
        <v>118</v>
      </c>
      <c r="Q157" s="17" t="n">
        <f aca="false">1+((P157-104)/110)*(1.15-1)</f>
        <v>1.01909090909091</v>
      </c>
      <c r="R157" s="15" t="n">
        <f aca="false">Q157*L157</f>
        <v>0.305727272727273</v>
      </c>
      <c r="S157" s="15" t="n">
        <f aca="false">J157-R157</f>
        <v>2.09427272727273</v>
      </c>
      <c r="T157" s="15" t="n">
        <f aca="false">MIN(189.6,(T156+S157))</f>
        <v>189.6</v>
      </c>
      <c r="U157" s="17" t="n">
        <f aca="false">AVERAGE(T144:T253)</f>
        <v>180.045495041322</v>
      </c>
      <c r="V157" s="16" t="n">
        <v>135.8</v>
      </c>
      <c r="W157" s="7" t="n">
        <f aca="false">V157/D157</f>
        <v>28.2916666666667</v>
      </c>
      <c r="X157" s="7" t="n">
        <f aca="false">X156+V157</f>
        <v>58549.3</v>
      </c>
      <c r="Y157" s="7" t="n">
        <f aca="false">Y156+V157</f>
        <v>3510.4</v>
      </c>
      <c r="AA157" s="28" t="n">
        <v>8.17984676783238</v>
      </c>
    </row>
    <row r="158" s="7" customFormat="true" ht="15" hidden="false" customHeight="false" outlineLevel="0" collapsed="false">
      <c r="A158" s="74"/>
      <c r="B158" s="35"/>
      <c r="C158" s="8" t="n">
        <v>41639</v>
      </c>
      <c r="D158" s="7" t="n">
        <v>6.4</v>
      </c>
      <c r="E158" s="7" t="n">
        <v>5.7</v>
      </c>
      <c r="F158" s="7" t="n">
        <v>6.9</v>
      </c>
      <c r="G158" s="7" t="n">
        <f aca="false">G157+D158</f>
        <v>1134.7</v>
      </c>
      <c r="H158" s="7" t="n">
        <f aca="false">H157+D158</f>
        <v>100.2</v>
      </c>
      <c r="J158" s="7" t="n">
        <v>2.6</v>
      </c>
      <c r="K158" s="7" t="n">
        <f aca="false">K157+J158</f>
        <v>299.6</v>
      </c>
      <c r="L158" s="7" t="n">
        <v>0.7</v>
      </c>
      <c r="M158" s="7" t="n">
        <f aca="false">M157+L158</f>
        <v>125.9</v>
      </c>
      <c r="N158" s="7" t="n">
        <f aca="false">J158-L158</f>
        <v>1.9</v>
      </c>
      <c r="O158" s="7" t="n">
        <v>189.6</v>
      </c>
      <c r="P158" s="7" t="n">
        <v>119</v>
      </c>
      <c r="Q158" s="17" t="n">
        <f aca="false">1+((P158-104)/110)*(1.15-1)</f>
        <v>1.02045454545455</v>
      </c>
      <c r="R158" s="15" t="n">
        <f aca="false">Q158*L158</f>
        <v>0.714318181818182</v>
      </c>
      <c r="S158" s="15" t="n">
        <f aca="false">J158-R158</f>
        <v>1.88568181818182</v>
      </c>
      <c r="T158" s="15" t="n">
        <f aca="false">MIN(189.6,(T157+S158))</f>
        <v>189.6</v>
      </c>
      <c r="V158" s="16" t="n">
        <v>179.4</v>
      </c>
      <c r="W158" s="7" t="n">
        <f aca="false">V158/D158</f>
        <v>28.03125</v>
      </c>
      <c r="X158" s="7" t="n">
        <f aca="false">X157+V158</f>
        <v>58728.7</v>
      </c>
      <c r="Y158" s="7" t="n">
        <f aca="false">Y157+V158</f>
        <v>3689.8</v>
      </c>
      <c r="AA158" s="28" t="n">
        <v>8.19937833706376</v>
      </c>
    </row>
    <row r="159" s="7" customFormat="true" ht="15" hidden="false" customHeight="false" outlineLevel="0" collapsed="false">
      <c r="A159" s="74"/>
      <c r="B159" s="35"/>
      <c r="C159" s="8" t="n">
        <v>41640</v>
      </c>
      <c r="D159" s="7" t="n">
        <v>7.7</v>
      </c>
      <c r="E159" s="7" t="n">
        <v>5.1</v>
      </c>
      <c r="F159" s="7" t="n">
        <v>9.9</v>
      </c>
      <c r="G159" s="7" t="n">
        <f aca="false">G158+D159</f>
        <v>1142.4</v>
      </c>
      <c r="H159" s="7" t="n">
        <f aca="false">H158+D159</f>
        <v>107.9</v>
      </c>
      <c r="J159" s="7" t="n">
        <v>7.1</v>
      </c>
      <c r="K159" s="7" t="n">
        <f aca="false">K158+J159</f>
        <v>306.7</v>
      </c>
      <c r="L159" s="7" t="n">
        <v>0.7</v>
      </c>
      <c r="M159" s="7" t="n">
        <f aca="false">M158+L159</f>
        <v>126.6</v>
      </c>
      <c r="N159" s="7" t="n">
        <f aca="false">J159-L159</f>
        <v>6.4</v>
      </c>
      <c r="O159" s="7" t="n">
        <v>189.6</v>
      </c>
      <c r="P159" s="7" t="n">
        <v>120</v>
      </c>
      <c r="Q159" s="17" t="n">
        <f aca="false">1+((P159-104)/110)*(1.15-1)</f>
        <v>1.02181818181818</v>
      </c>
      <c r="R159" s="15" t="n">
        <f aca="false">Q159*L159</f>
        <v>0.715272727272727</v>
      </c>
      <c r="S159" s="15" t="n">
        <f aca="false">J159-R159</f>
        <v>6.38472727272727</v>
      </c>
      <c r="T159" s="15" t="n">
        <f aca="false">MIN(189.6,(T158+S159))</f>
        <v>189.6</v>
      </c>
      <c r="U159" s="15" t="n">
        <f aca="false">(U157*100)/189.6</f>
        <v>94.9607041357186</v>
      </c>
      <c r="V159" s="16" t="n">
        <v>103.7</v>
      </c>
      <c r="W159" s="7" t="n">
        <f aca="false">V159/D159</f>
        <v>13.4675324675325</v>
      </c>
      <c r="X159" s="7" t="n">
        <f aca="false">X158+V159</f>
        <v>58832.4</v>
      </c>
      <c r="Y159" s="7" t="n">
        <f aca="false">Y158+V159</f>
        <v>3793.5</v>
      </c>
      <c r="AA159" s="28" t="n">
        <v>8.21619700554713</v>
      </c>
    </row>
    <row r="160" s="7" customFormat="true" ht="15" hidden="false" customHeight="false" outlineLevel="0" collapsed="false">
      <c r="A160" s="74"/>
      <c r="B160" s="35"/>
      <c r="C160" s="8" t="n">
        <v>41641</v>
      </c>
      <c r="D160" s="7" t="n">
        <v>8.8</v>
      </c>
      <c r="E160" s="7" t="n">
        <v>7</v>
      </c>
      <c r="F160" s="7" t="n">
        <v>10.1</v>
      </c>
      <c r="G160" s="7" t="n">
        <f aca="false">G159+D160</f>
        <v>1151.2</v>
      </c>
      <c r="H160" s="7" t="n">
        <f aca="false">H159+D160</f>
        <v>116.7</v>
      </c>
      <c r="J160" s="7" t="n">
        <v>0</v>
      </c>
      <c r="K160" s="7" t="n">
        <f aca="false">K159+J160</f>
        <v>306.7</v>
      </c>
      <c r="L160" s="7" t="n">
        <v>0.8</v>
      </c>
      <c r="M160" s="7" t="n">
        <f aca="false">M159+L160</f>
        <v>127.4</v>
      </c>
      <c r="N160" s="14" t="n">
        <f aca="false">J160-L160</f>
        <v>-0.8</v>
      </c>
      <c r="O160" s="7" t="n">
        <f aca="false">O159+N160</f>
        <v>188.8</v>
      </c>
      <c r="P160" s="7" t="n">
        <v>121</v>
      </c>
      <c r="Q160" s="17" t="n">
        <f aca="false">1+((P160-104)/110)*(1.15-1)</f>
        <v>1.02318181818182</v>
      </c>
      <c r="R160" s="15" t="n">
        <f aca="false">Q160*L160</f>
        <v>0.818545454545455</v>
      </c>
      <c r="S160" s="15" t="n">
        <f aca="false">J160-R160</f>
        <v>-0.818545454545455</v>
      </c>
      <c r="T160" s="15" t="n">
        <f aca="false">MIN(189.6,(T159+S160))</f>
        <v>188.781454545455</v>
      </c>
      <c r="V160" s="16" t="n">
        <v>283.7</v>
      </c>
      <c r="W160" s="7" t="n">
        <f aca="false">V160/D160</f>
        <v>32.2386363636364</v>
      </c>
      <c r="X160" s="7" t="n">
        <f aca="false">X159+V160</f>
        <v>59116.1</v>
      </c>
      <c r="Y160" s="7" t="n">
        <f aca="false">Y159+V160</f>
        <v>4077.2</v>
      </c>
      <c r="AA160" s="28" t="n">
        <v>8.23456872557595</v>
      </c>
    </row>
    <row r="161" s="7" customFormat="true" ht="15" hidden="false" customHeight="true" outlineLevel="0" collapsed="false">
      <c r="A161" s="74"/>
      <c r="B161" s="35"/>
      <c r="C161" s="8" t="n">
        <v>41642</v>
      </c>
      <c r="D161" s="7" t="n">
        <v>9.5</v>
      </c>
      <c r="E161" s="7" t="n">
        <v>7.3</v>
      </c>
      <c r="F161" s="7" t="n">
        <v>12.3</v>
      </c>
      <c r="G161" s="7" t="n">
        <f aca="false">G160+D161</f>
        <v>1160.7</v>
      </c>
      <c r="H161" s="7" t="n">
        <f aca="false">H160+D161</f>
        <v>126.2</v>
      </c>
      <c r="J161" s="7" t="n">
        <v>1.6</v>
      </c>
      <c r="K161" s="7" t="n">
        <f aca="false">K160+J161</f>
        <v>308.3</v>
      </c>
      <c r="L161" s="7" t="n">
        <v>1.3</v>
      </c>
      <c r="M161" s="7" t="n">
        <f aca="false">M160+L161</f>
        <v>128.7</v>
      </c>
      <c r="N161" s="7" t="n">
        <f aca="false">J161-L161</f>
        <v>0.3</v>
      </c>
      <c r="O161" s="7" t="n">
        <f aca="false">O160+N161</f>
        <v>189.1</v>
      </c>
      <c r="P161" s="7" t="n">
        <v>122</v>
      </c>
      <c r="Q161" s="17" t="n">
        <f aca="false">1+((P161-104)/110)*(1.15-1)</f>
        <v>1.02454545454545</v>
      </c>
      <c r="R161" s="15" t="n">
        <f aca="false">Q161*L161</f>
        <v>1.33190909090909</v>
      </c>
      <c r="S161" s="15" t="n">
        <f aca="false">J161-R161</f>
        <v>0.268090909090909</v>
      </c>
      <c r="T161" s="15" t="n">
        <f aca="false">MIN(189.6,(T160+S161))</f>
        <v>189.049545454545</v>
      </c>
      <c r="V161" s="16" t="n">
        <v>230.3</v>
      </c>
      <c r="W161" s="7" t="n">
        <f aca="false">V161/D161</f>
        <v>24.2421052631579</v>
      </c>
      <c r="X161" s="7" t="n">
        <f aca="false">X160+V161</f>
        <v>59346.4</v>
      </c>
      <c r="Y161" s="7" t="n">
        <f aca="false">Y160+V161</f>
        <v>4307.5</v>
      </c>
      <c r="AA161" s="28" t="n">
        <v>8.25447265766023</v>
      </c>
    </row>
    <row r="162" s="7" customFormat="true" ht="15" hidden="false" customHeight="false" outlineLevel="0" collapsed="false">
      <c r="A162" s="74"/>
      <c r="B162" s="35"/>
      <c r="C162" s="8" t="n">
        <v>41643</v>
      </c>
      <c r="D162" s="7" t="n">
        <v>7.9</v>
      </c>
      <c r="E162" s="7" t="n">
        <v>6.8</v>
      </c>
      <c r="F162" s="7" t="n">
        <v>10.5</v>
      </c>
      <c r="G162" s="7" t="n">
        <f aca="false">G161+D162</f>
        <v>1168.6</v>
      </c>
      <c r="H162" s="7" t="n">
        <f aca="false">H161+D162</f>
        <v>134.1</v>
      </c>
      <c r="J162" s="7" t="n">
        <v>2.4</v>
      </c>
      <c r="K162" s="7" t="n">
        <f aca="false">K161+J162</f>
        <v>310.7</v>
      </c>
      <c r="L162" s="7" t="n">
        <v>1.1</v>
      </c>
      <c r="M162" s="7" t="n">
        <f aca="false">M161+L162</f>
        <v>129.8</v>
      </c>
      <c r="N162" s="7" t="n">
        <f aca="false">J162-L162</f>
        <v>1.3</v>
      </c>
      <c r="O162" s="7" t="n">
        <v>189.6</v>
      </c>
      <c r="P162" s="7" t="n">
        <v>123</v>
      </c>
      <c r="Q162" s="17" t="n">
        <f aca="false">1+((P162-104)/110)*(1.15-1)</f>
        <v>1.02590909090909</v>
      </c>
      <c r="R162" s="15" t="n">
        <f aca="false">Q162*L162</f>
        <v>1.1285</v>
      </c>
      <c r="S162" s="15" t="n">
        <f aca="false">J162-R162</f>
        <v>1.2715</v>
      </c>
      <c r="T162" s="15" t="n">
        <f aca="false">MIN(189.6,(T161+S162))</f>
        <v>189.6</v>
      </c>
      <c r="V162" s="16" t="n">
        <v>368.7</v>
      </c>
      <c r="W162" s="7" t="n">
        <f aca="false">V162/D162</f>
        <v>46.6708860759494</v>
      </c>
      <c r="X162" s="7" t="n">
        <f aca="false">X161+V162</f>
        <v>59715.1</v>
      </c>
      <c r="Y162" s="7" t="n">
        <f aca="false">Y161+V162</f>
        <v>4676.2</v>
      </c>
      <c r="AA162" s="28" t="n">
        <v>8.27588645810926</v>
      </c>
    </row>
    <row r="163" s="7" customFormat="true" ht="15" hidden="false" customHeight="false" outlineLevel="0" collapsed="false">
      <c r="A163" s="74"/>
      <c r="B163" s="35"/>
      <c r="C163" s="8" t="n">
        <v>41644</v>
      </c>
      <c r="D163" s="7" t="n">
        <v>6.1</v>
      </c>
      <c r="E163" s="18" t="n">
        <v>3.2</v>
      </c>
      <c r="F163" s="7" t="n">
        <v>11.7</v>
      </c>
      <c r="G163" s="7" t="n">
        <f aca="false">G162+D163</f>
        <v>1174.7</v>
      </c>
      <c r="H163" s="7" t="n">
        <f aca="false">H162+D163</f>
        <v>140.2</v>
      </c>
      <c r="J163" s="7" t="n">
        <v>0.1</v>
      </c>
      <c r="K163" s="7" t="n">
        <f aca="false">K162+J163</f>
        <v>310.8</v>
      </c>
      <c r="L163" s="7" t="n">
        <v>1.1</v>
      </c>
      <c r="M163" s="7" t="n">
        <f aca="false">M162+L163</f>
        <v>130.9</v>
      </c>
      <c r="N163" s="14" t="n">
        <f aca="false">J163-L163</f>
        <v>-1</v>
      </c>
      <c r="O163" s="7" t="n">
        <f aca="false">O162+N163</f>
        <v>188.6</v>
      </c>
      <c r="P163" s="7" t="n">
        <v>124</v>
      </c>
      <c r="Q163" s="17" t="n">
        <f aca="false">1+((P163-104)/110)*(1.15-1)</f>
        <v>1.02727272727273</v>
      </c>
      <c r="R163" s="15" t="n">
        <f aca="false">Q163*L163</f>
        <v>1.13</v>
      </c>
      <c r="S163" s="15" t="n">
        <f aca="false">J163-R163</f>
        <v>-1.03</v>
      </c>
      <c r="T163" s="15" t="n">
        <f aca="false">MIN(189.6,(T162+S163))</f>
        <v>188.57</v>
      </c>
      <c r="V163" s="16" t="n">
        <v>307</v>
      </c>
      <c r="W163" s="7" t="n">
        <f aca="false">V163/D163</f>
        <v>50.327868852459</v>
      </c>
      <c r="X163" s="7" t="n">
        <f aca="false">X162+V163</f>
        <v>60022.1</v>
      </c>
      <c r="Y163" s="7" t="n">
        <f aca="false">Y162+V163</f>
        <v>4983.2</v>
      </c>
      <c r="AA163" s="28" t="n">
        <v>8.29878636969683</v>
      </c>
    </row>
    <row r="164" s="7" customFormat="true" ht="15" hidden="false" customHeight="false" outlineLevel="0" collapsed="false">
      <c r="A164" s="74"/>
      <c r="B164" s="35"/>
      <c r="C164" s="8" t="n">
        <v>41645</v>
      </c>
      <c r="D164" s="7" t="n">
        <v>11.4</v>
      </c>
      <c r="E164" s="7" t="n">
        <v>7.4</v>
      </c>
      <c r="F164" s="7" t="n">
        <v>12.7</v>
      </c>
      <c r="G164" s="7" t="n">
        <f aca="false">G163+D164</f>
        <v>1186.1</v>
      </c>
      <c r="H164" s="7" t="n">
        <f aca="false">H163+D164</f>
        <v>151.6</v>
      </c>
      <c r="J164" s="7" t="n">
        <v>0.2</v>
      </c>
      <c r="K164" s="7" t="n">
        <f aca="false">K163+J164</f>
        <v>311</v>
      </c>
      <c r="L164" s="7" t="n">
        <v>0.6</v>
      </c>
      <c r="M164" s="7" t="n">
        <f aca="false">M163+L164</f>
        <v>131.5</v>
      </c>
      <c r="N164" s="14" t="n">
        <f aca="false">J164-L164</f>
        <v>-0.4</v>
      </c>
      <c r="O164" s="7" t="n">
        <f aca="false">O163+N164</f>
        <v>188.2</v>
      </c>
      <c r="P164" s="7" t="n">
        <v>125</v>
      </c>
      <c r="Q164" s="17" t="n">
        <f aca="false">1+((P164-104)/110)*(1.15-1)</f>
        <v>1.02863636363636</v>
      </c>
      <c r="R164" s="15" t="n">
        <f aca="false">Q164*L164</f>
        <v>0.617181818181818</v>
      </c>
      <c r="S164" s="15" t="n">
        <f aca="false">J164-R164</f>
        <v>-0.417181818181818</v>
      </c>
      <c r="T164" s="15" t="n">
        <f aca="false">MIN(189.6,(T163+S164))</f>
        <v>188.152818181818</v>
      </c>
      <c r="V164" s="16" t="n">
        <v>239.9</v>
      </c>
      <c r="W164" s="7" t="n">
        <f aca="false">V164/D164</f>
        <v>21.0438596491228</v>
      </c>
      <c r="X164" s="7" t="n">
        <f aca="false">X163+V164</f>
        <v>60262</v>
      </c>
      <c r="Y164" s="7" t="n">
        <f aca="false">Y163+V164</f>
        <v>5223.1</v>
      </c>
      <c r="AA164" s="28" t="n">
        <v>8.32314731603099</v>
      </c>
    </row>
    <row r="165" s="7" customFormat="true" ht="15" hidden="false" customHeight="false" outlineLevel="0" collapsed="false">
      <c r="A165" s="74"/>
      <c r="B165" s="35"/>
      <c r="C165" s="8" t="n">
        <v>41646</v>
      </c>
      <c r="D165" s="7" t="n">
        <v>10</v>
      </c>
      <c r="E165" s="7" t="n">
        <v>8.8</v>
      </c>
      <c r="F165" s="7" t="n">
        <v>11.5</v>
      </c>
      <c r="G165" s="7" t="n">
        <f aca="false">G164+D165</f>
        <v>1196.1</v>
      </c>
      <c r="H165" s="7" t="n">
        <f aca="false">H164+D165</f>
        <v>161.6</v>
      </c>
      <c r="J165" s="7" t="n">
        <v>0.2</v>
      </c>
      <c r="K165" s="7" t="n">
        <f aca="false">K164+J165</f>
        <v>311.2</v>
      </c>
      <c r="L165" s="7" t="n">
        <v>1.2</v>
      </c>
      <c r="M165" s="7" t="n">
        <f aca="false">M164+L165</f>
        <v>132.7</v>
      </c>
      <c r="N165" s="14" t="n">
        <f aca="false">J165-L165</f>
        <v>-1</v>
      </c>
      <c r="O165" s="7" t="n">
        <f aca="false">O164+N165</f>
        <v>187.2</v>
      </c>
      <c r="P165" s="7" t="n">
        <v>126</v>
      </c>
      <c r="Q165" s="17" t="n">
        <f aca="false">1+((P165-104)/110)*(1.15-1)</f>
        <v>1.03</v>
      </c>
      <c r="R165" s="15" t="n">
        <f aca="false">Q165*L165</f>
        <v>1.236</v>
      </c>
      <c r="S165" s="15" t="n">
        <f aca="false">J165-R165</f>
        <v>-1.036</v>
      </c>
      <c r="T165" s="15" t="n">
        <f aca="false">MIN(189.6,(T164+S165))</f>
        <v>187.116818181818</v>
      </c>
      <c r="V165" s="16" t="n">
        <v>422.6</v>
      </c>
      <c r="W165" s="7" t="n">
        <f aca="false">V165/D165</f>
        <v>42.26</v>
      </c>
      <c r="X165" s="7" t="n">
        <f aca="false">X164+V165</f>
        <v>60684.6</v>
      </c>
      <c r="Y165" s="7" t="n">
        <f aca="false">Y164+V165</f>
        <v>5645.7</v>
      </c>
      <c r="AA165" s="28" t="n">
        <v>8.3489429988931</v>
      </c>
    </row>
    <row r="166" s="7" customFormat="true" ht="15" hidden="false" customHeight="false" outlineLevel="0" collapsed="false">
      <c r="A166" s="74"/>
      <c r="B166" s="35"/>
      <c r="C166" s="8" t="n">
        <v>41647</v>
      </c>
      <c r="D166" s="7" t="n">
        <v>9.2</v>
      </c>
      <c r="E166" s="7" t="n">
        <v>6.7</v>
      </c>
      <c r="F166" s="7" t="n">
        <v>10.7</v>
      </c>
      <c r="G166" s="7" t="n">
        <f aca="false">G165+D166</f>
        <v>1205.3</v>
      </c>
      <c r="H166" s="7" t="n">
        <f aca="false">H165+D166</f>
        <v>170.8</v>
      </c>
      <c r="J166" s="7" t="n">
        <v>2.4</v>
      </c>
      <c r="K166" s="7" t="n">
        <f aca="false">K165+J166</f>
        <v>313.6</v>
      </c>
      <c r="L166" s="7" t="n">
        <v>0.4</v>
      </c>
      <c r="M166" s="7" t="n">
        <f aca="false">M165+L166</f>
        <v>133.1</v>
      </c>
      <c r="N166" s="7" t="n">
        <f aca="false">J166-L166</f>
        <v>2</v>
      </c>
      <c r="O166" s="7" t="n">
        <f aca="false">O165+N166</f>
        <v>189.2</v>
      </c>
      <c r="P166" s="7" t="n">
        <v>127</v>
      </c>
      <c r="Q166" s="17" t="n">
        <f aca="false">1+((P166-104)/110)*(1.15-1)</f>
        <v>1.03136363636364</v>
      </c>
      <c r="R166" s="15" t="n">
        <f aca="false">Q166*L166</f>
        <v>0.412545454545455</v>
      </c>
      <c r="S166" s="15" t="n">
        <f aca="false">J166-R166</f>
        <v>1.98745454545455</v>
      </c>
      <c r="T166" s="15" t="n">
        <f aca="false">MIN(189.6,(T165+S166))</f>
        <v>189.104272727273</v>
      </c>
      <c r="V166" s="16" t="n">
        <v>305.5</v>
      </c>
      <c r="W166" s="7" t="n">
        <f aca="false">V166/D166</f>
        <v>33.2065217391304</v>
      </c>
      <c r="X166" s="7" t="n">
        <f aca="false">X165+V166</f>
        <v>60990.1</v>
      </c>
      <c r="Y166" s="7" t="n">
        <f aca="false">Y165+V166</f>
        <v>5951.2</v>
      </c>
      <c r="AA166" s="28" t="n">
        <v>8.37614599781441</v>
      </c>
    </row>
    <row r="167" s="7" customFormat="true" ht="15" hidden="false" customHeight="false" outlineLevel="0" collapsed="false">
      <c r="A167" s="74"/>
      <c r="B167" s="35"/>
      <c r="C167" s="8" t="n">
        <v>41648</v>
      </c>
      <c r="D167" s="7" t="n">
        <v>8.7</v>
      </c>
      <c r="E167" s="7" t="n">
        <v>6.4</v>
      </c>
      <c r="F167" s="7" t="n">
        <v>10.9</v>
      </c>
      <c r="G167" s="7" t="n">
        <f aca="false">G166+D167</f>
        <v>1214</v>
      </c>
      <c r="H167" s="7" t="n">
        <f aca="false">H166+D167</f>
        <v>179.5</v>
      </c>
      <c r="J167" s="7" t="n">
        <v>0.4</v>
      </c>
      <c r="K167" s="7" t="n">
        <f aca="false">K166+J167</f>
        <v>314</v>
      </c>
      <c r="L167" s="7" t="n">
        <v>0.8</v>
      </c>
      <c r="M167" s="7" t="n">
        <f aca="false">M166+L167</f>
        <v>133.9</v>
      </c>
      <c r="N167" s="14" t="n">
        <f aca="false">J167-L167</f>
        <v>-0.4</v>
      </c>
      <c r="O167" s="7" t="n">
        <f aca="false">O166+N167</f>
        <v>188.8</v>
      </c>
      <c r="P167" s="7" t="n">
        <v>128</v>
      </c>
      <c r="Q167" s="17" t="n">
        <f aca="false">1+((P167-104)/110)*(1.15-1)</f>
        <v>1.03272727272727</v>
      </c>
      <c r="R167" s="15" t="n">
        <f aca="false">Q167*L167</f>
        <v>0.826181818181818</v>
      </c>
      <c r="S167" s="15" t="n">
        <f aca="false">J167-R167</f>
        <v>-0.426181818181818</v>
      </c>
      <c r="T167" s="15" t="n">
        <f aca="false">MIN(189.6,(T166+S167))</f>
        <v>188.678090909091</v>
      </c>
      <c r="V167" s="16" t="n">
        <v>214.7</v>
      </c>
      <c r="W167" s="7" t="n">
        <f aca="false">V167/D167</f>
        <v>24.6781609195402</v>
      </c>
      <c r="X167" s="7" t="n">
        <f aca="false">X166+V167</f>
        <v>61204.8</v>
      </c>
      <c r="Y167" s="7" t="n">
        <f aca="false">Y166+V167</f>
        <v>6165.9</v>
      </c>
      <c r="AA167" s="28" t="n">
        <v>8.40472787117078</v>
      </c>
    </row>
    <row r="168" s="7" customFormat="true" ht="15" hidden="false" customHeight="false" outlineLevel="0" collapsed="false">
      <c r="A168" s="74"/>
      <c r="B168" s="27" t="n">
        <v>21</v>
      </c>
      <c r="C168" s="8" t="n">
        <v>41649</v>
      </c>
      <c r="D168" s="18" t="n">
        <v>4.7</v>
      </c>
      <c r="E168" s="18" t="n">
        <v>3.8</v>
      </c>
      <c r="F168" s="7" t="n">
        <v>5.3</v>
      </c>
      <c r="G168" s="7" t="n">
        <f aca="false">G167+D168</f>
        <v>1218.7</v>
      </c>
      <c r="H168" s="7" t="n">
        <f aca="false">H167+D168</f>
        <v>184.2</v>
      </c>
      <c r="J168" s="7" t="n">
        <v>0.1</v>
      </c>
      <c r="K168" s="7" t="n">
        <f aca="false">K167+J168</f>
        <v>314.1</v>
      </c>
      <c r="L168" s="7" t="n">
        <v>0.2</v>
      </c>
      <c r="M168" s="7" t="n">
        <f aca="false">M167+L168</f>
        <v>134.1</v>
      </c>
      <c r="N168" s="14" t="n">
        <f aca="false">J168-L168</f>
        <v>-0.1</v>
      </c>
      <c r="O168" s="7" t="n">
        <f aca="false">O167+N168</f>
        <v>188.7</v>
      </c>
      <c r="P168" s="7" t="n">
        <v>129</v>
      </c>
      <c r="Q168" s="17" t="n">
        <f aca="false">1+((P168-104)/110)*(1.15-1)</f>
        <v>1.03409090909091</v>
      </c>
      <c r="R168" s="15" t="n">
        <f aca="false">Q168*L168</f>
        <v>0.206818181818182</v>
      </c>
      <c r="S168" s="15" t="n">
        <f aca="false">J168-R168</f>
        <v>-0.106818181818182</v>
      </c>
      <c r="T168" s="15" t="n">
        <f aca="false">MIN(189.6,(T167+S168))</f>
        <v>188.571272727273</v>
      </c>
      <c r="V168" s="16" t="n">
        <v>125.5</v>
      </c>
      <c r="W168" s="7" t="n">
        <f aca="false">V168/D168</f>
        <v>26.7021276595745</v>
      </c>
      <c r="X168" s="7" t="n">
        <f aca="false">X167+V168</f>
        <v>61330.3</v>
      </c>
      <c r="Y168" s="7" t="n">
        <f aca="false">Y167+V168</f>
        <v>6291.4</v>
      </c>
      <c r="AA168" s="28" t="n">
        <v>8.43465925809618</v>
      </c>
    </row>
    <row r="169" s="7" customFormat="true" ht="15" hidden="false" customHeight="false" outlineLevel="0" collapsed="false">
      <c r="A169" s="74"/>
      <c r="B169" s="27" t="n">
        <v>22</v>
      </c>
      <c r="C169" s="8" t="n">
        <v>41650</v>
      </c>
      <c r="D169" s="18" t="n">
        <v>4.4</v>
      </c>
      <c r="E169" s="18" t="n">
        <v>3.8</v>
      </c>
      <c r="F169" s="7" t="n">
        <v>8.3</v>
      </c>
      <c r="G169" s="7" t="n">
        <f aca="false">G168+D169</f>
        <v>1223.1</v>
      </c>
      <c r="H169" s="7" t="n">
        <f aca="false">H168+D169</f>
        <v>188.6</v>
      </c>
      <c r="J169" s="7" t="n">
        <v>0</v>
      </c>
      <c r="K169" s="7" t="n">
        <f aca="false">K168+J169</f>
        <v>314.1</v>
      </c>
      <c r="L169" s="7" t="n">
        <v>0.5</v>
      </c>
      <c r="M169" s="7" t="n">
        <f aca="false">M168+L169</f>
        <v>134.6</v>
      </c>
      <c r="N169" s="14" t="n">
        <f aca="false">J169-L169</f>
        <v>-0.5</v>
      </c>
      <c r="O169" s="7" t="n">
        <f aca="false">O168+N169</f>
        <v>188.2</v>
      </c>
      <c r="P169" s="7" t="n">
        <v>130</v>
      </c>
      <c r="Q169" s="17" t="n">
        <f aca="false">1+((P169-104)/110)*(1.15-1)</f>
        <v>1.03545454545455</v>
      </c>
      <c r="R169" s="15" t="n">
        <f aca="false">Q169*L169</f>
        <v>0.517727272727273</v>
      </c>
      <c r="S169" s="15" t="n">
        <f aca="false">J169-R169</f>
        <v>-0.517727272727273</v>
      </c>
      <c r="T169" s="15" t="n">
        <f aca="false">MIN(189.6,(T168+S169))</f>
        <v>188.053545454545</v>
      </c>
      <c r="V169" s="16" t="n">
        <v>163.2</v>
      </c>
      <c r="W169" s="7" t="n">
        <f aca="false">V169/D169</f>
        <v>37.0909090909091</v>
      </c>
      <c r="X169" s="7" t="n">
        <f aca="false">X168+V169</f>
        <v>61493.5</v>
      </c>
      <c r="Y169" s="7" t="n">
        <f aca="false">Y168+V169</f>
        <v>6454.6</v>
      </c>
      <c r="AA169" s="28" t="n">
        <v>8.46590998054281</v>
      </c>
    </row>
    <row r="170" s="7" customFormat="true" ht="15" hidden="false" customHeight="false" outlineLevel="0" collapsed="false">
      <c r="A170" s="74"/>
      <c r="B170" s="27" t="n">
        <v>23</v>
      </c>
      <c r="C170" s="8" t="n">
        <v>41651</v>
      </c>
      <c r="D170" s="18" t="n">
        <v>2</v>
      </c>
      <c r="E170" s="19" t="n">
        <v>-1.3</v>
      </c>
      <c r="F170" s="7" t="n">
        <v>6.3</v>
      </c>
      <c r="G170" s="7" t="n">
        <f aca="false">G169+D170</f>
        <v>1225.1</v>
      </c>
      <c r="H170" s="7" t="n">
        <f aca="false">H169+D170</f>
        <v>190.6</v>
      </c>
      <c r="J170" s="7" t="n">
        <v>0.2</v>
      </c>
      <c r="K170" s="7" t="n">
        <f aca="false">K169+J170</f>
        <v>314.3</v>
      </c>
      <c r="L170" s="7" t="n">
        <v>0.3</v>
      </c>
      <c r="M170" s="7" t="n">
        <f aca="false">M169+L170</f>
        <v>134.9</v>
      </c>
      <c r="N170" s="14" t="n">
        <f aca="false">J170-L170</f>
        <v>-0.1</v>
      </c>
      <c r="O170" s="7" t="n">
        <f aca="false">O169+N170</f>
        <v>188.1</v>
      </c>
      <c r="P170" s="7" t="n">
        <v>131</v>
      </c>
      <c r="Q170" s="17" t="n">
        <f aca="false">1+((P170-104)/110)*(1.15-1)</f>
        <v>1.03681818181818</v>
      </c>
      <c r="R170" s="15" t="n">
        <f aca="false">Q170*L170</f>
        <v>0.311045454545455</v>
      </c>
      <c r="S170" s="15" t="n">
        <f aca="false">J170-R170</f>
        <v>-0.111045454545455</v>
      </c>
      <c r="T170" s="15" t="n">
        <f aca="false">MIN(189.6,(T169+S170))</f>
        <v>187.9425</v>
      </c>
      <c r="V170" s="16" t="n">
        <v>214.5</v>
      </c>
      <c r="W170" s="7" t="n">
        <f aca="false">V170/D170</f>
        <v>107.25</v>
      </c>
      <c r="X170" s="7" t="n">
        <f aca="false">X169+V170</f>
        <v>61708</v>
      </c>
      <c r="Y170" s="7" t="n">
        <f aca="false">Y169+V170</f>
        <v>6669.1</v>
      </c>
      <c r="AA170" s="28" t="n">
        <v>8.49844914484888</v>
      </c>
    </row>
    <row r="171" s="7" customFormat="true" ht="15" hidden="false" customHeight="false" outlineLevel="0" collapsed="false">
      <c r="A171" s="74"/>
      <c r="B171" s="35"/>
      <c r="C171" s="8" t="n">
        <v>41652</v>
      </c>
      <c r="D171" s="7" t="n">
        <v>6.7</v>
      </c>
      <c r="E171" s="18" t="n">
        <v>4.7</v>
      </c>
      <c r="F171" s="7" t="n">
        <v>8.9</v>
      </c>
      <c r="G171" s="7" t="n">
        <f aca="false">G170+D171</f>
        <v>1231.8</v>
      </c>
      <c r="H171" s="7" t="n">
        <f aca="false">H170+D171</f>
        <v>197.3</v>
      </c>
      <c r="J171" s="7" t="n">
        <v>2.4</v>
      </c>
      <c r="K171" s="7" t="n">
        <f aca="false">K170+J171</f>
        <v>316.7</v>
      </c>
      <c r="L171" s="7" t="n">
        <v>0.6</v>
      </c>
      <c r="M171" s="7" t="n">
        <f aca="false">M170+L171</f>
        <v>135.5</v>
      </c>
      <c r="N171" s="7" t="n">
        <f aca="false">J171-L171</f>
        <v>1.8</v>
      </c>
      <c r="O171" s="7" t="n">
        <v>189.6</v>
      </c>
      <c r="P171" s="7" t="n">
        <v>132</v>
      </c>
      <c r="Q171" s="17" t="n">
        <f aca="false">1+((P171-104)/110)*(1.15-1)</f>
        <v>1.03818181818182</v>
      </c>
      <c r="R171" s="15" t="n">
        <f aca="false">Q171*L171</f>
        <v>0.622909090909091</v>
      </c>
      <c r="S171" s="15" t="n">
        <f aca="false">J171-R171</f>
        <v>1.77709090909091</v>
      </c>
      <c r="T171" s="15" t="n">
        <f aca="false">MIN(189.6,(T170+S171))</f>
        <v>189.6</v>
      </c>
      <c r="V171" s="16" t="n">
        <v>439</v>
      </c>
      <c r="W171" s="7" t="n">
        <f aca="false">V171/D171</f>
        <v>65.5223880597015</v>
      </c>
      <c r="X171" s="7" t="n">
        <f aca="false">X170+V171</f>
        <v>62147</v>
      </c>
      <c r="Y171" s="7" t="n">
        <f aca="false">Y170+V171</f>
        <v>7108.1</v>
      </c>
      <c r="AA171" s="28" t="n">
        <v>8.53224524221389</v>
      </c>
    </row>
    <row r="172" s="7" customFormat="true" ht="15" hidden="false" customHeight="false" outlineLevel="0" collapsed="false">
      <c r="A172" s="74"/>
      <c r="B172" s="27" t="n">
        <v>24</v>
      </c>
      <c r="C172" s="8" t="n">
        <v>41653</v>
      </c>
      <c r="D172" s="18" t="n">
        <v>4.5</v>
      </c>
      <c r="E172" s="18" t="n">
        <v>2.6</v>
      </c>
      <c r="F172" s="7" t="n">
        <v>6.5</v>
      </c>
      <c r="G172" s="7" t="n">
        <f aca="false">G171+D172</f>
        <v>1236.3</v>
      </c>
      <c r="H172" s="7" t="n">
        <f aca="false">H171+D172</f>
        <v>201.8</v>
      </c>
      <c r="J172" s="7" t="n">
        <v>5.4</v>
      </c>
      <c r="K172" s="7" t="n">
        <f aca="false">K171+J172</f>
        <v>322.1</v>
      </c>
      <c r="L172" s="7" t="n">
        <v>0.4</v>
      </c>
      <c r="M172" s="7" t="n">
        <f aca="false">M171+L172</f>
        <v>135.9</v>
      </c>
      <c r="N172" s="7" t="n">
        <f aca="false">J172-L172</f>
        <v>5</v>
      </c>
      <c r="O172" s="7" t="n">
        <v>189.6</v>
      </c>
      <c r="P172" s="7" t="n">
        <v>133</v>
      </c>
      <c r="Q172" s="17" t="n">
        <f aca="false">1+((P172-104)/110)*(1.15-1)</f>
        <v>1.03954545454545</v>
      </c>
      <c r="R172" s="15" t="n">
        <f aca="false">Q172*L172</f>
        <v>0.415818181818182</v>
      </c>
      <c r="S172" s="15" t="n">
        <f aca="false">J172-R172</f>
        <v>4.98418181818182</v>
      </c>
      <c r="T172" s="15" t="n">
        <f aca="false">MIN(189.6,(T171+S172))</f>
        <v>189.6</v>
      </c>
      <c r="V172" s="16" t="n">
        <v>195.1</v>
      </c>
      <c r="W172" s="7" t="n">
        <f aca="false">V172/D172</f>
        <v>43.3555555555556</v>
      </c>
      <c r="X172" s="7" t="n">
        <f aca="false">X171+V172</f>
        <v>62342.1</v>
      </c>
      <c r="Y172" s="7" t="n">
        <f aca="false">Y171+V172</f>
        <v>7303.2</v>
      </c>
      <c r="AA172" s="28" t="n">
        <v>8.56726624752367</v>
      </c>
    </row>
    <row r="173" s="7" customFormat="true" ht="15" hidden="false" customHeight="false" outlineLevel="0" collapsed="false">
      <c r="A173" s="74"/>
      <c r="B173" s="35"/>
      <c r="C173" s="8" t="n">
        <v>41654</v>
      </c>
      <c r="D173" s="7" t="n">
        <v>5.6</v>
      </c>
      <c r="E173" s="18" t="n">
        <v>2</v>
      </c>
      <c r="F173" s="7" t="n">
        <v>8.6</v>
      </c>
      <c r="G173" s="7" t="n">
        <f aca="false">G172+D173</f>
        <v>1241.9</v>
      </c>
      <c r="H173" s="7" t="n">
        <f aca="false">H172+D173</f>
        <v>207.4</v>
      </c>
      <c r="J173" s="7" t="n">
        <v>2</v>
      </c>
      <c r="K173" s="7" t="n">
        <f aca="false">K172+J173</f>
        <v>324.1</v>
      </c>
      <c r="L173" s="7" t="n">
        <v>0.3</v>
      </c>
      <c r="M173" s="7" t="n">
        <f aca="false">M172+L173</f>
        <v>136.2</v>
      </c>
      <c r="N173" s="7" t="n">
        <f aca="false">J173-L173</f>
        <v>1.7</v>
      </c>
      <c r="O173" s="7" t="n">
        <v>189.6</v>
      </c>
      <c r="P173" s="7" t="n">
        <v>134</v>
      </c>
      <c r="Q173" s="17" t="n">
        <f aca="false">1+((P173-104)/110)*(1.15-1)</f>
        <v>1.04090909090909</v>
      </c>
      <c r="R173" s="15" t="n">
        <f aca="false">Q173*L173</f>
        <v>0.312272727272727</v>
      </c>
      <c r="S173" s="15" t="n">
        <f aca="false">J173-R173</f>
        <v>1.68772727272727</v>
      </c>
      <c r="T173" s="15" t="n">
        <f aca="false">MIN(189.6,(T172+S173))</f>
        <v>189.6</v>
      </c>
      <c r="V173" s="16" t="n">
        <v>111.5</v>
      </c>
      <c r="W173" s="7" t="n">
        <f aca="false">V173/D173</f>
        <v>19.9107142857143</v>
      </c>
      <c r="X173" s="7" t="n">
        <f aca="false">X172+V173</f>
        <v>62453.6</v>
      </c>
      <c r="Y173" s="7" t="n">
        <f aca="false">Y172+V173</f>
        <v>7414.7</v>
      </c>
      <c r="AA173" s="28" t="n">
        <v>8.60347971601435</v>
      </c>
    </row>
    <row r="174" s="7" customFormat="true" ht="15" hidden="false" customHeight="false" outlineLevel="0" collapsed="false">
      <c r="A174" s="74"/>
      <c r="B174" s="35"/>
      <c r="C174" s="8" t="n">
        <v>41655</v>
      </c>
      <c r="D174" s="7" t="n">
        <v>7.8</v>
      </c>
      <c r="E174" s="7" t="n">
        <v>7</v>
      </c>
      <c r="F174" s="7" t="n">
        <v>8.1</v>
      </c>
      <c r="G174" s="7" t="n">
        <f aca="false">G173+D174</f>
        <v>1249.7</v>
      </c>
      <c r="H174" s="7" t="n">
        <f aca="false">H173+D174</f>
        <v>215.2</v>
      </c>
      <c r="J174" s="7" t="n">
        <v>7.7</v>
      </c>
      <c r="K174" s="7" t="n">
        <f aca="false">K173+J174</f>
        <v>331.8</v>
      </c>
      <c r="L174" s="7" t="n">
        <v>0.4</v>
      </c>
      <c r="M174" s="7" t="n">
        <f aca="false">M173+L174</f>
        <v>136.6</v>
      </c>
      <c r="N174" s="7" t="n">
        <f aca="false">J174-L174</f>
        <v>7.3</v>
      </c>
      <c r="O174" s="7" t="n">
        <v>189.6</v>
      </c>
      <c r="P174" s="7" t="n">
        <v>135</v>
      </c>
      <c r="Q174" s="17" t="n">
        <f aca="false">1+((P174-104)/110)*(1.15-1)</f>
        <v>1.04227272727273</v>
      </c>
      <c r="R174" s="15" t="n">
        <f aca="false">Q174*L174</f>
        <v>0.416909090909091</v>
      </c>
      <c r="S174" s="15" t="n">
        <f aca="false">J174-R174</f>
        <v>7.28309090909091</v>
      </c>
      <c r="T174" s="15" t="n">
        <f aca="false">MIN(189.6,(T173+S174))</f>
        <v>189.6</v>
      </c>
      <c r="V174" s="16" t="n">
        <v>178.1</v>
      </c>
      <c r="W174" s="7" t="n">
        <f aca="false">V174/D174</f>
        <v>22.8333333333333</v>
      </c>
      <c r="X174" s="7" t="n">
        <f aca="false">X173+V174</f>
        <v>62631.7</v>
      </c>
      <c r="Y174" s="7" t="n">
        <f aca="false">Y173+V174</f>
        <v>7592.8</v>
      </c>
      <c r="AA174" s="28" t="n">
        <v>8.64085287731244</v>
      </c>
    </row>
    <row r="175" s="7" customFormat="true" ht="15" hidden="false" customHeight="false" outlineLevel="0" collapsed="false">
      <c r="A175" s="74"/>
      <c r="B175" s="35"/>
      <c r="C175" s="8" t="n">
        <v>41656</v>
      </c>
      <c r="D175" s="7" t="n">
        <v>7.2</v>
      </c>
      <c r="E175" s="7" t="n">
        <v>7.1</v>
      </c>
      <c r="F175" s="7" t="n">
        <v>8.2</v>
      </c>
      <c r="G175" s="7" t="n">
        <f aca="false">G174+D175</f>
        <v>1256.9</v>
      </c>
      <c r="H175" s="7" t="n">
        <f aca="false">H174+D175</f>
        <v>222.4</v>
      </c>
      <c r="J175" s="7" t="n">
        <v>3.5</v>
      </c>
      <c r="K175" s="7" t="n">
        <f aca="false">K174+J175</f>
        <v>335.3</v>
      </c>
      <c r="L175" s="7" t="n">
        <v>1</v>
      </c>
      <c r="M175" s="7" t="n">
        <f aca="false">M174+L175</f>
        <v>137.6</v>
      </c>
      <c r="N175" s="7" t="n">
        <f aca="false">J175-L175</f>
        <v>2.5</v>
      </c>
      <c r="O175" s="7" t="n">
        <v>189.6</v>
      </c>
      <c r="P175" s="7" t="n">
        <v>136</v>
      </c>
      <c r="Q175" s="17" t="n">
        <f aca="false">1+((P175-104)/110)*(1.15-1)</f>
        <v>1.04363636363636</v>
      </c>
      <c r="R175" s="15" t="n">
        <f aca="false">Q175*L175</f>
        <v>1.04363636363636</v>
      </c>
      <c r="S175" s="15" t="n">
        <f aca="false">J175-R175</f>
        <v>2.45636363636364</v>
      </c>
      <c r="T175" s="15" t="n">
        <f aca="false">MIN(189.6,(T174+S175))</f>
        <v>189.6</v>
      </c>
      <c r="V175" s="16" t="n">
        <v>125.7</v>
      </c>
      <c r="W175" s="7" t="n">
        <f aca="false">V175/D175</f>
        <v>17.4583333333333</v>
      </c>
      <c r="X175" s="7" t="n">
        <f aca="false">X174+V175</f>
        <v>62757.4</v>
      </c>
      <c r="Y175" s="7" t="n">
        <f aca="false">Y174+V175</f>
        <v>7718.5</v>
      </c>
      <c r="AA175" s="28" t="n">
        <v>8.67935272643905</v>
      </c>
    </row>
    <row r="176" s="7" customFormat="true" ht="15" hidden="false" customHeight="false" outlineLevel="0" collapsed="false">
      <c r="A176" s="74"/>
      <c r="B176" s="35"/>
      <c r="C176" s="8" t="n">
        <v>41657</v>
      </c>
      <c r="D176" s="7" t="n">
        <v>5.5</v>
      </c>
      <c r="E176" s="18" t="n">
        <v>3.2</v>
      </c>
      <c r="F176" s="7" t="n">
        <v>7.5</v>
      </c>
      <c r="G176" s="7" t="n">
        <f aca="false">G175+D176</f>
        <v>1262.4</v>
      </c>
      <c r="H176" s="7" t="n">
        <f aca="false">H175+D176</f>
        <v>227.9</v>
      </c>
      <c r="J176" s="7" t="n">
        <v>1.2</v>
      </c>
      <c r="K176" s="7" t="n">
        <f aca="false">K175+J176</f>
        <v>336.5</v>
      </c>
      <c r="L176" s="7" t="n">
        <v>0.5</v>
      </c>
      <c r="M176" s="7" t="n">
        <f aca="false">M175+L176</f>
        <v>138.1</v>
      </c>
      <c r="N176" s="7" t="n">
        <f aca="false">J176-L176</f>
        <v>0.7</v>
      </c>
      <c r="O176" s="7" t="n">
        <v>189.6</v>
      </c>
      <c r="P176" s="7" t="n">
        <v>137</v>
      </c>
      <c r="Q176" s="17" t="n">
        <f aca="false">1+((P176-104)/110)*(1.15-1)</f>
        <v>1.045</v>
      </c>
      <c r="R176" s="15" t="n">
        <f aca="false">Q176*L176</f>
        <v>0.5225</v>
      </c>
      <c r="S176" s="15" t="n">
        <f aca="false">J176-R176</f>
        <v>0.6775</v>
      </c>
      <c r="T176" s="15" t="n">
        <f aca="false">MIN(189.6,(T175+S176))</f>
        <v>189.6</v>
      </c>
      <c r="V176" s="16" t="n">
        <v>281.8</v>
      </c>
      <c r="W176" s="7" t="n">
        <f aca="false">V176/D176</f>
        <v>51.2363636363636</v>
      </c>
      <c r="X176" s="7" t="n">
        <f aca="false">X175+V176</f>
        <v>63039.2</v>
      </c>
      <c r="Y176" s="7" t="n">
        <f aca="false">Y175+V176</f>
        <v>8000.3</v>
      </c>
      <c r="AA176" s="28" t="n">
        <v>8.71894611141681</v>
      </c>
    </row>
    <row r="177" s="7" customFormat="true" ht="15" hidden="false" customHeight="false" outlineLevel="0" collapsed="false">
      <c r="A177" s="74"/>
      <c r="B177" s="35"/>
      <c r="C177" s="8" t="n">
        <v>41658</v>
      </c>
      <c r="D177" s="7" t="n">
        <v>6.3</v>
      </c>
      <c r="E177" s="18" t="n">
        <v>4.7</v>
      </c>
      <c r="F177" s="7" t="n">
        <v>8.3</v>
      </c>
      <c r="G177" s="7" t="n">
        <f aca="false">G176+D177</f>
        <v>1268.7</v>
      </c>
      <c r="H177" s="7" t="n">
        <f aca="false">H176+D177</f>
        <v>234.2</v>
      </c>
      <c r="J177" s="7" t="n">
        <v>0</v>
      </c>
      <c r="K177" s="7" t="n">
        <f aca="false">K176+J177</f>
        <v>336.5</v>
      </c>
      <c r="L177" s="7" t="n">
        <v>0.3</v>
      </c>
      <c r="M177" s="7" t="n">
        <f aca="false">M176+L177</f>
        <v>138.4</v>
      </c>
      <c r="N177" s="14" t="n">
        <f aca="false">J177-L177</f>
        <v>-0.3</v>
      </c>
      <c r="O177" s="7" t="n">
        <f aca="false">O176+N177</f>
        <v>189.3</v>
      </c>
      <c r="P177" s="7" t="n">
        <v>138</v>
      </c>
      <c r="Q177" s="17" t="n">
        <f aca="false">1+((P177-104)/110)*(1.15-1)</f>
        <v>1.04636363636364</v>
      </c>
      <c r="R177" s="15" t="n">
        <f aca="false">Q177*L177</f>
        <v>0.313909090909091</v>
      </c>
      <c r="S177" s="15" t="n">
        <f aca="false">J177-R177</f>
        <v>-0.313909090909091</v>
      </c>
      <c r="T177" s="15" t="n">
        <f aca="false">MIN(189.6,(T176+S177))</f>
        <v>189.286090909091</v>
      </c>
      <c r="V177" s="16" t="n">
        <v>152.7</v>
      </c>
      <c r="W177" s="7" t="n">
        <f aca="false">V177/D177</f>
        <v>24.2380952380952</v>
      </c>
      <c r="X177" s="7" t="n">
        <f aca="false">X176+V177</f>
        <v>63191.9</v>
      </c>
      <c r="Y177" s="7" t="n">
        <f aca="false">Y176+V177</f>
        <v>8153</v>
      </c>
      <c r="AA177" s="28" t="n">
        <v>8.75959981716926</v>
      </c>
    </row>
    <row r="178" s="7" customFormat="true" ht="15" hidden="false" customHeight="false" outlineLevel="0" collapsed="false">
      <c r="A178" s="74"/>
      <c r="B178" s="27" t="n">
        <v>25</v>
      </c>
      <c r="C178" s="8" t="n">
        <v>41659</v>
      </c>
      <c r="D178" s="18" t="n">
        <v>4.8</v>
      </c>
      <c r="E178" s="18" t="n">
        <v>4.1</v>
      </c>
      <c r="F178" s="7" t="n">
        <v>6.5</v>
      </c>
      <c r="G178" s="7" t="n">
        <f aca="false">G177+D178</f>
        <v>1273.5</v>
      </c>
      <c r="H178" s="7" t="n">
        <f aca="false">H177+D178</f>
        <v>239</v>
      </c>
      <c r="J178" s="7" t="n">
        <v>0.2</v>
      </c>
      <c r="K178" s="7" t="n">
        <f aca="false">K177+J178</f>
        <v>336.7</v>
      </c>
      <c r="L178" s="7" t="n">
        <v>0.4</v>
      </c>
      <c r="M178" s="7" t="n">
        <f aca="false">M177+L178</f>
        <v>138.8</v>
      </c>
      <c r="N178" s="14" t="n">
        <f aca="false">J178-L178</f>
        <v>-0.2</v>
      </c>
      <c r="O178" s="7" t="n">
        <f aca="false">O177+N178</f>
        <v>189.1</v>
      </c>
      <c r="P178" s="7" t="n">
        <v>139</v>
      </c>
      <c r="Q178" s="17" t="n">
        <f aca="false">1+((P178-104)/110)*(1.15-1)</f>
        <v>1.04772727272727</v>
      </c>
      <c r="R178" s="15" t="n">
        <f aca="false">Q178*L178</f>
        <v>0.419090909090909</v>
      </c>
      <c r="S178" s="15" t="n">
        <f aca="false">J178-R178</f>
        <v>-0.219090909090909</v>
      </c>
      <c r="T178" s="15" t="n">
        <f aca="false">MIN(189.6,(T177+S178))</f>
        <v>189.067</v>
      </c>
      <c r="V178" s="16" t="n">
        <v>164.4</v>
      </c>
      <c r="W178" s="7" t="n">
        <f aca="false">V178/D178</f>
        <v>34.25</v>
      </c>
      <c r="X178" s="7" t="n">
        <f aca="false">X177+V178</f>
        <v>63356.3</v>
      </c>
      <c r="Y178" s="7" t="n">
        <f aca="false">Y177+V178</f>
        <v>8317.4</v>
      </c>
      <c r="AA178" s="28" t="n">
        <v>8.80128064545252</v>
      </c>
    </row>
    <row r="179" s="7" customFormat="true" ht="15" hidden="false" customHeight="false" outlineLevel="0" collapsed="false">
      <c r="A179" s="74"/>
      <c r="B179" s="27" t="n">
        <v>26</v>
      </c>
      <c r="C179" s="8" t="n">
        <v>41660</v>
      </c>
      <c r="D179" s="18" t="n">
        <v>3.1</v>
      </c>
      <c r="E179" s="18" t="n">
        <v>2.3</v>
      </c>
      <c r="F179" s="18" t="n">
        <v>3.9</v>
      </c>
      <c r="G179" s="7" t="n">
        <f aca="false">G178+D179</f>
        <v>1276.6</v>
      </c>
      <c r="H179" s="7" t="n">
        <f aca="false">H178+D179</f>
        <v>242.1</v>
      </c>
      <c r="J179" s="7" t="n">
        <v>0</v>
      </c>
      <c r="K179" s="7" t="n">
        <f aca="false">K178+J179</f>
        <v>336.7</v>
      </c>
      <c r="L179" s="7" t="n">
        <v>0.2</v>
      </c>
      <c r="M179" s="7" t="n">
        <f aca="false">M178+L179</f>
        <v>139</v>
      </c>
      <c r="N179" s="14" t="n">
        <f aca="false">J179-L179</f>
        <v>-0.2</v>
      </c>
      <c r="O179" s="7" t="n">
        <f aca="false">O178+N179</f>
        <v>188.9</v>
      </c>
      <c r="P179" s="7" t="n">
        <v>140</v>
      </c>
      <c r="Q179" s="17" t="n">
        <f aca="false">1+((P179-104)/110)*(1.15-1)</f>
        <v>1.04909090909091</v>
      </c>
      <c r="R179" s="15" t="n">
        <f aca="false">Q179*L179</f>
        <v>0.209818181818182</v>
      </c>
      <c r="S179" s="15" t="n">
        <f aca="false">J179-R179</f>
        <v>-0.209818181818182</v>
      </c>
      <c r="T179" s="15" t="n">
        <f aca="false">MIN(189.6,(T178+S179))</f>
        <v>188.857181818182</v>
      </c>
      <c r="V179" s="16" t="n">
        <v>107.5</v>
      </c>
      <c r="W179" s="7" t="n">
        <f aca="false">V179/D179</f>
        <v>34.6774193548387</v>
      </c>
      <c r="X179" s="7" t="n">
        <f aca="false">X178+V179</f>
        <v>63463.8</v>
      </c>
      <c r="Y179" s="7" t="n">
        <f aca="false">Y178+V179</f>
        <v>8424.9</v>
      </c>
      <c r="AA179" s="28" t="n">
        <v>8.843955490608</v>
      </c>
    </row>
    <row r="180" s="7" customFormat="true" ht="15" hidden="false" customHeight="false" outlineLevel="0" collapsed="false">
      <c r="A180" s="74"/>
      <c r="B180" s="27" t="n">
        <v>27</v>
      </c>
      <c r="C180" s="8" t="n">
        <v>41661</v>
      </c>
      <c r="D180" s="18" t="n">
        <v>3.2</v>
      </c>
      <c r="E180" s="18" t="n">
        <v>2</v>
      </c>
      <c r="F180" s="18" t="n">
        <v>4.5</v>
      </c>
      <c r="G180" s="7" t="n">
        <f aca="false">G179+D180</f>
        <v>1279.8</v>
      </c>
      <c r="H180" s="7" t="n">
        <f aca="false">H179+D180</f>
        <v>245.3</v>
      </c>
      <c r="J180" s="7" t="n">
        <v>3.7</v>
      </c>
      <c r="K180" s="7" t="n">
        <f aca="false">K179+J180</f>
        <v>340.4</v>
      </c>
      <c r="L180" s="7" t="n">
        <v>0.4</v>
      </c>
      <c r="M180" s="7" t="n">
        <f aca="false">M179+L180</f>
        <v>139.4</v>
      </c>
      <c r="N180" s="7" t="n">
        <f aca="false">J180-L180</f>
        <v>3.3</v>
      </c>
      <c r="O180" s="7" t="n">
        <v>189.6</v>
      </c>
      <c r="P180" s="7" t="n">
        <v>141</v>
      </c>
      <c r="Q180" s="17" t="n">
        <f aca="false">1+((P180-104)/110)*(1.15-1)</f>
        <v>1.05045454545455</v>
      </c>
      <c r="R180" s="15" t="n">
        <f aca="false">Q180*L180</f>
        <v>0.420181818181818</v>
      </c>
      <c r="S180" s="15" t="n">
        <f aca="false">J180-R180</f>
        <v>3.27981818181818</v>
      </c>
      <c r="T180" s="15" t="n">
        <f aca="false">MIN(189.6,(T179+S180))</f>
        <v>189.6</v>
      </c>
      <c r="V180" s="16" t="n">
        <v>87.7</v>
      </c>
      <c r="W180" s="7" t="n">
        <f aca="false">V180/D180</f>
        <v>27.40625</v>
      </c>
      <c r="X180" s="7" t="n">
        <f aca="false">X179+V180</f>
        <v>63551.5</v>
      </c>
      <c r="Y180" s="7" t="n">
        <f aca="false">Y179+V180</f>
        <v>8512.6</v>
      </c>
      <c r="AA180" s="28" t="n">
        <v>8.88759141097181</v>
      </c>
    </row>
    <row r="181" s="7" customFormat="true" ht="15" hidden="false" customHeight="false" outlineLevel="0" collapsed="false">
      <c r="A181" s="74"/>
      <c r="B181" s="27" t="n">
        <v>28</v>
      </c>
      <c r="C181" s="8" t="n">
        <v>41662</v>
      </c>
      <c r="D181" s="18" t="n">
        <v>5</v>
      </c>
      <c r="E181" s="18" t="n">
        <v>3.8</v>
      </c>
      <c r="F181" s="7" t="n">
        <v>7.5</v>
      </c>
      <c r="G181" s="7" t="n">
        <f aca="false">G180+D181</f>
        <v>1284.8</v>
      </c>
      <c r="H181" s="7" t="n">
        <f aca="false">H180+D181</f>
        <v>250.3</v>
      </c>
      <c r="J181" s="7" t="n">
        <v>5.4</v>
      </c>
      <c r="K181" s="7" t="n">
        <f aca="false">K180+J181</f>
        <v>345.8</v>
      </c>
      <c r="L181" s="7" t="n">
        <v>0.5</v>
      </c>
      <c r="M181" s="7" t="n">
        <f aca="false">M180+L181</f>
        <v>139.9</v>
      </c>
      <c r="N181" s="7" t="n">
        <f aca="false">J181-L181</f>
        <v>4.9</v>
      </c>
      <c r="O181" s="7" t="n">
        <v>189.6</v>
      </c>
      <c r="P181" s="7" t="n">
        <v>142</v>
      </c>
      <c r="Q181" s="17" t="n">
        <f aca="false">1+((P181-104)/110)*(1.15-1)</f>
        <v>1.05181818181818</v>
      </c>
      <c r="R181" s="15" t="n">
        <f aca="false">Q181*L181</f>
        <v>0.525909090909091</v>
      </c>
      <c r="S181" s="15" t="n">
        <f aca="false">J181-R181</f>
        <v>4.87409090909091</v>
      </c>
      <c r="T181" s="15" t="n">
        <f aca="false">MIN(189.6,(T180+S181))</f>
        <v>189.6</v>
      </c>
      <c r="V181" s="16" t="n">
        <v>151.3</v>
      </c>
      <c r="W181" s="7" t="n">
        <f aca="false">V181/D181</f>
        <v>30.26</v>
      </c>
      <c r="X181" s="7" t="n">
        <f aca="false">X180+V181</f>
        <v>63702.8</v>
      </c>
      <c r="Y181" s="7" t="n">
        <f aca="false">Y180+V181</f>
        <v>8663.9</v>
      </c>
      <c r="AA181" s="28" t="n">
        <v>8.93215569582119</v>
      </c>
    </row>
    <row r="182" s="7" customFormat="true" ht="15" hidden="false" customHeight="false" outlineLevel="0" collapsed="false">
      <c r="A182" s="74"/>
      <c r="B182" s="27" t="n">
        <v>29</v>
      </c>
      <c r="C182" s="8" t="n">
        <v>41663</v>
      </c>
      <c r="D182" s="18" t="n">
        <v>2.8</v>
      </c>
      <c r="E182" s="18" t="n">
        <v>1.1</v>
      </c>
      <c r="F182" s="7" t="n">
        <v>5.4</v>
      </c>
      <c r="G182" s="7" t="n">
        <f aca="false">G181+D182</f>
        <v>1287.6</v>
      </c>
      <c r="H182" s="7" t="n">
        <f aca="false">H181+D182</f>
        <v>253.1</v>
      </c>
      <c r="J182" s="7" t="n">
        <v>2.1</v>
      </c>
      <c r="K182" s="7" t="n">
        <f aca="false">K181+J182</f>
        <v>347.9</v>
      </c>
      <c r="L182" s="7" t="n">
        <v>0.5</v>
      </c>
      <c r="M182" s="7" t="n">
        <f aca="false">M181+L182</f>
        <v>140.4</v>
      </c>
      <c r="N182" s="7" t="n">
        <f aca="false">J182-L182</f>
        <v>1.6</v>
      </c>
      <c r="O182" s="7" t="n">
        <v>189.6</v>
      </c>
      <c r="P182" s="7" t="n">
        <v>143</v>
      </c>
      <c r="Q182" s="17" t="n">
        <f aca="false">1+((P182-104)/110)*(1.15-1)</f>
        <v>1.05318181818182</v>
      </c>
      <c r="R182" s="15" t="n">
        <f aca="false">Q182*L182</f>
        <v>0.526590909090909</v>
      </c>
      <c r="S182" s="15" t="n">
        <f aca="false">J182-R182</f>
        <v>1.57340909090909</v>
      </c>
      <c r="T182" s="15" t="n">
        <f aca="false">MIN(189.6,(T181+S182))</f>
        <v>189.6</v>
      </c>
      <c r="V182" s="16" t="n">
        <v>268.5</v>
      </c>
      <c r="W182" s="7" t="n">
        <f aca="false">V182/D182</f>
        <v>95.8928571428572</v>
      </c>
      <c r="X182" s="7" t="n">
        <f aca="false">X181+V182</f>
        <v>63971.3</v>
      </c>
      <c r="Y182" s="7" t="n">
        <f aca="false">Y181+V182</f>
        <v>8932.4</v>
      </c>
      <c r="AA182" s="28" t="n">
        <v>8.9776159277803</v>
      </c>
    </row>
    <row r="183" s="7" customFormat="true" ht="15" hidden="false" customHeight="false" outlineLevel="0" collapsed="false">
      <c r="A183" s="74"/>
      <c r="B183" s="35"/>
      <c r="C183" s="8" t="n">
        <v>41664</v>
      </c>
      <c r="D183" s="18" t="n">
        <v>4.6</v>
      </c>
      <c r="E183" s="18" t="n">
        <v>2.2</v>
      </c>
      <c r="F183" s="7" t="n">
        <v>6.5</v>
      </c>
      <c r="G183" s="7" t="n">
        <f aca="false">G182+D183</f>
        <v>1292.2</v>
      </c>
      <c r="H183" s="7" t="n">
        <f aca="false">H182+D183</f>
        <v>257.7</v>
      </c>
      <c r="J183" s="7" t="n">
        <v>0.9</v>
      </c>
      <c r="K183" s="7" t="n">
        <f aca="false">K182+J183</f>
        <v>348.8</v>
      </c>
      <c r="L183" s="7" t="n">
        <v>0.5</v>
      </c>
      <c r="M183" s="7" t="n">
        <f aca="false">M182+L183</f>
        <v>140.9</v>
      </c>
      <c r="N183" s="7" t="n">
        <f aca="false">J183-L183</f>
        <v>0.4</v>
      </c>
      <c r="O183" s="7" t="n">
        <v>189.6</v>
      </c>
      <c r="P183" s="7" t="n">
        <v>144</v>
      </c>
      <c r="Q183" s="17" t="n">
        <f aca="false">1+((P183-104)/110)*(1.15-1)</f>
        <v>1.05454545454545</v>
      </c>
      <c r="R183" s="15" t="n">
        <f aca="false">Q183*L183</f>
        <v>0.527272727272727</v>
      </c>
      <c r="S183" s="15" t="n">
        <f aca="false">J183-R183</f>
        <v>0.372727272727273</v>
      </c>
      <c r="T183" s="15" t="n">
        <f aca="false">MIN(189.6,(T182+S183))</f>
        <v>189.6</v>
      </c>
      <c r="V183" s="16" t="n">
        <v>166.3</v>
      </c>
      <c r="W183" s="7" t="n">
        <f aca="false">V183/D183</f>
        <v>36.1521739130435</v>
      </c>
      <c r="X183" s="7" t="n">
        <f aca="false">X182+V183</f>
        <v>64137.6</v>
      </c>
      <c r="Y183" s="7" t="n">
        <f aca="false">Y182+V183</f>
        <v>9098.7</v>
      </c>
      <c r="AA183" s="7" t="n">
        <v>9.02394004064672</v>
      </c>
    </row>
    <row r="184" s="7" customFormat="true" ht="15" hidden="false" customHeight="false" outlineLevel="0" collapsed="false">
      <c r="A184" s="74"/>
      <c r="B184" s="35"/>
      <c r="C184" s="8" t="n">
        <v>41665</v>
      </c>
      <c r="D184" s="7" t="n">
        <v>5.1</v>
      </c>
      <c r="E184" s="18" t="n">
        <v>2</v>
      </c>
      <c r="F184" s="7" t="n">
        <v>8.1</v>
      </c>
      <c r="G184" s="7" t="n">
        <f aca="false">G183+D184</f>
        <v>1297.3</v>
      </c>
      <c r="H184" s="7" t="n">
        <f aca="false">H183+D184</f>
        <v>262.8</v>
      </c>
      <c r="J184" s="7" t="n">
        <v>9.3</v>
      </c>
      <c r="K184" s="7" t="n">
        <f aca="false">K183+J184</f>
        <v>358.1</v>
      </c>
      <c r="L184" s="7" t="n">
        <v>0.6</v>
      </c>
      <c r="M184" s="7" t="n">
        <f aca="false">M183+L184</f>
        <v>141.5</v>
      </c>
      <c r="N184" s="7" t="n">
        <f aca="false">J184-L184</f>
        <v>8.7</v>
      </c>
      <c r="O184" s="7" t="n">
        <v>189.6</v>
      </c>
      <c r="P184" s="7" t="n">
        <v>145</v>
      </c>
      <c r="Q184" s="17" t="n">
        <f aca="false">1+((P184-104)/110)*(1.15-1)</f>
        <v>1.05590909090909</v>
      </c>
      <c r="R184" s="15" t="n">
        <f aca="false">Q184*L184</f>
        <v>0.633545454545455</v>
      </c>
      <c r="S184" s="15" t="n">
        <f aca="false">J184-R184</f>
        <v>8.66645454545455</v>
      </c>
      <c r="T184" s="15" t="n">
        <f aca="false">MIN(189.6,(T183+S184))</f>
        <v>189.6</v>
      </c>
      <c r="V184" s="16" t="n">
        <v>321.6</v>
      </c>
      <c r="W184" s="7" t="n">
        <f aca="false">V184/D184</f>
        <v>63.0588235294118</v>
      </c>
      <c r="X184" s="7" t="n">
        <f aca="false">X183+V184</f>
        <v>64459.2</v>
      </c>
      <c r="Y184" s="7" t="n">
        <f aca="false">Y183+V184</f>
        <v>9420.3</v>
      </c>
      <c r="AA184" s="7" t="n">
        <v>9.07109637263594</v>
      </c>
    </row>
    <row r="185" s="7" customFormat="true" ht="15" hidden="false" customHeight="false" outlineLevel="0" collapsed="false">
      <c r="A185" s="74"/>
      <c r="B185" s="35"/>
      <c r="C185" s="8" t="n">
        <v>41666</v>
      </c>
      <c r="D185" s="18" t="n">
        <v>2.9</v>
      </c>
      <c r="E185" s="18" t="n">
        <v>2</v>
      </c>
      <c r="F185" s="18" t="n">
        <v>4.1</v>
      </c>
      <c r="G185" s="7" t="n">
        <f aca="false">G184+D185</f>
        <v>1300.2</v>
      </c>
      <c r="H185" s="7" t="n">
        <f aca="false">H184+D185</f>
        <v>265.7</v>
      </c>
      <c r="J185" s="7" t="n">
        <v>4.5</v>
      </c>
      <c r="K185" s="7" t="n">
        <f aca="false">K184+J185</f>
        <v>362.6</v>
      </c>
      <c r="L185" s="7" t="n">
        <v>0.5</v>
      </c>
      <c r="M185" s="7" t="n">
        <f aca="false">M184+L185</f>
        <v>142</v>
      </c>
      <c r="N185" s="7" t="n">
        <f aca="false">J185-L185</f>
        <v>4</v>
      </c>
      <c r="O185" s="7" t="n">
        <v>189.6</v>
      </c>
      <c r="P185" s="7" t="n">
        <v>146</v>
      </c>
      <c r="Q185" s="17" t="n">
        <f aca="false">1+((P185-104)/110)*(1.15-1)</f>
        <v>1.05727272727273</v>
      </c>
      <c r="R185" s="15" t="n">
        <f aca="false">Q185*L185</f>
        <v>0.528636363636364</v>
      </c>
      <c r="S185" s="15" t="n">
        <f aca="false">J185-R185</f>
        <v>3.97136363636364</v>
      </c>
      <c r="T185" s="15" t="n">
        <f aca="false">MIN(189.6,(T184+S185))</f>
        <v>189.6</v>
      </c>
      <c r="V185" s="16" t="n">
        <v>146</v>
      </c>
      <c r="W185" s="7" t="n">
        <f aca="false">V185/D185</f>
        <v>50.3448275862069</v>
      </c>
      <c r="X185" s="7" t="n">
        <f aca="false">X184+V185</f>
        <v>64605.2</v>
      </c>
      <c r="Y185" s="7" t="n">
        <f aca="false">Y184+V185</f>
        <v>9566.3</v>
      </c>
      <c r="AA185" s="7" t="n">
        <v>9.1190537150738</v>
      </c>
    </row>
    <row r="186" s="7" customFormat="true" ht="15" hidden="false" customHeight="false" outlineLevel="0" collapsed="false">
      <c r="A186" s="74"/>
      <c r="B186" s="35"/>
      <c r="C186" s="8" t="n">
        <v>41667</v>
      </c>
      <c r="D186" s="18" t="n">
        <v>4.2</v>
      </c>
      <c r="E186" s="18" t="n">
        <v>2.3</v>
      </c>
      <c r="F186" s="7" t="n">
        <v>5.2</v>
      </c>
      <c r="G186" s="7" t="n">
        <f aca="false">G185+D186</f>
        <v>1304.4</v>
      </c>
      <c r="H186" s="7" t="n">
        <f aca="false">H185+D186</f>
        <v>269.9</v>
      </c>
      <c r="J186" s="7" t="n">
        <v>2</v>
      </c>
      <c r="K186" s="7" t="n">
        <f aca="false">K185+J186</f>
        <v>364.6</v>
      </c>
      <c r="L186" s="7" t="n">
        <v>0.3</v>
      </c>
      <c r="M186" s="7" t="n">
        <f aca="false">M185+L186</f>
        <v>142.3</v>
      </c>
      <c r="N186" s="7" t="n">
        <f aca="false">J186-L186</f>
        <v>1.7</v>
      </c>
      <c r="O186" s="7" t="n">
        <v>189.6</v>
      </c>
      <c r="P186" s="7" t="n">
        <v>147</v>
      </c>
      <c r="Q186" s="17" t="n">
        <f aca="false">1+((P186-104)/110)*(1.15-1)</f>
        <v>1.05863636363636</v>
      </c>
      <c r="R186" s="15" t="n">
        <f aca="false">Q186*L186</f>
        <v>0.317590909090909</v>
      </c>
      <c r="S186" s="15" t="n">
        <f aca="false">J186-R186</f>
        <v>1.68240909090909</v>
      </c>
      <c r="T186" s="15" t="n">
        <f aca="false">MIN(189.6,(T185+S186))</f>
        <v>189.6</v>
      </c>
      <c r="V186" s="16" t="n">
        <v>126.8</v>
      </c>
      <c r="W186" s="7" t="n">
        <f aca="false">V186/D186</f>
        <v>30.1904761904762</v>
      </c>
      <c r="X186" s="7" t="n">
        <f aca="false">X185+V186</f>
        <v>64732</v>
      </c>
      <c r="Y186" s="7" t="n">
        <f aca="false">Y185+V186</f>
        <v>9693.1</v>
      </c>
      <c r="AA186" s="7" t="n">
        <v>9.16778135659601</v>
      </c>
    </row>
    <row r="187" s="7" customFormat="true" ht="15" hidden="false" customHeight="false" outlineLevel="0" collapsed="false">
      <c r="A187" s="74"/>
      <c r="B187" s="35"/>
      <c r="C187" s="8" t="n">
        <v>41668</v>
      </c>
      <c r="D187" s="18" t="n">
        <v>3.7</v>
      </c>
      <c r="E187" s="18" t="n">
        <v>2.8</v>
      </c>
      <c r="F187" s="18" t="n">
        <v>4.5</v>
      </c>
      <c r="G187" s="7" t="n">
        <f aca="false">G186+D187</f>
        <v>1308.1</v>
      </c>
      <c r="H187" s="7" t="n">
        <f aca="false">H186+D187</f>
        <v>273.6</v>
      </c>
      <c r="J187" s="7" t="n">
        <v>3.3</v>
      </c>
      <c r="K187" s="7" t="n">
        <f aca="false">K186+J187</f>
        <v>367.9</v>
      </c>
      <c r="L187" s="7" t="n">
        <v>0.6</v>
      </c>
      <c r="M187" s="7" t="n">
        <f aca="false">M186+L187</f>
        <v>142.9</v>
      </c>
      <c r="N187" s="7" t="n">
        <f aca="false">J187-L187</f>
        <v>2.7</v>
      </c>
      <c r="O187" s="7" t="n">
        <v>189.6</v>
      </c>
      <c r="P187" s="7" t="n">
        <v>148</v>
      </c>
      <c r="Q187" s="17" t="n">
        <f aca="false">1+((P187-104)/110)*(1.15-1)</f>
        <v>1.06</v>
      </c>
      <c r="R187" s="15" t="n">
        <f aca="false">Q187*L187</f>
        <v>0.636</v>
      </c>
      <c r="S187" s="15" t="n">
        <f aca="false">J187-R187</f>
        <v>2.664</v>
      </c>
      <c r="T187" s="15" t="n">
        <f aca="false">MIN(189.6,(T186+S187))</f>
        <v>189.6</v>
      </c>
      <c r="V187" s="16" t="n">
        <v>262.8</v>
      </c>
      <c r="W187" s="7" t="n">
        <f aca="false">V187/D187</f>
        <v>71.027027027027</v>
      </c>
      <c r="X187" s="7" t="n">
        <f aca="false">X186+V187</f>
        <v>64994.8</v>
      </c>
      <c r="Y187" s="7" t="n">
        <f aca="false">Y186+V187</f>
        <v>9955.9</v>
      </c>
      <c r="AA187" s="7" t="n">
        <v>9.21724912294005</v>
      </c>
    </row>
    <row r="188" s="7" customFormat="true" ht="15" hidden="false" customHeight="false" outlineLevel="0" collapsed="false">
      <c r="A188" s="74"/>
      <c r="B188" s="35"/>
      <c r="C188" s="8" t="n">
        <v>41669</v>
      </c>
      <c r="D188" s="18" t="n">
        <v>4.7</v>
      </c>
      <c r="E188" s="18" t="n">
        <v>3.6</v>
      </c>
      <c r="F188" s="7" t="n">
        <v>6.3</v>
      </c>
      <c r="G188" s="7" t="n">
        <f aca="false">G187+D188</f>
        <v>1312.8</v>
      </c>
      <c r="H188" s="7" t="n">
        <f aca="false">H187+D188</f>
        <v>278.3</v>
      </c>
      <c r="J188" s="7" t="n">
        <v>0</v>
      </c>
      <c r="K188" s="7" t="n">
        <f aca="false">K187+J188</f>
        <v>367.9</v>
      </c>
      <c r="L188" s="7" t="n">
        <v>0.3</v>
      </c>
      <c r="M188" s="7" t="n">
        <f aca="false">M187+L188</f>
        <v>143.2</v>
      </c>
      <c r="N188" s="14" t="n">
        <f aca="false">J188-L188</f>
        <v>-0.3</v>
      </c>
      <c r="O188" s="7" t="n">
        <f aca="false">O187+N188</f>
        <v>189.3</v>
      </c>
      <c r="P188" s="7" t="n">
        <v>149</v>
      </c>
      <c r="Q188" s="17" t="n">
        <f aca="false">1+((P188-104)/110)*(1.15-1)</f>
        <v>1.06136363636364</v>
      </c>
      <c r="R188" s="15" t="n">
        <f aca="false">Q188*L188</f>
        <v>0.318409090909091</v>
      </c>
      <c r="S188" s="15" t="n">
        <f aca="false">J188-R188</f>
        <v>-0.318409090909091</v>
      </c>
      <c r="T188" s="15" t="n">
        <f aca="false">MIN(189.6,(T187+S188))</f>
        <v>189.281590909091</v>
      </c>
      <c r="V188" s="16" t="n">
        <v>125.8</v>
      </c>
      <c r="W188" s="7" t="n">
        <f aca="false">V188/D188</f>
        <v>26.7659574468085</v>
      </c>
      <c r="X188" s="7" t="n">
        <f aca="false">X187+V188</f>
        <v>65120.6</v>
      </c>
      <c r="Y188" s="7" t="n">
        <f aca="false">Y187+V188</f>
        <v>10081.7</v>
      </c>
      <c r="AA188" s="7" t="n">
        <v>9.2674274124374</v>
      </c>
    </row>
    <row r="189" s="7" customFormat="true" ht="15" hidden="false" customHeight="false" outlineLevel="0" collapsed="false">
      <c r="A189" s="74"/>
      <c r="B189" s="35"/>
      <c r="C189" s="8" t="n">
        <v>41670</v>
      </c>
      <c r="D189" s="18" t="n">
        <v>4.4</v>
      </c>
      <c r="E189" s="18" t="n">
        <v>0.6</v>
      </c>
      <c r="F189" s="7" t="n">
        <v>7.3</v>
      </c>
      <c r="G189" s="7" t="n">
        <f aca="false">G188+D189</f>
        <v>1317.2</v>
      </c>
      <c r="H189" s="7" t="n">
        <f aca="false">H188+D189</f>
        <v>282.7</v>
      </c>
      <c r="J189" s="7" t="n">
        <v>13</v>
      </c>
      <c r="K189" s="7" t="n">
        <f aca="false">K188+J189</f>
        <v>380.9</v>
      </c>
      <c r="L189" s="7" t="n">
        <v>0.3</v>
      </c>
      <c r="M189" s="7" t="n">
        <f aca="false">M188+L189</f>
        <v>143.5</v>
      </c>
      <c r="N189" s="7" t="n">
        <f aca="false">J189-L189</f>
        <v>12.7</v>
      </c>
      <c r="O189" s="7" t="n">
        <v>189.6</v>
      </c>
      <c r="P189" s="7" t="n">
        <v>150</v>
      </c>
      <c r="Q189" s="17" t="n">
        <f aca="false">1+((P189-104)/110)*(1.15-1)</f>
        <v>1.06272727272727</v>
      </c>
      <c r="R189" s="15" t="n">
        <f aca="false">Q189*L189</f>
        <v>0.318818181818182</v>
      </c>
      <c r="S189" s="15" t="n">
        <f aca="false">J189-R189</f>
        <v>12.6811818181818</v>
      </c>
      <c r="T189" s="15" t="n">
        <f aca="false">MIN(189.6,(T188+S189))</f>
        <v>189.6</v>
      </c>
      <c r="V189" s="16" t="n">
        <v>218.3</v>
      </c>
      <c r="W189" s="7" t="n">
        <f aca="false">V189/D189</f>
        <v>49.6136363636364</v>
      </c>
      <c r="X189" s="7" t="n">
        <f aca="false">X188+V189</f>
        <v>65338.9</v>
      </c>
      <c r="Y189" s="7" t="n">
        <f aca="false">Y188+V189</f>
        <v>10300</v>
      </c>
      <c r="AA189" s="7" t="n">
        <v>9.31828722733351</v>
      </c>
    </row>
    <row r="190" s="7" customFormat="true" ht="15" hidden="false" customHeight="false" outlineLevel="0" collapsed="false">
      <c r="A190" s="74"/>
      <c r="B190" s="35"/>
      <c r="C190" s="8" t="n">
        <v>41671</v>
      </c>
      <c r="D190" s="7" t="n">
        <v>5.9</v>
      </c>
      <c r="E190" s="18" t="n">
        <v>4.6</v>
      </c>
      <c r="F190" s="7" t="n">
        <v>7.8</v>
      </c>
      <c r="G190" s="7" t="n">
        <f aca="false">G189+D190</f>
        <v>1323.1</v>
      </c>
      <c r="H190" s="7" t="n">
        <f aca="false">H189+D190</f>
        <v>288.6</v>
      </c>
      <c r="J190" s="7" t="n">
        <v>0.9</v>
      </c>
      <c r="K190" s="7" t="n">
        <f aca="false">K189+J190</f>
        <v>381.8</v>
      </c>
      <c r="L190" s="7" t="n">
        <v>0.8</v>
      </c>
      <c r="M190" s="7" t="n">
        <f aca="false">M189+L190</f>
        <v>144.3</v>
      </c>
      <c r="N190" s="7" t="n">
        <f aca="false">J190-L190</f>
        <v>0.1</v>
      </c>
      <c r="O190" s="7" t="n">
        <v>189.6</v>
      </c>
      <c r="P190" s="7" t="n">
        <v>151</v>
      </c>
      <c r="Q190" s="17" t="n">
        <f aca="false">1+((P190-104)/110)*(1.15-1)</f>
        <v>1.06409090909091</v>
      </c>
      <c r="R190" s="15" t="n">
        <f aca="false">Q190*L190</f>
        <v>0.851272727272727</v>
      </c>
      <c r="S190" s="15" t="n">
        <f aca="false">J190-R190</f>
        <v>0.0487272727272728</v>
      </c>
      <c r="T190" s="15" t="n">
        <f aca="false">MIN(189.6,(T189+S190))</f>
        <v>189.6</v>
      </c>
      <c r="V190" s="16" t="n">
        <v>272</v>
      </c>
      <c r="W190" s="7" t="n">
        <f aca="false">V190/D190</f>
        <v>46.1016949152542</v>
      </c>
      <c r="X190" s="7" t="n">
        <f aca="false">X189+V190</f>
        <v>65610.9</v>
      </c>
      <c r="Y190" s="7" t="n">
        <f aca="false">Y189+V190</f>
        <v>10572</v>
      </c>
      <c r="AA190" s="7" t="n">
        <v>9.36980020107949</v>
      </c>
    </row>
    <row r="191" s="7" customFormat="true" ht="15" hidden="false" customHeight="false" outlineLevel="0" collapsed="false">
      <c r="A191" s="74"/>
      <c r="B191" s="35"/>
      <c r="C191" s="8" t="n">
        <v>41672</v>
      </c>
      <c r="D191" s="18" t="n">
        <v>4.2</v>
      </c>
      <c r="E191" s="18" t="n">
        <v>2.1</v>
      </c>
      <c r="F191" s="7" t="n">
        <v>7</v>
      </c>
      <c r="G191" s="7" t="n">
        <f aca="false">G190+D191</f>
        <v>1327.3</v>
      </c>
      <c r="H191" s="7" t="n">
        <f aca="false">H190+D191</f>
        <v>292.8</v>
      </c>
      <c r="J191" s="7" t="n">
        <v>0.1</v>
      </c>
      <c r="K191" s="7" t="n">
        <f aca="false">K190+J191</f>
        <v>381.9</v>
      </c>
      <c r="L191" s="7" t="n">
        <v>1</v>
      </c>
      <c r="M191" s="7" t="n">
        <f aca="false">M190+L191</f>
        <v>145.3</v>
      </c>
      <c r="N191" s="14" t="n">
        <f aca="false">J191-L191</f>
        <v>-0.9</v>
      </c>
      <c r="O191" s="7" t="n">
        <f aca="false">O190+N191</f>
        <v>188.7</v>
      </c>
      <c r="P191" s="7" t="n">
        <v>152</v>
      </c>
      <c r="Q191" s="17" t="n">
        <f aca="false">1+((P191-104)/110)*(1.15-1)</f>
        <v>1.06545454545455</v>
      </c>
      <c r="R191" s="15" t="n">
        <f aca="false">Q191*L191</f>
        <v>1.06545454545455</v>
      </c>
      <c r="S191" s="15" t="n">
        <f aca="false">J191-R191</f>
        <v>-0.965454545454546</v>
      </c>
      <c r="T191" s="15" t="n">
        <f aca="false">MIN(189.6,(T190+S191))</f>
        <v>188.634545454545</v>
      </c>
      <c r="V191" s="16" t="n">
        <v>752.5</v>
      </c>
      <c r="W191" s="7" t="n">
        <f aca="false">V191/D191</f>
        <v>179.166666666667</v>
      </c>
      <c r="X191" s="7" t="n">
        <f aca="false">X190+V191</f>
        <v>66363.4</v>
      </c>
      <c r="Y191" s="7" t="n">
        <f aca="false">Y190+V191</f>
        <v>11324.5</v>
      </c>
      <c r="AA191" s="7" t="n">
        <v>9.42193862175289</v>
      </c>
    </row>
    <row r="192" s="7" customFormat="true" ht="15" hidden="false" customHeight="false" outlineLevel="0" collapsed="false">
      <c r="A192" s="74"/>
      <c r="B192" s="35"/>
      <c r="C192" s="8" t="n">
        <v>41673</v>
      </c>
      <c r="D192" s="18" t="n">
        <v>3.9</v>
      </c>
      <c r="E192" s="18" t="n">
        <v>0.9</v>
      </c>
      <c r="F192" s="7" t="n">
        <v>6.6</v>
      </c>
      <c r="G192" s="7" t="n">
        <f aca="false">G191+D192</f>
        <v>1331.2</v>
      </c>
      <c r="H192" s="7" t="n">
        <f aca="false">H191+D192</f>
        <v>296.7</v>
      </c>
      <c r="J192" s="7" t="n">
        <v>0</v>
      </c>
      <c r="K192" s="7" t="n">
        <f aca="false">K191+J192</f>
        <v>381.9</v>
      </c>
      <c r="L192" s="7" t="n">
        <v>0.8</v>
      </c>
      <c r="M192" s="7" t="n">
        <f aca="false">M191+L192</f>
        <v>146.1</v>
      </c>
      <c r="N192" s="14" t="n">
        <f aca="false">J192-L192</f>
        <v>-0.8</v>
      </c>
      <c r="O192" s="7" t="n">
        <f aca="false">O191+N192</f>
        <v>187.9</v>
      </c>
      <c r="P192" s="7" t="n">
        <v>153</v>
      </c>
      <c r="Q192" s="17" t="n">
        <f aca="false">1+((P192-104)/110)*(1.15-1)</f>
        <v>1.06681818181818</v>
      </c>
      <c r="R192" s="15" t="n">
        <f aca="false">Q192*L192</f>
        <v>0.853454545454546</v>
      </c>
      <c r="S192" s="15" t="n">
        <f aca="false">J192-R192</f>
        <v>-0.853454545454546</v>
      </c>
      <c r="T192" s="15" t="n">
        <f aca="false">MIN(189.6,(T191+S192))</f>
        <v>187.781090909091</v>
      </c>
      <c r="V192" s="16" t="n">
        <v>672.2</v>
      </c>
      <c r="W192" s="7" t="n">
        <f aca="false">V192/D192</f>
        <v>172.358974358974</v>
      </c>
      <c r="X192" s="7" t="n">
        <f aca="false">X191+V192</f>
        <v>67035.6</v>
      </c>
      <c r="Y192" s="7" t="n">
        <f aca="false">Y191+V192</f>
        <v>11996.7</v>
      </c>
      <c r="AA192" s="7" t="n">
        <v>9.47467545177604</v>
      </c>
    </row>
    <row r="193" s="7" customFormat="true" ht="15" hidden="false" customHeight="false" outlineLevel="0" collapsed="false">
      <c r="A193" s="74"/>
      <c r="B193" s="35"/>
      <c r="C193" s="8" t="n">
        <v>41674</v>
      </c>
      <c r="D193" s="7" t="n">
        <v>5.6</v>
      </c>
      <c r="E193" s="18" t="n">
        <v>3.5</v>
      </c>
      <c r="F193" s="7" t="n">
        <v>6.9</v>
      </c>
      <c r="G193" s="7" t="n">
        <f aca="false">G192+D193</f>
        <v>1336.8</v>
      </c>
      <c r="H193" s="7" t="n">
        <f aca="false">H192+D193</f>
        <v>302.3</v>
      </c>
      <c r="J193" s="7" t="n">
        <v>2</v>
      </c>
      <c r="K193" s="7" t="n">
        <f aca="false">K192+J193</f>
        <v>383.9</v>
      </c>
      <c r="L193" s="7" t="n">
        <v>0.9</v>
      </c>
      <c r="M193" s="7" t="n">
        <f aca="false">M192+L193</f>
        <v>147</v>
      </c>
      <c r="N193" s="7" t="n">
        <f aca="false">J193-L193</f>
        <v>1.1</v>
      </c>
      <c r="O193" s="7" t="n">
        <f aca="false">O192+N193</f>
        <v>189</v>
      </c>
      <c r="P193" s="7" t="n">
        <v>154</v>
      </c>
      <c r="Q193" s="17" t="n">
        <f aca="false">1+((P193-104)/110)*(1.15-1)</f>
        <v>1.06818181818182</v>
      </c>
      <c r="R193" s="15" t="n">
        <f aca="false">Q193*L193</f>
        <v>0.961363636363636</v>
      </c>
      <c r="S193" s="15" t="n">
        <f aca="false">J193-R193</f>
        <v>1.03863636363636</v>
      </c>
      <c r="T193" s="15" t="n">
        <f aca="false">MIN(189.6,(T192+S193))</f>
        <v>188.819727272727</v>
      </c>
      <c r="V193" s="16" t="n">
        <v>321.9</v>
      </c>
      <c r="W193" s="7" t="n">
        <f aca="false">V193/D193</f>
        <v>57.4821428571429</v>
      </c>
      <c r="X193" s="7" t="n">
        <f aca="false">X192+V193</f>
        <v>67357.5</v>
      </c>
      <c r="Y193" s="7" t="n">
        <f aca="false">Y192+V193</f>
        <v>12318.6</v>
      </c>
      <c r="AA193" s="7" t="n">
        <v>9.52798434410822</v>
      </c>
    </row>
    <row r="194" s="7" customFormat="true" ht="15" hidden="false" customHeight="false" outlineLevel="0" collapsed="false">
      <c r="A194" s="74"/>
      <c r="B194" s="35"/>
      <c r="C194" s="8" t="n">
        <v>41675</v>
      </c>
      <c r="D194" s="7" t="n">
        <v>7.2</v>
      </c>
      <c r="E194" s="7" t="n">
        <v>5.8</v>
      </c>
      <c r="F194" s="7" t="n">
        <v>8.3</v>
      </c>
      <c r="G194" s="7" t="n">
        <f aca="false">G193+D194</f>
        <v>1344</v>
      </c>
      <c r="H194" s="7" t="n">
        <f aca="false">H193+D194</f>
        <v>309.5</v>
      </c>
      <c r="J194" s="7" t="n">
        <v>0.6</v>
      </c>
      <c r="K194" s="7" t="n">
        <f aca="false">K193+J194</f>
        <v>384.5</v>
      </c>
      <c r="L194" s="7" t="n">
        <v>1.3</v>
      </c>
      <c r="M194" s="7" t="n">
        <f aca="false">M193+L194</f>
        <v>148.3</v>
      </c>
      <c r="N194" s="14" t="n">
        <f aca="false">J194-L194</f>
        <v>-0.7</v>
      </c>
      <c r="O194" s="7" t="n">
        <f aca="false">O193+N194</f>
        <v>188.3</v>
      </c>
      <c r="P194" s="7" t="n">
        <v>155</v>
      </c>
      <c r="Q194" s="17" t="n">
        <f aca="false">1+((P194-104)/110)*(1.15-1)</f>
        <v>1.06954545454545</v>
      </c>
      <c r="R194" s="15" t="n">
        <f aca="false">Q194*L194</f>
        <v>1.39040909090909</v>
      </c>
      <c r="S194" s="15" t="n">
        <f aca="false">J194-R194</f>
        <v>-0.790409090909091</v>
      </c>
      <c r="T194" s="15" t="n">
        <f aca="false">MIN(189.6,(T193+S194))</f>
        <v>188.029318181818</v>
      </c>
      <c r="V194" s="16" t="n">
        <v>482.3</v>
      </c>
      <c r="W194" s="7" t="n">
        <f aca="false">V194/D194</f>
        <v>66.9861111111111</v>
      </c>
      <c r="X194" s="7" t="n">
        <f aca="false">X193+V194</f>
        <v>67839.8</v>
      </c>
      <c r="Y194" s="7" t="n">
        <f aca="false">Y193+V194</f>
        <v>12800.9</v>
      </c>
      <c r="AA194" s="7" t="n">
        <v>9.58183965509436</v>
      </c>
    </row>
    <row r="195" s="7" customFormat="true" ht="15" hidden="false" customHeight="false" outlineLevel="0" collapsed="false">
      <c r="A195" s="74"/>
      <c r="B195" s="35"/>
      <c r="C195" s="8" t="n">
        <v>41676</v>
      </c>
      <c r="D195" s="7" t="n">
        <v>7.5</v>
      </c>
      <c r="E195" s="18" t="n">
        <v>5</v>
      </c>
      <c r="F195" s="7" t="n">
        <v>11.2</v>
      </c>
      <c r="G195" s="7" t="n">
        <f aca="false">G194+D195</f>
        <v>1351.5</v>
      </c>
      <c r="H195" s="7" t="n">
        <f aca="false">H194+D195</f>
        <v>317</v>
      </c>
      <c r="J195" s="7" t="n">
        <v>7.2</v>
      </c>
      <c r="K195" s="7" t="n">
        <f aca="false">K194+J195</f>
        <v>391.7</v>
      </c>
      <c r="L195" s="7" t="n">
        <v>1.5</v>
      </c>
      <c r="M195" s="7" t="n">
        <f aca="false">M194+L195</f>
        <v>149.8</v>
      </c>
      <c r="N195" s="7" t="n">
        <f aca="false">J195-L195</f>
        <v>5.7</v>
      </c>
      <c r="O195" s="7" t="n">
        <v>189.6</v>
      </c>
      <c r="P195" s="7" t="n">
        <v>156</v>
      </c>
      <c r="Q195" s="17" t="n">
        <f aca="false">1+((P195-104)/110)*(1.15-1)</f>
        <v>1.07090909090909</v>
      </c>
      <c r="R195" s="15" t="n">
        <f aca="false">Q195*L195</f>
        <v>1.60636363636364</v>
      </c>
      <c r="S195" s="15" t="n">
        <f aca="false">J195-R195</f>
        <v>5.59363636363636</v>
      </c>
      <c r="T195" s="15" t="n">
        <f aca="false">MIN(189.6,(T194+S195))</f>
        <v>189.6</v>
      </c>
      <c r="V195" s="16" t="n">
        <v>193.9</v>
      </c>
      <c r="W195" s="7" t="n">
        <f aca="false">V195/D195</f>
        <v>25.8533333333333</v>
      </c>
      <c r="X195" s="7" t="n">
        <f aca="false">X194+V195</f>
        <v>68033.7</v>
      </c>
      <c r="Y195" s="7" t="n">
        <f aca="false">Y194+V195</f>
        <v>12994.8</v>
      </c>
      <c r="AA195" s="7" t="n">
        <v>9.63621645415633</v>
      </c>
    </row>
    <row r="196" s="7" customFormat="true" ht="15" hidden="false" customHeight="false" outlineLevel="0" collapsed="false">
      <c r="A196" s="74"/>
      <c r="B196" s="35"/>
      <c r="C196" s="8" t="n">
        <v>41677</v>
      </c>
      <c r="D196" s="7" t="n">
        <v>7.9</v>
      </c>
      <c r="E196" s="7" t="n">
        <v>5.3</v>
      </c>
      <c r="F196" s="7" t="n">
        <v>9.4</v>
      </c>
      <c r="G196" s="7" t="n">
        <f aca="false">G195+D196</f>
        <v>1359.4</v>
      </c>
      <c r="H196" s="7" t="n">
        <f aca="false">H195+D196</f>
        <v>324.9</v>
      </c>
      <c r="J196" s="7" t="n">
        <v>5</v>
      </c>
      <c r="K196" s="7" t="n">
        <f aca="false">K195+J196</f>
        <v>396.7</v>
      </c>
      <c r="L196" s="7" t="n">
        <v>0.9</v>
      </c>
      <c r="M196" s="7" t="n">
        <f aca="false">M195+L196</f>
        <v>150.7</v>
      </c>
      <c r="N196" s="7" t="n">
        <f aca="false">J196-L196</f>
        <v>4.1</v>
      </c>
      <c r="O196" s="7" t="n">
        <v>189.6</v>
      </c>
      <c r="P196" s="7" t="n">
        <v>157</v>
      </c>
      <c r="Q196" s="17" t="n">
        <f aca="false">1+((P196-104)/110)*(1.15-1)</f>
        <v>1.07227272727273</v>
      </c>
      <c r="R196" s="15" t="n">
        <f aca="false">Q196*L196</f>
        <v>0.965045454545455</v>
      </c>
      <c r="S196" s="15" t="n">
        <f aca="false">J196-R196</f>
        <v>4.03495454545455</v>
      </c>
      <c r="T196" s="15" t="n">
        <f aca="false">MIN(189.6,(T195+S196))</f>
        <v>189.6</v>
      </c>
      <c r="V196" s="16" t="n">
        <v>273.7</v>
      </c>
      <c r="W196" s="7" t="n">
        <f aca="false">V196/D196</f>
        <v>34.6455696202532</v>
      </c>
      <c r="X196" s="7" t="n">
        <f aca="false">X195+V196</f>
        <v>68307.4</v>
      </c>
      <c r="Y196" s="7" t="n">
        <f aca="false">Y195+V196</f>
        <v>13268.5</v>
      </c>
      <c r="AA196" s="7" t="n">
        <v>9.69109053051493</v>
      </c>
    </row>
    <row r="197" s="7" customFormat="true" ht="15" hidden="false" customHeight="false" outlineLevel="0" collapsed="false">
      <c r="A197" s="74"/>
      <c r="B197" s="35"/>
      <c r="C197" s="8" t="n">
        <v>41678</v>
      </c>
      <c r="D197" s="7" t="n">
        <v>7</v>
      </c>
      <c r="E197" s="7" t="n">
        <v>5.5</v>
      </c>
      <c r="F197" s="7" t="n">
        <v>9</v>
      </c>
      <c r="G197" s="7" t="n">
        <f aca="false">G196+D197</f>
        <v>1366.4</v>
      </c>
      <c r="H197" s="7" t="n">
        <f aca="false">H196+D197</f>
        <v>331.9</v>
      </c>
      <c r="J197" s="7" t="n">
        <v>1</v>
      </c>
      <c r="K197" s="7" t="n">
        <f aca="false">K196+J197</f>
        <v>397.7</v>
      </c>
      <c r="L197" s="7" t="n">
        <v>1.3</v>
      </c>
      <c r="M197" s="7" t="n">
        <f aca="false">M196+L197</f>
        <v>152</v>
      </c>
      <c r="N197" s="14" t="n">
        <f aca="false">J197-L197</f>
        <v>-0.3</v>
      </c>
      <c r="O197" s="7" t="n">
        <f aca="false">O196+N197</f>
        <v>189.3</v>
      </c>
      <c r="P197" s="7" t="n">
        <v>158</v>
      </c>
      <c r="Q197" s="17" t="n">
        <f aca="false">1+((P197-104)/110)*(1.15-1)</f>
        <v>1.07363636363636</v>
      </c>
      <c r="R197" s="15" t="n">
        <f aca="false">Q197*L197</f>
        <v>1.39572727272727</v>
      </c>
      <c r="S197" s="15" t="n">
        <f aca="false">J197-R197</f>
        <v>-0.395727272727273</v>
      </c>
      <c r="T197" s="15" t="n">
        <f aca="false">MIN(189.6,(T196+S197))</f>
        <v>189.204272727273</v>
      </c>
      <c r="V197" s="16" t="n">
        <v>574.3</v>
      </c>
      <c r="W197" s="7" t="n">
        <f aca="false">V197/D197</f>
        <v>82.0428571428571</v>
      </c>
      <c r="X197" s="7" t="n">
        <f aca="false">X196+V197</f>
        <v>68881.7</v>
      </c>
      <c r="Y197" s="7" t="n">
        <f aca="false">Y196+V197</f>
        <v>13842.8</v>
      </c>
      <c r="AA197" s="7" t="n">
        <v>9.74643839713075</v>
      </c>
    </row>
    <row r="198" s="7" customFormat="true" ht="15" hidden="false" customHeight="false" outlineLevel="0" collapsed="false">
      <c r="A198" s="74"/>
      <c r="B198" s="35"/>
      <c r="C198" s="8" t="n">
        <v>41679</v>
      </c>
      <c r="D198" s="7" t="n">
        <v>5.5</v>
      </c>
      <c r="E198" s="18" t="n">
        <v>4.3</v>
      </c>
      <c r="F198" s="7" t="n">
        <v>7.5</v>
      </c>
      <c r="G198" s="7" t="n">
        <f aca="false">G197+D198</f>
        <v>1371.9</v>
      </c>
      <c r="H198" s="7" t="n">
        <f aca="false">H197+D198</f>
        <v>337.4</v>
      </c>
      <c r="J198" s="7" t="n">
        <v>0</v>
      </c>
      <c r="K198" s="7" t="n">
        <f aca="false">K197+J198</f>
        <v>397.7</v>
      </c>
      <c r="L198" s="7" t="n">
        <v>1.6</v>
      </c>
      <c r="M198" s="7" t="n">
        <f aca="false">M197+L198</f>
        <v>153.6</v>
      </c>
      <c r="N198" s="14" t="n">
        <f aca="false">J198-L198</f>
        <v>-1.6</v>
      </c>
      <c r="O198" s="7" t="n">
        <f aca="false">O197+N198</f>
        <v>187.7</v>
      </c>
      <c r="P198" s="7" t="n">
        <v>159</v>
      </c>
      <c r="Q198" s="17" t="n">
        <f aca="false">1+((P198-104)/110)*(1.15-1)</f>
        <v>1.075</v>
      </c>
      <c r="R198" s="15" t="n">
        <f aca="false">Q198*L198</f>
        <v>1.72</v>
      </c>
      <c r="S198" s="15" t="n">
        <f aca="false">J198-R198</f>
        <v>-1.72</v>
      </c>
      <c r="T198" s="15" t="n">
        <f aca="false">MIN(189.6,(T197+S198))</f>
        <v>187.484272727273</v>
      </c>
      <c r="V198" s="16" t="n">
        <v>446.6</v>
      </c>
      <c r="W198" s="7" t="n">
        <f aca="false">V198/D198</f>
        <v>81.2</v>
      </c>
      <c r="X198" s="7" t="n">
        <f aca="false">X197+V198</f>
        <v>69328.3</v>
      </c>
      <c r="Y198" s="7" t="n">
        <f aca="false">Y197+V198</f>
        <v>14289.4</v>
      </c>
      <c r="AA198" s="7" t="n">
        <v>9.80223729205065</v>
      </c>
    </row>
    <row r="199" s="7" customFormat="true" ht="15" hidden="false" customHeight="false" outlineLevel="0" collapsed="false">
      <c r="A199" s="74"/>
      <c r="B199" s="35"/>
      <c r="C199" s="8" t="n">
        <v>41680</v>
      </c>
      <c r="D199" s="18" t="n">
        <v>4.8</v>
      </c>
      <c r="E199" s="18" t="n">
        <v>2.9</v>
      </c>
      <c r="F199" s="7" t="n">
        <v>5.9</v>
      </c>
      <c r="G199" s="7" t="n">
        <f aca="false">G198+D199</f>
        <v>1376.7</v>
      </c>
      <c r="H199" s="7" t="n">
        <f aca="false">H198+D199</f>
        <v>342.2</v>
      </c>
      <c r="J199" s="7" t="n">
        <v>0</v>
      </c>
      <c r="K199" s="7" t="n">
        <f aca="false">K198+J199</f>
        <v>397.7</v>
      </c>
      <c r="L199" s="7" t="n">
        <v>0.4</v>
      </c>
      <c r="M199" s="7" t="n">
        <f aca="false">M198+L199</f>
        <v>154</v>
      </c>
      <c r="N199" s="14" t="n">
        <f aca="false">J199-L199</f>
        <v>-0.4</v>
      </c>
      <c r="O199" s="7" t="n">
        <f aca="false">O198+N199</f>
        <v>187.3</v>
      </c>
      <c r="P199" s="7" t="n">
        <v>160</v>
      </c>
      <c r="Q199" s="17" t="n">
        <f aca="false">1+((P199-104)/110)*(1.15-1)</f>
        <v>1.07636363636364</v>
      </c>
      <c r="R199" s="15" t="n">
        <f aca="false">Q199*L199</f>
        <v>0.430545454545455</v>
      </c>
      <c r="S199" s="15" t="n">
        <f aca="false">J199-R199</f>
        <v>-0.430545454545455</v>
      </c>
      <c r="T199" s="15" t="n">
        <f aca="false">MIN(189.6,(T198+S199))</f>
        <v>187.053727272727</v>
      </c>
      <c r="V199" s="16" t="n">
        <v>349.3</v>
      </c>
      <c r="W199" s="7" t="n">
        <f aca="false">V199/D199</f>
        <v>72.7708333333333</v>
      </c>
      <c r="X199" s="7" t="n">
        <f aca="false">X198+V199</f>
        <v>69677.6</v>
      </c>
      <c r="Y199" s="7" t="n">
        <f aca="false">Y198+V199</f>
        <v>14638.7</v>
      </c>
      <c r="AA199" s="7" t="n">
        <v>9.85846517734382</v>
      </c>
    </row>
    <row r="200" s="7" customFormat="true" ht="15" hidden="false" customHeight="false" outlineLevel="0" collapsed="false">
      <c r="A200" s="74"/>
      <c r="B200" s="35"/>
      <c r="C200" s="8" t="n">
        <v>41681</v>
      </c>
      <c r="D200" s="18" t="n">
        <v>4.8</v>
      </c>
      <c r="E200" s="18" t="n">
        <v>3.2</v>
      </c>
      <c r="F200" s="7" t="n">
        <v>6.9</v>
      </c>
      <c r="G200" s="7" t="n">
        <f aca="false">G199+D200</f>
        <v>1381.5</v>
      </c>
      <c r="H200" s="7" t="n">
        <f aca="false">H199+D200</f>
        <v>347</v>
      </c>
      <c r="J200" s="7" t="n">
        <v>2.5</v>
      </c>
      <c r="K200" s="7" t="n">
        <f aca="false">K199+J200</f>
        <v>400.2</v>
      </c>
      <c r="L200" s="7" t="n">
        <v>0.9</v>
      </c>
      <c r="M200" s="7" t="n">
        <f aca="false">M199+L200</f>
        <v>154.9</v>
      </c>
      <c r="N200" s="7" t="n">
        <f aca="false">J200-L200</f>
        <v>1.6</v>
      </c>
      <c r="O200" s="7" t="n">
        <f aca="false">O199+N200</f>
        <v>188.9</v>
      </c>
      <c r="P200" s="7" t="n">
        <v>161</v>
      </c>
      <c r="Q200" s="17" t="n">
        <f aca="false">1+((P200-104)/110)*(1.15-1)</f>
        <v>1.07772727272727</v>
      </c>
      <c r="R200" s="15" t="n">
        <f aca="false">Q200*L200</f>
        <v>0.969954545454545</v>
      </c>
      <c r="S200" s="15" t="n">
        <f aca="false">J200-R200</f>
        <v>1.53004545454545</v>
      </c>
      <c r="T200" s="15" t="n">
        <f aca="false">MIN(189.6,(T199+S200))</f>
        <v>188.583772727273</v>
      </c>
      <c r="V200" s="16" t="n">
        <v>420.2</v>
      </c>
      <c r="W200" s="7" t="n">
        <f aca="false">V200/D200</f>
        <v>87.5416666666667</v>
      </c>
      <c r="X200" s="7" t="n">
        <f aca="false">X199+V200</f>
        <v>70097.8</v>
      </c>
      <c r="Y200" s="7" t="n">
        <f aca="false">Y199+V200</f>
        <v>15058.9</v>
      </c>
      <c r="AA200" s="7" t="n">
        <v>9.9151007358076</v>
      </c>
    </row>
    <row r="201" s="7" customFormat="true" ht="15" hidden="false" customHeight="false" outlineLevel="0" collapsed="false">
      <c r="A201" s="74"/>
      <c r="B201" s="35"/>
      <c r="C201" s="8" t="n">
        <v>41682</v>
      </c>
      <c r="D201" s="7" t="n">
        <v>5.1</v>
      </c>
      <c r="E201" s="18" t="n">
        <v>1.5</v>
      </c>
      <c r="F201" s="7" t="n">
        <v>8.2</v>
      </c>
      <c r="G201" s="7" t="n">
        <f aca="false">G200+D201</f>
        <v>1386.6</v>
      </c>
      <c r="H201" s="7" t="n">
        <f aca="false">H200+D201</f>
        <v>352.1</v>
      </c>
      <c r="J201" s="7" t="n">
        <v>6.4</v>
      </c>
      <c r="K201" s="7" t="n">
        <f aca="false">K200+J201</f>
        <v>406.6</v>
      </c>
      <c r="L201" s="7" t="n">
        <v>1.1</v>
      </c>
      <c r="M201" s="7" t="n">
        <f aca="false">M200+L201</f>
        <v>156</v>
      </c>
      <c r="N201" s="7" t="n">
        <f aca="false">J201-L201</f>
        <v>5.3</v>
      </c>
      <c r="O201" s="7" t="n">
        <v>189.6</v>
      </c>
      <c r="P201" s="7" t="n">
        <v>162</v>
      </c>
      <c r="Q201" s="17" t="n">
        <f aca="false">1+((P201-104)/110)*(1.15-1)</f>
        <v>1.07909090909091</v>
      </c>
      <c r="R201" s="15" t="n">
        <f aca="false">Q201*L201</f>
        <v>1.187</v>
      </c>
      <c r="S201" s="15" t="n">
        <f aca="false">J201-R201</f>
        <v>5.213</v>
      </c>
      <c r="T201" s="15" t="n">
        <f aca="false">MIN(189.6,(T200+S201))</f>
        <v>189.6</v>
      </c>
      <c r="V201" s="16" t="n">
        <v>672.6</v>
      </c>
      <c r="W201" s="7" t="n">
        <f aca="false">V201/D201</f>
        <v>131.882352941177</v>
      </c>
      <c r="X201" s="7" t="n">
        <f aca="false">X200+V201</f>
        <v>70770.4</v>
      </c>
      <c r="Y201" s="7" t="n">
        <f aca="false">Y200+V201</f>
        <v>15731.5</v>
      </c>
      <c r="AA201" s="7" t="n">
        <v>9.97212336561814</v>
      </c>
    </row>
    <row r="202" s="7" customFormat="true" ht="15" hidden="false" customHeight="false" outlineLevel="0" collapsed="false">
      <c r="A202" s="74"/>
      <c r="B202" s="35"/>
      <c r="C202" s="8" t="n">
        <v>41683</v>
      </c>
      <c r="D202" s="7" t="n">
        <v>5.3</v>
      </c>
      <c r="E202" s="7" t="n">
        <v>5.2</v>
      </c>
      <c r="F202" s="7" t="n">
        <v>6.9</v>
      </c>
      <c r="G202" s="7" t="n">
        <f aca="false">G201+D202</f>
        <v>1391.9</v>
      </c>
      <c r="H202" s="7" t="n">
        <f aca="false">H201+D202</f>
        <v>357.4</v>
      </c>
      <c r="J202" s="7" t="n">
        <v>3.2</v>
      </c>
      <c r="K202" s="7" t="n">
        <f aca="false">K201+J202</f>
        <v>409.8</v>
      </c>
      <c r="L202" s="7" t="n">
        <v>1</v>
      </c>
      <c r="M202" s="7" t="n">
        <f aca="false">M201+L202</f>
        <v>157</v>
      </c>
      <c r="N202" s="7" t="n">
        <f aca="false">J202-L202</f>
        <v>2.2</v>
      </c>
      <c r="O202" s="7" t="n">
        <v>189.6</v>
      </c>
      <c r="P202" s="7" t="n">
        <v>163</v>
      </c>
      <c r="Q202" s="17" t="n">
        <f aca="false">1+((P202-104)/110)*(1.15-1)</f>
        <v>1.08045454545455</v>
      </c>
      <c r="R202" s="15" t="n">
        <f aca="false">Q202*L202</f>
        <v>1.08045454545455</v>
      </c>
      <c r="S202" s="15" t="n">
        <f aca="false">J202-R202</f>
        <v>2.11954545454546</v>
      </c>
      <c r="T202" s="15" t="n">
        <f aca="false">MIN(189.6,(T201+S202))</f>
        <v>189.6</v>
      </c>
      <c r="V202" s="16" t="n">
        <v>174.7</v>
      </c>
      <c r="W202" s="7" t="n">
        <f aca="false">V202/D202</f>
        <v>32.9622641509434</v>
      </c>
      <c r="X202" s="7" t="n">
        <f aca="false">X201+V202</f>
        <v>70945.1</v>
      </c>
      <c r="Y202" s="7" t="n">
        <f aca="false">Y201+V202</f>
        <v>15906.2</v>
      </c>
      <c r="AA202" s="7" t="n">
        <v>10.0295131730956</v>
      </c>
    </row>
    <row r="203" s="7" customFormat="true" ht="15" hidden="false" customHeight="false" outlineLevel="0" collapsed="false">
      <c r="A203" s="74"/>
      <c r="B203" s="35"/>
      <c r="C203" s="8" t="n">
        <v>41684</v>
      </c>
      <c r="D203" s="7" t="n">
        <v>6.2</v>
      </c>
      <c r="E203" s="18" t="n">
        <v>2.6</v>
      </c>
      <c r="F203" s="7" t="n">
        <v>11.2</v>
      </c>
      <c r="G203" s="7" t="n">
        <f aca="false">G202+D203</f>
        <v>1398.1</v>
      </c>
      <c r="H203" s="7" t="n">
        <f aca="false">H202+D203</f>
        <v>363.6</v>
      </c>
      <c r="J203" s="7" t="n">
        <v>2.2</v>
      </c>
      <c r="K203" s="7" t="n">
        <f aca="false">K202+J203</f>
        <v>412</v>
      </c>
      <c r="L203" s="7" t="n">
        <v>1.1</v>
      </c>
      <c r="M203" s="7" t="n">
        <f aca="false">M202+L203</f>
        <v>158.1</v>
      </c>
      <c r="N203" s="7" t="n">
        <f aca="false">J203-L203</f>
        <v>1.1</v>
      </c>
      <c r="O203" s="7" t="n">
        <v>189.6</v>
      </c>
      <c r="P203" s="7" t="n">
        <v>164</v>
      </c>
      <c r="Q203" s="17" t="n">
        <f aca="false">1+((P203-104)/110)*(1.15-1)</f>
        <v>1.08181818181818</v>
      </c>
      <c r="R203" s="15" t="n">
        <f aca="false">Q203*L203</f>
        <v>1.19</v>
      </c>
      <c r="S203" s="15" t="n">
        <f aca="false">J203-R203</f>
        <v>1.01</v>
      </c>
      <c r="T203" s="15" t="n">
        <f aca="false">MIN(189.6,(T202+S203))</f>
        <v>189.6</v>
      </c>
      <c r="V203" s="16" t="n">
        <v>200.5</v>
      </c>
      <c r="W203" s="7" t="n">
        <f aca="false">V203/D203</f>
        <v>32.3387096774194</v>
      </c>
      <c r="X203" s="7" t="n">
        <f aca="false">X202+V203</f>
        <v>71145.6</v>
      </c>
      <c r="Y203" s="7" t="n">
        <f aca="false">Y202+V203</f>
        <v>16106.7</v>
      </c>
      <c r="AA203" s="7" t="n">
        <v>10.0872509637468</v>
      </c>
    </row>
    <row r="204" s="7" customFormat="true" ht="15" hidden="false" customHeight="false" outlineLevel="0" collapsed="false">
      <c r="A204" s="74"/>
      <c r="B204" s="35"/>
      <c r="C204" s="8" t="n">
        <v>41685</v>
      </c>
      <c r="D204" s="7" t="n">
        <v>8.5</v>
      </c>
      <c r="E204" s="7" t="n">
        <v>6.2</v>
      </c>
      <c r="F204" s="7" t="n">
        <v>10.3</v>
      </c>
      <c r="G204" s="7" t="n">
        <f aca="false">G203+D204</f>
        <v>1406.6</v>
      </c>
      <c r="H204" s="7" t="n">
        <f aca="false">H203+D204</f>
        <v>372.1</v>
      </c>
      <c r="J204" s="7" t="n">
        <v>0.8</v>
      </c>
      <c r="K204" s="7" t="n">
        <f aca="false">K203+J204</f>
        <v>412.8</v>
      </c>
      <c r="L204" s="7" t="n">
        <v>1.8</v>
      </c>
      <c r="M204" s="7" t="n">
        <f aca="false">M203+L204</f>
        <v>159.9</v>
      </c>
      <c r="N204" s="14" t="n">
        <f aca="false">J204-L204</f>
        <v>-1</v>
      </c>
      <c r="O204" s="7" t="n">
        <f aca="false">O203+N204</f>
        <v>188.6</v>
      </c>
      <c r="P204" s="7" t="n">
        <v>165</v>
      </c>
      <c r="Q204" s="17" t="n">
        <f aca="false">1+((P204-104)/110)*(1.15-1)</f>
        <v>1.08318181818182</v>
      </c>
      <c r="R204" s="15" t="n">
        <f aca="false">Q204*L204</f>
        <v>1.94972727272727</v>
      </c>
      <c r="S204" s="15" t="n">
        <f aca="false">J204-R204</f>
        <v>-1.14972727272727</v>
      </c>
      <c r="T204" s="15" t="n">
        <f aca="false">MIN(189.6,(T203+S204))</f>
        <v>188.450272727273</v>
      </c>
      <c r="V204" s="16" t="n">
        <v>443.8</v>
      </c>
      <c r="W204" s="7" t="n">
        <f aca="false">V204/D204</f>
        <v>52.2117647058824</v>
      </c>
      <c r="X204" s="7" t="n">
        <f aca="false">X203+V204</f>
        <v>71589.4</v>
      </c>
      <c r="Y204" s="7" t="n">
        <f aca="false">Y203+V204</f>
        <v>16550.5</v>
      </c>
      <c r="AA204" s="7" t="n">
        <v>10.1453182317421</v>
      </c>
    </row>
    <row r="205" s="7" customFormat="true" ht="15" hidden="false" customHeight="false" outlineLevel="0" collapsed="false">
      <c r="A205" s="74"/>
      <c r="B205" s="35"/>
      <c r="C205" s="8" t="n">
        <v>41686</v>
      </c>
      <c r="D205" s="7" t="n">
        <v>6.9</v>
      </c>
      <c r="E205" s="7" t="n">
        <v>5.4</v>
      </c>
      <c r="F205" s="7" t="n">
        <v>9.4</v>
      </c>
      <c r="G205" s="7" t="n">
        <f aca="false">G204+D205</f>
        <v>1413.5</v>
      </c>
      <c r="H205" s="7" t="n">
        <f aca="false">H204+D205</f>
        <v>379</v>
      </c>
      <c r="J205" s="7" t="n">
        <v>0.2</v>
      </c>
      <c r="K205" s="7" t="n">
        <f aca="false">K204+J205</f>
        <v>413</v>
      </c>
      <c r="L205" s="7" t="n">
        <v>1.2</v>
      </c>
      <c r="M205" s="7" t="n">
        <f aca="false">M204+L205</f>
        <v>161.1</v>
      </c>
      <c r="N205" s="14" t="n">
        <f aca="false">J205-L205</f>
        <v>-1</v>
      </c>
      <c r="O205" s="7" t="n">
        <f aca="false">O204+N205</f>
        <v>187.6</v>
      </c>
      <c r="P205" s="7" t="n">
        <v>166</v>
      </c>
      <c r="Q205" s="17" t="n">
        <f aca="false">1+((P205-104)/110)*(1.15-1)</f>
        <v>1.08454545454545</v>
      </c>
      <c r="R205" s="15" t="n">
        <f aca="false">Q205*L205</f>
        <v>1.30145454545455</v>
      </c>
      <c r="S205" s="15" t="n">
        <f aca="false">J205-R205</f>
        <v>-1.10145454545455</v>
      </c>
      <c r="T205" s="15" t="n">
        <f aca="false">MIN(189.6,(T204+S205))</f>
        <v>187.348818181818</v>
      </c>
      <c r="V205" s="16" t="n">
        <v>563.6</v>
      </c>
      <c r="W205" s="7" t="n">
        <f aca="false">V205/D205</f>
        <v>81.6811594202899</v>
      </c>
      <c r="X205" s="7" t="n">
        <f aca="false">X204+V205</f>
        <v>72153</v>
      </c>
      <c r="Y205" s="7" t="n">
        <f aca="false">Y204+V205</f>
        <v>17114.1</v>
      </c>
      <c r="AA205" s="7" t="n">
        <v>10.2036971479745</v>
      </c>
    </row>
    <row r="206" s="7" customFormat="true" ht="15" hidden="false" customHeight="false" outlineLevel="0" collapsed="false">
      <c r="A206" s="74"/>
      <c r="B206" s="35"/>
      <c r="C206" s="8" t="n">
        <v>41687</v>
      </c>
      <c r="D206" s="7" t="n">
        <v>5.6</v>
      </c>
      <c r="E206" s="18" t="n">
        <v>3.8</v>
      </c>
      <c r="F206" s="7" t="n">
        <v>7.2</v>
      </c>
      <c r="G206" s="7" t="n">
        <f aca="false">G205+D206</f>
        <v>1419.1</v>
      </c>
      <c r="H206" s="7" t="n">
        <f aca="false">H205+D206</f>
        <v>384.6</v>
      </c>
      <c r="J206" s="7" t="n">
        <v>0</v>
      </c>
      <c r="K206" s="7" t="n">
        <f aca="false">K205+J206</f>
        <v>413</v>
      </c>
      <c r="L206" s="7" t="n">
        <v>0.5</v>
      </c>
      <c r="M206" s="7" t="n">
        <f aca="false">M205+L206</f>
        <v>161.6</v>
      </c>
      <c r="N206" s="14" t="n">
        <f aca="false">J206-L206</f>
        <v>-0.5</v>
      </c>
      <c r="O206" s="7" t="n">
        <f aca="false">O205+N206</f>
        <v>187.1</v>
      </c>
      <c r="P206" s="7" t="n">
        <v>167</v>
      </c>
      <c r="Q206" s="17" t="n">
        <f aca="false">1+((P206-104)/110)*(1.15-1)</f>
        <v>1.08590909090909</v>
      </c>
      <c r="R206" s="15" t="n">
        <f aca="false">Q206*L206</f>
        <v>0.542954545454546</v>
      </c>
      <c r="S206" s="15" t="n">
        <f aca="false">J206-R206</f>
        <v>-0.542954545454546</v>
      </c>
      <c r="T206" s="15" t="n">
        <f aca="false">MIN(189.6,(T205+S206))</f>
        <v>186.805863636364</v>
      </c>
      <c r="V206" s="16" t="n">
        <v>323</v>
      </c>
      <c r="W206" s="7" t="n">
        <f aca="false">V206/D206</f>
        <v>57.6785714285714</v>
      </c>
      <c r="X206" s="7" t="n">
        <f aca="false">X205+V206</f>
        <v>72476</v>
      </c>
      <c r="Y206" s="7" t="n">
        <f aca="false">Y205+V206</f>
        <v>17437.1</v>
      </c>
      <c r="AA206" s="7" t="n">
        <v>10.2623705468442</v>
      </c>
    </row>
    <row r="207" s="7" customFormat="true" ht="15" hidden="false" customHeight="false" outlineLevel="0" collapsed="false">
      <c r="A207" s="74"/>
      <c r="B207" s="35"/>
      <c r="C207" s="8" t="n">
        <v>41688</v>
      </c>
      <c r="D207" s="7" t="n">
        <v>5.1</v>
      </c>
      <c r="E207" s="18" t="n">
        <v>3.7</v>
      </c>
      <c r="F207" s="7" t="n">
        <v>6.1</v>
      </c>
      <c r="G207" s="7" t="n">
        <f aca="false">G206+D207</f>
        <v>1424.2</v>
      </c>
      <c r="H207" s="7" t="n">
        <f aca="false">H206+D207</f>
        <v>389.7</v>
      </c>
      <c r="J207" s="7" t="n">
        <v>0.8</v>
      </c>
      <c r="K207" s="7" t="n">
        <f aca="false">K206+J207</f>
        <v>413.8</v>
      </c>
      <c r="L207" s="7" t="n">
        <v>0.4</v>
      </c>
      <c r="M207" s="7" t="n">
        <f aca="false">M206+L207</f>
        <v>162</v>
      </c>
      <c r="N207" s="7" t="n">
        <f aca="false">J207-L207</f>
        <v>0.4</v>
      </c>
      <c r="O207" s="7" t="n">
        <f aca="false">O206+N207</f>
        <v>187.5</v>
      </c>
      <c r="P207" s="7" t="n">
        <v>168</v>
      </c>
      <c r="Q207" s="17" t="n">
        <f aca="false">1+((P207-104)/110)*(1.15-1)</f>
        <v>1.08727272727273</v>
      </c>
      <c r="R207" s="15" t="n">
        <f aca="false">Q207*L207</f>
        <v>0.434909090909091</v>
      </c>
      <c r="S207" s="15" t="n">
        <f aca="false">J207-R207</f>
        <v>0.365090909090909</v>
      </c>
      <c r="T207" s="15" t="n">
        <f aca="false">MIN(189.6,(T206+S207))</f>
        <v>187.170954545455</v>
      </c>
      <c r="V207" s="16" t="n">
        <v>266.4</v>
      </c>
      <c r="W207" s="7" t="n">
        <f aca="false">V207/D207</f>
        <v>52.2352941176471</v>
      </c>
      <c r="X207" s="7" t="n">
        <f aca="false">X206+V207</f>
        <v>72742.4</v>
      </c>
      <c r="Y207" s="7" t="n">
        <f aca="false">Y206+V207</f>
        <v>17703.5</v>
      </c>
      <c r="AA207" s="7" t="n">
        <v>10.3213219118997</v>
      </c>
    </row>
    <row r="208" s="7" customFormat="true" ht="15" hidden="false" customHeight="false" outlineLevel="0" collapsed="false">
      <c r="A208" s="74"/>
      <c r="B208" s="35"/>
      <c r="C208" s="8" t="n">
        <v>41689</v>
      </c>
      <c r="D208" s="7" t="n">
        <v>6.5</v>
      </c>
      <c r="E208" s="18" t="n">
        <v>3.4</v>
      </c>
      <c r="F208" s="7" t="n">
        <v>8.8</v>
      </c>
      <c r="G208" s="7" t="n">
        <f aca="false">G207+D208</f>
        <v>1430.7</v>
      </c>
      <c r="H208" s="7" t="n">
        <f aca="false">H207+D208</f>
        <v>396.2</v>
      </c>
      <c r="J208" s="7" t="n">
        <v>1.8</v>
      </c>
      <c r="K208" s="7" t="n">
        <f aca="false">K207+J208</f>
        <v>415.6</v>
      </c>
      <c r="L208" s="7" t="n">
        <v>0.4</v>
      </c>
      <c r="M208" s="7" t="n">
        <f aca="false">M207+L208</f>
        <v>162.4</v>
      </c>
      <c r="N208" s="7" t="n">
        <f aca="false">J208-L208</f>
        <v>1.4</v>
      </c>
      <c r="O208" s="7" t="n">
        <f aca="false">O207+N208</f>
        <v>188.9</v>
      </c>
      <c r="P208" s="7" t="n">
        <v>169</v>
      </c>
      <c r="Q208" s="17" t="n">
        <f aca="false">1+((P208-104)/110)*(1.15-1)</f>
        <v>1.08863636363636</v>
      </c>
      <c r="R208" s="15" t="n">
        <f aca="false">Q208*L208</f>
        <v>0.435454545454546</v>
      </c>
      <c r="S208" s="15" t="n">
        <f aca="false">J208-R208</f>
        <v>1.36454545454545</v>
      </c>
      <c r="T208" s="15" t="n">
        <f aca="false">MIN(189.6,(T207+S208))</f>
        <v>188.5355</v>
      </c>
      <c r="V208" s="16" t="n">
        <v>410.4</v>
      </c>
      <c r="W208" s="7" t="n">
        <f aca="false">V208/D208</f>
        <v>63.1384615384615</v>
      </c>
      <c r="X208" s="7" t="n">
        <f aca="false">X207+V208</f>
        <v>73152.8</v>
      </c>
      <c r="Y208" s="7" t="n">
        <f aca="false">Y207+V208</f>
        <v>18113.9</v>
      </c>
      <c r="AA208" s="7" t="n">
        <v>10.3805353604641</v>
      </c>
    </row>
    <row r="209" s="7" customFormat="true" ht="15" hidden="false" customHeight="false" outlineLevel="0" collapsed="false">
      <c r="A209" s="74"/>
      <c r="B209" s="35"/>
      <c r="C209" s="8" t="n">
        <v>41690</v>
      </c>
      <c r="D209" s="7" t="n">
        <v>8.9</v>
      </c>
      <c r="E209" s="7" t="n">
        <v>6.4</v>
      </c>
      <c r="F209" s="7" t="n">
        <v>10.5</v>
      </c>
      <c r="G209" s="7" t="n">
        <f aca="false">G208+D209</f>
        <v>1439.6</v>
      </c>
      <c r="H209" s="7" t="n">
        <f aca="false">H208+D209</f>
        <v>405.1</v>
      </c>
      <c r="J209" s="7" t="n">
        <v>5.2</v>
      </c>
      <c r="K209" s="7" t="n">
        <f aca="false">K208+J209</f>
        <v>420.8</v>
      </c>
      <c r="L209" s="7" t="n">
        <v>0.2</v>
      </c>
      <c r="M209" s="7" t="n">
        <f aca="false">M208+L209</f>
        <v>162.6</v>
      </c>
      <c r="N209" s="7" t="n">
        <f aca="false">J209-L209</f>
        <v>5</v>
      </c>
      <c r="O209" s="7" t="n">
        <v>189.6</v>
      </c>
      <c r="P209" s="7" t="n">
        <v>170</v>
      </c>
      <c r="Q209" s="17" t="n">
        <f aca="false">1+((P209-104)/110)*(1.15-1)</f>
        <v>1.09</v>
      </c>
      <c r="R209" s="15" t="n">
        <f aca="false">Q209*L209</f>
        <v>0.218</v>
      </c>
      <c r="S209" s="15" t="n">
        <f aca="false">J209-R209</f>
        <v>4.982</v>
      </c>
      <c r="T209" s="15" t="n">
        <f aca="false">MIN(189.6,(T208+S209))</f>
        <v>189.6</v>
      </c>
      <c r="V209" s="16" t="n">
        <v>162.5</v>
      </c>
      <c r="W209" s="7" t="n">
        <f aca="false">V209/D209</f>
        <v>18.2584269662921</v>
      </c>
      <c r="X209" s="7" t="n">
        <f aca="false">X208+V209</f>
        <v>73315.3</v>
      </c>
      <c r="Y209" s="7" t="n">
        <f aca="false">Y208+V209</f>
        <v>18276.4</v>
      </c>
      <c r="AA209" s="7" t="n">
        <v>10.4399956273618</v>
      </c>
    </row>
    <row r="210" s="7" customFormat="true" ht="15" hidden="false" customHeight="false" outlineLevel="0" collapsed="false">
      <c r="A210" s="74"/>
      <c r="B210" s="35"/>
      <c r="C210" s="8" t="n">
        <v>41691</v>
      </c>
      <c r="D210" s="7" t="n">
        <v>6.5</v>
      </c>
      <c r="E210" s="7" t="n">
        <v>5.6</v>
      </c>
      <c r="F210" s="7" t="n">
        <v>8.9</v>
      </c>
      <c r="G210" s="7" t="n">
        <f aca="false">G209+D210</f>
        <v>1446.1</v>
      </c>
      <c r="H210" s="7" t="n">
        <f aca="false">H209+D210</f>
        <v>411.6</v>
      </c>
      <c r="J210" s="7" t="n">
        <v>1.8</v>
      </c>
      <c r="K210" s="7" t="n">
        <f aca="false">K209+J210</f>
        <v>422.6</v>
      </c>
      <c r="L210" s="7" t="n">
        <v>1.2</v>
      </c>
      <c r="M210" s="7" t="n">
        <f aca="false">M209+L210</f>
        <v>163.8</v>
      </c>
      <c r="N210" s="7" t="n">
        <f aca="false">J210-L210</f>
        <v>0.6</v>
      </c>
      <c r="O210" s="7" t="n">
        <v>189.6</v>
      </c>
      <c r="P210" s="7" t="n">
        <v>171</v>
      </c>
      <c r="Q210" s="17" t="n">
        <f aca="false">1+((P210-104)/110)*(1.15-1)</f>
        <v>1.09136363636364</v>
      </c>
      <c r="R210" s="15" t="n">
        <f aca="false">Q210*L210</f>
        <v>1.30963636363636</v>
      </c>
      <c r="S210" s="15" t="n">
        <f aca="false">J210-R210</f>
        <v>0.490363636363637</v>
      </c>
      <c r="T210" s="15" t="n">
        <f aca="false">MIN(189.6,(T209+S210))</f>
        <v>189.6</v>
      </c>
      <c r="V210" s="16" t="n">
        <v>508.7</v>
      </c>
      <c r="W210" s="7" t="n">
        <f aca="false">V210/D210</f>
        <v>78.2615384615385</v>
      </c>
      <c r="X210" s="7" t="n">
        <f aca="false">X209+V210</f>
        <v>73824</v>
      </c>
      <c r="Y210" s="7" t="n">
        <f aca="false">Y209+V210</f>
        <v>18785.1</v>
      </c>
      <c r="AA210" s="7" t="n">
        <v>10.4996880478584</v>
      </c>
    </row>
    <row r="211" s="7" customFormat="true" ht="15" hidden="false" customHeight="false" outlineLevel="0" collapsed="false">
      <c r="A211" s="74"/>
      <c r="B211" s="35"/>
      <c r="C211" s="8" t="n">
        <v>41692</v>
      </c>
      <c r="D211" s="7" t="n">
        <v>5.8</v>
      </c>
      <c r="E211" s="18" t="n">
        <v>3.8</v>
      </c>
      <c r="F211" s="7" t="n">
        <v>8.4</v>
      </c>
      <c r="G211" s="7" t="n">
        <f aca="false">G210+D211</f>
        <v>1451.9</v>
      </c>
      <c r="H211" s="7" t="n">
        <f aca="false">H210+D211</f>
        <v>417.4</v>
      </c>
      <c r="J211" s="7" t="n">
        <v>0.2</v>
      </c>
      <c r="K211" s="7" t="n">
        <f aca="false">K210+J211</f>
        <v>422.8</v>
      </c>
      <c r="L211" s="7" t="n">
        <v>0.9</v>
      </c>
      <c r="M211" s="7" t="n">
        <f aca="false">M210+L211</f>
        <v>164.7</v>
      </c>
      <c r="N211" s="14" t="n">
        <f aca="false">J211-L211</f>
        <v>-0.7</v>
      </c>
      <c r="O211" s="7" t="n">
        <f aca="false">O210+N211</f>
        <v>188.9</v>
      </c>
      <c r="P211" s="7" t="n">
        <v>172</v>
      </c>
      <c r="Q211" s="17" t="n">
        <f aca="false">1+((P211-104)/110)*(1.15-1)</f>
        <v>1.09272727272727</v>
      </c>
      <c r="R211" s="15" t="n">
        <f aca="false">Q211*L211</f>
        <v>0.983454545454546</v>
      </c>
      <c r="S211" s="15" t="n">
        <f aca="false">J211-R211</f>
        <v>-0.783454545454545</v>
      </c>
      <c r="T211" s="15" t="n">
        <f aca="false">MIN(189.6,(T210+S211))</f>
        <v>188.816545454545</v>
      </c>
      <c r="V211" s="16" t="n">
        <v>552</v>
      </c>
      <c r="W211" s="7" t="n">
        <f aca="false">V211/D211</f>
        <v>95.1724137931034</v>
      </c>
      <c r="X211" s="7" t="n">
        <f aca="false">X210+V211</f>
        <v>74376</v>
      </c>
      <c r="Y211" s="7" t="n">
        <f aca="false">Y210+V211</f>
        <v>19337.1</v>
      </c>
      <c r="AA211" s="7" t="n">
        <v>10.5595985399135</v>
      </c>
    </row>
    <row r="212" s="7" customFormat="true" ht="15" hidden="false" customHeight="false" outlineLevel="0" collapsed="false">
      <c r="A212" s="74"/>
      <c r="B212" s="35"/>
      <c r="C212" s="8" t="n">
        <v>41693</v>
      </c>
      <c r="D212" s="7" t="n">
        <v>7.4</v>
      </c>
      <c r="E212" s="18" t="n">
        <v>4</v>
      </c>
      <c r="F212" s="7" t="n">
        <v>11.5</v>
      </c>
      <c r="G212" s="7" t="n">
        <f aca="false">G211+D212</f>
        <v>1459.3</v>
      </c>
      <c r="H212" s="7" t="n">
        <f aca="false">H211+D212</f>
        <v>424.8</v>
      </c>
      <c r="J212" s="7" t="n">
        <v>0</v>
      </c>
      <c r="K212" s="7" t="n">
        <f aca="false">K211+J212</f>
        <v>422.8</v>
      </c>
      <c r="L212" s="7" t="n">
        <v>1.3</v>
      </c>
      <c r="M212" s="7" t="n">
        <f aca="false">M211+L212</f>
        <v>166</v>
      </c>
      <c r="N212" s="14" t="n">
        <f aca="false">J212-L212</f>
        <v>-1.3</v>
      </c>
      <c r="O212" s="7" t="n">
        <f aca="false">O211+N212</f>
        <v>187.6</v>
      </c>
      <c r="P212" s="7" t="n">
        <v>173</v>
      </c>
      <c r="Q212" s="17" t="n">
        <f aca="false">1+((P212-104)/110)*(1.15-1)</f>
        <v>1.09409090909091</v>
      </c>
      <c r="R212" s="15" t="n">
        <f aca="false">Q212*L212</f>
        <v>1.42231818181818</v>
      </c>
      <c r="S212" s="15" t="n">
        <f aca="false">J212-R212</f>
        <v>-1.42231818181818</v>
      </c>
      <c r="T212" s="15" t="n">
        <f aca="false">MIN(189.6,(T211+S212))</f>
        <v>187.394227272727</v>
      </c>
      <c r="V212" s="16" t="n">
        <v>886.6</v>
      </c>
      <c r="W212" s="7" t="n">
        <f aca="false">V212/D212</f>
        <v>119.810810810811</v>
      </c>
      <c r="X212" s="7" t="n">
        <f aca="false">X211+V212</f>
        <v>75262.6</v>
      </c>
      <c r="Y212" s="7" t="n">
        <f aca="false">Y211+V212</f>
        <v>20223.7</v>
      </c>
      <c r="AA212" s="7" t="n">
        <v>10.6197135858434</v>
      </c>
    </row>
    <row r="213" s="7" customFormat="true" ht="15" hidden="false" customHeight="false" outlineLevel="0" collapsed="false">
      <c r="A213" s="74"/>
      <c r="B213" s="35"/>
      <c r="C213" s="8" t="n">
        <v>41694</v>
      </c>
      <c r="D213" s="7" t="n">
        <v>8</v>
      </c>
      <c r="E213" s="18" t="n">
        <v>3.6</v>
      </c>
      <c r="F213" s="7" t="n">
        <v>11.7</v>
      </c>
      <c r="G213" s="7" t="n">
        <f aca="false">G212+D213</f>
        <v>1467.3</v>
      </c>
      <c r="H213" s="7" t="n">
        <f aca="false">H212+D213</f>
        <v>432.8</v>
      </c>
      <c r="J213" s="7" t="n">
        <v>0.3</v>
      </c>
      <c r="K213" s="7" t="n">
        <f aca="false">K212+J213</f>
        <v>423.1</v>
      </c>
      <c r="L213" s="7" t="n">
        <v>1.5</v>
      </c>
      <c r="M213" s="7" t="n">
        <f aca="false">M212+L213</f>
        <v>167.5</v>
      </c>
      <c r="N213" s="14" t="n">
        <f aca="false">J213-L213</f>
        <v>-1.2</v>
      </c>
      <c r="O213" s="7" t="n">
        <f aca="false">O212+N213</f>
        <v>186.4</v>
      </c>
      <c r="P213" s="7" t="n">
        <v>174</v>
      </c>
      <c r="Q213" s="17" t="n">
        <f aca="false">1+((P213-104)/110)*(1.15-1)</f>
        <v>1.09545454545455</v>
      </c>
      <c r="R213" s="15" t="n">
        <f aca="false">Q213*L213</f>
        <v>1.64318181818182</v>
      </c>
      <c r="S213" s="15" t="n">
        <f aca="false">J213-R213</f>
        <v>-1.34318181818182</v>
      </c>
      <c r="T213" s="15" t="n">
        <f aca="false">MIN(189.6,(T212+S213))</f>
        <v>186.051045454545</v>
      </c>
      <c r="V213" s="7" t="n">
        <v>1061.1</v>
      </c>
      <c r="W213" s="7" t="n">
        <f aca="false">V213/D213</f>
        <v>132.6375</v>
      </c>
      <c r="X213" s="7" t="n">
        <f aca="false">X212+V213</f>
        <v>76323.7</v>
      </c>
      <c r="Y213" s="7" t="n">
        <f aca="false">Y212+V213</f>
        <v>21284.8</v>
      </c>
      <c r="AA213" s="7" t="n">
        <v>10.6800202134794</v>
      </c>
    </row>
    <row r="214" s="7" customFormat="true" ht="15" hidden="false" customHeight="false" outlineLevel="0" collapsed="false">
      <c r="A214" s="74"/>
      <c r="B214" s="35"/>
      <c r="C214" s="8" t="n">
        <v>41695</v>
      </c>
      <c r="D214" s="7" t="n">
        <v>8.3</v>
      </c>
      <c r="E214" s="7" t="n">
        <v>7.5</v>
      </c>
      <c r="F214" s="7" t="n">
        <v>11.6</v>
      </c>
      <c r="G214" s="7" t="n">
        <f aca="false">G213+D214</f>
        <v>1475.6</v>
      </c>
      <c r="H214" s="7" t="n">
        <f aca="false">H213+D214</f>
        <v>441.1</v>
      </c>
      <c r="J214" s="7" t="n">
        <v>2.7</v>
      </c>
      <c r="K214" s="7" t="n">
        <f aca="false">K213+J214</f>
        <v>425.8</v>
      </c>
      <c r="L214" s="7" t="n">
        <v>1.7</v>
      </c>
      <c r="M214" s="7" t="n">
        <f aca="false">M213+L214</f>
        <v>169.2</v>
      </c>
      <c r="N214" s="7" t="n">
        <f aca="false">J214-L214</f>
        <v>1</v>
      </c>
      <c r="O214" s="7" t="n">
        <f aca="false">O213+N214</f>
        <v>187.4</v>
      </c>
      <c r="P214" s="7" t="n">
        <v>175</v>
      </c>
      <c r="Q214" s="17" t="n">
        <f aca="false">1+((P214-104)/110)*(1.15-1)</f>
        <v>1.09681818181818</v>
      </c>
      <c r="R214" s="15" t="n">
        <f aca="false">Q214*L214</f>
        <v>1.86459090909091</v>
      </c>
      <c r="S214" s="15" t="n">
        <f aca="false">J214-R214</f>
        <v>0.835409090909091</v>
      </c>
      <c r="T214" s="15" t="n">
        <f aca="false">MIN(189.6,(T213+S214))</f>
        <v>186.886454545455</v>
      </c>
      <c r="V214" s="16" t="n">
        <v>329.6</v>
      </c>
      <c r="W214" s="7" t="n">
        <f aca="false">V214/D214</f>
        <v>39.710843373494</v>
      </c>
      <c r="X214" s="7" t="n">
        <f aca="false">X213+V214</f>
        <v>76653.3</v>
      </c>
      <c r="Y214" s="7" t="n">
        <f aca="false">Y213+V214</f>
        <v>21614.4</v>
      </c>
      <c r="AA214" s="7" t="n">
        <v>10.7405059769033</v>
      </c>
    </row>
    <row r="215" s="7" customFormat="true" ht="15" hidden="false" customHeight="false" outlineLevel="0" collapsed="false">
      <c r="A215" s="74"/>
      <c r="B215" s="35"/>
      <c r="C215" s="8" t="n">
        <v>41696</v>
      </c>
      <c r="D215" s="7" t="n">
        <v>5.5</v>
      </c>
      <c r="E215" s="18" t="n">
        <v>3.1</v>
      </c>
      <c r="F215" s="7" t="n">
        <v>8.3</v>
      </c>
      <c r="G215" s="7" t="n">
        <f aca="false">G214+D215</f>
        <v>1481.1</v>
      </c>
      <c r="H215" s="7" t="n">
        <f aca="false">H214+D215</f>
        <v>446.6</v>
      </c>
      <c r="J215" s="7" t="n">
        <v>0.1</v>
      </c>
      <c r="K215" s="7" t="n">
        <f aca="false">K214+J215</f>
        <v>425.9</v>
      </c>
      <c r="L215" s="7" t="n">
        <v>0.8</v>
      </c>
      <c r="M215" s="7" t="n">
        <f aca="false">M214+L215</f>
        <v>170</v>
      </c>
      <c r="N215" s="14" t="n">
        <f aca="false">J215-L215</f>
        <v>-0.7</v>
      </c>
      <c r="O215" s="7" t="n">
        <f aca="false">O214+N215</f>
        <v>186.7</v>
      </c>
      <c r="P215" s="7" t="n">
        <v>176</v>
      </c>
      <c r="Q215" s="17" t="n">
        <f aca="false">1+((P215-104)/110)*(1.15-1)</f>
        <v>1.09818181818182</v>
      </c>
      <c r="R215" s="15" t="n">
        <f aca="false">Q215*L215</f>
        <v>0.878545454545455</v>
      </c>
      <c r="S215" s="15" t="n">
        <f aca="false">J215-R215</f>
        <v>-0.778545454545455</v>
      </c>
      <c r="T215" s="15" t="n">
        <f aca="false">MIN(189.6,(T214+S215))</f>
        <v>186.107909090909</v>
      </c>
      <c r="V215" s="16" t="n">
        <v>678.7</v>
      </c>
      <c r="W215" s="7" t="n">
        <f aca="false">V215/D215</f>
        <v>123.4</v>
      </c>
      <c r="X215" s="7" t="n">
        <f aca="false">X214+V215</f>
        <v>77332</v>
      </c>
      <c r="Y215" s="7" t="n">
        <f aca="false">Y214+V215</f>
        <v>22293.1</v>
      </c>
      <c r="AA215" s="7" t="n">
        <v>10.8011589368326</v>
      </c>
    </row>
    <row r="216" s="7" customFormat="true" ht="15" hidden="false" customHeight="false" outlineLevel="0" collapsed="false">
      <c r="A216" s="74"/>
      <c r="B216" s="35"/>
      <c r="C216" s="8" t="n">
        <v>41697</v>
      </c>
      <c r="D216" s="18" t="n">
        <v>4.5</v>
      </c>
      <c r="E216" s="18" t="n">
        <v>2.9</v>
      </c>
      <c r="F216" s="7" t="n">
        <v>5.5</v>
      </c>
      <c r="G216" s="7" t="n">
        <f aca="false">G215+D216</f>
        <v>1485.6</v>
      </c>
      <c r="H216" s="7" t="n">
        <f aca="false">H215+D216</f>
        <v>451.1</v>
      </c>
      <c r="J216" s="7" t="n">
        <v>5.5</v>
      </c>
      <c r="K216" s="7" t="n">
        <f aca="false">K215+J216</f>
        <v>431.4</v>
      </c>
      <c r="L216" s="7" t="n">
        <v>0.4</v>
      </c>
      <c r="M216" s="7" t="n">
        <f aca="false">M215+L216</f>
        <v>170.4</v>
      </c>
      <c r="N216" s="7" t="n">
        <f aca="false">J216-L216</f>
        <v>5.1</v>
      </c>
      <c r="O216" s="7" t="n">
        <v>189.6</v>
      </c>
      <c r="P216" s="7" t="n">
        <v>177</v>
      </c>
      <c r="Q216" s="17" t="n">
        <f aca="false">1+((P216-104)/110)*(1.15-1)</f>
        <v>1.09954545454545</v>
      </c>
      <c r="R216" s="15" t="n">
        <f aca="false">Q216*L216</f>
        <v>0.439818181818182</v>
      </c>
      <c r="S216" s="15" t="n">
        <f aca="false">J216-R216</f>
        <v>5.06018181818182</v>
      </c>
      <c r="T216" s="15" t="n">
        <f aca="false">MIN(189.6,(T215+S216))</f>
        <v>189.6</v>
      </c>
      <c r="V216" s="16" t="n">
        <v>310.9</v>
      </c>
      <c r="W216" s="7" t="n">
        <f aca="false">V216/D216</f>
        <v>69.0888888888889</v>
      </c>
      <c r="X216" s="7" t="n">
        <f aca="false">X215+V216</f>
        <v>77642.9</v>
      </c>
      <c r="Y216" s="7" t="n">
        <f aca="false">Y215+V216</f>
        <v>22604</v>
      </c>
      <c r="AA216" s="7" t="n">
        <v>10.8619676407228</v>
      </c>
    </row>
    <row r="217" s="7" customFormat="true" ht="15" hidden="false" customHeight="false" outlineLevel="0" collapsed="false">
      <c r="A217" s="74"/>
      <c r="B217" s="35"/>
      <c r="C217" s="8" t="n">
        <v>41698</v>
      </c>
      <c r="D217" s="7" t="n">
        <v>5.1</v>
      </c>
      <c r="E217" s="18" t="n">
        <v>4</v>
      </c>
      <c r="F217" s="7" t="n">
        <v>6.6</v>
      </c>
      <c r="G217" s="7" t="n">
        <f aca="false">G216+D217</f>
        <v>1490.7</v>
      </c>
      <c r="H217" s="7" t="n">
        <f aca="false">H216+D217</f>
        <v>456.2</v>
      </c>
      <c r="J217" s="7" t="n">
        <v>4.8</v>
      </c>
      <c r="K217" s="7" t="n">
        <f aca="false">K216+J217</f>
        <v>436.2</v>
      </c>
      <c r="L217" s="7" t="n">
        <v>0.4</v>
      </c>
      <c r="M217" s="7" t="n">
        <f aca="false">M216+L217</f>
        <v>170.8</v>
      </c>
      <c r="N217" s="7" t="n">
        <f aca="false">J217-L217</f>
        <v>4.4</v>
      </c>
      <c r="O217" s="7" t="n">
        <v>189.6</v>
      </c>
      <c r="P217" s="7" t="n">
        <v>178</v>
      </c>
      <c r="Q217" s="17" t="n">
        <f aca="false">1+((P217-104)/110)*(1.15-1)</f>
        <v>1.10090909090909</v>
      </c>
      <c r="R217" s="15" t="n">
        <f aca="false">Q217*L217</f>
        <v>0.440363636363636</v>
      </c>
      <c r="S217" s="15" t="n">
        <f aca="false">J217-R217</f>
        <v>4.35963636363636</v>
      </c>
      <c r="T217" s="15" t="n">
        <f aca="false">MIN(189.6,(T216+S217))</f>
        <v>189.6</v>
      </c>
      <c r="V217" s="16" t="n">
        <v>228.2</v>
      </c>
      <c r="W217" s="7" t="n">
        <f aca="false">V217/D217</f>
        <v>44.7450980392157</v>
      </c>
      <c r="X217" s="7" t="n">
        <f aca="false">X216+V217</f>
        <v>77871.1</v>
      </c>
      <c r="Y217" s="7" t="n">
        <f aca="false">Y216+V217</f>
        <v>22832.2</v>
      </c>
      <c r="AA217" s="7" t="n">
        <v>10.9229211026463</v>
      </c>
    </row>
    <row r="218" s="7" customFormat="true" ht="15" hidden="false" customHeight="false" outlineLevel="0" collapsed="false">
      <c r="A218" s="74"/>
      <c r="B218" s="35"/>
      <c r="C218" s="8" t="n">
        <v>41699</v>
      </c>
      <c r="D218" s="18" t="n">
        <v>4.1</v>
      </c>
      <c r="E218" s="18" t="n">
        <v>3.7</v>
      </c>
      <c r="F218" s="7" t="n">
        <v>6.2</v>
      </c>
      <c r="G218" s="7" t="n">
        <f aca="false">G217+D218</f>
        <v>1494.8</v>
      </c>
      <c r="H218" s="7" t="n">
        <f aca="false">H217+D218</f>
        <v>460.3</v>
      </c>
      <c r="J218" s="7" t="n">
        <v>1.2</v>
      </c>
      <c r="K218" s="7" t="n">
        <f aca="false">K217+J218</f>
        <v>437.4</v>
      </c>
      <c r="L218" s="7" t="n">
        <v>0.8</v>
      </c>
      <c r="M218" s="7" t="n">
        <f aca="false">M217+L218</f>
        <v>171.6</v>
      </c>
      <c r="N218" s="7" t="n">
        <f aca="false">J218-L218</f>
        <v>0.4</v>
      </c>
      <c r="O218" s="7" t="n">
        <v>189.6</v>
      </c>
      <c r="P218" s="7" t="n">
        <v>179</v>
      </c>
      <c r="Q218" s="17" t="n">
        <f aca="false">1+((P218-104)/110)*(1.15-1)</f>
        <v>1.10227272727273</v>
      </c>
      <c r="R218" s="15" t="n">
        <f aca="false">Q218*L218</f>
        <v>0.881818181818182</v>
      </c>
      <c r="S218" s="15" t="n">
        <f aca="false">J218-R218</f>
        <v>0.318181818181818</v>
      </c>
      <c r="T218" s="15" t="n">
        <f aca="false">MIN(189.6,(T217+S218))</f>
        <v>189.6</v>
      </c>
      <c r="V218" s="16" t="n">
        <v>532.5</v>
      </c>
      <c r="W218" s="7" t="n">
        <f aca="false">V218/D218</f>
        <v>129.878048780488</v>
      </c>
      <c r="X218" s="7" t="n">
        <f aca="false">X217+V218</f>
        <v>78403.6</v>
      </c>
      <c r="Y218" s="7" t="n">
        <f aca="false">Y217+V218</f>
        <v>23364.7</v>
      </c>
      <c r="AA218" s="7" t="n">
        <v>10.9840087830034</v>
      </c>
    </row>
    <row r="219" s="7" customFormat="true" ht="15" hidden="false" customHeight="false" outlineLevel="0" collapsed="false">
      <c r="A219" s="74"/>
      <c r="B219" s="35"/>
      <c r="C219" s="8" t="n">
        <v>41700</v>
      </c>
      <c r="D219" s="18" t="n">
        <v>4.8</v>
      </c>
      <c r="E219" s="19" t="n">
        <v>-0.3</v>
      </c>
      <c r="F219" s="7" t="n">
        <v>9.1</v>
      </c>
      <c r="G219" s="7" t="n">
        <f aca="false">G218+D219</f>
        <v>1499.6</v>
      </c>
      <c r="H219" s="7" t="n">
        <f aca="false">H218+D219</f>
        <v>465.1</v>
      </c>
      <c r="J219" s="7" t="n">
        <v>5.8</v>
      </c>
      <c r="K219" s="7" t="n">
        <f aca="false">K218+J219</f>
        <v>443.2</v>
      </c>
      <c r="L219" s="7" t="n">
        <v>1.2</v>
      </c>
      <c r="M219" s="7" t="n">
        <f aca="false">M218+L219</f>
        <v>172.8</v>
      </c>
      <c r="N219" s="7" t="n">
        <f aca="false">J219-L219</f>
        <v>4.6</v>
      </c>
      <c r="O219" s="7" t="n">
        <v>189.6</v>
      </c>
      <c r="P219" s="7" t="n">
        <v>180</v>
      </c>
      <c r="Q219" s="17" t="n">
        <f aca="false">1+((P219-104)/110)*(1.15-1)</f>
        <v>1.10363636363636</v>
      </c>
      <c r="R219" s="15" t="n">
        <f aca="false">Q219*L219</f>
        <v>1.32436363636364</v>
      </c>
      <c r="S219" s="15" t="n">
        <f aca="false">J219-R219</f>
        <v>4.47563636363636</v>
      </c>
      <c r="T219" s="15" t="n">
        <f aca="false">MIN(189.6,(T218+S219))</f>
        <v>189.6</v>
      </c>
      <c r="V219" s="7" t="n">
        <v>972.1</v>
      </c>
      <c r="W219" s="7" t="n">
        <f aca="false">V219/D219</f>
        <v>202.520833333333</v>
      </c>
      <c r="X219" s="7" t="n">
        <f aca="false">X218+V219</f>
        <v>79375.7</v>
      </c>
      <c r="Y219" s="7" t="n">
        <f aca="false">Y218+V219</f>
        <v>24336.8</v>
      </c>
      <c r="AA219" s="7" t="n">
        <v>11.0452205681135</v>
      </c>
    </row>
    <row r="220" s="7" customFormat="true" ht="15" hidden="false" customHeight="false" outlineLevel="0" collapsed="false">
      <c r="A220" s="74"/>
      <c r="B220" s="35"/>
      <c r="C220" s="8" t="n">
        <v>41701</v>
      </c>
      <c r="D220" s="7" t="n">
        <v>5.6</v>
      </c>
      <c r="E220" s="7" t="n">
        <v>5.2</v>
      </c>
      <c r="F220" s="7" t="n">
        <v>8.3</v>
      </c>
      <c r="G220" s="7" t="n">
        <f aca="false">G219+D220</f>
        <v>1505.2</v>
      </c>
      <c r="H220" s="7" t="n">
        <f aca="false">H219+D220</f>
        <v>470.7</v>
      </c>
      <c r="J220" s="38" t="n">
        <v>3.6</v>
      </c>
      <c r="K220" s="7" t="n">
        <f aca="false">K219+J220</f>
        <v>446.8</v>
      </c>
      <c r="L220" s="7" t="n">
        <v>1.1</v>
      </c>
      <c r="M220" s="7" t="n">
        <f aca="false">M219+L220</f>
        <v>173.9</v>
      </c>
      <c r="N220" s="7" t="n">
        <f aca="false">J220-L220</f>
        <v>2.5</v>
      </c>
      <c r="O220" s="7" t="n">
        <v>189.6</v>
      </c>
      <c r="P220" s="7" t="n">
        <v>181</v>
      </c>
      <c r="Q220" s="17" t="n">
        <f aca="false">1+((P220-104)/110)*(1.15-1)</f>
        <v>1.105</v>
      </c>
      <c r="R220" s="15" t="n">
        <f aca="false">Q220*L220</f>
        <v>1.2155</v>
      </c>
      <c r="S220" s="15" t="n">
        <f aca="false">J220-R220</f>
        <v>2.3845</v>
      </c>
      <c r="T220" s="15" t="n">
        <f aca="false">MIN(189.6,(T219+S220))</f>
        <v>189.6</v>
      </c>
      <c r="V220" s="16" t="n">
        <v>403.5</v>
      </c>
      <c r="W220" s="7" t="n">
        <f aca="false">V220/D220</f>
        <v>72.0535714285714</v>
      </c>
      <c r="X220" s="7" t="n">
        <f aca="false">X219+V220</f>
        <v>79779.2</v>
      </c>
      <c r="Y220" s="7" t="n">
        <f aca="false">Y219+V220</f>
        <v>24740.3</v>
      </c>
      <c r="AA220" s="7" t="n">
        <v>11.1065467497302</v>
      </c>
      <c r="AB220" s="7" t="s">
        <v>48</v>
      </c>
    </row>
    <row r="221" s="7" customFormat="true" ht="15" hidden="false" customHeight="false" outlineLevel="0" collapsed="false">
      <c r="A221" s="74"/>
      <c r="B221" s="35"/>
      <c r="C221" s="8" t="n">
        <v>41702</v>
      </c>
      <c r="D221" s="18" t="n">
        <v>5</v>
      </c>
      <c r="E221" s="18" t="n">
        <v>2</v>
      </c>
      <c r="F221" s="7" t="n">
        <v>7.8</v>
      </c>
      <c r="G221" s="7" t="n">
        <f aca="false">G220+D221</f>
        <v>1510.2</v>
      </c>
      <c r="H221" s="7" t="n">
        <f aca="false">H220+D221</f>
        <v>475.7</v>
      </c>
      <c r="J221" s="38" t="n">
        <v>0.1</v>
      </c>
      <c r="K221" s="7" t="n">
        <f aca="false">K220+J221</f>
        <v>446.9</v>
      </c>
      <c r="L221" s="7" t="n">
        <v>0.6</v>
      </c>
      <c r="M221" s="7" t="n">
        <f aca="false">M220+L221</f>
        <v>174.5</v>
      </c>
      <c r="N221" s="14" t="n">
        <f aca="false">J221-L221</f>
        <v>-0.5</v>
      </c>
      <c r="O221" s="7" t="n">
        <f aca="false">O220+N221</f>
        <v>189.1</v>
      </c>
      <c r="P221" s="7" t="n">
        <v>182</v>
      </c>
      <c r="Q221" s="17" t="n">
        <f aca="false">1+((P221-104)/110)*(1.15-1)</f>
        <v>1.10636363636364</v>
      </c>
      <c r="R221" s="15" t="n">
        <f aca="false">Q221*L221</f>
        <v>0.663818181818182</v>
      </c>
      <c r="S221" s="15" t="n">
        <f aca="false">J221-R221</f>
        <v>-0.563818181818182</v>
      </c>
      <c r="T221" s="15" t="n">
        <f aca="false">MIN(189.6,(T220+S221))</f>
        <v>189.036181818182</v>
      </c>
      <c r="V221" s="16" t="n">
        <v>596.8</v>
      </c>
      <c r="W221" s="7" t="n">
        <f aca="false">V221/D221</f>
        <v>119.36</v>
      </c>
      <c r="X221" s="7" t="n">
        <f aca="false">X220+V221</f>
        <v>80376</v>
      </c>
      <c r="Y221" s="7" t="n">
        <f aca="false">Y220+V221</f>
        <v>25337.1</v>
      </c>
      <c r="AA221" s="7" t="n">
        <v>11.1679780045177</v>
      </c>
      <c r="AB221" s="17" t="n">
        <f aca="false">AVERAGE(T227:T240)</f>
        <v>166.981840909091</v>
      </c>
    </row>
    <row r="222" s="7" customFormat="true" ht="15" hidden="false" customHeight="false" outlineLevel="0" collapsed="false">
      <c r="A222" s="74"/>
      <c r="B222" s="35"/>
      <c r="C222" s="8" t="n">
        <v>41703</v>
      </c>
      <c r="D222" s="7" t="n">
        <v>5.2</v>
      </c>
      <c r="E222" s="19" t="n">
        <v>-0.3</v>
      </c>
      <c r="F222" s="7" t="n">
        <v>10.8</v>
      </c>
      <c r="G222" s="7" t="n">
        <f aca="false">G221+D222</f>
        <v>1515.4</v>
      </c>
      <c r="H222" s="7" t="n">
        <f aca="false">H221+D222</f>
        <v>480.9</v>
      </c>
      <c r="J222" s="38" t="n">
        <v>0</v>
      </c>
      <c r="K222" s="7" t="n">
        <f aca="false">K221+J222</f>
        <v>446.9</v>
      </c>
      <c r="L222" s="7" t="n">
        <v>1.4</v>
      </c>
      <c r="M222" s="7" t="n">
        <f aca="false">M221+L222</f>
        <v>175.9</v>
      </c>
      <c r="N222" s="14" t="n">
        <f aca="false">J222-L222</f>
        <v>-1.4</v>
      </c>
      <c r="O222" s="7" t="n">
        <f aca="false">O221+N222</f>
        <v>187.7</v>
      </c>
      <c r="P222" s="7" t="n">
        <v>183</v>
      </c>
      <c r="Q222" s="17" t="n">
        <f aca="false">1+((P222-104)/110)*(1.15-1)</f>
        <v>1.10772727272727</v>
      </c>
      <c r="R222" s="15" t="n">
        <f aca="false">Q222*L222</f>
        <v>1.55081818181818</v>
      </c>
      <c r="S222" s="15" t="n">
        <f aca="false">J222-R222</f>
        <v>-1.55081818181818</v>
      </c>
      <c r="T222" s="15" t="n">
        <f aca="false">MIN(189.6,(T221+S222))</f>
        <v>187.485363636364</v>
      </c>
      <c r="V222" s="7" t="n">
        <v>1143.3</v>
      </c>
      <c r="W222" s="7" t="n">
        <f aca="false">V222/D222</f>
        <v>219.865384615385</v>
      </c>
      <c r="X222" s="7" t="n">
        <f aca="false">X221+V222</f>
        <v>81519.3</v>
      </c>
      <c r="Y222" s="7" t="n">
        <f aca="false">Y221+V222</f>
        <v>26480.4</v>
      </c>
      <c r="AA222" s="7" t="n">
        <v>11.2295053735237</v>
      </c>
      <c r="AB222" s="7" t="s">
        <v>49</v>
      </c>
    </row>
    <row r="223" s="7" customFormat="true" ht="15" hidden="false" customHeight="false" outlineLevel="0" collapsed="false">
      <c r="A223" s="74"/>
      <c r="B223" s="35"/>
      <c r="C223" s="8" t="n">
        <v>41704</v>
      </c>
      <c r="D223" s="7" t="n">
        <v>6.1</v>
      </c>
      <c r="E223" s="18" t="n">
        <v>0.3</v>
      </c>
      <c r="F223" s="7" t="n">
        <v>11.8</v>
      </c>
      <c r="G223" s="7" t="n">
        <f aca="false">G222+D223</f>
        <v>1521.5</v>
      </c>
      <c r="H223" s="7" t="n">
        <f aca="false">H222+D223</f>
        <v>487</v>
      </c>
      <c r="J223" s="38" t="n">
        <v>0</v>
      </c>
      <c r="K223" s="7" t="n">
        <f aca="false">K222+J223</f>
        <v>446.9</v>
      </c>
      <c r="L223" s="7" t="n">
        <v>1.7</v>
      </c>
      <c r="M223" s="7" t="n">
        <f aca="false">M222+L223</f>
        <v>177.6</v>
      </c>
      <c r="N223" s="14" t="n">
        <f aca="false">J223-L223</f>
        <v>-1.7</v>
      </c>
      <c r="O223" s="7" t="n">
        <f aca="false">O222+N223</f>
        <v>186</v>
      </c>
      <c r="P223" s="7" t="n">
        <v>184</v>
      </c>
      <c r="Q223" s="17" t="n">
        <f aca="false">1+((P223-104)/110)*(1.15-1)</f>
        <v>1.10909090909091</v>
      </c>
      <c r="R223" s="15" t="n">
        <f aca="false">Q223*L223</f>
        <v>1.88545454545455</v>
      </c>
      <c r="S223" s="15" t="n">
        <f aca="false">J223-R223</f>
        <v>-1.88545454545455</v>
      </c>
      <c r="T223" s="15" t="n">
        <f aca="false">MIN(189.6,(T222+S223))</f>
        <v>185.599909090909</v>
      </c>
      <c r="V223" s="7" t="n">
        <v>1159.5</v>
      </c>
      <c r="W223" s="7" t="n">
        <f aca="false">V223/D223</f>
        <v>190.081967213115</v>
      </c>
      <c r="X223" s="7" t="n">
        <f aca="false">X222+V223</f>
        <v>82678.8</v>
      </c>
      <c r="Y223" s="7" t="n">
        <f aca="false">Y222+V223</f>
        <v>27639.9</v>
      </c>
      <c r="AA223" s="7" t="n">
        <v>11.2911202416762</v>
      </c>
      <c r="AB223" s="7" t="n">
        <v>6</v>
      </c>
    </row>
    <row r="224" s="7" customFormat="true" ht="15" hidden="false" customHeight="false" outlineLevel="0" collapsed="false">
      <c r="A224" s="74"/>
      <c r="B224" s="35"/>
      <c r="C224" s="8" t="n">
        <v>41705</v>
      </c>
      <c r="D224" s="7" t="n">
        <v>7.5</v>
      </c>
      <c r="E224" s="18" t="n">
        <v>1.5</v>
      </c>
      <c r="F224" s="7" t="n">
        <v>12.3</v>
      </c>
      <c r="G224" s="7" t="n">
        <f aca="false">G223+D224</f>
        <v>1529</v>
      </c>
      <c r="H224" s="7" t="n">
        <f aca="false">H223+D224</f>
        <v>494.5</v>
      </c>
      <c r="J224" s="38" t="n">
        <v>0</v>
      </c>
      <c r="K224" s="7" t="n">
        <f aca="false">K223+J224</f>
        <v>446.9</v>
      </c>
      <c r="L224" s="7" t="n">
        <v>0.9</v>
      </c>
      <c r="M224" s="7" t="n">
        <f aca="false">M223+L224</f>
        <v>178.5</v>
      </c>
      <c r="N224" s="14" t="n">
        <f aca="false">J224-L224</f>
        <v>-0.9</v>
      </c>
      <c r="O224" s="7" t="n">
        <f aca="false">O223+N224</f>
        <v>185.1</v>
      </c>
      <c r="P224" s="7" t="n">
        <v>185</v>
      </c>
      <c r="Q224" s="17" t="n">
        <f aca="false">1+((P224-104)/110)*(1.15-1)</f>
        <v>1.11045454545455</v>
      </c>
      <c r="R224" s="15" t="n">
        <f aca="false">Q224*L224</f>
        <v>0.999409090909091</v>
      </c>
      <c r="S224" s="15" t="n">
        <f aca="false">J224-R224</f>
        <v>-0.999409090909091</v>
      </c>
      <c r="T224" s="15" t="n">
        <f aca="false">MIN(189.6,(T223+S224))</f>
        <v>184.6005</v>
      </c>
      <c r="V224" s="16" t="n">
        <v>574.6</v>
      </c>
      <c r="W224" s="7" t="n">
        <f aca="false">V224/D224</f>
        <v>76.6133333333333</v>
      </c>
      <c r="X224" s="7" t="n">
        <f aca="false">X223+V224</f>
        <v>83253.4</v>
      </c>
      <c r="Y224" s="7" t="n">
        <f aca="false">Y223+V224</f>
        <v>28214.5</v>
      </c>
      <c r="AA224" s="7" t="n">
        <v>11.3528143173298</v>
      </c>
      <c r="AB224" s="7" t="s">
        <v>50</v>
      </c>
    </row>
    <row r="225" s="7" customFormat="true" ht="15" hidden="false" customHeight="false" outlineLevel="0" collapsed="false">
      <c r="A225" s="74"/>
      <c r="B225" s="35"/>
      <c r="C225" s="8" t="n">
        <v>41706</v>
      </c>
      <c r="D225" s="7" t="n">
        <v>9.1</v>
      </c>
      <c r="E225" s="18" t="n">
        <v>2.9</v>
      </c>
      <c r="F225" s="7" t="n">
        <v>14.7</v>
      </c>
      <c r="G225" s="7" t="n">
        <f aca="false">G224+D225</f>
        <v>1538.1</v>
      </c>
      <c r="H225" s="7" t="n">
        <f aca="false">H224+D225</f>
        <v>503.6</v>
      </c>
      <c r="J225" s="38" t="n">
        <v>0</v>
      </c>
      <c r="K225" s="7" t="n">
        <f aca="false">K224+J225</f>
        <v>446.9</v>
      </c>
      <c r="L225" s="7" t="n">
        <v>2</v>
      </c>
      <c r="M225" s="7" t="n">
        <f aca="false">M224+L225</f>
        <v>180.5</v>
      </c>
      <c r="N225" s="14" t="n">
        <f aca="false">J225-L225</f>
        <v>-2</v>
      </c>
      <c r="O225" s="7" t="n">
        <f aca="false">O224+N225</f>
        <v>183.1</v>
      </c>
      <c r="P225" s="7" t="n">
        <v>186</v>
      </c>
      <c r="Q225" s="17" t="n">
        <f aca="false">1+((P225-104)/110)*(1.15-1)</f>
        <v>1.11181818181818</v>
      </c>
      <c r="R225" s="15" t="n">
        <f aca="false">Q225*L225</f>
        <v>2.22363636363636</v>
      </c>
      <c r="S225" s="15" t="n">
        <f aca="false">J225-R225</f>
        <v>-2.22363636363636</v>
      </c>
      <c r="T225" s="15" t="n">
        <f aca="false">MIN(189.6,(T224+S225))</f>
        <v>182.376863636364</v>
      </c>
      <c r="V225" s="7" t="n">
        <v>1235.4</v>
      </c>
      <c r="W225" s="7" t="n">
        <f aca="false">V225/D225</f>
        <v>135.758241758242</v>
      </c>
      <c r="X225" s="7" t="n">
        <f aca="false">X224+V225</f>
        <v>84488.8</v>
      </c>
      <c r="Y225" s="7" t="n">
        <f aca="false">Y224+V225</f>
        <v>29449.9</v>
      </c>
      <c r="AA225" s="7" t="n">
        <v>11.4145796118836</v>
      </c>
      <c r="AB225" s="7" t="n">
        <v>3</v>
      </c>
    </row>
    <row r="226" s="7" customFormat="true" ht="15" hidden="false" customHeight="false" outlineLevel="0" collapsed="false">
      <c r="A226" s="74"/>
      <c r="B226" s="35"/>
      <c r="C226" s="8" t="n">
        <v>41707</v>
      </c>
      <c r="D226" s="7" t="n">
        <v>10.6</v>
      </c>
      <c r="E226" s="18" t="n">
        <v>4.3</v>
      </c>
      <c r="F226" s="7" t="n">
        <v>17.9</v>
      </c>
      <c r="G226" s="7" t="n">
        <f aca="false">G225+D226</f>
        <v>1548.7</v>
      </c>
      <c r="H226" s="7" t="n">
        <f aca="false">H225+D226</f>
        <v>514.2</v>
      </c>
      <c r="J226" s="38" t="n">
        <v>0</v>
      </c>
      <c r="K226" s="7" t="n">
        <f aca="false">K225+J226</f>
        <v>446.9</v>
      </c>
      <c r="L226" s="7" t="n">
        <v>2.8</v>
      </c>
      <c r="M226" s="7" t="n">
        <f aca="false">M225+L226</f>
        <v>183.3</v>
      </c>
      <c r="N226" s="14" t="n">
        <f aca="false">J226-L226</f>
        <v>-2.8</v>
      </c>
      <c r="O226" s="7" t="n">
        <f aca="false">O225+N226</f>
        <v>180.3</v>
      </c>
      <c r="P226" s="7" t="n">
        <v>187</v>
      </c>
      <c r="Q226" s="17" t="n">
        <f aca="false">1+((P226-104)/110)*(1.15-1)</f>
        <v>1.11318181818182</v>
      </c>
      <c r="R226" s="15" t="n">
        <f aca="false">Q226*L226</f>
        <v>3.11690909090909</v>
      </c>
      <c r="S226" s="15" t="n">
        <f aca="false">J226-R226</f>
        <v>-3.11690909090909</v>
      </c>
      <c r="T226" s="15" t="n">
        <f aca="false">MIN(189.6,(T225+S226))</f>
        <v>179.259954545455</v>
      </c>
      <c r="V226" s="7" t="n">
        <v>1379.8</v>
      </c>
      <c r="W226" s="7" t="n">
        <f aca="false">V226/D226</f>
        <v>130.169811320755</v>
      </c>
      <c r="X226" s="7" t="n">
        <f aca="false">X225+V226</f>
        <v>85868.6</v>
      </c>
      <c r="Y226" s="7" t="n">
        <f aca="false">Y225+V226</f>
        <v>30829.7</v>
      </c>
      <c r="AA226" s="7" t="n">
        <v>11.4764084194862</v>
      </c>
      <c r="AB226" s="7" t="s">
        <v>51</v>
      </c>
    </row>
    <row r="227" s="7" customFormat="true" ht="15" hidden="false" customHeight="false" outlineLevel="0" collapsed="false">
      <c r="A227" s="74"/>
      <c r="B227" s="35"/>
      <c r="C227" s="8" t="n">
        <v>41708</v>
      </c>
      <c r="D227" s="7" t="n">
        <v>9.5</v>
      </c>
      <c r="E227" s="18" t="n">
        <v>1.9</v>
      </c>
      <c r="F227" s="7" t="n">
        <v>16.4</v>
      </c>
      <c r="G227" s="7" t="n">
        <f aca="false">G226+D227</f>
        <v>1558.2</v>
      </c>
      <c r="H227" s="7" t="n">
        <f aca="false">H226+D227</f>
        <v>523.7</v>
      </c>
      <c r="J227" s="38" t="n">
        <v>0</v>
      </c>
      <c r="K227" s="7" t="n">
        <f aca="false">K226+J227</f>
        <v>446.9</v>
      </c>
      <c r="L227" s="7" t="n">
        <v>2.2</v>
      </c>
      <c r="M227" s="7" t="n">
        <f aca="false">M226+L227</f>
        <v>185.5</v>
      </c>
      <c r="N227" s="14" t="n">
        <f aca="false">J227-L227</f>
        <v>-2.2</v>
      </c>
      <c r="O227" s="7" t="n">
        <f aca="false">O226+N227</f>
        <v>178.1</v>
      </c>
      <c r="P227" s="7" t="n">
        <v>188</v>
      </c>
      <c r="Q227" s="17" t="n">
        <f aca="false">1+((P227-104)/110)*(1.15-1)</f>
        <v>1.11454545454545</v>
      </c>
      <c r="R227" s="15" t="n">
        <f aca="false">Q227*L227</f>
        <v>2.452</v>
      </c>
      <c r="S227" s="15" t="n">
        <f aca="false">J227-R227</f>
        <v>-2.452</v>
      </c>
      <c r="T227" s="40" t="n">
        <f aca="false">MIN(189.6,(T226+S227))</f>
        <v>176.807954545455</v>
      </c>
      <c r="V227" s="7" t="n">
        <v>1348.7</v>
      </c>
      <c r="W227" s="7" t="n">
        <f aca="false">V227/D227</f>
        <v>141.968421052632</v>
      </c>
      <c r="X227" s="7" t="n">
        <f aca="false">X226+V227</f>
        <v>87217.3</v>
      </c>
      <c r="Y227" s="7" t="n">
        <f aca="false">Y226+V227</f>
        <v>32178.4</v>
      </c>
      <c r="AA227" s="7" t="n">
        <v>11.5382932968443</v>
      </c>
      <c r="AB227" s="7" t="n">
        <v>0</v>
      </c>
    </row>
    <row r="228" s="7" customFormat="true" ht="15" hidden="false" customHeight="false" outlineLevel="0" collapsed="false">
      <c r="A228" s="74"/>
      <c r="B228" s="35"/>
      <c r="C228" s="8" t="n">
        <v>41709</v>
      </c>
      <c r="D228" s="7" t="n">
        <v>9.1</v>
      </c>
      <c r="E228" s="7" t="n">
        <v>7.8</v>
      </c>
      <c r="F228" s="7" t="n">
        <v>10.9</v>
      </c>
      <c r="G228" s="7" t="n">
        <f aca="false">G227+D228</f>
        <v>1567.3</v>
      </c>
      <c r="H228" s="7" t="n">
        <f aca="false">H227+D228</f>
        <v>532.8</v>
      </c>
      <c r="J228" s="38" t="n">
        <v>0.1</v>
      </c>
      <c r="K228" s="7" t="n">
        <f aca="false">K227+J228</f>
        <v>447</v>
      </c>
      <c r="L228" s="7" t="n">
        <v>1.8</v>
      </c>
      <c r="M228" s="7" t="n">
        <f aca="false">M227+L228</f>
        <v>187.3</v>
      </c>
      <c r="N228" s="14" t="n">
        <f aca="false">J228-L228</f>
        <v>-1.7</v>
      </c>
      <c r="O228" s="7" t="n">
        <f aca="false">O227+N228</f>
        <v>176.4</v>
      </c>
      <c r="P228" s="7" t="n">
        <v>189</v>
      </c>
      <c r="Q228" s="17" t="n">
        <f aca="false">1+((P228-104)/110)*(1.15-1)</f>
        <v>1.11590909090909</v>
      </c>
      <c r="R228" s="15" t="n">
        <f aca="false">Q228*L228</f>
        <v>2.00863636363636</v>
      </c>
      <c r="S228" s="15" t="n">
        <f aca="false">J228-R228</f>
        <v>-1.90863636363636</v>
      </c>
      <c r="T228" s="40" t="n">
        <f aca="false">MIN(189.6,(T227+S228))</f>
        <v>174.899318181818</v>
      </c>
      <c r="V228" s="7" t="n">
        <v>1279</v>
      </c>
      <c r="W228" s="7" t="n">
        <f aca="false">V228/D228</f>
        <v>140.549450549451</v>
      </c>
      <c r="X228" s="7" t="n">
        <f aca="false">X227+V228</f>
        <v>88496.3</v>
      </c>
      <c r="Y228" s="7" t="n">
        <f aca="false">Y227+V228</f>
        <v>33457.4</v>
      </c>
      <c r="AA228" s="7" t="n">
        <v>11.6002270431453</v>
      </c>
      <c r="AB228" s="7" t="s">
        <v>52</v>
      </c>
    </row>
    <row r="229" s="7" customFormat="true" ht="15" hidden="false" customHeight="false" outlineLevel="0" collapsed="false">
      <c r="A229" s="74"/>
      <c r="B229" s="35"/>
      <c r="C229" s="8" t="n">
        <v>41710</v>
      </c>
      <c r="D229" s="7" t="n">
        <v>8.8</v>
      </c>
      <c r="E229" s="18" t="n">
        <v>2.8</v>
      </c>
      <c r="F229" s="7" t="n">
        <v>14.5</v>
      </c>
      <c r="G229" s="7" t="n">
        <f aca="false">G228+D229</f>
        <v>1576.1</v>
      </c>
      <c r="H229" s="7" t="n">
        <f aca="false">H228+D229</f>
        <v>541.6</v>
      </c>
      <c r="J229" s="38" t="n">
        <v>0</v>
      </c>
      <c r="K229" s="7" t="n">
        <f aca="false">K228+J229</f>
        <v>447</v>
      </c>
      <c r="L229" s="7" t="n">
        <v>2.1</v>
      </c>
      <c r="M229" s="7" t="n">
        <f aca="false">M228+L229</f>
        <v>189.4</v>
      </c>
      <c r="N229" s="14" t="n">
        <f aca="false">J229-L229</f>
        <v>-2.1</v>
      </c>
      <c r="O229" s="7" t="n">
        <f aca="false">O228+N229</f>
        <v>174.3</v>
      </c>
      <c r="P229" s="7" t="n">
        <v>190</v>
      </c>
      <c r="Q229" s="17" t="n">
        <f aca="false">1+((P229-104)/110)*(1.15-1)</f>
        <v>1.11727272727273</v>
      </c>
      <c r="R229" s="15" t="n">
        <f aca="false">Q229*L229</f>
        <v>2.34627272727273</v>
      </c>
      <c r="S229" s="15" t="n">
        <f aca="false">J229-R229</f>
        <v>-2.34627272727273</v>
      </c>
      <c r="T229" s="40" t="n">
        <f aca="false">MIN(189.6,(T228+S229))</f>
        <v>172.553045454545</v>
      </c>
      <c r="V229" s="7" t="n">
        <v>1351.4</v>
      </c>
      <c r="W229" s="7" t="n">
        <f aca="false">V229/D229</f>
        <v>153.568181818182</v>
      </c>
      <c r="X229" s="7" t="n">
        <f aca="false">X228+V229</f>
        <v>89847.7</v>
      </c>
      <c r="Y229" s="7" t="n">
        <f aca="false">Y228+V229</f>
        <v>34808.8</v>
      </c>
      <c r="AA229" s="7" t="n">
        <v>11.6622026801018</v>
      </c>
      <c r="AB229" s="7" t="n">
        <f aca="false">SUM(J231:J240)</f>
        <v>8.8</v>
      </c>
    </row>
    <row r="230" s="43" customFormat="true" ht="15" hidden="false" customHeight="false" outlineLevel="0" collapsed="false">
      <c r="A230" s="75"/>
      <c r="B230" s="41" t="s">
        <v>62</v>
      </c>
      <c r="C230" s="42" t="n">
        <v>41711</v>
      </c>
      <c r="D230" s="43" t="n">
        <v>8.7</v>
      </c>
      <c r="E230" s="43" t="n">
        <v>2.3</v>
      </c>
      <c r="F230" s="43" t="n">
        <v>15.2</v>
      </c>
      <c r="G230" s="43" t="n">
        <f aca="false">G229+D230</f>
        <v>1584.8</v>
      </c>
      <c r="H230" s="43" t="n">
        <f aca="false">H229+D230</f>
        <v>550.3</v>
      </c>
      <c r="J230" s="43" t="n">
        <v>0.1</v>
      </c>
      <c r="K230" s="43" t="n">
        <f aca="false">K229+J230</f>
        <v>447.1</v>
      </c>
      <c r="L230" s="43" t="n">
        <v>2.2</v>
      </c>
      <c r="M230" s="43" t="n">
        <f aca="false">M229+L230</f>
        <v>191.6</v>
      </c>
      <c r="N230" s="43" t="n">
        <f aca="false">J230-L230</f>
        <v>-2.1</v>
      </c>
      <c r="O230" s="43" t="n">
        <f aca="false">O229+N230</f>
        <v>172.2</v>
      </c>
      <c r="P230" s="43" t="n">
        <v>191</v>
      </c>
      <c r="Q230" s="44" t="n">
        <f aca="false">1+((P230-104)/110)*(1.15-1)</f>
        <v>1.11863636363636</v>
      </c>
      <c r="R230" s="45" t="n">
        <f aca="false">Q230*L230</f>
        <v>2.461</v>
      </c>
      <c r="S230" s="45" t="n">
        <f aca="false">J230-R230</f>
        <v>-2.361</v>
      </c>
      <c r="T230" s="45" t="n">
        <f aca="false">MIN(189.6,(T229+S230))</f>
        <v>170.192045454545</v>
      </c>
      <c r="V230" s="43" t="n">
        <v>1468.8</v>
      </c>
      <c r="W230" s="43" t="n">
        <f aca="false">V230/D230</f>
        <v>168.827586206897</v>
      </c>
      <c r="X230" s="43" t="n">
        <f aca="false">X229+V230</f>
        <v>91316.5</v>
      </c>
      <c r="Y230" s="43" t="n">
        <f aca="false">Y229+V230</f>
        <v>36277.6</v>
      </c>
      <c r="AA230" s="43" t="n">
        <v>11.7242134321258</v>
      </c>
    </row>
    <row r="231" s="7" customFormat="true" ht="15" hidden="false" customHeight="false" outlineLevel="0" collapsed="false">
      <c r="A231" s="74"/>
      <c r="B231" s="35"/>
      <c r="C231" s="8" t="n">
        <v>41712</v>
      </c>
      <c r="D231" s="7" t="n">
        <v>7.6</v>
      </c>
      <c r="E231" s="18" t="n">
        <v>3</v>
      </c>
      <c r="F231" s="7" t="n">
        <v>10.6</v>
      </c>
      <c r="G231" s="7" t="n">
        <f aca="false">G230+D231</f>
        <v>1592.4</v>
      </c>
      <c r="H231" s="7" t="n">
        <f aca="false">H230+D231</f>
        <v>557.9</v>
      </c>
      <c r="J231" s="38" t="n">
        <v>0.1</v>
      </c>
      <c r="K231" s="7" t="n">
        <f aca="false">K230+J231</f>
        <v>447.2</v>
      </c>
      <c r="L231" s="7" t="n">
        <v>1.2</v>
      </c>
      <c r="M231" s="7" t="n">
        <f aca="false">M230+L231</f>
        <v>192.8</v>
      </c>
      <c r="N231" s="14" t="n">
        <f aca="false">J231-L231</f>
        <v>-1.1</v>
      </c>
      <c r="O231" s="7" t="n">
        <f aca="false">O230+N231</f>
        <v>171.1</v>
      </c>
      <c r="P231" s="7" t="n">
        <v>192</v>
      </c>
      <c r="Q231" s="17" t="n">
        <f aca="false">1+((P231-104)/110)*(1.15-1)</f>
        <v>1.12</v>
      </c>
      <c r="R231" s="15" t="n">
        <f aca="false">Q231*L231</f>
        <v>1.344</v>
      </c>
      <c r="S231" s="15" t="n">
        <f aca="false">J231-R231</f>
        <v>-1.244</v>
      </c>
      <c r="T231" s="40" t="n">
        <f aca="false">MIN(189.6,(T230+S231))</f>
        <v>168.948045454545</v>
      </c>
      <c r="V231" s="7" t="n">
        <v>994</v>
      </c>
      <c r="W231" s="7" t="n">
        <f aca="false">V231/D231</f>
        <v>130.789473684211</v>
      </c>
      <c r="X231" s="7" t="n">
        <f aca="false">X230+V231</f>
        <v>92310.5</v>
      </c>
      <c r="Y231" s="7" t="n">
        <f aca="false">Y230+V231</f>
        <v>37271.6</v>
      </c>
      <c r="AA231" s="7" t="n">
        <v>11.7862527066358</v>
      </c>
    </row>
    <row r="232" s="7" customFormat="true" ht="15" hidden="false" customHeight="false" outlineLevel="0" collapsed="false">
      <c r="A232" s="74"/>
      <c r="B232" s="35"/>
      <c r="C232" s="8" t="n">
        <v>41713</v>
      </c>
      <c r="D232" s="7" t="n">
        <v>9.5</v>
      </c>
      <c r="E232" s="7" t="n">
        <v>6.9</v>
      </c>
      <c r="F232" s="7" t="n">
        <v>11.7</v>
      </c>
      <c r="G232" s="7" t="n">
        <f aca="false">G231+D232</f>
        <v>1601.9</v>
      </c>
      <c r="H232" s="7" t="n">
        <f aca="false">H231+D232</f>
        <v>567.4</v>
      </c>
      <c r="J232" s="38" t="n">
        <v>0</v>
      </c>
      <c r="K232" s="7" t="n">
        <f aca="false">K231+J232</f>
        <v>447.2</v>
      </c>
      <c r="L232" s="7" t="n">
        <v>1.3</v>
      </c>
      <c r="M232" s="7" t="n">
        <f aca="false">M231+L232</f>
        <v>194.1</v>
      </c>
      <c r="N232" s="14" t="n">
        <f aca="false">J232-L232</f>
        <v>-1.3</v>
      </c>
      <c r="O232" s="7" t="n">
        <f aca="false">O231+N232</f>
        <v>169.8</v>
      </c>
      <c r="P232" s="7" t="n">
        <v>193</v>
      </c>
      <c r="Q232" s="17" t="n">
        <f aca="false">1+((P232-104)/110)*(1.15-1)</f>
        <v>1.12136363636364</v>
      </c>
      <c r="R232" s="15" t="n">
        <f aca="false">Q232*L232</f>
        <v>1.45777272727273</v>
      </c>
      <c r="S232" s="15" t="n">
        <f aca="false">J232-R232</f>
        <v>-1.45777272727273</v>
      </c>
      <c r="T232" s="40" t="n">
        <f aca="false">MIN(189.6,(T231+S232))</f>
        <v>167.490272727273</v>
      </c>
      <c r="V232" s="16" t="n">
        <v>749.8</v>
      </c>
      <c r="W232" s="7" t="n">
        <f aca="false">V232/D232</f>
        <v>78.9263157894737</v>
      </c>
      <c r="X232" s="7" t="n">
        <f aca="false">X231+V232</f>
        <v>93060.3</v>
      </c>
      <c r="Y232" s="7" t="n">
        <f aca="false">Y231+V232</f>
        <v>38021.4</v>
      </c>
      <c r="AA232" s="7" t="n">
        <v>11.8483140744981</v>
      </c>
    </row>
    <row r="233" s="7" customFormat="true" ht="15" hidden="false" customHeight="false" outlineLevel="0" collapsed="false">
      <c r="A233" s="74"/>
      <c r="B233" s="35"/>
      <c r="C233" s="8" t="n">
        <v>41714</v>
      </c>
      <c r="D233" s="7" t="n">
        <v>9.7</v>
      </c>
      <c r="E233" s="7" t="n">
        <v>5.9</v>
      </c>
      <c r="F233" s="7" t="n">
        <v>14.7</v>
      </c>
      <c r="G233" s="7" t="n">
        <f aca="false">G232+D233</f>
        <v>1611.6</v>
      </c>
      <c r="H233" s="7" t="n">
        <f aca="false">H232+D233</f>
        <v>577.1</v>
      </c>
      <c r="J233" s="38" t="n">
        <v>0</v>
      </c>
      <c r="K233" s="7" t="n">
        <f aca="false">K232+J233</f>
        <v>447.2</v>
      </c>
      <c r="L233" s="7" t="n">
        <v>1.7</v>
      </c>
      <c r="M233" s="7" t="n">
        <f aca="false">M232+L233</f>
        <v>195.8</v>
      </c>
      <c r="N233" s="14" t="n">
        <f aca="false">J233-L233</f>
        <v>-1.7</v>
      </c>
      <c r="O233" s="7" t="n">
        <f aca="false">O232+N233</f>
        <v>168.1</v>
      </c>
      <c r="P233" s="7" t="n">
        <v>194</v>
      </c>
      <c r="Q233" s="17" t="n">
        <f aca="false">1+((P233-104)/110)*(1.15-1)</f>
        <v>1.12272727272727</v>
      </c>
      <c r="R233" s="15" t="n">
        <f aca="false">Q233*L233</f>
        <v>1.90863636363636</v>
      </c>
      <c r="S233" s="15" t="n">
        <f aca="false">J233-R233</f>
        <v>-1.90863636363636</v>
      </c>
      <c r="T233" s="40" t="n">
        <f aca="false">MIN(189.6,(T232+S233))</f>
        <v>165.581636363636</v>
      </c>
      <c r="V233" s="7" t="n">
        <v>1047.1</v>
      </c>
      <c r="W233" s="7" t="n">
        <f aca="false">V233/D233</f>
        <v>107.948453608247</v>
      </c>
      <c r="X233" s="7" t="n">
        <f aca="false">X232+V233</f>
        <v>94107.4</v>
      </c>
      <c r="Y233" s="7" t="n">
        <f aca="false">Y232+V233</f>
        <v>39068.5</v>
      </c>
      <c r="AA233" s="7" t="n">
        <v>11.9103912506042</v>
      </c>
    </row>
    <row r="234" s="7" customFormat="true" ht="15" hidden="false" customHeight="false" outlineLevel="0" collapsed="false">
      <c r="A234" s="74"/>
      <c r="B234" s="35"/>
      <c r="C234" s="8" t="n">
        <v>41715</v>
      </c>
      <c r="D234" s="7" t="n">
        <v>8.7</v>
      </c>
      <c r="E234" s="7" t="n">
        <v>6.4</v>
      </c>
      <c r="F234" s="7" t="n">
        <v>9.7</v>
      </c>
      <c r="G234" s="7" t="n">
        <f aca="false">G233+D234</f>
        <v>1620.3</v>
      </c>
      <c r="H234" s="7" t="n">
        <f aca="false">H233+D234</f>
        <v>585.8</v>
      </c>
      <c r="J234" s="38" t="n">
        <v>0.3</v>
      </c>
      <c r="K234" s="7" t="n">
        <f aca="false">K233+J234</f>
        <v>447.5</v>
      </c>
      <c r="L234" s="7" t="n">
        <v>0.4</v>
      </c>
      <c r="M234" s="7" t="n">
        <f aca="false">M233+L234</f>
        <v>196.2</v>
      </c>
      <c r="N234" s="14" t="n">
        <f aca="false">J234-L234</f>
        <v>-0.1</v>
      </c>
      <c r="O234" s="7" t="n">
        <f aca="false">O233+N234</f>
        <v>168</v>
      </c>
      <c r="P234" s="7" t="n">
        <v>195</v>
      </c>
      <c r="Q234" s="17" t="n">
        <f aca="false">1+((P234-104)/110)*(1.15-1)</f>
        <v>1.12409090909091</v>
      </c>
      <c r="R234" s="15" t="n">
        <f aca="false">Q234*L234</f>
        <v>0.449636363636364</v>
      </c>
      <c r="S234" s="15" t="n">
        <f aca="false">J234-R234</f>
        <v>-0.149636363636364</v>
      </c>
      <c r="T234" s="40" t="n">
        <f aca="false">MIN(189.6,(T233+S234))</f>
        <v>165.432</v>
      </c>
      <c r="V234" s="16" t="n">
        <v>421.9</v>
      </c>
      <c r="W234" s="7" t="n">
        <f aca="false">V234/D234</f>
        <v>48.4942528735632</v>
      </c>
      <c r="X234" s="7" t="n">
        <f aca="false">X233+V234</f>
        <v>94529.3</v>
      </c>
      <c r="Y234" s="7" t="n">
        <f aca="false">Y233+V234</f>
        <v>39490.4</v>
      </c>
      <c r="AA234" s="7" t="n">
        <v>11.9724780745811</v>
      </c>
    </row>
    <row r="235" s="7" customFormat="true" ht="15" hidden="false" customHeight="false" outlineLevel="0" collapsed="false">
      <c r="A235" s="74"/>
      <c r="B235" s="35"/>
      <c r="C235" s="8" t="n">
        <v>41716</v>
      </c>
      <c r="D235" s="7" t="n">
        <v>8.9</v>
      </c>
      <c r="E235" s="7" t="n">
        <v>7.8</v>
      </c>
      <c r="F235" s="7" t="n">
        <v>10.1</v>
      </c>
      <c r="G235" s="7" t="n">
        <f aca="false">G234+D235</f>
        <v>1629.2</v>
      </c>
      <c r="H235" s="7" t="n">
        <f aca="false">H234+D235</f>
        <v>594.7</v>
      </c>
      <c r="J235" s="38" t="n">
        <v>0.1</v>
      </c>
      <c r="K235" s="7" t="n">
        <f aca="false">K234+J235</f>
        <v>447.6</v>
      </c>
      <c r="L235" s="7" t="n">
        <v>0.9</v>
      </c>
      <c r="M235" s="7" t="n">
        <f aca="false">M234+L235</f>
        <v>197.1</v>
      </c>
      <c r="N235" s="14" t="n">
        <f aca="false">J235-L235</f>
        <v>-0.8</v>
      </c>
      <c r="O235" s="7" t="n">
        <f aca="false">O234+N235</f>
        <v>167.2</v>
      </c>
      <c r="P235" s="7" t="n">
        <v>196</v>
      </c>
      <c r="Q235" s="17" t="n">
        <f aca="false">1+((P235-104)/110)*(1.15-1)</f>
        <v>1.12545454545455</v>
      </c>
      <c r="R235" s="15" t="n">
        <f aca="false">Q235*L235</f>
        <v>1.01290909090909</v>
      </c>
      <c r="S235" s="15" t="n">
        <f aca="false">J235-R235</f>
        <v>-0.912909090909091</v>
      </c>
      <c r="T235" s="40" t="n">
        <f aca="false">MIN(189.6,(T234+S235))</f>
        <v>164.519090909091</v>
      </c>
      <c r="V235" s="16" t="n">
        <v>425.4</v>
      </c>
      <c r="W235" s="7" t="n">
        <f aca="false">V235/D235</f>
        <v>47.7977528089888</v>
      </c>
      <c r="X235" s="7" t="n">
        <f aca="false">X234+V235</f>
        <v>94954.7</v>
      </c>
      <c r="Y235" s="7" t="n">
        <f aca="false">Y234+V235</f>
        <v>39915.8</v>
      </c>
      <c r="AA235" s="7" t="n">
        <v>12.0345684916335</v>
      </c>
    </row>
    <row r="236" s="7" customFormat="true" ht="15" hidden="false" customHeight="false" outlineLevel="0" collapsed="false">
      <c r="A236" s="74"/>
      <c r="B236" s="35"/>
      <c r="C236" s="8" t="n">
        <v>41717</v>
      </c>
      <c r="D236" s="7" t="n">
        <v>9.1</v>
      </c>
      <c r="E236" s="7" t="n">
        <v>5.4</v>
      </c>
      <c r="F236" s="7" t="n">
        <v>13.4</v>
      </c>
      <c r="G236" s="7" t="n">
        <f aca="false">G235+D236</f>
        <v>1638.3</v>
      </c>
      <c r="H236" s="7" t="n">
        <f aca="false">H235+D236</f>
        <v>603.8</v>
      </c>
      <c r="J236" s="38" t="n">
        <v>0</v>
      </c>
      <c r="K236" s="7" t="n">
        <f aca="false">K235+J236</f>
        <v>447.6</v>
      </c>
      <c r="L236" s="7" t="n">
        <v>1.9</v>
      </c>
      <c r="M236" s="7" t="n">
        <f aca="false">M235+L236</f>
        <v>199</v>
      </c>
      <c r="N236" s="14" t="n">
        <f aca="false">J236-L236</f>
        <v>-1.9</v>
      </c>
      <c r="O236" s="7" t="n">
        <f aca="false">O235+N236</f>
        <v>165.3</v>
      </c>
      <c r="P236" s="7" t="n">
        <v>197</v>
      </c>
      <c r="Q236" s="17" t="n">
        <f aca="false">1+((P236-104)/110)*(1.15-1)</f>
        <v>1.12681818181818</v>
      </c>
      <c r="R236" s="15" t="n">
        <f aca="false">Q236*L236</f>
        <v>2.14095454545455</v>
      </c>
      <c r="S236" s="15" t="n">
        <f aca="false">J236-R236</f>
        <v>-2.14095454545455</v>
      </c>
      <c r="T236" s="40" t="n">
        <f aca="false">MIN(189.6,(T235+S236))</f>
        <v>162.378136363636</v>
      </c>
      <c r="V236" s="7" t="n">
        <v>1305.1</v>
      </c>
      <c r="W236" s="7" t="n">
        <f aca="false">V236/D236</f>
        <v>143.417582417582</v>
      </c>
      <c r="X236" s="7" t="n">
        <f aca="false">X235+V236</f>
        <v>96259.8</v>
      </c>
      <c r="Y236" s="7" t="n">
        <f aca="false">Y235+V236</f>
        <v>41220.9</v>
      </c>
      <c r="AA236" s="7" t="n">
        <v>12.0966565335137</v>
      </c>
    </row>
    <row r="237" s="7" customFormat="true" ht="15" hidden="false" customHeight="false" outlineLevel="0" collapsed="false">
      <c r="A237" s="74"/>
      <c r="B237" s="35"/>
      <c r="C237" s="8" t="n">
        <v>41718</v>
      </c>
      <c r="D237" s="7" t="n">
        <v>11.6</v>
      </c>
      <c r="E237" s="18" t="n">
        <v>4.8</v>
      </c>
      <c r="F237" s="7" t="n">
        <v>17.2</v>
      </c>
      <c r="G237" s="7" t="n">
        <f aca="false">G236+D237</f>
        <v>1649.9</v>
      </c>
      <c r="H237" s="7" t="n">
        <f aca="false">H236+D237</f>
        <v>615.4</v>
      </c>
      <c r="J237" s="38" t="n">
        <v>1.4</v>
      </c>
      <c r="K237" s="7" t="n">
        <f aca="false">K236+J237</f>
        <v>449</v>
      </c>
      <c r="L237" s="7" t="n">
        <v>2.6</v>
      </c>
      <c r="M237" s="7" t="n">
        <f aca="false">M236+L237</f>
        <v>201.6</v>
      </c>
      <c r="N237" s="14" t="n">
        <f aca="false">J237-L237</f>
        <v>-1.2</v>
      </c>
      <c r="O237" s="7" t="n">
        <f aca="false">O236+N237</f>
        <v>164.1</v>
      </c>
      <c r="P237" s="7" t="n">
        <v>198</v>
      </c>
      <c r="Q237" s="17" t="n">
        <f aca="false">1+((P237-104)/110)*(1.15-1)</f>
        <v>1.12818181818182</v>
      </c>
      <c r="R237" s="15" t="n">
        <f aca="false">Q237*L237</f>
        <v>2.93327272727273</v>
      </c>
      <c r="S237" s="15" t="n">
        <f aca="false">J237-R237</f>
        <v>-1.53327272727273</v>
      </c>
      <c r="T237" s="40" t="n">
        <f aca="false">MIN(189.6,(T236+S237))</f>
        <v>160.844863636364</v>
      </c>
      <c r="V237" s="7" t="n">
        <v>1470.2</v>
      </c>
      <c r="W237" s="7" t="n">
        <f aca="false">V237/D237</f>
        <v>126.741379310345</v>
      </c>
      <c r="X237" s="7" t="n">
        <f aca="false">X236+V237</f>
        <v>97730</v>
      </c>
      <c r="Y237" s="7" t="n">
        <f aca="false">Y236+V237</f>
        <v>42691.1</v>
      </c>
      <c r="AA237" s="7" t="n">
        <v>12.1587362996137</v>
      </c>
    </row>
    <row r="238" s="7" customFormat="true" ht="15" hidden="false" customHeight="false" outlineLevel="0" collapsed="false">
      <c r="A238" s="74"/>
      <c r="B238" s="35"/>
      <c r="C238" s="8" t="n">
        <v>41719</v>
      </c>
      <c r="D238" s="7" t="n">
        <v>8.8</v>
      </c>
      <c r="E238" s="7" t="n">
        <v>7.8</v>
      </c>
      <c r="F238" s="7" t="n">
        <v>10.4</v>
      </c>
      <c r="G238" s="7" t="n">
        <f aca="false">G237+D238</f>
        <v>1658.7</v>
      </c>
      <c r="H238" s="7" t="n">
        <f aca="false">H237+D238</f>
        <v>624.2</v>
      </c>
      <c r="J238" s="38" t="n">
        <v>3.1</v>
      </c>
      <c r="K238" s="7" t="n">
        <f aca="false">K237+J238</f>
        <v>452.1</v>
      </c>
      <c r="L238" s="7" t="n">
        <v>1.4</v>
      </c>
      <c r="M238" s="7" t="n">
        <f aca="false">M237+L238</f>
        <v>203</v>
      </c>
      <c r="N238" s="7" t="n">
        <f aca="false">J238-L238</f>
        <v>1.7</v>
      </c>
      <c r="O238" s="7" t="n">
        <f aca="false">O237+N238</f>
        <v>165.8</v>
      </c>
      <c r="P238" s="7" t="n">
        <v>199</v>
      </c>
      <c r="Q238" s="17" t="n">
        <f aca="false">1+((P238-104)/110)*(1.15-1)</f>
        <v>1.12954545454545</v>
      </c>
      <c r="R238" s="15" t="n">
        <f aca="false">Q238*L238</f>
        <v>1.58136363636364</v>
      </c>
      <c r="S238" s="15" t="n">
        <f aca="false">J238-R238</f>
        <v>1.51863636363636</v>
      </c>
      <c r="T238" s="40" t="n">
        <f aca="false">MIN(189.6,(T237+S238))</f>
        <v>162.3635</v>
      </c>
      <c r="V238" s="16" t="n">
        <v>751.3</v>
      </c>
      <c r="W238" s="7" t="n">
        <f aca="false">V238/D238</f>
        <v>85.375</v>
      </c>
      <c r="X238" s="7" t="n">
        <f aca="false">X237+V238</f>
        <v>98481.3</v>
      </c>
      <c r="Y238" s="7" t="n">
        <f aca="false">Y237+V238</f>
        <v>43442.4</v>
      </c>
      <c r="AA238" s="7" t="n">
        <v>12.2208019381753</v>
      </c>
    </row>
    <row r="239" s="7" customFormat="true" ht="15" hidden="false" customHeight="false" outlineLevel="0" collapsed="false">
      <c r="A239" s="74"/>
      <c r="B239" s="35"/>
      <c r="C239" s="8" t="n">
        <v>41720</v>
      </c>
      <c r="D239" s="7" t="n">
        <v>6.4</v>
      </c>
      <c r="E239" s="7" t="n">
        <v>5.3</v>
      </c>
      <c r="F239" s="7" t="n">
        <v>9.7</v>
      </c>
      <c r="G239" s="7" t="n">
        <f aca="false">G238+D239</f>
        <v>1665.1</v>
      </c>
      <c r="H239" s="7" t="n">
        <f aca="false">H238+D239</f>
        <v>630.6</v>
      </c>
      <c r="J239" s="38" t="n">
        <v>2.3</v>
      </c>
      <c r="K239" s="7" t="n">
        <f aca="false">K238+J239</f>
        <v>454.4</v>
      </c>
      <c r="L239" s="7" t="n">
        <v>1.5</v>
      </c>
      <c r="M239" s="7" t="n">
        <f aca="false">M238+L239</f>
        <v>204.5</v>
      </c>
      <c r="N239" s="7" t="n">
        <f aca="false">J239-L239</f>
        <v>0.8</v>
      </c>
      <c r="O239" s="7" t="n">
        <f aca="false">O238+N239</f>
        <v>166.6</v>
      </c>
      <c r="P239" s="7" t="n">
        <v>200</v>
      </c>
      <c r="Q239" s="17" t="n">
        <f aca="false">1+((P239-104)/110)*(1.15-1)</f>
        <v>1.13090909090909</v>
      </c>
      <c r="R239" s="15" t="n">
        <f aca="false">Q239*L239</f>
        <v>1.69636363636364</v>
      </c>
      <c r="S239" s="15" t="n">
        <f aca="false">J239-R239</f>
        <v>0.603636363636364</v>
      </c>
      <c r="T239" s="40" t="n">
        <f aca="false">MIN(189.6,(T238+S239))</f>
        <v>162.967136363636</v>
      </c>
      <c r="V239" s="16" t="n">
        <v>835.9</v>
      </c>
      <c r="W239" s="7" t="n">
        <f aca="false">V239/D239</f>
        <v>130.609375</v>
      </c>
      <c r="X239" s="7" t="n">
        <f aca="false">X238+V239</f>
        <v>99317.2</v>
      </c>
      <c r="Y239" s="7" t="n">
        <f aca="false">Y238+V239</f>
        <v>44278.3</v>
      </c>
      <c r="AA239" s="7" t="n">
        <v>12.2828476276119</v>
      </c>
    </row>
    <row r="240" s="7" customFormat="true" ht="15" hidden="false" customHeight="false" outlineLevel="0" collapsed="false">
      <c r="A240" s="74"/>
      <c r="B240" s="35"/>
      <c r="C240" s="8" t="n">
        <v>41721</v>
      </c>
      <c r="D240" s="7" t="n">
        <v>5.1</v>
      </c>
      <c r="E240" s="18" t="n">
        <v>3.1</v>
      </c>
      <c r="F240" s="7" t="n">
        <v>7.8</v>
      </c>
      <c r="G240" s="7" t="n">
        <f aca="false">G239+D240</f>
        <v>1670.2</v>
      </c>
      <c r="H240" s="7" t="n">
        <f aca="false">H239+D240</f>
        <v>635.7</v>
      </c>
      <c r="J240" s="38" t="n">
        <v>1.5</v>
      </c>
      <c r="K240" s="7" t="n">
        <f aca="false">K239+J240</f>
        <v>455.9</v>
      </c>
      <c r="L240" s="7" t="n">
        <v>1.5</v>
      </c>
      <c r="M240" s="7" t="n">
        <f aca="false">M239+L240</f>
        <v>206</v>
      </c>
      <c r="N240" s="7" t="n">
        <f aca="false">J240-L240</f>
        <v>0</v>
      </c>
      <c r="O240" s="7" t="n">
        <f aca="false">O239+N240</f>
        <v>166.6</v>
      </c>
      <c r="P240" s="7" t="n">
        <v>201</v>
      </c>
      <c r="Q240" s="17" t="n">
        <f aca="false">1+((P240-104)/110)*(1.15-1)</f>
        <v>1.13227272727273</v>
      </c>
      <c r="R240" s="15" t="n">
        <f aca="false">Q240*L240</f>
        <v>1.69840909090909</v>
      </c>
      <c r="S240" s="15" t="n">
        <f aca="false">J240-R240</f>
        <v>-0.198409090909091</v>
      </c>
      <c r="T240" s="40" t="n">
        <f aca="false">MIN(189.6,(T239+S240))</f>
        <v>162.768727272727</v>
      </c>
      <c r="V240" s="7" t="n">
        <v>1165.9</v>
      </c>
      <c r="W240" s="7" t="n">
        <f aca="false">V240/D240</f>
        <v>228.607843137255</v>
      </c>
      <c r="X240" s="7" t="n">
        <f aca="false">X239+V240</f>
        <v>100483.1</v>
      </c>
      <c r="Y240" s="7" t="n">
        <f aca="false">Y239+V240</f>
        <v>45444.2</v>
      </c>
      <c r="AA240" s="7" t="n">
        <v>12.3448675579349</v>
      </c>
    </row>
    <row r="241" s="7" customFormat="true" ht="15" hidden="false" customHeight="false" outlineLevel="0" collapsed="false">
      <c r="A241" s="74"/>
      <c r="B241" s="35"/>
      <c r="C241" s="8" t="n">
        <v>41722</v>
      </c>
      <c r="D241" s="7" t="n">
        <v>5.5</v>
      </c>
      <c r="E241" s="18" t="n">
        <v>0.9</v>
      </c>
      <c r="F241" s="7" t="n">
        <v>9.8</v>
      </c>
      <c r="G241" s="7" t="n">
        <f aca="false">G240+D241</f>
        <v>1675.7</v>
      </c>
      <c r="H241" s="7" t="n">
        <f aca="false">H240+D241</f>
        <v>641.2</v>
      </c>
      <c r="J241" s="7" t="n">
        <v>0</v>
      </c>
      <c r="K241" s="7" t="n">
        <f aca="false">K240+J241</f>
        <v>455.9</v>
      </c>
      <c r="L241" s="7" t="n">
        <v>1.3</v>
      </c>
      <c r="M241" s="7" t="n">
        <f aca="false">M240+L241</f>
        <v>207.3</v>
      </c>
      <c r="N241" s="14" t="n">
        <f aca="false">J241-L241</f>
        <v>-1.3</v>
      </c>
      <c r="O241" s="7" t="n">
        <f aca="false">O240+N241</f>
        <v>165.3</v>
      </c>
      <c r="P241" s="7" t="n">
        <v>202</v>
      </c>
      <c r="Q241" s="17" t="n">
        <f aca="false">1+((P241-104)/110)*(1.15-1)</f>
        <v>1.13363636363636</v>
      </c>
      <c r="R241" s="15" t="n">
        <f aca="false">Q241*L241</f>
        <v>1.47372727272727</v>
      </c>
      <c r="S241" s="15" t="n">
        <f aca="false">J241-R241</f>
        <v>-1.47372727272727</v>
      </c>
      <c r="T241" s="15" t="n">
        <f aca="false">MIN(189.6,(T240+S241))</f>
        <v>161.295</v>
      </c>
      <c r="V241" s="7" t="n">
        <v>1022</v>
      </c>
      <c r="W241" s="7" t="n">
        <f aca="false">V241/D241</f>
        <v>185.818181818182</v>
      </c>
      <c r="X241" s="7" t="n">
        <f aca="false">X240+V241</f>
        <v>101505.1</v>
      </c>
      <c r="Y241" s="7" t="n">
        <f aca="false">Y240+V241</f>
        <v>46466.2</v>
      </c>
      <c r="AA241" s="7" t="n">
        <v>12.4068559122797</v>
      </c>
    </row>
    <row r="242" s="7" customFormat="true" ht="15" hidden="false" customHeight="false" outlineLevel="0" collapsed="false">
      <c r="A242" s="74"/>
      <c r="B242" s="35"/>
      <c r="C242" s="8" t="n">
        <v>41723</v>
      </c>
      <c r="D242" s="7" t="n">
        <v>5.1</v>
      </c>
      <c r="E242" s="18" t="n">
        <v>2.6</v>
      </c>
      <c r="F242" s="7" t="n">
        <v>8</v>
      </c>
      <c r="G242" s="7" t="n">
        <f aca="false">G241+D242</f>
        <v>1680.8</v>
      </c>
      <c r="H242" s="7" t="n">
        <f aca="false">H241+D242</f>
        <v>646.3</v>
      </c>
      <c r="J242" s="7" t="n">
        <v>0</v>
      </c>
      <c r="K242" s="7" t="n">
        <f aca="false">K241+J242</f>
        <v>455.9</v>
      </c>
      <c r="L242" s="7" t="n">
        <v>0.9</v>
      </c>
      <c r="M242" s="7" t="n">
        <f aca="false">M241+L242</f>
        <v>208.2</v>
      </c>
      <c r="N242" s="14" t="n">
        <f aca="false">J242-L242</f>
        <v>-0.9</v>
      </c>
      <c r="O242" s="7" t="n">
        <f aca="false">O241+N242</f>
        <v>164.4</v>
      </c>
      <c r="P242" s="7" t="n">
        <v>203</v>
      </c>
      <c r="Q242" s="17" t="n">
        <f aca="false">1+((P242-104)/110)*(1.15-1)</f>
        <v>1.135</v>
      </c>
      <c r="R242" s="15" t="n">
        <f aca="false">Q242*L242</f>
        <v>1.0215</v>
      </c>
      <c r="S242" s="15" t="n">
        <f aca="false">J242-R242</f>
        <v>-1.0215</v>
      </c>
      <c r="T242" s="15" t="n">
        <f aca="false">MIN(189.6,(T241+S242))</f>
        <v>160.2735</v>
      </c>
      <c r="V242" s="16" t="n">
        <v>671</v>
      </c>
      <c r="W242" s="7" t="n">
        <f aca="false">V242/D242</f>
        <v>131.56862745098</v>
      </c>
      <c r="X242" s="7" t="n">
        <f aca="false">X241+V242</f>
        <v>102176.1</v>
      </c>
      <c r="Y242" s="7" t="n">
        <f aca="false">Y241+V242</f>
        <v>47137.2</v>
      </c>
      <c r="AA242" s="7" t="n">
        <v>12.4688068485226</v>
      </c>
    </row>
    <row r="243" s="7" customFormat="true" ht="15" hidden="false" customHeight="false" outlineLevel="0" collapsed="false">
      <c r="A243" s="74"/>
      <c r="B243" s="35"/>
      <c r="C243" s="8" t="n">
        <v>41724</v>
      </c>
      <c r="D243" s="18" t="n">
        <v>4.7</v>
      </c>
      <c r="E243" s="18" t="n">
        <v>1</v>
      </c>
      <c r="F243" s="7" t="n">
        <v>9.8</v>
      </c>
      <c r="G243" s="7" t="n">
        <f aca="false">G242+D243</f>
        <v>1685.5</v>
      </c>
      <c r="H243" s="7" t="n">
        <f aca="false">H242+D243</f>
        <v>651</v>
      </c>
      <c r="J243" s="7" t="n">
        <v>0</v>
      </c>
      <c r="K243" s="7" t="n">
        <f aca="false">K242+J243</f>
        <v>455.9</v>
      </c>
      <c r="L243" s="7" t="n">
        <v>1.8</v>
      </c>
      <c r="M243" s="7" t="n">
        <f aca="false">M242+L243</f>
        <v>210</v>
      </c>
      <c r="N243" s="14" t="n">
        <f aca="false">J243-L243</f>
        <v>-1.8</v>
      </c>
      <c r="O243" s="7" t="n">
        <f aca="false">O242+N243</f>
        <v>162.6</v>
      </c>
      <c r="P243" s="7" t="n">
        <v>204</v>
      </c>
      <c r="Q243" s="17" t="n">
        <f aca="false">1+((P243-104)/110)*(1.15-1)</f>
        <v>1.13636363636364</v>
      </c>
      <c r="R243" s="15" t="n">
        <f aca="false">Q243*L243</f>
        <v>2.04545454545455</v>
      </c>
      <c r="S243" s="15" t="n">
        <f aca="false">J243-R243</f>
        <v>-2.04545454545455</v>
      </c>
      <c r="T243" s="15" t="n">
        <f aca="false">MIN(189.6,(T242+S243))</f>
        <v>158.228045454545</v>
      </c>
      <c r="V243" s="7" t="n">
        <v>1328.8</v>
      </c>
      <c r="W243" s="7" t="n">
        <f aca="false">V243/D243</f>
        <v>282.723404255319</v>
      </c>
      <c r="X243" s="7" t="n">
        <f aca="false">X242+V243</f>
        <v>103504.9</v>
      </c>
      <c r="Y243" s="7" t="n">
        <f aca="false">Y242+V243</f>
        <v>48466</v>
      </c>
      <c r="AA243" s="7" t="n">
        <v>12.5307144809848</v>
      </c>
    </row>
    <row r="244" s="7" customFormat="true" ht="15" hidden="false" customHeight="false" outlineLevel="0" collapsed="false">
      <c r="A244" s="74"/>
      <c r="B244" s="35"/>
      <c r="C244" s="8" t="n">
        <v>41725</v>
      </c>
      <c r="D244" s="18" t="n">
        <v>4.8</v>
      </c>
      <c r="E244" s="19" t="n">
        <v>-1.5</v>
      </c>
      <c r="F244" s="7" t="n">
        <v>10.6</v>
      </c>
      <c r="G244" s="7" t="n">
        <f aca="false">G243+D244</f>
        <v>1690.3</v>
      </c>
      <c r="H244" s="7" t="n">
        <f aca="false">H243+D244</f>
        <v>655.8</v>
      </c>
      <c r="J244" s="7" t="n">
        <v>0</v>
      </c>
      <c r="K244" s="7" t="n">
        <f aca="false">K243+J244</f>
        <v>455.9</v>
      </c>
      <c r="L244" s="7" t="n">
        <v>1.4</v>
      </c>
      <c r="M244" s="7" t="n">
        <f aca="false">M243+L244</f>
        <v>211.4</v>
      </c>
      <c r="N244" s="14" t="n">
        <f aca="false">J244-L244</f>
        <v>-1.4</v>
      </c>
      <c r="O244" s="7" t="n">
        <f aca="false">O243+N244</f>
        <v>161.2</v>
      </c>
      <c r="P244" s="7" t="n">
        <v>205</v>
      </c>
      <c r="Q244" s="17" t="n">
        <f aca="false">1+((P244-104)/110)*(1.15-1)</f>
        <v>1.13772727272727</v>
      </c>
      <c r="R244" s="15" t="n">
        <f aca="false">Q244*L244</f>
        <v>1.59281818181818</v>
      </c>
      <c r="S244" s="15" t="n">
        <f aca="false">J244-R244</f>
        <v>-1.59281818181818</v>
      </c>
      <c r="T244" s="15" t="n">
        <f aca="false">MIN(189.6,(T243+S244))</f>
        <v>156.635227272727</v>
      </c>
      <c r="V244" s="7" t="n">
        <v>1209.7</v>
      </c>
      <c r="W244" s="7" t="n">
        <f aca="false">V244/D244</f>
        <v>252.020833333333</v>
      </c>
      <c r="X244" s="7" t="n">
        <f aca="false">X243+V244</f>
        <v>104714.6</v>
      </c>
      <c r="Y244" s="7" t="n">
        <f aca="false">Y243+V244</f>
        <v>49675.7</v>
      </c>
      <c r="AA244" s="7" t="n">
        <v>12.5925728622148</v>
      </c>
    </row>
    <row r="245" s="7" customFormat="true" ht="15" hidden="false" customHeight="false" outlineLevel="0" collapsed="false">
      <c r="A245" s="74"/>
      <c r="B245" s="35"/>
      <c r="C245" s="8" t="n">
        <v>41726</v>
      </c>
      <c r="D245" s="7" t="n">
        <v>6.9</v>
      </c>
      <c r="E245" s="19" t="n">
        <v>-0.6</v>
      </c>
      <c r="F245" s="7" t="n">
        <v>13.7</v>
      </c>
      <c r="G245" s="7" t="n">
        <f aca="false">G244+D245</f>
        <v>1697.2</v>
      </c>
      <c r="H245" s="7" t="n">
        <f aca="false">H244+D245</f>
        <v>662.7</v>
      </c>
      <c r="J245" s="7" t="n">
        <v>0</v>
      </c>
      <c r="K245" s="7" t="n">
        <f aca="false">K244+J245</f>
        <v>455.9</v>
      </c>
      <c r="L245" s="7" t="n">
        <v>1.8</v>
      </c>
      <c r="M245" s="7" t="n">
        <f aca="false">M244+L245</f>
        <v>213.2</v>
      </c>
      <c r="N245" s="14" t="n">
        <f aca="false">J245-L245</f>
        <v>-1.8</v>
      </c>
      <c r="O245" s="7" t="n">
        <f aca="false">O244+N245</f>
        <v>159.4</v>
      </c>
      <c r="P245" s="7" t="n">
        <v>206</v>
      </c>
      <c r="Q245" s="17" t="n">
        <f aca="false">1+((P245-104)/110)*(1.15-1)</f>
        <v>1.13909090909091</v>
      </c>
      <c r="R245" s="15" t="n">
        <f aca="false">Q245*L245</f>
        <v>2.05036363636364</v>
      </c>
      <c r="S245" s="15" t="n">
        <f aca="false">J245-R245</f>
        <v>-2.05036363636364</v>
      </c>
      <c r="T245" s="15" t="n">
        <f aca="false">MIN(189.6,(T244+S245))</f>
        <v>154.584863636364</v>
      </c>
      <c r="V245" s="7" t="n">
        <v>1218.7</v>
      </c>
      <c r="W245" s="7" t="n">
        <f aca="false">V245/D245</f>
        <v>176.623188405797</v>
      </c>
      <c r="X245" s="7" t="n">
        <f aca="false">X244+V245</f>
        <v>105933.3</v>
      </c>
      <c r="Y245" s="7" t="n">
        <f aca="false">Y244+V245</f>
        <v>50894.4</v>
      </c>
      <c r="AA245" s="7" t="n">
        <v>12.6543759648451</v>
      </c>
    </row>
    <row r="246" s="7" customFormat="true" ht="15" hidden="false" customHeight="false" outlineLevel="0" collapsed="false">
      <c r="A246" s="74"/>
      <c r="B246" s="35"/>
      <c r="C246" s="8" t="n">
        <v>41727</v>
      </c>
      <c r="D246" s="7" t="n">
        <v>11</v>
      </c>
      <c r="E246" s="18" t="n">
        <v>3.4</v>
      </c>
      <c r="F246" s="7" t="n">
        <v>17.9</v>
      </c>
      <c r="G246" s="7" t="n">
        <f aca="false">G245+D246</f>
        <v>1708.2</v>
      </c>
      <c r="H246" s="7" t="n">
        <f aca="false">H245+D246</f>
        <v>673.7</v>
      </c>
      <c r="J246" s="7" t="n">
        <v>0</v>
      </c>
      <c r="K246" s="7" t="n">
        <f aca="false">K245+J246</f>
        <v>455.9</v>
      </c>
      <c r="L246" s="7" t="n">
        <v>2.9</v>
      </c>
      <c r="M246" s="7" t="n">
        <f aca="false">M245+L246</f>
        <v>216.1</v>
      </c>
      <c r="N246" s="14" t="n">
        <f aca="false">J246-L246</f>
        <v>-2.9</v>
      </c>
      <c r="O246" s="7" t="n">
        <f aca="false">O245+N246</f>
        <v>156.5</v>
      </c>
      <c r="P246" s="7" t="n">
        <v>207</v>
      </c>
      <c r="Q246" s="17" t="n">
        <f aca="false">1+((P246-104)/110)*(1.15-1)</f>
        <v>1.14045454545455</v>
      </c>
      <c r="R246" s="15" t="n">
        <f aca="false">Q246*L246</f>
        <v>3.30731818181818</v>
      </c>
      <c r="S246" s="15" t="n">
        <f aca="false">J246-R246</f>
        <v>-3.30731818181818</v>
      </c>
      <c r="T246" s="15" t="n">
        <f aca="false">MIN(189.6,(T245+S246))</f>
        <v>151.277545454545</v>
      </c>
      <c r="V246" s="7" t="n">
        <v>1417.7</v>
      </c>
      <c r="W246" s="7" t="n">
        <f aca="false">V246/D246</f>
        <v>128.881818181818</v>
      </c>
      <c r="X246" s="7" t="n">
        <f aca="false">X245+V246</f>
        <v>107351</v>
      </c>
      <c r="Y246" s="7" t="n">
        <f aca="false">Y245+V246</f>
        <v>52312.1</v>
      </c>
      <c r="AA246" s="7" t="n">
        <v>12.7161176635174</v>
      </c>
    </row>
    <row r="247" s="7" customFormat="true" ht="15" hidden="false" customHeight="false" outlineLevel="0" collapsed="false">
      <c r="A247" s="74"/>
      <c r="B247" s="35"/>
      <c r="C247" s="8" t="n">
        <v>41728</v>
      </c>
      <c r="D247" s="7" t="n">
        <v>11.8</v>
      </c>
      <c r="E247" s="7" t="n">
        <v>5.7</v>
      </c>
      <c r="F247" s="7" t="n">
        <v>18.3</v>
      </c>
      <c r="G247" s="7" t="n">
        <f aca="false">G246+D247</f>
        <v>1720</v>
      </c>
      <c r="H247" s="7" t="n">
        <f aca="false">H246+D247</f>
        <v>685.5</v>
      </c>
      <c r="J247" s="7" t="n">
        <v>0</v>
      </c>
      <c r="K247" s="7" t="n">
        <f aca="false">K246+J247</f>
        <v>455.9</v>
      </c>
      <c r="L247" s="7" t="n">
        <v>2.3</v>
      </c>
      <c r="M247" s="7" t="n">
        <f aca="false">M246+L247</f>
        <v>218.4</v>
      </c>
      <c r="N247" s="14" t="n">
        <f aca="false">J247-L247</f>
        <v>-2.3</v>
      </c>
      <c r="O247" s="7" t="n">
        <f aca="false">O246+N247</f>
        <v>154.2</v>
      </c>
      <c r="P247" s="7" t="n">
        <v>208</v>
      </c>
      <c r="Q247" s="17" t="n">
        <f aca="false">1+((P247-104)/110)*(1.15-1)</f>
        <v>1.14181818181818</v>
      </c>
      <c r="R247" s="15" t="n">
        <f aca="false">Q247*L247</f>
        <v>2.62618181818182</v>
      </c>
      <c r="S247" s="15" t="n">
        <f aca="false">J247-R247</f>
        <v>-2.62618181818182</v>
      </c>
      <c r="T247" s="15" t="n">
        <f aca="false">MIN(189.6,(T246+S247))</f>
        <v>148.651363636364</v>
      </c>
      <c r="V247" s="7" t="n">
        <v>1336.7</v>
      </c>
      <c r="W247" s="7" t="n">
        <f aca="false">V247/D247</f>
        <v>113.279661016949</v>
      </c>
      <c r="X247" s="7" t="n">
        <f aca="false">X246+V247</f>
        <v>108687.7</v>
      </c>
      <c r="Y247" s="7" t="n">
        <f aca="false">Y246+V247</f>
        <v>53648.8</v>
      </c>
      <c r="AA247" s="7" t="n">
        <v>12.7777917168725</v>
      </c>
    </row>
    <row r="248" s="7" customFormat="true" ht="15" hidden="false" customHeight="false" outlineLevel="0" collapsed="false">
      <c r="A248" s="74"/>
      <c r="B248" s="35"/>
      <c r="C248" s="8" t="n">
        <v>41729</v>
      </c>
      <c r="D248" s="7" t="n">
        <v>12.2</v>
      </c>
      <c r="E248" s="18" t="n">
        <v>5</v>
      </c>
      <c r="F248" s="7" t="n">
        <v>19.1</v>
      </c>
      <c r="G248" s="7" t="n">
        <f aca="false">G247+D248</f>
        <v>1732.2</v>
      </c>
      <c r="H248" s="7" t="n">
        <f aca="false">H247+D248</f>
        <v>697.7</v>
      </c>
      <c r="J248" s="7" t="n">
        <v>0</v>
      </c>
      <c r="K248" s="7" t="n">
        <f aca="false">K247+J248</f>
        <v>455.9</v>
      </c>
      <c r="L248" s="7" t="n">
        <v>2.1</v>
      </c>
      <c r="M248" s="7" t="n">
        <f aca="false">M247+L248</f>
        <v>220.5</v>
      </c>
      <c r="N248" s="14" t="n">
        <f aca="false">J248-L248</f>
        <v>-2.1</v>
      </c>
      <c r="O248" s="7" t="n">
        <f aca="false">O247+N248</f>
        <v>152.1</v>
      </c>
      <c r="P248" s="7" t="n">
        <v>209</v>
      </c>
      <c r="Q248" s="17" t="n">
        <f aca="false">1+((P248-104)/110)*(1.15-1)</f>
        <v>1.14318181818182</v>
      </c>
      <c r="R248" s="15" t="n">
        <f aca="false">Q248*L248</f>
        <v>2.40068181818182</v>
      </c>
      <c r="S248" s="15" t="n">
        <f aca="false">J248-R248</f>
        <v>-2.40068181818182</v>
      </c>
      <c r="T248" s="15" t="n">
        <f aca="false">MIN(189.6,(T247+S248))</f>
        <v>146.250681818182</v>
      </c>
      <c r="V248" s="7" t="n">
        <v>1234.6</v>
      </c>
      <c r="W248" s="7" t="n">
        <f aca="false">V248/D248</f>
        <v>101.196721311475</v>
      </c>
      <c r="X248" s="7" t="n">
        <f aca="false">X247+V248</f>
        <v>109922.3</v>
      </c>
      <c r="Y248" s="7" t="n">
        <f aca="false">Y247+V248</f>
        <v>54883.4</v>
      </c>
      <c r="AA248" s="7" t="n">
        <v>12.839391749601</v>
      </c>
    </row>
    <row r="249" s="7" customFormat="true" ht="15" hidden="false" customHeight="false" outlineLevel="0" collapsed="false">
      <c r="A249" s="74"/>
      <c r="B249" s="35"/>
      <c r="C249" s="8" t="n">
        <v>41730</v>
      </c>
      <c r="D249" s="7" t="n">
        <v>13.3</v>
      </c>
      <c r="E249" s="7" t="n">
        <v>7.5</v>
      </c>
      <c r="F249" s="7" t="n">
        <v>19.6</v>
      </c>
      <c r="G249" s="7" t="n">
        <f aca="false">G248+D249</f>
        <v>1745.5</v>
      </c>
      <c r="H249" s="7" t="n">
        <f aca="false">H248+D249</f>
        <v>711</v>
      </c>
      <c r="J249" s="7" t="n">
        <v>0</v>
      </c>
      <c r="K249" s="7" t="n">
        <f aca="false">K248+J249</f>
        <v>455.9</v>
      </c>
      <c r="L249" s="7" t="n">
        <v>2.5</v>
      </c>
      <c r="M249" s="7" t="n">
        <f aca="false">M248+L249</f>
        <v>223</v>
      </c>
      <c r="N249" s="14" t="n">
        <f aca="false">J249-L249</f>
        <v>-2.5</v>
      </c>
      <c r="O249" s="7" t="n">
        <f aca="false">O248+N249</f>
        <v>149.6</v>
      </c>
      <c r="P249" s="7" t="n">
        <v>210</v>
      </c>
      <c r="Q249" s="17" t="n">
        <f aca="false">1+((P249-104)/110)*(1.15-1)</f>
        <v>1.14454545454545</v>
      </c>
      <c r="R249" s="15" t="n">
        <f aca="false">Q249*L249</f>
        <v>2.86136363636364</v>
      </c>
      <c r="S249" s="15" t="n">
        <f aca="false">J249-R249</f>
        <v>-2.86136363636364</v>
      </c>
      <c r="T249" s="15" t="n">
        <f aca="false">MIN(189.6,(T248+S249))</f>
        <v>143.389318181818</v>
      </c>
      <c r="V249" s="7" t="n">
        <v>1503.1</v>
      </c>
      <c r="W249" s="7" t="n">
        <f aca="false">V249/D249</f>
        <v>113.015037593985</v>
      </c>
      <c r="X249" s="7" t="n">
        <f aca="false">X248+V249</f>
        <v>111425.4</v>
      </c>
      <c r="Y249" s="7" t="n">
        <f aca="false">Y248+V249</f>
        <v>56386.5</v>
      </c>
      <c r="AA249" s="7" t="n">
        <v>12.9009112345524</v>
      </c>
    </row>
    <row r="250" s="7" customFormat="true" ht="15" hidden="false" customHeight="false" outlineLevel="0" collapsed="false">
      <c r="A250" s="74"/>
      <c r="B250" s="35"/>
      <c r="C250" s="8" t="n">
        <v>41731</v>
      </c>
      <c r="D250" s="7" t="n">
        <v>14</v>
      </c>
      <c r="E250" s="7" t="n">
        <v>7.3</v>
      </c>
      <c r="F250" s="7" t="n">
        <v>20</v>
      </c>
      <c r="G250" s="7" t="n">
        <f aca="false">G249+D250</f>
        <v>1759.5</v>
      </c>
      <c r="H250" s="7" t="n">
        <f aca="false">H249+D250</f>
        <v>725</v>
      </c>
      <c r="J250" s="7" t="n">
        <v>0</v>
      </c>
      <c r="K250" s="7" t="n">
        <f aca="false">K249+J250</f>
        <v>455.9</v>
      </c>
      <c r="L250" s="7" t="n">
        <v>2.2</v>
      </c>
      <c r="M250" s="7" t="n">
        <f aca="false">M249+L250</f>
        <v>225.2</v>
      </c>
      <c r="N250" s="14" t="n">
        <f aca="false">J250-L250</f>
        <v>-2.2</v>
      </c>
      <c r="O250" s="7" t="n">
        <f aca="false">O249+N250</f>
        <v>147.4</v>
      </c>
      <c r="P250" s="7" t="n">
        <v>211</v>
      </c>
      <c r="Q250" s="17" t="n">
        <f aca="false">1+((P250-104)/110)*(1.15-1)</f>
        <v>1.14590909090909</v>
      </c>
      <c r="R250" s="15" t="n">
        <f aca="false">Q250*L250</f>
        <v>2.521</v>
      </c>
      <c r="S250" s="15" t="n">
        <f aca="false">J250-R250</f>
        <v>-2.521</v>
      </c>
      <c r="T250" s="15" t="n">
        <f aca="false">MIN(189.6,(T249+S250))</f>
        <v>140.868318181818</v>
      </c>
      <c r="V250" s="7" t="n">
        <v>1322.1</v>
      </c>
      <c r="W250" s="7" t="n">
        <f aca="false">V250/D250</f>
        <v>94.4357142857143</v>
      </c>
      <c r="X250" s="7" t="n">
        <f aca="false">X249+V250</f>
        <v>112747.5</v>
      </c>
      <c r="Y250" s="7" t="n">
        <f aca="false">Y249+V250</f>
        <v>57708.6</v>
      </c>
      <c r="AA250" s="7" t="n">
        <v>12.9623434749028</v>
      </c>
    </row>
    <row r="251" s="7" customFormat="true" ht="15" hidden="false" customHeight="false" outlineLevel="0" collapsed="false">
      <c r="A251" s="74"/>
      <c r="B251" s="35"/>
      <c r="C251" s="8" t="n">
        <v>41732</v>
      </c>
      <c r="D251" s="7" t="n">
        <v>13.7</v>
      </c>
      <c r="E251" s="7" t="n">
        <v>9.6</v>
      </c>
      <c r="F251" s="7" t="n">
        <v>18.3</v>
      </c>
      <c r="G251" s="7" t="n">
        <f aca="false">G250+D251</f>
        <v>1773.2</v>
      </c>
      <c r="H251" s="7" t="n">
        <f aca="false">H250+D251</f>
        <v>738.7</v>
      </c>
      <c r="J251" s="7" t="n">
        <v>0</v>
      </c>
      <c r="K251" s="7" t="n">
        <f aca="false">K250+J251</f>
        <v>455.9</v>
      </c>
      <c r="L251" s="7" t="n">
        <v>1.7</v>
      </c>
      <c r="M251" s="7" t="n">
        <f aca="false">M250+L251</f>
        <v>226.9</v>
      </c>
      <c r="N251" s="14" t="n">
        <f aca="false">J251-L251</f>
        <v>-1.7</v>
      </c>
      <c r="O251" s="7" t="n">
        <f aca="false">O250+N251</f>
        <v>145.7</v>
      </c>
      <c r="P251" s="7" t="n">
        <v>212</v>
      </c>
      <c r="Q251" s="17" t="n">
        <f aca="false">1+((P251-104)/110)*(1.15-1)</f>
        <v>1.14727272727273</v>
      </c>
      <c r="R251" s="15" t="n">
        <f aca="false">Q251*L251</f>
        <v>1.95036363636364</v>
      </c>
      <c r="S251" s="15" t="n">
        <f aca="false">J251-R251</f>
        <v>-1.95036363636364</v>
      </c>
      <c r="T251" s="15" t="n">
        <f aca="false">MIN(189.6,(T250+S251))</f>
        <v>138.917954545455</v>
      </c>
      <c r="V251" s="16" t="n">
        <v>672.2</v>
      </c>
      <c r="W251" s="7" t="n">
        <f aca="false">V251/D251</f>
        <v>49.0656934306569</v>
      </c>
      <c r="X251" s="7" t="n">
        <f aca="false">X250+V251</f>
        <v>113419.7</v>
      </c>
      <c r="Y251" s="7" t="n">
        <f aca="false">Y250+V251</f>
        <v>58380.8</v>
      </c>
      <c r="AA251" s="7" t="n">
        <v>13.0236815863797</v>
      </c>
    </row>
    <row r="252" s="50" customFormat="true" ht="15" hidden="false" customHeight="false" outlineLevel="0" collapsed="false">
      <c r="A252" s="74"/>
      <c r="B252" s="35"/>
      <c r="C252" s="47" t="n">
        <v>41733</v>
      </c>
      <c r="D252" s="48" t="n">
        <v>11.1</v>
      </c>
      <c r="E252" s="48" t="n">
        <v>10.9</v>
      </c>
      <c r="F252" s="48" t="n">
        <v>13</v>
      </c>
      <c r="G252" s="48" t="n">
        <f aca="false">G251+D252</f>
        <v>1784.3</v>
      </c>
      <c r="H252" s="48" t="n">
        <f aca="false">H251+D252</f>
        <v>749.8</v>
      </c>
      <c r="I252" s="48"/>
      <c r="J252" s="48" t="n">
        <v>0</v>
      </c>
      <c r="K252" s="48" t="n">
        <f aca="false">K251+J252</f>
        <v>455.9</v>
      </c>
      <c r="L252" s="48" t="n">
        <v>1</v>
      </c>
      <c r="M252" s="48" t="n">
        <f aca="false">M251+L252</f>
        <v>227.9</v>
      </c>
      <c r="N252" s="48" t="n">
        <f aca="false">J252-L252</f>
        <v>-1</v>
      </c>
      <c r="O252" s="48" t="n">
        <f aca="false">O251+N252</f>
        <v>144.7</v>
      </c>
      <c r="P252" s="48" t="n">
        <v>213</v>
      </c>
      <c r="Q252" s="17" t="n">
        <f aca="false">1+((P252-104)/110)*(1.15-1)</f>
        <v>1.14863636363636</v>
      </c>
      <c r="R252" s="49" t="n">
        <f aca="false">Q252*L252</f>
        <v>1.14863636363636</v>
      </c>
      <c r="S252" s="49" t="n">
        <f aca="false">J252-R252</f>
        <v>-1.14863636363636</v>
      </c>
      <c r="T252" s="15" t="n">
        <f aca="false">MIN(189.6,(T251+S252))</f>
        <v>137.769318181818</v>
      </c>
      <c r="U252" s="48"/>
      <c r="V252" s="48" t="n">
        <v>580.4</v>
      </c>
      <c r="W252" s="48" t="n">
        <f aca="false">V252/D252</f>
        <v>52.2882882882883</v>
      </c>
      <c r="X252" s="48" t="n">
        <f aca="false">X251+V252</f>
        <v>114000.1</v>
      </c>
      <c r="Y252" s="7" t="n">
        <f aca="false">Y251+V252</f>
        <v>58961.2</v>
      </c>
      <c r="Z252" s="48"/>
      <c r="AA252" s="7" t="n">
        <v>13.0849184795475</v>
      </c>
    </row>
    <row r="253" s="81" customFormat="true" ht="15" hidden="false" customHeight="true" outlineLevel="0" collapsed="false">
      <c r="A253" s="74"/>
      <c r="B253" s="76"/>
      <c r="C253" s="77" t="n">
        <v>41734</v>
      </c>
      <c r="D253" s="78" t="n">
        <v>11.4</v>
      </c>
      <c r="E253" s="79" t="n">
        <v>4.7</v>
      </c>
      <c r="F253" s="78" t="n">
        <v>16.9</v>
      </c>
      <c r="G253" s="78" t="n">
        <f aca="false">G252+D253</f>
        <v>1795.7</v>
      </c>
      <c r="H253" s="78" t="n">
        <f aca="false">H252+D253</f>
        <v>761.2</v>
      </c>
      <c r="I253" s="78"/>
      <c r="J253" s="78" t="n">
        <v>0</v>
      </c>
      <c r="K253" s="78" t="n">
        <f aca="false">K252+J253</f>
        <v>455.9</v>
      </c>
      <c r="L253" s="78" t="n">
        <v>2.4</v>
      </c>
      <c r="M253" s="78" t="n">
        <f aca="false">M252+L253</f>
        <v>230.3</v>
      </c>
      <c r="N253" s="78" t="n">
        <f aca="false">J253-L253</f>
        <v>-2.4</v>
      </c>
      <c r="O253" s="78" t="n">
        <f aca="false">O252+N253</f>
        <v>142.3</v>
      </c>
      <c r="P253" s="78" t="n">
        <v>214</v>
      </c>
      <c r="Q253" s="54" t="n">
        <f aca="false">1+((P253-104)/110)*(1.15-1)</f>
        <v>1.15</v>
      </c>
      <c r="R253" s="80" t="n">
        <f aca="false">Q253*L253</f>
        <v>2.76</v>
      </c>
      <c r="S253" s="80" t="n">
        <f aca="false">J253-R253</f>
        <v>-2.76</v>
      </c>
      <c r="T253" s="24" t="n">
        <f aca="false">MIN(189.6,(T252+S253))</f>
        <v>135.009318181818</v>
      </c>
      <c r="U253" s="78"/>
      <c r="V253" s="78" t="n">
        <v>1506.6</v>
      </c>
      <c r="W253" s="78" t="n">
        <f aca="false">V253/D253</f>
        <v>132.157894736842</v>
      </c>
      <c r="X253" s="78" t="n">
        <f aca="false">X252+V253</f>
        <v>115506.7</v>
      </c>
      <c r="Y253" s="23" t="n">
        <f aca="false">Y252+V253</f>
        <v>60467.8</v>
      </c>
      <c r="Z253" s="78"/>
      <c r="AA253" s="23" t="n">
        <v>13.1460468421565</v>
      </c>
    </row>
    <row r="254" s="48" customFormat="true" ht="16.5" hidden="false" customHeight="true" outlineLevel="0" collapsed="false">
      <c r="A254" s="56" t="s">
        <v>55</v>
      </c>
      <c r="B254" s="82" t="s">
        <v>56</v>
      </c>
      <c r="C254" s="83" t="n">
        <v>41735</v>
      </c>
      <c r="D254" s="48" t="n">
        <v>14.3</v>
      </c>
      <c r="E254" s="48" t="n">
        <v>11.3</v>
      </c>
      <c r="F254" s="48" t="n">
        <v>16.8</v>
      </c>
      <c r="G254" s="48" t="n">
        <f aca="false">G253+D254</f>
        <v>1810</v>
      </c>
      <c r="H254" s="48" t="n">
        <f aca="false">D254</f>
        <v>14.3</v>
      </c>
      <c r="I254" s="58" t="s">
        <v>28</v>
      </c>
      <c r="J254" s="48" t="n">
        <v>1.2</v>
      </c>
      <c r="K254" s="48" t="n">
        <f aca="false">K253+J254</f>
        <v>457.1</v>
      </c>
      <c r="L254" s="48" t="n">
        <v>1</v>
      </c>
      <c r="M254" s="48" t="n">
        <f aca="false">M253+L254</f>
        <v>231.3</v>
      </c>
      <c r="N254" s="48" t="n">
        <f aca="false">J254-L254</f>
        <v>0.2</v>
      </c>
      <c r="O254" s="48" t="n">
        <f aca="false">O253+N254</f>
        <v>142.5</v>
      </c>
      <c r="P254" s="48" t="n">
        <v>215</v>
      </c>
      <c r="Q254" s="84" t="n">
        <v>1.15</v>
      </c>
      <c r="R254" s="49" t="n">
        <f aca="false">Q254*L254</f>
        <v>1.15</v>
      </c>
      <c r="S254" s="49" t="n">
        <f aca="false">J254-R254</f>
        <v>0.05</v>
      </c>
      <c r="T254" s="49" t="n">
        <f aca="false">MIN(189.6,(T253+S254))</f>
        <v>135.059318181818</v>
      </c>
      <c r="U254" s="59" t="s">
        <v>63</v>
      </c>
      <c r="V254" s="85" t="n">
        <v>525.6</v>
      </c>
      <c r="W254" s="48" t="n">
        <f aca="false">V254/D254</f>
        <v>36.7552447552448</v>
      </c>
      <c r="X254" s="48" t="n">
        <f aca="false">X253+V254</f>
        <v>116032.3</v>
      </c>
      <c r="Y254" s="7" t="n">
        <f aca="false">V254</f>
        <v>525.6</v>
      </c>
      <c r="Z254" s="58" t="s">
        <v>64</v>
      </c>
      <c r="AA254" s="48" t="n">
        <v>13.2070591215617</v>
      </c>
    </row>
    <row r="255" s="7" customFormat="true" ht="15" hidden="false" customHeight="true" outlineLevel="0" collapsed="false">
      <c r="A255" s="56"/>
      <c r="C255" s="8" t="n">
        <v>41736</v>
      </c>
      <c r="D255" s="7" t="n">
        <v>14.7</v>
      </c>
      <c r="E255" s="7" t="n">
        <v>12.1</v>
      </c>
      <c r="F255" s="7" t="n">
        <v>20.6</v>
      </c>
      <c r="G255" s="7" t="n">
        <f aca="false">G254+D255</f>
        <v>1824.7</v>
      </c>
      <c r="H255" s="48" t="n">
        <f aca="false">H254+D255</f>
        <v>29</v>
      </c>
      <c r="I255" s="7" t="n">
        <f aca="false">MIN(E254:E274)</f>
        <v>3.2</v>
      </c>
      <c r="J255" s="7" t="n">
        <v>14.2</v>
      </c>
      <c r="K255" s="7" t="n">
        <f aca="false">K254+J255</f>
        <v>471.3</v>
      </c>
      <c r="L255" s="7" t="n">
        <v>2.2</v>
      </c>
      <c r="M255" s="7" t="n">
        <f aca="false">M254+L255</f>
        <v>233.5</v>
      </c>
      <c r="N255" s="7" t="n">
        <f aca="false">J255-L255</f>
        <v>12</v>
      </c>
      <c r="O255" s="7" t="n">
        <f aca="false">O254+N255</f>
        <v>154.5</v>
      </c>
      <c r="P255" s="7" t="n">
        <v>216</v>
      </c>
      <c r="Q255" s="7" t="n">
        <v>1.15</v>
      </c>
      <c r="R255" s="15" t="n">
        <f aca="false">Q255*L255</f>
        <v>2.53</v>
      </c>
      <c r="S255" s="15" t="n">
        <f aca="false">J255-R255</f>
        <v>11.67</v>
      </c>
      <c r="T255" s="15" t="n">
        <f aca="false">MIN(189.6,(T254+S255))</f>
        <v>146.729318181818</v>
      </c>
      <c r="U255" s="7" t="n">
        <v>0</v>
      </c>
      <c r="V255" s="16" t="n">
        <v>707</v>
      </c>
      <c r="W255" s="7" t="n">
        <f aca="false">V255/D255</f>
        <v>48.0952380952381</v>
      </c>
      <c r="X255" s="7" t="n">
        <f aca="false">X254+V255</f>
        <v>116739.3</v>
      </c>
      <c r="Y255" s="7" t="n">
        <f aca="false">Y254+V255</f>
        <v>1232.6</v>
      </c>
      <c r="Z255" s="7" t="n">
        <v>27230.7</v>
      </c>
      <c r="AA255" s="7" t="n">
        <v>13.2679475072184</v>
      </c>
    </row>
    <row r="256" s="7" customFormat="true" ht="15" hidden="false" customHeight="false" outlineLevel="0" collapsed="false">
      <c r="A256" s="56"/>
      <c r="C256" s="8" t="n">
        <v>41737</v>
      </c>
      <c r="D256" s="7" t="n">
        <v>8.6</v>
      </c>
      <c r="E256" s="7" t="n">
        <v>7.4</v>
      </c>
      <c r="F256" s="7" t="n">
        <v>10.9</v>
      </c>
      <c r="G256" s="7" t="n">
        <f aca="false">G255+D256</f>
        <v>1833.3</v>
      </c>
      <c r="H256" s="48" t="n">
        <f aca="false">H255+D256</f>
        <v>37.6</v>
      </c>
      <c r="I256" s="59" t="s">
        <v>31</v>
      </c>
      <c r="J256" s="7" t="n">
        <v>1.1</v>
      </c>
      <c r="K256" s="7" t="n">
        <f aca="false">K255+J256</f>
        <v>472.4</v>
      </c>
      <c r="L256" s="7" t="n">
        <v>2.4</v>
      </c>
      <c r="M256" s="7" t="n">
        <f aca="false">M255+L256</f>
        <v>235.9</v>
      </c>
      <c r="N256" s="14" t="n">
        <f aca="false">J256-L256</f>
        <v>-1.3</v>
      </c>
      <c r="O256" s="7" t="n">
        <f aca="false">O255+N256</f>
        <v>153.2</v>
      </c>
      <c r="P256" s="7" t="n">
        <v>217</v>
      </c>
      <c r="Q256" s="7" t="n">
        <v>1.15</v>
      </c>
      <c r="R256" s="15" t="n">
        <f aca="false">Q256*L256</f>
        <v>2.76</v>
      </c>
      <c r="S256" s="15" t="n">
        <f aca="false">J256-R256</f>
        <v>-1.66</v>
      </c>
      <c r="T256" s="15" t="n">
        <f aca="false">MIN(189.6,(T255+S256))</f>
        <v>145.069318181818</v>
      </c>
      <c r="U256" s="59" t="s">
        <v>65</v>
      </c>
      <c r="V256" s="7" t="n">
        <v>1785.5</v>
      </c>
      <c r="W256" s="7" t="n">
        <f aca="false">V256/D256</f>
        <v>207.616279069767</v>
      </c>
      <c r="X256" s="7" t="n">
        <f aca="false">X255+V256</f>
        <v>118524.8</v>
      </c>
      <c r="Y256" s="7" t="n">
        <f aca="false">Y255+V256</f>
        <v>3018.1</v>
      </c>
      <c r="Z256" s="59" t="s">
        <v>66</v>
      </c>
      <c r="AA256" s="7" t="n">
        <v>13.3287039132659</v>
      </c>
    </row>
    <row r="257" s="7" customFormat="true" ht="15" hidden="false" customHeight="false" outlineLevel="0" collapsed="false">
      <c r="A257" s="56"/>
      <c r="C257" s="8" t="n">
        <v>41738</v>
      </c>
      <c r="D257" s="7" t="n">
        <v>8.5</v>
      </c>
      <c r="E257" s="18" t="n">
        <v>3.9</v>
      </c>
      <c r="F257" s="7" t="n">
        <v>12.9</v>
      </c>
      <c r="G257" s="7" t="n">
        <f aca="false">G256+D257</f>
        <v>1841.8</v>
      </c>
      <c r="H257" s="48" t="n">
        <f aca="false">H256+D257</f>
        <v>46.1</v>
      </c>
      <c r="I257" s="7" t="n">
        <f aca="false">MAX(F254:F274)</f>
        <v>20.6</v>
      </c>
      <c r="J257" s="7" t="n">
        <v>0</v>
      </c>
      <c r="K257" s="7" t="n">
        <f aca="false">K256+J257</f>
        <v>472.4</v>
      </c>
      <c r="L257" s="7" t="n">
        <v>1.9</v>
      </c>
      <c r="M257" s="7" t="n">
        <f aca="false">M256+L257</f>
        <v>237.8</v>
      </c>
      <c r="N257" s="14" t="n">
        <f aca="false">J257-L257</f>
        <v>-1.9</v>
      </c>
      <c r="O257" s="7" t="n">
        <f aca="false">O256+N257</f>
        <v>151.3</v>
      </c>
      <c r="P257" s="7" t="n">
        <v>218</v>
      </c>
      <c r="Q257" s="7" t="n">
        <v>1.15</v>
      </c>
      <c r="R257" s="15" t="n">
        <f aca="false">Q257*L257</f>
        <v>2.185</v>
      </c>
      <c r="S257" s="15" t="n">
        <f aca="false">J257-R257</f>
        <v>-2.185</v>
      </c>
      <c r="T257" s="15" t="n">
        <f aca="false">MIN(189.6,(T256+S257))</f>
        <v>142.884318181818</v>
      </c>
      <c r="U257" s="7" t="n">
        <v>0</v>
      </c>
      <c r="V257" s="7" t="n">
        <v>1278.5</v>
      </c>
      <c r="W257" s="7" t="n">
        <f aca="false">V257/D257</f>
        <v>150.411764705882</v>
      </c>
      <c r="X257" s="7" t="n">
        <f aca="false">X256+V257</f>
        <v>119803.3</v>
      </c>
      <c r="Y257" s="7" t="n">
        <f aca="false">Y256+V257</f>
        <v>4296.6</v>
      </c>
      <c r="Z257" s="17" t="n">
        <f aca="false">(Z255/100)/I267</f>
        <v>1.22056028686688</v>
      </c>
      <c r="AA257" s="7" t="n">
        <v>13.3893199612104</v>
      </c>
    </row>
    <row r="258" s="7" customFormat="true" ht="15" hidden="false" customHeight="false" outlineLevel="0" collapsed="false">
      <c r="A258" s="56"/>
      <c r="C258" s="8" t="n">
        <v>41739</v>
      </c>
      <c r="D258" s="7" t="n">
        <v>9.3</v>
      </c>
      <c r="E258" s="18" t="n">
        <v>3.4</v>
      </c>
      <c r="F258" s="7" t="n">
        <v>14.5</v>
      </c>
      <c r="G258" s="7" t="n">
        <f aca="false">G257+D258</f>
        <v>1851.1</v>
      </c>
      <c r="H258" s="48" t="n">
        <f aca="false">H257+D258</f>
        <v>55.4</v>
      </c>
      <c r="I258" s="59" t="s">
        <v>34</v>
      </c>
      <c r="J258" s="7" t="n">
        <v>0</v>
      </c>
      <c r="K258" s="7" t="n">
        <f aca="false">K257+J258</f>
        <v>472.4</v>
      </c>
      <c r="L258" s="7" t="n">
        <v>2.4</v>
      </c>
      <c r="M258" s="7" t="n">
        <f aca="false">M257+L258</f>
        <v>240.2</v>
      </c>
      <c r="N258" s="14" t="n">
        <f aca="false">J258-L258</f>
        <v>-2.4</v>
      </c>
      <c r="O258" s="7" t="n">
        <f aca="false">O257+N258</f>
        <v>148.9</v>
      </c>
      <c r="P258" s="7" t="n">
        <v>219</v>
      </c>
      <c r="Q258" s="7" t="n">
        <v>1.15</v>
      </c>
      <c r="R258" s="15" t="n">
        <f aca="false">Q258*L258</f>
        <v>2.76</v>
      </c>
      <c r="S258" s="15" t="n">
        <f aca="false">J258-R258</f>
        <v>-2.76</v>
      </c>
      <c r="T258" s="15" t="n">
        <f aca="false">MIN(189.6,(T257+S258))</f>
        <v>140.124318181818</v>
      </c>
      <c r="U258" s="59" t="s">
        <v>40</v>
      </c>
      <c r="V258" s="7" t="n">
        <v>1768.6</v>
      </c>
      <c r="W258" s="7" t="n">
        <f aca="false">V258/D258</f>
        <v>190.172043010753</v>
      </c>
      <c r="X258" s="7" t="n">
        <f aca="false">X257+V258</f>
        <v>121571.9</v>
      </c>
      <c r="Y258" s="7" t="n">
        <f aca="false">Y257+V258</f>
        <v>6065.2</v>
      </c>
      <c r="Z258" s="59" t="s">
        <v>67</v>
      </c>
      <c r="AA258" s="7" t="n">
        <v>13.4497869627234</v>
      </c>
    </row>
    <row r="259" s="7" customFormat="true" ht="15" hidden="false" customHeight="false" outlineLevel="0" collapsed="false">
      <c r="A259" s="56"/>
      <c r="C259" s="8" t="n">
        <v>41740</v>
      </c>
      <c r="D259" s="7" t="n">
        <v>9.9</v>
      </c>
      <c r="E259" s="7" t="n">
        <v>5.5</v>
      </c>
      <c r="F259" s="7" t="n">
        <v>14.9</v>
      </c>
      <c r="G259" s="7" t="n">
        <f aca="false">G258+D259</f>
        <v>1861</v>
      </c>
      <c r="H259" s="48" t="n">
        <f aca="false">H258+D259</f>
        <v>65.3</v>
      </c>
      <c r="I259" s="15" t="n">
        <f aca="false">AVERAGE(D254:D274)</f>
        <v>10.6238095238095</v>
      </c>
      <c r="J259" s="7" t="n">
        <v>0</v>
      </c>
      <c r="K259" s="7" t="n">
        <f aca="false">K258+J259</f>
        <v>472.4</v>
      </c>
      <c r="L259" s="7" t="n">
        <v>2.1</v>
      </c>
      <c r="M259" s="7" t="n">
        <f aca="false">M258+L259</f>
        <v>242.3</v>
      </c>
      <c r="N259" s="14" t="n">
        <f aca="false">J259-L259</f>
        <v>-2.1</v>
      </c>
      <c r="O259" s="7" t="n">
        <f aca="false">O258+N259</f>
        <v>146.8</v>
      </c>
      <c r="P259" s="7" t="n">
        <v>220</v>
      </c>
      <c r="Q259" s="7" t="n">
        <v>1.15</v>
      </c>
      <c r="R259" s="15" t="n">
        <f aca="false">Q259*L259</f>
        <v>2.415</v>
      </c>
      <c r="S259" s="15" t="n">
        <f aca="false">J259-R259</f>
        <v>-2.415</v>
      </c>
      <c r="T259" s="15" t="n">
        <f aca="false">MIN(189.6,(T258+S259))</f>
        <v>137.709318181818</v>
      </c>
      <c r="U259" s="15" t="n">
        <f aca="false">MIN(T254:T274)</f>
        <v>106.504318181818</v>
      </c>
      <c r="V259" s="7" t="n">
        <v>1431</v>
      </c>
      <c r="W259" s="7" t="n">
        <f aca="false">V259/D259</f>
        <v>144.545454545455</v>
      </c>
      <c r="X259" s="7" t="n">
        <f aca="false">X258+V259</f>
        <v>123002.9</v>
      </c>
      <c r="Y259" s="7" t="n">
        <f aca="false">Y258+V259</f>
        <v>7496.2</v>
      </c>
      <c r="Z259" s="7" t="n">
        <v>5</v>
      </c>
      <c r="AA259" s="7" t="n">
        <v>13.5100959025732</v>
      </c>
    </row>
    <row r="260" s="7" customFormat="true" ht="15" hidden="false" customHeight="false" outlineLevel="0" collapsed="false">
      <c r="A260" s="56"/>
      <c r="C260" s="8" t="n">
        <v>41741</v>
      </c>
      <c r="D260" s="7" t="n">
        <v>10</v>
      </c>
      <c r="E260" s="7" t="n">
        <v>6</v>
      </c>
      <c r="F260" s="7" t="n">
        <v>14</v>
      </c>
      <c r="G260" s="7" t="n">
        <f aca="false">G259+D260</f>
        <v>1871</v>
      </c>
      <c r="H260" s="48" t="n">
        <f aca="false">H259+D260</f>
        <v>75.3</v>
      </c>
      <c r="I260" s="59" t="s">
        <v>37</v>
      </c>
      <c r="J260" s="7" t="n">
        <v>0</v>
      </c>
      <c r="K260" s="7" t="n">
        <f aca="false">K259+J260</f>
        <v>472.4</v>
      </c>
      <c r="L260" s="7" t="n">
        <v>1.4</v>
      </c>
      <c r="M260" s="7" t="n">
        <f aca="false">M259+L260</f>
        <v>243.7</v>
      </c>
      <c r="N260" s="14" t="n">
        <f aca="false">J260-L260</f>
        <v>-1.4</v>
      </c>
      <c r="O260" s="7" t="n">
        <f aca="false">O259+N260</f>
        <v>145.4</v>
      </c>
      <c r="P260" s="7" t="n">
        <v>221</v>
      </c>
      <c r="Q260" s="7" t="n">
        <v>1.15</v>
      </c>
      <c r="R260" s="15" t="n">
        <f aca="false">Q260*L260</f>
        <v>1.61</v>
      </c>
      <c r="S260" s="15" t="n">
        <f aca="false">J260-R260</f>
        <v>-1.61</v>
      </c>
      <c r="T260" s="15" t="n">
        <f aca="false">MIN(189.6,(T259+S260))</f>
        <v>136.099318181818</v>
      </c>
      <c r="U260" s="59" t="s">
        <v>42</v>
      </c>
      <c r="V260" s="16" t="n">
        <v>797.3</v>
      </c>
      <c r="W260" s="7" t="n">
        <f aca="false">V260/D260</f>
        <v>79.73</v>
      </c>
      <c r="X260" s="7" t="n">
        <f aca="false">X259+V260</f>
        <v>123800.2</v>
      </c>
      <c r="Y260" s="7" t="n">
        <f aca="false">Y259+V260</f>
        <v>8293.5</v>
      </c>
      <c r="AA260" s="7" t="n">
        <v>13.5702374217108</v>
      </c>
    </row>
    <row r="261" s="7" customFormat="true" ht="15" hidden="false" customHeight="false" outlineLevel="0" collapsed="false">
      <c r="A261" s="56"/>
      <c r="C261" s="8" t="n">
        <v>41742</v>
      </c>
      <c r="D261" s="7" t="n">
        <v>10.1</v>
      </c>
      <c r="E261" s="7" t="n">
        <v>7.3</v>
      </c>
      <c r="F261" s="7" t="n">
        <v>13.9</v>
      </c>
      <c r="G261" s="7" t="n">
        <f aca="false">G260+D261</f>
        <v>1881.1</v>
      </c>
      <c r="H261" s="48" t="n">
        <f aca="false">H260+D261</f>
        <v>85.4</v>
      </c>
      <c r="I261" s="7" t="n">
        <v>0</v>
      </c>
      <c r="J261" s="7" t="n">
        <v>0</v>
      </c>
      <c r="K261" s="7" t="n">
        <f aca="false">K260+J261</f>
        <v>472.4</v>
      </c>
      <c r="L261" s="7" t="n">
        <v>2.3</v>
      </c>
      <c r="M261" s="7" t="n">
        <f aca="false">M260+L261</f>
        <v>246</v>
      </c>
      <c r="N261" s="14" t="n">
        <f aca="false">J261-L261</f>
        <v>-2.3</v>
      </c>
      <c r="O261" s="7" t="n">
        <f aca="false">O260+N261</f>
        <v>143.1</v>
      </c>
      <c r="P261" s="7" t="n">
        <v>222</v>
      </c>
      <c r="Q261" s="7" t="n">
        <v>1.15</v>
      </c>
      <c r="R261" s="15" t="n">
        <f aca="false">Q261*L261</f>
        <v>2.645</v>
      </c>
      <c r="S261" s="15" t="n">
        <f aca="false">J261-R261</f>
        <v>-2.645</v>
      </c>
      <c r="T261" s="15" t="n">
        <f aca="false">MIN(189.6,(T260+S261))</f>
        <v>133.454318181818</v>
      </c>
      <c r="U261" s="15" t="n">
        <f aca="false">MAX(T254:T274)</f>
        <v>146.729318181818</v>
      </c>
      <c r="V261" s="7" t="n">
        <v>1409.4</v>
      </c>
      <c r="W261" s="7" t="n">
        <f aca="false">V261/D261</f>
        <v>139.544554455446</v>
      </c>
      <c r="X261" s="7" t="n">
        <f aca="false">X260+V261</f>
        <v>125209.6</v>
      </c>
      <c r="Y261" s="7" t="n">
        <f aca="false">Y260+V261</f>
        <v>9702.9</v>
      </c>
      <c r="AA261" s="7" t="n">
        <v>13.630201800534</v>
      </c>
    </row>
    <row r="262" s="7" customFormat="true" ht="15" hidden="false" customHeight="false" outlineLevel="0" collapsed="false">
      <c r="A262" s="56"/>
      <c r="C262" s="8" t="n">
        <v>41743</v>
      </c>
      <c r="D262" s="7" t="n">
        <v>8.9</v>
      </c>
      <c r="E262" s="7" t="n">
        <v>5.6</v>
      </c>
      <c r="F262" s="7" t="n">
        <v>13.3</v>
      </c>
      <c r="G262" s="7" t="n">
        <f aca="false">G261+D262</f>
        <v>1890</v>
      </c>
      <c r="H262" s="48" t="n">
        <f aca="false">H261+D262</f>
        <v>94.3</v>
      </c>
      <c r="I262" s="59" t="s">
        <v>39</v>
      </c>
      <c r="J262" s="7" t="n">
        <v>0</v>
      </c>
      <c r="K262" s="7" t="n">
        <f aca="false">K261+J262</f>
        <v>472.4</v>
      </c>
      <c r="L262" s="7" t="n">
        <v>2.4</v>
      </c>
      <c r="M262" s="7" t="n">
        <f aca="false">M261+L262</f>
        <v>248.4</v>
      </c>
      <c r="N262" s="14" t="n">
        <f aca="false">J262-L262</f>
        <v>-2.4</v>
      </c>
      <c r="O262" s="7" t="n">
        <f aca="false">O261+N262</f>
        <v>140.7</v>
      </c>
      <c r="P262" s="7" t="n">
        <v>223</v>
      </c>
      <c r="Q262" s="7" t="n">
        <v>1.15</v>
      </c>
      <c r="R262" s="15" t="n">
        <f aca="false">Q262*L262</f>
        <v>2.76</v>
      </c>
      <c r="S262" s="15" t="n">
        <f aca="false">J262-R262</f>
        <v>-2.76</v>
      </c>
      <c r="T262" s="15" t="n">
        <f aca="false">MIN(189.6,(T261+S262))</f>
        <v>130.694318181818</v>
      </c>
      <c r="U262" s="59" t="s">
        <v>44</v>
      </c>
      <c r="V262" s="7" t="n">
        <v>1429.3</v>
      </c>
      <c r="W262" s="7" t="n">
        <f aca="false">V262/D262</f>
        <v>160.595505617978</v>
      </c>
      <c r="X262" s="7" t="n">
        <f aca="false">X261+V262</f>
        <v>126638.9</v>
      </c>
      <c r="Y262" s="7" t="n">
        <f aca="false">Y261+V262</f>
        <v>11132.2</v>
      </c>
      <c r="AA262" s="7" t="n">
        <v>13.6899789423581</v>
      </c>
    </row>
    <row r="263" s="7" customFormat="true" ht="15" hidden="false" customHeight="false" outlineLevel="0" collapsed="false">
      <c r="A263" s="56"/>
      <c r="C263" s="8" t="n">
        <v>41744</v>
      </c>
      <c r="D263" s="7" t="n">
        <v>7.4</v>
      </c>
      <c r="E263" s="18" t="n">
        <v>3.4</v>
      </c>
      <c r="F263" s="7" t="n">
        <v>12.2</v>
      </c>
      <c r="G263" s="7" t="n">
        <f aca="false">G262+D263</f>
        <v>1897.4</v>
      </c>
      <c r="H263" s="48" t="n">
        <f aca="false">H262+D263</f>
        <v>101.7</v>
      </c>
      <c r="I263" s="7" t="n">
        <v>0</v>
      </c>
      <c r="J263" s="7" t="n">
        <v>0</v>
      </c>
      <c r="K263" s="7" t="n">
        <f aca="false">K262+J263</f>
        <v>472.4</v>
      </c>
      <c r="L263" s="7" t="n">
        <v>2.3</v>
      </c>
      <c r="M263" s="7" t="n">
        <f aca="false">M262+L263</f>
        <v>250.7</v>
      </c>
      <c r="N263" s="14" t="n">
        <f aca="false">J263-L263</f>
        <v>-2.3</v>
      </c>
      <c r="O263" s="7" t="n">
        <f aca="false">O262+N263</f>
        <v>138.4</v>
      </c>
      <c r="P263" s="7" t="n">
        <v>224</v>
      </c>
      <c r="Q263" s="7" t="n">
        <v>1.15</v>
      </c>
      <c r="R263" s="15" t="n">
        <f aca="false">Q263*L263</f>
        <v>2.645</v>
      </c>
      <c r="S263" s="15" t="n">
        <f aca="false">J263-R263</f>
        <v>-2.645</v>
      </c>
      <c r="T263" s="15" t="n">
        <f aca="false">MIN(189.6,(T262+S263))</f>
        <v>128.049318181818</v>
      </c>
      <c r="U263" s="17" t="n">
        <f aca="false">AVERAGE(T254:T274)</f>
        <v>124.42408008658</v>
      </c>
      <c r="V263" s="7" t="n">
        <v>1530</v>
      </c>
      <c r="W263" s="7" t="n">
        <f aca="false">V263/D263</f>
        <v>206.756756756757</v>
      </c>
      <c r="X263" s="7" t="n">
        <f aca="false">X262+V263</f>
        <v>128168.9</v>
      </c>
      <c r="Y263" s="7" t="n">
        <f aca="false">Y262+V263</f>
        <v>12662.2</v>
      </c>
      <c r="AA263" s="7" t="n">
        <v>13.7495583571237</v>
      </c>
    </row>
    <row r="264" s="7" customFormat="true" ht="15" hidden="false" customHeight="false" outlineLevel="0" collapsed="false">
      <c r="A264" s="56"/>
      <c r="C264" s="8" t="n">
        <v>41745</v>
      </c>
      <c r="D264" s="7" t="n">
        <v>8.6</v>
      </c>
      <c r="E264" s="18" t="n">
        <v>3.2</v>
      </c>
      <c r="F264" s="7" t="n">
        <v>13.8</v>
      </c>
      <c r="G264" s="7" t="n">
        <f aca="false">G263+D264</f>
        <v>1906</v>
      </c>
      <c r="H264" s="48" t="n">
        <f aca="false">H263+D264</f>
        <v>110.3</v>
      </c>
      <c r="I264" s="59" t="s">
        <v>41</v>
      </c>
      <c r="J264" s="7" t="n">
        <v>0</v>
      </c>
      <c r="K264" s="7" t="n">
        <f aca="false">K263+J264</f>
        <v>472.4</v>
      </c>
      <c r="L264" s="7" t="n">
        <v>3.1</v>
      </c>
      <c r="M264" s="7" t="n">
        <f aca="false">M263+L264</f>
        <v>253.8</v>
      </c>
      <c r="N264" s="14" t="n">
        <f aca="false">J264-L264</f>
        <v>-3.1</v>
      </c>
      <c r="O264" s="7" t="n">
        <f aca="false">O263+N264</f>
        <v>135.3</v>
      </c>
      <c r="P264" s="7" t="n">
        <v>225</v>
      </c>
      <c r="Q264" s="7" t="n">
        <v>1.15</v>
      </c>
      <c r="R264" s="15" t="n">
        <f aca="false">Q264*L264</f>
        <v>3.565</v>
      </c>
      <c r="S264" s="15" t="n">
        <f aca="false">J264-R264</f>
        <v>-3.565</v>
      </c>
      <c r="T264" s="15" t="n">
        <f aca="false">MIN(189.6,(T263+S264))</f>
        <v>124.484318181818</v>
      </c>
      <c r="U264" s="15" t="n">
        <f aca="false">(U263*100)/189.6</f>
        <v>65.6245148135971</v>
      </c>
      <c r="V264" s="7" t="n">
        <v>2254.9</v>
      </c>
      <c r="W264" s="7" t="n">
        <f aca="false">V264/D264</f>
        <v>262.197674418605</v>
      </c>
      <c r="X264" s="7" t="n">
        <f aca="false">X263+V264</f>
        <v>130423.8</v>
      </c>
      <c r="Y264" s="7" t="n">
        <f aca="false">Y263+V264</f>
        <v>14917.1</v>
      </c>
      <c r="AA264" s="7" t="n">
        <v>13.8089291453783</v>
      </c>
    </row>
    <row r="265" s="7" customFormat="true" ht="15" hidden="false" customHeight="false" outlineLevel="0" collapsed="false">
      <c r="A265" s="56"/>
      <c r="C265" s="8" t="n">
        <v>41746</v>
      </c>
      <c r="D265" s="7" t="n">
        <v>11.1</v>
      </c>
      <c r="E265" s="18" t="n">
        <v>4.1</v>
      </c>
      <c r="F265" s="7" t="n">
        <v>16.8</v>
      </c>
      <c r="G265" s="7" t="n">
        <f aca="false">G264+D265</f>
        <v>1917.1</v>
      </c>
      <c r="H265" s="48" t="n">
        <f aca="false">H264+D265</f>
        <v>121.4</v>
      </c>
      <c r="I265" s="7" t="n">
        <v>6</v>
      </c>
      <c r="J265" s="7" t="n">
        <v>0</v>
      </c>
      <c r="K265" s="7" t="n">
        <f aca="false">K264+J265</f>
        <v>472.4</v>
      </c>
      <c r="L265" s="7" t="n">
        <v>2.9</v>
      </c>
      <c r="M265" s="7" t="n">
        <f aca="false">M264+L265</f>
        <v>256.7</v>
      </c>
      <c r="N265" s="14" t="n">
        <f aca="false">J265-L265</f>
        <v>-2.9</v>
      </c>
      <c r="O265" s="7" t="n">
        <f aca="false">O264+N265</f>
        <v>132.4</v>
      </c>
      <c r="P265" s="7" t="n">
        <v>226</v>
      </c>
      <c r="Q265" s="7" t="n">
        <v>1.15</v>
      </c>
      <c r="R265" s="15" t="n">
        <f aca="false">Q265*L265</f>
        <v>3.335</v>
      </c>
      <c r="S265" s="15" t="n">
        <f aca="false">J265-R265</f>
        <v>-3.335</v>
      </c>
      <c r="T265" s="15" t="n">
        <f aca="false">MIN(189.6,(T264+S265))</f>
        <v>121.149318181818</v>
      </c>
      <c r="V265" s="7" t="n">
        <v>1925.3</v>
      </c>
      <c r="W265" s="7" t="n">
        <f aca="false">V265/D265</f>
        <v>173.45045045045</v>
      </c>
      <c r="X265" s="7" t="n">
        <f aca="false">X264+V265</f>
        <v>132349.1</v>
      </c>
      <c r="Y265" s="7" t="n">
        <f aca="false">Y264+V265</f>
        <v>16842.4</v>
      </c>
      <c r="AA265" s="7" t="n">
        <v>13.868079982568</v>
      </c>
    </row>
    <row r="266" s="7" customFormat="true" ht="15" hidden="false" customHeight="false" outlineLevel="0" collapsed="false">
      <c r="A266" s="56"/>
      <c r="C266" s="8" t="n">
        <v>41747</v>
      </c>
      <c r="D266" s="7" t="n">
        <v>9.3</v>
      </c>
      <c r="E266" s="7" t="n">
        <v>8.8</v>
      </c>
      <c r="F266" s="7" t="n">
        <v>11.7</v>
      </c>
      <c r="G266" s="7" t="n">
        <f aca="false">G265+D266</f>
        <v>1926.4</v>
      </c>
      <c r="H266" s="48" t="n">
        <f aca="false">H265+D266</f>
        <v>130.7</v>
      </c>
      <c r="I266" s="59" t="s">
        <v>43</v>
      </c>
      <c r="J266" s="7" t="n">
        <v>0</v>
      </c>
      <c r="K266" s="7" t="n">
        <f aca="false">K265+J266</f>
        <v>472.4</v>
      </c>
      <c r="L266" s="7" t="n">
        <v>3.3</v>
      </c>
      <c r="M266" s="7" t="n">
        <f aca="false">M265+L266</f>
        <v>260</v>
      </c>
      <c r="N266" s="14" t="n">
        <f aca="false">J266-L266</f>
        <v>-3.3</v>
      </c>
      <c r="O266" s="7" t="n">
        <f aca="false">O265+N266</f>
        <v>129.1</v>
      </c>
      <c r="P266" s="7" t="n">
        <v>227</v>
      </c>
      <c r="Q266" s="7" t="n">
        <v>1.15</v>
      </c>
      <c r="R266" s="15" t="n">
        <f aca="false">Q266*L266</f>
        <v>3.795</v>
      </c>
      <c r="S266" s="15" t="n">
        <f aca="false">J266-R266</f>
        <v>-3.795</v>
      </c>
      <c r="T266" s="15" t="n">
        <f aca="false">MIN(189.6,(T265+S266))</f>
        <v>117.354318181818</v>
      </c>
      <c r="V266" s="7" t="n">
        <v>1921.9</v>
      </c>
      <c r="W266" s="7" t="n">
        <f aca="false">V266/D266</f>
        <v>206.655913978495</v>
      </c>
      <c r="X266" s="7" t="n">
        <f aca="false">X265+V266</f>
        <v>134271</v>
      </c>
      <c r="Y266" s="7" t="n">
        <f aca="false">Y265+V266</f>
        <v>18764.3</v>
      </c>
      <c r="AA266" s="7" t="n">
        <v>13.9269991036858</v>
      </c>
    </row>
    <row r="267" s="7" customFormat="true" ht="15" hidden="false" customHeight="false" outlineLevel="0" collapsed="false">
      <c r="A267" s="56"/>
      <c r="C267" s="8" t="n">
        <v>41748</v>
      </c>
      <c r="D267" s="7" t="n">
        <v>9.3</v>
      </c>
      <c r="E267" s="18" t="n">
        <v>3.7</v>
      </c>
      <c r="F267" s="7" t="n">
        <v>12.6</v>
      </c>
      <c r="G267" s="7" t="n">
        <f aca="false">G266+D267</f>
        <v>1935.7</v>
      </c>
      <c r="H267" s="48" t="n">
        <f aca="false">H266+D267</f>
        <v>140</v>
      </c>
      <c r="I267" s="7" t="n">
        <v>223.1</v>
      </c>
      <c r="J267" s="7" t="n">
        <v>0</v>
      </c>
      <c r="K267" s="7" t="n">
        <f aca="false">K266+J267</f>
        <v>472.4</v>
      </c>
      <c r="L267" s="7" t="n">
        <v>2.5</v>
      </c>
      <c r="M267" s="7" t="n">
        <f aca="false">M266+L267</f>
        <v>262.5</v>
      </c>
      <c r="N267" s="14" t="n">
        <f aca="false">J267-L267</f>
        <v>-2.5</v>
      </c>
      <c r="O267" s="7" t="n">
        <f aca="false">O266+N267</f>
        <v>126.6</v>
      </c>
      <c r="P267" s="7" t="n">
        <v>228</v>
      </c>
      <c r="Q267" s="7" t="n">
        <v>1.15</v>
      </c>
      <c r="R267" s="15" t="n">
        <f aca="false">Q267*L267</f>
        <v>2.875</v>
      </c>
      <c r="S267" s="15" t="n">
        <f aca="false">J267-R267</f>
        <v>-2.875</v>
      </c>
      <c r="T267" s="15" t="n">
        <f aca="false">MIN(189.6,(T266+S267))</f>
        <v>114.479318181818</v>
      </c>
      <c r="V267" s="7" t="n">
        <v>1771.6</v>
      </c>
      <c r="W267" s="7" t="n">
        <f aca="false">V267/D267</f>
        <v>190.494623655914</v>
      </c>
      <c r="X267" s="7" t="n">
        <f aca="false">X266+V267</f>
        <v>136042.6</v>
      </c>
      <c r="Y267" s="7" t="n">
        <f aca="false">Y266+V267</f>
        <v>20535.9</v>
      </c>
      <c r="AA267" s="7" t="n">
        <v>13.9856742883214</v>
      </c>
    </row>
    <row r="268" s="7" customFormat="true" ht="15" hidden="false" customHeight="false" outlineLevel="0" collapsed="false">
      <c r="A268" s="56"/>
      <c r="C268" s="8" t="n">
        <v>41749</v>
      </c>
      <c r="D268" s="7" t="n">
        <v>12.4</v>
      </c>
      <c r="E268" s="7" t="n">
        <v>10.7</v>
      </c>
      <c r="F268" s="7" t="n">
        <v>15.3</v>
      </c>
      <c r="G268" s="7" t="n">
        <f aca="false">G267+D268</f>
        <v>1948.1</v>
      </c>
      <c r="H268" s="48" t="n">
        <f aca="false">H267+D268</f>
        <v>152.4</v>
      </c>
      <c r="J268" s="7" t="n">
        <v>0</v>
      </c>
      <c r="K268" s="7" t="n">
        <f aca="false">K267+J268</f>
        <v>472.4</v>
      </c>
      <c r="L268" s="7" t="n">
        <v>2.4</v>
      </c>
      <c r="M268" s="7" t="n">
        <f aca="false">M267+L268</f>
        <v>264.9</v>
      </c>
      <c r="N268" s="14" t="n">
        <f aca="false">J268-L268</f>
        <v>-2.4</v>
      </c>
      <c r="O268" s="7" t="n">
        <f aca="false">O267+N268</f>
        <v>124.2</v>
      </c>
      <c r="P268" s="7" t="n">
        <v>229</v>
      </c>
      <c r="Q268" s="7" t="n">
        <v>1.15</v>
      </c>
      <c r="R268" s="15" t="n">
        <f aca="false">Q268*L268</f>
        <v>2.76</v>
      </c>
      <c r="S268" s="15" t="n">
        <f aca="false">J268-R268</f>
        <v>-2.76</v>
      </c>
      <c r="T268" s="15" t="n">
        <f aca="false">MIN(189.6,(T267+S268))</f>
        <v>111.719318181818</v>
      </c>
      <c r="V268" s="7" t="n">
        <v>953.6</v>
      </c>
      <c r="W268" s="7" t="n">
        <f aca="false">V268/D268</f>
        <v>76.9032258064516</v>
      </c>
      <c r="X268" s="7" t="n">
        <f aca="false">X267+V268</f>
        <v>136996.2</v>
      </c>
      <c r="Y268" s="7" t="n">
        <f aca="false">Y267+V268</f>
        <v>21489.5</v>
      </c>
      <c r="AA268" s="7" t="n">
        <v>14.0440928461666</v>
      </c>
    </row>
    <row r="269" s="7" customFormat="true" ht="15" hidden="false" customHeight="false" outlineLevel="0" collapsed="false">
      <c r="A269" s="56"/>
      <c r="C269" s="8" t="n">
        <v>41750</v>
      </c>
      <c r="D269" s="7" t="n">
        <v>11.2</v>
      </c>
      <c r="E269" s="7" t="n">
        <v>6.1</v>
      </c>
      <c r="F269" s="7" t="n">
        <v>16.2</v>
      </c>
      <c r="G269" s="7" t="n">
        <f aca="false">G268+D269</f>
        <v>1959.3</v>
      </c>
      <c r="H269" s="48" t="n">
        <f aca="false">H268+D269</f>
        <v>163.6</v>
      </c>
      <c r="J269" s="7" t="n">
        <v>0</v>
      </c>
      <c r="K269" s="7" t="n">
        <f aca="false">K268+J269</f>
        <v>472.4</v>
      </c>
      <c r="L269" s="7" t="n">
        <v>1.8</v>
      </c>
      <c r="M269" s="7" t="n">
        <f aca="false">M268+L269</f>
        <v>266.7</v>
      </c>
      <c r="N269" s="14" t="n">
        <f aca="false">J269-L269</f>
        <v>-1.8</v>
      </c>
      <c r="O269" s="7" t="n">
        <f aca="false">O268+N269</f>
        <v>122.4</v>
      </c>
      <c r="P269" s="7" t="n">
        <v>230</v>
      </c>
      <c r="Q269" s="7" t="n">
        <v>1.15</v>
      </c>
      <c r="R269" s="15" t="n">
        <f aca="false">Q269*L269</f>
        <v>2.07</v>
      </c>
      <c r="S269" s="15" t="n">
        <f aca="false">J269-R269</f>
        <v>-2.07</v>
      </c>
      <c r="T269" s="15" t="n">
        <f aca="false">MIN(189.6,(T268+S269))</f>
        <v>109.649318181818</v>
      </c>
      <c r="V269" s="7" t="n">
        <v>1067.1</v>
      </c>
      <c r="W269" s="7" t="n">
        <f aca="false">V269/D269</f>
        <v>95.2767857142857</v>
      </c>
      <c r="X269" s="7" t="n">
        <f aca="false">X268+V269</f>
        <v>138063.3</v>
      </c>
      <c r="Y269" s="7" t="n">
        <f aca="false">Y268+V269</f>
        <v>22556.6</v>
      </c>
      <c r="AA269" s="7" t="n">
        <v>14.1022416030313</v>
      </c>
    </row>
    <row r="270" s="7" customFormat="true" ht="15" hidden="false" customHeight="false" outlineLevel="0" collapsed="false">
      <c r="A270" s="56"/>
      <c r="C270" s="8" t="n">
        <v>41751</v>
      </c>
      <c r="D270" s="7" t="n">
        <v>12</v>
      </c>
      <c r="E270" s="7" t="n">
        <v>9.4</v>
      </c>
      <c r="F270" s="7" t="n">
        <v>17.6</v>
      </c>
      <c r="G270" s="7" t="n">
        <f aca="false">G269+D270</f>
        <v>1971.3</v>
      </c>
      <c r="H270" s="48" t="n">
        <f aca="false">H269+D270</f>
        <v>175.6</v>
      </c>
      <c r="J270" s="7" t="n">
        <v>1.8</v>
      </c>
      <c r="K270" s="7" t="n">
        <f aca="false">K269+J270</f>
        <v>474.2</v>
      </c>
      <c r="L270" s="7" t="n">
        <v>2.2</v>
      </c>
      <c r="M270" s="7" t="n">
        <f aca="false">M269+L270</f>
        <v>268.9</v>
      </c>
      <c r="N270" s="14" t="n">
        <f aca="false">J270-L270</f>
        <v>-0.4</v>
      </c>
      <c r="O270" s="7" t="n">
        <f aca="false">O269+N270</f>
        <v>122</v>
      </c>
      <c r="P270" s="7" t="n">
        <v>231</v>
      </c>
      <c r="Q270" s="7" t="n">
        <v>1.15</v>
      </c>
      <c r="R270" s="15" t="n">
        <f aca="false">Q270*L270</f>
        <v>2.53</v>
      </c>
      <c r="S270" s="15" t="n">
        <f aca="false">J270-R270</f>
        <v>-0.73</v>
      </c>
      <c r="T270" s="15" t="n">
        <f aca="false">MIN(189.6,(T269+S270))</f>
        <v>108.919318181818</v>
      </c>
      <c r="V270" s="7" t="n">
        <v>1164.9</v>
      </c>
      <c r="W270" s="7" t="n">
        <f aca="false">V270/D270</f>
        <v>97.075</v>
      </c>
      <c r="X270" s="7" t="n">
        <f aca="false">X269+V270</f>
        <v>139228.2</v>
      </c>
      <c r="Y270" s="7" t="n">
        <f aca="false">Y269+V270</f>
        <v>23721.5</v>
      </c>
      <c r="AA270" s="7" t="n">
        <v>14.1601068874331</v>
      </c>
    </row>
    <row r="271" s="7" customFormat="true" ht="15" hidden="false" customHeight="false" outlineLevel="0" collapsed="false">
      <c r="A271" s="56"/>
      <c r="C271" s="8" t="n">
        <v>41752</v>
      </c>
      <c r="D271" s="7" t="n">
        <v>12.4</v>
      </c>
      <c r="E271" s="7" t="n">
        <v>6.6</v>
      </c>
      <c r="F271" s="7" t="n">
        <v>17.7</v>
      </c>
      <c r="G271" s="7" t="n">
        <f aca="false">G270+D271</f>
        <v>1983.7</v>
      </c>
      <c r="H271" s="48" t="n">
        <f aca="false">H270+D271</f>
        <v>188</v>
      </c>
      <c r="J271" s="7" t="n">
        <v>0</v>
      </c>
      <c r="K271" s="7" t="n">
        <f aca="false">K270+J271</f>
        <v>474.2</v>
      </c>
      <c r="L271" s="7" t="n">
        <v>2.1</v>
      </c>
      <c r="M271" s="7" t="n">
        <f aca="false">M270+L271</f>
        <v>271</v>
      </c>
      <c r="N271" s="14" t="n">
        <f aca="false">J271-L271</f>
        <v>-2.1</v>
      </c>
      <c r="O271" s="7" t="n">
        <f aca="false">O270+N271</f>
        <v>119.9</v>
      </c>
      <c r="P271" s="7" t="n">
        <v>232</v>
      </c>
      <c r="Q271" s="7" t="n">
        <v>1.15</v>
      </c>
      <c r="R271" s="15" t="n">
        <f aca="false">Q271*L271</f>
        <v>2.415</v>
      </c>
      <c r="S271" s="15" t="n">
        <f aca="false">J271-R271</f>
        <v>-2.415</v>
      </c>
      <c r="T271" s="15" t="n">
        <f aca="false">MIN(189.6,(T270+S271))</f>
        <v>106.504318181818</v>
      </c>
      <c r="V271" s="7" t="n">
        <v>1399.3</v>
      </c>
      <c r="W271" s="7" t="n">
        <f aca="false">V271/D271</f>
        <v>112.846774193548</v>
      </c>
      <c r="X271" s="7" t="n">
        <f aca="false">X270+V271</f>
        <v>140627.5</v>
      </c>
      <c r="Y271" s="7" t="n">
        <f aca="false">Y270+V271</f>
        <v>25120.8</v>
      </c>
      <c r="AA271" s="7" t="n">
        <v>14.2176745178259</v>
      </c>
    </row>
    <row r="272" s="7" customFormat="true" ht="15" hidden="false" customHeight="false" outlineLevel="0" collapsed="false">
      <c r="A272" s="56"/>
      <c r="C272" s="8" t="n">
        <v>41753</v>
      </c>
      <c r="D272" s="7" t="n">
        <v>13.2</v>
      </c>
      <c r="E272" s="7" t="n">
        <v>10.1</v>
      </c>
      <c r="F272" s="7" t="n">
        <v>16</v>
      </c>
      <c r="G272" s="7" t="n">
        <f aca="false">G271+D272</f>
        <v>1996.9</v>
      </c>
      <c r="H272" s="48" t="n">
        <f aca="false">H271+D272</f>
        <v>201.2</v>
      </c>
      <c r="J272" s="7" t="n">
        <v>1.4</v>
      </c>
      <c r="K272" s="7" t="n">
        <f aca="false">K271+J272</f>
        <v>475.6</v>
      </c>
      <c r="L272" s="7" t="n">
        <v>1</v>
      </c>
      <c r="M272" s="7" t="n">
        <f aca="false">M271+L272</f>
        <v>272</v>
      </c>
      <c r="N272" s="7" t="n">
        <f aca="false">J272-L272</f>
        <v>0.4</v>
      </c>
      <c r="O272" s="7" t="n">
        <f aca="false">O271+N272</f>
        <v>120.3</v>
      </c>
      <c r="P272" s="7" t="n">
        <v>233</v>
      </c>
      <c r="Q272" s="7" t="n">
        <v>1.15</v>
      </c>
      <c r="R272" s="15" t="n">
        <f aca="false">Q272*L272</f>
        <v>1.15</v>
      </c>
      <c r="S272" s="15" t="n">
        <f aca="false">J272-R272</f>
        <v>0.25</v>
      </c>
      <c r="T272" s="15" t="n">
        <f aca="false">MIN(189.6,(T271+S272))</f>
        <v>106.754318181818</v>
      </c>
      <c r="V272" s="16" t="n">
        <v>535.9</v>
      </c>
      <c r="W272" s="7" t="n">
        <f aca="false">V272/D272</f>
        <v>40.5984848484849</v>
      </c>
      <c r="X272" s="7" t="n">
        <f aca="false">X271+V272</f>
        <v>141163.4</v>
      </c>
      <c r="Y272" s="7" t="n">
        <f aca="false">Y271+V272</f>
        <v>25656.7</v>
      </c>
      <c r="AA272" s="7" t="n">
        <v>14.274929790539</v>
      </c>
    </row>
    <row r="273" s="7" customFormat="true" ht="15" hidden="false" customHeight="false" outlineLevel="0" collapsed="false">
      <c r="A273" s="56"/>
      <c r="C273" s="8" t="n">
        <v>41754</v>
      </c>
      <c r="D273" s="7" t="n">
        <v>12.5</v>
      </c>
      <c r="E273" s="7" t="n">
        <v>12</v>
      </c>
      <c r="F273" s="7" t="n">
        <v>16.2</v>
      </c>
      <c r="G273" s="7" t="n">
        <f aca="false">G272+D273</f>
        <v>2009.4</v>
      </c>
      <c r="H273" s="48" t="n">
        <f aca="false">H272+D273</f>
        <v>213.7</v>
      </c>
      <c r="J273" s="7" t="n">
        <v>2.2</v>
      </c>
      <c r="K273" s="7" t="n">
        <f aca="false">K272+J273</f>
        <v>477.8</v>
      </c>
      <c r="L273" s="7" t="n">
        <v>1.9</v>
      </c>
      <c r="M273" s="7" t="n">
        <f aca="false">M272+L273</f>
        <v>273.9</v>
      </c>
      <c r="N273" s="7" t="n">
        <f aca="false">J273-L273</f>
        <v>0.3</v>
      </c>
      <c r="O273" s="7" t="n">
        <f aca="false">O272+N273</f>
        <v>120.6</v>
      </c>
      <c r="P273" s="7" t="n">
        <v>234</v>
      </c>
      <c r="Q273" s="7" t="n">
        <v>1.15</v>
      </c>
      <c r="R273" s="15" t="n">
        <f aca="false">Q273*L273</f>
        <v>2.185</v>
      </c>
      <c r="S273" s="15" t="n">
        <f aca="false">J273-R273</f>
        <v>0.0150000000000006</v>
      </c>
      <c r="T273" s="15" t="n">
        <f aca="false">MIN(189.6,(T272+S273))</f>
        <v>106.769318181818</v>
      </c>
      <c r="V273" s="7" t="n">
        <v>950.4</v>
      </c>
      <c r="W273" s="7" t="n">
        <f aca="false">V273/D273</f>
        <v>76.032</v>
      </c>
      <c r="X273" s="7" t="n">
        <f aca="false">X272+V273</f>
        <v>142113.8</v>
      </c>
      <c r="Y273" s="7" t="n">
        <f aca="false">Y272+V273</f>
        <v>26607.1</v>
      </c>
      <c r="AA273" s="7" t="n">
        <v>14.3318574685045</v>
      </c>
    </row>
    <row r="274" s="23" customFormat="true" ht="15" hidden="false" customHeight="false" outlineLevel="0" collapsed="false">
      <c r="A274" s="56"/>
      <c r="B274" s="60" t="s">
        <v>57</v>
      </c>
      <c r="C274" s="86" t="n">
        <v>41755</v>
      </c>
      <c r="D274" s="23" t="n">
        <v>9.4</v>
      </c>
      <c r="E274" s="23" t="n">
        <v>6.8</v>
      </c>
      <c r="F274" s="23" t="n">
        <v>11.6</v>
      </c>
      <c r="G274" s="23" t="n">
        <f aca="false">G273+D274</f>
        <v>2018.8</v>
      </c>
      <c r="H274" s="78" t="n">
        <f aca="false">H273+D274</f>
        <v>223.1</v>
      </c>
      <c r="J274" s="23" t="n">
        <v>3.4</v>
      </c>
      <c r="K274" s="23" t="n">
        <f aca="false">K273+J274</f>
        <v>481.2</v>
      </c>
      <c r="L274" s="23" t="n">
        <v>0.8</v>
      </c>
      <c r="M274" s="23" t="n">
        <f aca="false">M273+L274</f>
        <v>274.7</v>
      </c>
      <c r="N274" s="23" t="n">
        <f aca="false">J274-L274</f>
        <v>2.6</v>
      </c>
      <c r="O274" s="23" t="n">
        <f aca="false">O273+N274</f>
        <v>123.2</v>
      </c>
      <c r="P274" s="23" t="n">
        <v>235</v>
      </c>
      <c r="Q274" s="23" t="n">
        <v>1.15</v>
      </c>
      <c r="R274" s="24" t="n">
        <f aca="false">Q274*L274</f>
        <v>0.92</v>
      </c>
      <c r="S274" s="24" t="n">
        <f aca="false">J274-R274</f>
        <v>2.48</v>
      </c>
      <c r="T274" s="24" t="n">
        <f aca="false">MIN(189.6,(T273+S274))</f>
        <v>109.249318181818</v>
      </c>
      <c r="V274" s="87" t="n">
        <v>623.6</v>
      </c>
      <c r="W274" s="23" t="n">
        <f aca="false">V274/D274</f>
        <v>66.3404255319149</v>
      </c>
      <c r="X274" s="23" t="n">
        <f aca="false">X273+V274</f>
        <v>142737.4</v>
      </c>
      <c r="Y274" s="23" t="n">
        <f aca="false">Y273+V274</f>
        <v>27230.7</v>
      </c>
      <c r="AA274" s="23" t="n">
        <v>14.3884417708522</v>
      </c>
    </row>
    <row r="275" s="48" customFormat="true" ht="15" hidden="false" customHeight="false" outlineLevel="0" collapsed="false">
      <c r="A275" s="62" t="n">
        <v>300</v>
      </c>
      <c r="C275" s="83" t="n">
        <v>41756</v>
      </c>
      <c r="D275" s="48" t="n">
        <v>9.7</v>
      </c>
      <c r="E275" s="48" t="n">
        <v>7.2</v>
      </c>
      <c r="F275" s="48" t="n">
        <v>12.7</v>
      </c>
      <c r="G275" s="48" t="n">
        <f aca="false">G274+D275</f>
        <v>2028.5</v>
      </c>
      <c r="H275" s="48" t="n">
        <f aca="false">D275</f>
        <v>9.7</v>
      </c>
      <c r="I275" s="65" t="s">
        <v>28</v>
      </c>
      <c r="J275" s="48" t="n">
        <v>1</v>
      </c>
      <c r="K275" s="48" t="n">
        <f aca="false">K274+J275</f>
        <v>482.2</v>
      </c>
      <c r="L275" s="48" t="n">
        <v>1.1</v>
      </c>
      <c r="M275" s="48" t="n">
        <f aca="false">M274+L275</f>
        <v>275.8</v>
      </c>
      <c r="N275" s="88" t="n">
        <f aca="false">J275-L275</f>
        <v>-0.1</v>
      </c>
      <c r="O275" s="48" t="n">
        <f aca="false">O274+N275</f>
        <v>123.1</v>
      </c>
      <c r="P275" s="48" t="n">
        <v>236</v>
      </c>
      <c r="Q275" s="48" t="n">
        <v>1.15</v>
      </c>
      <c r="R275" s="49" t="n">
        <f aca="false">Q275*L275</f>
        <v>1.265</v>
      </c>
      <c r="S275" s="49" t="n">
        <f aca="false">J275-R275</f>
        <v>-0.265</v>
      </c>
      <c r="T275" s="49" t="n">
        <f aca="false">MIN(189.6,(T274+S275))</f>
        <v>108.984318181818</v>
      </c>
      <c r="U275" s="65" t="s">
        <v>35</v>
      </c>
      <c r="V275" s="85" t="n">
        <v>744.8</v>
      </c>
      <c r="W275" s="48" t="n">
        <f aca="false">V275/D275</f>
        <v>76.7835051546392</v>
      </c>
      <c r="X275" s="48" t="n">
        <f aca="false">X274+V275</f>
        <v>143482.2</v>
      </c>
      <c r="Y275" s="7" t="n">
        <f aca="false">V275</f>
        <v>744.8</v>
      </c>
      <c r="Z275" s="65" t="s">
        <v>30</v>
      </c>
      <c r="AA275" s="48" t="n">
        <v>14.4446663634609</v>
      </c>
    </row>
    <row r="276" s="64" customFormat="true" ht="15" hidden="false" customHeight="true" outlineLevel="0" collapsed="false">
      <c r="A276" s="62"/>
      <c r="B276" s="35"/>
      <c r="C276" s="63" t="n">
        <v>41757</v>
      </c>
      <c r="D276" s="48" t="n">
        <v>10.7</v>
      </c>
      <c r="E276" s="48" t="n">
        <v>7</v>
      </c>
      <c r="F276" s="48" t="n">
        <v>13.7</v>
      </c>
      <c r="G276" s="48" t="n">
        <f aca="false">G275+D276</f>
        <v>2039.2</v>
      </c>
      <c r="H276" s="48" t="n">
        <f aca="false">H275+D276</f>
        <v>20.4</v>
      </c>
      <c r="I276" s="7" t="n">
        <f aca="false">MIN(E275:E299)</f>
        <v>4.3</v>
      </c>
      <c r="J276" s="48" t="n">
        <v>0</v>
      </c>
      <c r="K276" s="48" t="n">
        <f aca="false">K275+J276</f>
        <v>482.2</v>
      </c>
      <c r="L276" s="48" t="n">
        <v>1.8</v>
      </c>
      <c r="M276" s="48" t="n">
        <f aca="false">M275+L276</f>
        <v>277.6</v>
      </c>
      <c r="N276" s="48" t="n">
        <f aca="false">J276-L276</f>
        <v>-1.8</v>
      </c>
      <c r="O276" s="48" t="n">
        <f aca="false">O275+N276</f>
        <v>121.3</v>
      </c>
      <c r="P276" s="48" t="n">
        <v>237</v>
      </c>
      <c r="Q276" s="48" t="n">
        <v>1.15</v>
      </c>
      <c r="R276" s="49" t="n">
        <f aca="false">Q276*L276</f>
        <v>2.07</v>
      </c>
      <c r="S276" s="49" t="n">
        <f aca="false">J276-R276</f>
        <v>-2.07</v>
      </c>
      <c r="T276" s="15" t="n">
        <f aca="false">MIN(189.6,(T275+S276))</f>
        <v>106.914318181818</v>
      </c>
      <c r="U276" s="7" t="n">
        <v>0</v>
      </c>
      <c r="V276" s="48" t="n">
        <v>1398.1</v>
      </c>
      <c r="W276" s="48" t="n">
        <f aca="false">V276/D276</f>
        <v>130.663551401869</v>
      </c>
      <c r="X276" s="48" t="n">
        <f aca="false">X275+V276</f>
        <v>144880.3</v>
      </c>
      <c r="Y276" s="7" t="n">
        <f aca="false">Y275+V276</f>
        <v>2142.9</v>
      </c>
      <c r="Z276" s="7" t="n">
        <v>37198.9</v>
      </c>
      <c r="AA276" s="7" t="n">
        <v>14.5005143505566</v>
      </c>
    </row>
    <row r="277" s="7" customFormat="true" ht="15" hidden="false" customHeight="true" outlineLevel="0" collapsed="false">
      <c r="A277" s="62"/>
      <c r="B277" s="11"/>
      <c r="C277" s="8" t="n">
        <v>41758</v>
      </c>
      <c r="D277" s="7" t="n">
        <v>11.5</v>
      </c>
      <c r="E277" s="7" t="n">
        <v>6.8</v>
      </c>
      <c r="F277" s="7" t="n">
        <v>16.7</v>
      </c>
      <c r="G277" s="7" t="n">
        <f aca="false">G276+D277</f>
        <v>2050.7</v>
      </c>
      <c r="H277" s="48" t="n">
        <f aca="false">H276+D277</f>
        <v>31.9</v>
      </c>
      <c r="I277" s="65" t="s">
        <v>31</v>
      </c>
      <c r="J277" s="7" t="n">
        <v>2</v>
      </c>
      <c r="K277" s="7" t="n">
        <f aca="false">K276+J277</f>
        <v>484.2</v>
      </c>
      <c r="L277" s="7" t="n">
        <v>1.8</v>
      </c>
      <c r="M277" s="7" t="n">
        <f aca="false">M276+L277</f>
        <v>279.4</v>
      </c>
      <c r="N277" s="7" t="n">
        <f aca="false">J277-L277</f>
        <v>0.2</v>
      </c>
      <c r="O277" s="7" t="n">
        <f aca="false">O276+N277</f>
        <v>121.5</v>
      </c>
      <c r="P277" s="7" t="n">
        <v>238</v>
      </c>
      <c r="Q277" s="7" t="n">
        <v>1.15</v>
      </c>
      <c r="R277" s="15" t="n">
        <f aca="false">Q277*L277</f>
        <v>2.07</v>
      </c>
      <c r="S277" s="15" t="n">
        <f aca="false">J277-R277</f>
        <v>-0.0699999999999998</v>
      </c>
      <c r="T277" s="15" t="n">
        <f aca="false">MIN(189.6,(T276+S277))</f>
        <v>106.844318181818</v>
      </c>
      <c r="U277" s="65" t="s">
        <v>38</v>
      </c>
      <c r="V277" s="7" t="n">
        <v>1194.4</v>
      </c>
      <c r="W277" s="7" t="n">
        <f aca="false">V277/D277</f>
        <v>103.860869565217</v>
      </c>
      <c r="X277" s="7" t="n">
        <f aca="false">X276+V277</f>
        <v>146074.7</v>
      </c>
      <c r="Y277" s="7" t="n">
        <f aca="false">Y276+V277</f>
        <v>3337.3</v>
      </c>
      <c r="Z277" s="65" t="s">
        <v>33</v>
      </c>
      <c r="AA277" s="7" t="n">
        <v>14.5559682674546</v>
      </c>
    </row>
    <row r="278" s="7" customFormat="true" ht="15" hidden="false" customHeight="false" outlineLevel="0" collapsed="false">
      <c r="A278" s="62"/>
      <c r="B278" s="11"/>
      <c r="C278" s="8" t="n">
        <v>41759</v>
      </c>
      <c r="D278" s="7" t="n">
        <v>12.5</v>
      </c>
      <c r="E278" s="7" t="n">
        <v>8.6</v>
      </c>
      <c r="F278" s="7" t="n">
        <v>16.8</v>
      </c>
      <c r="G278" s="7" t="n">
        <f aca="false">G277+D278</f>
        <v>2063.2</v>
      </c>
      <c r="H278" s="48" t="n">
        <f aca="false">H277+D278</f>
        <v>44.4</v>
      </c>
      <c r="I278" s="7" t="n">
        <f aca="false">MAX(F275:F299)</f>
        <v>24.4</v>
      </c>
      <c r="J278" s="7" t="n">
        <v>1.8</v>
      </c>
      <c r="K278" s="7" t="n">
        <f aca="false">K277+J278</f>
        <v>486</v>
      </c>
      <c r="L278" s="7" t="n">
        <v>3</v>
      </c>
      <c r="M278" s="7" t="n">
        <f aca="false">M277+L278</f>
        <v>282.4</v>
      </c>
      <c r="N278" s="14" t="n">
        <f aca="false">J278-L278</f>
        <v>-1.2</v>
      </c>
      <c r="O278" s="7" t="n">
        <f aca="false">O277+N278</f>
        <v>120.3</v>
      </c>
      <c r="P278" s="7" t="n">
        <v>239</v>
      </c>
      <c r="Q278" s="7" t="n">
        <v>1.15</v>
      </c>
      <c r="R278" s="15" t="n">
        <f aca="false">Q278*L278</f>
        <v>3.45</v>
      </c>
      <c r="S278" s="15" t="n">
        <f aca="false">J278-R278</f>
        <v>-1.65</v>
      </c>
      <c r="T278" s="15" t="n">
        <f aca="false">MIN(189.6,(T277+S278))</f>
        <v>105.194318181818</v>
      </c>
      <c r="U278" s="7" t="n">
        <v>0</v>
      </c>
      <c r="V278" s="7" t="n">
        <v>1825.6</v>
      </c>
      <c r="W278" s="7" t="n">
        <f aca="false">V278/D278</f>
        <v>146.048</v>
      </c>
      <c r="X278" s="7" t="n">
        <f aca="false">X277+V278</f>
        <v>147900.3</v>
      </c>
      <c r="Y278" s="7" t="n">
        <f aca="false">Y277+V278</f>
        <v>5162.9</v>
      </c>
      <c r="Z278" s="17" t="n">
        <f aca="false">(Z276/100)/I288</f>
        <v>1.2172414921466</v>
      </c>
      <c r="AA278" s="7" t="n">
        <v>14.6110100745474</v>
      </c>
    </row>
    <row r="279" s="7" customFormat="true" ht="15" hidden="false" customHeight="false" outlineLevel="0" collapsed="false">
      <c r="A279" s="62"/>
      <c r="B279" s="11"/>
      <c r="C279" s="8" t="n">
        <v>41760</v>
      </c>
      <c r="D279" s="7" t="n">
        <v>11.2</v>
      </c>
      <c r="E279" s="7" t="n">
        <v>8.4</v>
      </c>
      <c r="F279" s="7" t="n">
        <v>12.7</v>
      </c>
      <c r="G279" s="7" t="n">
        <f aca="false">G278+D279</f>
        <v>2074.4</v>
      </c>
      <c r="H279" s="48" t="n">
        <f aca="false">H278+D279</f>
        <v>55.6</v>
      </c>
      <c r="I279" s="65" t="s">
        <v>34</v>
      </c>
      <c r="J279" s="7" t="n">
        <v>11.2</v>
      </c>
      <c r="K279" s="7" t="n">
        <f aca="false">K278+J279</f>
        <v>497.2</v>
      </c>
      <c r="L279" s="7" t="n">
        <v>1.1</v>
      </c>
      <c r="M279" s="7" t="n">
        <f aca="false">M278+L279</f>
        <v>283.5</v>
      </c>
      <c r="N279" s="7" t="n">
        <f aca="false">J279-L279</f>
        <v>10.1</v>
      </c>
      <c r="O279" s="7" t="n">
        <f aca="false">O278+N279</f>
        <v>130.4</v>
      </c>
      <c r="P279" s="7" t="n">
        <v>240</v>
      </c>
      <c r="Q279" s="7" t="n">
        <v>1.15</v>
      </c>
      <c r="R279" s="15" t="n">
        <f aca="false">Q279*L279</f>
        <v>1.265</v>
      </c>
      <c r="S279" s="15" t="n">
        <f aca="false">J279-R279</f>
        <v>9.935</v>
      </c>
      <c r="T279" s="15" t="n">
        <f aca="false">MIN(189.6,(T278+S279))</f>
        <v>115.129318181818</v>
      </c>
      <c r="U279" s="65" t="s">
        <v>40</v>
      </c>
      <c r="V279" s="16" t="n">
        <v>766</v>
      </c>
      <c r="W279" s="7" t="n">
        <f aca="false">V279/D279</f>
        <v>68.3928571428572</v>
      </c>
      <c r="X279" s="7" t="n">
        <f aca="false">X278+V279</f>
        <v>148666.3</v>
      </c>
      <c r="Y279" s="7" t="n">
        <f aca="false">Y278+V279</f>
        <v>5928.9</v>
      </c>
      <c r="Z279" s="65" t="s">
        <v>36</v>
      </c>
      <c r="AA279" s="7" t="n">
        <v>14.6656211526435</v>
      </c>
    </row>
    <row r="280" s="7" customFormat="true" ht="15" hidden="false" customHeight="false" outlineLevel="0" collapsed="false">
      <c r="A280" s="62"/>
      <c r="B280" s="11"/>
      <c r="C280" s="8" t="n">
        <v>41761</v>
      </c>
      <c r="D280" s="7" t="n">
        <v>11</v>
      </c>
      <c r="E280" s="7" t="n">
        <v>10.3</v>
      </c>
      <c r="F280" s="7" t="n">
        <v>14.4</v>
      </c>
      <c r="G280" s="7" t="n">
        <f aca="false">G279+D280</f>
        <v>2085.4</v>
      </c>
      <c r="H280" s="48" t="n">
        <f aca="false">H279+D280</f>
        <v>66.6</v>
      </c>
      <c r="I280" s="15" t="n">
        <f aca="false">AVERAGE(D275:D299)</f>
        <v>12.224</v>
      </c>
      <c r="J280" s="7" t="n">
        <v>0.3</v>
      </c>
      <c r="K280" s="7" t="n">
        <f aca="false">K279+J280</f>
        <v>497.5</v>
      </c>
      <c r="L280" s="7" t="n">
        <v>2.1</v>
      </c>
      <c r="M280" s="7" t="n">
        <f aca="false">M279+L280</f>
        <v>285.6</v>
      </c>
      <c r="N280" s="14" t="n">
        <f aca="false">J280-L280</f>
        <v>-1.8</v>
      </c>
      <c r="O280" s="7" t="n">
        <f aca="false">O279+N280</f>
        <v>128.6</v>
      </c>
      <c r="P280" s="7" t="n">
        <v>241</v>
      </c>
      <c r="Q280" s="7" t="n">
        <v>1.15</v>
      </c>
      <c r="R280" s="15" t="n">
        <f aca="false">Q280*L280</f>
        <v>2.415</v>
      </c>
      <c r="S280" s="15" t="n">
        <f aca="false">J280-R280</f>
        <v>-2.115</v>
      </c>
      <c r="T280" s="15" t="n">
        <f aca="false">MIN(189.6,(T279+S280))</f>
        <v>113.014318181818</v>
      </c>
      <c r="U280" s="15" t="n">
        <f aca="false">MIN(T275:T299)</f>
        <v>103.554318181818</v>
      </c>
      <c r="V280" s="7" t="n">
        <v>1060.5</v>
      </c>
      <c r="W280" s="7" t="n">
        <f aca="false">V280/D280</f>
        <v>96.4090909090909</v>
      </c>
      <c r="X280" s="7" t="n">
        <f aca="false">X279+V280</f>
        <v>149726.8</v>
      </c>
      <c r="Y280" s="7" t="n">
        <f aca="false">Y279+V280</f>
        <v>6989.4</v>
      </c>
      <c r="Z280" s="7" t="n">
        <v>7</v>
      </c>
      <c r="AA280" s="7" t="n">
        <v>14.7197822997689</v>
      </c>
    </row>
    <row r="281" s="7" customFormat="true" ht="15" hidden="false" customHeight="false" outlineLevel="0" collapsed="false">
      <c r="A281" s="62"/>
      <c r="B281" s="11"/>
      <c r="C281" s="8" t="n">
        <v>41762</v>
      </c>
      <c r="D281" s="7" t="n">
        <v>9.2</v>
      </c>
      <c r="E281" s="7" t="n">
        <v>5.8</v>
      </c>
      <c r="F281" s="7" t="n">
        <v>13.2</v>
      </c>
      <c r="G281" s="7" t="n">
        <f aca="false">G280+D281</f>
        <v>2094.6</v>
      </c>
      <c r="H281" s="48" t="n">
        <f aca="false">H280+D281</f>
        <v>75.8</v>
      </c>
      <c r="I281" s="65" t="s">
        <v>37</v>
      </c>
      <c r="J281" s="7" t="n">
        <v>0</v>
      </c>
      <c r="K281" s="7" t="n">
        <f aca="false">K280+J281</f>
        <v>497.5</v>
      </c>
      <c r="L281" s="7" t="n">
        <v>2.9</v>
      </c>
      <c r="M281" s="7" t="n">
        <f aca="false">M280+L281</f>
        <v>288.5</v>
      </c>
      <c r="N281" s="14" t="n">
        <f aca="false">J281-L281</f>
        <v>-2.9</v>
      </c>
      <c r="O281" s="7" t="n">
        <f aca="false">O280+N281</f>
        <v>125.7</v>
      </c>
      <c r="P281" s="7" t="n">
        <v>242</v>
      </c>
      <c r="Q281" s="7" t="n">
        <v>1.15</v>
      </c>
      <c r="R281" s="15" t="n">
        <f aca="false">Q281*L281</f>
        <v>3.335</v>
      </c>
      <c r="S281" s="15" t="n">
        <f aca="false">J281-R281</f>
        <v>-3.335</v>
      </c>
      <c r="T281" s="15" t="n">
        <f aca="false">MIN(189.6,(T280+S281))</f>
        <v>109.679318181818</v>
      </c>
      <c r="U281" s="65" t="s">
        <v>42</v>
      </c>
      <c r="V281" s="7" t="n">
        <v>2011.6</v>
      </c>
      <c r="W281" s="7" t="n">
        <f aca="false">V281/D281</f>
        <v>218.652173913044</v>
      </c>
      <c r="X281" s="7" t="n">
        <f aca="false">X280+V281</f>
        <v>151738.4</v>
      </c>
      <c r="Y281" s="7" t="n">
        <f aca="false">Y280+V281</f>
        <v>9001</v>
      </c>
      <c r="AA281" s="7" t="n">
        <v>14.7734737295446</v>
      </c>
    </row>
    <row r="282" s="7" customFormat="true" ht="15" hidden="false" customHeight="false" outlineLevel="0" collapsed="false">
      <c r="A282" s="62"/>
      <c r="B282" s="11"/>
      <c r="C282" s="8" t="n">
        <v>41763</v>
      </c>
      <c r="D282" s="7" t="n">
        <v>9.9</v>
      </c>
      <c r="E282" s="18" t="n">
        <v>4.3</v>
      </c>
      <c r="F282" s="7" t="n">
        <v>14.8</v>
      </c>
      <c r="G282" s="7" t="n">
        <f aca="false">G281+D282</f>
        <v>2104.5</v>
      </c>
      <c r="H282" s="48" t="n">
        <f aca="false">H281+D282</f>
        <v>85.7</v>
      </c>
      <c r="I282" s="7" t="n">
        <v>0</v>
      </c>
      <c r="J282" s="7" t="n">
        <v>0</v>
      </c>
      <c r="K282" s="7" t="n">
        <f aca="false">K281+J282</f>
        <v>497.5</v>
      </c>
      <c r="L282" s="7" t="n">
        <v>2.1</v>
      </c>
      <c r="M282" s="7" t="n">
        <f aca="false">M281+L282</f>
        <v>290.6</v>
      </c>
      <c r="N282" s="14" t="n">
        <f aca="false">J282-L282</f>
        <v>-2.1</v>
      </c>
      <c r="O282" s="7" t="n">
        <f aca="false">O281+N282</f>
        <v>123.6</v>
      </c>
      <c r="P282" s="7" t="n">
        <v>243</v>
      </c>
      <c r="Q282" s="7" t="n">
        <v>1.15</v>
      </c>
      <c r="R282" s="15" t="n">
        <f aca="false">Q282*L282</f>
        <v>2.415</v>
      </c>
      <c r="S282" s="15" t="n">
        <f aca="false">J282-R282</f>
        <v>-2.415</v>
      </c>
      <c r="T282" s="15" t="n">
        <f aca="false">MIN(189.6,(T281+S282))</f>
        <v>107.264318181818</v>
      </c>
      <c r="U282" s="15" t="n">
        <f aca="false">MAX(T275:T299)</f>
        <v>135.054318181818</v>
      </c>
      <c r="V282" s="7" t="n">
        <v>1522</v>
      </c>
      <c r="W282" s="7" t="n">
        <f aca="false">V282/D282</f>
        <v>153.737373737374</v>
      </c>
      <c r="X282" s="7" t="n">
        <f aca="false">X281+V282</f>
        <v>153260.4</v>
      </c>
      <c r="Y282" s="7" t="n">
        <f aca="false">Y281+V282</f>
        <v>10523</v>
      </c>
      <c r="AA282" s="7" t="n">
        <v>14.8266750712589</v>
      </c>
    </row>
    <row r="283" s="7" customFormat="true" ht="15" hidden="false" customHeight="false" outlineLevel="0" collapsed="false">
      <c r="A283" s="62"/>
      <c r="B283" s="11"/>
      <c r="C283" s="8" t="n">
        <v>41764</v>
      </c>
      <c r="D283" s="7" t="n">
        <v>13.5</v>
      </c>
      <c r="E283" s="7" t="n">
        <v>6.6</v>
      </c>
      <c r="F283" s="7" t="n">
        <v>19.4</v>
      </c>
      <c r="G283" s="7" t="n">
        <f aca="false">G282+D283</f>
        <v>2118</v>
      </c>
      <c r="H283" s="48" t="n">
        <f aca="false">H282+D283</f>
        <v>99.2</v>
      </c>
      <c r="I283" s="65" t="s">
        <v>39</v>
      </c>
      <c r="J283" s="7" t="n">
        <v>0.2</v>
      </c>
      <c r="K283" s="7" t="n">
        <f aca="false">K282+J283</f>
        <v>497.7</v>
      </c>
      <c r="L283" s="7" t="n">
        <v>3.4</v>
      </c>
      <c r="M283" s="7" t="n">
        <f aca="false">M282+L283</f>
        <v>294</v>
      </c>
      <c r="N283" s="14" t="n">
        <f aca="false">J283-L283</f>
        <v>-3.2</v>
      </c>
      <c r="O283" s="7" t="n">
        <f aca="false">O282+N283</f>
        <v>120.4</v>
      </c>
      <c r="P283" s="7" t="n">
        <v>244</v>
      </c>
      <c r="Q283" s="7" t="n">
        <v>1.15</v>
      </c>
      <c r="R283" s="15" t="n">
        <f aca="false">Q283*L283</f>
        <v>3.91</v>
      </c>
      <c r="S283" s="15" t="n">
        <f aca="false">J283-R283</f>
        <v>-3.71</v>
      </c>
      <c r="T283" s="15" t="n">
        <f aca="false">MIN(189.6,(T282+S283))</f>
        <v>103.554318181818</v>
      </c>
      <c r="U283" s="65" t="s">
        <v>44</v>
      </c>
      <c r="V283" s="7" t="n">
        <v>2095.3</v>
      </c>
      <c r="W283" s="7" t="n">
        <f aca="false">V283/D283</f>
        <v>155.207407407407</v>
      </c>
      <c r="X283" s="7" t="n">
        <f aca="false">X282+V283</f>
        <v>155355.7</v>
      </c>
      <c r="Y283" s="7" t="n">
        <f aca="false">Y282+V283</f>
        <v>12618.3</v>
      </c>
      <c r="AA283" s="7" t="n">
        <v>14.8793653717553</v>
      </c>
    </row>
    <row r="284" s="7" customFormat="true" ht="15" hidden="false" customHeight="false" outlineLevel="0" collapsed="false">
      <c r="A284" s="62"/>
      <c r="B284" s="11"/>
      <c r="C284" s="8" t="n">
        <v>41765</v>
      </c>
      <c r="D284" s="7" t="n">
        <v>13.6</v>
      </c>
      <c r="E284" s="7" t="n">
        <v>11.2</v>
      </c>
      <c r="F284" s="7" t="n">
        <v>17.8</v>
      </c>
      <c r="G284" s="7" t="n">
        <f aca="false">G283+D284</f>
        <v>2131.6</v>
      </c>
      <c r="H284" s="48" t="n">
        <f aca="false">H283+D284</f>
        <v>112.8</v>
      </c>
      <c r="I284" s="7" t="n">
        <v>0</v>
      </c>
      <c r="J284" s="7" t="n">
        <v>18.6</v>
      </c>
      <c r="K284" s="7" t="n">
        <f aca="false">K283+J284</f>
        <v>516.3</v>
      </c>
      <c r="L284" s="7" t="n">
        <v>1.9</v>
      </c>
      <c r="M284" s="7" t="n">
        <f aca="false">M283+L284</f>
        <v>295.9</v>
      </c>
      <c r="N284" s="7" t="n">
        <f aca="false">J284-L284</f>
        <v>16.7</v>
      </c>
      <c r="O284" s="7" t="n">
        <f aca="false">O283+N284</f>
        <v>137.1</v>
      </c>
      <c r="P284" s="7" t="n">
        <v>245</v>
      </c>
      <c r="Q284" s="7" t="n">
        <v>1.15</v>
      </c>
      <c r="R284" s="15" t="n">
        <f aca="false">Q284*L284</f>
        <v>2.185</v>
      </c>
      <c r="S284" s="15" t="n">
        <f aca="false">J284-R284</f>
        <v>16.415</v>
      </c>
      <c r="T284" s="15" t="n">
        <f aca="false">MIN(189.6,(T283+S284))</f>
        <v>119.969318181818</v>
      </c>
      <c r="U284" s="17" t="n">
        <f aca="false">AVERAGE(T275:T299)</f>
        <v>119.222318181818</v>
      </c>
      <c r="V284" s="16" t="n">
        <v>829.8</v>
      </c>
      <c r="W284" s="7" t="n">
        <f aca="false">V284/D284</f>
        <v>61.0147058823529</v>
      </c>
      <c r="X284" s="7" t="n">
        <f aca="false">X283+V284</f>
        <v>156185.5</v>
      </c>
      <c r="Y284" s="7" t="n">
        <f aca="false">Y283+V284</f>
        <v>13448.1</v>
      </c>
      <c r="AA284" s="7" t="n">
        <v>14.9315230992589</v>
      </c>
    </row>
    <row r="285" s="7" customFormat="true" ht="15" hidden="false" customHeight="false" outlineLevel="0" collapsed="false">
      <c r="A285" s="62"/>
      <c r="B285" s="11"/>
      <c r="C285" s="8" t="n">
        <v>41766</v>
      </c>
      <c r="D285" s="7" t="n">
        <v>11.8</v>
      </c>
      <c r="E285" s="7" t="n">
        <v>10.9</v>
      </c>
      <c r="F285" s="7" t="n">
        <v>13.8</v>
      </c>
      <c r="G285" s="7" t="n">
        <f aca="false">G284+D285</f>
        <v>2143.4</v>
      </c>
      <c r="H285" s="48" t="n">
        <f aca="false">H284+D285</f>
        <v>124.6</v>
      </c>
      <c r="I285" s="65" t="s">
        <v>41</v>
      </c>
      <c r="J285" s="7" t="n">
        <v>0.5</v>
      </c>
      <c r="K285" s="7" t="n">
        <f aca="false">K284+J285</f>
        <v>516.8</v>
      </c>
      <c r="L285" s="7" t="n">
        <v>1.9</v>
      </c>
      <c r="M285" s="7" t="n">
        <f aca="false">M284+L285</f>
        <v>297.8</v>
      </c>
      <c r="N285" s="14" t="n">
        <f aca="false">J285-L285</f>
        <v>-1.4</v>
      </c>
      <c r="O285" s="7" t="n">
        <f aca="false">O284+N285</f>
        <v>135.7</v>
      </c>
      <c r="P285" s="7" t="n">
        <v>246</v>
      </c>
      <c r="Q285" s="7" t="n">
        <v>1.15</v>
      </c>
      <c r="R285" s="15" t="n">
        <f aca="false">Q285*L285</f>
        <v>2.185</v>
      </c>
      <c r="S285" s="15" t="n">
        <f aca="false">J285-R285</f>
        <v>-1.685</v>
      </c>
      <c r="T285" s="15" t="n">
        <f aca="false">MIN(189.6,(T284+S285))</f>
        <v>118.284318181818</v>
      </c>
      <c r="V285" s="7" t="n">
        <v>1144.7</v>
      </c>
      <c r="W285" s="7" t="n">
        <f aca="false">V285/D285</f>
        <v>97.0084745762712</v>
      </c>
      <c r="X285" s="7" t="n">
        <f aca="false">X284+V285</f>
        <v>157330.2</v>
      </c>
      <c r="Y285" s="7" t="n">
        <f aca="false">Y284+V285</f>
        <v>14592.8</v>
      </c>
      <c r="AA285" s="7" t="n">
        <v>14.9831261492678</v>
      </c>
    </row>
    <row r="286" s="7" customFormat="true" ht="15" hidden="false" customHeight="false" outlineLevel="0" collapsed="false">
      <c r="A286" s="62"/>
      <c r="B286" s="11"/>
      <c r="C286" s="8" t="n">
        <v>41767</v>
      </c>
      <c r="D286" s="7" t="n">
        <v>11.9</v>
      </c>
      <c r="E286" s="7" t="n">
        <v>8.6</v>
      </c>
      <c r="F286" s="7" t="n">
        <v>13.6</v>
      </c>
      <c r="G286" s="7" t="n">
        <f aca="false">G285+D286</f>
        <v>2155.3</v>
      </c>
      <c r="H286" s="48" t="n">
        <f aca="false">H285+D286</f>
        <v>136.5</v>
      </c>
      <c r="I286" s="7" t="n">
        <v>1</v>
      </c>
      <c r="J286" s="7" t="n">
        <v>12.7</v>
      </c>
      <c r="K286" s="7" t="n">
        <f aca="false">K285+J286</f>
        <v>529.5</v>
      </c>
      <c r="L286" s="7" t="n">
        <v>0.9</v>
      </c>
      <c r="M286" s="7" t="n">
        <f aca="false">M285+L286</f>
        <v>298.7</v>
      </c>
      <c r="N286" s="7" t="n">
        <f aca="false">J286-L286</f>
        <v>11.8</v>
      </c>
      <c r="O286" s="7" t="n">
        <f aca="false">O285+N286</f>
        <v>147.5</v>
      </c>
      <c r="P286" s="7" t="n">
        <v>247</v>
      </c>
      <c r="Q286" s="7" t="n">
        <v>1.15</v>
      </c>
      <c r="R286" s="15" t="n">
        <f aca="false">Q286*L286</f>
        <v>1.035</v>
      </c>
      <c r="S286" s="15" t="n">
        <f aca="false">J286-R286</f>
        <v>11.665</v>
      </c>
      <c r="T286" s="15" t="n">
        <f aca="false">MIN(189.6,(T285+S286))</f>
        <v>129.949318181818</v>
      </c>
      <c r="U286" s="15" t="n">
        <f aca="false">(U284*100)/189.6</f>
        <v>62.8809695051784</v>
      </c>
      <c r="V286" s="16" t="n">
        <v>571.7</v>
      </c>
      <c r="W286" s="7" t="n">
        <f aca="false">V286/D286</f>
        <v>48.0420168067227</v>
      </c>
      <c r="X286" s="7" t="n">
        <f aca="false">X285+V286</f>
        <v>157901.9</v>
      </c>
      <c r="Y286" s="7" t="n">
        <f aca="false">Y285+V286</f>
        <v>15164.5</v>
      </c>
      <c r="AA286" s="7" t="n">
        <v>15.0341518526344</v>
      </c>
    </row>
    <row r="287" s="7" customFormat="true" ht="15" hidden="false" customHeight="false" outlineLevel="0" collapsed="false">
      <c r="A287" s="62"/>
      <c r="B287" s="11"/>
      <c r="C287" s="8" t="n">
        <v>41768</v>
      </c>
      <c r="D287" s="7" t="n">
        <v>12.7</v>
      </c>
      <c r="E287" s="7" t="n">
        <v>11.2</v>
      </c>
      <c r="F287" s="7" t="n">
        <v>15.3</v>
      </c>
      <c r="G287" s="7" t="n">
        <f aca="false">G286+D287</f>
        <v>2168</v>
      </c>
      <c r="H287" s="48" t="n">
        <f aca="false">H286+D287</f>
        <v>149.2</v>
      </c>
      <c r="I287" s="65" t="s">
        <v>43</v>
      </c>
      <c r="J287" s="7" t="n">
        <v>0</v>
      </c>
      <c r="K287" s="7" t="n">
        <f aca="false">K286+J287</f>
        <v>529.5</v>
      </c>
      <c r="L287" s="7" t="n">
        <v>2.5</v>
      </c>
      <c r="M287" s="7" t="n">
        <f aca="false">M286+L287</f>
        <v>301.2</v>
      </c>
      <c r="N287" s="14" t="n">
        <f aca="false">J287-L287</f>
        <v>-2.5</v>
      </c>
      <c r="O287" s="7" t="n">
        <f aca="false">O286+N287</f>
        <v>145</v>
      </c>
      <c r="P287" s="7" t="n">
        <v>248</v>
      </c>
      <c r="Q287" s="7" t="n">
        <v>1.15</v>
      </c>
      <c r="R287" s="15" t="n">
        <f aca="false">Q287*L287</f>
        <v>2.875</v>
      </c>
      <c r="S287" s="15" t="n">
        <f aca="false">J287-R287</f>
        <v>-2.875</v>
      </c>
      <c r="T287" s="15" t="n">
        <f aca="false">MIN(189.6,(T286+S287))</f>
        <v>127.074318181818</v>
      </c>
      <c r="V287" s="7" t="n">
        <v>1404.3</v>
      </c>
      <c r="W287" s="7" t="n">
        <f aca="false">V287/D287</f>
        <v>110.574803149606</v>
      </c>
      <c r="X287" s="7" t="n">
        <f aca="false">X286+V287</f>
        <v>159306.2</v>
      </c>
      <c r="Y287" s="7" t="n">
        <f aca="false">Y286+V287</f>
        <v>16568.8</v>
      </c>
      <c r="AA287" s="7" t="n">
        <v>15.0845769859628</v>
      </c>
    </row>
    <row r="288" s="7" customFormat="true" ht="15" hidden="false" customHeight="false" outlineLevel="0" collapsed="false">
      <c r="A288" s="62"/>
      <c r="B288" s="11"/>
      <c r="C288" s="8" t="n">
        <v>41769</v>
      </c>
      <c r="D288" s="7" t="n">
        <v>12</v>
      </c>
      <c r="E288" s="7" t="n">
        <v>8.7</v>
      </c>
      <c r="F288" s="7" t="n">
        <v>14.1</v>
      </c>
      <c r="G288" s="7" t="n">
        <f aca="false">G287+D288</f>
        <v>2180</v>
      </c>
      <c r="H288" s="48" t="n">
        <f aca="false">H287+D288</f>
        <v>161.2</v>
      </c>
      <c r="I288" s="7" t="n">
        <v>305.6</v>
      </c>
      <c r="J288" s="7" t="n">
        <v>6.6</v>
      </c>
      <c r="K288" s="7" t="n">
        <f aca="false">K287+J288</f>
        <v>536.1</v>
      </c>
      <c r="L288" s="7" t="n">
        <v>1</v>
      </c>
      <c r="M288" s="7" t="n">
        <f aca="false">M287+L288</f>
        <v>302.2</v>
      </c>
      <c r="N288" s="7" t="n">
        <f aca="false">J288-L288</f>
        <v>5.6</v>
      </c>
      <c r="O288" s="7" t="n">
        <f aca="false">O287+N288</f>
        <v>150.6</v>
      </c>
      <c r="P288" s="7" t="n">
        <v>249</v>
      </c>
      <c r="Q288" s="7" t="n">
        <v>1.15</v>
      </c>
      <c r="R288" s="15" t="n">
        <f aca="false">Q288*L288</f>
        <v>1.15</v>
      </c>
      <c r="S288" s="15" t="n">
        <f aca="false">J288-R288</f>
        <v>5.45</v>
      </c>
      <c r="T288" s="15" t="n">
        <f aca="false">MIN(189.6,(T287+S288))</f>
        <v>132.524318181818</v>
      </c>
      <c r="V288" s="16" t="n">
        <v>584.4</v>
      </c>
      <c r="W288" s="7" t="n">
        <f aca="false">V288/D288</f>
        <v>48.7</v>
      </c>
      <c r="X288" s="7" t="n">
        <f aca="false">X287+V288</f>
        <v>159890.6</v>
      </c>
      <c r="Y288" s="7" t="n">
        <f aca="false">Y287+V288</f>
        <v>17153.2</v>
      </c>
      <c r="AA288" s="7" t="n">
        <v>15.1343777844481</v>
      </c>
    </row>
    <row r="289" s="7" customFormat="true" ht="15" hidden="false" customHeight="false" outlineLevel="0" collapsed="false">
      <c r="A289" s="62"/>
      <c r="B289" s="11"/>
      <c r="C289" s="8" t="n">
        <v>41770</v>
      </c>
      <c r="D289" s="7" t="n">
        <v>10.6</v>
      </c>
      <c r="E289" s="7" t="n">
        <v>9</v>
      </c>
      <c r="F289" s="7" t="n">
        <v>12.9</v>
      </c>
      <c r="G289" s="7" t="n">
        <f aca="false">G288+D289</f>
        <v>2190.6</v>
      </c>
      <c r="H289" s="48" t="n">
        <f aca="false">H288+D289</f>
        <v>171.8</v>
      </c>
      <c r="J289" s="7" t="n">
        <v>1.8</v>
      </c>
      <c r="K289" s="7" t="n">
        <f aca="false">K288+J289</f>
        <v>537.9</v>
      </c>
      <c r="L289" s="7" t="n">
        <v>2.5</v>
      </c>
      <c r="M289" s="7" t="n">
        <f aca="false">M288+L289</f>
        <v>304.7</v>
      </c>
      <c r="N289" s="14" t="n">
        <f aca="false">J289-L289</f>
        <v>-0.7</v>
      </c>
      <c r="O289" s="7" t="n">
        <f aca="false">O288+N289</f>
        <v>149.9</v>
      </c>
      <c r="P289" s="7" t="n">
        <v>250</v>
      </c>
      <c r="Q289" s="7" t="n">
        <v>1.15</v>
      </c>
      <c r="R289" s="15" t="n">
        <f aca="false">Q289*L289</f>
        <v>2.875</v>
      </c>
      <c r="S289" s="15" t="n">
        <f aca="false">J289-R289</f>
        <v>-1.075</v>
      </c>
      <c r="T289" s="15" t="n">
        <f aca="false">MIN(189.6,(T288+S289))</f>
        <v>131.449318181818</v>
      </c>
      <c r="V289" s="7" t="n">
        <v>1655.6</v>
      </c>
      <c r="W289" s="7" t="n">
        <f aca="false">V289/D289</f>
        <v>156.188679245283</v>
      </c>
      <c r="X289" s="7" t="n">
        <f aca="false">X288+V289</f>
        <v>161546.2</v>
      </c>
      <c r="Y289" s="7" t="n">
        <f aca="false">Y288+V289</f>
        <v>18808.8</v>
      </c>
      <c r="AA289" s="7" t="n">
        <v>15.1835299572792</v>
      </c>
    </row>
    <row r="290" s="7" customFormat="true" ht="15" hidden="false" customHeight="false" outlineLevel="0" collapsed="false">
      <c r="A290" s="62"/>
      <c r="B290" s="11"/>
      <c r="C290" s="8" t="n">
        <v>41771</v>
      </c>
      <c r="D290" s="7" t="n">
        <v>9.7</v>
      </c>
      <c r="E290" s="7" t="n">
        <v>7.8</v>
      </c>
      <c r="F290" s="7" t="n">
        <v>12</v>
      </c>
      <c r="G290" s="7" t="n">
        <f aca="false">G289+D290</f>
        <v>2200.3</v>
      </c>
      <c r="H290" s="48" t="n">
        <f aca="false">H289+D290</f>
        <v>181.5</v>
      </c>
      <c r="J290" s="7" t="n">
        <v>4</v>
      </c>
      <c r="K290" s="7" t="n">
        <f aca="false">K289+J290</f>
        <v>541.9</v>
      </c>
      <c r="L290" s="7" t="n">
        <v>1.6</v>
      </c>
      <c r="M290" s="7" t="n">
        <f aca="false">M289+L290</f>
        <v>306.3</v>
      </c>
      <c r="N290" s="7" t="n">
        <f aca="false">J290-L290</f>
        <v>2.4</v>
      </c>
      <c r="O290" s="7" t="n">
        <f aca="false">O289+N290</f>
        <v>152.3</v>
      </c>
      <c r="P290" s="7" t="n">
        <v>251</v>
      </c>
      <c r="Q290" s="7" t="n">
        <v>1.15</v>
      </c>
      <c r="R290" s="15" t="n">
        <f aca="false">Q290*L290</f>
        <v>1.84</v>
      </c>
      <c r="S290" s="15" t="n">
        <f aca="false">J290-R290</f>
        <v>2.16</v>
      </c>
      <c r="T290" s="15" t="n">
        <f aca="false">MIN(189.6,(T289+S290))</f>
        <v>133.609318181818</v>
      </c>
      <c r="V290" s="7" t="n">
        <v>1085.7</v>
      </c>
      <c r="W290" s="7" t="n">
        <f aca="false">V290/D290</f>
        <v>111.927835051546</v>
      </c>
      <c r="X290" s="7" t="n">
        <f aca="false">X289+V290</f>
        <v>162631.9</v>
      </c>
      <c r="Y290" s="7" t="n">
        <f aca="false">Y289+V290</f>
        <v>19894.5</v>
      </c>
      <c r="AA290" s="7" t="n">
        <v>15.2320087057244</v>
      </c>
    </row>
    <row r="291" s="7" customFormat="true" ht="15" hidden="false" customHeight="false" outlineLevel="0" collapsed="false">
      <c r="A291" s="62"/>
      <c r="B291" s="11"/>
      <c r="C291" s="8" t="n">
        <v>41772</v>
      </c>
      <c r="D291" s="7" t="n">
        <v>9.7</v>
      </c>
      <c r="E291" s="7" t="n">
        <v>6.4</v>
      </c>
      <c r="F291" s="7" t="n">
        <v>13</v>
      </c>
      <c r="G291" s="7" t="n">
        <f aca="false">G290+D291</f>
        <v>2210</v>
      </c>
      <c r="H291" s="48" t="n">
        <f aca="false">H290+D291</f>
        <v>191.2</v>
      </c>
      <c r="J291" s="7" t="n">
        <v>3.4</v>
      </c>
      <c r="K291" s="7" t="n">
        <f aca="false">K290+J291</f>
        <v>545.3</v>
      </c>
      <c r="L291" s="7" t="n">
        <v>1.7</v>
      </c>
      <c r="M291" s="7" t="n">
        <f aca="false">M290+L291</f>
        <v>308</v>
      </c>
      <c r="N291" s="7" t="n">
        <f aca="false">J291-L291</f>
        <v>1.7</v>
      </c>
      <c r="O291" s="7" t="n">
        <f aca="false">O290+N291</f>
        <v>154</v>
      </c>
      <c r="P291" s="7" t="n">
        <v>252</v>
      </c>
      <c r="Q291" s="7" t="n">
        <v>1.15</v>
      </c>
      <c r="R291" s="15" t="n">
        <f aca="false">Q291*L291</f>
        <v>1.955</v>
      </c>
      <c r="S291" s="15" t="n">
        <f aca="false">J291-R291</f>
        <v>1.445</v>
      </c>
      <c r="T291" s="15" t="n">
        <f aca="false">MIN(189.6,(T290+S291))</f>
        <v>135.054318181818</v>
      </c>
      <c r="V291" s="7" t="n">
        <v>1353.4</v>
      </c>
      <c r="W291" s="7" t="n">
        <f aca="false">V291/D291</f>
        <v>139.525773195876</v>
      </c>
      <c r="X291" s="7" t="n">
        <f aca="false">X290+V291</f>
        <v>163985.3</v>
      </c>
      <c r="Y291" s="7" t="n">
        <f aca="false">Y290+V291</f>
        <v>21247.9</v>
      </c>
      <c r="AA291" s="7" t="n">
        <v>15.2797887440146</v>
      </c>
    </row>
    <row r="292" s="7" customFormat="true" ht="15" hidden="false" customHeight="false" outlineLevel="0" collapsed="false">
      <c r="A292" s="62"/>
      <c r="B292" s="11"/>
      <c r="C292" s="8" t="n">
        <v>41773</v>
      </c>
      <c r="D292" s="7" t="n">
        <v>10.5</v>
      </c>
      <c r="E292" s="7" t="n">
        <v>5.8</v>
      </c>
      <c r="F292" s="7" t="n">
        <v>15.7</v>
      </c>
      <c r="G292" s="7" t="n">
        <f aca="false">G291+D292</f>
        <v>2220.5</v>
      </c>
      <c r="H292" s="48" t="n">
        <f aca="false">H291+D292</f>
        <v>201.7</v>
      </c>
      <c r="J292" s="7" t="n">
        <v>0</v>
      </c>
      <c r="K292" s="7" t="n">
        <f aca="false">K291+J292</f>
        <v>545.3</v>
      </c>
      <c r="L292" s="7" t="n">
        <v>2.6</v>
      </c>
      <c r="M292" s="7" t="n">
        <f aca="false">M291+L292</f>
        <v>310.6</v>
      </c>
      <c r="N292" s="14" t="n">
        <f aca="false">J292-L292</f>
        <v>-2.6</v>
      </c>
      <c r="O292" s="7" t="n">
        <f aca="false">O291+N292</f>
        <v>151.4</v>
      </c>
      <c r="P292" s="7" t="n">
        <v>253</v>
      </c>
      <c r="Q292" s="7" t="n">
        <v>1.15</v>
      </c>
      <c r="R292" s="15" t="n">
        <f aca="false">Q292*L292</f>
        <v>2.99</v>
      </c>
      <c r="S292" s="15" t="n">
        <f aca="false">J292-R292</f>
        <v>-2.99</v>
      </c>
      <c r="T292" s="15" t="n">
        <f aca="false">MIN(189.6,(T291+S292))</f>
        <v>132.064318181818</v>
      </c>
      <c r="V292" s="7" t="n">
        <v>1661.4</v>
      </c>
      <c r="W292" s="7" t="n">
        <f aca="false">V292/D292</f>
        <v>158.228571428571</v>
      </c>
      <c r="X292" s="7" t="n">
        <f aca="false">X291+V292</f>
        <v>165646.7</v>
      </c>
      <c r="Y292" s="7" t="n">
        <f aca="false">Y291+V292</f>
        <v>22909.3</v>
      </c>
      <c r="AA292" s="7" t="n">
        <v>15.3268443231302</v>
      </c>
    </row>
    <row r="293" s="7" customFormat="true" ht="15" hidden="false" customHeight="false" outlineLevel="0" collapsed="false">
      <c r="A293" s="62"/>
      <c r="B293" s="11"/>
      <c r="C293" s="8" t="n">
        <v>41774</v>
      </c>
      <c r="D293" s="7" t="n">
        <v>10.4</v>
      </c>
      <c r="E293" s="7" t="n">
        <v>5.5</v>
      </c>
      <c r="F293" s="7" t="n">
        <v>14.6</v>
      </c>
      <c r="G293" s="7" t="n">
        <f aca="false">G292+D293</f>
        <v>2230.9</v>
      </c>
      <c r="H293" s="48" t="n">
        <f aca="false">H292+D293</f>
        <v>212.1</v>
      </c>
      <c r="J293" s="7" t="n">
        <v>0</v>
      </c>
      <c r="K293" s="7" t="n">
        <f aca="false">K292+J293</f>
        <v>545.3</v>
      </c>
      <c r="L293" s="7" t="n">
        <v>3.1</v>
      </c>
      <c r="M293" s="7" t="n">
        <f aca="false">M292+L293</f>
        <v>313.7</v>
      </c>
      <c r="N293" s="14" t="n">
        <f aca="false">J293-L293</f>
        <v>-3.1</v>
      </c>
      <c r="O293" s="7" t="n">
        <f aca="false">O292+N293</f>
        <v>148.3</v>
      </c>
      <c r="P293" s="7" t="n">
        <v>254</v>
      </c>
      <c r="Q293" s="7" t="n">
        <v>1.15</v>
      </c>
      <c r="R293" s="15" t="n">
        <f aca="false">Q293*L293</f>
        <v>3.565</v>
      </c>
      <c r="S293" s="15" t="n">
        <f aca="false">J293-R293</f>
        <v>-3.565</v>
      </c>
      <c r="T293" s="15" t="n">
        <f aca="false">MIN(189.6,(T292+S293))</f>
        <v>128.499318181818</v>
      </c>
      <c r="V293" s="7" t="n">
        <v>2320.2</v>
      </c>
      <c r="W293" s="7" t="n">
        <f aca="false">V293/D293</f>
        <v>223.096153846154</v>
      </c>
      <c r="X293" s="7" t="n">
        <f aca="false">X292+V293</f>
        <v>167966.9</v>
      </c>
      <c r="Y293" s="7" t="n">
        <f aca="false">Y292+V293</f>
        <v>25229.5</v>
      </c>
      <c r="AA293" s="7" t="n">
        <v>15.3731492575923</v>
      </c>
    </row>
    <row r="294" s="7" customFormat="true" ht="15" hidden="false" customHeight="false" outlineLevel="0" collapsed="false">
      <c r="A294" s="62"/>
      <c r="B294" s="11"/>
      <c r="C294" s="8" t="n">
        <v>41775</v>
      </c>
      <c r="D294" s="7" t="n">
        <v>12.4</v>
      </c>
      <c r="E294" s="7" t="n">
        <v>6.4</v>
      </c>
      <c r="F294" s="7" t="n">
        <v>17</v>
      </c>
      <c r="G294" s="7" t="n">
        <f aca="false">G293+D294</f>
        <v>2243.3</v>
      </c>
      <c r="H294" s="48" t="n">
        <f aca="false">H293+D294</f>
        <v>224.5</v>
      </c>
      <c r="J294" s="7" t="n">
        <v>0</v>
      </c>
      <c r="K294" s="7" t="n">
        <f aca="false">K293+J294</f>
        <v>545.3</v>
      </c>
      <c r="L294" s="7" t="n">
        <v>3.6</v>
      </c>
      <c r="M294" s="7" t="n">
        <f aca="false">M293+L294</f>
        <v>317.3</v>
      </c>
      <c r="N294" s="14" t="n">
        <f aca="false">J294-L294</f>
        <v>-3.6</v>
      </c>
      <c r="O294" s="7" t="n">
        <f aca="false">O293+N294</f>
        <v>144.7</v>
      </c>
      <c r="P294" s="7" t="n">
        <v>255</v>
      </c>
      <c r="Q294" s="7" t="n">
        <v>1.15</v>
      </c>
      <c r="R294" s="15" t="n">
        <f aca="false">Q294*L294</f>
        <v>4.14</v>
      </c>
      <c r="S294" s="15" t="n">
        <f aca="false">J294-R294</f>
        <v>-4.14</v>
      </c>
      <c r="T294" s="15" t="n">
        <f aca="false">MIN(189.6,(T293+S294))</f>
        <v>124.359318181818</v>
      </c>
      <c r="V294" s="7" t="n">
        <v>2534.9</v>
      </c>
      <c r="W294" s="7" t="n">
        <f aca="false">V294/D294</f>
        <v>204.427419354839</v>
      </c>
      <c r="X294" s="7" t="n">
        <f aca="false">X293+V294</f>
        <v>170501.8</v>
      </c>
      <c r="Y294" s="7" t="n">
        <f aca="false">Y293+V294</f>
        <v>27764.4</v>
      </c>
      <c r="AA294" s="7" t="n">
        <v>15.4186769553468</v>
      </c>
    </row>
    <row r="295" s="7" customFormat="true" ht="15" hidden="false" customHeight="false" outlineLevel="0" collapsed="false">
      <c r="A295" s="62"/>
      <c r="B295" s="11"/>
      <c r="C295" s="8" t="n">
        <v>41776</v>
      </c>
      <c r="D295" s="7" t="n">
        <v>14.5</v>
      </c>
      <c r="E295" s="7" t="n">
        <v>8.9</v>
      </c>
      <c r="F295" s="7" t="n">
        <v>19.4</v>
      </c>
      <c r="G295" s="7" t="n">
        <f aca="false">G294+D295</f>
        <v>2257.8</v>
      </c>
      <c r="H295" s="48" t="n">
        <f aca="false">H294+D295</f>
        <v>239</v>
      </c>
      <c r="J295" s="7" t="n">
        <v>0</v>
      </c>
      <c r="K295" s="7" t="n">
        <f aca="false">K294+J295</f>
        <v>545.3</v>
      </c>
      <c r="L295" s="7" t="n">
        <v>4.2</v>
      </c>
      <c r="M295" s="7" t="n">
        <f aca="false">M294+L295</f>
        <v>321.5</v>
      </c>
      <c r="N295" s="14" t="n">
        <f aca="false">J295-L295</f>
        <v>-4.2</v>
      </c>
      <c r="O295" s="7" t="n">
        <f aca="false">O294+N295</f>
        <v>140.5</v>
      </c>
      <c r="P295" s="7" t="n">
        <v>256</v>
      </c>
      <c r="Q295" s="7" t="n">
        <v>1.15</v>
      </c>
      <c r="R295" s="15" t="n">
        <f aca="false">Q295*L295</f>
        <v>4.83</v>
      </c>
      <c r="S295" s="15" t="n">
        <f aca="false">J295-R295</f>
        <v>-4.83</v>
      </c>
      <c r="T295" s="15" t="n">
        <f aca="false">MIN(189.6,(T294+S295))</f>
        <v>119.529318181818</v>
      </c>
      <c r="V295" s="7" t="n">
        <v>2653.9</v>
      </c>
      <c r="W295" s="7" t="n">
        <f aca="false">V295/D295</f>
        <v>183.027586206897</v>
      </c>
      <c r="X295" s="7" t="n">
        <f aca="false">X294+V295</f>
        <v>173155.7</v>
      </c>
      <c r="Y295" s="7" t="n">
        <f aca="false">Y294+V295</f>
        <v>30418.3</v>
      </c>
      <c r="AA295" s="7" t="n">
        <v>15.4634004508182</v>
      </c>
    </row>
    <row r="296" s="7" customFormat="true" ht="15" hidden="false" customHeight="false" outlineLevel="0" collapsed="false">
      <c r="A296" s="62"/>
      <c r="B296" s="11"/>
      <c r="C296" s="8" t="n">
        <v>41777</v>
      </c>
      <c r="D296" s="7" t="n">
        <v>16.8</v>
      </c>
      <c r="E296" s="7" t="n">
        <v>10.2</v>
      </c>
      <c r="F296" s="7" t="n">
        <v>21.9</v>
      </c>
      <c r="G296" s="7" t="n">
        <f aca="false">G295+D296</f>
        <v>2274.6</v>
      </c>
      <c r="H296" s="48" t="n">
        <f aca="false">H295+D296</f>
        <v>255.8</v>
      </c>
      <c r="J296" s="7" t="n">
        <v>0</v>
      </c>
      <c r="K296" s="7" t="n">
        <f aca="false">K295+J296</f>
        <v>545.3</v>
      </c>
      <c r="L296" s="7" t="n">
        <v>4.3</v>
      </c>
      <c r="M296" s="7" t="n">
        <f aca="false">M295+L296</f>
        <v>325.8</v>
      </c>
      <c r="N296" s="14" t="n">
        <f aca="false">J296-L296</f>
        <v>-4.3</v>
      </c>
      <c r="O296" s="7" t="n">
        <f aca="false">O295+N296</f>
        <v>136.2</v>
      </c>
      <c r="P296" s="7" t="n">
        <v>257</v>
      </c>
      <c r="Q296" s="7" t="n">
        <v>1.15</v>
      </c>
      <c r="R296" s="15" t="n">
        <f aca="false">Q296*L296</f>
        <v>4.945</v>
      </c>
      <c r="S296" s="15" t="n">
        <f aca="false">J296-R296</f>
        <v>-4.945</v>
      </c>
      <c r="T296" s="15" t="n">
        <f aca="false">MIN(189.6,(T295+S296))</f>
        <v>114.584318181818</v>
      </c>
      <c r="V296" s="7" t="n">
        <v>2648</v>
      </c>
      <c r="W296" s="7" t="n">
        <f aca="false">V296/D296</f>
        <v>157.619047619048</v>
      </c>
      <c r="X296" s="7" t="n">
        <f aca="false">X295+V296</f>
        <v>175803.7</v>
      </c>
      <c r="Y296" s="7" t="n">
        <f aca="false">Y295+V296</f>
        <v>33066.3</v>
      </c>
      <c r="AA296" s="7" t="n">
        <v>15.5072924411982</v>
      </c>
    </row>
    <row r="297" s="7" customFormat="true" ht="15" hidden="false" customHeight="false" outlineLevel="0" collapsed="false">
      <c r="A297" s="62"/>
      <c r="B297" s="11"/>
      <c r="C297" s="8" t="n">
        <v>41778</v>
      </c>
      <c r="D297" s="7" t="n">
        <v>18.8</v>
      </c>
      <c r="E297" s="7" t="n">
        <v>12.9</v>
      </c>
      <c r="F297" s="7" t="n">
        <v>24.4</v>
      </c>
      <c r="G297" s="7" t="n">
        <f aca="false">G296+D297</f>
        <v>2293.4</v>
      </c>
      <c r="H297" s="48" t="n">
        <f aca="false">H296+D297</f>
        <v>274.6</v>
      </c>
      <c r="J297" s="7" t="n">
        <v>0</v>
      </c>
      <c r="K297" s="7" t="n">
        <f aca="false">K296+J297</f>
        <v>545.3</v>
      </c>
      <c r="L297" s="7" t="n">
        <v>5.2</v>
      </c>
      <c r="M297" s="7" t="n">
        <f aca="false">M296+L297</f>
        <v>331</v>
      </c>
      <c r="N297" s="14" t="n">
        <f aca="false">J297-L297</f>
        <v>-5.2</v>
      </c>
      <c r="O297" s="7" t="n">
        <f aca="false">O296+N297</f>
        <v>131</v>
      </c>
      <c r="P297" s="7" t="n">
        <v>258</v>
      </c>
      <c r="Q297" s="7" t="n">
        <v>1.15</v>
      </c>
      <c r="R297" s="15" t="n">
        <f aca="false">Q297*L297</f>
        <v>5.98</v>
      </c>
      <c r="S297" s="15" t="n">
        <f aca="false">J297-R297</f>
        <v>-5.98</v>
      </c>
      <c r="T297" s="15" t="n">
        <f aca="false">MIN(189.6,(T296+S297))</f>
        <v>108.604318181818</v>
      </c>
      <c r="V297" s="7" t="n">
        <v>2667.8</v>
      </c>
      <c r="W297" s="7" t="n">
        <f aca="false">V297/D297</f>
        <v>141.904255319149</v>
      </c>
      <c r="X297" s="7" t="n">
        <f aca="false">X296+V297</f>
        <v>178471.5</v>
      </c>
      <c r="Y297" s="7" t="n">
        <f aca="false">Y296+V297</f>
        <v>35734.1</v>
      </c>
      <c r="AA297" s="7" t="n">
        <v>15.5503253260155</v>
      </c>
    </row>
    <row r="298" s="7" customFormat="true" ht="15" hidden="false" customHeight="false" outlineLevel="0" collapsed="false">
      <c r="A298" s="62"/>
      <c r="B298" s="11"/>
      <c r="C298" s="8" t="n">
        <v>41779</v>
      </c>
      <c r="D298" s="7" t="n">
        <v>16.2</v>
      </c>
      <c r="E298" s="7" t="n">
        <v>13.6</v>
      </c>
      <c r="F298" s="7" t="n">
        <v>21.7</v>
      </c>
      <c r="G298" s="7" t="n">
        <f aca="false">G297+D298</f>
        <v>2309.6</v>
      </c>
      <c r="H298" s="48" t="n">
        <f aca="false">H297+D298</f>
        <v>290.8</v>
      </c>
      <c r="J298" s="7" t="n">
        <v>11.5</v>
      </c>
      <c r="K298" s="7" t="n">
        <f aca="false">K297+J298</f>
        <v>556.8</v>
      </c>
      <c r="L298" s="7" t="n">
        <v>2.3</v>
      </c>
      <c r="M298" s="7" t="n">
        <f aca="false">M297+L298</f>
        <v>333.3</v>
      </c>
      <c r="N298" s="7" t="n">
        <f aca="false">J298-L298</f>
        <v>9.2</v>
      </c>
      <c r="O298" s="7" t="n">
        <f aca="false">O297+N298</f>
        <v>140.2</v>
      </c>
      <c r="P298" s="7" t="n">
        <v>259</v>
      </c>
      <c r="Q298" s="7" t="n">
        <v>1.15</v>
      </c>
      <c r="R298" s="15" t="n">
        <f aca="false">Q298*L298</f>
        <v>2.645</v>
      </c>
      <c r="S298" s="15" t="n">
        <f aca="false">J298-R298</f>
        <v>8.855</v>
      </c>
      <c r="T298" s="15" t="n">
        <f aca="false">MIN(189.6,(T297+S298))</f>
        <v>117.459318181818</v>
      </c>
      <c r="V298" s="16" t="n">
        <v>828.6</v>
      </c>
      <c r="W298" s="7" t="n">
        <f aca="false">V298/D298</f>
        <v>51.1481481481482</v>
      </c>
      <c r="X298" s="7" t="n">
        <f aca="false">X297+V298</f>
        <v>179300.1</v>
      </c>
      <c r="Y298" s="7" t="n">
        <f aca="false">Y297+V298</f>
        <v>36562.7</v>
      </c>
      <c r="AA298" s="7" t="n">
        <v>15.5924712500165</v>
      </c>
    </row>
    <row r="299" s="23" customFormat="true" ht="15" hidden="false" customHeight="false" outlineLevel="0" collapsed="false">
      <c r="A299" s="62"/>
      <c r="B299" s="20"/>
      <c r="C299" s="86" t="n">
        <v>41780</v>
      </c>
      <c r="D299" s="23" t="n">
        <v>14.8</v>
      </c>
      <c r="E299" s="23" t="n">
        <v>12.9</v>
      </c>
      <c r="F299" s="23" t="n">
        <v>17.7</v>
      </c>
      <c r="G299" s="23" t="n">
        <f aca="false">G298+D299</f>
        <v>2324.4</v>
      </c>
      <c r="H299" s="78" t="n">
        <f aca="false">H298+D299</f>
        <v>305.6</v>
      </c>
      <c r="J299" s="23" t="n">
        <v>15</v>
      </c>
      <c r="K299" s="23" t="n">
        <f aca="false">K298+J299</f>
        <v>571.8</v>
      </c>
      <c r="L299" s="23" t="n">
        <v>1.3</v>
      </c>
      <c r="M299" s="23" t="n">
        <f aca="false">M298+L299</f>
        <v>334.6</v>
      </c>
      <c r="N299" s="23" t="n">
        <f aca="false">J299-L299</f>
        <v>13.7</v>
      </c>
      <c r="O299" s="23" t="n">
        <f aca="false">O298+N299</f>
        <v>153.9</v>
      </c>
      <c r="P299" s="23" t="n">
        <v>260</v>
      </c>
      <c r="Q299" s="23" t="n">
        <v>1.15</v>
      </c>
      <c r="R299" s="24" t="n">
        <f aca="false">Q299*L299</f>
        <v>1.495</v>
      </c>
      <c r="S299" s="24" t="n">
        <f aca="false">J299-R299</f>
        <v>13.505</v>
      </c>
      <c r="T299" s="24" t="n">
        <f aca="false">MIN(189.6,(T298+S299))</f>
        <v>130.964318181818</v>
      </c>
      <c r="V299" s="87" t="n">
        <v>636.2</v>
      </c>
      <c r="W299" s="23" t="n">
        <f aca="false">V299/D299</f>
        <v>42.9864864864865</v>
      </c>
      <c r="X299" s="23" t="n">
        <f aca="false">X298+V299</f>
        <v>179936.3</v>
      </c>
      <c r="Y299" s="23" t="n">
        <f aca="false">Y298+V299</f>
        <v>37198.9</v>
      </c>
      <c r="AA299" s="23" t="n">
        <v>15.6337021493682</v>
      </c>
    </row>
    <row r="300" s="91" customFormat="true" ht="15" hidden="false" customHeight="false" outlineLevel="0" collapsed="false">
      <c r="A300" s="68" t="n">
        <v>600</v>
      </c>
      <c r="B300" s="89"/>
      <c r="C300" s="90" t="n">
        <v>41781</v>
      </c>
      <c r="D300" s="91" t="n">
        <v>14.9</v>
      </c>
      <c r="E300" s="91" t="n">
        <v>12.9</v>
      </c>
      <c r="F300" s="91" t="n">
        <v>18.6</v>
      </c>
      <c r="G300" s="91" t="n">
        <f aca="false">G299+D300</f>
        <v>2339.3</v>
      </c>
      <c r="H300" s="48" t="n">
        <f aca="false">D300</f>
        <v>14.9</v>
      </c>
      <c r="I300" s="69" t="s">
        <v>28</v>
      </c>
      <c r="J300" s="91" t="n">
        <v>2.2</v>
      </c>
      <c r="K300" s="91" t="n">
        <f aca="false">K299+J300</f>
        <v>574</v>
      </c>
      <c r="L300" s="91" t="n">
        <v>3</v>
      </c>
      <c r="M300" s="91" t="n">
        <f aca="false">M299+L300</f>
        <v>337.6</v>
      </c>
      <c r="N300" s="91" t="n">
        <f aca="false">J300-L300</f>
        <v>-0.8</v>
      </c>
      <c r="O300" s="48" t="n">
        <f aca="false">O299+N300</f>
        <v>153.1</v>
      </c>
      <c r="P300" s="48" t="n">
        <v>261</v>
      </c>
      <c r="Q300" s="17" t="n">
        <f aca="false">1.15+((P300-260)/58)*(0.35-1.15)</f>
        <v>1.13620689655172</v>
      </c>
      <c r="R300" s="49" t="n">
        <f aca="false">Q300*L300</f>
        <v>3.40862068965517</v>
      </c>
      <c r="S300" s="49" t="n">
        <f aca="false">J300-R300</f>
        <v>-1.20862068965517</v>
      </c>
      <c r="T300" s="49" t="n">
        <f aca="false">MIN(189.6,(T299+S300))</f>
        <v>129.755697492163</v>
      </c>
      <c r="U300" s="69" t="s">
        <v>35</v>
      </c>
      <c r="V300" s="91" t="n">
        <v>1750.5</v>
      </c>
      <c r="W300" s="91" t="n">
        <f aca="false">V300/D300</f>
        <v>117.48322147651</v>
      </c>
      <c r="X300" s="91" t="n">
        <f aca="false">X299+V300</f>
        <v>181686.8</v>
      </c>
      <c r="Y300" s="7" t="n">
        <f aca="false">V300</f>
        <v>1750.5</v>
      </c>
      <c r="Z300" s="69" t="s">
        <v>30</v>
      </c>
      <c r="AA300" s="48" t="n">
        <v>15.6739898011683</v>
      </c>
    </row>
    <row r="301" s="7" customFormat="true" ht="15" hidden="false" customHeight="true" outlineLevel="0" collapsed="false">
      <c r="A301" s="68"/>
      <c r="B301" s="11"/>
      <c r="C301" s="8" t="n">
        <v>41782</v>
      </c>
      <c r="D301" s="7" t="n">
        <v>14.1</v>
      </c>
      <c r="E301" s="7" t="n">
        <v>10.5</v>
      </c>
      <c r="F301" s="7" t="n">
        <v>17.3</v>
      </c>
      <c r="G301" s="7" t="n">
        <f aca="false">G300+D301</f>
        <v>2353.4</v>
      </c>
      <c r="H301" s="48" t="n">
        <f aca="false">H300+D301</f>
        <v>29</v>
      </c>
      <c r="I301" s="7" t="n">
        <f aca="false">MIN(E300:E319)</f>
        <v>7.4</v>
      </c>
      <c r="J301" s="7" t="n">
        <v>4</v>
      </c>
      <c r="K301" s="7" t="n">
        <f aca="false">K300+J301</f>
        <v>578</v>
      </c>
      <c r="L301" s="7" t="n">
        <v>2.9</v>
      </c>
      <c r="M301" s="7" t="n">
        <f aca="false">M300+L301</f>
        <v>340.5</v>
      </c>
      <c r="N301" s="7" t="n">
        <f aca="false">J301-L301</f>
        <v>1.1</v>
      </c>
      <c r="O301" s="7" t="n">
        <f aca="false">O300+N301</f>
        <v>154.2</v>
      </c>
      <c r="P301" s="7" t="n">
        <v>262</v>
      </c>
      <c r="Q301" s="17" t="n">
        <f aca="false">1.15+((P301-260)/58)*(0.35-1.15)</f>
        <v>1.12241379310345</v>
      </c>
      <c r="R301" s="15" t="n">
        <f aca="false">Q301*L301</f>
        <v>3.255</v>
      </c>
      <c r="S301" s="15" t="n">
        <f aca="false">J301-R301</f>
        <v>0.745000000000001</v>
      </c>
      <c r="T301" s="15" t="n">
        <f aca="false">MIN(189.6,(T300+S301))</f>
        <v>130.500697492163</v>
      </c>
      <c r="U301" s="7" t="n">
        <v>0</v>
      </c>
      <c r="V301" s="7" t="n">
        <v>1875.3</v>
      </c>
      <c r="W301" s="7" t="n">
        <f aca="false">V301/D301</f>
        <v>133</v>
      </c>
      <c r="X301" s="7" t="n">
        <f aca="false">X300+V301</f>
        <v>183562.1</v>
      </c>
      <c r="Y301" s="7" t="n">
        <f aca="false">Y300+V301</f>
        <v>3625.8</v>
      </c>
      <c r="Z301" s="7" t="n">
        <v>28883.1</v>
      </c>
      <c r="AA301" s="7" t="n">
        <v>15.7133058762291</v>
      </c>
    </row>
    <row r="302" s="7" customFormat="true" ht="15" hidden="false" customHeight="false" outlineLevel="0" collapsed="false">
      <c r="A302" s="68"/>
      <c r="B302" s="11"/>
      <c r="C302" s="8" t="n">
        <v>41783</v>
      </c>
      <c r="D302" s="7" t="n">
        <v>12.7</v>
      </c>
      <c r="E302" s="7" t="n">
        <v>10.9</v>
      </c>
      <c r="F302" s="7" t="n">
        <v>14.9</v>
      </c>
      <c r="G302" s="7" t="n">
        <f aca="false">G301+D302</f>
        <v>2366.1</v>
      </c>
      <c r="H302" s="48" t="n">
        <f aca="false">H301+D302</f>
        <v>41.7</v>
      </c>
      <c r="I302" s="69" t="s">
        <v>31</v>
      </c>
      <c r="J302" s="7" t="n">
        <v>2.6</v>
      </c>
      <c r="K302" s="7" t="n">
        <f aca="false">K301+J302</f>
        <v>580.6</v>
      </c>
      <c r="L302" s="7" t="n">
        <v>2</v>
      </c>
      <c r="M302" s="7" t="n">
        <f aca="false">M301+L302</f>
        <v>342.5</v>
      </c>
      <c r="N302" s="7" t="n">
        <f aca="false">J302-L302</f>
        <v>0.6</v>
      </c>
      <c r="O302" s="7" t="n">
        <f aca="false">O301+N302</f>
        <v>154.8</v>
      </c>
      <c r="P302" s="7" t="n">
        <v>263</v>
      </c>
      <c r="Q302" s="17" t="n">
        <f aca="false">1.15+((P302-260)/58)*(0.35-1.15)</f>
        <v>1.10862068965517</v>
      </c>
      <c r="R302" s="15" t="n">
        <f aca="false">Q302*L302</f>
        <v>2.21724137931034</v>
      </c>
      <c r="S302" s="15" t="n">
        <f aca="false">J302-R302</f>
        <v>0.382758620689656</v>
      </c>
      <c r="T302" s="15" t="n">
        <f aca="false">MIN(189.6,(T301+S302))</f>
        <v>130.883456112853</v>
      </c>
      <c r="U302" s="69" t="s">
        <v>38</v>
      </c>
      <c r="V302" s="7" t="n">
        <v>1144.6</v>
      </c>
      <c r="W302" s="7" t="n">
        <f aca="false">V302/D302</f>
        <v>90.1259842519685</v>
      </c>
      <c r="X302" s="7" t="n">
        <f aca="false">X301+V302</f>
        <v>184706.7</v>
      </c>
      <c r="Y302" s="7" t="n">
        <f aca="false">Y301+V302</f>
        <v>4770.4</v>
      </c>
      <c r="Z302" s="69" t="s">
        <v>33</v>
      </c>
      <c r="AA302" s="7" t="n">
        <v>15.7516219950701</v>
      </c>
    </row>
    <row r="303" s="7" customFormat="true" ht="15" hidden="false" customHeight="false" outlineLevel="0" collapsed="false">
      <c r="A303" s="68"/>
      <c r="B303" s="11"/>
      <c r="C303" s="8" t="n">
        <v>41784</v>
      </c>
      <c r="D303" s="7" t="n">
        <v>14.3</v>
      </c>
      <c r="E303" s="7" t="n">
        <v>9.3</v>
      </c>
      <c r="F303" s="7" t="n">
        <v>18.3</v>
      </c>
      <c r="G303" s="7" t="n">
        <f aca="false">G302+D303</f>
        <v>2380.4</v>
      </c>
      <c r="H303" s="48" t="n">
        <f aca="false">H302+D303</f>
        <v>56</v>
      </c>
      <c r="I303" s="7" t="n">
        <f aca="false">MAX(F300:F319)</f>
        <v>25.5</v>
      </c>
      <c r="J303" s="7" t="n">
        <v>0.9</v>
      </c>
      <c r="K303" s="7" t="n">
        <f aca="false">K302+J303</f>
        <v>581.5</v>
      </c>
      <c r="L303" s="7" t="n">
        <v>2.4</v>
      </c>
      <c r="M303" s="7" t="n">
        <f aca="false">M302+L303</f>
        <v>344.9</v>
      </c>
      <c r="N303" s="14" t="n">
        <f aca="false">J303-L303</f>
        <v>-1.5</v>
      </c>
      <c r="O303" s="7" t="n">
        <f aca="false">O302+N303</f>
        <v>153.3</v>
      </c>
      <c r="P303" s="7" t="n">
        <v>264</v>
      </c>
      <c r="Q303" s="17" t="n">
        <f aca="false">1.15+((P303-260)/58)*(0.35-1.15)</f>
        <v>1.0948275862069</v>
      </c>
      <c r="R303" s="15" t="n">
        <f aca="false">Q303*L303</f>
        <v>2.62758620689655</v>
      </c>
      <c r="S303" s="15" t="n">
        <f aca="false">J303-R303</f>
        <v>-1.72758620689655</v>
      </c>
      <c r="T303" s="15" t="n">
        <f aca="false">MIN(189.6,(T302+S303))</f>
        <v>129.155869905956</v>
      </c>
      <c r="U303" s="7" t="n">
        <v>0</v>
      </c>
      <c r="V303" s="7" t="n">
        <v>1625.2</v>
      </c>
      <c r="W303" s="7" t="n">
        <f aca="false">V303/D303</f>
        <v>113.65034965035</v>
      </c>
      <c r="X303" s="7" t="n">
        <f aca="false">X302+V303</f>
        <v>186331.9</v>
      </c>
      <c r="Y303" s="7" t="n">
        <f aca="false">Y302+V303</f>
        <v>6395.6</v>
      </c>
      <c r="Z303" s="17" t="n">
        <f aca="false">(Z301/100)/I313</f>
        <v>0.953237623762376</v>
      </c>
      <c r="AA303" s="7" t="n">
        <v>15.7889097870295</v>
      </c>
    </row>
    <row r="304" s="7" customFormat="true" ht="15" hidden="false" customHeight="false" outlineLevel="0" collapsed="false">
      <c r="A304" s="68"/>
      <c r="B304" s="11"/>
      <c r="C304" s="8" t="n">
        <v>41785</v>
      </c>
      <c r="D304" s="7" t="n">
        <v>12.9</v>
      </c>
      <c r="E304" s="7" t="n">
        <v>11.4</v>
      </c>
      <c r="F304" s="7" t="n">
        <v>14.2</v>
      </c>
      <c r="G304" s="7" t="n">
        <f aca="false">G303+D304</f>
        <v>2393.3</v>
      </c>
      <c r="H304" s="48" t="n">
        <f aca="false">H303+D304</f>
        <v>68.9</v>
      </c>
      <c r="I304" s="69" t="s">
        <v>34</v>
      </c>
      <c r="J304" s="7" t="n">
        <v>8.2</v>
      </c>
      <c r="K304" s="7" t="n">
        <f aca="false">K303+J304</f>
        <v>589.7</v>
      </c>
      <c r="L304" s="7" t="n">
        <v>1.2</v>
      </c>
      <c r="M304" s="7" t="n">
        <f aca="false">M303+L304</f>
        <v>346.1</v>
      </c>
      <c r="N304" s="7" t="n">
        <f aca="false">J304-L304</f>
        <v>7</v>
      </c>
      <c r="O304" s="7" t="n">
        <f aca="false">O303+N304</f>
        <v>160.3</v>
      </c>
      <c r="P304" s="7" t="n">
        <v>265</v>
      </c>
      <c r="Q304" s="17" t="n">
        <f aca="false">1.15+((P304-260)/58)*(0.35-1.15)</f>
        <v>1.08103448275862</v>
      </c>
      <c r="R304" s="15" t="n">
        <f aca="false">Q304*L304</f>
        <v>1.29724137931034</v>
      </c>
      <c r="S304" s="15" t="n">
        <f aca="false">J304-R304</f>
        <v>6.90275862068966</v>
      </c>
      <c r="T304" s="15" t="n">
        <f aca="false">MIN(189.6,(T303+S304))</f>
        <v>136.058628526646</v>
      </c>
      <c r="U304" s="69" t="s">
        <v>40</v>
      </c>
      <c r="V304" s="16" t="n">
        <v>680.9</v>
      </c>
      <c r="W304" s="7" t="n">
        <f aca="false">V304/D304</f>
        <v>52.7829457364341</v>
      </c>
      <c r="X304" s="7" t="n">
        <f aca="false">X303+V304</f>
        <v>187012.8</v>
      </c>
      <c r="Y304" s="7" t="n">
        <f aca="false">Y303+V304</f>
        <v>7076.5</v>
      </c>
      <c r="Z304" s="69" t="s">
        <v>36</v>
      </c>
      <c r="AA304" s="7" t="n">
        <v>15.825140952375</v>
      </c>
    </row>
    <row r="305" s="7" customFormat="true" ht="15" hidden="false" customHeight="false" outlineLevel="0" collapsed="false">
      <c r="A305" s="68"/>
      <c r="B305" s="11"/>
      <c r="C305" s="8" t="n">
        <v>41786</v>
      </c>
      <c r="D305" s="7" t="n">
        <v>13.5</v>
      </c>
      <c r="E305" s="7" t="n">
        <v>12.9</v>
      </c>
      <c r="F305" s="7" t="n">
        <v>15.3</v>
      </c>
      <c r="G305" s="7" t="n">
        <f aca="false">G304+D305</f>
        <v>2406.8</v>
      </c>
      <c r="H305" s="48" t="n">
        <f aca="false">H304+D305</f>
        <v>82.4</v>
      </c>
      <c r="I305" s="15" t="n">
        <f aca="false">AVERAGE(D300:D319)</f>
        <v>15.15</v>
      </c>
      <c r="J305" s="7" t="n">
        <v>0</v>
      </c>
      <c r="K305" s="7" t="n">
        <f aca="false">K304+J305</f>
        <v>589.7</v>
      </c>
      <c r="L305" s="7" t="n">
        <v>1.3</v>
      </c>
      <c r="M305" s="7" t="n">
        <f aca="false">M304+L305</f>
        <v>347.4</v>
      </c>
      <c r="N305" s="14" t="n">
        <f aca="false">J305-L305</f>
        <v>-1.3</v>
      </c>
      <c r="O305" s="7" t="n">
        <f aca="false">O304+N305</f>
        <v>159</v>
      </c>
      <c r="P305" s="7" t="n">
        <v>266</v>
      </c>
      <c r="Q305" s="17" t="n">
        <f aca="false">1.15+((P305-260)/58)*(0.35-1.15)</f>
        <v>1.06724137931034</v>
      </c>
      <c r="R305" s="15" t="n">
        <f aca="false">Q305*L305</f>
        <v>1.38741379310345</v>
      </c>
      <c r="S305" s="15" t="n">
        <f aca="false">J305-R305</f>
        <v>-1.38741379310345</v>
      </c>
      <c r="T305" s="15" t="n">
        <f aca="false">MIN(189.6,(T304+S305))</f>
        <v>134.671214733542</v>
      </c>
      <c r="U305" s="15" t="n">
        <f aca="false">MIN(T300:T319)</f>
        <v>119.923973354232</v>
      </c>
      <c r="V305" s="16" t="n">
        <v>580.7</v>
      </c>
      <c r="W305" s="7" t="n">
        <f aca="false">V305/D305</f>
        <v>43.0148148148148</v>
      </c>
      <c r="X305" s="7" t="n">
        <f aca="false">X304+V305</f>
        <v>187593.5</v>
      </c>
      <c r="Y305" s="7" t="n">
        <f aca="false">Y304+V305</f>
        <v>7657.2</v>
      </c>
      <c r="Z305" s="7" t="n">
        <v>5</v>
      </c>
      <c r="AA305" s="7" t="n">
        <v>15.8602873272624</v>
      </c>
    </row>
    <row r="306" s="7" customFormat="true" ht="15" hidden="false" customHeight="false" outlineLevel="0" collapsed="false">
      <c r="A306" s="68"/>
      <c r="B306" s="11"/>
      <c r="C306" s="8" t="n">
        <v>41787</v>
      </c>
      <c r="D306" s="7" t="n">
        <v>12.6</v>
      </c>
      <c r="E306" s="7" t="n">
        <v>12.2</v>
      </c>
      <c r="F306" s="7" t="n">
        <v>13.3</v>
      </c>
      <c r="G306" s="7" t="n">
        <f aca="false">G305+D306</f>
        <v>2419.4</v>
      </c>
      <c r="H306" s="48" t="n">
        <f aca="false">H305+D306</f>
        <v>95</v>
      </c>
      <c r="I306" s="69" t="s">
        <v>37</v>
      </c>
      <c r="J306" s="7" t="n">
        <v>0.3</v>
      </c>
      <c r="K306" s="7" t="n">
        <f aca="false">K305+J306</f>
        <v>590</v>
      </c>
      <c r="L306" s="7" t="n">
        <v>1.4</v>
      </c>
      <c r="M306" s="7" t="n">
        <f aca="false">M305+L306</f>
        <v>348.8</v>
      </c>
      <c r="N306" s="14" t="n">
        <f aca="false">J306-L306</f>
        <v>-1.1</v>
      </c>
      <c r="O306" s="7" t="n">
        <f aca="false">O305+N306</f>
        <v>157.9</v>
      </c>
      <c r="P306" s="7" t="n">
        <v>267</v>
      </c>
      <c r="Q306" s="17" t="n">
        <f aca="false">1.15+((P306-260)/58)*(0.35-1.15)</f>
        <v>1.05344827586207</v>
      </c>
      <c r="R306" s="15" t="n">
        <f aca="false">Q306*L306</f>
        <v>1.4748275862069</v>
      </c>
      <c r="S306" s="15" t="n">
        <f aca="false">J306-R306</f>
        <v>-1.1748275862069</v>
      </c>
      <c r="T306" s="15" t="n">
        <f aca="false">MIN(189.6,(T305+S306))</f>
        <v>133.496387147335</v>
      </c>
      <c r="U306" s="69" t="s">
        <v>42</v>
      </c>
      <c r="V306" s="16" t="n">
        <v>833.3</v>
      </c>
      <c r="W306" s="7" t="n">
        <f aca="false">V306/D306</f>
        <v>66.1349206349206</v>
      </c>
      <c r="X306" s="7" t="n">
        <f aca="false">X305+V306</f>
        <v>188426.8</v>
      </c>
      <c r="Y306" s="7" t="n">
        <f aca="false">Y305+V306</f>
        <v>8490.5</v>
      </c>
      <c r="AA306" s="7" t="n">
        <v>15.8943209513573</v>
      </c>
    </row>
    <row r="307" s="7" customFormat="true" ht="15" hidden="false" customHeight="false" outlineLevel="0" collapsed="false">
      <c r="A307" s="68"/>
      <c r="B307" s="11"/>
      <c r="C307" s="8" t="n">
        <v>41788</v>
      </c>
      <c r="D307" s="7" t="n">
        <v>14.6</v>
      </c>
      <c r="E307" s="7" t="n">
        <v>11.8</v>
      </c>
      <c r="F307" s="7" t="n">
        <v>17.9</v>
      </c>
      <c r="G307" s="7" t="n">
        <f aca="false">G306+D307</f>
        <v>2434</v>
      </c>
      <c r="H307" s="48" t="n">
        <f aca="false">H306+D307</f>
        <v>109.6</v>
      </c>
      <c r="I307" s="7" t="n">
        <v>0</v>
      </c>
      <c r="J307" s="7" t="n">
        <v>0</v>
      </c>
      <c r="K307" s="7" t="n">
        <f aca="false">K306+J307</f>
        <v>590</v>
      </c>
      <c r="L307" s="7" t="n">
        <v>2.3</v>
      </c>
      <c r="M307" s="7" t="n">
        <f aca="false">M306+L307</f>
        <v>351.1</v>
      </c>
      <c r="N307" s="14" t="n">
        <f aca="false">J307-L307</f>
        <v>-2.3</v>
      </c>
      <c r="O307" s="7" t="n">
        <f aca="false">O306+N307</f>
        <v>155.6</v>
      </c>
      <c r="P307" s="7" t="n">
        <v>268</v>
      </c>
      <c r="Q307" s="17" t="n">
        <f aca="false">1.15+((P307-260)/58)*(0.35-1.15)</f>
        <v>1.03965517241379</v>
      </c>
      <c r="R307" s="15" t="n">
        <f aca="false">Q307*L307</f>
        <v>2.39120689655172</v>
      </c>
      <c r="S307" s="15" t="n">
        <f aca="false">J307-R307</f>
        <v>-2.39120689655172</v>
      </c>
      <c r="T307" s="15" t="n">
        <f aca="false">MIN(189.6,(T306+S307))</f>
        <v>131.105180250784</v>
      </c>
      <c r="U307" s="15" t="n">
        <f aca="false">MAX(T300:T319)</f>
        <v>148.269318181818</v>
      </c>
      <c r="V307" s="7" t="n">
        <v>1279.1</v>
      </c>
      <c r="W307" s="7" t="n">
        <f aca="false">V307/D307</f>
        <v>87.6095890410959</v>
      </c>
      <c r="X307" s="7" t="n">
        <f aca="false">X306+V307</f>
        <v>189705.9</v>
      </c>
      <c r="Y307" s="7" t="n">
        <f aca="false">Y306+V307</f>
        <v>9769.6</v>
      </c>
      <c r="AA307" s="7" t="n">
        <v>15.9272141379056</v>
      </c>
    </row>
    <row r="308" s="7" customFormat="true" ht="15" hidden="false" customHeight="false" outlineLevel="0" collapsed="false">
      <c r="A308" s="68"/>
      <c r="B308" s="11"/>
      <c r="C308" s="8" t="n">
        <v>41789</v>
      </c>
      <c r="D308" s="7" t="n">
        <v>15</v>
      </c>
      <c r="E308" s="7" t="n">
        <v>12.4</v>
      </c>
      <c r="F308" s="7" t="n">
        <v>18.3</v>
      </c>
      <c r="G308" s="7" t="n">
        <f aca="false">G307+D308</f>
        <v>2449</v>
      </c>
      <c r="H308" s="48" t="n">
        <f aca="false">H307+D308</f>
        <v>124.6</v>
      </c>
      <c r="I308" s="69" t="s">
        <v>39</v>
      </c>
      <c r="J308" s="7" t="n">
        <v>0</v>
      </c>
      <c r="K308" s="7" t="n">
        <f aca="false">K307+J308</f>
        <v>590</v>
      </c>
      <c r="L308" s="7" t="n">
        <v>3.4</v>
      </c>
      <c r="M308" s="7" t="n">
        <f aca="false">M307+L308</f>
        <v>354.5</v>
      </c>
      <c r="N308" s="14" t="n">
        <f aca="false">J308-L308</f>
        <v>-3.4</v>
      </c>
      <c r="O308" s="7" t="n">
        <f aca="false">O307+N308</f>
        <v>152.2</v>
      </c>
      <c r="P308" s="7" t="n">
        <v>269</v>
      </c>
      <c r="Q308" s="17" t="n">
        <f aca="false">1.15+((P308-260)/58)*(0.35-1.15)</f>
        <v>1.02586206896552</v>
      </c>
      <c r="R308" s="15" t="n">
        <f aca="false">Q308*L308</f>
        <v>3.48793103448276</v>
      </c>
      <c r="S308" s="15" t="n">
        <f aca="false">J308-R308</f>
        <v>-3.48793103448276</v>
      </c>
      <c r="T308" s="15" t="n">
        <f aca="false">MIN(189.6,(T307+S308))</f>
        <v>127.617249216301</v>
      </c>
      <c r="U308" s="69" t="s">
        <v>44</v>
      </c>
      <c r="V308" s="7" t="n">
        <v>2064.3</v>
      </c>
      <c r="W308" s="7" t="n">
        <f aca="false">V308/D308</f>
        <v>137.62</v>
      </c>
      <c r="X308" s="7" t="n">
        <f aca="false">X307+V308</f>
        <v>191770.2</v>
      </c>
      <c r="Y308" s="7" t="n">
        <f aca="false">Y307+V308</f>
        <v>11833.9</v>
      </c>
      <c r="AA308" s="7" t="n">
        <v>15.9589395459995</v>
      </c>
    </row>
    <row r="309" s="7" customFormat="true" ht="15" hidden="false" customHeight="false" outlineLevel="0" collapsed="false">
      <c r="A309" s="68"/>
      <c r="B309" s="11"/>
      <c r="C309" s="8" t="n">
        <v>41790</v>
      </c>
      <c r="D309" s="7" t="n">
        <v>13.4</v>
      </c>
      <c r="E309" s="7" t="n">
        <v>10.7</v>
      </c>
      <c r="F309" s="7" t="n">
        <v>18</v>
      </c>
      <c r="G309" s="7" t="n">
        <f aca="false">G308+D309</f>
        <v>2462.4</v>
      </c>
      <c r="H309" s="48" t="n">
        <f aca="false">H308+D309</f>
        <v>138</v>
      </c>
      <c r="I309" s="7" t="n">
        <v>2</v>
      </c>
      <c r="J309" s="7" t="n">
        <v>0</v>
      </c>
      <c r="K309" s="7" t="n">
        <f aca="false">K308+J309</f>
        <v>590</v>
      </c>
      <c r="L309" s="7" t="n">
        <v>3.3</v>
      </c>
      <c r="M309" s="7" t="n">
        <f aca="false">M308+L309</f>
        <v>357.8</v>
      </c>
      <c r="N309" s="14" t="n">
        <f aca="false">J309-L309</f>
        <v>-3.3</v>
      </c>
      <c r="O309" s="7" t="n">
        <f aca="false">O308+N309</f>
        <v>148.9</v>
      </c>
      <c r="P309" s="7" t="n">
        <v>270</v>
      </c>
      <c r="Q309" s="17" t="n">
        <f aca="false">1.15+((P309-260)/58)*(0.35-1.15)</f>
        <v>1.01206896551724</v>
      </c>
      <c r="R309" s="15" t="n">
        <f aca="false">Q309*L309</f>
        <v>3.3398275862069</v>
      </c>
      <c r="S309" s="15" t="n">
        <f aca="false">J309-R309</f>
        <v>-3.3398275862069</v>
      </c>
      <c r="T309" s="15" t="n">
        <f aca="false">MIN(189.6,(T308+S309))</f>
        <v>124.277421630094</v>
      </c>
      <c r="U309" s="17" t="n">
        <f aca="false">AVERAGE(T300:T319)</f>
        <v>131.876663009404</v>
      </c>
      <c r="V309" s="7" t="n">
        <v>1917.2</v>
      </c>
      <c r="W309" s="7" t="n">
        <f aca="false">V309/D309</f>
        <v>143.074626865672</v>
      </c>
      <c r="X309" s="7" t="n">
        <f aca="false">X308+V309</f>
        <v>193687.4</v>
      </c>
      <c r="Y309" s="7" t="n">
        <f aca="false">Y308+V309</f>
        <v>13751.1</v>
      </c>
      <c r="AA309" s="7" t="n">
        <v>15.9894702547585</v>
      </c>
    </row>
    <row r="310" s="7" customFormat="true" ht="15" hidden="false" customHeight="false" outlineLevel="0" collapsed="false">
      <c r="A310" s="68"/>
      <c r="B310" s="11"/>
      <c r="C310" s="8" t="n">
        <v>41791</v>
      </c>
      <c r="D310" s="7" t="n">
        <v>12.7</v>
      </c>
      <c r="E310" s="7" t="n">
        <v>7.4</v>
      </c>
      <c r="F310" s="7" t="n">
        <v>17.4</v>
      </c>
      <c r="G310" s="7" t="n">
        <f aca="false">G309+D310</f>
        <v>2475.1</v>
      </c>
      <c r="H310" s="48" t="n">
        <f aca="false">H309+D310</f>
        <v>150.7</v>
      </c>
      <c r="I310" s="69" t="s">
        <v>41</v>
      </c>
      <c r="J310" s="7" t="n">
        <v>0</v>
      </c>
      <c r="K310" s="7" t="n">
        <f aca="false">K309+J310</f>
        <v>590</v>
      </c>
      <c r="L310" s="7" t="n">
        <v>1.8</v>
      </c>
      <c r="M310" s="7" t="n">
        <f aca="false">M309+L310</f>
        <v>359.6</v>
      </c>
      <c r="N310" s="14" t="n">
        <f aca="false">J310-L310</f>
        <v>-1.8</v>
      </c>
      <c r="O310" s="7" t="n">
        <f aca="false">O309+N310</f>
        <v>147.1</v>
      </c>
      <c r="P310" s="7" t="n">
        <v>271</v>
      </c>
      <c r="Q310" s="17" t="n">
        <f aca="false">1.15+((P310-260)/58)*(0.35-1.15)</f>
        <v>0.998275862068966</v>
      </c>
      <c r="R310" s="15" t="n">
        <f aca="false">Q310*L310</f>
        <v>1.79689655172414</v>
      </c>
      <c r="S310" s="15" t="n">
        <f aca="false">J310-R310</f>
        <v>-1.79689655172414</v>
      </c>
      <c r="T310" s="15" t="n">
        <f aca="false">MIN(189.6,(T309+S310))</f>
        <v>122.48052507837</v>
      </c>
      <c r="V310" s="7" t="n">
        <v>1138.1</v>
      </c>
      <c r="W310" s="7" t="n">
        <f aca="false">V310/D310</f>
        <v>89.6141732283465</v>
      </c>
      <c r="X310" s="7" t="n">
        <f aca="false">X309+V310</f>
        <v>194825.5</v>
      </c>
      <c r="Y310" s="7" t="n">
        <f aca="false">Y309+V310</f>
        <v>14889.2</v>
      </c>
      <c r="AA310" s="7" t="n">
        <v>16.0187798391047</v>
      </c>
    </row>
    <row r="311" s="7" customFormat="true" ht="15" hidden="false" customHeight="false" outlineLevel="0" collapsed="false">
      <c r="A311" s="68"/>
      <c r="B311" s="11"/>
      <c r="C311" s="8" t="n">
        <v>41792</v>
      </c>
      <c r="D311" s="7" t="n">
        <v>14</v>
      </c>
      <c r="E311" s="7" t="n">
        <v>9</v>
      </c>
      <c r="F311" s="7" t="n">
        <v>18.1</v>
      </c>
      <c r="G311" s="7" t="n">
        <f aca="false">G310+D311</f>
        <v>2489.1</v>
      </c>
      <c r="H311" s="48" t="n">
        <f aca="false">H310+D311</f>
        <v>164.7</v>
      </c>
      <c r="I311" s="7" t="n">
        <v>0</v>
      </c>
      <c r="J311" s="7" t="n">
        <v>0.2</v>
      </c>
      <c r="K311" s="7" t="n">
        <f aca="false">K310+J311</f>
        <v>590.2</v>
      </c>
      <c r="L311" s="7" t="n">
        <v>2.8</v>
      </c>
      <c r="M311" s="7" t="n">
        <f aca="false">M310+L311</f>
        <v>362.4</v>
      </c>
      <c r="N311" s="14" t="n">
        <f aca="false">J311-L311</f>
        <v>-2.6</v>
      </c>
      <c r="O311" s="7" t="n">
        <f aca="false">O310+N311</f>
        <v>144.5</v>
      </c>
      <c r="P311" s="7" t="n">
        <v>272</v>
      </c>
      <c r="Q311" s="17" t="n">
        <f aca="false">1.15+((P311-260)/58)*(0.35-1.15)</f>
        <v>0.98448275862069</v>
      </c>
      <c r="R311" s="15" t="n">
        <f aca="false">Q311*L311</f>
        <v>2.75655172413793</v>
      </c>
      <c r="S311" s="15" t="n">
        <f aca="false">J311-R311</f>
        <v>-2.55655172413793</v>
      </c>
      <c r="T311" s="15" t="n">
        <f aca="false">MIN(189.6,(T310+S311))</f>
        <v>119.923973354232</v>
      </c>
      <c r="U311" s="15" t="n">
        <f aca="false">(U309*100)/189.6</f>
        <v>69.5552020091795</v>
      </c>
      <c r="V311" s="7" t="n">
        <v>1872.2</v>
      </c>
      <c r="W311" s="7" t="n">
        <f aca="false">V311/D311</f>
        <v>133.728571428571</v>
      </c>
      <c r="X311" s="7" t="n">
        <f aca="false">X310+V311</f>
        <v>196697.7</v>
      </c>
      <c r="Y311" s="7" t="n">
        <f aca="false">Y310+V311</f>
        <v>16761.4</v>
      </c>
      <c r="AA311" s="7" t="n">
        <v>16.0468424467846</v>
      </c>
    </row>
    <row r="312" s="7" customFormat="true" ht="15" hidden="false" customHeight="false" outlineLevel="0" collapsed="false">
      <c r="A312" s="68"/>
      <c r="B312" s="11"/>
      <c r="C312" s="8" t="n">
        <v>41793</v>
      </c>
      <c r="D312" s="7" t="n">
        <v>14.8</v>
      </c>
      <c r="E312" s="7" t="n">
        <v>11.9</v>
      </c>
      <c r="F312" s="7" t="n">
        <v>16.9</v>
      </c>
      <c r="G312" s="7" t="n">
        <f aca="false">G311+D312</f>
        <v>2503.9</v>
      </c>
      <c r="H312" s="48" t="n">
        <f aca="false">H311+D312</f>
        <v>179.5</v>
      </c>
      <c r="I312" s="69" t="s">
        <v>43</v>
      </c>
      <c r="J312" s="7" t="n">
        <v>8.8</v>
      </c>
      <c r="K312" s="7" t="n">
        <f aca="false">K311+J312</f>
        <v>599</v>
      </c>
      <c r="L312" s="7" t="n">
        <v>1.5</v>
      </c>
      <c r="M312" s="7" t="n">
        <f aca="false">M311+L312</f>
        <v>363.9</v>
      </c>
      <c r="N312" s="7" t="n">
        <f aca="false">J312-L312</f>
        <v>7.3</v>
      </c>
      <c r="O312" s="7" t="n">
        <f aca="false">O311+N312</f>
        <v>151.8</v>
      </c>
      <c r="P312" s="7" t="n">
        <v>273</v>
      </c>
      <c r="Q312" s="17" t="n">
        <f aca="false">1.15+((P312-260)/58)*(0.35-1.15)</f>
        <v>0.970689655172414</v>
      </c>
      <c r="R312" s="15" t="n">
        <f aca="false">Q312*L312</f>
        <v>1.45603448275862</v>
      </c>
      <c r="S312" s="15" t="n">
        <f aca="false">J312-R312</f>
        <v>7.34396551724138</v>
      </c>
      <c r="T312" s="15" t="n">
        <f aca="false">MIN(189.6,(T311+S312))</f>
        <v>127.267938871473</v>
      </c>
      <c r="V312" s="7" t="n">
        <v>1008.1</v>
      </c>
      <c r="W312" s="7" t="n">
        <f aca="false">V312/D312</f>
        <v>68.1148648648649</v>
      </c>
      <c r="X312" s="7" t="n">
        <f aca="false">X311+V312</f>
        <v>197705.8</v>
      </c>
      <c r="Y312" s="7" t="n">
        <f aca="false">Y311+V312</f>
        <v>17769.5</v>
      </c>
      <c r="AA312" s="7" t="n">
        <v>16.073632876256</v>
      </c>
    </row>
    <row r="313" s="7" customFormat="true" ht="15" hidden="false" customHeight="false" outlineLevel="0" collapsed="false">
      <c r="A313" s="68"/>
      <c r="B313" s="11"/>
      <c r="C313" s="8" t="n">
        <v>41794</v>
      </c>
      <c r="D313" s="7" t="n">
        <v>13.1</v>
      </c>
      <c r="E313" s="7" t="n">
        <v>12.8</v>
      </c>
      <c r="F313" s="7" t="n">
        <v>16.4</v>
      </c>
      <c r="G313" s="7" t="n">
        <f aca="false">G312+D313</f>
        <v>2517</v>
      </c>
      <c r="H313" s="48" t="n">
        <f aca="false">H312+D313</f>
        <v>192.6</v>
      </c>
      <c r="I313" s="7" t="n">
        <v>303</v>
      </c>
      <c r="J313" s="7" t="n">
        <v>14.3</v>
      </c>
      <c r="K313" s="7" t="n">
        <f aca="false">K312+J313</f>
        <v>613.3</v>
      </c>
      <c r="L313" s="7" t="n">
        <v>1.9</v>
      </c>
      <c r="M313" s="7" t="n">
        <f aca="false">M312+L313</f>
        <v>365.8</v>
      </c>
      <c r="N313" s="7" t="n">
        <f aca="false">J313-L313</f>
        <v>12.4</v>
      </c>
      <c r="O313" s="7" t="n">
        <f aca="false">O312+N313</f>
        <v>164.2</v>
      </c>
      <c r="P313" s="7" t="n">
        <v>274</v>
      </c>
      <c r="Q313" s="17" t="n">
        <f aca="false">1.15+((P313-260)/58)*(0.35-1.15)</f>
        <v>0.956896551724138</v>
      </c>
      <c r="R313" s="15" t="n">
        <f aca="false">Q313*L313</f>
        <v>1.81810344827586</v>
      </c>
      <c r="S313" s="15" t="n">
        <f aca="false">J313-R313</f>
        <v>12.4818965517241</v>
      </c>
      <c r="T313" s="15" t="n">
        <f aca="false">MIN(189.6,(T312+S313))</f>
        <v>139.749835423198</v>
      </c>
      <c r="V313" s="16" t="n">
        <v>886.7</v>
      </c>
      <c r="W313" s="7" t="n">
        <f aca="false">V313/D313</f>
        <v>67.6870229007634</v>
      </c>
      <c r="X313" s="7" t="n">
        <f aca="false">X312+V313</f>
        <v>198592.5</v>
      </c>
      <c r="Y313" s="7" t="n">
        <f aca="false">Y312+V313</f>
        <v>18656.2</v>
      </c>
      <c r="AA313" s="7" t="n">
        <v>16.0991266550297</v>
      </c>
    </row>
    <row r="314" s="7" customFormat="true" ht="15" hidden="false" customHeight="false" outlineLevel="0" collapsed="false">
      <c r="A314" s="68"/>
      <c r="B314" s="11"/>
      <c r="C314" s="8" t="n">
        <v>41795</v>
      </c>
      <c r="D314" s="7" t="n">
        <v>13.3</v>
      </c>
      <c r="E314" s="7" t="n">
        <v>7.5</v>
      </c>
      <c r="F314" s="7" t="n">
        <v>17.7</v>
      </c>
      <c r="G314" s="7" t="n">
        <f aca="false">G313+D314</f>
        <v>2530.3</v>
      </c>
      <c r="H314" s="48" t="n">
        <f aca="false">H313+D314</f>
        <v>205.9</v>
      </c>
      <c r="J314" s="7" t="n">
        <v>0</v>
      </c>
      <c r="K314" s="7" t="n">
        <f aca="false">K313+J314</f>
        <v>613.3</v>
      </c>
      <c r="L314" s="7" t="n">
        <v>2.8</v>
      </c>
      <c r="M314" s="7" t="n">
        <f aca="false">M313+L314</f>
        <v>368.6</v>
      </c>
      <c r="N314" s="14" t="n">
        <f aca="false">J314-L314</f>
        <v>-2.8</v>
      </c>
      <c r="O314" s="7" t="n">
        <f aca="false">O313+N314</f>
        <v>161.4</v>
      </c>
      <c r="P314" s="7" t="n">
        <v>275</v>
      </c>
      <c r="Q314" s="17" t="n">
        <f aca="false">1.15+((P314-260)/58)*(0.35-1.15)</f>
        <v>0.943103448275862</v>
      </c>
      <c r="R314" s="15" t="n">
        <f aca="false">Q314*L314</f>
        <v>2.64068965517241</v>
      </c>
      <c r="S314" s="15" t="n">
        <f aca="false">J314-R314</f>
        <v>-2.64068965517241</v>
      </c>
      <c r="T314" s="15" t="n">
        <f aca="false">MIN(189.6,(T313+S314))</f>
        <v>137.109145768025</v>
      </c>
      <c r="V314" s="7" t="n">
        <v>1859.6</v>
      </c>
      <c r="W314" s="7" t="n">
        <f aca="false">V314/D314</f>
        <v>139.81954887218</v>
      </c>
      <c r="X314" s="7" t="n">
        <f aca="false">X313+V314</f>
        <v>200452.1</v>
      </c>
      <c r="Y314" s="7" t="n">
        <f aca="false">Y313+V314</f>
        <v>20515.8</v>
      </c>
      <c r="AA314" s="7" t="n">
        <v>16.1233001180291</v>
      </c>
    </row>
    <row r="315" s="7" customFormat="true" ht="15" hidden="false" customHeight="false" outlineLevel="0" collapsed="false">
      <c r="A315" s="68"/>
      <c r="B315" s="11"/>
      <c r="C315" s="8" t="n">
        <v>41796</v>
      </c>
      <c r="D315" s="7" t="n">
        <v>18</v>
      </c>
      <c r="E315" s="7" t="n">
        <v>9.6</v>
      </c>
      <c r="F315" s="7" t="n">
        <v>23.4</v>
      </c>
      <c r="G315" s="7" t="n">
        <f aca="false">G314+D315</f>
        <v>2548.3</v>
      </c>
      <c r="H315" s="48" t="n">
        <f aca="false">H314+D315</f>
        <v>223.9</v>
      </c>
      <c r="J315" s="7" t="n">
        <v>0</v>
      </c>
      <c r="K315" s="7" t="n">
        <f aca="false">K314+J315</f>
        <v>613.3</v>
      </c>
      <c r="L315" s="7" t="n">
        <v>4.4</v>
      </c>
      <c r="M315" s="7" t="n">
        <f aca="false">M314+L315</f>
        <v>373</v>
      </c>
      <c r="N315" s="14" t="n">
        <f aca="false">J315-L315</f>
        <v>-4.4</v>
      </c>
      <c r="O315" s="7" t="n">
        <f aca="false">O314+N315</f>
        <v>157</v>
      </c>
      <c r="P315" s="7" t="n">
        <v>276</v>
      </c>
      <c r="Q315" s="17" t="n">
        <f aca="false">1.15+((P315-260)/58)*(0.35-1.15)</f>
        <v>0.929310344827586</v>
      </c>
      <c r="R315" s="15" t="n">
        <f aca="false">Q315*L315</f>
        <v>4.08896551724138</v>
      </c>
      <c r="S315" s="15" t="n">
        <f aca="false">J315-R315</f>
        <v>-4.08896551724138</v>
      </c>
      <c r="T315" s="15" t="n">
        <f aca="false">MIN(189.6,(T314+S315))</f>
        <v>133.020180250784</v>
      </c>
      <c r="V315" s="7" t="n">
        <v>2721.1</v>
      </c>
      <c r="W315" s="7" t="n">
        <f aca="false">V315/D315</f>
        <v>151.172222222222</v>
      </c>
      <c r="X315" s="7" t="n">
        <f aca="false">X314+V315</f>
        <v>203173.2</v>
      </c>
      <c r="Y315" s="7" t="n">
        <f aca="false">Y314+V315</f>
        <v>23236.9</v>
      </c>
      <c r="AA315" s="7" t="n">
        <v>16.1461304855085</v>
      </c>
    </row>
    <row r="316" s="7" customFormat="true" ht="15" hidden="false" customHeight="false" outlineLevel="0" collapsed="false">
      <c r="A316" s="68"/>
      <c r="B316" s="11"/>
      <c r="C316" s="8" t="n">
        <v>41797</v>
      </c>
      <c r="D316" s="7" t="n">
        <v>20.7</v>
      </c>
      <c r="E316" s="7" t="n">
        <v>15.7</v>
      </c>
      <c r="F316" s="12" t="n">
        <v>25.5</v>
      </c>
      <c r="G316" s="7" t="n">
        <f aca="false">G315+D316</f>
        <v>2569</v>
      </c>
      <c r="H316" s="48" t="n">
        <f aca="false">H315+D316</f>
        <v>244.6</v>
      </c>
      <c r="J316" s="7" t="n">
        <v>1.7</v>
      </c>
      <c r="K316" s="7" t="n">
        <f aca="false">K315+J316</f>
        <v>615</v>
      </c>
      <c r="L316" s="7" t="n">
        <v>3.6</v>
      </c>
      <c r="M316" s="7" t="n">
        <f aca="false">M315+L316</f>
        <v>376.6</v>
      </c>
      <c r="N316" s="14" t="n">
        <f aca="false">J316-L316</f>
        <v>-1.9</v>
      </c>
      <c r="O316" s="7" t="n">
        <f aca="false">O315+N316</f>
        <v>155.1</v>
      </c>
      <c r="P316" s="7" t="n">
        <v>277</v>
      </c>
      <c r="Q316" s="17" t="n">
        <f aca="false">1.15+((P316-260)/58)*(0.35-1.15)</f>
        <v>0.91551724137931</v>
      </c>
      <c r="R316" s="15" t="n">
        <f aca="false">Q316*L316</f>
        <v>3.29586206896552</v>
      </c>
      <c r="S316" s="15" t="n">
        <f aca="false">J316-R316</f>
        <v>-1.59586206896552</v>
      </c>
      <c r="T316" s="15" t="n">
        <f aca="false">MIN(189.6,(T315+S316))</f>
        <v>131.424318181818</v>
      </c>
      <c r="V316" s="7" t="n">
        <v>1911.6</v>
      </c>
      <c r="W316" s="7" t="n">
        <f aca="false">V316/D316</f>
        <v>92.3478260869565</v>
      </c>
      <c r="X316" s="7" t="n">
        <f aca="false">X315+V316</f>
        <v>205084.8</v>
      </c>
      <c r="Y316" s="7" t="n">
        <f aca="false">Y315+V316</f>
        <v>25148.5</v>
      </c>
      <c r="AA316" s="7" t="n">
        <v>16.167595940049</v>
      </c>
    </row>
    <row r="317" s="7" customFormat="true" ht="15" hidden="false" customHeight="false" outlineLevel="0" collapsed="false">
      <c r="A317" s="68"/>
      <c r="B317" s="11"/>
      <c r="C317" s="8" t="n">
        <v>41798</v>
      </c>
      <c r="D317" s="7" t="n">
        <v>19.9</v>
      </c>
      <c r="E317" s="7" t="n">
        <v>14.5</v>
      </c>
      <c r="F317" s="12" t="n">
        <v>25.2</v>
      </c>
      <c r="G317" s="7" t="n">
        <f aca="false">G316+D317</f>
        <v>2588.9</v>
      </c>
      <c r="H317" s="48" t="n">
        <f aca="false">H316+D317</f>
        <v>264.5</v>
      </c>
      <c r="J317" s="7" t="n">
        <v>1.5</v>
      </c>
      <c r="K317" s="7" t="n">
        <f aca="false">K316+J317</f>
        <v>616.5</v>
      </c>
      <c r="L317" s="7" t="n">
        <v>3.3</v>
      </c>
      <c r="M317" s="7" t="n">
        <f aca="false">M316+L317</f>
        <v>379.9</v>
      </c>
      <c r="N317" s="14" t="n">
        <f aca="false">J317-L317</f>
        <v>-1.8</v>
      </c>
      <c r="O317" s="7" t="n">
        <f aca="false">O316+N317</f>
        <v>153.3</v>
      </c>
      <c r="P317" s="7" t="n">
        <v>278</v>
      </c>
      <c r="Q317" s="17" t="n">
        <f aca="false">1.15+((P317-260)/58)*(0.35-1.15)</f>
        <v>0.901724137931034</v>
      </c>
      <c r="R317" s="15" t="n">
        <f aca="false">Q317*L317</f>
        <v>2.97568965517241</v>
      </c>
      <c r="S317" s="15" t="n">
        <f aca="false">J317-R317</f>
        <v>-1.47568965517241</v>
      </c>
      <c r="T317" s="15" t="n">
        <f aca="false">MIN(189.6,(T316+S317))</f>
        <v>129.948628526646</v>
      </c>
      <c r="V317" s="7" t="n">
        <v>1692</v>
      </c>
      <c r="W317" s="7" t="n">
        <f aca="false">V317/D317</f>
        <v>85.0251256281407</v>
      </c>
      <c r="X317" s="7" t="n">
        <f aca="false">X316+V317</f>
        <v>206776.8</v>
      </c>
      <c r="Y317" s="7" t="n">
        <f aca="false">Y316+V317</f>
        <v>26840.5</v>
      </c>
      <c r="AA317" s="7" t="n">
        <v>16.1876757021374</v>
      </c>
    </row>
    <row r="318" s="7" customFormat="true" ht="15" hidden="false" customHeight="false" outlineLevel="0" collapsed="false">
      <c r="A318" s="68"/>
      <c r="B318" s="11"/>
      <c r="C318" s="8" t="n">
        <v>41799</v>
      </c>
      <c r="D318" s="7" t="n">
        <v>20.7</v>
      </c>
      <c r="E318" s="7" t="n">
        <v>17.8</v>
      </c>
      <c r="F318" s="7" t="n">
        <v>23.9</v>
      </c>
      <c r="G318" s="7" t="n">
        <f aca="false">G317+D318</f>
        <v>2609.6</v>
      </c>
      <c r="H318" s="48" t="n">
        <f aca="false">H317+D318</f>
        <v>285.2</v>
      </c>
      <c r="J318" s="7" t="n">
        <v>13</v>
      </c>
      <c r="K318" s="7" t="n">
        <f aca="false">K317+J318</f>
        <v>629.5</v>
      </c>
      <c r="L318" s="7" t="n">
        <v>2.4</v>
      </c>
      <c r="M318" s="7" t="n">
        <f aca="false">M317+L318</f>
        <v>382.3</v>
      </c>
      <c r="N318" s="7" t="n">
        <f aca="false">J318-L318</f>
        <v>10.6</v>
      </c>
      <c r="O318" s="7" t="n">
        <f aca="false">O317+N318</f>
        <v>163.9</v>
      </c>
      <c r="P318" s="7" t="n">
        <v>279</v>
      </c>
      <c r="Q318" s="17" t="n">
        <f aca="false">1.15+((P318-260)/58)*(0.35-1.15)</f>
        <v>0.887931034482759</v>
      </c>
      <c r="R318" s="15" t="n">
        <f aca="false">Q318*L318</f>
        <v>2.13103448275862</v>
      </c>
      <c r="S318" s="15" t="n">
        <f aca="false">J318-R318</f>
        <v>10.8689655172414</v>
      </c>
      <c r="T318" s="15" t="n">
        <f aca="false">MIN(189.6,(T317+S318))</f>
        <v>140.817594043887</v>
      </c>
      <c r="V318" s="7" t="n">
        <v>1173.5</v>
      </c>
      <c r="W318" s="7" t="n">
        <f aca="false">V318/D318</f>
        <v>56.6908212560386</v>
      </c>
      <c r="X318" s="7" t="n">
        <f aca="false">X317+V318</f>
        <v>207950.3</v>
      </c>
      <c r="Y318" s="7" t="n">
        <f aca="false">Y317+V318</f>
        <v>28014</v>
      </c>
      <c r="AA318" s="7" t="n">
        <v>16.2063501038219</v>
      </c>
    </row>
    <row r="319" s="23" customFormat="true" ht="15" hidden="false" customHeight="false" outlineLevel="0" collapsed="false">
      <c r="A319" s="68"/>
      <c r="B319" s="20"/>
      <c r="C319" s="86" t="n">
        <v>41800</v>
      </c>
      <c r="D319" s="23" t="n">
        <v>17.8</v>
      </c>
      <c r="E319" s="23" t="n">
        <v>17.5</v>
      </c>
      <c r="F319" s="23" t="n">
        <v>20.9</v>
      </c>
      <c r="G319" s="23" t="n">
        <f aca="false">G318+D319</f>
        <v>2627.4</v>
      </c>
      <c r="H319" s="78" t="n">
        <f aca="false">H318+D319</f>
        <v>303</v>
      </c>
      <c r="J319" s="23" t="n">
        <v>9.2</v>
      </c>
      <c r="K319" s="23" t="n">
        <f aca="false">K318+J319</f>
        <v>638.7</v>
      </c>
      <c r="L319" s="23" t="n">
        <v>2</v>
      </c>
      <c r="M319" s="23" t="n">
        <f aca="false">M318+L319</f>
        <v>384.3</v>
      </c>
      <c r="N319" s="23" t="n">
        <f aca="false">J319-L319</f>
        <v>7.2</v>
      </c>
      <c r="O319" s="23" t="n">
        <f aca="false">O318+N319</f>
        <v>171.1</v>
      </c>
      <c r="P319" s="23" t="n">
        <v>280</v>
      </c>
      <c r="Q319" s="54" t="n">
        <f aca="false">1.15+((P319-260)/58)*(0.35-1.15)</f>
        <v>0.874137931034483</v>
      </c>
      <c r="R319" s="24" t="n">
        <f aca="false">Q319*L319</f>
        <v>1.74827586206897</v>
      </c>
      <c r="S319" s="24" t="n">
        <f aca="false">J319-R319</f>
        <v>7.45172413793103</v>
      </c>
      <c r="T319" s="24" t="n">
        <f aca="false">MIN(189.6,(T318+S319))</f>
        <v>148.269318181818</v>
      </c>
      <c r="V319" s="87" t="n">
        <v>869.1</v>
      </c>
      <c r="W319" s="23" t="n">
        <f aca="false">V319/D319</f>
        <v>48.8258426966292</v>
      </c>
      <c r="X319" s="23" t="n">
        <f aca="false">X318+V319</f>
        <v>208819.4</v>
      </c>
      <c r="Y319" s="23" t="n">
        <f aca="false">Y318+V319</f>
        <v>28883.1</v>
      </c>
      <c r="AA319" s="23" t="n">
        <v>16.2236006599317</v>
      </c>
    </row>
    <row r="320" s="91" customFormat="true" ht="15" hidden="false" customHeight="false" outlineLevel="0" collapsed="false">
      <c r="A320" s="70" t="n">
        <v>1000</v>
      </c>
      <c r="B320" s="89"/>
      <c r="C320" s="90" t="n">
        <v>41801</v>
      </c>
      <c r="D320" s="91" t="n">
        <v>17.6</v>
      </c>
      <c r="E320" s="91" t="n">
        <v>13</v>
      </c>
      <c r="F320" s="91" t="n">
        <v>22</v>
      </c>
      <c r="G320" s="91" t="n">
        <f aca="false">G319+D320</f>
        <v>2645</v>
      </c>
      <c r="H320" s="48" t="n">
        <f aca="false">D320</f>
        <v>17.6</v>
      </c>
      <c r="I320" s="71" t="s">
        <v>28</v>
      </c>
      <c r="J320" s="91" t="n">
        <v>0</v>
      </c>
      <c r="K320" s="91" t="n">
        <f aca="false">K319+J320</f>
        <v>638.7</v>
      </c>
      <c r="L320" s="91" t="n">
        <v>3.9</v>
      </c>
      <c r="M320" s="91" t="n">
        <f aca="false">M319+L320</f>
        <v>388.2</v>
      </c>
      <c r="N320" s="91" t="n">
        <f aca="false">J320-L320</f>
        <v>-3.9</v>
      </c>
      <c r="O320" s="48" t="n">
        <f aca="false">O319+N320</f>
        <v>167.2</v>
      </c>
      <c r="P320" s="48" t="n">
        <v>281</v>
      </c>
      <c r="Q320" s="17" t="n">
        <f aca="false">1.15+((P320-260)/58)*(0.35-1.15)</f>
        <v>0.860344827586207</v>
      </c>
      <c r="R320" s="49" t="n">
        <f aca="false">Q320*L320</f>
        <v>3.35534482758621</v>
      </c>
      <c r="S320" s="49" t="n">
        <f aca="false">J320-R320</f>
        <v>-3.35534482758621</v>
      </c>
      <c r="T320" s="49" t="n">
        <f aca="false">MIN(189.6,(T319+S320))</f>
        <v>144.913973354232</v>
      </c>
      <c r="U320" s="71" t="s">
        <v>35</v>
      </c>
      <c r="V320" s="91" t="n">
        <v>2204.2</v>
      </c>
      <c r="W320" s="91" t="n">
        <f aca="false">V320/D320</f>
        <v>125.238636363636</v>
      </c>
      <c r="X320" s="91" t="n">
        <f aca="false">X319+V320</f>
        <v>211023.6</v>
      </c>
      <c r="Y320" s="7" t="n">
        <f aca="false">V320</f>
        <v>2204.2</v>
      </c>
      <c r="Z320" s="71" t="s">
        <v>30</v>
      </c>
      <c r="AA320" s="48" t="n">
        <v>16.2394101363499</v>
      </c>
    </row>
    <row r="321" s="7" customFormat="true" ht="15" hidden="false" customHeight="true" outlineLevel="0" collapsed="false">
      <c r="A321" s="70"/>
      <c r="B321" s="11"/>
      <c r="C321" s="8" t="n">
        <v>41802</v>
      </c>
      <c r="D321" s="7" t="n">
        <v>17.2</v>
      </c>
      <c r="E321" s="7" t="n">
        <v>12.1</v>
      </c>
      <c r="F321" s="7" t="n">
        <v>21.8</v>
      </c>
      <c r="G321" s="7" t="n">
        <f aca="false">G320+D321</f>
        <v>2662.2</v>
      </c>
      <c r="H321" s="48" t="n">
        <f aca="false">H320+D321</f>
        <v>34.8</v>
      </c>
      <c r="I321" s="7" t="n">
        <f aca="false">MIN(E320:E344)</f>
        <v>8.6</v>
      </c>
      <c r="J321" s="7" t="n">
        <v>0</v>
      </c>
      <c r="K321" s="7" t="n">
        <f aca="false">K320+J321</f>
        <v>638.7</v>
      </c>
      <c r="L321" s="7" t="n">
        <v>4.8</v>
      </c>
      <c r="M321" s="7" t="n">
        <f aca="false">M320+L321</f>
        <v>393</v>
      </c>
      <c r="N321" s="14" t="n">
        <f aca="false">J321-L321</f>
        <v>-4.8</v>
      </c>
      <c r="O321" s="7" t="n">
        <f aca="false">O320+N321</f>
        <v>162.4</v>
      </c>
      <c r="P321" s="7" t="n">
        <v>282</v>
      </c>
      <c r="Q321" s="17" t="n">
        <f aca="false">1.15+((P321-260)/58)*(0.35-1.15)</f>
        <v>0.846551724137931</v>
      </c>
      <c r="R321" s="15" t="n">
        <f aca="false">Q321*L321</f>
        <v>4.06344827586207</v>
      </c>
      <c r="S321" s="15" t="n">
        <f aca="false">J321-R321</f>
        <v>-4.06344827586207</v>
      </c>
      <c r="T321" s="15" t="n">
        <f aca="false">MIN(189.6,(T320+S321))</f>
        <v>140.85052507837</v>
      </c>
      <c r="U321" s="7" t="n">
        <v>0</v>
      </c>
      <c r="V321" s="7" t="n">
        <v>2773.3</v>
      </c>
      <c r="W321" s="7" t="n">
        <f aca="false">V321/D321</f>
        <v>161.238372093023</v>
      </c>
      <c r="X321" s="7" t="n">
        <f aca="false">X320+V321</f>
        <v>213796.9</v>
      </c>
      <c r="Y321" s="7" t="n">
        <f aca="false">Y320+V321</f>
        <v>4977.5</v>
      </c>
      <c r="Z321" s="7" t="n">
        <v>42337.2</v>
      </c>
      <c r="AA321" s="7" t="n">
        <v>16.2537626148335</v>
      </c>
    </row>
    <row r="322" s="7" customFormat="true" ht="15" hidden="false" customHeight="false" outlineLevel="0" collapsed="false">
      <c r="A322" s="70"/>
      <c r="B322" s="11"/>
      <c r="C322" s="8" t="n">
        <v>41803</v>
      </c>
      <c r="D322" s="7" t="n">
        <v>17.3</v>
      </c>
      <c r="E322" s="7" t="n">
        <v>12.1</v>
      </c>
      <c r="F322" s="7" t="n">
        <v>21.9</v>
      </c>
      <c r="G322" s="7" t="n">
        <f aca="false">G321+D322</f>
        <v>2679.5</v>
      </c>
      <c r="H322" s="48" t="n">
        <f aca="false">H321+D322</f>
        <v>52.1</v>
      </c>
      <c r="I322" s="71" t="s">
        <v>31</v>
      </c>
      <c r="J322" s="7" t="n">
        <v>0.1</v>
      </c>
      <c r="K322" s="7" t="n">
        <f aca="false">K321+J322</f>
        <v>638.8</v>
      </c>
      <c r="L322" s="7" t="n">
        <v>4.5</v>
      </c>
      <c r="M322" s="7" t="n">
        <f aca="false">M321+L322</f>
        <v>397.5</v>
      </c>
      <c r="N322" s="14" t="n">
        <f aca="false">J322-L322</f>
        <v>-4.4</v>
      </c>
      <c r="O322" s="7" t="n">
        <f aca="false">O321+N322</f>
        <v>158</v>
      </c>
      <c r="P322" s="7" t="n">
        <v>283</v>
      </c>
      <c r="Q322" s="17" t="n">
        <f aca="false">1.15+((P322-260)/58)*(0.35-1.15)</f>
        <v>0.832758620689655</v>
      </c>
      <c r="R322" s="15" t="n">
        <f aca="false">Q322*L322</f>
        <v>3.74741379310345</v>
      </c>
      <c r="S322" s="15" t="n">
        <f aca="false">J322-R322</f>
        <v>-3.64741379310345</v>
      </c>
      <c r="T322" s="15" t="n">
        <f aca="false">MIN(189.6,(T321+S322))</f>
        <v>137.203111285267</v>
      </c>
      <c r="U322" s="71" t="s">
        <v>38</v>
      </c>
      <c r="V322" s="7" t="n">
        <v>2694.6</v>
      </c>
      <c r="W322" s="7" t="n">
        <f aca="false">V322/D322</f>
        <v>155.757225433526</v>
      </c>
      <c r="X322" s="7" t="n">
        <f aca="false">X321+V322</f>
        <v>216491.5</v>
      </c>
      <c r="Y322" s="7" t="n">
        <f aca="false">Y321+V322</f>
        <v>7672.1</v>
      </c>
      <c r="Z322" s="71" t="s">
        <v>33</v>
      </c>
      <c r="AA322" s="7" t="n">
        <v>16.2666435538859</v>
      </c>
    </row>
    <row r="323" s="7" customFormat="true" ht="15" hidden="false" customHeight="false" outlineLevel="0" collapsed="false">
      <c r="A323" s="70"/>
      <c r="B323" s="11"/>
      <c r="C323" s="8" t="n">
        <v>41804</v>
      </c>
      <c r="D323" s="7" t="n">
        <v>15.6</v>
      </c>
      <c r="E323" s="7" t="n">
        <v>12</v>
      </c>
      <c r="F323" s="7" t="n">
        <v>19.6</v>
      </c>
      <c r="G323" s="7" t="n">
        <f aca="false">G322+D323</f>
        <v>2695.1</v>
      </c>
      <c r="H323" s="48" t="n">
        <f aca="false">H322+D323</f>
        <v>67.7</v>
      </c>
      <c r="I323" s="7" t="n">
        <v>25.9</v>
      </c>
      <c r="J323" s="7" t="n">
        <v>0</v>
      </c>
      <c r="K323" s="7" t="n">
        <f aca="false">K322+J323</f>
        <v>638.8</v>
      </c>
      <c r="L323" s="7" t="n">
        <v>3.1</v>
      </c>
      <c r="M323" s="7" t="n">
        <f aca="false">M322+L323</f>
        <v>400.6</v>
      </c>
      <c r="N323" s="14" t="n">
        <f aca="false">J323-L323</f>
        <v>-3.1</v>
      </c>
      <c r="O323" s="7" t="n">
        <f aca="false">O322+N323</f>
        <v>154.9</v>
      </c>
      <c r="P323" s="7" t="n">
        <v>284</v>
      </c>
      <c r="Q323" s="17" t="n">
        <f aca="false">1.15+((P323-260)/58)*(0.35-1.15)</f>
        <v>0.818965517241379</v>
      </c>
      <c r="R323" s="15" t="n">
        <f aca="false">Q323*L323</f>
        <v>2.53879310344828</v>
      </c>
      <c r="S323" s="15" t="n">
        <f aca="false">J323-R323</f>
        <v>-2.53879310344828</v>
      </c>
      <c r="T323" s="15" t="n">
        <f aca="false">MIN(189.6,(T322+S323))</f>
        <v>134.664318181818</v>
      </c>
      <c r="U323" s="7" t="n">
        <v>0</v>
      </c>
      <c r="V323" s="7" t="n">
        <v>1622.6</v>
      </c>
      <c r="W323" s="7" t="n">
        <f aca="false">V323/D323</f>
        <v>104.012820512821</v>
      </c>
      <c r="X323" s="7" t="n">
        <f aca="false">X322+V323</f>
        <v>218114.1</v>
      </c>
      <c r="Y323" s="7" t="n">
        <f aca="false">Y322+V323</f>
        <v>9294.7</v>
      </c>
      <c r="Z323" s="17" t="n">
        <f aca="false">(Z321/100)/I333</f>
        <v>1.03185961491592</v>
      </c>
      <c r="AA323" s="7" t="n">
        <v>16.2780398452072</v>
      </c>
    </row>
    <row r="324" s="7" customFormat="true" ht="15" hidden="false" customHeight="false" outlineLevel="0" collapsed="false">
      <c r="A324" s="70"/>
      <c r="B324" s="11"/>
      <c r="C324" s="8" t="n">
        <v>41805</v>
      </c>
      <c r="D324" s="7" t="n">
        <v>14.5</v>
      </c>
      <c r="E324" s="7" t="n">
        <v>10.8</v>
      </c>
      <c r="F324" s="7" t="n">
        <v>17.8</v>
      </c>
      <c r="G324" s="7" t="n">
        <f aca="false">G323+D324</f>
        <v>2709.6</v>
      </c>
      <c r="H324" s="48" t="n">
        <f aca="false">H323+D324</f>
        <v>82.2</v>
      </c>
      <c r="I324" s="71" t="s">
        <v>34</v>
      </c>
      <c r="J324" s="7" t="n">
        <v>0</v>
      </c>
      <c r="K324" s="7" t="n">
        <f aca="false">K323+J324</f>
        <v>638.8</v>
      </c>
      <c r="L324" s="7" t="n">
        <v>2.7</v>
      </c>
      <c r="M324" s="7" t="n">
        <f aca="false">M323+L324</f>
        <v>403.3</v>
      </c>
      <c r="N324" s="14" t="n">
        <f aca="false">J324-L324</f>
        <v>-2.7</v>
      </c>
      <c r="O324" s="7" t="n">
        <f aca="false">O323+N324</f>
        <v>152.2</v>
      </c>
      <c r="P324" s="7" t="n">
        <v>285</v>
      </c>
      <c r="Q324" s="17" t="n">
        <f aca="false">1.15+((P324-260)/58)*(0.35-1.15)</f>
        <v>0.805172413793103</v>
      </c>
      <c r="R324" s="15" t="n">
        <f aca="false">Q324*L324</f>
        <v>2.17396551724138</v>
      </c>
      <c r="S324" s="15" t="n">
        <f aca="false">J324-R324</f>
        <v>-2.17396551724138</v>
      </c>
      <c r="T324" s="15" t="n">
        <f aca="false">MIN(189.6,(T323+S324))</f>
        <v>132.490352664577</v>
      </c>
      <c r="U324" s="71" t="s">
        <v>40</v>
      </c>
      <c r="V324" s="7" t="n">
        <v>1629.8</v>
      </c>
      <c r="W324" s="7" t="n">
        <f aca="false">V324/D324</f>
        <v>112.4</v>
      </c>
      <c r="X324" s="7" t="n">
        <f aca="false">X323+V324</f>
        <v>219743.9</v>
      </c>
      <c r="Y324" s="7" t="n">
        <f aca="false">Y323+V324</f>
        <v>10924.5</v>
      </c>
      <c r="Z324" s="71" t="s">
        <v>36</v>
      </c>
      <c r="AA324" s="7" t="n">
        <v>16.2879398652712</v>
      </c>
    </row>
    <row r="325" s="7" customFormat="true" ht="15" hidden="false" customHeight="false" outlineLevel="0" collapsed="false">
      <c r="A325" s="70"/>
      <c r="B325" s="11"/>
      <c r="C325" s="8" t="n">
        <v>41806</v>
      </c>
      <c r="D325" s="7" t="n">
        <v>13.9</v>
      </c>
      <c r="E325" s="7" t="n">
        <v>10.1</v>
      </c>
      <c r="F325" s="7" t="n">
        <v>16.6</v>
      </c>
      <c r="G325" s="7" t="n">
        <f aca="false">G324+D325</f>
        <v>2723.5</v>
      </c>
      <c r="H325" s="48" t="n">
        <f aca="false">H324+D325</f>
        <v>96.1</v>
      </c>
      <c r="I325" s="15" t="n">
        <f aca="false">AVERAGE(D320:D344)</f>
        <v>16.412</v>
      </c>
      <c r="J325" s="7" t="n">
        <v>0</v>
      </c>
      <c r="K325" s="7" t="n">
        <f aca="false">K324+J325</f>
        <v>638.8</v>
      </c>
      <c r="L325" s="7" t="n">
        <v>2.5</v>
      </c>
      <c r="M325" s="7" t="n">
        <f aca="false">M324+L325</f>
        <v>405.8</v>
      </c>
      <c r="N325" s="14" t="n">
        <f aca="false">J325-L325</f>
        <v>-2.5</v>
      </c>
      <c r="O325" s="7" t="n">
        <f aca="false">O324+N325</f>
        <v>149.7</v>
      </c>
      <c r="P325" s="7" t="n">
        <v>286</v>
      </c>
      <c r="Q325" s="17" t="n">
        <f aca="false">1.15+((P325-260)/58)*(0.35-1.15)</f>
        <v>0.791379310344827</v>
      </c>
      <c r="R325" s="15" t="n">
        <f aca="false">Q325*L325</f>
        <v>1.97844827586207</v>
      </c>
      <c r="S325" s="15" t="n">
        <f aca="false">J325-R325</f>
        <v>-1.97844827586207</v>
      </c>
      <c r="T325" s="15" t="n">
        <f aca="false">MIN(189.6,(T324+S325))</f>
        <v>130.511904388715</v>
      </c>
      <c r="U325" s="15" t="n">
        <f aca="false">MIN(T320:T344)</f>
        <v>107.25276645768</v>
      </c>
      <c r="V325" s="7" t="n">
        <v>1597.1</v>
      </c>
      <c r="W325" s="7" t="n">
        <f aca="false">V325/D325</f>
        <v>114.89928057554</v>
      </c>
      <c r="X325" s="7" t="n">
        <f aca="false">X324+V325</f>
        <v>221341</v>
      </c>
      <c r="Y325" s="7" t="n">
        <f aca="false">Y324+V325</f>
        <v>12521.6</v>
      </c>
      <c r="Z325" s="7" t="n">
        <v>3</v>
      </c>
      <c r="AA325" s="7" t="n">
        <v>16.2963335216077</v>
      </c>
    </row>
    <row r="326" s="7" customFormat="true" ht="15" hidden="false" customHeight="false" outlineLevel="0" collapsed="false">
      <c r="A326" s="70"/>
      <c r="B326" s="11"/>
      <c r="C326" s="8" t="n">
        <v>41807</v>
      </c>
      <c r="D326" s="7" t="n">
        <v>14.3</v>
      </c>
      <c r="E326" s="7" t="n">
        <v>11.7</v>
      </c>
      <c r="F326" s="7" t="n">
        <v>16.9</v>
      </c>
      <c r="G326" s="7" t="n">
        <f aca="false">G325+D326</f>
        <v>2737.8</v>
      </c>
      <c r="H326" s="48" t="n">
        <f aca="false">H325+D326</f>
        <v>110.4</v>
      </c>
      <c r="I326" s="71" t="s">
        <v>68</v>
      </c>
      <c r="J326" s="7" t="n">
        <v>0</v>
      </c>
      <c r="K326" s="7" t="n">
        <f aca="false">K325+J326</f>
        <v>638.8</v>
      </c>
      <c r="L326" s="7" t="n">
        <v>2.1</v>
      </c>
      <c r="M326" s="7" t="n">
        <f aca="false">M325+L326</f>
        <v>407.9</v>
      </c>
      <c r="N326" s="14" t="n">
        <f aca="false">J326-L326</f>
        <v>-2.1</v>
      </c>
      <c r="O326" s="7" t="n">
        <f aca="false">O325+N326</f>
        <v>147.6</v>
      </c>
      <c r="P326" s="7" t="n">
        <v>287</v>
      </c>
      <c r="Q326" s="17" t="n">
        <f aca="false">1.15+((P326-260)/58)*(0.35-1.15)</f>
        <v>0.777586206896552</v>
      </c>
      <c r="R326" s="15" t="n">
        <f aca="false">Q326*L326</f>
        <v>1.63293103448276</v>
      </c>
      <c r="S326" s="15" t="n">
        <f aca="false">J326-R326</f>
        <v>-1.63293103448276</v>
      </c>
      <c r="T326" s="15" t="n">
        <f aca="false">MIN(189.6,(T325+S326))</f>
        <v>128.878973354232</v>
      </c>
      <c r="U326" s="71" t="s">
        <v>42</v>
      </c>
      <c r="V326" s="7" t="n">
        <v>936</v>
      </c>
      <c r="W326" s="7" t="n">
        <f aca="false">V326/D326</f>
        <v>65.4545454545455</v>
      </c>
      <c r="X326" s="7" t="n">
        <f aca="false">X325+V326</f>
        <v>222277</v>
      </c>
      <c r="Y326" s="7" t="n">
        <f aca="false">Y325+V326</f>
        <v>13457.6</v>
      </c>
      <c r="AA326" s="7" t="n">
        <v>16.3032122934073</v>
      </c>
    </row>
    <row r="327" s="7" customFormat="true" ht="15" hidden="false" customHeight="false" outlineLevel="0" collapsed="false">
      <c r="A327" s="70"/>
      <c r="B327" s="11"/>
      <c r="C327" s="8" t="n">
        <v>41808</v>
      </c>
      <c r="D327" s="7" t="n">
        <v>15.6</v>
      </c>
      <c r="E327" s="7" t="n">
        <v>11.2</v>
      </c>
      <c r="F327" s="7" t="n">
        <v>19.8</v>
      </c>
      <c r="G327" s="7" t="n">
        <f aca="false">G326+D327</f>
        <v>2753.4</v>
      </c>
      <c r="H327" s="48" t="n">
        <f aca="false">H326+D327</f>
        <v>126</v>
      </c>
      <c r="I327" s="7" t="n">
        <v>0</v>
      </c>
      <c r="J327" s="7" t="n">
        <v>0</v>
      </c>
      <c r="K327" s="7" t="n">
        <f aca="false">K326+J327</f>
        <v>638.8</v>
      </c>
      <c r="L327" s="7" t="n">
        <v>3.5</v>
      </c>
      <c r="M327" s="7" t="n">
        <f aca="false">M326+L327</f>
        <v>411.4</v>
      </c>
      <c r="N327" s="14" t="n">
        <f aca="false">J327-L327</f>
        <v>-3.5</v>
      </c>
      <c r="O327" s="7" t="n">
        <f aca="false">O326+N327</f>
        <v>144.1</v>
      </c>
      <c r="P327" s="7" t="n">
        <v>288</v>
      </c>
      <c r="Q327" s="17" t="n">
        <f aca="false">1.15+((P327-260)/58)*(0.35-1.15)</f>
        <v>0.763793103448276</v>
      </c>
      <c r="R327" s="15" t="n">
        <f aca="false">Q327*L327</f>
        <v>2.67327586206897</v>
      </c>
      <c r="S327" s="15" t="n">
        <f aca="false">J327-R327</f>
        <v>-2.67327586206897</v>
      </c>
      <c r="T327" s="15" t="n">
        <f aca="false">MIN(189.6,(T326+S327))</f>
        <v>126.205697492163</v>
      </c>
      <c r="U327" s="15" t="n">
        <f aca="false">MAX(T320:T344)</f>
        <v>144.913973354232</v>
      </c>
      <c r="V327" s="7" t="n">
        <v>2125.3</v>
      </c>
      <c r="W327" s="7" t="n">
        <f aca="false">V327/D327</f>
        <v>136.23717948718</v>
      </c>
      <c r="X327" s="7" t="n">
        <f aca="false">X326+V327</f>
        <v>224402.3</v>
      </c>
      <c r="Y327" s="7" t="n">
        <f aca="false">Y326+V327</f>
        <v>15582.9</v>
      </c>
      <c r="AA327" s="7" t="n">
        <v>16.3085692661064</v>
      </c>
    </row>
    <row r="328" s="7" customFormat="true" ht="15" hidden="false" customHeight="false" outlineLevel="0" collapsed="false">
      <c r="A328" s="70"/>
      <c r="B328" s="11"/>
      <c r="C328" s="8" t="n">
        <v>41809</v>
      </c>
      <c r="D328" s="7" t="n">
        <v>15.7</v>
      </c>
      <c r="E328" s="7" t="n">
        <v>11</v>
      </c>
      <c r="F328" s="7" t="n">
        <v>19.8</v>
      </c>
      <c r="G328" s="7" t="n">
        <f aca="false">G327+D328</f>
        <v>2769.1</v>
      </c>
      <c r="H328" s="48" t="n">
        <f aca="false">H327+D328</f>
        <v>141.7</v>
      </c>
      <c r="I328" s="71" t="s">
        <v>69</v>
      </c>
      <c r="J328" s="7" t="n">
        <v>0</v>
      </c>
      <c r="K328" s="7" t="n">
        <f aca="false">K327+J328</f>
        <v>638.8</v>
      </c>
      <c r="L328" s="7" t="n">
        <v>2.2</v>
      </c>
      <c r="M328" s="7" t="n">
        <f aca="false">M327+L328</f>
        <v>413.6</v>
      </c>
      <c r="N328" s="14" t="n">
        <f aca="false">J328-L328</f>
        <v>-2.2</v>
      </c>
      <c r="O328" s="7" t="n">
        <f aca="false">O327+N328</f>
        <v>141.9</v>
      </c>
      <c r="P328" s="7" t="n">
        <v>289</v>
      </c>
      <c r="Q328" s="17" t="n">
        <f aca="false">1.15+((P328-260)/58)*(0.35-1.15)</f>
        <v>0.75</v>
      </c>
      <c r="R328" s="15" t="n">
        <f aca="false">Q328*L328</f>
        <v>1.65</v>
      </c>
      <c r="S328" s="15" t="n">
        <f aca="false">J328-R328</f>
        <v>-1.65</v>
      </c>
      <c r="T328" s="15" t="n">
        <f aca="false">MIN(189.6,(T327+S328))</f>
        <v>124.555697492163</v>
      </c>
      <c r="U328" s="71" t="s">
        <v>44</v>
      </c>
      <c r="V328" s="7" t="n">
        <v>1238.8</v>
      </c>
      <c r="W328" s="7" t="n">
        <f aca="false">V328/D328</f>
        <v>78.9044585987261</v>
      </c>
      <c r="X328" s="7" t="n">
        <f aca="false">X327+V328</f>
        <v>225641.1</v>
      </c>
      <c r="Y328" s="7" t="n">
        <f aca="false">Y327+V328</f>
        <v>16821.7</v>
      </c>
      <c r="AA328" s="7" t="n">
        <v>16.3123991596558</v>
      </c>
    </row>
    <row r="329" s="7" customFormat="true" ht="15" hidden="false" customHeight="false" outlineLevel="0" collapsed="false">
      <c r="A329" s="70"/>
      <c r="B329" s="11"/>
      <c r="C329" s="8" t="n">
        <v>41810</v>
      </c>
      <c r="D329" s="7" t="n">
        <v>14.5</v>
      </c>
      <c r="E329" s="7" t="n">
        <v>12.8</v>
      </c>
      <c r="F329" s="7" t="n">
        <v>17.9</v>
      </c>
      <c r="G329" s="7" t="n">
        <f aca="false">G328+D329</f>
        <v>2783.6</v>
      </c>
      <c r="H329" s="48" t="n">
        <f aca="false">H328+D329</f>
        <v>156.2</v>
      </c>
      <c r="I329" s="7" t="n">
        <v>1</v>
      </c>
      <c r="J329" s="7" t="n">
        <v>0</v>
      </c>
      <c r="K329" s="7" t="n">
        <f aca="false">K328+J329</f>
        <v>638.8</v>
      </c>
      <c r="L329" s="7" t="n">
        <v>2.2</v>
      </c>
      <c r="M329" s="7" t="n">
        <f aca="false">M328+L329</f>
        <v>415.8</v>
      </c>
      <c r="N329" s="14" t="n">
        <f aca="false">J329-L329</f>
        <v>-2.2</v>
      </c>
      <c r="O329" s="7" t="n">
        <f aca="false">O328+N329</f>
        <v>139.7</v>
      </c>
      <c r="P329" s="7" t="n">
        <v>290</v>
      </c>
      <c r="Q329" s="17" t="n">
        <f aca="false">1.15+((P329-260)/58)*(0.35-1.15)</f>
        <v>0.736206896551724</v>
      </c>
      <c r="R329" s="15" t="n">
        <f aca="false">Q329*L329</f>
        <v>1.61965517241379</v>
      </c>
      <c r="S329" s="15" t="n">
        <f aca="false">J329-R329</f>
        <v>-1.61965517241379</v>
      </c>
      <c r="T329" s="15" t="n">
        <f aca="false">MIN(189.6,(T328+S329))</f>
        <v>122.936042319749</v>
      </c>
      <c r="U329" s="17" t="n">
        <f aca="false">AVERAGE(T320:T344)</f>
        <v>124.150449216301</v>
      </c>
      <c r="V329" s="7" t="n">
        <v>1109.6</v>
      </c>
      <c r="W329" s="7" t="n">
        <f aca="false">V329/D329</f>
        <v>76.5241379310345</v>
      </c>
      <c r="X329" s="7" t="n">
        <f aca="false">X328+V329</f>
        <v>226750.7</v>
      </c>
      <c r="Y329" s="7" t="n">
        <f aca="false">Y328+V329</f>
        <v>17931.3</v>
      </c>
      <c r="AA329" s="7" t="n">
        <v>16.3146983502313</v>
      </c>
    </row>
    <row r="330" s="7" customFormat="true" ht="15" hidden="false" customHeight="false" outlineLevel="0" collapsed="false">
      <c r="A330" s="70"/>
      <c r="B330" s="11"/>
      <c r="C330" s="8" t="n">
        <v>41811</v>
      </c>
      <c r="D330" s="7" t="n">
        <v>16</v>
      </c>
      <c r="E330" s="7" t="n">
        <v>8.6</v>
      </c>
      <c r="F330" s="7" t="n">
        <v>21.1</v>
      </c>
      <c r="G330" s="7" t="n">
        <f aca="false">G329+D330</f>
        <v>2799.6</v>
      </c>
      <c r="H330" s="48" t="n">
        <f aca="false">H329+D330</f>
        <v>172.2</v>
      </c>
      <c r="I330" s="71" t="s">
        <v>70</v>
      </c>
      <c r="J330" s="7" t="n">
        <v>0</v>
      </c>
      <c r="K330" s="7" t="n">
        <f aca="false">K329+J330</f>
        <v>638.8</v>
      </c>
      <c r="L330" s="7" t="n">
        <v>3.6</v>
      </c>
      <c r="M330" s="7" t="n">
        <f aca="false">M329+L330</f>
        <v>419.4</v>
      </c>
      <c r="N330" s="14" t="n">
        <f aca="false">J330-L330</f>
        <v>-3.6</v>
      </c>
      <c r="O330" s="7" t="n">
        <f aca="false">O329+N330</f>
        <v>136.1</v>
      </c>
      <c r="P330" s="7" t="n">
        <v>291</v>
      </c>
      <c r="Q330" s="17" t="n">
        <f aca="false">1.15+((P330-260)/58)*(0.35-1.15)</f>
        <v>0.722413793103448</v>
      </c>
      <c r="R330" s="15" t="n">
        <f aca="false">Q330*L330</f>
        <v>2.60068965517241</v>
      </c>
      <c r="S330" s="15" t="n">
        <f aca="false">J330-R330</f>
        <v>-2.60068965517241</v>
      </c>
      <c r="T330" s="15" t="n">
        <f aca="false">MIN(189.6,(T329+S330))</f>
        <v>120.335352664577</v>
      </c>
      <c r="V330" s="7" t="n">
        <v>2130.1</v>
      </c>
      <c r="W330" s="7" t="n">
        <f aca="false">V330/D330</f>
        <v>133.13125</v>
      </c>
      <c r="X330" s="7" t="n">
        <f aca="false">X329+V330</f>
        <v>228880.8</v>
      </c>
      <c r="Y330" s="7" t="n">
        <f aca="false">Y329+V330</f>
        <v>20061.4</v>
      </c>
      <c r="AA330" s="7" t="n">
        <v>16.315464885196</v>
      </c>
    </row>
    <row r="331" s="7" customFormat="true" ht="15" hidden="false" customHeight="false" outlineLevel="0" collapsed="false">
      <c r="A331" s="70"/>
      <c r="B331" s="11"/>
      <c r="C331" s="8" t="n">
        <v>41812</v>
      </c>
      <c r="D331" s="7" t="n">
        <v>17.9</v>
      </c>
      <c r="E331" s="7" t="n">
        <v>10.7</v>
      </c>
      <c r="F331" s="7" t="n">
        <v>22.9</v>
      </c>
      <c r="G331" s="7" t="n">
        <f aca="false">G330+D331</f>
        <v>2817.5</v>
      </c>
      <c r="H331" s="48" t="n">
        <f aca="false">H330+D331</f>
        <v>190.1</v>
      </c>
      <c r="I331" s="7" t="n">
        <v>0</v>
      </c>
      <c r="J331" s="7" t="n">
        <v>0</v>
      </c>
      <c r="K331" s="7" t="n">
        <f aca="false">K330+J331</f>
        <v>638.8</v>
      </c>
      <c r="L331" s="7" t="n">
        <v>4</v>
      </c>
      <c r="M331" s="7" t="n">
        <f aca="false">M330+L331</f>
        <v>423.4</v>
      </c>
      <c r="N331" s="14" t="n">
        <f aca="false">J331-L331</f>
        <v>-4</v>
      </c>
      <c r="O331" s="7" t="n">
        <f aca="false">O330+N331</f>
        <v>132.1</v>
      </c>
      <c r="P331" s="7" t="n">
        <v>292</v>
      </c>
      <c r="Q331" s="17" t="n">
        <f aca="false">1.15+((P331-260)/58)*(0.35-1.15)</f>
        <v>0.708620689655172</v>
      </c>
      <c r="R331" s="15" t="n">
        <f aca="false">Q331*L331</f>
        <v>2.83448275862069</v>
      </c>
      <c r="S331" s="15" t="n">
        <f aca="false">J331-R331</f>
        <v>-2.83448275862069</v>
      </c>
      <c r="T331" s="15" t="n">
        <f aca="false">MIN(189.6,(T330+S331))</f>
        <v>117.500869905956</v>
      </c>
      <c r="U331" s="15" t="n">
        <f aca="false">(U329*100)/189.6</f>
        <v>65.480194734336</v>
      </c>
      <c r="V331" s="7" t="n">
        <v>2409.9</v>
      </c>
      <c r="W331" s="7" t="n">
        <f aca="false">V331/D331</f>
        <v>134.631284916201</v>
      </c>
      <c r="X331" s="7" t="n">
        <f aca="false">X330+V331</f>
        <v>231290.7</v>
      </c>
      <c r="Y331" s="7" t="n">
        <f aca="false">Y330+V331</f>
        <v>22471.3</v>
      </c>
      <c r="AA331" s="7" t="n">
        <v>16.3146984911828</v>
      </c>
    </row>
    <row r="332" s="7" customFormat="true" ht="15" hidden="false" customHeight="false" outlineLevel="0" collapsed="false">
      <c r="A332" s="70"/>
      <c r="B332" s="11"/>
      <c r="C332" s="8" t="n">
        <v>41813</v>
      </c>
      <c r="D332" s="7" t="n">
        <v>17.4</v>
      </c>
      <c r="E332" s="7" t="n">
        <v>13.7</v>
      </c>
      <c r="F332" s="7" t="n">
        <v>22.1</v>
      </c>
      <c r="G332" s="7" t="n">
        <f aca="false">G331+D332</f>
        <v>2834.9</v>
      </c>
      <c r="H332" s="48" t="n">
        <f aca="false">H331+D332</f>
        <v>207.5</v>
      </c>
      <c r="I332" s="71" t="s">
        <v>43</v>
      </c>
      <c r="J332" s="7" t="n">
        <v>0</v>
      </c>
      <c r="K332" s="7" t="n">
        <f aca="false">K331+J332</f>
        <v>638.8</v>
      </c>
      <c r="L332" s="7" t="n">
        <v>4.7</v>
      </c>
      <c r="M332" s="7" t="n">
        <f aca="false">M331+L332</f>
        <v>428.1</v>
      </c>
      <c r="N332" s="14" t="n">
        <f aca="false">J332-L332</f>
        <v>-4.7</v>
      </c>
      <c r="O332" s="7" t="n">
        <f aca="false">O331+N332</f>
        <v>127.4</v>
      </c>
      <c r="P332" s="7" t="n">
        <v>293</v>
      </c>
      <c r="Q332" s="17" t="n">
        <f aca="false">1.15+((P332-260)/58)*(0.35-1.15)</f>
        <v>0.694827586206896</v>
      </c>
      <c r="R332" s="15" t="n">
        <f aca="false">Q332*L332</f>
        <v>3.26568965517241</v>
      </c>
      <c r="S332" s="15" t="n">
        <f aca="false">J332-R332</f>
        <v>-3.26568965517241</v>
      </c>
      <c r="T332" s="15" t="n">
        <f aca="false">MIN(189.6,(T331+S332))</f>
        <v>114.235180250784</v>
      </c>
      <c r="V332" s="7" t="n">
        <v>2359.9</v>
      </c>
      <c r="W332" s="7" t="n">
        <f aca="false">V332/D332</f>
        <v>135.626436781609</v>
      </c>
      <c r="X332" s="7" t="n">
        <f aca="false">X331+V332</f>
        <v>233650.6</v>
      </c>
      <c r="Y332" s="7" t="n">
        <f aca="false">Y331+V332</f>
        <v>24831.2</v>
      </c>
      <c r="AA332" s="7" t="n">
        <v>16.3124005752277</v>
      </c>
    </row>
    <row r="333" s="7" customFormat="true" ht="15" hidden="false" customHeight="false" outlineLevel="0" collapsed="false">
      <c r="A333" s="70"/>
      <c r="B333" s="11"/>
      <c r="C333" s="8" t="n">
        <v>41814</v>
      </c>
      <c r="D333" s="7" t="n">
        <v>17.9</v>
      </c>
      <c r="E333" s="7" t="n">
        <v>11.2</v>
      </c>
      <c r="F333" s="7" t="n">
        <v>23.7</v>
      </c>
      <c r="G333" s="7" t="n">
        <f aca="false">G332+D333</f>
        <v>2852.8</v>
      </c>
      <c r="H333" s="48" t="n">
        <f aca="false">H332+D333</f>
        <v>225.4</v>
      </c>
      <c r="I333" s="7" t="n">
        <v>410.3</v>
      </c>
      <c r="J333" s="7" t="n">
        <v>0.1</v>
      </c>
      <c r="K333" s="7" t="n">
        <f aca="false">K332+J333</f>
        <v>638.9</v>
      </c>
      <c r="L333" s="7" t="n">
        <v>3.7</v>
      </c>
      <c r="M333" s="7" t="n">
        <f aca="false">M332+L333</f>
        <v>431.8</v>
      </c>
      <c r="N333" s="14" t="n">
        <f aca="false">J333-L333</f>
        <v>-3.6</v>
      </c>
      <c r="O333" s="7" t="n">
        <f aca="false">O332+N333</f>
        <v>123.8</v>
      </c>
      <c r="P333" s="7" t="n">
        <v>294</v>
      </c>
      <c r="Q333" s="17" t="n">
        <f aca="false">1.15+((P333-260)/58)*(0.35-1.15)</f>
        <v>0.681034482758621</v>
      </c>
      <c r="R333" s="15" t="n">
        <f aca="false">Q333*L333</f>
        <v>2.5198275862069</v>
      </c>
      <c r="S333" s="15" t="n">
        <f aca="false">J333-R333</f>
        <v>-2.4198275862069</v>
      </c>
      <c r="T333" s="15" t="n">
        <f aca="false">MIN(189.6,(T332+S333))</f>
        <v>111.815352664577</v>
      </c>
      <c r="V333" s="7" t="n">
        <v>1980.4</v>
      </c>
      <c r="W333" s="7" t="n">
        <f aca="false">V333/D333</f>
        <v>110.63687150838</v>
      </c>
      <c r="X333" s="7" t="n">
        <f aca="false">X332+V333</f>
        <v>235631</v>
      </c>
      <c r="Y333" s="7" t="n">
        <f aca="false">Y332+V333</f>
        <v>26811.6</v>
      </c>
      <c r="AA333" s="7" t="n">
        <v>16.3085742189409</v>
      </c>
    </row>
    <row r="334" s="7" customFormat="true" ht="15" hidden="false" customHeight="false" outlineLevel="0" collapsed="false">
      <c r="A334" s="70"/>
      <c r="B334" s="11"/>
      <c r="C334" s="8" t="n">
        <v>41815</v>
      </c>
      <c r="D334" s="7" t="n">
        <v>15.9</v>
      </c>
      <c r="E334" s="7" t="n">
        <v>14.2</v>
      </c>
      <c r="F334" s="7" t="n">
        <v>19.2</v>
      </c>
      <c r="G334" s="7" t="n">
        <f aca="false">G333+D334</f>
        <v>2868.7</v>
      </c>
      <c r="H334" s="48" t="n">
        <f aca="false">H333+D334</f>
        <v>241.3</v>
      </c>
      <c r="J334" s="7" t="n">
        <v>0</v>
      </c>
      <c r="K334" s="7" t="n">
        <f aca="false">K333+J334</f>
        <v>638.9</v>
      </c>
      <c r="L334" s="7" t="n">
        <v>3.9</v>
      </c>
      <c r="M334" s="7" t="n">
        <f aca="false">M333+L334</f>
        <v>435.7</v>
      </c>
      <c r="N334" s="14" t="n">
        <f aca="false">J334-L334</f>
        <v>-3.9</v>
      </c>
      <c r="O334" s="7" t="n">
        <f aca="false">O333+N334</f>
        <v>119.9</v>
      </c>
      <c r="P334" s="7" t="n">
        <v>295</v>
      </c>
      <c r="Q334" s="17" t="n">
        <f aca="false">1.15+((P334-260)/58)*(0.35-1.15)</f>
        <v>0.667241379310345</v>
      </c>
      <c r="R334" s="15" t="n">
        <f aca="false">Q334*L334</f>
        <v>2.60224137931034</v>
      </c>
      <c r="S334" s="15" t="n">
        <f aca="false">J334-R334</f>
        <v>-2.60224137931034</v>
      </c>
      <c r="T334" s="15" t="n">
        <f aca="false">MIN(189.6,(T333+S334))</f>
        <v>109.213111285266</v>
      </c>
      <c r="V334" s="7" t="n">
        <v>1873.7</v>
      </c>
      <c r="W334" s="7" t="n">
        <f aca="false">V334/D334</f>
        <v>117.842767295597</v>
      </c>
      <c r="X334" s="7" t="n">
        <f aca="false">X333+V334</f>
        <v>237504.7</v>
      </c>
      <c r="Y334" s="7" t="n">
        <f aca="false">Y333+V334</f>
        <v>28685.3</v>
      </c>
      <c r="AA334" s="7" t="n">
        <v>16.3032241657692</v>
      </c>
    </row>
    <row r="335" s="7" customFormat="true" ht="15" hidden="false" customHeight="false" outlineLevel="0" collapsed="false">
      <c r="A335" s="70"/>
      <c r="B335" s="11"/>
      <c r="C335" s="8" t="n">
        <v>41816</v>
      </c>
      <c r="D335" s="7" t="n">
        <v>17.1</v>
      </c>
      <c r="E335" s="7" t="n">
        <v>9.5</v>
      </c>
      <c r="F335" s="7" t="n">
        <v>22.5</v>
      </c>
      <c r="G335" s="7" t="n">
        <f aca="false">G334+D335</f>
        <v>2885.8</v>
      </c>
      <c r="H335" s="48" t="n">
        <f aca="false">H334+D335</f>
        <v>258.4</v>
      </c>
      <c r="J335" s="7" t="n">
        <v>0</v>
      </c>
      <c r="K335" s="7" t="n">
        <f aca="false">K334+J335</f>
        <v>638.9</v>
      </c>
      <c r="L335" s="7" t="n">
        <v>3</v>
      </c>
      <c r="M335" s="7" t="n">
        <f aca="false">M334+L335</f>
        <v>438.7</v>
      </c>
      <c r="N335" s="14" t="n">
        <f aca="false">J335-L335</f>
        <v>-3</v>
      </c>
      <c r="O335" s="7" t="n">
        <f aca="false">O334+N335</f>
        <v>116.9</v>
      </c>
      <c r="P335" s="7" t="n">
        <v>296</v>
      </c>
      <c r="Q335" s="17" t="n">
        <f aca="false">1.15+((P335-260)/58)*(0.35-1.15)</f>
        <v>0.653448275862069</v>
      </c>
      <c r="R335" s="15" t="n">
        <f aca="false">Q335*L335</f>
        <v>1.96034482758621</v>
      </c>
      <c r="S335" s="15" t="n">
        <f aca="false">J335-R335</f>
        <v>-1.96034482758621</v>
      </c>
      <c r="T335" s="15" t="n">
        <f aca="false">MIN(189.6,(T334+S335))</f>
        <v>107.25276645768</v>
      </c>
      <c r="V335" s="7" t="n">
        <v>1705.8</v>
      </c>
      <c r="W335" s="7" t="n">
        <f aca="false">V335/D335</f>
        <v>99.7543859649123</v>
      </c>
      <c r="X335" s="7" t="n">
        <f aca="false">X334+V335</f>
        <v>239210.5</v>
      </c>
      <c r="Y335" s="7" t="n">
        <f aca="false">Y334+V335</f>
        <v>30391.1</v>
      </c>
      <c r="AA335" s="7" t="n">
        <v>16.2963568014584</v>
      </c>
    </row>
    <row r="336" s="7" customFormat="true" ht="15" hidden="false" customHeight="false" outlineLevel="0" collapsed="false">
      <c r="A336" s="70"/>
      <c r="B336" s="11"/>
      <c r="C336" s="8" t="n">
        <v>41817</v>
      </c>
      <c r="D336" s="7" t="n">
        <v>17.5</v>
      </c>
      <c r="E336" s="7" t="n">
        <v>15.1</v>
      </c>
      <c r="F336" s="7" t="n">
        <v>21.9</v>
      </c>
      <c r="G336" s="7" t="n">
        <f aca="false">G335+D336</f>
        <v>2903.3</v>
      </c>
      <c r="H336" s="48" t="n">
        <f aca="false">H335+D336</f>
        <v>275.9</v>
      </c>
      <c r="J336" s="7" t="n">
        <v>4.1</v>
      </c>
      <c r="K336" s="7" t="n">
        <f aca="false">K335+J336</f>
        <v>643</v>
      </c>
      <c r="L336" s="7" t="n">
        <v>2.6</v>
      </c>
      <c r="M336" s="7" t="n">
        <f aca="false">M335+L336</f>
        <v>441.3</v>
      </c>
      <c r="N336" s="7" t="n">
        <f aca="false">J336-L336</f>
        <v>1.5</v>
      </c>
      <c r="O336" s="7" t="n">
        <f aca="false">O335+N336</f>
        <v>118.4</v>
      </c>
      <c r="P336" s="7" t="n">
        <v>297</v>
      </c>
      <c r="Q336" s="17" t="n">
        <f aca="false">1.15+((P336-260)/58)*(0.35-1.15)</f>
        <v>0.639655172413793</v>
      </c>
      <c r="R336" s="15" t="n">
        <f aca="false">Q336*L336</f>
        <v>1.66310344827586</v>
      </c>
      <c r="S336" s="15" t="n">
        <f aca="false">J336-R336</f>
        <v>2.43689655172414</v>
      </c>
      <c r="T336" s="15" t="n">
        <f aca="false">MIN(189.6,(T335+S336))</f>
        <v>109.689663009404</v>
      </c>
      <c r="V336" s="7" t="n">
        <v>1297.6</v>
      </c>
      <c r="W336" s="7" t="n">
        <f aca="false">V336/D336</f>
        <v>74.1485714285714</v>
      </c>
      <c r="X336" s="7" t="n">
        <f aca="false">X335+V336</f>
        <v>240508.1</v>
      </c>
      <c r="Y336" s="7" t="n">
        <f aca="false">Y335+V336</f>
        <v>31688.7</v>
      </c>
      <c r="AA336" s="7" t="n">
        <v>16.2879801278877</v>
      </c>
    </row>
    <row r="337" s="7" customFormat="true" ht="15" hidden="false" customHeight="false" outlineLevel="0" collapsed="false">
      <c r="A337" s="70"/>
      <c r="B337" s="11"/>
      <c r="C337" s="8" t="n">
        <v>41818</v>
      </c>
      <c r="D337" s="7" t="n">
        <v>14.9</v>
      </c>
      <c r="E337" s="7" t="n">
        <v>14.1</v>
      </c>
      <c r="F337" s="7" t="n">
        <v>15.9</v>
      </c>
      <c r="G337" s="7" t="n">
        <f aca="false">G336+D337</f>
        <v>2918.2</v>
      </c>
      <c r="H337" s="48" t="n">
        <f aca="false">H336+D337</f>
        <v>290.8</v>
      </c>
      <c r="J337" s="7" t="n">
        <v>10.5</v>
      </c>
      <c r="K337" s="7" t="n">
        <f aca="false">K336+J337</f>
        <v>653.5</v>
      </c>
      <c r="L337" s="7" t="n">
        <v>1.4</v>
      </c>
      <c r="M337" s="7" t="n">
        <f aca="false">M336+L337</f>
        <v>442.7</v>
      </c>
      <c r="N337" s="7" t="n">
        <f aca="false">J337-L337</f>
        <v>9.1</v>
      </c>
      <c r="O337" s="7" t="n">
        <f aca="false">O336+N337</f>
        <v>127.5</v>
      </c>
      <c r="P337" s="7" t="n">
        <v>298</v>
      </c>
      <c r="Q337" s="17" t="n">
        <f aca="false">1.15+((P337-260)/58)*(0.35-1.15)</f>
        <v>0.625862068965517</v>
      </c>
      <c r="R337" s="15" t="n">
        <f aca="false">Q337*L337</f>
        <v>0.876206896551724</v>
      </c>
      <c r="S337" s="15" t="n">
        <f aca="false">J337-R337</f>
        <v>9.62379310344828</v>
      </c>
      <c r="T337" s="15" t="n">
        <f aca="false">MIN(189.6,(T336+S337))</f>
        <v>119.313456112853</v>
      </c>
      <c r="V337" s="7" t="n">
        <v>946.4</v>
      </c>
      <c r="W337" s="7" t="n">
        <f aca="false">V337/D337</f>
        <v>63.5167785234899</v>
      </c>
      <c r="X337" s="7" t="n">
        <f aca="false">X336+V337</f>
        <v>241454.5</v>
      </c>
      <c r="Y337" s="7" t="n">
        <f aca="false">Y336+V337</f>
        <v>32635.1</v>
      </c>
      <c r="AA337" s="7" t="n">
        <v>16.2781037304994</v>
      </c>
    </row>
    <row r="338" s="7" customFormat="true" ht="15" hidden="false" customHeight="false" outlineLevel="0" collapsed="false">
      <c r="A338" s="70"/>
      <c r="B338" s="11"/>
      <c r="C338" s="8" t="n">
        <v>41819</v>
      </c>
      <c r="D338" s="7" t="n">
        <v>14</v>
      </c>
      <c r="E338" s="7" t="n">
        <v>13</v>
      </c>
      <c r="F338" s="7" t="n">
        <v>16</v>
      </c>
      <c r="G338" s="7" t="n">
        <f aca="false">G337+D338</f>
        <v>2932.2</v>
      </c>
      <c r="H338" s="48" t="n">
        <f aca="false">H337+D338</f>
        <v>304.8</v>
      </c>
      <c r="J338" s="7" t="n">
        <v>6.6</v>
      </c>
      <c r="K338" s="7" t="n">
        <f aca="false">K337+J338</f>
        <v>660.1</v>
      </c>
      <c r="L338" s="7" t="n">
        <v>1.6</v>
      </c>
      <c r="M338" s="7" t="n">
        <f aca="false">M337+L338</f>
        <v>444.3</v>
      </c>
      <c r="N338" s="7" t="n">
        <f aca="false">J338-L338</f>
        <v>5</v>
      </c>
      <c r="O338" s="7" t="n">
        <f aca="false">O337+N338</f>
        <v>132.5</v>
      </c>
      <c r="P338" s="7" t="n">
        <v>299</v>
      </c>
      <c r="Q338" s="17" t="n">
        <f aca="false">1.15+((P338-260)/58)*(0.35-1.15)</f>
        <v>0.612068965517241</v>
      </c>
      <c r="R338" s="15" t="n">
        <f aca="false">Q338*L338</f>
        <v>0.979310344827586</v>
      </c>
      <c r="S338" s="15" t="n">
        <f aca="false">J338-R338</f>
        <v>5.62068965517241</v>
      </c>
      <c r="T338" s="15" t="n">
        <f aca="false">MIN(189.6,(T337+S338))</f>
        <v>124.934145768025</v>
      </c>
      <c r="V338" s="16" t="n">
        <v>848.4</v>
      </c>
      <c r="W338" s="7" t="n">
        <f aca="false">V338/D338</f>
        <v>60.6</v>
      </c>
      <c r="X338" s="7" t="n">
        <f aca="false">X337+V338</f>
        <v>242302.9</v>
      </c>
      <c r="Y338" s="7" t="n">
        <f aca="false">Y337+V338</f>
        <v>33483.5</v>
      </c>
      <c r="AA338" s="7" t="n">
        <v>16.266738739605</v>
      </c>
    </row>
    <row r="339" s="7" customFormat="true" ht="15" hidden="false" customHeight="false" outlineLevel="0" collapsed="false">
      <c r="A339" s="70"/>
      <c r="B339" s="11"/>
      <c r="C339" s="8" t="n">
        <v>41820</v>
      </c>
      <c r="D339" s="7" t="n">
        <v>14.9</v>
      </c>
      <c r="E339" s="7" t="n">
        <v>10.6</v>
      </c>
      <c r="F339" s="7" t="n">
        <v>19.6</v>
      </c>
      <c r="G339" s="7" t="n">
        <f aca="false">G338+D339</f>
        <v>2947.1</v>
      </c>
      <c r="H339" s="48" t="n">
        <f aca="false">H338+D339</f>
        <v>319.7</v>
      </c>
      <c r="J339" s="7" t="n">
        <v>3.2</v>
      </c>
      <c r="K339" s="7" t="n">
        <f aca="false">K338+J339</f>
        <v>663.3</v>
      </c>
      <c r="L339" s="7" t="n">
        <v>1.3</v>
      </c>
      <c r="M339" s="7" t="n">
        <f aca="false">M338+L339</f>
        <v>445.6</v>
      </c>
      <c r="N339" s="7" t="n">
        <f aca="false">J339-L339</f>
        <v>1.9</v>
      </c>
      <c r="O339" s="7" t="n">
        <f aca="false">O338+N339</f>
        <v>134.4</v>
      </c>
      <c r="P339" s="7" t="n">
        <v>300</v>
      </c>
      <c r="Q339" s="17" t="n">
        <f aca="false">1.15+((P339-260)/58)*(0.35-1.15)</f>
        <v>0.598275862068965</v>
      </c>
      <c r="R339" s="15" t="n">
        <f aca="false">Q339*L339</f>
        <v>0.777758620689655</v>
      </c>
      <c r="S339" s="15" t="n">
        <f aca="false">J339-R339</f>
        <v>2.42224137931035</v>
      </c>
      <c r="T339" s="15" t="n">
        <f aca="false">MIN(189.6,(T338+S339))</f>
        <v>127.356387147335</v>
      </c>
      <c r="V339" s="16" t="n">
        <v>692.1</v>
      </c>
      <c r="W339" s="7" t="n">
        <f aca="false">V339/D339</f>
        <v>46.4496644295302</v>
      </c>
      <c r="X339" s="7" t="n">
        <f aca="false">X338+V339</f>
        <v>242995</v>
      </c>
      <c r="Y339" s="7" t="n">
        <f aca="false">Y338+V339</f>
        <v>34175.6</v>
      </c>
      <c r="AA339" s="7" t="n">
        <v>16.2538977858922</v>
      </c>
    </row>
    <row r="340" s="7" customFormat="true" ht="15" hidden="false" customHeight="false" outlineLevel="0" collapsed="false">
      <c r="A340" s="70"/>
      <c r="B340" s="11"/>
      <c r="C340" s="8" t="n">
        <v>41821</v>
      </c>
      <c r="D340" s="7" t="n">
        <v>16.4</v>
      </c>
      <c r="E340" s="7" t="n">
        <v>12.6</v>
      </c>
      <c r="F340" s="7" t="n">
        <v>20</v>
      </c>
      <c r="G340" s="7" t="n">
        <f aca="false">G339+D340</f>
        <v>2963.5</v>
      </c>
      <c r="H340" s="48" t="n">
        <f aca="false">H339+D340</f>
        <v>336.1</v>
      </c>
      <c r="J340" s="7" t="n">
        <v>0</v>
      </c>
      <c r="K340" s="7" t="n">
        <f aca="false">K339+J340</f>
        <v>663.3</v>
      </c>
      <c r="L340" s="7" t="n">
        <v>2.4</v>
      </c>
      <c r="M340" s="7" t="n">
        <f aca="false">M339+L340</f>
        <v>448</v>
      </c>
      <c r="N340" s="14" t="n">
        <f aca="false">J340-L340</f>
        <v>-2.4</v>
      </c>
      <c r="O340" s="7" t="n">
        <f aca="false">O339+N340</f>
        <v>132</v>
      </c>
      <c r="P340" s="7" t="n">
        <v>301</v>
      </c>
      <c r="Q340" s="17" t="n">
        <f aca="false">1.15+((P340-260)/58)*(0.35-1.15)</f>
        <v>0.58448275862069</v>
      </c>
      <c r="R340" s="15" t="n">
        <f aca="false">Q340*L340</f>
        <v>1.40275862068966</v>
      </c>
      <c r="S340" s="15" t="n">
        <f aca="false">J340-R340</f>
        <v>-1.40275862068966</v>
      </c>
      <c r="T340" s="15" t="n">
        <f aca="false">MIN(189.6,(T339+S340))</f>
        <v>125.953628526646</v>
      </c>
      <c r="V340" s="7" t="n">
        <v>1033.3</v>
      </c>
      <c r="W340" s="7" t="n">
        <f aca="false">V340/D340</f>
        <v>63.0060975609756</v>
      </c>
      <c r="X340" s="7" t="n">
        <f aca="false">X339+V340</f>
        <v>244028.3</v>
      </c>
      <c r="Y340" s="7" t="n">
        <f aca="false">Y339+V340</f>
        <v>35208.9</v>
      </c>
      <c r="AA340" s="7" t="n">
        <v>16.2395949505057</v>
      </c>
    </row>
    <row r="341" s="7" customFormat="true" ht="15" hidden="false" customHeight="false" outlineLevel="0" collapsed="false">
      <c r="A341" s="70"/>
      <c r="B341" s="11"/>
      <c r="C341" s="8" t="n">
        <v>41822</v>
      </c>
      <c r="D341" s="7" t="n">
        <v>16.7</v>
      </c>
      <c r="E341" s="7" t="n">
        <v>11.8</v>
      </c>
      <c r="F341" s="7" t="n">
        <v>21.5</v>
      </c>
      <c r="G341" s="7" t="n">
        <f aca="false">G340+D341</f>
        <v>2980.2</v>
      </c>
      <c r="H341" s="48" t="n">
        <f aca="false">H340+D341</f>
        <v>352.8</v>
      </c>
      <c r="J341" s="7" t="n">
        <v>0</v>
      </c>
      <c r="K341" s="7" t="n">
        <f aca="false">K340+J341</f>
        <v>663.3</v>
      </c>
      <c r="L341" s="7" t="n">
        <v>4.8</v>
      </c>
      <c r="M341" s="7" t="n">
        <f aca="false">M340+L341</f>
        <v>452.8</v>
      </c>
      <c r="N341" s="14" t="n">
        <f aca="false">J341-L341</f>
        <v>-4.8</v>
      </c>
      <c r="O341" s="7" t="n">
        <f aca="false">O340+N341</f>
        <v>127.2</v>
      </c>
      <c r="P341" s="7" t="n">
        <v>302</v>
      </c>
      <c r="Q341" s="17" t="n">
        <f aca="false">1.15+((P341-260)/58)*(0.35-1.15)</f>
        <v>0.570689655172414</v>
      </c>
      <c r="R341" s="15" t="n">
        <f aca="false">Q341*L341</f>
        <v>2.73931034482759</v>
      </c>
      <c r="S341" s="15" t="n">
        <f aca="false">J341-R341</f>
        <v>-2.73931034482759</v>
      </c>
      <c r="T341" s="15" t="n">
        <f aca="false">MIN(189.6,(T340+S341))</f>
        <v>123.214318181818</v>
      </c>
      <c r="V341" s="7" t="n">
        <v>2733.3</v>
      </c>
      <c r="W341" s="7" t="n">
        <f aca="false">V341/D341</f>
        <v>163.670658682635</v>
      </c>
      <c r="X341" s="7" t="n">
        <f aca="false">X340+V341</f>
        <v>246761.6</v>
      </c>
      <c r="Y341" s="7" t="n">
        <f aca="false">Y340+V341</f>
        <v>37942.2</v>
      </c>
      <c r="AA341" s="7" t="n">
        <v>16.2238457101089</v>
      </c>
    </row>
    <row r="342" s="7" customFormat="true" ht="15" hidden="false" customHeight="false" outlineLevel="0" collapsed="false">
      <c r="A342" s="70"/>
      <c r="B342" s="11"/>
      <c r="C342" s="8" t="n">
        <v>41823</v>
      </c>
      <c r="D342" s="7" t="n">
        <v>19.9</v>
      </c>
      <c r="E342" s="7" t="n">
        <v>12.7</v>
      </c>
      <c r="F342" s="12" t="n">
        <v>25.9</v>
      </c>
      <c r="G342" s="7" t="n">
        <f aca="false">G341+D342</f>
        <v>3000.1</v>
      </c>
      <c r="H342" s="48" t="n">
        <f aca="false">H341+D342</f>
        <v>372.7</v>
      </c>
      <c r="J342" s="7" t="n">
        <v>0</v>
      </c>
      <c r="K342" s="7" t="n">
        <f aca="false">K341+J342</f>
        <v>663.3</v>
      </c>
      <c r="L342" s="7" t="n">
        <v>5.3</v>
      </c>
      <c r="M342" s="7" t="n">
        <f aca="false">M341+L342</f>
        <v>458.1</v>
      </c>
      <c r="N342" s="14" t="n">
        <f aca="false">J342-L342</f>
        <v>-5.3</v>
      </c>
      <c r="O342" s="7" t="n">
        <f aca="false">O341+N342</f>
        <v>121.9</v>
      </c>
      <c r="P342" s="7" t="n">
        <v>303</v>
      </c>
      <c r="Q342" s="17" t="n">
        <f aca="false">1.15+((P342-260)/58)*(0.35-1.15)</f>
        <v>0.556896551724138</v>
      </c>
      <c r="R342" s="15" t="n">
        <f aca="false">Q342*L342</f>
        <v>2.95155172413793</v>
      </c>
      <c r="S342" s="15" t="n">
        <f aca="false">J342-R342</f>
        <v>-2.95155172413793</v>
      </c>
      <c r="T342" s="15" t="n">
        <f aca="false">MIN(189.6,(T341+S342))</f>
        <v>120.26276645768</v>
      </c>
      <c r="V342" s="7" t="n">
        <v>2724.4</v>
      </c>
      <c r="W342" s="7" t="n">
        <f aca="false">V342/D342</f>
        <v>136.904522613065</v>
      </c>
      <c r="X342" s="7" t="n">
        <f aca="false">X341+V342</f>
        <v>249486</v>
      </c>
      <c r="Y342" s="7" t="n">
        <f aca="false">Y341+V342</f>
        <v>40666.6</v>
      </c>
      <c r="AA342" s="7" t="n">
        <v>16.2066668773704</v>
      </c>
    </row>
    <row r="343" s="7" customFormat="true" ht="15" hidden="false" customHeight="false" outlineLevel="0" collapsed="false">
      <c r="A343" s="70"/>
      <c r="B343" s="11"/>
      <c r="C343" s="8" t="n">
        <v>41824</v>
      </c>
      <c r="D343" s="7" t="n">
        <v>18.9</v>
      </c>
      <c r="E343" s="7" t="n">
        <v>13.6</v>
      </c>
      <c r="F343" s="7" t="n">
        <v>21.8</v>
      </c>
      <c r="G343" s="7" t="n">
        <f aca="false">G342+D343</f>
        <v>3019</v>
      </c>
      <c r="H343" s="48" t="n">
        <f aca="false">H342+D343</f>
        <v>391.6</v>
      </c>
      <c r="J343" s="7" t="n">
        <v>4.5</v>
      </c>
      <c r="K343" s="7" t="n">
        <f aca="false">K342+J343</f>
        <v>667.8</v>
      </c>
      <c r="L343" s="7" t="n">
        <v>1.9</v>
      </c>
      <c r="M343" s="7" t="n">
        <f aca="false">M342+L343</f>
        <v>460</v>
      </c>
      <c r="N343" s="7" t="n">
        <f aca="false">J343-L343</f>
        <v>2.6</v>
      </c>
      <c r="O343" s="7" t="n">
        <f aca="false">O342+N343</f>
        <v>124.5</v>
      </c>
      <c r="P343" s="7" t="n">
        <v>304</v>
      </c>
      <c r="Q343" s="17" t="n">
        <f aca="false">1.15+((P343-260)/58)*(0.35-1.15)</f>
        <v>0.543103448275862</v>
      </c>
      <c r="R343" s="15" t="n">
        <f aca="false">Q343*L343</f>
        <v>1.03189655172414</v>
      </c>
      <c r="S343" s="15" t="n">
        <f aca="false">J343-R343</f>
        <v>3.46810344827586</v>
      </c>
      <c r="T343" s="15" t="n">
        <f aca="false">MIN(189.6,(T342+S343))</f>
        <v>123.730869905956</v>
      </c>
      <c r="V343" s="7" t="n">
        <v>1131.1</v>
      </c>
      <c r="W343" s="7" t="n">
        <f aca="false">V343/D343</f>
        <v>59.8465608465609</v>
      </c>
      <c r="X343" s="7" t="n">
        <f aca="false">X342+V343</f>
        <v>250617.1</v>
      </c>
      <c r="Y343" s="7" t="n">
        <f aca="false">Y342+V343</f>
        <v>41797.7</v>
      </c>
      <c r="AA343" s="7" t="n">
        <v>16.188076537342</v>
      </c>
    </row>
    <row r="344" s="23" customFormat="true" ht="15" hidden="false" customHeight="false" outlineLevel="0" collapsed="false">
      <c r="A344" s="70"/>
      <c r="B344" s="20"/>
      <c r="C344" s="86" t="n">
        <v>41825</v>
      </c>
      <c r="D344" s="23" t="n">
        <v>18.7</v>
      </c>
      <c r="E344" s="23" t="n">
        <v>16.7</v>
      </c>
      <c r="F344" s="23" t="n">
        <v>20.4</v>
      </c>
      <c r="G344" s="23" t="n">
        <f aca="false">G343+D344</f>
        <v>3037.7</v>
      </c>
      <c r="H344" s="78" t="n">
        <f aca="false">H343+D344</f>
        <v>410.3</v>
      </c>
      <c r="J344" s="23" t="n">
        <v>2.7</v>
      </c>
      <c r="K344" s="23" t="n">
        <f aca="false">K343+J344</f>
        <v>670.5</v>
      </c>
      <c r="L344" s="23" t="n">
        <v>1.3</v>
      </c>
      <c r="M344" s="23" t="n">
        <f aca="false">M343+L344</f>
        <v>461.3</v>
      </c>
      <c r="N344" s="23" t="n">
        <f aca="false">J344-L344</f>
        <v>1.4</v>
      </c>
      <c r="O344" s="23" t="n">
        <f aca="false">O343+N344</f>
        <v>125.9</v>
      </c>
      <c r="P344" s="23" t="n">
        <v>305</v>
      </c>
      <c r="Q344" s="54" t="n">
        <f aca="false">1.15+((P344-260)/58)*(0.35-1.15)</f>
        <v>0.529310344827586</v>
      </c>
      <c r="R344" s="24" t="n">
        <f aca="false">Q344*L344</f>
        <v>0.688103448275862</v>
      </c>
      <c r="S344" s="24" t="n">
        <f aca="false">J344-R344</f>
        <v>2.01189655172414</v>
      </c>
      <c r="T344" s="24" t="n">
        <f aca="false">MIN(189.6,(T343+S344))</f>
        <v>125.74276645768</v>
      </c>
      <c r="V344" s="87" t="n">
        <v>539.5</v>
      </c>
      <c r="W344" s="23" t="n">
        <f aca="false">V344/D344</f>
        <v>28.8502673796791</v>
      </c>
      <c r="X344" s="23" t="n">
        <f aca="false">X343+V344</f>
        <v>251156.6</v>
      </c>
      <c r="Y344" s="23" t="n">
        <f aca="false">Y343+V344</f>
        <v>42337.2</v>
      </c>
      <c r="AA344" s="23" t="n">
        <v>16.1680939802181</v>
      </c>
    </row>
    <row r="345" s="91" customFormat="true" ht="15" hidden="false" customHeight="false" outlineLevel="0" collapsed="false">
      <c r="B345" s="89"/>
      <c r="C345" s="90" t="n">
        <v>41826</v>
      </c>
      <c r="D345" s="91" t="n">
        <v>15.9</v>
      </c>
      <c r="E345" s="91" t="n">
        <v>14.8</v>
      </c>
      <c r="F345" s="91" t="n">
        <v>18.2</v>
      </c>
      <c r="G345" s="91" t="n">
        <f aca="false">G344+D345</f>
        <v>3053.6</v>
      </c>
      <c r="H345" s="48" t="n">
        <f aca="false">H344+D345</f>
        <v>426.2</v>
      </c>
      <c r="J345" s="91" t="n">
        <v>16</v>
      </c>
      <c r="K345" s="91" t="n">
        <f aca="false">K344+J345</f>
        <v>686.5</v>
      </c>
      <c r="L345" s="91" t="n">
        <v>1.7</v>
      </c>
      <c r="M345" s="91" t="n">
        <f aca="false">M344+L345</f>
        <v>463</v>
      </c>
      <c r="N345" s="91" t="n">
        <f aca="false">J345-L345</f>
        <v>14.3</v>
      </c>
      <c r="O345" s="48" t="n">
        <f aca="false">O344+N345</f>
        <v>140.2</v>
      </c>
      <c r="P345" s="48" t="n">
        <v>306</v>
      </c>
      <c r="Q345" s="17" t="n">
        <f aca="false">1.15+((P345-260)/58)*(0.35-1.15)</f>
        <v>0.51551724137931</v>
      </c>
      <c r="R345" s="49" t="n">
        <f aca="false">Q345*L345</f>
        <v>0.876379310344828</v>
      </c>
      <c r="S345" s="49" t="n">
        <f aca="false">J345-R345</f>
        <v>15.1236206896552</v>
      </c>
      <c r="T345" s="49" t="n">
        <f aca="false">MIN(189.6,(T344+S345))</f>
        <v>140.866387147335</v>
      </c>
      <c r="V345" s="85" t="n">
        <v>889.1</v>
      </c>
      <c r="W345" s="91" t="n">
        <f aca="false">V345/D345</f>
        <v>55.9182389937107</v>
      </c>
      <c r="X345" s="91" t="n">
        <f aca="false">X344+V345</f>
        <v>252045.7</v>
      </c>
      <c r="Y345" s="7" t="n">
        <f aca="false">Y344+V345</f>
        <v>43226.3</v>
      </c>
      <c r="AA345" s="48" t="n">
        <v>16.1467396309795</v>
      </c>
    </row>
    <row r="346" s="7" customFormat="true" ht="15" hidden="false" customHeight="true" outlineLevel="0" collapsed="false">
      <c r="A346" s="72" t="s">
        <v>58</v>
      </c>
      <c r="B346" s="72"/>
      <c r="C346" s="8" t="n">
        <v>41827</v>
      </c>
      <c r="D346" s="7" t="n">
        <v>15.6</v>
      </c>
      <c r="E346" s="7" t="n">
        <v>10.1</v>
      </c>
      <c r="F346" s="7" t="n">
        <v>19.6</v>
      </c>
      <c r="G346" s="7" t="n">
        <f aca="false">G345+D346</f>
        <v>3069.2</v>
      </c>
      <c r="H346" s="48" t="n">
        <f aca="false">H345+D346</f>
        <v>441.8</v>
      </c>
      <c r="J346" s="7" t="n">
        <v>7.1</v>
      </c>
      <c r="K346" s="7" t="n">
        <f aca="false">K345+J346</f>
        <v>693.6</v>
      </c>
      <c r="L346" s="7" t="n">
        <v>2.5</v>
      </c>
      <c r="M346" s="7" t="n">
        <f aca="false">M345+L346</f>
        <v>465.5</v>
      </c>
      <c r="N346" s="7" t="n">
        <f aca="false">J346-L346</f>
        <v>4.6</v>
      </c>
      <c r="O346" s="7" t="n">
        <f aca="false">O345+N346</f>
        <v>144.8</v>
      </c>
      <c r="P346" s="7" t="n">
        <v>307</v>
      </c>
      <c r="Q346" s="17" t="n">
        <f aca="false">1.15+((P346-260)/58)*(0.35-1.15)</f>
        <v>0.501724137931034</v>
      </c>
      <c r="R346" s="15" t="n">
        <f aca="false">Q346*L346</f>
        <v>1.25431034482759</v>
      </c>
      <c r="S346" s="15" t="n">
        <f aca="false">J346-R346</f>
        <v>5.84568965517241</v>
      </c>
      <c r="T346" s="15" t="n">
        <f aca="false">MIN(189.6,(T345+S346))</f>
        <v>146.712076802508</v>
      </c>
      <c r="V346" s="7" t="n">
        <v>1718.6</v>
      </c>
      <c r="W346" s="7" t="n">
        <f aca="false">V346/D346</f>
        <v>110.166666666667</v>
      </c>
      <c r="X346" s="7" t="n">
        <f aca="false">X345+V346</f>
        <v>253764.3</v>
      </c>
      <c r="Y346" s="7" t="n">
        <f aca="false">Y345+V346</f>
        <v>44944.9</v>
      </c>
      <c r="AA346" s="7" t="n">
        <v>16.1240349764324</v>
      </c>
    </row>
    <row r="347" s="7" customFormat="true" ht="15" hidden="false" customHeight="false" outlineLevel="0" collapsed="false">
      <c r="A347" s="72"/>
      <c r="B347" s="72"/>
      <c r="C347" s="8" t="n">
        <v>41828</v>
      </c>
      <c r="D347" s="7" t="n">
        <v>14.4</v>
      </c>
      <c r="E347" s="7" t="n">
        <v>13.2</v>
      </c>
      <c r="F347" s="7" t="n">
        <v>16.7</v>
      </c>
      <c r="G347" s="7" t="n">
        <f aca="false">G346+D347</f>
        <v>3083.6</v>
      </c>
      <c r="H347" s="48" t="n">
        <f aca="false">H346+D347</f>
        <v>456.2</v>
      </c>
      <c r="J347" s="7" t="n">
        <v>2.4</v>
      </c>
      <c r="K347" s="7" t="n">
        <f aca="false">K346+J347</f>
        <v>696</v>
      </c>
      <c r="L347" s="7" t="n">
        <v>1.4</v>
      </c>
      <c r="M347" s="7" t="n">
        <f aca="false">M346+L347</f>
        <v>466.9</v>
      </c>
      <c r="N347" s="7" t="n">
        <f aca="false">J347-L347</f>
        <v>1</v>
      </c>
      <c r="O347" s="7" t="n">
        <f aca="false">O346+N347</f>
        <v>145.8</v>
      </c>
      <c r="P347" s="7" t="n">
        <v>308</v>
      </c>
      <c r="Q347" s="17" t="n">
        <f aca="false">1.15+((P347-260)/58)*(0.35-1.15)</f>
        <v>0.487931034482759</v>
      </c>
      <c r="R347" s="15" t="n">
        <f aca="false">Q347*L347</f>
        <v>0.683103448275862</v>
      </c>
      <c r="S347" s="15" t="n">
        <f aca="false">J347-R347</f>
        <v>1.71689655172414</v>
      </c>
      <c r="T347" s="15" t="n">
        <f aca="false">MIN(189.6,(T346+S347))</f>
        <v>148.428973354232</v>
      </c>
      <c r="V347" s="16" t="n">
        <v>794.8</v>
      </c>
      <c r="W347" s="7" t="n">
        <f aca="false">V347/D347</f>
        <v>55.1944444444444</v>
      </c>
      <c r="X347" s="7" t="n">
        <f aca="false">X346+V347</f>
        <v>254559.1</v>
      </c>
      <c r="Y347" s="7" t="n">
        <f aca="false">Y346+V347</f>
        <v>45739.7</v>
      </c>
      <c r="AA347" s="7" t="n">
        <v>16.100002490156</v>
      </c>
    </row>
    <row r="348" s="7" customFormat="true" ht="15" hidden="false" customHeight="false" outlineLevel="0" collapsed="false">
      <c r="A348" s="72"/>
      <c r="B348" s="72"/>
      <c r="C348" s="8" t="n">
        <v>41829</v>
      </c>
      <c r="D348" s="7" t="n">
        <v>13.9</v>
      </c>
      <c r="E348" s="7" t="n">
        <v>11.8</v>
      </c>
      <c r="F348" s="7" t="n">
        <v>14.8</v>
      </c>
      <c r="G348" s="7" t="n">
        <f aca="false">G347+D348</f>
        <v>3097.5</v>
      </c>
      <c r="H348" s="48" t="n">
        <f aca="false">H347+D348</f>
        <v>470.1</v>
      </c>
      <c r="J348" s="7" t="n">
        <v>20.7</v>
      </c>
      <c r="K348" s="7" t="n">
        <f aca="false">K347+J348</f>
        <v>716.7</v>
      </c>
      <c r="L348" s="7" t="n">
        <v>0.8</v>
      </c>
      <c r="M348" s="7" t="n">
        <f aca="false">M347+L348</f>
        <v>467.7</v>
      </c>
      <c r="N348" s="7" t="n">
        <f aca="false">J348-L348</f>
        <v>19.9</v>
      </c>
      <c r="O348" s="7" t="n">
        <f aca="false">O347+N348</f>
        <v>165.7</v>
      </c>
      <c r="P348" s="7" t="n">
        <v>309</v>
      </c>
      <c r="Q348" s="17" t="n">
        <f aca="false">1.15+((P348-260)/58)*(0.35-1.15)</f>
        <v>0.474137931034483</v>
      </c>
      <c r="R348" s="15" t="n">
        <f aca="false">Q348*L348</f>
        <v>0.379310344827586</v>
      </c>
      <c r="S348" s="15" t="n">
        <f aca="false">J348-R348</f>
        <v>20.3206896551724</v>
      </c>
      <c r="T348" s="15" t="n">
        <f aca="false">MIN(189.6,(T347+S348))</f>
        <v>168.749663009404</v>
      </c>
      <c r="V348" s="16" t="n">
        <v>557.6</v>
      </c>
      <c r="W348" s="7" t="n">
        <f aca="false">V348/D348</f>
        <v>40.1151079136691</v>
      </c>
      <c r="X348" s="7" t="n">
        <f aca="false">X347+V348</f>
        <v>255116.7</v>
      </c>
      <c r="Y348" s="7" t="n">
        <f aca="false">Y347+V348</f>
        <v>46297.3</v>
      </c>
      <c r="AA348" s="7" t="n">
        <v>16.0746655558675</v>
      </c>
    </row>
    <row r="349" s="7" customFormat="true" ht="15" hidden="false" customHeight="false" outlineLevel="0" collapsed="false">
      <c r="A349" s="72"/>
      <c r="B349" s="72"/>
      <c r="C349" s="8" t="n">
        <v>41830</v>
      </c>
      <c r="D349" s="7" t="n">
        <v>15.4</v>
      </c>
      <c r="E349" s="7" t="n">
        <v>14.1</v>
      </c>
      <c r="F349" s="7" t="n">
        <v>16.5</v>
      </c>
      <c r="G349" s="7" t="n">
        <f aca="false">G348+D349</f>
        <v>3112.9</v>
      </c>
      <c r="H349" s="48" t="n">
        <f aca="false">H348+D349</f>
        <v>485.5</v>
      </c>
      <c r="J349" s="7" t="n">
        <v>18.9</v>
      </c>
      <c r="K349" s="7" t="n">
        <f aca="false">K348+J349</f>
        <v>735.6</v>
      </c>
      <c r="L349" s="7" t="n">
        <v>1</v>
      </c>
      <c r="M349" s="7" t="n">
        <f aca="false">M348+L349</f>
        <v>468.7</v>
      </c>
      <c r="N349" s="7" t="n">
        <f aca="false">J349-L349</f>
        <v>17.9</v>
      </c>
      <c r="O349" s="7" t="n">
        <f aca="false">O348+N349</f>
        <v>183.6</v>
      </c>
      <c r="P349" s="7" t="n">
        <v>310</v>
      </c>
      <c r="Q349" s="17" t="n">
        <f aca="false">1.15+((P349-260)/58)*(0.35-1.15)</f>
        <v>0.460344827586207</v>
      </c>
      <c r="R349" s="15" t="n">
        <f aca="false">Q349*L349</f>
        <v>0.460344827586207</v>
      </c>
      <c r="S349" s="15" t="n">
        <f aca="false">J349-R349</f>
        <v>18.4396551724138</v>
      </c>
      <c r="T349" s="15" t="n">
        <f aca="false">MIN(189.6,(T348+S349))</f>
        <v>187.189318181818</v>
      </c>
      <c r="V349" s="16" t="n">
        <v>516.7</v>
      </c>
      <c r="W349" s="7" t="n">
        <f aca="false">V349/D349</f>
        <v>33.5519480519481</v>
      </c>
      <c r="X349" s="7" t="n">
        <f aca="false">X348+V349</f>
        <v>255633.4</v>
      </c>
      <c r="Y349" s="7" t="n">
        <f aca="false">Y348+V349</f>
        <v>46814</v>
      </c>
      <c r="AA349" s="7" t="n">
        <v>16.0480483897061</v>
      </c>
    </row>
    <row r="350" s="7" customFormat="true" ht="15" hidden="false" customHeight="false" outlineLevel="0" collapsed="false">
      <c r="A350" s="72"/>
      <c r="B350" s="72"/>
      <c r="C350" s="8" t="n">
        <v>41831</v>
      </c>
      <c r="D350" s="7" t="n">
        <v>15.2</v>
      </c>
      <c r="E350" s="7" t="n">
        <v>14.5</v>
      </c>
      <c r="F350" s="7" t="n">
        <v>15.8</v>
      </c>
      <c r="G350" s="7" t="n">
        <f aca="false">G349+D350</f>
        <v>3128.1</v>
      </c>
      <c r="H350" s="48" t="n">
        <f aca="false">H349+D350</f>
        <v>500.7</v>
      </c>
      <c r="J350" s="7" t="n">
        <v>8</v>
      </c>
      <c r="K350" s="7" t="n">
        <f aca="false">K349+J350</f>
        <v>743.6</v>
      </c>
      <c r="L350" s="7" t="n">
        <v>0.8</v>
      </c>
      <c r="M350" s="7" t="n">
        <f aca="false">M349+L350</f>
        <v>469.5</v>
      </c>
      <c r="N350" s="7" t="n">
        <f aca="false">J350-L350</f>
        <v>7.2</v>
      </c>
      <c r="O350" s="7" t="n">
        <v>189.6</v>
      </c>
      <c r="P350" s="7" t="n">
        <v>311</v>
      </c>
      <c r="Q350" s="17" t="n">
        <f aca="false">1.15+((P350-260)/58)*(0.35-1.15)</f>
        <v>0.446551724137931</v>
      </c>
      <c r="R350" s="15" t="n">
        <f aca="false">Q350*L350</f>
        <v>0.357241379310345</v>
      </c>
      <c r="S350" s="15" t="n">
        <f aca="false">J350-R350</f>
        <v>7.64275862068966</v>
      </c>
      <c r="T350" s="15" t="n">
        <f aca="false">MIN(189.6,(T349+S350))</f>
        <v>189.6</v>
      </c>
      <c r="V350" s="16" t="n">
        <v>400.5</v>
      </c>
      <c r="W350" s="7" t="n">
        <f aca="false">V350/D350</f>
        <v>26.3486842105263</v>
      </c>
      <c r="X350" s="7" t="n">
        <f aca="false">X349+V350</f>
        <v>256033.9</v>
      </c>
      <c r="Y350" s="7" t="n">
        <f aca="false">Y349+V350</f>
        <v>47214.5</v>
      </c>
      <c r="AA350" s="7" t="n">
        <v>16.0201759619198</v>
      </c>
    </row>
    <row r="351" s="7" customFormat="true" ht="15" hidden="false" customHeight="false" outlineLevel="0" collapsed="false">
      <c r="A351" s="72"/>
      <c r="B351" s="72"/>
      <c r="C351" s="8" t="n">
        <v>41832</v>
      </c>
      <c r="D351" s="7" t="n">
        <v>16.7</v>
      </c>
      <c r="E351" s="7" t="n">
        <v>14.3</v>
      </c>
      <c r="F351" s="7" t="n">
        <v>20.8</v>
      </c>
      <c r="G351" s="7" t="n">
        <f aca="false">G350+D351</f>
        <v>3144.8</v>
      </c>
      <c r="H351" s="48" t="n">
        <f aca="false">H350+D351</f>
        <v>517.4</v>
      </c>
      <c r="J351" s="7" t="n">
        <v>1.2</v>
      </c>
      <c r="K351" s="7" t="n">
        <f aca="false">K350+J351</f>
        <v>744.8</v>
      </c>
      <c r="L351" s="7" t="n">
        <v>1.4</v>
      </c>
      <c r="M351" s="7" t="n">
        <f aca="false">M350+L351</f>
        <v>470.9</v>
      </c>
      <c r="N351" s="14" t="n">
        <f aca="false">J351-L351</f>
        <v>-0.2</v>
      </c>
      <c r="O351" s="7" t="n">
        <f aca="false">O350+N351</f>
        <v>189.4</v>
      </c>
      <c r="P351" s="7" t="n">
        <v>312</v>
      </c>
      <c r="Q351" s="17" t="n">
        <f aca="false">1.15+((P351-260)/58)*(0.35-1.15)</f>
        <v>0.432758620689655</v>
      </c>
      <c r="R351" s="15" t="n">
        <f aca="false">Q351*L351</f>
        <v>0.605862068965517</v>
      </c>
      <c r="S351" s="15" t="n">
        <f aca="false">J351-R351</f>
        <v>0.594137931034483</v>
      </c>
      <c r="T351" s="15" t="n">
        <f aca="false">MIN(189.6,(T350+S351))</f>
        <v>189.6</v>
      </c>
      <c r="V351" s="16" t="n">
        <v>631.5</v>
      </c>
      <c r="W351" s="7" t="n">
        <f aca="false">V351/D351</f>
        <v>37.814371257485</v>
      </c>
      <c r="X351" s="7" t="n">
        <f aca="false">X350+V351</f>
        <v>256665.4</v>
      </c>
      <c r="Y351" s="7" t="n">
        <f aca="false">Y350+V351</f>
        <v>47846</v>
      </c>
      <c r="AA351" s="7" t="n">
        <v>15.9910739184252</v>
      </c>
    </row>
    <row r="352" s="7" customFormat="true" ht="15" hidden="false" customHeight="false" outlineLevel="0" collapsed="false">
      <c r="A352" s="72"/>
      <c r="B352" s="72"/>
      <c r="C352" s="8" t="n">
        <v>41833</v>
      </c>
      <c r="D352" s="7" t="n">
        <v>17.5</v>
      </c>
      <c r="E352" s="7" t="n">
        <v>13.7</v>
      </c>
      <c r="F352" s="7" t="n">
        <v>20.9</v>
      </c>
      <c r="G352" s="7" t="n">
        <f aca="false">G351+D352</f>
        <v>3162.3</v>
      </c>
      <c r="H352" s="48" t="n">
        <f aca="false">H351+D352</f>
        <v>534.9</v>
      </c>
      <c r="J352" s="7" t="n">
        <v>4.2</v>
      </c>
      <c r="K352" s="7" t="n">
        <f aca="false">K351+J352</f>
        <v>749</v>
      </c>
      <c r="L352" s="7" t="n">
        <v>1.7</v>
      </c>
      <c r="M352" s="7" t="n">
        <f aca="false">M351+L352</f>
        <v>472.6</v>
      </c>
      <c r="N352" s="7" t="n">
        <f aca="false">J352-L352</f>
        <v>2.5</v>
      </c>
      <c r="O352" s="7" t="n">
        <v>189.6</v>
      </c>
      <c r="P352" s="7" t="n">
        <v>313</v>
      </c>
      <c r="Q352" s="17" t="n">
        <f aca="false">1.15+((P352-260)/58)*(0.35-1.15)</f>
        <v>0.418965517241379</v>
      </c>
      <c r="R352" s="15" t="n">
        <f aca="false">Q352*L352</f>
        <v>0.712241379310345</v>
      </c>
      <c r="S352" s="15" t="n">
        <f aca="false">J352-R352</f>
        <v>3.48775862068966</v>
      </c>
      <c r="T352" s="15" t="n">
        <f aca="false">MIN(189.6,(T351+S352))</f>
        <v>189.6</v>
      </c>
      <c r="V352" s="16" t="n">
        <v>811.8</v>
      </c>
      <c r="W352" s="7" t="n">
        <f aca="false">V352/D352</f>
        <v>46.3885714285714</v>
      </c>
      <c r="X352" s="7" t="n">
        <f aca="false">X351+V352</f>
        <v>257477.2</v>
      </c>
      <c r="Y352" s="7" t="n">
        <f aca="false">Y351+V352</f>
        <v>48657.8</v>
      </c>
      <c r="AA352" s="7" t="n">
        <v>15.960768502684</v>
      </c>
    </row>
    <row r="353" s="7" customFormat="true" ht="15" hidden="false" customHeight="false" outlineLevel="0" collapsed="false">
      <c r="A353" s="72"/>
      <c r="B353" s="72"/>
      <c r="C353" s="8" t="n">
        <v>41834</v>
      </c>
      <c r="D353" s="7" t="n">
        <v>17.2</v>
      </c>
      <c r="E353" s="7" t="n">
        <v>13.2</v>
      </c>
      <c r="F353" s="7" t="n">
        <v>20.8</v>
      </c>
      <c r="G353" s="7" t="n">
        <f aca="false">G352+D353</f>
        <v>3179.5</v>
      </c>
      <c r="H353" s="48" t="n">
        <f aca="false">H352+D353</f>
        <v>552.1</v>
      </c>
      <c r="J353" s="7" t="n">
        <v>0</v>
      </c>
      <c r="K353" s="7" t="n">
        <f aca="false">K352+J353</f>
        <v>749</v>
      </c>
      <c r="L353" s="7" t="n">
        <v>4.3</v>
      </c>
      <c r="M353" s="7" t="n">
        <f aca="false">M352+L353</f>
        <v>476.9</v>
      </c>
      <c r="N353" s="14" t="n">
        <f aca="false">J353-L353</f>
        <v>-4.3</v>
      </c>
      <c r="O353" s="7" t="n">
        <f aca="false">O352+N353</f>
        <v>185.3</v>
      </c>
      <c r="P353" s="7" t="n">
        <v>314</v>
      </c>
      <c r="Q353" s="17" t="n">
        <f aca="false">1.15+((P353-260)/58)*(0.35-1.15)</f>
        <v>0.405172413793103</v>
      </c>
      <c r="R353" s="15" t="n">
        <f aca="false">Q353*L353</f>
        <v>1.74224137931034</v>
      </c>
      <c r="S353" s="15" t="n">
        <f aca="false">J353-R353</f>
        <v>-1.74224137931034</v>
      </c>
      <c r="T353" s="15" t="n">
        <f aca="false">MIN(189.6,(T352+S353))</f>
        <v>187.85775862069</v>
      </c>
      <c r="V353" s="7" t="n">
        <v>2351.2</v>
      </c>
      <c r="W353" s="7" t="n">
        <f aca="false">V353/D353</f>
        <v>136.697674418605</v>
      </c>
      <c r="X353" s="7" t="n">
        <f aca="false">X352+V353</f>
        <v>259828.4</v>
      </c>
      <c r="Y353" s="7" t="n">
        <f aca="false">Y352+V353</f>
        <v>51009</v>
      </c>
      <c r="AA353" s="7" t="n">
        <v>15.9292864783163</v>
      </c>
    </row>
    <row r="354" s="7" customFormat="true" ht="15" hidden="false" customHeight="false" outlineLevel="0" collapsed="false">
      <c r="A354" s="72"/>
      <c r="B354" s="72"/>
      <c r="C354" s="8" t="n">
        <v>41835</v>
      </c>
      <c r="D354" s="7" t="n">
        <v>17.4</v>
      </c>
      <c r="E354" s="7" t="n">
        <v>11.4</v>
      </c>
      <c r="F354" s="7" t="n">
        <v>21.1</v>
      </c>
      <c r="G354" s="7" t="n">
        <f aca="false">G353+D354</f>
        <v>3196.9</v>
      </c>
      <c r="H354" s="48" t="n">
        <f aca="false">H353+D354</f>
        <v>569.5</v>
      </c>
      <c r="J354" s="7" t="n">
        <v>0</v>
      </c>
      <c r="K354" s="7" t="n">
        <f aca="false">K353+J354</f>
        <v>749</v>
      </c>
      <c r="L354" s="7" t="n">
        <v>1.2</v>
      </c>
      <c r="M354" s="7" t="n">
        <f aca="false">M353+L354</f>
        <v>478.1</v>
      </c>
      <c r="N354" s="14" t="n">
        <f aca="false">J354-L354</f>
        <v>-1.2</v>
      </c>
      <c r="O354" s="7" t="n">
        <f aca="false">O353+N354</f>
        <v>184.1</v>
      </c>
      <c r="P354" s="7" t="n">
        <v>315</v>
      </c>
      <c r="Q354" s="17" t="n">
        <f aca="false">1.15+((P354-260)/58)*(0.35-1.15)</f>
        <v>0.391379310344828</v>
      </c>
      <c r="R354" s="15" t="n">
        <f aca="false">Q354*L354</f>
        <v>0.469655172413793</v>
      </c>
      <c r="S354" s="15" t="n">
        <f aca="false">J354-R354</f>
        <v>-0.469655172413793</v>
      </c>
      <c r="T354" s="15" t="n">
        <f aca="false">MIN(189.6,(T353+S354))</f>
        <v>187.388103448276</v>
      </c>
      <c r="V354" s="16" t="n">
        <v>834.4</v>
      </c>
      <c r="W354" s="7" t="n">
        <f aca="false">V354/D354</f>
        <v>47.9540229885058</v>
      </c>
      <c r="X354" s="7" t="n">
        <f aca="false">X353+V354</f>
        <v>260662.8</v>
      </c>
      <c r="Y354" s="7" t="n">
        <f aca="false">Y353+V354</f>
        <v>51843.4</v>
      </c>
      <c r="AA354" s="7" t="n">
        <v>15.8966550528422</v>
      </c>
    </row>
    <row r="355" s="7" customFormat="true" ht="15" hidden="false" customHeight="false" outlineLevel="0" collapsed="false">
      <c r="A355" s="72"/>
      <c r="B355" s="72"/>
      <c r="C355" s="8" t="n">
        <v>41836</v>
      </c>
      <c r="D355" s="7" t="n">
        <v>21</v>
      </c>
      <c r="E355" s="7" t="n">
        <v>14.2</v>
      </c>
      <c r="F355" s="7" t="n">
        <v>27.1</v>
      </c>
      <c r="G355" s="7" t="n">
        <f aca="false">G354+D355</f>
        <v>3217.9</v>
      </c>
      <c r="H355" s="48" t="n">
        <f aca="false">H354+D355</f>
        <v>590.5</v>
      </c>
      <c r="J355" s="7" t="n">
        <v>0</v>
      </c>
      <c r="K355" s="7" t="n">
        <f aca="false">K354+J355</f>
        <v>749</v>
      </c>
      <c r="L355" s="7" t="n">
        <v>3.2</v>
      </c>
      <c r="M355" s="7" t="n">
        <f aca="false">M354+L355</f>
        <v>481.3</v>
      </c>
      <c r="N355" s="14" t="n">
        <f aca="false">J355-L355</f>
        <v>-3.2</v>
      </c>
      <c r="O355" s="7" t="n">
        <f aca="false">O354+N355</f>
        <v>180.9</v>
      </c>
      <c r="P355" s="7" t="n">
        <v>316</v>
      </c>
      <c r="Q355" s="17" t="n">
        <f aca="false">1.15+((P355-260)/58)*(0.35-1.15)</f>
        <v>0.377586206896552</v>
      </c>
      <c r="R355" s="15" t="n">
        <f aca="false">Q355*L355</f>
        <v>1.20827586206897</v>
      </c>
      <c r="S355" s="15" t="n">
        <f aca="false">J355-R355</f>
        <v>-1.20827586206897</v>
      </c>
      <c r="T355" s="15" t="n">
        <f aca="false">MIN(189.6,(T354+S355))</f>
        <v>186.179827586207</v>
      </c>
      <c r="V355" s="7" t="n">
        <v>1639.5</v>
      </c>
      <c r="W355" s="7" t="n">
        <f aca="false">V355/D355</f>
        <v>78.0714285714286</v>
      </c>
      <c r="X355" s="7" t="n">
        <f aca="false">X354+V355</f>
        <v>262302.3</v>
      </c>
      <c r="Y355" s="7" t="n">
        <f aca="false">Y354+V355</f>
        <v>53482.9</v>
      </c>
      <c r="AA355" s="7" t="n">
        <v>15.8629018029114</v>
      </c>
    </row>
    <row r="356" s="7" customFormat="true" ht="15" hidden="false" customHeight="false" outlineLevel="0" collapsed="false">
      <c r="A356" s="72"/>
      <c r="B356" s="72"/>
      <c r="C356" s="8" t="n">
        <v>41837</v>
      </c>
      <c r="D356" s="7" t="n">
        <v>22.7</v>
      </c>
      <c r="E356" s="7" t="n">
        <v>15.4</v>
      </c>
      <c r="F356" s="7" t="n">
        <v>28.3</v>
      </c>
      <c r="G356" s="7" t="n">
        <f aca="false">G355+D356</f>
        <v>3240.6</v>
      </c>
      <c r="H356" s="48" t="n">
        <f aca="false">H355+D356</f>
        <v>613.2</v>
      </c>
      <c r="J356" s="7" t="n">
        <v>0</v>
      </c>
      <c r="K356" s="7" t="n">
        <f aca="false">K355+J356</f>
        <v>749</v>
      </c>
      <c r="L356" s="7" t="n">
        <v>4.1</v>
      </c>
      <c r="M356" s="7" t="n">
        <f aca="false">M355+L356</f>
        <v>485.4</v>
      </c>
      <c r="N356" s="14" t="n">
        <f aca="false">J356-L356</f>
        <v>-4.1</v>
      </c>
      <c r="O356" s="7" t="n">
        <f aca="false">O355+N356</f>
        <v>176.8</v>
      </c>
      <c r="P356" s="7" t="n">
        <v>317</v>
      </c>
      <c r="Q356" s="17" t="n">
        <f aca="false">1.15+((P356-260)/58)*(0.35-1.15)</f>
        <v>0.363793103448276</v>
      </c>
      <c r="R356" s="15" t="n">
        <f aca="false">Q356*L356</f>
        <v>1.49155172413793</v>
      </c>
      <c r="S356" s="15" t="n">
        <f aca="false">J356-R356</f>
        <v>-1.49155172413793</v>
      </c>
      <c r="T356" s="15" t="n">
        <f aca="false">MIN(189.6,(T355+S356))</f>
        <v>184.688275862069</v>
      </c>
      <c r="V356" s="7" t="n">
        <v>1915.9</v>
      </c>
      <c r="W356" s="7" t="n">
        <f aca="false">V356/D356</f>
        <v>84.4008810572687</v>
      </c>
      <c r="X356" s="7" t="n">
        <f aca="false">X355+V356</f>
        <v>264218.2</v>
      </c>
      <c r="Y356" s="7" t="n">
        <f aca="false">Y355+V356</f>
        <v>55398.8</v>
      </c>
      <c r="AA356" s="7" t="n">
        <v>15.8280546013505</v>
      </c>
    </row>
    <row r="357" s="7" customFormat="true" ht="15" hidden="false" customHeight="false" outlineLevel="0" collapsed="false">
      <c r="A357" s="72"/>
      <c r="B357" s="72"/>
      <c r="C357" s="8" t="n">
        <v>41838</v>
      </c>
      <c r="D357" s="7" t="n">
        <v>25.6</v>
      </c>
      <c r="E357" s="7" t="n">
        <v>19.2</v>
      </c>
      <c r="F357" s="7" t="n">
        <v>31.7</v>
      </c>
      <c r="G357" s="7" t="n">
        <f aca="false">G356+D357</f>
        <v>3266.2</v>
      </c>
      <c r="H357" s="48" t="n">
        <f aca="false">H356+D357</f>
        <v>638.8</v>
      </c>
      <c r="J357" s="7" t="n">
        <v>0</v>
      </c>
      <c r="K357" s="7" t="n">
        <f aca="false">K356+J357</f>
        <v>749</v>
      </c>
      <c r="L357" s="7" t="n">
        <v>5.9</v>
      </c>
      <c r="M357" s="7" t="n">
        <f aca="false">M356+L357</f>
        <v>491.3</v>
      </c>
      <c r="N357" s="14" t="n">
        <f aca="false">J357-L357</f>
        <v>-5.9</v>
      </c>
      <c r="O357" s="7" t="n">
        <f aca="false">O356+N357</f>
        <v>170.9</v>
      </c>
      <c r="P357" s="7" t="n">
        <v>318</v>
      </c>
      <c r="Q357" s="17" t="n">
        <f aca="false">1.15+((P357-260)/58)*(0.35-1.15)</f>
        <v>0.35</v>
      </c>
      <c r="R357" s="15" t="n">
        <f aca="false">Q357*L357</f>
        <v>2.065</v>
      </c>
      <c r="S357" s="15" t="n">
        <f aca="false">J357-R357</f>
        <v>-2.065</v>
      </c>
      <c r="T357" s="15" t="n">
        <f aca="false">MIN(189.6,(T356+S357))</f>
        <v>182.623275862069</v>
      </c>
      <c r="V357" s="7" t="n">
        <v>2512.4</v>
      </c>
      <c r="W357" s="7" t="n">
        <f aca="false">V357/D357</f>
        <v>98.140625</v>
      </c>
      <c r="X357" s="7" t="n">
        <f aca="false">X356+V357</f>
        <v>266730.6</v>
      </c>
      <c r="Y357" s="7" t="n">
        <f aca="false">Y356+V357</f>
        <v>57911.2</v>
      </c>
      <c r="AA357" s="7" t="n">
        <v>15.7921415463214</v>
      </c>
    </row>
    <row r="358" s="7" customFormat="true" ht="15" hidden="false" customHeight="false" outlineLevel="0" collapsed="false">
      <c r="A358" s="73" t="s">
        <v>59</v>
      </c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</sheetData>
  <mergeCells count="15">
    <mergeCell ref="D1:I2"/>
    <mergeCell ref="J1:U2"/>
    <mergeCell ref="V1:Z2"/>
    <mergeCell ref="P3:T3"/>
    <mergeCell ref="G4:H4"/>
    <mergeCell ref="X4:Y4"/>
    <mergeCell ref="A39:Z39"/>
    <mergeCell ref="A40:A112"/>
    <mergeCell ref="A113:A143"/>
    <mergeCell ref="A254:A274"/>
    <mergeCell ref="A275:A299"/>
    <mergeCell ref="A300:A319"/>
    <mergeCell ref="A320:A344"/>
    <mergeCell ref="A346:A357"/>
    <mergeCell ref="A358:Z358"/>
  </mergeCells>
  <conditionalFormatting sqref="T1:T4">
    <cfRule type="cellIs" priority="2" operator="equal" aboveAverage="0" equalAverage="0" bottom="0" percent="0" rank="0" text="" dxfId="7">
      <formula>0</formula>
    </cfRule>
    <cfRule type="cellIs" priority="3" operator="lessThanOrEqual" aboveAverage="0" equalAverage="0" bottom="0" percent="0" rank="0" text="" dxfId="8">
      <formula>63.2</formula>
    </cfRule>
  </conditionalFormatting>
  <conditionalFormatting sqref="T5:T358">
    <cfRule type="cellIs" priority="4" operator="equal" aboveAverage="0" equalAverage="0" bottom="0" percent="0" rank="0" text="" dxfId="9">
      <formula>0</formula>
    </cfRule>
    <cfRule type="cellIs" priority="5" operator="lessThanOrEqual" aboveAverage="0" equalAverage="0" bottom="0" percent="0" rank="0" text="" dxfId="10">
      <formula>63.2</formula>
    </cfRule>
  </conditionalFormatting>
  <conditionalFormatting sqref="S40:S357">
    <cfRule type="cellIs" priority="6" operator="lessThanOrEqual" aboveAverage="0" equalAverage="0" bottom="0" percent="0" rank="0" text="" dxfId="11">
      <formula>0</formula>
    </cfRule>
  </conditionalFormatting>
  <conditionalFormatting sqref="N5:N38">
    <cfRule type="cellIs" priority="7" operator="lessThanOrEqual" aboveAverage="0" equalAverage="0" bottom="0" percent="0" rank="0" text="" dxfId="12">
      <formula>0</formula>
    </cfRule>
    <cfRule type="cellIs" priority="8" operator="lessThanOr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2019-11-06T13:52:25Z</dcterms:created>
  <dc:creator>adminigepp</dc:creator>
  <dc:description/>
  <dc:language>fr-FR</dc:language>
  <cp:lastModifiedBy/>
  <dcterms:modified xsi:type="dcterms:W3CDTF">2025-12-09T13:48:32Z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