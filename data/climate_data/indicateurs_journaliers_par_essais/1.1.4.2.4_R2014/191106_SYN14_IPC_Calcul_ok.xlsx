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4\"/>
    </mc:Choice>
  </mc:AlternateContent>
  <bookViews>
    <workbookView xWindow="0" yWindow="0" windowWidth="19200" windowHeight="10860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27" i="1" l="1"/>
  <c r="AD225" i="1"/>
  <c r="AD223" i="1"/>
  <c r="AD221" i="1"/>
  <c r="AD219" i="1"/>
  <c r="AB229" i="1"/>
  <c r="AB221" i="1"/>
  <c r="AB215" i="1"/>
  <c r="AB207" i="1"/>
  <c r="AB229" i="2"/>
  <c r="AB221" i="2"/>
  <c r="U329" i="2" l="1"/>
  <c r="U327" i="2"/>
  <c r="U325" i="2"/>
  <c r="I325" i="2"/>
  <c r="I321" i="2"/>
  <c r="I305" i="2"/>
  <c r="I303" i="2"/>
  <c r="I301" i="2"/>
  <c r="Y275" i="2"/>
  <c r="I280" i="2"/>
  <c r="I278" i="2"/>
  <c r="I276" i="2"/>
  <c r="I259" i="2"/>
  <c r="I257" i="2"/>
  <c r="I255" i="2"/>
  <c r="I149" i="2"/>
  <c r="I147" i="2"/>
  <c r="I145" i="2"/>
  <c r="Q301" i="2"/>
  <c r="Q302" i="2"/>
  <c r="Q303" i="2"/>
  <c r="Q304" i="2"/>
  <c r="R304" i="2" s="1"/>
  <c r="S304" i="2" s="1"/>
  <c r="Q305" i="2"/>
  <c r="Q306" i="2"/>
  <c r="R306" i="2" s="1"/>
  <c r="S306" i="2" s="1"/>
  <c r="Q307" i="2"/>
  <c r="Q308" i="2"/>
  <c r="R308" i="2" s="1"/>
  <c r="S308" i="2" s="1"/>
  <c r="Q309" i="2"/>
  <c r="Q310" i="2"/>
  <c r="Q311" i="2"/>
  <c r="Q312" i="2"/>
  <c r="R312" i="2" s="1"/>
  <c r="S312" i="2" s="1"/>
  <c r="Q313" i="2"/>
  <c r="Q314" i="2"/>
  <c r="R314" i="2" s="1"/>
  <c r="S314" i="2" s="1"/>
  <c r="Q315" i="2"/>
  <c r="Q316" i="2"/>
  <c r="R316" i="2" s="1"/>
  <c r="S316" i="2" s="1"/>
  <c r="Q317" i="2"/>
  <c r="Q318" i="2"/>
  <c r="R318" i="2" s="1"/>
  <c r="S318" i="2" s="1"/>
  <c r="Q319" i="2"/>
  <c r="Q320" i="2"/>
  <c r="R320" i="2" s="1"/>
  <c r="S320" i="2" s="1"/>
  <c r="Q321" i="2"/>
  <c r="Q322" i="2"/>
  <c r="R322" i="2" s="1"/>
  <c r="S322" i="2" s="1"/>
  <c r="Q323" i="2"/>
  <c r="Q324" i="2"/>
  <c r="R324" i="2" s="1"/>
  <c r="S324" i="2" s="1"/>
  <c r="Q325" i="2"/>
  <c r="Q326" i="2"/>
  <c r="R326" i="2" s="1"/>
  <c r="S326" i="2" s="1"/>
  <c r="Q327" i="2"/>
  <c r="Q328" i="2"/>
  <c r="R328" i="2" s="1"/>
  <c r="S328" i="2" s="1"/>
  <c r="Q329" i="2"/>
  <c r="Q330" i="2"/>
  <c r="R330" i="2" s="1"/>
  <c r="S330" i="2" s="1"/>
  <c r="Q331" i="2"/>
  <c r="Q332" i="2"/>
  <c r="R332" i="2" s="1"/>
  <c r="S332" i="2" s="1"/>
  <c r="Q333" i="2"/>
  <c r="Q334" i="2"/>
  <c r="R334" i="2" s="1"/>
  <c r="S334" i="2" s="1"/>
  <c r="Q335" i="2"/>
  <c r="Q336" i="2"/>
  <c r="R336" i="2" s="1"/>
  <c r="S336" i="2" s="1"/>
  <c r="Q337" i="2"/>
  <c r="Q338" i="2"/>
  <c r="R338" i="2" s="1"/>
  <c r="S338" i="2" s="1"/>
  <c r="Q339" i="2"/>
  <c r="Q340" i="2"/>
  <c r="R340" i="2" s="1"/>
  <c r="S340" i="2" s="1"/>
  <c r="Q341" i="2"/>
  <c r="Q342" i="2"/>
  <c r="Q343" i="2"/>
  <c r="Q344" i="2"/>
  <c r="R344" i="2" s="1"/>
  <c r="S344" i="2" s="1"/>
  <c r="Q345" i="2"/>
  <c r="Q346" i="2"/>
  <c r="R346" i="2" s="1"/>
  <c r="S346" i="2" s="1"/>
  <c r="Q347" i="2"/>
  <c r="Q348" i="2"/>
  <c r="R348" i="2" s="1"/>
  <c r="S348" i="2" s="1"/>
  <c r="Q349" i="2"/>
  <c r="Q350" i="2"/>
  <c r="Q351" i="2"/>
  <c r="Q352" i="2"/>
  <c r="R352" i="2" s="1"/>
  <c r="S352" i="2" s="1"/>
  <c r="Q353" i="2"/>
  <c r="R353" i="2" s="1"/>
  <c r="S353" i="2" s="1"/>
  <c r="Q354" i="2"/>
  <c r="R354" i="2" s="1"/>
  <c r="S354" i="2" s="1"/>
  <c r="Q355" i="2"/>
  <c r="Q356" i="2"/>
  <c r="R356" i="2" s="1"/>
  <c r="S356" i="2" s="1"/>
  <c r="Q357" i="2"/>
  <c r="Q300" i="2"/>
  <c r="R300" i="2" s="1"/>
  <c r="S300" i="2" s="1"/>
  <c r="H320" i="2"/>
  <c r="Y320" i="2"/>
  <c r="H300" i="2"/>
  <c r="Y300" i="2"/>
  <c r="H275" i="2"/>
  <c r="Y254" i="2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Y273" i="2" s="1"/>
  <c r="Y274" i="2" s="1"/>
  <c r="Y276" i="2" s="1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Y290" i="2" s="1"/>
  <c r="Y291" i="2" s="1"/>
  <c r="Y292" i="2" s="1"/>
  <c r="Y293" i="2" s="1"/>
  <c r="Y294" i="2" s="1"/>
  <c r="Y295" i="2" s="1"/>
  <c r="Y296" i="2" s="1"/>
  <c r="Y297" i="2" s="1"/>
  <c r="Y298" i="2" s="1"/>
  <c r="Y299" i="2" s="1"/>
  <c r="H254" i="2"/>
  <c r="H255" i="2" s="1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Q145" i="2"/>
  <c r="Q146" i="2"/>
  <c r="Q147" i="2"/>
  <c r="R147" i="2" s="1"/>
  <c r="S147" i="2" s="1"/>
  <c r="Q148" i="2"/>
  <c r="Q149" i="2"/>
  <c r="R149" i="2" s="1"/>
  <c r="S149" i="2" s="1"/>
  <c r="Q150" i="2"/>
  <c r="Q151" i="2"/>
  <c r="Q152" i="2"/>
  <c r="R152" i="2" s="1"/>
  <c r="S152" i="2" s="1"/>
  <c r="Q153" i="2"/>
  <c r="Q154" i="2"/>
  <c r="Q155" i="2"/>
  <c r="R155" i="2" s="1"/>
  <c r="S155" i="2" s="1"/>
  <c r="Q156" i="2"/>
  <c r="Q157" i="2"/>
  <c r="R157" i="2" s="1"/>
  <c r="S157" i="2" s="1"/>
  <c r="Q158" i="2"/>
  <c r="Q159" i="2"/>
  <c r="Q160" i="2"/>
  <c r="R160" i="2" s="1"/>
  <c r="S160" i="2" s="1"/>
  <c r="Q161" i="2"/>
  <c r="Q162" i="2"/>
  <c r="Q163" i="2"/>
  <c r="R163" i="2" s="1"/>
  <c r="S163" i="2" s="1"/>
  <c r="Q164" i="2"/>
  <c r="Q165" i="2"/>
  <c r="R165" i="2" s="1"/>
  <c r="S165" i="2" s="1"/>
  <c r="Q166" i="2"/>
  <c r="Q167" i="2"/>
  <c r="Q168" i="2"/>
  <c r="Q169" i="2"/>
  <c r="Q170" i="2"/>
  <c r="Q171" i="2"/>
  <c r="R171" i="2" s="1"/>
  <c r="S171" i="2" s="1"/>
  <c r="Q172" i="2"/>
  <c r="Q173" i="2"/>
  <c r="Q174" i="2"/>
  <c r="Q175" i="2"/>
  <c r="Q176" i="2"/>
  <c r="R176" i="2" s="1"/>
  <c r="S176" i="2" s="1"/>
  <c r="Q177" i="2"/>
  <c r="Q178" i="2"/>
  <c r="Q179" i="2"/>
  <c r="R179" i="2" s="1"/>
  <c r="S179" i="2" s="1"/>
  <c r="Q180" i="2"/>
  <c r="Q181" i="2"/>
  <c r="R181" i="2" s="1"/>
  <c r="S181" i="2" s="1"/>
  <c r="Q182" i="2"/>
  <c r="Q183" i="2"/>
  <c r="Q184" i="2"/>
  <c r="R184" i="2" s="1"/>
  <c r="S184" i="2" s="1"/>
  <c r="Q185" i="2"/>
  <c r="Q186" i="2"/>
  <c r="Q187" i="2"/>
  <c r="R187" i="2" s="1"/>
  <c r="S187" i="2" s="1"/>
  <c r="Q188" i="2"/>
  <c r="Q189" i="2"/>
  <c r="R189" i="2" s="1"/>
  <c r="S189" i="2" s="1"/>
  <c r="Q190" i="2"/>
  <c r="Q191" i="2"/>
  <c r="Q192" i="2"/>
  <c r="R192" i="2" s="1"/>
  <c r="S192" i="2" s="1"/>
  <c r="Q193" i="2"/>
  <c r="Q194" i="2"/>
  <c r="Q195" i="2"/>
  <c r="R195" i="2" s="1"/>
  <c r="S195" i="2" s="1"/>
  <c r="Q196" i="2"/>
  <c r="Q197" i="2"/>
  <c r="R197" i="2" s="1"/>
  <c r="S197" i="2" s="1"/>
  <c r="Q198" i="2"/>
  <c r="Q199" i="2"/>
  <c r="Q200" i="2"/>
  <c r="R200" i="2" s="1"/>
  <c r="S200" i="2" s="1"/>
  <c r="Q201" i="2"/>
  <c r="Q202" i="2"/>
  <c r="Q203" i="2"/>
  <c r="R203" i="2" s="1"/>
  <c r="S203" i="2" s="1"/>
  <c r="Q204" i="2"/>
  <c r="Q205" i="2"/>
  <c r="Q206" i="2"/>
  <c r="Q207" i="2"/>
  <c r="Q208" i="2"/>
  <c r="Q209" i="2"/>
  <c r="Q210" i="2"/>
  <c r="Q211" i="2"/>
  <c r="R211" i="2" s="1"/>
  <c r="S211" i="2" s="1"/>
  <c r="Q212" i="2"/>
  <c r="Q213" i="2"/>
  <c r="Q214" i="2"/>
  <c r="Q215" i="2"/>
  <c r="Q216" i="2"/>
  <c r="R216" i="2" s="1"/>
  <c r="S216" i="2" s="1"/>
  <c r="Q217" i="2"/>
  <c r="Q218" i="2"/>
  <c r="Q219" i="2"/>
  <c r="R219" i="2" s="1"/>
  <c r="S219" i="2" s="1"/>
  <c r="Q220" i="2"/>
  <c r="Q221" i="2"/>
  <c r="R221" i="2" s="1"/>
  <c r="S221" i="2" s="1"/>
  <c r="Q222" i="2"/>
  <c r="Q223" i="2"/>
  <c r="Q224" i="2"/>
  <c r="R224" i="2" s="1"/>
  <c r="S224" i="2" s="1"/>
  <c r="Q225" i="2"/>
  <c r="Q226" i="2"/>
  <c r="Q227" i="2"/>
  <c r="R227" i="2" s="1"/>
  <c r="S227" i="2" s="1"/>
  <c r="Q228" i="2"/>
  <c r="Q229" i="2"/>
  <c r="R229" i="2" s="1"/>
  <c r="S229" i="2" s="1"/>
  <c r="Q230" i="2"/>
  <c r="Q231" i="2"/>
  <c r="Q232" i="2"/>
  <c r="R232" i="2" s="1"/>
  <c r="S232" i="2" s="1"/>
  <c r="Q233" i="2"/>
  <c r="Q234" i="2"/>
  <c r="Q235" i="2"/>
  <c r="R235" i="2" s="1"/>
  <c r="S235" i="2" s="1"/>
  <c r="Q236" i="2"/>
  <c r="Q237" i="2"/>
  <c r="R237" i="2" s="1"/>
  <c r="S237" i="2" s="1"/>
  <c r="Q238" i="2"/>
  <c r="Q239" i="2"/>
  <c r="Q240" i="2"/>
  <c r="R240" i="2" s="1"/>
  <c r="S240" i="2" s="1"/>
  <c r="Q241" i="2"/>
  <c r="Q242" i="2"/>
  <c r="Q243" i="2"/>
  <c r="R243" i="2" s="1"/>
  <c r="S243" i="2" s="1"/>
  <c r="Q244" i="2"/>
  <c r="Q245" i="2"/>
  <c r="Q246" i="2"/>
  <c r="Q247" i="2"/>
  <c r="R247" i="2" s="1"/>
  <c r="S247" i="2" s="1"/>
  <c r="Q248" i="2"/>
  <c r="R248" i="2" s="1"/>
  <c r="S248" i="2" s="1"/>
  <c r="Q249" i="2"/>
  <c r="Q250" i="2"/>
  <c r="R250" i="2" s="1"/>
  <c r="S250" i="2" s="1"/>
  <c r="Q251" i="2"/>
  <c r="R251" i="2" s="1"/>
  <c r="S251" i="2" s="1"/>
  <c r="Q252" i="2"/>
  <c r="Q253" i="2"/>
  <c r="R253" i="2" s="1"/>
  <c r="S253" i="2" s="1"/>
  <c r="Q144" i="2"/>
  <c r="W357" i="2"/>
  <c r="R357" i="2"/>
  <c r="S357" i="2" s="1"/>
  <c r="N357" i="2"/>
  <c r="W356" i="2"/>
  <c r="N356" i="2"/>
  <c r="W355" i="2"/>
  <c r="R355" i="2"/>
  <c r="S355" i="2" s="1"/>
  <c r="N355" i="2"/>
  <c r="W354" i="2"/>
  <c r="N354" i="2"/>
  <c r="W353" i="2"/>
  <c r="N353" i="2"/>
  <c r="O353" i="2" s="1"/>
  <c r="W352" i="2"/>
  <c r="N352" i="2"/>
  <c r="W351" i="2"/>
  <c r="R351" i="2"/>
  <c r="S351" i="2" s="1"/>
  <c r="N351" i="2"/>
  <c r="O351" i="2" s="1"/>
  <c r="W350" i="2"/>
  <c r="R350" i="2"/>
  <c r="S350" i="2" s="1"/>
  <c r="N350" i="2"/>
  <c r="W349" i="2"/>
  <c r="R349" i="2"/>
  <c r="S349" i="2" s="1"/>
  <c r="N349" i="2"/>
  <c r="W348" i="2"/>
  <c r="N348" i="2"/>
  <c r="W347" i="2"/>
  <c r="R347" i="2"/>
  <c r="S347" i="2" s="1"/>
  <c r="N347" i="2"/>
  <c r="W346" i="2"/>
  <c r="N346" i="2"/>
  <c r="W345" i="2"/>
  <c r="R345" i="2"/>
  <c r="S345" i="2" s="1"/>
  <c r="N345" i="2"/>
  <c r="W344" i="2"/>
  <c r="N344" i="2"/>
  <c r="W343" i="2"/>
  <c r="R343" i="2"/>
  <c r="S343" i="2" s="1"/>
  <c r="N343" i="2"/>
  <c r="W342" i="2"/>
  <c r="R342" i="2"/>
  <c r="S342" i="2" s="1"/>
  <c r="N342" i="2"/>
  <c r="W341" i="2"/>
  <c r="R341" i="2"/>
  <c r="S341" i="2" s="1"/>
  <c r="N341" i="2"/>
  <c r="W340" i="2"/>
  <c r="N340" i="2"/>
  <c r="W339" i="2"/>
  <c r="R339" i="2"/>
  <c r="S339" i="2" s="1"/>
  <c r="N339" i="2"/>
  <c r="W338" i="2"/>
  <c r="N338" i="2"/>
  <c r="W337" i="2"/>
  <c r="R337" i="2"/>
  <c r="S337" i="2" s="1"/>
  <c r="N337" i="2"/>
  <c r="W336" i="2"/>
  <c r="N336" i="2"/>
  <c r="W335" i="2"/>
  <c r="R335" i="2"/>
  <c r="S335" i="2" s="1"/>
  <c r="N335" i="2"/>
  <c r="W334" i="2"/>
  <c r="N334" i="2"/>
  <c r="W333" i="2"/>
  <c r="R333" i="2"/>
  <c r="S333" i="2" s="1"/>
  <c r="N333" i="2"/>
  <c r="W332" i="2"/>
  <c r="N332" i="2"/>
  <c r="W331" i="2"/>
  <c r="R331" i="2"/>
  <c r="S331" i="2" s="1"/>
  <c r="N331" i="2"/>
  <c r="W330" i="2"/>
  <c r="N330" i="2"/>
  <c r="W329" i="2"/>
  <c r="R329" i="2"/>
  <c r="S329" i="2" s="1"/>
  <c r="N329" i="2"/>
  <c r="W328" i="2"/>
  <c r="N328" i="2"/>
  <c r="W327" i="2"/>
  <c r="R327" i="2"/>
  <c r="S327" i="2" s="1"/>
  <c r="N327" i="2"/>
  <c r="W326" i="2"/>
  <c r="N326" i="2"/>
  <c r="W325" i="2"/>
  <c r="S325" i="2"/>
  <c r="R325" i="2"/>
  <c r="N325" i="2"/>
  <c r="Z323" i="2"/>
  <c r="W324" i="2"/>
  <c r="N324" i="2"/>
  <c r="W323" i="2"/>
  <c r="R323" i="2"/>
  <c r="S323" i="2" s="1"/>
  <c r="N323" i="2"/>
  <c r="W322" i="2"/>
  <c r="N322" i="2"/>
  <c r="W321" i="2"/>
  <c r="R321" i="2"/>
  <c r="S321" i="2" s="1"/>
  <c r="N321" i="2"/>
  <c r="W320" i="2"/>
  <c r="N320" i="2"/>
  <c r="W319" i="2"/>
  <c r="R319" i="2"/>
  <c r="S319" i="2" s="1"/>
  <c r="N319" i="2"/>
  <c r="W318" i="2"/>
  <c r="N318" i="2"/>
  <c r="W317" i="2"/>
  <c r="R317" i="2"/>
  <c r="S317" i="2" s="1"/>
  <c r="N317" i="2"/>
  <c r="W316" i="2"/>
  <c r="N316" i="2"/>
  <c r="W315" i="2"/>
  <c r="R315" i="2"/>
  <c r="S315" i="2" s="1"/>
  <c r="N315" i="2"/>
  <c r="W314" i="2"/>
  <c r="N314" i="2"/>
  <c r="W313" i="2"/>
  <c r="R313" i="2"/>
  <c r="S313" i="2" s="1"/>
  <c r="N313" i="2"/>
  <c r="W312" i="2"/>
  <c r="N312" i="2"/>
  <c r="W311" i="2"/>
  <c r="R311" i="2"/>
  <c r="S311" i="2" s="1"/>
  <c r="N311" i="2"/>
  <c r="W310" i="2"/>
  <c r="R310" i="2"/>
  <c r="S310" i="2" s="1"/>
  <c r="N310" i="2"/>
  <c r="W309" i="2"/>
  <c r="R309" i="2"/>
  <c r="S309" i="2" s="1"/>
  <c r="N309" i="2"/>
  <c r="W308" i="2"/>
  <c r="N308" i="2"/>
  <c r="W307" i="2"/>
  <c r="R307" i="2"/>
  <c r="S307" i="2" s="1"/>
  <c r="N307" i="2"/>
  <c r="W306" i="2"/>
  <c r="N306" i="2"/>
  <c r="W305" i="2"/>
  <c r="R305" i="2"/>
  <c r="S305" i="2" s="1"/>
  <c r="N305" i="2"/>
  <c r="Z303" i="2"/>
  <c r="W304" i="2"/>
  <c r="N304" i="2"/>
  <c r="W303" i="2"/>
  <c r="R303" i="2"/>
  <c r="S303" i="2" s="1"/>
  <c r="N303" i="2"/>
  <c r="W302" i="2"/>
  <c r="R302" i="2"/>
  <c r="S302" i="2" s="1"/>
  <c r="N302" i="2"/>
  <c r="W301" i="2"/>
  <c r="R301" i="2"/>
  <c r="S301" i="2" s="1"/>
  <c r="N301" i="2"/>
  <c r="W300" i="2"/>
  <c r="N300" i="2"/>
  <c r="W299" i="2"/>
  <c r="R299" i="2"/>
  <c r="S299" i="2" s="1"/>
  <c r="N299" i="2"/>
  <c r="W298" i="2"/>
  <c r="R298" i="2"/>
  <c r="S298" i="2" s="1"/>
  <c r="N298" i="2"/>
  <c r="W297" i="2"/>
  <c r="R297" i="2"/>
  <c r="S297" i="2" s="1"/>
  <c r="N297" i="2"/>
  <c r="W296" i="2"/>
  <c r="R296" i="2"/>
  <c r="S296" i="2" s="1"/>
  <c r="N296" i="2"/>
  <c r="W295" i="2"/>
  <c r="R295" i="2"/>
  <c r="S295" i="2" s="1"/>
  <c r="N295" i="2"/>
  <c r="W294" i="2"/>
  <c r="S294" i="2"/>
  <c r="R294" i="2"/>
  <c r="N294" i="2"/>
  <c r="W293" i="2"/>
  <c r="R293" i="2"/>
  <c r="S293" i="2" s="1"/>
  <c r="N293" i="2"/>
  <c r="W292" i="2"/>
  <c r="R292" i="2"/>
  <c r="S292" i="2" s="1"/>
  <c r="N292" i="2"/>
  <c r="W291" i="2"/>
  <c r="S291" i="2"/>
  <c r="R291" i="2"/>
  <c r="N291" i="2"/>
  <c r="W290" i="2"/>
  <c r="R290" i="2"/>
  <c r="S290" i="2" s="1"/>
  <c r="N290" i="2"/>
  <c r="W289" i="2"/>
  <c r="R289" i="2"/>
  <c r="S289" i="2" s="1"/>
  <c r="N289" i="2"/>
  <c r="W288" i="2"/>
  <c r="R288" i="2"/>
  <c r="S288" i="2" s="1"/>
  <c r="N288" i="2"/>
  <c r="W287" i="2"/>
  <c r="R287" i="2"/>
  <c r="S287" i="2" s="1"/>
  <c r="N287" i="2"/>
  <c r="W286" i="2"/>
  <c r="S286" i="2"/>
  <c r="R286" i="2"/>
  <c r="N286" i="2"/>
  <c r="W285" i="2"/>
  <c r="S285" i="2"/>
  <c r="R285" i="2"/>
  <c r="N285" i="2"/>
  <c r="W284" i="2"/>
  <c r="S284" i="2"/>
  <c r="R284" i="2"/>
  <c r="N284" i="2"/>
  <c r="W283" i="2"/>
  <c r="S283" i="2"/>
  <c r="R283" i="2"/>
  <c r="N283" i="2"/>
  <c r="W282" i="2"/>
  <c r="S282" i="2"/>
  <c r="R282" i="2"/>
  <c r="N282" i="2"/>
  <c r="W281" i="2"/>
  <c r="R281" i="2"/>
  <c r="S281" i="2" s="1"/>
  <c r="N281" i="2"/>
  <c r="Z278" i="2"/>
  <c r="W280" i="2"/>
  <c r="S280" i="2"/>
  <c r="R280" i="2"/>
  <c r="N280" i="2"/>
  <c r="W279" i="2"/>
  <c r="R279" i="2"/>
  <c r="S279" i="2" s="1"/>
  <c r="N279" i="2"/>
  <c r="W278" i="2"/>
  <c r="R278" i="2"/>
  <c r="S278" i="2" s="1"/>
  <c r="N278" i="2"/>
  <c r="W277" i="2"/>
  <c r="R277" i="2"/>
  <c r="S277" i="2" s="1"/>
  <c r="N277" i="2"/>
  <c r="W276" i="2"/>
  <c r="R276" i="2"/>
  <c r="S276" i="2" s="1"/>
  <c r="N276" i="2"/>
  <c r="W275" i="2"/>
  <c r="R275" i="2"/>
  <c r="S275" i="2" s="1"/>
  <c r="N275" i="2"/>
  <c r="W274" i="2"/>
  <c r="R274" i="2"/>
  <c r="S274" i="2" s="1"/>
  <c r="N274" i="2"/>
  <c r="W273" i="2"/>
  <c r="R273" i="2"/>
  <c r="S273" i="2" s="1"/>
  <c r="N273" i="2"/>
  <c r="W272" i="2"/>
  <c r="R272" i="2"/>
  <c r="S272" i="2" s="1"/>
  <c r="N272" i="2"/>
  <c r="W271" i="2"/>
  <c r="R271" i="2"/>
  <c r="S271" i="2" s="1"/>
  <c r="N271" i="2"/>
  <c r="W270" i="2"/>
  <c r="R270" i="2"/>
  <c r="S270" i="2" s="1"/>
  <c r="N270" i="2"/>
  <c r="W269" i="2"/>
  <c r="R269" i="2"/>
  <c r="S269" i="2" s="1"/>
  <c r="N269" i="2"/>
  <c r="W268" i="2"/>
  <c r="R268" i="2"/>
  <c r="S268" i="2" s="1"/>
  <c r="N268" i="2"/>
  <c r="W267" i="2"/>
  <c r="R267" i="2"/>
  <c r="S267" i="2" s="1"/>
  <c r="N267" i="2"/>
  <c r="W266" i="2"/>
  <c r="R266" i="2"/>
  <c r="S266" i="2" s="1"/>
  <c r="N266" i="2"/>
  <c r="W265" i="2"/>
  <c r="S265" i="2"/>
  <c r="R265" i="2"/>
  <c r="N265" i="2"/>
  <c r="W264" i="2"/>
  <c r="R264" i="2"/>
  <c r="S264" i="2" s="1"/>
  <c r="N264" i="2"/>
  <c r="W263" i="2"/>
  <c r="R263" i="2"/>
  <c r="S263" i="2" s="1"/>
  <c r="N263" i="2"/>
  <c r="W262" i="2"/>
  <c r="R262" i="2"/>
  <c r="S262" i="2" s="1"/>
  <c r="N262" i="2"/>
  <c r="W261" i="2"/>
  <c r="R261" i="2"/>
  <c r="S261" i="2" s="1"/>
  <c r="N261" i="2"/>
  <c r="W260" i="2"/>
  <c r="R260" i="2"/>
  <c r="S260" i="2" s="1"/>
  <c r="N260" i="2"/>
  <c r="W259" i="2"/>
  <c r="R259" i="2"/>
  <c r="S259" i="2" s="1"/>
  <c r="N259" i="2"/>
  <c r="Z257" i="2"/>
  <c r="W258" i="2"/>
  <c r="R258" i="2"/>
  <c r="S258" i="2" s="1"/>
  <c r="N258" i="2"/>
  <c r="W257" i="2"/>
  <c r="R257" i="2"/>
  <c r="S257" i="2" s="1"/>
  <c r="N257" i="2"/>
  <c r="W256" i="2"/>
  <c r="R256" i="2"/>
  <c r="S256" i="2" s="1"/>
  <c r="N256" i="2"/>
  <c r="W255" i="2"/>
  <c r="R255" i="2"/>
  <c r="S255" i="2" s="1"/>
  <c r="N255" i="2"/>
  <c r="W254" i="2"/>
  <c r="R254" i="2"/>
  <c r="S254" i="2" s="1"/>
  <c r="N254" i="2"/>
  <c r="W253" i="2"/>
  <c r="N253" i="2"/>
  <c r="W252" i="2"/>
  <c r="R252" i="2"/>
  <c r="S252" i="2" s="1"/>
  <c r="N252" i="2"/>
  <c r="W251" i="2"/>
  <c r="N251" i="2"/>
  <c r="W250" i="2"/>
  <c r="N250" i="2"/>
  <c r="W249" i="2"/>
  <c r="R249" i="2"/>
  <c r="S249" i="2" s="1"/>
  <c r="N249" i="2"/>
  <c r="W248" i="2"/>
  <c r="N248" i="2"/>
  <c r="W247" i="2"/>
  <c r="N247" i="2"/>
  <c r="W246" i="2"/>
  <c r="R246" i="2"/>
  <c r="S246" i="2" s="1"/>
  <c r="N246" i="2"/>
  <c r="W245" i="2"/>
  <c r="R245" i="2"/>
  <c r="S245" i="2" s="1"/>
  <c r="N245" i="2"/>
  <c r="W244" i="2"/>
  <c r="R244" i="2"/>
  <c r="S244" i="2" s="1"/>
  <c r="N244" i="2"/>
  <c r="W243" i="2"/>
  <c r="N243" i="2"/>
  <c r="W242" i="2"/>
  <c r="R242" i="2"/>
  <c r="S242" i="2" s="1"/>
  <c r="N242" i="2"/>
  <c r="W241" i="2"/>
  <c r="R241" i="2"/>
  <c r="S241" i="2" s="1"/>
  <c r="N241" i="2"/>
  <c r="W240" i="2"/>
  <c r="N240" i="2"/>
  <c r="W239" i="2"/>
  <c r="R239" i="2"/>
  <c r="S239" i="2" s="1"/>
  <c r="N239" i="2"/>
  <c r="W238" i="2"/>
  <c r="R238" i="2"/>
  <c r="S238" i="2" s="1"/>
  <c r="N238" i="2"/>
  <c r="W237" i="2"/>
  <c r="N237" i="2"/>
  <c r="W236" i="2"/>
  <c r="R236" i="2"/>
  <c r="S236" i="2" s="1"/>
  <c r="N236" i="2"/>
  <c r="W235" i="2"/>
  <c r="N235" i="2"/>
  <c r="W234" i="2"/>
  <c r="R234" i="2"/>
  <c r="S234" i="2" s="1"/>
  <c r="N234" i="2"/>
  <c r="W233" i="2"/>
  <c r="R233" i="2"/>
  <c r="S233" i="2" s="1"/>
  <c r="N233" i="2"/>
  <c r="W232" i="2"/>
  <c r="N232" i="2"/>
  <c r="W231" i="2"/>
  <c r="R231" i="2"/>
  <c r="S231" i="2" s="1"/>
  <c r="N231" i="2"/>
  <c r="W230" i="2"/>
  <c r="R230" i="2"/>
  <c r="S230" i="2" s="1"/>
  <c r="N230" i="2"/>
  <c r="W229" i="2"/>
  <c r="N229" i="2"/>
  <c r="W228" i="2"/>
  <c r="R228" i="2"/>
  <c r="S228" i="2" s="1"/>
  <c r="N228" i="2"/>
  <c r="W227" i="2"/>
  <c r="N227" i="2"/>
  <c r="W226" i="2"/>
  <c r="R226" i="2"/>
  <c r="S226" i="2" s="1"/>
  <c r="N226" i="2"/>
  <c r="W225" i="2"/>
  <c r="R225" i="2"/>
  <c r="S225" i="2" s="1"/>
  <c r="N225" i="2"/>
  <c r="W224" i="2"/>
  <c r="N224" i="2"/>
  <c r="W223" i="2"/>
  <c r="R223" i="2"/>
  <c r="S223" i="2" s="1"/>
  <c r="N223" i="2"/>
  <c r="W222" i="2"/>
  <c r="R222" i="2"/>
  <c r="S222" i="2" s="1"/>
  <c r="N222" i="2"/>
  <c r="W221" i="2"/>
  <c r="N221" i="2"/>
  <c r="O221" i="2" s="1"/>
  <c r="W220" i="2"/>
  <c r="R220" i="2"/>
  <c r="S220" i="2" s="1"/>
  <c r="N220" i="2"/>
  <c r="W219" i="2"/>
  <c r="N219" i="2"/>
  <c r="W218" i="2"/>
  <c r="R218" i="2"/>
  <c r="S218" i="2" s="1"/>
  <c r="N218" i="2"/>
  <c r="W217" i="2"/>
  <c r="R217" i="2"/>
  <c r="S217" i="2" s="1"/>
  <c r="N217" i="2"/>
  <c r="W216" i="2"/>
  <c r="N216" i="2"/>
  <c r="W215" i="2"/>
  <c r="R215" i="2"/>
  <c r="S215" i="2" s="1"/>
  <c r="N215" i="2"/>
  <c r="W214" i="2"/>
  <c r="R214" i="2"/>
  <c r="S214" i="2" s="1"/>
  <c r="N214" i="2"/>
  <c r="W213" i="2"/>
  <c r="R213" i="2"/>
  <c r="S213" i="2" s="1"/>
  <c r="N213" i="2"/>
  <c r="W212" i="2"/>
  <c r="R212" i="2"/>
  <c r="S212" i="2" s="1"/>
  <c r="N212" i="2"/>
  <c r="W211" i="2"/>
  <c r="N211" i="2"/>
  <c r="O211" i="2" s="1"/>
  <c r="W210" i="2"/>
  <c r="R210" i="2"/>
  <c r="S210" i="2" s="1"/>
  <c r="N210" i="2"/>
  <c r="W209" i="2"/>
  <c r="R209" i="2"/>
  <c r="S209" i="2" s="1"/>
  <c r="N209" i="2"/>
  <c r="W208" i="2"/>
  <c r="R208" i="2"/>
  <c r="S208" i="2" s="1"/>
  <c r="N208" i="2"/>
  <c r="W207" i="2"/>
  <c r="R207" i="2"/>
  <c r="S207" i="2" s="1"/>
  <c r="N207" i="2"/>
  <c r="W206" i="2"/>
  <c r="R206" i="2"/>
  <c r="S206" i="2" s="1"/>
  <c r="N206" i="2"/>
  <c r="W205" i="2"/>
  <c r="R205" i="2"/>
  <c r="S205" i="2" s="1"/>
  <c r="N205" i="2"/>
  <c r="W204" i="2"/>
  <c r="R204" i="2"/>
  <c r="S204" i="2" s="1"/>
  <c r="N204" i="2"/>
  <c r="O204" i="2" s="1"/>
  <c r="O205" i="2" s="1"/>
  <c r="O206" i="2" s="1"/>
  <c r="O207" i="2" s="1"/>
  <c r="W203" i="2"/>
  <c r="N203" i="2"/>
  <c r="W202" i="2"/>
  <c r="R202" i="2"/>
  <c r="S202" i="2" s="1"/>
  <c r="N202" i="2"/>
  <c r="W201" i="2"/>
  <c r="R201" i="2"/>
  <c r="S201" i="2" s="1"/>
  <c r="N201" i="2"/>
  <c r="W200" i="2"/>
  <c r="N200" i="2"/>
  <c r="W199" i="2"/>
  <c r="R199" i="2"/>
  <c r="S199" i="2" s="1"/>
  <c r="N199" i="2"/>
  <c r="W198" i="2"/>
  <c r="R198" i="2"/>
  <c r="S198" i="2" s="1"/>
  <c r="N198" i="2"/>
  <c r="W197" i="2"/>
  <c r="N197" i="2"/>
  <c r="O197" i="2" s="1"/>
  <c r="W196" i="2"/>
  <c r="R196" i="2"/>
  <c r="S196" i="2" s="1"/>
  <c r="N196" i="2"/>
  <c r="W195" i="2"/>
  <c r="N195" i="2"/>
  <c r="W194" i="2"/>
  <c r="R194" i="2"/>
  <c r="S194" i="2" s="1"/>
  <c r="N194" i="2"/>
  <c r="W193" i="2"/>
  <c r="R193" i="2"/>
  <c r="S193" i="2" s="1"/>
  <c r="N193" i="2"/>
  <c r="W192" i="2"/>
  <c r="N192" i="2"/>
  <c r="W191" i="2"/>
  <c r="R191" i="2"/>
  <c r="S191" i="2" s="1"/>
  <c r="N191" i="2"/>
  <c r="O191" i="2" s="1"/>
  <c r="W190" i="2"/>
  <c r="R190" i="2"/>
  <c r="S190" i="2" s="1"/>
  <c r="N190" i="2"/>
  <c r="W189" i="2"/>
  <c r="N189" i="2"/>
  <c r="W188" i="2"/>
  <c r="R188" i="2"/>
  <c r="S188" i="2" s="1"/>
  <c r="N188" i="2"/>
  <c r="O188" i="2" s="1"/>
  <c r="W187" i="2"/>
  <c r="N187" i="2"/>
  <c r="W186" i="2"/>
  <c r="R186" i="2"/>
  <c r="S186" i="2" s="1"/>
  <c r="N186" i="2"/>
  <c r="W185" i="2"/>
  <c r="R185" i="2"/>
  <c r="S185" i="2" s="1"/>
  <c r="N185" i="2"/>
  <c r="W184" i="2"/>
  <c r="N184" i="2"/>
  <c r="W183" i="2"/>
  <c r="R183" i="2"/>
  <c r="S183" i="2" s="1"/>
  <c r="N183" i="2"/>
  <c r="W182" i="2"/>
  <c r="R182" i="2"/>
  <c r="S182" i="2" s="1"/>
  <c r="N182" i="2"/>
  <c r="W181" i="2"/>
  <c r="N181" i="2"/>
  <c r="W180" i="2"/>
  <c r="R180" i="2"/>
  <c r="S180" i="2" s="1"/>
  <c r="N180" i="2"/>
  <c r="W179" i="2"/>
  <c r="N179" i="2"/>
  <c r="W178" i="2"/>
  <c r="R178" i="2"/>
  <c r="S178" i="2" s="1"/>
  <c r="N178" i="2"/>
  <c r="W177" i="2"/>
  <c r="R177" i="2"/>
  <c r="S177" i="2" s="1"/>
  <c r="N177" i="2"/>
  <c r="O177" i="2" s="1"/>
  <c r="W176" i="2"/>
  <c r="N176" i="2"/>
  <c r="W175" i="2"/>
  <c r="R175" i="2"/>
  <c r="S175" i="2" s="1"/>
  <c r="N175" i="2"/>
  <c r="W174" i="2"/>
  <c r="R174" i="2"/>
  <c r="S174" i="2" s="1"/>
  <c r="N174" i="2"/>
  <c r="W173" i="2"/>
  <c r="R173" i="2"/>
  <c r="S173" i="2" s="1"/>
  <c r="N173" i="2"/>
  <c r="W172" i="2"/>
  <c r="R172" i="2"/>
  <c r="S172" i="2" s="1"/>
  <c r="N172" i="2"/>
  <c r="W171" i="2"/>
  <c r="N171" i="2"/>
  <c r="W170" i="2"/>
  <c r="R170" i="2"/>
  <c r="S170" i="2" s="1"/>
  <c r="N170" i="2"/>
  <c r="W169" i="2"/>
  <c r="R169" i="2"/>
  <c r="S169" i="2" s="1"/>
  <c r="N169" i="2"/>
  <c r="W168" i="2"/>
  <c r="R168" i="2"/>
  <c r="S168" i="2" s="1"/>
  <c r="N168" i="2"/>
  <c r="W167" i="2"/>
  <c r="R167" i="2"/>
  <c r="S167" i="2" s="1"/>
  <c r="N167" i="2"/>
  <c r="W166" i="2"/>
  <c r="R166" i="2"/>
  <c r="S166" i="2" s="1"/>
  <c r="N166" i="2"/>
  <c r="W165" i="2"/>
  <c r="N165" i="2"/>
  <c r="W164" i="2"/>
  <c r="R164" i="2"/>
  <c r="S164" i="2" s="1"/>
  <c r="N164" i="2"/>
  <c r="W163" i="2"/>
  <c r="N163" i="2"/>
  <c r="O163" i="2" s="1"/>
  <c r="O164" i="2" s="1"/>
  <c r="O165" i="2" s="1"/>
  <c r="W162" i="2"/>
  <c r="S162" i="2"/>
  <c r="R162" i="2"/>
  <c r="N162" i="2"/>
  <c r="W161" i="2"/>
  <c r="R161" i="2"/>
  <c r="S161" i="2" s="1"/>
  <c r="N161" i="2"/>
  <c r="W160" i="2"/>
  <c r="N160" i="2"/>
  <c r="O160" i="2" s="1"/>
  <c r="W159" i="2"/>
  <c r="R159" i="2"/>
  <c r="S159" i="2" s="1"/>
  <c r="N159" i="2"/>
  <c r="W158" i="2"/>
  <c r="R158" i="2"/>
  <c r="S158" i="2" s="1"/>
  <c r="N158" i="2"/>
  <c r="W157" i="2"/>
  <c r="N157" i="2"/>
  <c r="W156" i="2"/>
  <c r="R156" i="2"/>
  <c r="S156" i="2" s="1"/>
  <c r="N156" i="2"/>
  <c r="O156" i="2" s="1"/>
  <c r="W155" i="2"/>
  <c r="N155" i="2"/>
  <c r="W154" i="2"/>
  <c r="R154" i="2"/>
  <c r="S154" i="2" s="1"/>
  <c r="N154" i="2"/>
  <c r="W153" i="2"/>
  <c r="R153" i="2"/>
  <c r="S153" i="2" s="1"/>
  <c r="N153" i="2"/>
  <c r="W152" i="2"/>
  <c r="N152" i="2"/>
  <c r="W151" i="2"/>
  <c r="R151" i="2"/>
  <c r="S151" i="2" s="1"/>
  <c r="N151" i="2"/>
  <c r="W150" i="2"/>
  <c r="R150" i="2"/>
  <c r="S150" i="2" s="1"/>
  <c r="N150" i="2"/>
  <c r="O150" i="2" s="1"/>
  <c r="W149" i="2"/>
  <c r="N149" i="2"/>
  <c r="W148" i="2"/>
  <c r="R148" i="2"/>
  <c r="S148" i="2" s="1"/>
  <c r="N148" i="2"/>
  <c r="Z147" i="2"/>
  <c r="W147" i="2"/>
  <c r="N147" i="2"/>
  <c r="O147" i="2" s="1"/>
  <c r="W146" i="2"/>
  <c r="R146" i="2"/>
  <c r="S146" i="2" s="1"/>
  <c r="N146" i="2"/>
  <c r="Y145" i="2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W145" i="2"/>
  <c r="R145" i="2"/>
  <c r="S145" i="2" s="1"/>
  <c r="N145" i="2"/>
  <c r="W144" i="2"/>
  <c r="R144" i="2"/>
  <c r="S144" i="2" s="1"/>
  <c r="N144" i="2"/>
  <c r="H144" i="2"/>
  <c r="H145" i="2" s="1"/>
  <c r="H146" i="2" s="1"/>
  <c r="H147" i="2" s="1"/>
  <c r="H148" i="2" s="1"/>
  <c r="H149" i="2" s="1"/>
  <c r="H150" i="2" s="1"/>
  <c r="H151" i="2" s="1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H193" i="2" s="1"/>
  <c r="H194" i="2" s="1"/>
  <c r="H195" i="2" s="1"/>
  <c r="H196" i="2" s="1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W143" i="2"/>
  <c r="R143" i="2"/>
  <c r="S143" i="2" s="1"/>
  <c r="N143" i="2"/>
  <c r="W142" i="2"/>
  <c r="R142" i="2"/>
  <c r="S142" i="2" s="1"/>
  <c r="N142" i="2"/>
  <c r="W141" i="2"/>
  <c r="R141" i="2"/>
  <c r="S141" i="2" s="1"/>
  <c r="N141" i="2"/>
  <c r="W140" i="2"/>
  <c r="S140" i="2"/>
  <c r="R140" i="2"/>
  <c r="N140" i="2"/>
  <c r="H140" i="2"/>
  <c r="H141" i="2" s="1"/>
  <c r="H142" i="2" s="1"/>
  <c r="H143" i="2" s="1"/>
  <c r="G140" i="2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W139" i="2"/>
  <c r="R139" i="2"/>
  <c r="S139" i="2" s="1"/>
  <c r="N139" i="2"/>
  <c r="W138" i="2"/>
  <c r="R138" i="2"/>
  <c r="S138" i="2" s="1"/>
  <c r="N138" i="2"/>
  <c r="W137" i="2"/>
  <c r="R137" i="2"/>
  <c r="S137" i="2" s="1"/>
  <c r="N137" i="2"/>
  <c r="W136" i="2"/>
  <c r="R136" i="2"/>
  <c r="S136" i="2" s="1"/>
  <c r="N136" i="2"/>
  <c r="W135" i="2"/>
  <c r="R135" i="2"/>
  <c r="S135" i="2" s="1"/>
  <c r="N135" i="2"/>
  <c r="W134" i="2"/>
  <c r="R134" i="2"/>
  <c r="S134" i="2" s="1"/>
  <c r="N134" i="2"/>
  <c r="W133" i="2"/>
  <c r="R133" i="2"/>
  <c r="S133" i="2" s="1"/>
  <c r="N133" i="2"/>
  <c r="W132" i="2"/>
  <c r="R132" i="2"/>
  <c r="S132" i="2" s="1"/>
  <c r="N132" i="2"/>
  <c r="W131" i="2"/>
  <c r="R131" i="2"/>
  <c r="S131" i="2" s="1"/>
  <c r="N131" i="2"/>
  <c r="W130" i="2"/>
  <c r="R130" i="2"/>
  <c r="S130" i="2" s="1"/>
  <c r="N130" i="2"/>
  <c r="W129" i="2"/>
  <c r="S129" i="2"/>
  <c r="R129" i="2"/>
  <c r="N129" i="2"/>
  <c r="W128" i="2"/>
  <c r="R128" i="2"/>
  <c r="S128" i="2" s="1"/>
  <c r="N128" i="2"/>
  <c r="W127" i="2"/>
  <c r="R127" i="2"/>
  <c r="S127" i="2" s="1"/>
  <c r="N127" i="2"/>
  <c r="W126" i="2"/>
  <c r="R126" i="2"/>
  <c r="S126" i="2" s="1"/>
  <c r="N126" i="2"/>
  <c r="W125" i="2"/>
  <c r="R125" i="2"/>
  <c r="S125" i="2" s="1"/>
  <c r="N125" i="2"/>
  <c r="W124" i="2"/>
  <c r="R124" i="2"/>
  <c r="S124" i="2" s="1"/>
  <c r="N124" i="2"/>
  <c r="W123" i="2"/>
  <c r="S123" i="2"/>
  <c r="R123" i="2"/>
  <c r="N123" i="2"/>
  <c r="W122" i="2"/>
  <c r="R122" i="2"/>
  <c r="S122" i="2" s="1"/>
  <c r="N122" i="2"/>
  <c r="W121" i="2"/>
  <c r="R121" i="2"/>
  <c r="S121" i="2" s="1"/>
  <c r="N121" i="2"/>
  <c r="W120" i="2"/>
  <c r="R120" i="2"/>
  <c r="S120" i="2" s="1"/>
  <c r="N120" i="2"/>
  <c r="W119" i="2"/>
  <c r="R119" i="2"/>
  <c r="S119" i="2" s="1"/>
  <c r="N119" i="2"/>
  <c r="W118" i="2"/>
  <c r="R118" i="2"/>
  <c r="S118" i="2" s="1"/>
  <c r="N118" i="2"/>
  <c r="I118" i="2"/>
  <c r="W117" i="2"/>
  <c r="S117" i="2"/>
  <c r="R117" i="2"/>
  <c r="N117" i="2"/>
  <c r="W116" i="2"/>
  <c r="S116" i="2"/>
  <c r="R116" i="2"/>
  <c r="N116" i="2"/>
  <c r="I116" i="2"/>
  <c r="W115" i="2"/>
  <c r="R115" i="2"/>
  <c r="S115" i="2" s="1"/>
  <c r="N115" i="2"/>
  <c r="W114" i="2"/>
  <c r="R114" i="2"/>
  <c r="S114" i="2" s="1"/>
  <c r="N114" i="2"/>
  <c r="Y113" i="2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W113" i="2"/>
  <c r="R113" i="2"/>
  <c r="S113" i="2" s="1"/>
  <c r="N113" i="2"/>
  <c r="H113" i="2"/>
  <c r="H114" i="2" s="1"/>
  <c r="H115" i="2" s="1"/>
  <c r="H116" i="2" s="1"/>
  <c r="H117" i="2" s="1"/>
  <c r="H118" i="2" s="1"/>
  <c r="H119" i="2" s="1"/>
  <c r="H120" i="2" s="1"/>
  <c r="H121" i="2" s="1"/>
  <c r="H122" i="2" s="1"/>
  <c r="H123" i="2" s="1"/>
  <c r="H124" i="2" s="1"/>
  <c r="H125" i="2" s="1"/>
  <c r="H126" i="2" s="1"/>
  <c r="H127" i="2" s="1"/>
  <c r="H128" i="2" s="1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W112" i="2"/>
  <c r="Q112" i="2"/>
  <c r="R112" i="2" s="1"/>
  <c r="S112" i="2" s="1"/>
  <c r="N112" i="2"/>
  <c r="O112" i="2" s="1"/>
  <c r="W111" i="2"/>
  <c r="Q111" i="2"/>
  <c r="R111" i="2" s="1"/>
  <c r="S111" i="2" s="1"/>
  <c r="N111" i="2"/>
  <c r="W110" i="2"/>
  <c r="Q110" i="2"/>
  <c r="R110" i="2" s="1"/>
  <c r="S110" i="2" s="1"/>
  <c r="N110" i="2"/>
  <c r="O110" i="2" s="1"/>
  <c r="W109" i="2"/>
  <c r="Q109" i="2"/>
  <c r="R109" i="2" s="1"/>
  <c r="S109" i="2" s="1"/>
  <c r="N109" i="2"/>
  <c r="W108" i="2"/>
  <c r="Q108" i="2"/>
  <c r="R108" i="2" s="1"/>
  <c r="S108" i="2" s="1"/>
  <c r="N108" i="2"/>
  <c r="O108" i="2" s="1"/>
  <c r="W107" i="2"/>
  <c r="Q107" i="2"/>
  <c r="R107" i="2" s="1"/>
  <c r="S107" i="2" s="1"/>
  <c r="N107" i="2"/>
  <c r="W106" i="2"/>
  <c r="Q106" i="2"/>
  <c r="R106" i="2" s="1"/>
  <c r="S106" i="2" s="1"/>
  <c r="N106" i="2"/>
  <c r="W105" i="2"/>
  <c r="R105" i="2"/>
  <c r="S105" i="2" s="1"/>
  <c r="Q105" i="2"/>
  <c r="N105" i="2"/>
  <c r="W104" i="2"/>
  <c r="Q104" i="2"/>
  <c r="R104" i="2" s="1"/>
  <c r="S104" i="2" s="1"/>
  <c r="N104" i="2"/>
  <c r="W103" i="2"/>
  <c r="Q103" i="2"/>
  <c r="R103" i="2" s="1"/>
  <c r="S103" i="2" s="1"/>
  <c r="N103" i="2"/>
  <c r="W102" i="2"/>
  <c r="Q102" i="2"/>
  <c r="R102" i="2" s="1"/>
  <c r="S102" i="2" s="1"/>
  <c r="N102" i="2"/>
  <c r="W101" i="2"/>
  <c r="R101" i="2"/>
  <c r="S101" i="2" s="1"/>
  <c r="Q101" i="2"/>
  <c r="N101" i="2"/>
  <c r="W100" i="2"/>
  <c r="R100" i="2"/>
  <c r="S100" i="2" s="1"/>
  <c r="Q100" i="2"/>
  <c r="N100" i="2"/>
  <c r="W99" i="2"/>
  <c r="Q99" i="2"/>
  <c r="R99" i="2" s="1"/>
  <c r="S99" i="2" s="1"/>
  <c r="N99" i="2"/>
  <c r="W98" i="2"/>
  <c r="Q98" i="2"/>
  <c r="R98" i="2" s="1"/>
  <c r="S98" i="2" s="1"/>
  <c r="N98" i="2"/>
  <c r="W97" i="2"/>
  <c r="R97" i="2"/>
  <c r="S97" i="2" s="1"/>
  <c r="Q97" i="2"/>
  <c r="N97" i="2"/>
  <c r="W96" i="2"/>
  <c r="R96" i="2"/>
  <c r="S96" i="2" s="1"/>
  <c r="Q96" i="2"/>
  <c r="N96" i="2"/>
  <c r="W95" i="2"/>
  <c r="Q95" i="2"/>
  <c r="R95" i="2" s="1"/>
  <c r="S95" i="2" s="1"/>
  <c r="N95" i="2"/>
  <c r="W94" i="2"/>
  <c r="Q94" i="2"/>
  <c r="R94" i="2" s="1"/>
  <c r="S94" i="2" s="1"/>
  <c r="N94" i="2"/>
  <c r="W93" i="2"/>
  <c r="Q93" i="2"/>
  <c r="R93" i="2" s="1"/>
  <c r="S93" i="2" s="1"/>
  <c r="N93" i="2"/>
  <c r="W92" i="2"/>
  <c r="Q92" i="2"/>
  <c r="R92" i="2" s="1"/>
  <c r="S92" i="2" s="1"/>
  <c r="N92" i="2"/>
  <c r="W91" i="2"/>
  <c r="Q91" i="2"/>
  <c r="R91" i="2" s="1"/>
  <c r="S91" i="2" s="1"/>
  <c r="N91" i="2"/>
  <c r="W90" i="2"/>
  <c r="Q90" i="2"/>
  <c r="R90" i="2" s="1"/>
  <c r="S90" i="2" s="1"/>
  <c r="N90" i="2"/>
  <c r="W89" i="2"/>
  <c r="Q89" i="2"/>
  <c r="R89" i="2" s="1"/>
  <c r="S89" i="2" s="1"/>
  <c r="N89" i="2"/>
  <c r="W88" i="2"/>
  <c r="Q88" i="2"/>
  <c r="R88" i="2" s="1"/>
  <c r="S88" i="2" s="1"/>
  <c r="N88" i="2"/>
  <c r="W87" i="2"/>
  <c r="Q87" i="2"/>
  <c r="R87" i="2" s="1"/>
  <c r="S87" i="2" s="1"/>
  <c r="N87" i="2"/>
  <c r="W86" i="2"/>
  <c r="Q86" i="2"/>
  <c r="R86" i="2" s="1"/>
  <c r="S86" i="2" s="1"/>
  <c r="N86" i="2"/>
  <c r="W85" i="2"/>
  <c r="R85" i="2"/>
  <c r="S85" i="2" s="1"/>
  <c r="Q85" i="2"/>
  <c r="N85" i="2"/>
  <c r="W84" i="2"/>
  <c r="R84" i="2"/>
  <c r="S84" i="2" s="1"/>
  <c r="Q84" i="2"/>
  <c r="N84" i="2"/>
  <c r="W83" i="2"/>
  <c r="Q83" i="2"/>
  <c r="R83" i="2" s="1"/>
  <c r="S83" i="2" s="1"/>
  <c r="N83" i="2"/>
  <c r="W82" i="2"/>
  <c r="Q82" i="2"/>
  <c r="R82" i="2" s="1"/>
  <c r="S82" i="2" s="1"/>
  <c r="N82" i="2"/>
  <c r="W81" i="2"/>
  <c r="R81" i="2"/>
  <c r="S81" i="2" s="1"/>
  <c r="Q81" i="2"/>
  <c r="N81" i="2"/>
  <c r="W80" i="2"/>
  <c r="R80" i="2"/>
  <c r="S80" i="2" s="1"/>
  <c r="Q80" i="2"/>
  <c r="N80" i="2"/>
  <c r="W79" i="2"/>
  <c r="Q79" i="2"/>
  <c r="R79" i="2" s="1"/>
  <c r="S79" i="2" s="1"/>
  <c r="N79" i="2"/>
  <c r="W78" i="2"/>
  <c r="Q78" i="2"/>
  <c r="R78" i="2" s="1"/>
  <c r="S78" i="2" s="1"/>
  <c r="N78" i="2"/>
  <c r="W77" i="2"/>
  <c r="Q77" i="2"/>
  <c r="R77" i="2" s="1"/>
  <c r="S77" i="2" s="1"/>
  <c r="N77" i="2"/>
  <c r="W76" i="2"/>
  <c r="Q76" i="2"/>
  <c r="R76" i="2" s="1"/>
  <c r="S76" i="2" s="1"/>
  <c r="N76" i="2"/>
  <c r="W75" i="2"/>
  <c r="Q75" i="2"/>
  <c r="R75" i="2" s="1"/>
  <c r="S75" i="2" s="1"/>
  <c r="N75" i="2"/>
  <c r="W74" i="2"/>
  <c r="Q74" i="2"/>
  <c r="R74" i="2" s="1"/>
  <c r="S74" i="2" s="1"/>
  <c r="N74" i="2"/>
  <c r="W73" i="2"/>
  <c r="Q73" i="2"/>
  <c r="R73" i="2" s="1"/>
  <c r="S73" i="2" s="1"/>
  <c r="N73" i="2"/>
  <c r="W72" i="2"/>
  <c r="Q72" i="2"/>
  <c r="R72" i="2" s="1"/>
  <c r="S72" i="2" s="1"/>
  <c r="N72" i="2"/>
  <c r="W71" i="2"/>
  <c r="Q71" i="2"/>
  <c r="R71" i="2" s="1"/>
  <c r="S71" i="2" s="1"/>
  <c r="N71" i="2"/>
  <c r="W70" i="2"/>
  <c r="Q70" i="2"/>
  <c r="R70" i="2" s="1"/>
  <c r="S70" i="2" s="1"/>
  <c r="N70" i="2"/>
  <c r="W69" i="2"/>
  <c r="Q69" i="2"/>
  <c r="R69" i="2" s="1"/>
  <c r="S69" i="2" s="1"/>
  <c r="N69" i="2"/>
  <c r="W68" i="2"/>
  <c r="Q68" i="2"/>
  <c r="R68" i="2" s="1"/>
  <c r="S68" i="2" s="1"/>
  <c r="N68" i="2"/>
  <c r="W67" i="2"/>
  <c r="Q67" i="2"/>
  <c r="R67" i="2" s="1"/>
  <c r="S67" i="2" s="1"/>
  <c r="N67" i="2"/>
  <c r="W66" i="2"/>
  <c r="Q66" i="2"/>
  <c r="R66" i="2" s="1"/>
  <c r="S66" i="2" s="1"/>
  <c r="N66" i="2"/>
  <c r="W65" i="2"/>
  <c r="Q65" i="2"/>
  <c r="R65" i="2" s="1"/>
  <c r="S65" i="2" s="1"/>
  <c r="N65" i="2"/>
  <c r="W64" i="2"/>
  <c r="Q64" i="2"/>
  <c r="R64" i="2" s="1"/>
  <c r="S64" i="2" s="1"/>
  <c r="N64" i="2"/>
  <c r="W63" i="2"/>
  <c r="Q63" i="2"/>
  <c r="R63" i="2" s="1"/>
  <c r="S63" i="2" s="1"/>
  <c r="N63" i="2"/>
  <c r="W62" i="2"/>
  <c r="Q62" i="2"/>
  <c r="R62" i="2" s="1"/>
  <c r="S62" i="2" s="1"/>
  <c r="N62" i="2"/>
  <c r="W61" i="2"/>
  <c r="Q61" i="2"/>
  <c r="R61" i="2" s="1"/>
  <c r="S61" i="2" s="1"/>
  <c r="N61" i="2"/>
  <c r="W60" i="2"/>
  <c r="Q60" i="2"/>
  <c r="R60" i="2" s="1"/>
  <c r="S60" i="2" s="1"/>
  <c r="N60" i="2"/>
  <c r="W59" i="2"/>
  <c r="Q59" i="2"/>
  <c r="R59" i="2" s="1"/>
  <c r="S59" i="2" s="1"/>
  <c r="N59" i="2"/>
  <c r="W58" i="2"/>
  <c r="Q58" i="2"/>
  <c r="R58" i="2" s="1"/>
  <c r="S58" i="2" s="1"/>
  <c r="N58" i="2"/>
  <c r="W57" i="2"/>
  <c r="Q57" i="2"/>
  <c r="R57" i="2" s="1"/>
  <c r="S57" i="2" s="1"/>
  <c r="N57" i="2"/>
  <c r="W56" i="2"/>
  <c r="R56" i="2"/>
  <c r="S56" i="2" s="1"/>
  <c r="Q56" i="2"/>
  <c r="N56" i="2"/>
  <c r="W55" i="2"/>
  <c r="U55" i="2"/>
  <c r="Q55" i="2"/>
  <c r="R55" i="2" s="1"/>
  <c r="S55" i="2" s="1"/>
  <c r="N55" i="2"/>
  <c r="W54" i="2"/>
  <c r="Q54" i="2"/>
  <c r="R54" i="2" s="1"/>
  <c r="S54" i="2" s="1"/>
  <c r="N54" i="2"/>
  <c r="W53" i="2"/>
  <c r="Q53" i="2"/>
  <c r="R53" i="2" s="1"/>
  <c r="S53" i="2" s="1"/>
  <c r="N53" i="2"/>
  <c r="W52" i="2"/>
  <c r="Q52" i="2"/>
  <c r="R52" i="2" s="1"/>
  <c r="S52" i="2" s="1"/>
  <c r="N52" i="2"/>
  <c r="W51" i="2"/>
  <c r="R51" i="2"/>
  <c r="S51" i="2" s="1"/>
  <c r="Q51" i="2"/>
  <c r="N51" i="2"/>
  <c r="W50" i="2"/>
  <c r="R50" i="2"/>
  <c r="S50" i="2" s="1"/>
  <c r="Q50" i="2"/>
  <c r="N50" i="2"/>
  <c r="W49" i="2"/>
  <c r="Q49" i="2"/>
  <c r="R49" i="2" s="1"/>
  <c r="S49" i="2" s="1"/>
  <c r="N49" i="2"/>
  <c r="W48" i="2"/>
  <c r="R48" i="2"/>
  <c r="S48" i="2" s="1"/>
  <c r="N48" i="2"/>
  <c r="W47" i="2"/>
  <c r="R47" i="2"/>
  <c r="S47" i="2" s="1"/>
  <c r="N47" i="2"/>
  <c r="W46" i="2"/>
  <c r="R46" i="2"/>
  <c r="S46" i="2" s="1"/>
  <c r="N46" i="2"/>
  <c r="W45" i="2"/>
  <c r="R45" i="2"/>
  <c r="S45" i="2" s="1"/>
  <c r="N45" i="2"/>
  <c r="I45" i="2"/>
  <c r="W44" i="2"/>
  <c r="R44" i="2"/>
  <c r="S44" i="2" s="1"/>
  <c r="N44" i="2"/>
  <c r="W43" i="2"/>
  <c r="S43" i="2"/>
  <c r="R43" i="2"/>
  <c r="N43" i="2"/>
  <c r="W42" i="2"/>
  <c r="R42" i="2"/>
  <c r="S42" i="2" s="1"/>
  <c r="T42" i="2" s="1"/>
  <c r="N42" i="2"/>
  <c r="W41" i="2"/>
  <c r="R41" i="2"/>
  <c r="S41" i="2" s="1"/>
  <c r="N41" i="2"/>
  <c r="X40" i="2"/>
  <c r="X41" i="2" s="1"/>
  <c r="X42" i="2" s="1"/>
  <c r="X43" i="2" s="1"/>
  <c r="X44" i="2" s="1"/>
  <c r="X45" i="2" s="1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X127" i="2" s="1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X337" i="2" s="1"/>
  <c r="X338" i="2" s="1"/>
  <c r="X339" i="2" s="1"/>
  <c r="X340" i="2" s="1"/>
  <c r="X341" i="2" s="1"/>
  <c r="X342" i="2" s="1"/>
  <c r="X343" i="2" s="1"/>
  <c r="X344" i="2" s="1"/>
  <c r="X345" i="2" s="1"/>
  <c r="X346" i="2" s="1"/>
  <c r="X347" i="2" s="1"/>
  <c r="X348" i="2" s="1"/>
  <c r="X349" i="2" s="1"/>
  <c r="X350" i="2" s="1"/>
  <c r="X351" i="2" s="1"/>
  <c r="X352" i="2" s="1"/>
  <c r="X353" i="2" s="1"/>
  <c r="X354" i="2" s="1"/>
  <c r="X355" i="2" s="1"/>
  <c r="X356" i="2" s="1"/>
  <c r="X357" i="2" s="1"/>
  <c r="W40" i="2"/>
  <c r="S40" i="2"/>
  <c r="R40" i="2"/>
  <c r="N40" i="2"/>
  <c r="O40" i="2" s="1"/>
  <c r="M40" i="2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M311" i="2" s="1"/>
  <c r="M312" i="2" s="1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M330" i="2" s="1"/>
  <c r="M331" i="2" s="1"/>
  <c r="M332" i="2" s="1"/>
  <c r="M333" i="2" s="1"/>
  <c r="M334" i="2" s="1"/>
  <c r="M335" i="2" s="1"/>
  <c r="M336" i="2" s="1"/>
  <c r="M337" i="2" s="1"/>
  <c r="M338" i="2" s="1"/>
  <c r="M339" i="2" s="1"/>
  <c r="M340" i="2" s="1"/>
  <c r="M341" i="2" s="1"/>
  <c r="M342" i="2" s="1"/>
  <c r="M343" i="2" s="1"/>
  <c r="M344" i="2" s="1"/>
  <c r="M345" i="2" s="1"/>
  <c r="M346" i="2" s="1"/>
  <c r="M347" i="2" s="1"/>
  <c r="M348" i="2" s="1"/>
  <c r="M349" i="2" s="1"/>
  <c r="M350" i="2" s="1"/>
  <c r="M351" i="2" s="1"/>
  <c r="M352" i="2" s="1"/>
  <c r="M353" i="2" s="1"/>
  <c r="M354" i="2" s="1"/>
  <c r="M355" i="2" s="1"/>
  <c r="M356" i="2" s="1"/>
  <c r="M357" i="2" s="1"/>
  <c r="K40" i="2"/>
  <c r="K41" i="2" s="1"/>
  <c r="K42" i="2" s="1"/>
  <c r="K43" i="2" s="1"/>
  <c r="K44" i="2" s="1"/>
  <c r="K45" i="2" s="1"/>
  <c r="K46" i="2" s="1"/>
  <c r="K47" i="2" s="1"/>
  <c r="K48" i="2" s="1"/>
  <c r="K49" i="2" s="1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G40" i="2"/>
  <c r="G41" i="2" s="1"/>
  <c r="G42" i="2" s="1"/>
  <c r="G43" i="2" s="1"/>
  <c r="G44" i="2" s="1"/>
  <c r="G45" i="2" s="1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N38" i="2"/>
  <c r="N37" i="2"/>
  <c r="N36" i="2"/>
  <c r="N35" i="2"/>
  <c r="N34" i="2"/>
  <c r="N33" i="2"/>
  <c r="N32" i="2"/>
  <c r="N31" i="2"/>
  <c r="N30" i="2"/>
  <c r="N29" i="2"/>
  <c r="O28" i="2"/>
  <c r="O29" i="2" s="1"/>
  <c r="N28" i="2"/>
  <c r="N27" i="2"/>
  <c r="N26" i="2"/>
  <c r="N25" i="2"/>
  <c r="N24" i="2"/>
  <c r="N23" i="2"/>
  <c r="N22" i="2"/>
  <c r="O22" i="2" s="1"/>
  <c r="N21" i="2"/>
  <c r="N20" i="2"/>
  <c r="N19" i="2"/>
  <c r="N18" i="2"/>
  <c r="N17" i="2"/>
  <c r="N16" i="2"/>
  <c r="N15" i="2"/>
  <c r="N14" i="2"/>
  <c r="N13" i="2"/>
  <c r="N12" i="2"/>
  <c r="N11" i="2"/>
  <c r="O11" i="2" s="1"/>
  <c r="N10" i="2"/>
  <c r="N9" i="2"/>
  <c r="N8" i="2"/>
  <c r="N7" i="2"/>
  <c r="N6" i="2"/>
  <c r="N5" i="2"/>
  <c r="U314" i="1"/>
  <c r="I306" i="1"/>
  <c r="U268" i="1"/>
  <c r="I260" i="1"/>
  <c r="I282" i="1"/>
  <c r="U126" i="1"/>
  <c r="U269" i="1"/>
  <c r="U55" i="1"/>
  <c r="W357" i="1"/>
  <c r="Q357" i="1"/>
  <c r="R357" i="1" s="1"/>
  <c r="S357" i="1" s="1"/>
  <c r="N357" i="1"/>
  <c r="W356" i="1"/>
  <c r="Q356" i="1"/>
  <c r="R356" i="1" s="1"/>
  <c r="S356" i="1" s="1"/>
  <c r="N356" i="1"/>
  <c r="W355" i="1"/>
  <c r="Q355" i="1"/>
  <c r="R355" i="1" s="1"/>
  <c r="S355" i="1" s="1"/>
  <c r="O355" i="1"/>
  <c r="O356" i="1" s="1"/>
  <c r="O357" i="1" s="1"/>
  <c r="N355" i="1"/>
  <c r="W354" i="1"/>
  <c r="S354" i="1"/>
  <c r="Q354" i="1"/>
  <c r="R354" i="1" s="1"/>
  <c r="N354" i="1"/>
  <c r="W353" i="1"/>
  <c r="Q353" i="1"/>
  <c r="R353" i="1" s="1"/>
  <c r="S353" i="1" s="1"/>
  <c r="O353" i="1"/>
  <c r="O354" i="1" s="1"/>
  <c r="N353" i="1"/>
  <c r="W352" i="1"/>
  <c r="R352" i="1"/>
  <c r="S352" i="1" s="1"/>
  <c r="Q352" i="1"/>
  <c r="N352" i="1"/>
  <c r="W351" i="1"/>
  <c r="R351" i="1"/>
  <c r="S351" i="1" s="1"/>
  <c r="Q351" i="1"/>
  <c r="N351" i="1"/>
  <c r="O351" i="1" s="1"/>
  <c r="Y350" i="1"/>
  <c r="Y351" i="1" s="1"/>
  <c r="Y352" i="1" s="1"/>
  <c r="Y353" i="1" s="1"/>
  <c r="Y354" i="1" s="1"/>
  <c r="Y355" i="1" s="1"/>
  <c r="Y356" i="1" s="1"/>
  <c r="Y357" i="1" s="1"/>
  <c r="W350" i="1"/>
  <c r="Q350" i="1"/>
  <c r="R350" i="1" s="1"/>
  <c r="S350" i="1" s="1"/>
  <c r="N350" i="1"/>
  <c r="W349" i="1"/>
  <c r="R349" i="1"/>
  <c r="S349" i="1" s="1"/>
  <c r="Q349" i="1"/>
  <c r="N349" i="1"/>
  <c r="H349" i="1"/>
  <c r="H350" i="1" s="1"/>
  <c r="H351" i="1" s="1"/>
  <c r="H352" i="1" s="1"/>
  <c r="H353" i="1" s="1"/>
  <c r="H354" i="1" s="1"/>
  <c r="H355" i="1" s="1"/>
  <c r="H356" i="1" s="1"/>
  <c r="H357" i="1" s="1"/>
  <c r="W348" i="1"/>
  <c r="Q348" i="1"/>
  <c r="R348" i="1" s="1"/>
  <c r="S348" i="1" s="1"/>
  <c r="N348" i="1"/>
  <c r="Y347" i="1"/>
  <c r="Y348" i="1" s="1"/>
  <c r="Y349" i="1" s="1"/>
  <c r="W347" i="1"/>
  <c r="Q347" i="1"/>
  <c r="R347" i="1" s="1"/>
  <c r="S347" i="1" s="1"/>
  <c r="N347" i="1"/>
  <c r="H347" i="1"/>
  <c r="H348" i="1" s="1"/>
  <c r="W346" i="1"/>
  <c r="R346" i="1"/>
  <c r="S346" i="1" s="1"/>
  <c r="Q346" i="1"/>
  <c r="N346" i="1"/>
  <c r="W345" i="1"/>
  <c r="Q345" i="1"/>
  <c r="R345" i="1" s="1"/>
  <c r="S345" i="1" s="1"/>
  <c r="N345" i="1"/>
  <c r="W344" i="1"/>
  <c r="Q344" i="1"/>
  <c r="R344" i="1" s="1"/>
  <c r="S344" i="1" s="1"/>
  <c r="N344" i="1"/>
  <c r="W343" i="1"/>
  <c r="S343" i="1"/>
  <c r="Q343" i="1"/>
  <c r="R343" i="1" s="1"/>
  <c r="N343" i="1"/>
  <c r="W342" i="1"/>
  <c r="Q342" i="1"/>
  <c r="R342" i="1" s="1"/>
  <c r="S342" i="1" s="1"/>
  <c r="N342" i="1"/>
  <c r="W341" i="1"/>
  <c r="Q341" i="1"/>
  <c r="R341" i="1" s="1"/>
  <c r="S341" i="1" s="1"/>
  <c r="N341" i="1"/>
  <c r="W340" i="1"/>
  <c r="R340" i="1"/>
  <c r="S340" i="1" s="1"/>
  <c r="Q340" i="1"/>
  <c r="N340" i="1"/>
  <c r="W339" i="1"/>
  <c r="S339" i="1"/>
  <c r="R339" i="1"/>
  <c r="Q339" i="1"/>
  <c r="N339" i="1"/>
  <c r="W338" i="1"/>
  <c r="Q338" i="1"/>
  <c r="R338" i="1" s="1"/>
  <c r="S338" i="1" s="1"/>
  <c r="N338" i="1"/>
  <c r="W337" i="1"/>
  <c r="Q337" i="1"/>
  <c r="R337" i="1" s="1"/>
  <c r="S337" i="1" s="1"/>
  <c r="N337" i="1"/>
  <c r="W336" i="1"/>
  <c r="R336" i="1"/>
  <c r="S336" i="1" s="1"/>
  <c r="Q336" i="1"/>
  <c r="N336" i="1"/>
  <c r="H336" i="1"/>
  <c r="H337" i="1" s="1"/>
  <c r="H338" i="1" s="1"/>
  <c r="H339" i="1" s="1"/>
  <c r="H340" i="1" s="1"/>
  <c r="H341" i="1" s="1"/>
  <c r="H342" i="1" s="1"/>
  <c r="H343" i="1" s="1"/>
  <c r="H344" i="1" s="1"/>
  <c r="H345" i="1" s="1"/>
  <c r="W335" i="1"/>
  <c r="Q335" i="1"/>
  <c r="R335" i="1" s="1"/>
  <c r="S335" i="1" s="1"/>
  <c r="N335" i="1"/>
  <c r="W334" i="1"/>
  <c r="R334" i="1"/>
  <c r="S334" i="1" s="1"/>
  <c r="Q334" i="1"/>
  <c r="N334" i="1"/>
  <c r="W333" i="1"/>
  <c r="R333" i="1"/>
  <c r="S333" i="1" s="1"/>
  <c r="Q333" i="1"/>
  <c r="N333" i="1"/>
  <c r="W332" i="1"/>
  <c r="R332" i="1"/>
  <c r="S332" i="1" s="1"/>
  <c r="Q332" i="1"/>
  <c r="N332" i="1"/>
  <c r="W331" i="1"/>
  <c r="R331" i="1"/>
  <c r="S331" i="1" s="1"/>
  <c r="Q331" i="1"/>
  <c r="N331" i="1"/>
  <c r="W330" i="1"/>
  <c r="Q330" i="1"/>
  <c r="R330" i="1" s="1"/>
  <c r="S330" i="1" s="1"/>
  <c r="N330" i="1"/>
  <c r="W329" i="1"/>
  <c r="Q329" i="1"/>
  <c r="R329" i="1" s="1"/>
  <c r="S329" i="1" s="1"/>
  <c r="N329" i="1"/>
  <c r="W328" i="1"/>
  <c r="R328" i="1"/>
  <c r="S328" i="1" s="1"/>
  <c r="Q328" i="1"/>
  <c r="N328" i="1"/>
  <c r="W327" i="1"/>
  <c r="R327" i="1"/>
  <c r="S327" i="1" s="1"/>
  <c r="Q327" i="1"/>
  <c r="N327" i="1"/>
  <c r="H327" i="1"/>
  <c r="H328" i="1" s="1"/>
  <c r="H329" i="1" s="1"/>
  <c r="H330" i="1" s="1"/>
  <c r="H331" i="1" s="1"/>
  <c r="H332" i="1" s="1"/>
  <c r="H333" i="1" s="1"/>
  <c r="H334" i="1" s="1"/>
  <c r="H335" i="1" s="1"/>
  <c r="Y326" i="1"/>
  <c r="Y327" i="1" s="1"/>
  <c r="Y328" i="1" s="1"/>
  <c r="Y329" i="1" s="1"/>
  <c r="Y330" i="1" s="1"/>
  <c r="Y331" i="1" s="1"/>
  <c r="Y332" i="1" s="1"/>
  <c r="Y333" i="1" s="1"/>
  <c r="Y334" i="1" s="1"/>
  <c r="Y335" i="1" s="1"/>
  <c r="Y336" i="1" s="1"/>
  <c r="Y337" i="1" s="1"/>
  <c r="Y338" i="1" s="1"/>
  <c r="Y339" i="1" s="1"/>
  <c r="Y340" i="1" s="1"/>
  <c r="Y341" i="1" s="1"/>
  <c r="Y342" i="1" s="1"/>
  <c r="Y343" i="1" s="1"/>
  <c r="Y344" i="1" s="1"/>
  <c r="Y345" i="1" s="1"/>
  <c r="W326" i="1"/>
  <c r="R326" i="1"/>
  <c r="S326" i="1" s="1"/>
  <c r="Q326" i="1"/>
  <c r="N326" i="1"/>
  <c r="I326" i="1"/>
  <c r="W325" i="1"/>
  <c r="R325" i="1"/>
  <c r="S325" i="1" s="1"/>
  <c r="Q325" i="1"/>
  <c r="N325" i="1"/>
  <c r="Z324" i="1"/>
  <c r="W324" i="1"/>
  <c r="Q324" i="1"/>
  <c r="R324" i="1" s="1"/>
  <c r="S324" i="1" s="1"/>
  <c r="N324" i="1"/>
  <c r="W323" i="1"/>
  <c r="R323" i="1"/>
  <c r="S323" i="1" s="1"/>
  <c r="Q323" i="1"/>
  <c r="N323" i="1"/>
  <c r="Y322" i="1"/>
  <c r="Y323" i="1" s="1"/>
  <c r="Y324" i="1" s="1"/>
  <c r="Y325" i="1" s="1"/>
  <c r="W322" i="1"/>
  <c r="R322" i="1"/>
  <c r="S322" i="1" s="1"/>
  <c r="Q322" i="1"/>
  <c r="N322" i="1"/>
  <c r="I322" i="1"/>
  <c r="H322" i="1"/>
  <c r="H323" i="1" s="1"/>
  <c r="H324" i="1" s="1"/>
  <c r="H325" i="1" s="1"/>
  <c r="H326" i="1" s="1"/>
  <c r="W321" i="1"/>
  <c r="S321" i="1"/>
  <c r="R321" i="1"/>
  <c r="Q321" i="1"/>
  <c r="N321" i="1"/>
  <c r="W320" i="1"/>
  <c r="Q320" i="1"/>
  <c r="R320" i="1" s="1"/>
  <c r="S320" i="1" s="1"/>
  <c r="N320" i="1"/>
  <c r="W319" i="1"/>
  <c r="S319" i="1"/>
  <c r="Q319" i="1"/>
  <c r="R319" i="1" s="1"/>
  <c r="N319" i="1"/>
  <c r="W318" i="1"/>
  <c r="S318" i="1"/>
  <c r="R318" i="1"/>
  <c r="Q318" i="1"/>
  <c r="N318" i="1"/>
  <c r="Y317" i="1"/>
  <c r="Y318" i="1" s="1"/>
  <c r="Y319" i="1" s="1"/>
  <c r="Y320" i="1" s="1"/>
  <c r="W317" i="1"/>
  <c r="R317" i="1"/>
  <c r="S317" i="1" s="1"/>
  <c r="Q317" i="1"/>
  <c r="N317" i="1"/>
  <c r="Y316" i="1"/>
  <c r="W316" i="1"/>
  <c r="S316" i="1"/>
  <c r="Q316" i="1"/>
  <c r="R316" i="1" s="1"/>
  <c r="N316" i="1"/>
  <c r="W315" i="1"/>
  <c r="Q315" i="1"/>
  <c r="R315" i="1" s="1"/>
  <c r="S315" i="1" s="1"/>
  <c r="N315" i="1"/>
  <c r="W314" i="1"/>
  <c r="Q314" i="1"/>
  <c r="R314" i="1" s="1"/>
  <c r="S314" i="1" s="1"/>
  <c r="N314" i="1"/>
  <c r="W313" i="1"/>
  <c r="S313" i="1"/>
  <c r="Q313" i="1"/>
  <c r="R313" i="1" s="1"/>
  <c r="N313" i="1"/>
  <c r="W312" i="1"/>
  <c r="R312" i="1"/>
  <c r="S312" i="1" s="1"/>
  <c r="Q312" i="1"/>
  <c r="N312" i="1"/>
  <c r="Y311" i="1"/>
  <c r="Y312" i="1" s="1"/>
  <c r="Y313" i="1" s="1"/>
  <c r="Y314" i="1" s="1"/>
  <c r="Y315" i="1" s="1"/>
  <c r="W311" i="1"/>
  <c r="S311" i="1"/>
  <c r="Q311" i="1"/>
  <c r="R311" i="1" s="1"/>
  <c r="N311" i="1"/>
  <c r="W310" i="1"/>
  <c r="Q310" i="1"/>
  <c r="R310" i="1" s="1"/>
  <c r="S310" i="1" s="1"/>
  <c r="N310" i="1"/>
  <c r="W309" i="1"/>
  <c r="Q309" i="1"/>
  <c r="R309" i="1" s="1"/>
  <c r="S309" i="1" s="1"/>
  <c r="N309" i="1"/>
  <c r="W308" i="1"/>
  <c r="S308" i="1"/>
  <c r="Q308" i="1"/>
  <c r="R308" i="1" s="1"/>
  <c r="N308" i="1"/>
  <c r="W307" i="1"/>
  <c r="Q307" i="1"/>
  <c r="R307" i="1" s="1"/>
  <c r="S307" i="1" s="1"/>
  <c r="N307" i="1"/>
  <c r="W306" i="1"/>
  <c r="S306" i="1"/>
  <c r="R306" i="1"/>
  <c r="Q306" i="1"/>
  <c r="N306" i="1"/>
  <c r="W305" i="1"/>
  <c r="Q305" i="1"/>
  <c r="R305" i="1" s="1"/>
  <c r="S305" i="1" s="1"/>
  <c r="N305" i="1"/>
  <c r="H305" i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Z304" i="1"/>
  <c r="W304" i="1"/>
  <c r="Q304" i="1"/>
  <c r="R304" i="1" s="1"/>
  <c r="S304" i="1" s="1"/>
  <c r="N304" i="1"/>
  <c r="I304" i="1"/>
  <c r="W303" i="1"/>
  <c r="R303" i="1"/>
  <c r="S303" i="1" s="1"/>
  <c r="Q303" i="1"/>
  <c r="N303" i="1"/>
  <c r="H303" i="1"/>
  <c r="H304" i="1" s="1"/>
  <c r="Y302" i="1"/>
  <c r="Y303" i="1" s="1"/>
  <c r="Y304" i="1" s="1"/>
  <c r="Y305" i="1" s="1"/>
  <c r="Y306" i="1" s="1"/>
  <c r="Y307" i="1" s="1"/>
  <c r="Y308" i="1" s="1"/>
  <c r="Y309" i="1" s="1"/>
  <c r="Y310" i="1" s="1"/>
  <c r="W302" i="1"/>
  <c r="R302" i="1"/>
  <c r="S302" i="1" s="1"/>
  <c r="Q302" i="1"/>
  <c r="N302" i="1"/>
  <c r="I302" i="1"/>
  <c r="H302" i="1"/>
  <c r="W301" i="1"/>
  <c r="Q301" i="1"/>
  <c r="R301" i="1" s="1"/>
  <c r="S301" i="1" s="1"/>
  <c r="N301" i="1"/>
  <c r="W300" i="1"/>
  <c r="R300" i="1"/>
  <c r="S300" i="1" s="1"/>
  <c r="N300" i="1"/>
  <c r="W299" i="1"/>
  <c r="R299" i="1"/>
  <c r="S299" i="1" s="1"/>
  <c r="N299" i="1"/>
  <c r="W298" i="1"/>
  <c r="S298" i="1"/>
  <c r="R298" i="1"/>
  <c r="N298" i="1"/>
  <c r="W297" i="1"/>
  <c r="R297" i="1"/>
  <c r="S297" i="1" s="1"/>
  <c r="N297" i="1"/>
  <c r="W296" i="1"/>
  <c r="S296" i="1"/>
  <c r="R296" i="1"/>
  <c r="N296" i="1"/>
  <c r="W295" i="1"/>
  <c r="R295" i="1"/>
  <c r="S295" i="1" s="1"/>
  <c r="N295" i="1"/>
  <c r="W294" i="1"/>
  <c r="R294" i="1"/>
  <c r="S294" i="1" s="1"/>
  <c r="N294" i="1"/>
  <c r="W293" i="1"/>
  <c r="R293" i="1"/>
  <c r="S293" i="1" s="1"/>
  <c r="N293" i="1"/>
  <c r="W292" i="1"/>
  <c r="S292" i="1"/>
  <c r="R292" i="1"/>
  <c r="N292" i="1"/>
  <c r="W291" i="1"/>
  <c r="S291" i="1"/>
  <c r="R291" i="1"/>
  <c r="N291" i="1"/>
  <c r="W290" i="1"/>
  <c r="R290" i="1"/>
  <c r="S290" i="1" s="1"/>
  <c r="N290" i="1"/>
  <c r="W289" i="1"/>
  <c r="R289" i="1"/>
  <c r="S289" i="1" s="1"/>
  <c r="N289" i="1"/>
  <c r="W288" i="1"/>
  <c r="R288" i="1"/>
  <c r="S288" i="1" s="1"/>
  <c r="N288" i="1"/>
  <c r="W287" i="1"/>
  <c r="S287" i="1"/>
  <c r="R287" i="1"/>
  <c r="N287" i="1"/>
  <c r="W286" i="1"/>
  <c r="S286" i="1"/>
  <c r="R286" i="1"/>
  <c r="N286" i="1"/>
  <c r="W285" i="1"/>
  <c r="S285" i="1"/>
  <c r="R285" i="1"/>
  <c r="N285" i="1"/>
  <c r="W284" i="1"/>
  <c r="S284" i="1"/>
  <c r="R284" i="1"/>
  <c r="N284" i="1"/>
  <c r="W283" i="1"/>
  <c r="S283" i="1"/>
  <c r="R283" i="1"/>
  <c r="N283" i="1"/>
  <c r="Y282" i="1"/>
  <c r="Y283" i="1" s="1"/>
  <c r="Y284" i="1" s="1"/>
  <c r="Y285" i="1" s="1"/>
  <c r="Y286" i="1" s="1"/>
  <c r="Y287" i="1" s="1"/>
  <c r="Y288" i="1" s="1"/>
  <c r="Y289" i="1" s="1"/>
  <c r="Y290" i="1" s="1"/>
  <c r="Y291" i="1" s="1"/>
  <c r="Y292" i="1" s="1"/>
  <c r="Y293" i="1" s="1"/>
  <c r="Y294" i="1" s="1"/>
  <c r="Y295" i="1" s="1"/>
  <c r="Y296" i="1" s="1"/>
  <c r="Y297" i="1" s="1"/>
  <c r="Y298" i="1" s="1"/>
  <c r="Y299" i="1" s="1"/>
  <c r="Y300" i="1" s="1"/>
  <c r="W282" i="1"/>
  <c r="S282" i="1"/>
  <c r="R282" i="1"/>
  <c r="N282" i="1"/>
  <c r="W281" i="1"/>
  <c r="S281" i="1"/>
  <c r="R281" i="1"/>
  <c r="N281" i="1"/>
  <c r="Z280" i="1"/>
  <c r="W280" i="1"/>
  <c r="R280" i="1"/>
  <c r="S280" i="1" s="1"/>
  <c r="N280" i="1"/>
  <c r="I280" i="1"/>
  <c r="W279" i="1"/>
  <c r="S279" i="1"/>
  <c r="R279" i="1"/>
  <c r="N279" i="1"/>
  <c r="H279" i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Y278" i="1"/>
  <c r="Y279" i="1" s="1"/>
  <c r="Y280" i="1" s="1"/>
  <c r="Y281" i="1" s="1"/>
  <c r="W278" i="1"/>
  <c r="S278" i="1"/>
  <c r="R278" i="1"/>
  <c r="N278" i="1"/>
  <c r="Y277" i="1"/>
  <c r="W277" i="1"/>
  <c r="S277" i="1"/>
  <c r="R277" i="1"/>
  <c r="N277" i="1"/>
  <c r="H277" i="1"/>
  <c r="H278" i="1" s="1"/>
  <c r="W276" i="1"/>
  <c r="R276" i="1"/>
  <c r="S276" i="1" s="1"/>
  <c r="N276" i="1"/>
  <c r="W275" i="1"/>
  <c r="S275" i="1"/>
  <c r="R275" i="1"/>
  <c r="N275" i="1"/>
  <c r="W274" i="1"/>
  <c r="S274" i="1"/>
  <c r="R274" i="1"/>
  <c r="N274" i="1"/>
  <c r="W273" i="1"/>
  <c r="S273" i="1"/>
  <c r="R273" i="1"/>
  <c r="N273" i="1"/>
  <c r="W272" i="1"/>
  <c r="S272" i="1"/>
  <c r="R272" i="1"/>
  <c r="N272" i="1"/>
  <c r="W271" i="1"/>
  <c r="S271" i="1"/>
  <c r="R271" i="1"/>
  <c r="N271" i="1"/>
  <c r="W270" i="1"/>
  <c r="S270" i="1"/>
  <c r="R270" i="1"/>
  <c r="N270" i="1"/>
  <c r="W269" i="1"/>
  <c r="S269" i="1"/>
  <c r="R269" i="1"/>
  <c r="N269" i="1"/>
  <c r="H269" i="1"/>
  <c r="H270" i="1" s="1"/>
  <c r="H271" i="1" s="1"/>
  <c r="H272" i="1" s="1"/>
  <c r="H273" i="1" s="1"/>
  <c r="H274" i="1" s="1"/>
  <c r="H275" i="1" s="1"/>
  <c r="W268" i="1"/>
  <c r="R268" i="1"/>
  <c r="S268" i="1" s="1"/>
  <c r="N268" i="1"/>
  <c r="W267" i="1"/>
  <c r="S267" i="1"/>
  <c r="R267" i="1"/>
  <c r="N267" i="1"/>
  <c r="W266" i="1"/>
  <c r="S266" i="1"/>
  <c r="R266" i="1"/>
  <c r="N266" i="1"/>
  <c r="W265" i="1"/>
  <c r="S265" i="1"/>
  <c r="R265" i="1"/>
  <c r="N265" i="1"/>
  <c r="W264" i="1"/>
  <c r="S264" i="1"/>
  <c r="R264" i="1"/>
  <c r="N264" i="1"/>
  <c r="W263" i="1"/>
  <c r="S263" i="1"/>
  <c r="R263" i="1"/>
  <c r="N263" i="1"/>
  <c r="H263" i="1"/>
  <c r="H264" i="1" s="1"/>
  <c r="H265" i="1" s="1"/>
  <c r="H266" i="1" s="1"/>
  <c r="H267" i="1" s="1"/>
  <c r="H268" i="1" s="1"/>
  <c r="W262" i="1"/>
  <c r="S262" i="1"/>
  <c r="R262" i="1"/>
  <c r="N262" i="1"/>
  <c r="W261" i="1"/>
  <c r="S261" i="1"/>
  <c r="R261" i="1"/>
  <c r="N261" i="1"/>
  <c r="W260" i="1"/>
  <c r="S260" i="1"/>
  <c r="R260" i="1"/>
  <c r="N260" i="1"/>
  <c r="W259" i="1"/>
  <c r="S259" i="1"/>
  <c r="R259" i="1"/>
  <c r="N259" i="1"/>
  <c r="W258" i="1"/>
  <c r="R258" i="1"/>
  <c r="S258" i="1" s="1"/>
  <c r="N258" i="1"/>
  <c r="H258" i="1"/>
  <c r="H259" i="1" s="1"/>
  <c r="H260" i="1" s="1"/>
  <c r="H261" i="1" s="1"/>
  <c r="H262" i="1" s="1"/>
  <c r="Z258" i="1"/>
  <c r="W257" i="1"/>
  <c r="R257" i="1"/>
  <c r="S257" i="1" s="1"/>
  <c r="N257" i="1"/>
  <c r="I258" i="1"/>
  <c r="Y256" i="1"/>
  <c r="Y257" i="1" s="1"/>
  <c r="Y258" i="1" s="1"/>
  <c r="Y259" i="1" s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Y270" i="1" s="1"/>
  <c r="Y271" i="1" s="1"/>
  <c r="Y272" i="1" s="1"/>
  <c r="Y273" i="1" s="1"/>
  <c r="Y274" i="1" s="1"/>
  <c r="Y275" i="1" s="1"/>
  <c r="W256" i="1"/>
  <c r="S256" i="1"/>
  <c r="R256" i="1"/>
  <c r="N256" i="1"/>
  <c r="H256" i="1"/>
  <c r="H257" i="1" s="1"/>
  <c r="W255" i="1"/>
  <c r="R255" i="1"/>
  <c r="S255" i="1" s="1"/>
  <c r="N255" i="1"/>
  <c r="I256" i="1"/>
  <c r="W254" i="1"/>
  <c r="S254" i="1"/>
  <c r="Q254" i="1"/>
  <c r="R254" i="1" s="1"/>
  <c r="N254" i="1"/>
  <c r="W253" i="1"/>
  <c r="S253" i="1"/>
  <c r="R253" i="1"/>
  <c r="Q253" i="1"/>
  <c r="N253" i="1"/>
  <c r="W252" i="1"/>
  <c r="Q252" i="1"/>
  <c r="R252" i="1" s="1"/>
  <c r="S252" i="1" s="1"/>
  <c r="N252" i="1"/>
  <c r="W251" i="1"/>
  <c r="R251" i="1"/>
  <c r="S251" i="1" s="1"/>
  <c r="Q251" i="1"/>
  <c r="N251" i="1"/>
  <c r="W250" i="1"/>
  <c r="Q250" i="1"/>
  <c r="R250" i="1" s="1"/>
  <c r="S250" i="1" s="1"/>
  <c r="N250" i="1"/>
  <c r="W249" i="1"/>
  <c r="R249" i="1"/>
  <c r="S249" i="1" s="1"/>
  <c r="Q249" i="1"/>
  <c r="N249" i="1"/>
  <c r="W248" i="1"/>
  <c r="Q248" i="1"/>
  <c r="R248" i="1" s="1"/>
  <c r="S248" i="1" s="1"/>
  <c r="N248" i="1"/>
  <c r="W247" i="1"/>
  <c r="Q247" i="1"/>
  <c r="R247" i="1" s="1"/>
  <c r="S247" i="1" s="1"/>
  <c r="N247" i="1"/>
  <c r="W246" i="1"/>
  <c r="S246" i="1"/>
  <c r="R246" i="1"/>
  <c r="Q246" i="1"/>
  <c r="N246" i="1"/>
  <c r="W245" i="1"/>
  <c r="S245" i="1"/>
  <c r="R245" i="1"/>
  <c r="Q245" i="1"/>
  <c r="N245" i="1"/>
  <c r="W244" i="1"/>
  <c r="Q244" i="1"/>
  <c r="R244" i="1" s="1"/>
  <c r="S244" i="1" s="1"/>
  <c r="N244" i="1"/>
  <c r="W243" i="1"/>
  <c r="R243" i="1"/>
  <c r="S243" i="1" s="1"/>
  <c r="Q243" i="1"/>
  <c r="N243" i="1"/>
  <c r="W242" i="1"/>
  <c r="S242" i="1"/>
  <c r="R242" i="1"/>
  <c r="Q242" i="1"/>
  <c r="N242" i="1"/>
  <c r="W241" i="1"/>
  <c r="Q241" i="1"/>
  <c r="R241" i="1" s="1"/>
  <c r="S241" i="1" s="1"/>
  <c r="N241" i="1"/>
  <c r="W240" i="1"/>
  <c r="S240" i="1"/>
  <c r="Q240" i="1"/>
  <c r="R240" i="1" s="1"/>
  <c r="N240" i="1"/>
  <c r="W239" i="1"/>
  <c r="R239" i="1"/>
  <c r="S239" i="1" s="1"/>
  <c r="Q239" i="1"/>
  <c r="N239" i="1"/>
  <c r="W238" i="1"/>
  <c r="S238" i="1"/>
  <c r="R238" i="1"/>
  <c r="Q238" i="1"/>
  <c r="N238" i="1"/>
  <c r="W237" i="1"/>
  <c r="S237" i="1"/>
  <c r="R237" i="1"/>
  <c r="Q237" i="1"/>
  <c r="N237" i="1"/>
  <c r="W236" i="1"/>
  <c r="Q236" i="1"/>
  <c r="R236" i="1" s="1"/>
  <c r="S236" i="1" s="1"/>
  <c r="N236" i="1"/>
  <c r="W235" i="1"/>
  <c r="R235" i="1"/>
  <c r="S235" i="1" s="1"/>
  <c r="Q235" i="1"/>
  <c r="N235" i="1"/>
  <c r="W234" i="1"/>
  <c r="Q234" i="1"/>
  <c r="R234" i="1" s="1"/>
  <c r="S234" i="1" s="1"/>
  <c r="N234" i="1"/>
  <c r="W233" i="1"/>
  <c r="S233" i="1"/>
  <c r="R233" i="1"/>
  <c r="Q233" i="1"/>
  <c r="N233" i="1"/>
  <c r="W232" i="1"/>
  <c r="S232" i="1"/>
  <c r="Q232" i="1"/>
  <c r="R232" i="1" s="1"/>
  <c r="N232" i="1"/>
  <c r="W231" i="1"/>
  <c r="Q231" i="1"/>
  <c r="R231" i="1" s="1"/>
  <c r="S231" i="1" s="1"/>
  <c r="N231" i="1"/>
  <c r="W230" i="1"/>
  <c r="R230" i="1"/>
  <c r="S230" i="1" s="1"/>
  <c r="Q230" i="1"/>
  <c r="N230" i="1"/>
  <c r="W229" i="1"/>
  <c r="Q229" i="1"/>
  <c r="R229" i="1" s="1"/>
  <c r="S229" i="1" s="1"/>
  <c r="N229" i="1"/>
  <c r="W228" i="1"/>
  <c r="S228" i="1"/>
  <c r="Q228" i="1"/>
  <c r="R228" i="1" s="1"/>
  <c r="N228" i="1"/>
  <c r="W227" i="1"/>
  <c r="Q227" i="1"/>
  <c r="R227" i="1" s="1"/>
  <c r="S227" i="1" s="1"/>
  <c r="N227" i="1"/>
  <c r="W226" i="1"/>
  <c r="S226" i="1"/>
  <c r="R226" i="1"/>
  <c r="Q226" i="1"/>
  <c r="N226" i="1"/>
  <c r="W225" i="1"/>
  <c r="S225" i="1"/>
  <c r="R225" i="1"/>
  <c r="Q225" i="1"/>
  <c r="N225" i="1"/>
  <c r="W224" i="1"/>
  <c r="Q224" i="1"/>
  <c r="R224" i="1" s="1"/>
  <c r="S224" i="1" s="1"/>
  <c r="N224" i="1"/>
  <c r="W223" i="1"/>
  <c r="R223" i="1"/>
  <c r="S223" i="1" s="1"/>
  <c r="Q223" i="1"/>
  <c r="N223" i="1"/>
  <c r="W222" i="1"/>
  <c r="R222" i="1"/>
  <c r="S222" i="1" s="1"/>
  <c r="Q222" i="1"/>
  <c r="N222" i="1"/>
  <c r="W221" i="1"/>
  <c r="S221" i="1"/>
  <c r="Q221" i="1"/>
  <c r="R221" i="1" s="1"/>
  <c r="O221" i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221" i="1"/>
  <c r="W220" i="1"/>
  <c r="S220" i="1"/>
  <c r="Q220" i="1"/>
  <c r="R220" i="1" s="1"/>
  <c r="N220" i="1"/>
  <c r="W219" i="1"/>
  <c r="R219" i="1"/>
  <c r="S219" i="1" s="1"/>
  <c r="Q219" i="1"/>
  <c r="N219" i="1"/>
  <c r="W218" i="1"/>
  <c r="Q218" i="1"/>
  <c r="R218" i="1" s="1"/>
  <c r="S218" i="1" s="1"/>
  <c r="N218" i="1"/>
  <c r="W217" i="1"/>
  <c r="R217" i="1"/>
  <c r="S217" i="1" s="1"/>
  <c r="Q217" i="1"/>
  <c r="N217" i="1"/>
  <c r="W216" i="1"/>
  <c r="S216" i="1"/>
  <c r="Q216" i="1"/>
  <c r="R216" i="1" s="1"/>
  <c r="N216" i="1"/>
  <c r="W215" i="1"/>
  <c r="Q215" i="1"/>
  <c r="R215" i="1" s="1"/>
  <c r="S215" i="1" s="1"/>
  <c r="N215" i="1"/>
  <c r="W214" i="1"/>
  <c r="Q214" i="1"/>
  <c r="R214" i="1" s="1"/>
  <c r="S214" i="1" s="1"/>
  <c r="N214" i="1"/>
  <c r="W213" i="1"/>
  <c r="Q213" i="1"/>
  <c r="R213" i="1" s="1"/>
  <c r="S213" i="1" s="1"/>
  <c r="N213" i="1"/>
  <c r="W212" i="1"/>
  <c r="S212" i="1"/>
  <c r="Q212" i="1"/>
  <c r="R212" i="1" s="1"/>
  <c r="O212" i="1"/>
  <c r="N212" i="1"/>
  <c r="W211" i="1"/>
  <c r="S211" i="1"/>
  <c r="Q211" i="1"/>
  <c r="R211" i="1" s="1"/>
  <c r="O211" i="1"/>
  <c r="N211" i="1"/>
  <c r="W210" i="1"/>
  <c r="S210" i="1"/>
  <c r="R210" i="1"/>
  <c r="Q210" i="1"/>
  <c r="N210" i="1"/>
  <c r="W209" i="1"/>
  <c r="Q209" i="1"/>
  <c r="R209" i="1" s="1"/>
  <c r="S209" i="1" s="1"/>
  <c r="N209" i="1"/>
  <c r="W208" i="1"/>
  <c r="S208" i="1"/>
  <c r="R208" i="1"/>
  <c r="Q208" i="1"/>
  <c r="N208" i="1"/>
  <c r="W207" i="1"/>
  <c r="S207" i="1"/>
  <c r="R207" i="1"/>
  <c r="Q207" i="1"/>
  <c r="N207" i="1"/>
  <c r="W206" i="1"/>
  <c r="S206" i="1"/>
  <c r="R206" i="1"/>
  <c r="Q206" i="1"/>
  <c r="N206" i="1"/>
  <c r="W205" i="1"/>
  <c r="R205" i="1"/>
  <c r="S205" i="1" s="1"/>
  <c r="Q205" i="1"/>
  <c r="O205" i="1"/>
  <c r="O206" i="1" s="1"/>
  <c r="O207" i="1" s="1"/>
  <c r="O208" i="1" s="1"/>
  <c r="N205" i="1"/>
  <c r="W204" i="1"/>
  <c r="R204" i="1"/>
  <c r="S204" i="1" s="1"/>
  <c r="Q204" i="1"/>
  <c r="N204" i="1"/>
  <c r="O204" i="1" s="1"/>
  <c r="W203" i="1"/>
  <c r="S203" i="1"/>
  <c r="R203" i="1"/>
  <c r="Q203" i="1"/>
  <c r="N203" i="1"/>
  <c r="W202" i="1"/>
  <c r="R202" i="1"/>
  <c r="S202" i="1" s="1"/>
  <c r="Q202" i="1"/>
  <c r="N202" i="1"/>
  <c r="W201" i="1"/>
  <c r="R201" i="1"/>
  <c r="S201" i="1" s="1"/>
  <c r="Q201" i="1"/>
  <c r="N201" i="1"/>
  <c r="W200" i="1"/>
  <c r="R200" i="1"/>
  <c r="S200" i="1" s="1"/>
  <c r="Q200" i="1"/>
  <c r="N200" i="1"/>
  <c r="W199" i="1"/>
  <c r="S199" i="1"/>
  <c r="R199" i="1"/>
  <c r="Q199" i="1"/>
  <c r="N199" i="1"/>
  <c r="W198" i="1"/>
  <c r="R198" i="1"/>
  <c r="S198" i="1" s="1"/>
  <c r="Q198" i="1"/>
  <c r="N198" i="1"/>
  <c r="W197" i="1"/>
  <c r="R197" i="1"/>
  <c r="S197" i="1" s="1"/>
  <c r="Q197" i="1"/>
  <c r="N197" i="1"/>
  <c r="O197" i="1" s="1"/>
  <c r="W196" i="1"/>
  <c r="Q196" i="1"/>
  <c r="R196" i="1" s="1"/>
  <c r="S196" i="1" s="1"/>
  <c r="N196" i="1"/>
  <c r="W195" i="1"/>
  <c r="Q195" i="1"/>
  <c r="R195" i="1" s="1"/>
  <c r="S195" i="1" s="1"/>
  <c r="N195" i="1"/>
  <c r="W194" i="1"/>
  <c r="S194" i="1"/>
  <c r="Q194" i="1"/>
  <c r="R194" i="1" s="1"/>
  <c r="N194" i="1"/>
  <c r="W193" i="1"/>
  <c r="S193" i="1"/>
  <c r="R193" i="1"/>
  <c r="Q193" i="1"/>
  <c r="N193" i="1"/>
  <c r="W192" i="1"/>
  <c r="S192" i="1"/>
  <c r="Q192" i="1"/>
  <c r="R192" i="1" s="1"/>
  <c r="O192" i="1"/>
  <c r="O193" i="1" s="1"/>
  <c r="O194" i="1" s="1"/>
  <c r="N192" i="1"/>
  <c r="W191" i="1"/>
  <c r="R191" i="1"/>
  <c r="S191" i="1" s="1"/>
  <c r="Q191" i="1"/>
  <c r="O191" i="1"/>
  <c r="N191" i="1"/>
  <c r="W190" i="1"/>
  <c r="R190" i="1"/>
  <c r="S190" i="1" s="1"/>
  <c r="Q190" i="1"/>
  <c r="N190" i="1"/>
  <c r="W189" i="1"/>
  <c r="R189" i="1"/>
  <c r="S189" i="1" s="1"/>
  <c r="Q189" i="1"/>
  <c r="N189" i="1"/>
  <c r="W188" i="1"/>
  <c r="R188" i="1"/>
  <c r="S188" i="1" s="1"/>
  <c r="Q188" i="1"/>
  <c r="O188" i="1"/>
  <c r="N188" i="1"/>
  <c r="W187" i="1"/>
  <c r="R187" i="1"/>
  <c r="S187" i="1" s="1"/>
  <c r="Q187" i="1"/>
  <c r="N187" i="1"/>
  <c r="W186" i="1"/>
  <c r="Q186" i="1"/>
  <c r="R186" i="1" s="1"/>
  <c r="S186" i="1" s="1"/>
  <c r="N186" i="1"/>
  <c r="W185" i="1"/>
  <c r="R185" i="1"/>
  <c r="S185" i="1" s="1"/>
  <c r="Q185" i="1"/>
  <c r="N185" i="1"/>
  <c r="W184" i="1"/>
  <c r="S184" i="1"/>
  <c r="Q184" i="1"/>
  <c r="R184" i="1" s="1"/>
  <c r="N184" i="1"/>
  <c r="W183" i="1"/>
  <c r="S183" i="1"/>
  <c r="R183" i="1"/>
  <c r="Q183" i="1"/>
  <c r="N183" i="1"/>
  <c r="W182" i="1"/>
  <c r="Q182" i="1"/>
  <c r="R182" i="1" s="1"/>
  <c r="S182" i="1" s="1"/>
  <c r="N182" i="1"/>
  <c r="W181" i="1"/>
  <c r="Q181" i="1"/>
  <c r="R181" i="1" s="1"/>
  <c r="S181" i="1" s="1"/>
  <c r="N181" i="1"/>
  <c r="W180" i="1"/>
  <c r="Q180" i="1"/>
  <c r="R180" i="1" s="1"/>
  <c r="S180" i="1" s="1"/>
  <c r="N180" i="1"/>
  <c r="W179" i="1"/>
  <c r="Q179" i="1"/>
  <c r="R179" i="1" s="1"/>
  <c r="S179" i="1" s="1"/>
  <c r="N179" i="1"/>
  <c r="W178" i="1"/>
  <c r="R178" i="1"/>
  <c r="S178" i="1" s="1"/>
  <c r="Q178" i="1"/>
  <c r="N178" i="1"/>
  <c r="W177" i="1"/>
  <c r="Q177" i="1"/>
  <c r="R177" i="1" s="1"/>
  <c r="S177" i="1" s="1"/>
  <c r="N177" i="1"/>
  <c r="O177" i="1" s="1"/>
  <c r="O178" i="1" s="1"/>
  <c r="O179" i="1" s="1"/>
  <c r="W176" i="1"/>
  <c r="R176" i="1"/>
  <c r="S176" i="1" s="1"/>
  <c r="Q176" i="1"/>
  <c r="N176" i="1"/>
  <c r="W175" i="1"/>
  <c r="R175" i="1"/>
  <c r="S175" i="1" s="1"/>
  <c r="Q175" i="1"/>
  <c r="N175" i="1"/>
  <c r="W174" i="1"/>
  <c r="Q174" i="1"/>
  <c r="R174" i="1" s="1"/>
  <c r="S174" i="1" s="1"/>
  <c r="N174" i="1"/>
  <c r="W173" i="1"/>
  <c r="Q173" i="1"/>
  <c r="R173" i="1" s="1"/>
  <c r="S173" i="1" s="1"/>
  <c r="N173" i="1"/>
  <c r="W172" i="1"/>
  <c r="R172" i="1"/>
  <c r="S172" i="1" s="1"/>
  <c r="Q172" i="1"/>
  <c r="N172" i="1"/>
  <c r="W171" i="1"/>
  <c r="R171" i="1"/>
  <c r="S171" i="1" s="1"/>
  <c r="Q171" i="1"/>
  <c r="N171" i="1"/>
  <c r="W170" i="1"/>
  <c r="Q170" i="1"/>
  <c r="R170" i="1" s="1"/>
  <c r="S170" i="1" s="1"/>
  <c r="N170" i="1"/>
  <c r="W169" i="1"/>
  <c r="Q169" i="1"/>
  <c r="R169" i="1" s="1"/>
  <c r="S169" i="1" s="1"/>
  <c r="N169" i="1"/>
  <c r="W168" i="1"/>
  <c r="Q168" i="1"/>
  <c r="R168" i="1" s="1"/>
  <c r="S168" i="1" s="1"/>
  <c r="O168" i="1"/>
  <c r="O169" i="1" s="1"/>
  <c r="O170" i="1" s="1"/>
  <c r="N168" i="1"/>
  <c r="W167" i="1"/>
  <c r="S167" i="1"/>
  <c r="Q167" i="1"/>
  <c r="R167" i="1" s="1"/>
  <c r="N167" i="1"/>
  <c r="W166" i="1"/>
  <c r="Q166" i="1"/>
  <c r="R166" i="1" s="1"/>
  <c r="S166" i="1" s="1"/>
  <c r="N166" i="1"/>
  <c r="W165" i="1"/>
  <c r="R165" i="1"/>
  <c r="S165" i="1" s="1"/>
  <c r="Q165" i="1"/>
  <c r="N165" i="1"/>
  <c r="W164" i="1"/>
  <c r="R164" i="1"/>
  <c r="S164" i="1" s="1"/>
  <c r="Q164" i="1"/>
  <c r="N164" i="1"/>
  <c r="W163" i="1"/>
  <c r="Q163" i="1"/>
  <c r="R163" i="1" s="1"/>
  <c r="S163" i="1" s="1"/>
  <c r="N163" i="1"/>
  <c r="O163" i="1" s="1"/>
  <c r="O164" i="1" s="1"/>
  <c r="O165" i="1" s="1"/>
  <c r="O166" i="1" s="1"/>
  <c r="O167" i="1" s="1"/>
  <c r="W162" i="1"/>
  <c r="Q162" i="1"/>
  <c r="R162" i="1" s="1"/>
  <c r="S162" i="1" s="1"/>
  <c r="N162" i="1"/>
  <c r="W161" i="1"/>
  <c r="Q161" i="1"/>
  <c r="R161" i="1" s="1"/>
  <c r="S161" i="1" s="1"/>
  <c r="O161" i="1"/>
  <c r="N161" i="1"/>
  <c r="W160" i="1"/>
  <c r="R160" i="1"/>
  <c r="S160" i="1" s="1"/>
  <c r="Q160" i="1"/>
  <c r="N160" i="1"/>
  <c r="O160" i="1" s="1"/>
  <c r="W159" i="1"/>
  <c r="S159" i="1"/>
  <c r="Q159" i="1"/>
  <c r="R159" i="1" s="1"/>
  <c r="N159" i="1"/>
  <c r="Y158" i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Y248" i="1" s="1"/>
  <c r="Y249" i="1" s="1"/>
  <c r="Y250" i="1" s="1"/>
  <c r="Y251" i="1" s="1"/>
  <c r="Y252" i="1" s="1"/>
  <c r="Y253" i="1" s="1"/>
  <c r="Y254" i="1" s="1"/>
  <c r="W158" i="1"/>
  <c r="Q158" i="1"/>
  <c r="R158" i="1" s="1"/>
  <c r="S158" i="1" s="1"/>
  <c r="N158" i="1"/>
  <c r="W157" i="1"/>
  <c r="Q157" i="1"/>
  <c r="R157" i="1" s="1"/>
  <c r="S157" i="1" s="1"/>
  <c r="N157" i="1"/>
  <c r="W156" i="1"/>
  <c r="Q156" i="1"/>
  <c r="R156" i="1" s="1"/>
  <c r="S156" i="1" s="1"/>
  <c r="O156" i="1"/>
  <c r="N156" i="1"/>
  <c r="W155" i="1"/>
  <c r="S155" i="1"/>
  <c r="R155" i="1"/>
  <c r="Q155" i="1"/>
  <c r="N155" i="1"/>
  <c r="W154" i="1"/>
  <c r="R154" i="1"/>
  <c r="S154" i="1" s="1"/>
  <c r="Q154" i="1"/>
  <c r="N154" i="1"/>
  <c r="W153" i="1"/>
  <c r="Q153" i="1"/>
  <c r="R153" i="1" s="1"/>
  <c r="S153" i="1" s="1"/>
  <c r="N153" i="1"/>
  <c r="W152" i="1"/>
  <c r="Q152" i="1"/>
  <c r="R152" i="1" s="1"/>
  <c r="S152" i="1" s="1"/>
  <c r="N152" i="1"/>
  <c r="W151" i="1"/>
  <c r="Q151" i="1"/>
  <c r="R151" i="1" s="1"/>
  <c r="S151" i="1" s="1"/>
  <c r="N151" i="1"/>
  <c r="W150" i="1"/>
  <c r="S150" i="1"/>
  <c r="Q150" i="1"/>
  <c r="R150" i="1" s="1"/>
  <c r="O150" i="1"/>
  <c r="N150" i="1"/>
  <c r="W149" i="1"/>
  <c r="Q149" i="1"/>
  <c r="R149" i="1" s="1"/>
  <c r="S149" i="1" s="1"/>
  <c r="N149" i="1"/>
  <c r="I149" i="1"/>
  <c r="W148" i="1"/>
  <c r="R148" i="1"/>
  <c r="S148" i="1" s="1"/>
  <c r="Q148" i="1"/>
  <c r="N148" i="1"/>
  <c r="Z147" i="1"/>
  <c r="W147" i="1"/>
  <c r="S147" i="1"/>
  <c r="Q147" i="1"/>
  <c r="R147" i="1" s="1"/>
  <c r="O147" i="1"/>
  <c r="O148" i="1" s="1"/>
  <c r="N147" i="1"/>
  <c r="I147" i="1"/>
  <c r="W146" i="1"/>
  <c r="R146" i="1"/>
  <c r="S146" i="1" s="1"/>
  <c r="Q146" i="1"/>
  <c r="N146" i="1"/>
  <c r="Y145" i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W145" i="1"/>
  <c r="R145" i="1"/>
  <c r="S145" i="1" s="1"/>
  <c r="Q145" i="1"/>
  <c r="N145" i="1"/>
  <c r="I145" i="1"/>
  <c r="W144" i="1"/>
  <c r="R144" i="1"/>
  <c r="S144" i="1" s="1"/>
  <c r="Q144" i="1"/>
  <c r="N144" i="1"/>
  <c r="H144" i="1"/>
  <c r="H145" i="1" s="1"/>
  <c r="H146" i="1" s="1"/>
  <c r="H147" i="1" s="1"/>
  <c r="H148" i="1" s="1"/>
  <c r="H149" i="1" s="1"/>
  <c r="H150" i="1" s="1"/>
  <c r="H151" i="1" s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H162" i="1" s="1"/>
  <c r="H163" i="1" s="1"/>
  <c r="H164" i="1" s="1"/>
  <c r="H165" i="1" s="1"/>
  <c r="H166" i="1" s="1"/>
  <c r="H167" i="1" s="1"/>
  <c r="H168" i="1" s="1"/>
  <c r="H169" i="1" s="1"/>
  <c r="H170" i="1" s="1"/>
  <c r="H171" i="1" s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H193" i="1" s="1"/>
  <c r="H194" i="1" s="1"/>
  <c r="H195" i="1" s="1"/>
  <c r="H196" i="1" s="1"/>
  <c r="H197" i="1" s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H234" i="1" s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W143" i="1"/>
  <c r="S143" i="1"/>
  <c r="R143" i="1"/>
  <c r="N143" i="1"/>
  <c r="W142" i="1"/>
  <c r="S142" i="1"/>
  <c r="R142" i="1"/>
  <c r="N142" i="1"/>
  <c r="H142" i="1"/>
  <c r="H143" i="1" s="1"/>
  <c r="W141" i="1"/>
  <c r="S141" i="1"/>
  <c r="R141" i="1"/>
  <c r="N141" i="1"/>
  <c r="W140" i="1"/>
  <c r="S140" i="1"/>
  <c r="R140" i="1"/>
  <c r="N140" i="1"/>
  <c r="H140" i="1"/>
  <c r="H141" i="1" s="1"/>
  <c r="G140" i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G158" i="1" s="1"/>
  <c r="G159" i="1" s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G178" i="1" s="1"/>
  <c r="G179" i="1" s="1"/>
  <c r="G180" i="1" s="1"/>
  <c r="G181" i="1" s="1"/>
  <c r="G182" i="1" s="1"/>
  <c r="G183" i="1" s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G194" i="1" s="1"/>
  <c r="G195" i="1" s="1"/>
  <c r="G196" i="1" s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G233" i="1" s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G346" i="1" s="1"/>
  <c r="G347" i="1" s="1"/>
  <c r="G348" i="1" s="1"/>
  <c r="G349" i="1" s="1"/>
  <c r="G350" i="1" s="1"/>
  <c r="G351" i="1" s="1"/>
  <c r="G352" i="1" s="1"/>
  <c r="G353" i="1" s="1"/>
  <c r="G354" i="1" s="1"/>
  <c r="G355" i="1" s="1"/>
  <c r="G356" i="1" s="1"/>
  <c r="G357" i="1" s="1"/>
  <c r="W139" i="1"/>
  <c r="S139" i="1"/>
  <c r="R139" i="1"/>
  <c r="N139" i="1"/>
  <c r="W138" i="1"/>
  <c r="S138" i="1"/>
  <c r="R138" i="1"/>
  <c r="N138" i="1"/>
  <c r="W137" i="1"/>
  <c r="R137" i="1"/>
  <c r="S137" i="1" s="1"/>
  <c r="N137" i="1"/>
  <c r="W136" i="1"/>
  <c r="S136" i="1"/>
  <c r="R136" i="1"/>
  <c r="N136" i="1"/>
  <c r="W135" i="1"/>
  <c r="R135" i="1"/>
  <c r="S135" i="1" s="1"/>
  <c r="N135" i="1"/>
  <c r="W134" i="1"/>
  <c r="R134" i="1"/>
  <c r="S134" i="1" s="1"/>
  <c r="N134" i="1"/>
  <c r="W133" i="1"/>
  <c r="R133" i="1"/>
  <c r="S133" i="1" s="1"/>
  <c r="N133" i="1"/>
  <c r="W132" i="1"/>
  <c r="R132" i="1"/>
  <c r="S132" i="1" s="1"/>
  <c r="N132" i="1"/>
  <c r="W131" i="1"/>
  <c r="R131" i="1"/>
  <c r="S131" i="1" s="1"/>
  <c r="N131" i="1"/>
  <c r="W130" i="1"/>
  <c r="S130" i="1"/>
  <c r="R130" i="1"/>
  <c r="N130" i="1"/>
  <c r="W129" i="1"/>
  <c r="S129" i="1"/>
  <c r="R129" i="1"/>
  <c r="N129" i="1"/>
  <c r="W128" i="1"/>
  <c r="S128" i="1"/>
  <c r="R128" i="1"/>
  <c r="N128" i="1"/>
  <c r="W127" i="1"/>
  <c r="S127" i="1"/>
  <c r="R127" i="1"/>
  <c r="N127" i="1"/>
  <c r="W126" i="1"/>
  <c r="R126" i="1"/>
  <c r="S126" i="1" s="1"/>
  <c r="N126" i="1"/>
  <c r="W125" i="1"/>
  <c r="R125" i="1"/>
  <c r="S125" i="1" s="1"/>
  <c r="N125" i="1"/>
  <c r="W124" i="1"/>
  <c r="S124" i="1"/>
  <c r="R124" i="1"/>
  <c r="N124" i="1"/>
  <c r="W123" i="1"/>
  <c r="S123" i="1"/>
  <c r="R123" i="1"/>
  <c r="N123" i="1"/>
  <c r="W122" i="1"/>
  <c r="R122" i="1"/>
  <c r="S122" i="1" s="1"/>
  <c r="N122" i="1"/>
  <c r="W121" i="1"/>
  <c r="R121" i="1"/>
  <c r="S121" i="1" s="1"/>
  <c r="N121" i="1"/>
  <c r="W120" i="1"/>
  <c r="R120" i="1"/>
  <c r="S120" i="1" s="1"/>
  <c r="N120" i="1"/>
  <c r="W119" i="1"/>
  <c r="R119" i="1"/>
  <c r="S119" i="1" s="1"/>
  <c r="N119" i="1"/>
  <c r="W118" i="1"/>
  <c r="R118" i="1"/>
  <c r="S118" i="1" s="1"/>
  <c r="N118" i="1"/>
  <c r="I118" i="1"/>
  <c r="W117" i="1"/>
  <c r="S117" i="1"/>
  <c r="R117" i="1"/>
  <c r="N117" i="1"/>
  <c r="W116" i="1"/>
  <c r="S116" i="1"/>
  <c r="R116" i="1"/>
  <c r="N116" i="1"/>
  <c r="I116" i="1"/>
  <c r="W115" i="1"/>
  <c r="R115" i="1"/>
  <c r="S115" i="1" s="1"/>
  <c r="N115" i="1"/>
  <c r="Y114" i="1"/>
  <c r="Y115" i="1" s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W114" i="1"/>
  <c r="R114" i="1"/>
  <c r="S114" i="1" s="1"/>
  <c r="N114" i="1"/>
  <c r="Y113" i="1"/>
  <c r="W113" i="1"/>
  <c r="R113" i="1"/>
  <c r="S113" i="1" s="1"/>
  <c r="N113" i="1"/>
  <c r="H113" i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W112" i="1"/>
  <c r="Q112" i="1"/>
  <c r="R112" i="1" s="1"/>
  <c r="S112" i="1" s="1"/>
  <c r="N112" i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W111" i="1"/>
  <c r="R111" i="1"/>
  <c r="S111" i="1" s="1"/>
  <c r="Q111" i="1"/>
  <c r="N111" i="1"/>
  <c r="W110" i="1"/>
  <c r="R110" i="1"/>
  <c r="S110" i="1" s="1"/>
  <c r="Q110" i="1"/>
  <c r="O110" i="1"/>
  <c r="N110" i="1"/>
  <c r="W109" i="1"/>
  <c r="Q109" i="1"/>
  <c r="R109" i="1" s="1"/>
  <c r="S109" i="1" s="1"/>
  <c r="N109" i="1"/>
  <c r="W108" i="1"/>
  <c r="Q108" i="1"/>
  <c r="R108" i="1" s="1"/>
  <c r="S108" i="1" s="1"/>
  <c r="N108" i="1"/>
  <c r="O108" i="1" s="1"/>
  <c r="W107" i="1"/>
  <c r="R107" i="1"/>
  <c r="S107" i="1" s="1"/>
  <c r="Q107" i="1"/>
  <c r="N107" i="1"/>
  <c r="W106" i="1"/>
  <c r="R106" i="1"/>
  <c r="S106" i="1" s="1"/>
  <c r="Q106" i="1"/>
  <c r="N106" i="1"/>
  <c r="W105" i="1"/>
  <c r="R105" i="1"/>
  <c r="S105" i="1" s="1"/>
  <c r="Q105" i="1"/>
  <c r="N105" i="1"/>
  <c r="W104" i="1"/>
  <c r="S104" i="1"/>
  <c r="Q104" i="1"/>
  <c r="R104" i="1" s="1"/>
  <c r="N104" i="1"/>
  <c r="W103" i="1"/>
  <c r="R103" i="1"/>
  <c r="S103" i="1" s="1"/>
  <c r="Q103" i="1"/>
  <c r="N103" i="1"/>
  <c r="W102" i="1"/>
  <c r="Q102" i="1"/>
  <c r="R102" i="1" s="1"/>
  <c r="S102" i="1" s="1"/>
  <c r="N102" i="1"/>
  <c r="W101" i="1"/>
  <c r="R101" i="1"/>
  <c r="S101" i="1" s="1"/>
  <c r="Q101" i="1"/>
  <c r="N101" i="1"/>
  <c r="W100" i="1"/>
  <c r="Q100" i="1"/>
  <c r="R100" i="1" s="1"/>
  <c r="S100" i="1" s="1"/>
  <c r="N100" i="1"/>
  <c r="W99" i="1"/>
  <c r="R99" i="1"/>
  <c r="S99" i="1" s="1"/>
  <c r="Q99" i="1"/>
  <c r="N99" i="1"/>
  <c r="W98" i="1"/>
  <c r="Q98" i="1"/>
  <c r="R98" i="1" s="1"/>
  <c r="S98" i="1" s="1"/>
  <c r="N98" i="1"/>
  <c r="W97" i="1"/>
  <c r="R97" i="1"/>
  <c r="S97" i="1" s="1"/>
  <c r="Q97" i="1"/>
  <c r="N97" i="1"/>
  <c r="W96" i="1"/>
  <c r="S96" i="1"/>
  <c r="Q96" i="1"/>
  <c r="R96" i="1" s="1"/>
  <c r="N96" i="1"/>
  <c r="W95" i="1"/>
  <c r="R95" i="1"/>
  <c r="S95" i="1" s="1"/>
  <c r="Q95" i="1"/>
  <c r="N95" i="1"/>
  <c r="W94" i="1"/>
  <c r="Q94" i="1"/>
  <c r="R94" i="1" s="1"/>
  <c r="S94" i="1" s="1"/>
  <c r="N94" i="1"/>
  <c r="W93" i="1"/>
  <c r="R93" i="1"/>
  <c r="S93" i="1" s="1"/>
  <c r="Q93" i="1"/>
  <c r="N93" i="1"/>
  <c r="W92" i="1"/>
  <c r="Q92" i="1"/>
  <c r="R92" i="1" s="1"/>
  <c r="S92" i="1" s="1"/>
  <c r="N92" i="1"/>
  <c r="W91" i="1"/>
  <c r="R91" i="1"/>
  <c r="S91" i="1" s="1"/>
  <c r="Q91" i="1"/>
  <c r="N91" i="1"/>
  <c r="W90" i="1"/>
  <c r="S90" i="1"/>
  <c r="Q90" i="1"/>
  <c r="R90" i="1" s="1"/>
  <c r="N90" i="1"/>
  <c r="W89" i="1"/>
  <c r="R89" i="1"/>
  <c r="S89" i="1" s="1"/>
  <c r="Q89" i="1"/>
  <c r="N89" i="1"/>
  <c r="W88" i="1"/>
  <c r="Q88" i="1"/>
  <c r="R88" i="1" s="1"/>
  <c r="S88" i="1" s="1"/>
  <c r="N88" i="1"/>
  <c r="W87" i="1"/>
  <c r="R87" i="1"/>
  <c r="S87" i="1" s="1"/>
  <c r="Q87" i="1"/>
  <c r="N87" i="1"/>
  <c r="W86" i="1"/>
  <c r="Q86" i="1"/>
  <c r="R86" i="1" s="1"/>
  <c r="S86" i="1" s="1"/>
  <c r="N86" i="1"/>
  <c r="W85" i="1"/>
  <c r="R85" i="1"/>
  <c r="S85" i="1" s="1"/>
  <c r="Q85" i="1"/>
  <c r="N85" i="1"/>
  <c r="W84" i="1"/>
  <c r="Q84" i="1"/>
  <c r="R84" i="1" s="1"/>
  <c r="S84" i="1" s="1"/>
  <c r="N84" i="1"/>
  <c r="W83" i="1"/>
  <c r="R83" i="1"/>
  <c r="S83" i="1" s="1"/>
  <c r="Q83" i="1"/>
  <c r="N83" i="1"/>
  <c r="W82" i="1"/>
  <c r="S82" i="1"/>
  <c r="Q82" i="1"/>
  <c r="R82" i="1" s="1"/>
  <c r="N82" i="1"/>
  <c r="W81" i="1"/>
  <c r="R81" i="1"/>
  <c r="S81" i="1" s="1"/>
  <c r="Q81" i="1"/>
  <c r="N81" i="1"/>
  <c r="W80" i="1"/>
  <c r="Q80" i="1"/>
  <c r="R80" i="1" s="1"/>
  <c r="S80" i="1" s="1"/>
  <c r="N80" i="1"/>
  <c r="W79" i="1"/>
  <c r="R79" i="1"/>
  <c r="S79" i="1" s="1"/>
  <c r="Q79" i="1"/>
  <c r="N79" i="1"/>
  <c r="W78" i="1"/>
  <c r="Q78" i="1"/>
  <c r="R78" i="1" s="1"/>
  <c r="S78" i="1" s="1"/>
  <c r="N78" i="1"/>
  <c r="W77" i="1"/>
  <c r="R77" i="1"/>
  <c r="S77" i="1" s="1"/>
  <c r="Q77" i="1"/>
  <c r="N77" i="1"/>
  <c r="W76" i="1"/>
  <c r="Q76" i="1"/>
  <c r="R76" i="1" s="1"/>
  <c r="S76" i="1" s="1"/>
  <c r="N76" i="1"/>
  <c r="W75" i="1"/>
  <c r="R75" i="1"/>
  <c r="S75" i="1" s="1"/>
  <c r="Q75" i="1"/>
  <c r="N75" i="1"/>
  <c r="W74" i="1"/>
  <c r="S74" i="1"/>
  <c r="Q74" i="1"/>
  <c r="R74" i="1" s="1"/>
  <c r="N74" i="1"/>
  <c r="W73" i="1"/>
  <c r="Q73" i="1"/>
  <c r="R73" i="1" s="1"/>
  <c r="S73" i="1" s="1"/>
  <c r="N73" i="1"/>
  <c r="W72" i="1"/>
  <c r="Q72" i="1"/>
  <c r="R72" i="1" s="1"/>
  <c r="S72" i="1" s="1"/>
  <c r="N72" i="1"/>
  <c r="W71" i="1"/>
  <c r="Q71" i="1"/>
  <c r="R71" i="1" s="1"/>
  <c r="S71" i="1" s="1"/>
  <c r="N71" i="1"/>
  <c r="W70" i="1"/>
  <c r="R70" i="1"/>
  <c r="S70" i="1" s="1"/>
  <c r="Q70" i="1"/>
  <c r="N70" i="1"/>
  <c r="W69" i="1"/>
  <c r="R69" i="1"/>
  <c r="S69" i="1" s="1"/>
  <c r="Q69" i="1"/>
  <c r="N69" i="1"/>
  <c r="W68" i="1"/>
  <c r="R68" i="1"/>
  <c r="S68" i="1" s="1"/>
  <c r="Q68" i="1"/>
  <c r="N68" i="1"/>
  <c r="W67" i="1"/>
  <c r="S67" i="1"/>
  <c r="R67" i="1"/>
  <c r="Q67" i="1"/>
  <c r="N67" i="1"/>
  <c r="W66" i="1"/>
  <c r="S66" i="1"/>
  <c r="R66" i="1"/>
  <c r="Q66" i="1"/>
  <c r="N66" i="1"/>
  <c r="W65" i="1"/>
  <c r="Q65" i="1"/>
  <c r="R65" i="1" s="1"/>
  <c r="S65" i="1" s="1"/>
  <c r="N65" i="1"/>
  <c r="W64" i="1"/>
  <c r="Q64" i="1"/>
  <c r="R64" i="1" s="1"/>
  <c r="S64" i="1" s="1"/>
  <c r="N64" i="1"/>
  <c r="W63" i="1"/>
  <c r="Q63" i="1"/>
  <c r="R63" i="1" s="1"/>
  <c r="S63" i="1" s="1"/>
  <c r="N63" i="1"/>
  <c r="W62" i="1"/>
  <c r="R62" i="1"/>
  <c r="S62" i="1" s="1"/>
  <c r="Q62" i="1"/>
  <c r="N62" i="1"/>
  <c r="W61" i="1"/>
  <c r="R61" i="1"/>
  <c r="S61" i="1" s="1"/>
  <c r="Q61" i="1"/>
  <c r="N61" i="1"/>
  <c r="W60" i="1"/>
  <c r="R60" i="1"/>
  <c r="S60" i="1" s="1"/>
  <c r="Q60" i="1"/>
  <c r="N60" i="1"/>
  <c r="W59" i="1"/>
  <c r="S59" i="1"/>
  <c r="R59" i="1"/>
  <c r="Q59" i="1"/>
  <c r="N59" i="1"/>
  <c r="W58" i="1"/>
  <c r="S58" i="1"/>
  <c r="R58" i="1"/>
  <c r="Q58" i="1"/>
  <c r="N58" i="1"/>
  <c r="W57" i="1"/>
  <c r="Q57" i="1"/>
  <c r="R57" i="1" s="1"/>
  <c r="S57" i="1" s="1"/>
  <c r="N57" i="1"/>
  <c r="W56" i="1"/>
  <c r="Q56" i="1"/>
  <c r="R56" i="1" s="1"/>
  <c r="S56" i="1" s="1"/>
  <c r="N56" i="1"/>
  <c r="W55" i="1"/>
  <c r="R55" i="1"/>
  <c r="S55" i="1" s="1"/>
  <c r="Q55" i="1"/>
  <c r="N55" i="1"/>
  <c r="W54" i="1"/>
  <c r="S54" i="1"/>
  <c r="R54" i="1"/>
  <c r="Q54" i="1"/>
  <c r="N54" i="1"/>
  <c r="W53" i="1"/>
  <c r="Q53" i="1"/>
  <c r="R53" i="1" s="1"/>
  <c r="S53" i="1" s="1"/>
  <c r="N53" i="1"/>
  <c r="W52" i="1"/>
  <c r="R52" i="1"/>
  <c r="S52" i="1" s="1"/>
  <c r="Q52" i="1"/>
  <c r="N52" i="1"/>
  <c r="W51" i="1"/>
  <c r="R51" i="1"/>
  <c r="S51" i="1" s="1"/>
  <c r="Q51" i="1"/>
  <c r="N51" i="1"/>
  <c r="W50" i="1"/>
  <c r="R50" i="1"/>
  <c r="S50" i="1" s="1"/>
  <c r="Q50" i="1"/>
  <c r="N50" i="1"/>
  <c r="W49" i="1"/>
  <c r="S49" i="1"/>
  <c r="R49" i="1"/>
  <c r="Q49" i="1"/>
  <c r="N49" i="1"/>
  <c r="W48" i="1"/>
  <c r="S48" i="1"/>
  <c r="R48" i="1"/>
  <c r="N48" i="1"/>
  <c r="W47" i="1"/>
  <c r="R47" i="1"/>
  <c r="S47" i="1" s="1"/>
  <c r="N47" i="1"/>
  <c r="W46" i="1"/>
  <c r="R46" i="1"/>
  <c r="S46" i="1" s="1"/>
  <c r="N46" i="1"/>
  <c r="W45" i="1"/>
  <c r="S45" i="1"/>
  <c r="R45" i="1"/>
  <c r="N45" i="1"/>
  <c r="I45" i="1"/>
  <c r="W44" i="1"/>
  <c r="S44" i="1"/>
  <c r="R44" i="1"/>
  <c r="N44" i="1"/>
  <c r="W43" i="1"/>
  <c r="S43" i="1"/>
  <c r="R43" i="1"/>
  <c r="N43" i="1"/>
  <c r="W42" i="1"/>
  <c r="S42" i="1"/>
  <c r="T42" i="1" s="1"/>
  <c r="R42" i="1"/>
  <c r="N42" i="1"/>
  <c r="W41" i="1"/>
  <c r="S41" i="1"/>
  <c r="R41" i="1"/>
  <c r="O41" i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N41" i="1"/>
  <c r="K41" i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X40" i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X127" i="1" s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X346" i="1" s="1"/>
  <c r="X347" i="1" s="1"/>
  <c r="X348" i="1" s="1"/>
  <c r="X349" i="1" s="1"/>
  <c r="X350" i="1" s="1"/>
  <c r="X351" i="1" s="1"/>
  <c r="X352" i="1" s="1"/>
  <c r="X353" i="1" s="1"/>
  <c r="X354" i="1" s="1"/>
  <c r="X355" i="1" s="1"/>
  <c r="X356" i="1" s="1"/>
  <c r="X357" i="1" s="1"/>
  <c r="W40" i="1"/>
  <c r="R40" i="1"/>
  <c r="S40" i="1" s="1"/>
  <c r="O40" i="1"/>
  <c r="N40" i="1"/>
  <c r="M40" i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K40" i="1"/>
  <c r="G40" i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N38" i="1"/>
  <c r="N37" i="1"/>
  <c r="N36" i="1"/>
  <c r="N35" i="1"/>
  <c r="N34" i="1"/>
  <c r="N33" i="1"/>
  <c r="N32" i="1"/>
  <c r="N31" i="1"/>
  <c r="N30" i="1"/>
  <c r="O29" i="1"/>
  <c r="O30" i="1" s="1"/>
  <c r="O31" i="1" s="1"/>
  <c r="O32" i="1" s="1"/>
  <c r="O33" i="1" s="1"/>
  <c r="O34" i="1" s="1"/>
  <c r="O35" i="1" s="1"/>
  <c r="O36" i="1" s="1"/>
  <c r="N29" i="1"/>
  <c r="O28" i="1"/>
  <c r="N28" i="1"/>
  <c r="N27" i="1"/>
  <c r="N26" i="1"/>
  <c r="N25" i="1"/>
  <c r="N24" i="1"/>
  <c r="N23" i="1"/>
  <c r="O22" i="1"/>
  <c r="O23" i="1" s="1"/>
  <c r="O24" i="1" s="1"/>
  <c r="N22" i="1"/>
  <c r="N21" i="1"/>
  <c r="N20" i="1"/>
  <c r="N19" i="1"/>
  <c r="N18" i="1"/>
  <c r="N17" i="1"/>
  <c r="N16" i="1"/>
  <c r="N15" i="1"/>
  <c r="N14" i="1"/>
  <c r="N13" i="1"/>
  <c r="O12" i="1"/>
  <c r="O13" i="1" s="1"/>
  <c r="O14" i="1" s="1"/>
  <c r="N12" i="1"/>
  <c r="O11" i="1"/>
  <c r="N11" i="1"/>
  <c r="N10" i="1"/>
  <c r="N9" i="1"/>
  <c r="N8" i="1"/>
  <c r="N7" i="1"/>
  <c r="N6" i="1"/>
  <c r="N5" i="1"/>
  <c r="O192" i="2" l="1"/>
  <c r="O193" i="2" s="1"/>
  <c r="O194" i="2" s="1"/>
  <c r="O198" i="2"/>
  <c r="O199" i="2" s="1"/>
  <c r="O200" i="2" s="1"/>
  <c r="O178" i="2"/>
  <c r="O179" i="2" s="1"/>
  <c r="O12" i="2"/>
  <c r="O13" i="2" s="1"/>
  <c r="O14" i="2" s="1"/>
  <c r="O208" i="2"/>
  <c r="O113" i="2"/>
  <c r="O114" i="2" s="1"/>
  <c r="O115" i="2" s="1"/>
  <c r="O116" i="2" s="1"/>
  <c r="O117" i="2" s="1"/>
  <c r="O222" i="2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O332" i="2" s="1"/>
  <c r="O333" i="2" s="1"/>
  <c r="O334" i="2" s="1"/>
  <c r="O335" i="2" s="1"/>
  <c r="O336" i="2" s="1"/>
  <c r="O337" i="2" s="1"/>
  <c r="O338" i="2" s="1"/>
  <c r="O339" i="2" s="1"/>
  <c r="O340" i="2" s="1"/>
  <c r="O341" i="2" s="1"/>
  <c r="O342" i="2" s="1"/>
  <c r="O343" i="2" s="1"/>
  <c r="O344" i="2" s="1"/>
  <c r="O345" i="2" s="1"/>
  <c r="O346" i="2" s="1"/>
  <c r="O347" i="2" s="1"/>
  <c r="O348" i="2" s="1"/>
  <c r="O349" i="2" s="1"/>
  <c r="O30" i="2"/>
  <c r="O31" i="2" s="1"/>
  <c r="O32" i="2" s="1"/>
  <c r="O33" i="2" s="1"/>
  <c r="O34" i="2" s="1"/>
  <c r="O35" i="2" s="1"/>
  <c r="O36" i="2" s="1"/>
  <c r="O23" i="2"/>
  <c r="O24" i="2" s="1"/>
  <c r="O161" i="2"/>
  <c r="O166" i="2"/>
  <c r="O167" i="2" s="1"/>
  <c r="O168" i="2" s="1"/>
  <c r="O169" i="2" s="1"/>
  <c r="O170" i="2" s="1"/>
  <c r="O41" i="2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18" i="2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Y301" i="2"/>
  <c r="Y302" i="2" s="1"/>
  <c r="Y303" i="2" s="1"/>
  <c r="Y304" i="2" s="1"/>
  <c r="Y305" i="2" s="1"/>
  <c r="Y306" i="2" s="1"/>
  <c r="Y307" i="2" s="1"/>
  <c r="Y308" i="2" s="1"/>
  <c r="Y309" i="2" s="1"/>
  <c r="Y310" i="2" s="1"/>
  <c r="Y311" i="2" s="1"/>
  <c r="Y312" i="2" s="1"/>
  <c r="Y313" i="2" s="1"/>
  <c r="Y314" i="2" s="1"/>
  <c r="Y315" i="2" s="1"/>
  <c r="Y316" i="2" s="1"/>
  <c r="Y317" i="2" s="1"/>
  <c r="Y318" i="2" s="1"/>
  <c r="Y319" i="2" s="1"/>
  <c r="Y321" i="2" s="1"/>
  <c r="Y322" i="2" s="1"/>
  <c r="Y323" i="2" s="1"/>
  <c r="Y324" i="2" s="1"/>
  <c r="Y325" i="2" s="1"/>
  <c r="Y326" i="2" s="1"/>
  <c r="Y327" i="2" s="1"/>
  <c r="Y328" i="2" s="1"/>
  <c r="Y329" i="2" s="1"/>
  <c r="Y330" i="2" s="1"/>
  <c r="Y331" i="2" s="1"/>
  <c r="Y332" i="2" s="1"/>
  <c r="Y333" i="2" s="1"/>
  <c r="Y334" i="2" s="1"/>
  <c r="Y335" i="2" s="1"/>
  <c r="Y336" i="2" s="1"/>
  <c r="Y337" i="2" s="1"/>
  <c r="Y338" i="2" s="1"/>
  <c r="Y339" i="2" s="1"/>
  <c r="Y340" i="2" s="1"/>
  <c r="Y341" i="2" s="1"/>
  <c r="Y342" i="2" s="1"/>
  <c r="Y343" i="2" s="1"/>
  <c r="Y344" i="2" s="1"/>
  <c r="Y345" i="2" s="1"/>
  <c r="Y346" i="2" s="1"/>
  <c r="Y347" i="2" s="1"/>
  <c r="Y348" i="2" s="1"/>
  <c r="Y349" i="2" s="1"/>
  <c r="Y350" i="2" s="1"/>
  <c r="Y351" i="2" s="1"/>
  <c r="Y352" i="2" s="1"/>
  <c r="Y353" i="2" s="1"/>
  <c r="Y354" i="2" s="1"/>
  <c r="Y355" i="2" s="1"/>
  <c r="Y356" i="2" s="1"/>
  <c r="Y357" i="2" s="1"/>
  <c r="H276" i="2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1" i="2" s="1"/>
  <c r="H302" i="2" s="1"/>
  <c r="H303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1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H346" i="2" s="1"/>
  <c r="H347" i="2" s="1"/>
  <c r="H348" i="2" s="1"/>
  <c r="H349" i="2" s="1"/>
  <c r="H350" i="2" s="1"/>
  <c r="H351" i="2" s="1"/>
  <c r="H352" i="2" s="1"/>
  <c r="H353" i="2" s="1"/>
  <c r="H354" i="2" s="1"/>
  <c r="H355" i="2" s="1"/>
  <c r="H356" i="2" s="1"/>
  <c r="H357" i="2" s="1"/>
  <c r="T43" i="2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O148" i="2"/>
  <c r="O212" i="2"/>
  <c r="O213" i="2" s="1"/>
  <c r="O214" i="2" s="1"/>
  <c r="O215" i="2" s="1"/>
  <c r="O354" i="2"/>
  <c r="O355" i="2" s="1"/>
  <c r="O356" i="2" s="1"/>
  <c r="O357" i="2" s="1"/>
  <c r="T43" i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O198" i="1"/>
  <c r="O199" i="1" s="1"/>
  <c r="O200" i="1" s="1"/>
  <c r="O213" i="1"/>
  <c r="O214" i="1" s="1"/>
  <c r="O215" i="1" s="1"/>
  <c r="T114" i="2" l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U53" i="2"/>
  <c r="U53" i="1"/>
  <c r="T114" i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U122" i="2" l="1"/>
  <c r="U124" i="2"/>
  <c r="U126" i="2"/>
  <c r="U130" i="2" s="1"/>
  <c r="T145" i="2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U124" i="1"/>
  <c r="U122" i="1"/>
  <c r="U130" i="1"/>
  <c r="T145" i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U153" i="2" l="1"/>
  <c r="T255" i="2"/>
  <c r="U157" i="2"/>
  <c r="U159" i="2" s="1"/>
  <c r="U155" i="2"/>
  <c r="U157" i="1"/>
  <c r="U159" i="1" s="1"/>
  <c r="U153" i="1"/>
  <c r="U155" i="1"/>
  <c r="T256" i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56" i="2" l="1"/>
  <c r="U264" i="1"/>
  <c r="T277" i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U266" i="1"/>
  <c r="T257" i="2" l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U288" i="1"/>
  <c r="U286" i="1"/>
  <c r="T302" i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T313" i="1" s="1"/>
  <c r="T314" i="1" s="1"/>
  <c r="T315" i="1" s="1"/>
  <c r="T316" i="1" s="1"/>
  <c r="T317" i="1" s="1"/>
  <c r="T318" i="1" s="1"/>
  <c r="T319" i="1" s="1"/>
  <c r="T320" i="1" s="1"/>
  <c r="T321" i="1" s="1"/>
  <c r="U290" i="1"/>
  <c r="U292" i="1" s="1"/>
  <c r="U261" i="2" l="1"/>
  <c r="T276" i="2"/>
  <c r="T277" i="2" s="1"/>
  <c r="T278" i="2" s="1"/>
  <c r="T279" i="2" s="1"/>
  <c r="T280" i="2" s="1"/>
  <c r="T281" i="2" s="1"/>
  <c r="T282" i="2" s="1"/>
  <c r="T283" i="2" s="1"/>
  <c r="T284" i="2" s="1"/>
  <c r="T285" i="2" s="1"/>
  <c r="T286" i="2" s="1"/>
  <c r="T287" i="2" s="1"/>
  <c r="T288" i="2" s="1"/>
  <c r="T289" i="2" s="1"/>
  <c r="T290" i="2" s="1"/>
  <c r="T291" i="2" s="1"/>
  <c r="T292" i="2" s="1"/>
  <c r="T293" i="2" s="1"/>
  <c r="T294" i="2" s="1"/>
  <c r="T295" i="2" s="1"/>
  <c r="T296" i="2" s="1"/>
  <c r="T297" i="2" s="1"/>
  <c r="T298" i="2" s="1"/>
  <c r="T299" i="2" s="1"/>
  <c r="T300" i="2" s="1"/>
  <c r="U259" i="2"/>
  <c r="U263" i="2"/>
  <c r="U264" i="2" s="1"/>
  <c r="U310" i="1"/>
  <c r="U312" i="1"/>
  <c r="T322" i="1"/>
  <c r="T323" i="1" s="1"/>
  <c r="T324" i="1" s="1"/>
  <c r="T325" i="1" s="1"/>
  <c r="T326" i="1" s="1"/>
  <c r="T327" i="1" s="1"/>
  <c r="T328" i="1" s="1"/>
  <c r="T329" i="1" s="1"/>
  <c r="T330" i="1" s="1"/>
  <c r="T331" i="1" s="1"/>
  <c r="T332" i="1" s="1"/>
  <c r="T333" i="1" s="1"/>
  <c r="T334" i="1" s="1"/>
  <c r="T335" i="1" s="1"/>
  <c r="T336" i="1" s="1"/>
  <c r="T337" i="1" s="1"/>
  <c r="T338" i="1" s="1"/>
  <c r="T339" i="1" s="1"/>
  <c r="T340" i="1" s="1"/>
  <c r="T341" i="1" s="1"/>
  <c r="T342" i="1" s="1"/>
  <c r="T343" i="1" s="1"/>
  <c r="T344" i="1" s="1"/>
  <c r="T345" i="1" s="1"/>
  <c r="T346" i="1" s="1"/>
  <c r="T347" i="1" s="1"/>
  <c r="T348" i="1" s="1"/>
  <c r="T349" i="1" s="1"/>
  <c r="T350" i="1" s="1"/>
  <c r="T351" i="1" s="1"/>
  <c r="T352" i="1" s="1"/>
  <c r="T353" i="1" s="1"/>
  <c r="T354" i="1" s="1"/>
  <c r="T355" i="1" s="1"/>
  <c r="T356" i="1" s="1"/>
  <c r="T357" i="1" s="1"/>
  <c r="U316" i="1"/>
  <c r="T301" i="2" l="1"/>
  <c r="T302" i="2" s="1"/>
  <c r="T303" i="2" s="1"/>
  <c r="T304" i="2" s="1"/>
  <c r="T305" i="2" s="1"/>
  <c r="T306" i="2" s="1"/>
  <c r="T307" i="2" s="1"/>
  <c r="T308" i="2" s="1"/>
  <c r="T309" i="2" s="1"/>
  <c r="T310" i="2" s="1"/>
  <c r="T311" i="2" s="1"/>
  <c r="T312" i="2" s="1"/>
  <c r="T313" i="2" s="1"/>
  <c r="T314" i="2" s="1"/>
  <c r="T315" i="2" s="1"/>
  <c r="T316" i="2" s="1"/>
  <c r="T317" i="2" s="1"/>
  <c r="T318" i="2" s="1"/>
  <c r="T319" i="2" s="1"/>
  <c r="T320" i="2" s="1"/>
  <c r="T321" i="2" s="1"/>
  <c r="T322" i="2" s="1"/>
  <c r="T323" i="2" s="1"/>
  <c r="T324" i="2" s="1"/>
  <c r="T325" i="2" s="1"/>
  <c r="T326" i="2" s="1"/>
  <c r="T327" i="2" s="1"/>
  <c r="T328" i="2" s="1"/>
  <c r="T329" i="2" s="1"/>
  <c r="T330" i="2" s="1"/>
  <c r="T331" i="2" s="1"/>
  <c r="T332" i="2" s="1"/>
  <c r="T333" i="2" s="1"/>
  <c r="T334" i="2" s="1"/>
  <c r="T335" i="2" s="1"/>
  <c r="T336" i="2" s="1"/>
  <c r="T337" i="2" s="1"/>
  <c r="T338" i="2" s="1"/>
  <c r="T339" i="2" s="1"/>
  <c r="T340" i="2" s="1"/>
  <c r="T341" i="2" s="1"/>
  <c r="T342" i="2" s="1"/>
  <c r="T343" i="2" s="1"/>
  <c r="T344" i="2" s="1"/>
  <c r="T345" i="2" s="1"/>
  <c r="T346" i="2" s="1"/>
  <c r="T347" i="2" s="1"/>
  <c r="T348" i="2" s="1"/>
  <c r="T349" i="2" s="1"/>
  <c r="T350" i="2" s="1"/>
  <c r="T351" i="2" s="1"/>
  <c r="T352" i="2" s="1"/>
  <c r="T353" i="2" s="1"/>
  <c r="T354" i="2" s="1"/>
  <c r="T355" i="2" s="1"/>
  <c r="T356" i="2" s="1"/>
  <c r="T357" i="2" s="1"/>
  <c r="U307" i="2"/>
  <c r="U280" i="2"/>
  <c r="U282" i="2"/>
  <c r="U284" i="2"/>
  <c r="U286" i="2" s="1"/>
  <c r="U332" i="1"/>
  <c r="U334" i="1"/>
  <c r="U336" i="1" s="1"/>
  <c r="U330" i="1"/>
  <c r="U305" i="2" l="1"/>
  <c r="U331" i="2"/>
  <c r="U309" i="2"/>
  <c r="U311" i="2" s="1"/>
</calcChain>
</file>

<file path=xl/sharedStrings.xml><?xml version="1.0" encoding="utf-8"?>
<sst xmlns="http://schemas.openxmlformats.org/spreadsheetml/2006/main" count="327" uniqueCount="68">
  <si>
    <t>SEMIS SYN14</t>
  </si>
  <si>
    <t>AUTOMNE</t>
  </si>
  <si>
    <t>Tmin</t>
  </si>
  <si>
    <t>cpetp</t>
  </si>
  <si>
    <t>crg</t>
  </si>
  <si>
    <t>Tmax</t>
  </si>
  <si>
    <t>nbj_sec</t>
  </si>
  <si>
    <t>qpt_p</t>
  </si>
  <si>
    <t>Tmoy</t>
  </si>
  <si>
    <t>nbj_water_deficit</t>
  </si>
  <si>
    <t>nbj_radinf_900</t>
  </si>
  <si>
    <t>nbj_tgel</t>
  </si>
  <si>
    <t>nbj_stress_hydro</t>
  </si>
  <si>
    <t>nbj_tsup25</t>
  </si>
  <si>
    <t>water_soil_content_min</t>
  </si>
  <si>
    <t>nbj_tinf5</t>
  </si>
  <si>
    <t>water_soil_content_max</t>
  </si>
  <si>
    <t>gdd_p</t>
  </si>
  <si>
    <t>water_soil_content_moy</t>
  </si>
  <si>
    <t>HIVER</t>
  </si>
  <si>
    <t>nbj_vern_opti</t>
  </si>
  <si>
    <t>MONTAISON</t>
  </si>
  <si>
    <t>Flo estimé</t>
  </si>
  <si>
    <t>Fin FLO</t>
  </si>
  <si>
    <t>Maturité phénologique</t>
  </si>
  <si>
    <t>RECOLTE SYN14</t>
  </si>
  <si>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</si>
  <si>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</si>
  <si>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</si>
  <si>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</si>
  <si>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</si>
  <si>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</si>
  <si>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</si>
  <si>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</si>
  <si>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</si>
  <si>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</si>
  <si>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</si>
  <si>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 (mm)</t>
  </si>
  <si>
    <t>Cumul_P</t>
  </si>
  <si>
    <t>ETP_Q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</si>
  <si>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</si>
  <si>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</si>
  <si>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</si>
  <si>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</si>
  <si>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</si>
  <si>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</si>
  <si>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</si>
  <si>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</si>
  <si>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</si>
  <si>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</si>
  <si>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Cumul_RG</t>
  </si>
  <si>
    <t>FLO</t>
  </si>
  <si>
    <t>SSR</t>
  </si>
  <si>
    <t>QPT</t>
  </si>
  <si>
    <t>LSR</t>
  </si>
  <si>
    <t>WD</t>
  </si>
  <si>
    <t>WS</t>
  </si>
  <si>
    <t>FR</t>
  </si>
  <si>
    <t>HT</t>
  </si>
  <si>
    <t>LT</t>
  </si>
  <si>
    <t>N30</t>
  </si>
  <si>
    <t>WSC_I</t>
  </si>
  <si>
    <t>BI</t>
  </si>
  <si>
    <t>DRF</t>
  </si>
  <si>
    <t>TS</t>
  </si>
  <si>
    <t>IRF</t>
  </si>
  <si>
    <t>N40</t>
  </si>
  <si>
    <t>N50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</si>
</sst>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b/>
      <i/>
      <u/>
      <sz val="11"/>
      <color rgb="FFFFC000"/>
      <name val="Calibri"/>
      <family val="2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4F81BD"/>
        <bgColor rgb="FF000000"/>
      </patternFill>
    </fill>
    <fill>
      <patternFill patternType="solid">
        <fgColor rgb="FF0070C0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DDD9C4"/>
        <bgColor rgb="FF000000"/>
      </patternFill>
    </fill>
    <fill>
      <patternFill patternType="solid">
        <fgColor rgb="FFB7DEE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CD5B4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2" fillId="0" borderId="0" xfId="0" applyFont="1" applyFill="1" applyBorder="1"/>
    <xf numFmtId="0" fontId="2" fillId="0" borderId="0" xfId="0" applyFont="1" applyFill="1" applyBorder="1" applyAlignment="1"/>
    <xf numFmtId="14" fontId="2" fillId="2" borderId="0" xfId="0" applyNumberFormat="1" applyFont="1" applyFill="1" applyBorder="1"/>
    <xf numFmtId="0" fontId="2" fillId="0" borderId="0" xfId="0" applyFont="1" applyFill="1" applyBorder="1" applyAlignment="1">
      <alignment horizontal="center"/>
    </xf>
    <xf numFmtId="0" fontId="4" fillId="0" borderId="0" xfId="0" applyFont="1" applyFill="1" applyBorder="1" applyAlignment="1">
      <alignment horizontal="center" vertical="center"/>
    </xf>
    <xf numFmtId="0" fontId="2" fillId="5" borderId="0" xfId="0" applyFont="1" applyFill="1" applyBorder="1"/>
    <xf numFmtId="0" fontId="4" fillId="4" borderId="0" xfId="0" applyFont="1" applyFill="1" applyBorder="1"/>
    <xf numFmtId="0" fontId="2" fillId="6" borderId="0" xfId="0" applyFont="1" applyFill="1" applyBorder="1"/>
    <xf numFmtId="164" fontId="2" fillId="0" borderId="0" xfId="0" applyNumberFormat="1" applyFont="1" applyFill="1" applyBorder="1"/>
    <xf numFmtId="0" fontId="2" fillId="7" borderId="0" xfId="0" applyFont="1" applyFill="1" applyBorder="1"/>
    <xf numFmtId="2" fontId="2" fillId="0" borderId="0" xfId="0" applyNumberFormat="1" applyFont="1" applyFill="1" applyBorder="1"/>
    <xf numFmtId="0" fontId="2" fillId="8" borderId="0" xfId="0" applyFont="1" applyFill="1" applyBorder="1"/>
    <xf numFmtId="0" fontId="2" fillId="9" borderId="0" xfId="0" applyFont="1" applyFill="1" applyBorder="1"/>
    <xf numFmtId="0" fontId="4" fillId="10" borderId="0" xfId="0" applyFont="1" applyFill="1" applyBorder="1"/>
    <xf numFmtId="0" fontId="4" fillId="11" borderId="0" xfId="0" applyFont="1" applyFill="1" applyBorder="1" applyAlignment="1">
      <alignment horizontal="center" vertical="center"/>
    </xf>
    <xf numFmtId="0" fontId="2" fillId="12" borderId="0" xfId="0" applyFont="1" applyFill="1" applyBorder="1"/>
    <xf numFmtId="0" fontId="4" fillId="0" borderId="0" xfId="0" applyFont="1" applyFill="1" applyBorder="1" applyAlignment="1">
      <alignment horizontal="center" vertical="center" wrapText="1"/>
    </xf>
    <xf numFmtId="0" fontId="4" fillId="14" borderId="0" xfId="0" applyFont="1" applyFill="1" applyBorder="1"/>
    <xf numFmtId="0" fontId="2" fillId="15" borderId="0" xfId="0" applyFont="1" applyFill="1" applyBorder="1"/>
    <xf numFmtId="14" fontId="5" fillId="14" borderId="0" xfId="0" applyNumberFormat="1" applyFont="1" applyFill="1" applyBorder="1"/>
    <xf numFmtId="0" fontId="6" fillId="0" borderId="0" xfId="0" applyFont="1" applyFill="1" applyBorder="1"/>
    <xf numFmtId="164" fontId="6" fillId="0" borderId="0" xfId="0" applyNumberFormat="1" applyFont="1" applyFill="1" applyBorder="1"/>
    <xf numFmtId="0" fontId="5" fillId="14" borderId="0" xfId="0" applyFont="1" applyFill="1" applyBorder="1"/>
    <xf numFmtId="14" fontId="2" fillId="5" borderId="0" xfId="0" applyNumberFormat="1" applyFont="1" applyFill="1" applyBorder="1"/>
    <xf numFmtId="0" fontId="6" fillId="8" borderId="0" xfId="0" applyFont="1" applyFill="1" applyBorder="1"/>
    <xf numFmtId="0" fontId="7" fillId="16" borderId="0" xfId="0" applyFont="1" applyFill="1" applyBorder="1"/>
    <xf numFmtId="0" fontId="4" fillId="16" borderId="0" xfId="0" applyFont="1" applyFill="1" applyBorder="1" applyAlignment="1">
      <alignment horizontal="center" vertical="center" wrapText="1"/>
    </xf>
    <xf numFmtId="0" fontId="4" fillId="16" borderId="0" xfId="0" applyFont="1" applyFill="1" applyBorder="1"/>
    <xf numFmtId="14" fontId="6" fillId="0" borderId="0" xfId="0" applyNumberFormat="1" applyFont="1" applyFill="1" applyBorder="1"/>
    <xf numFmtId="0" fontId="5" fillId="5" borderId="0" xfId="0" applyFont="1" applyFill="1" applyBorder="1"/>
    <xf numFmtId="0" fontId="4" fillId="5" borderId="0" xfId="0" applyFont="1" applyFill="1" applyBorder="1"/>
    <xf numFmtId="0" fontId="4" fillId="18" borderId="0" xfId="0" applyFont="1" applyFill="1" applyBorder="1"/>
    <xf numFmtId="0" fontId="4" fillId="19" borderId="0" xfId="0" applyFont="1" applyFill="1" applyBorder="1"/>
    <xf numFmtId="0" fontId="2" fillId="0" borderId="0" xfId="0" applyFont="1" applyFill="1" applyBorder="1" applyAlignment="1">
      <alignment horizontal="center" vertical="center" wrapText="1"/>
    </xf>
    <xf numFmtId="0" fontId="0" fillId="0" borderId="0" xfId="0" applyFill="1" applyAlignment="1"/>
    <xf numFmtId="0" fontId="9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14" borderId="0" xfId="0" applyFont="1" applyFill="1" applyBorder="1" applyAlignment="1">
      <alignment vertical="center" textRotation="255" wrapText="1"/>
    </xf>
    <xf numFmtId="0" fontId="4" fillId="0" borderId="1" xfId="0" applyFont="1" applyFill="1" applyBorder="1" applyAlignment="1">
      <alignment horizontal="center" vertical="center"/>
    </xf>
    <xf numFmtId="14" fontId="7" fillId="17" borderId="1" xfId="0" applyNumberFormat="1" applyFont="1" applyFill="1" applyBorder="1"/>
    <xf numFmtId="0" fontId="7" fillId="17" borderId="1" xfId="0" applyFont="1" applyFill="1" applyBorder="1"/>
    <xf numFmtId="0" fontId="10" fillId="0" borderId="1" xfId="0" applyFont="1" applyFill="1" applyBorder="1"/>
    <xf numFmtId="2" fontId="10" fillId="0" borderId="1" xfId="0" applyNumberFormat="1" applyFont="1" applyFill="1" applyBorder="1"/>
    <xf numFmtId="164" fontId="10" fillId="0" borderId="1" xfId="0" applyNumberFormat="1" applyFont="1" applyFill="1" applyBorder="1"/>
    <xf numFmtId="0" fontId="7" fillId="7" borderId="1" xfId="0" applyFont="1" applyFill="1" applyBorder="1"/>
    <xf numFmtId="0" fontId="7" fillId="16" borderId="1" xfId="0" applyFont="1" applyFill="1" applyBorder="1" applyAlignment="1">
      <alignment horizontal="center" vertical="center" wrapText="1"/>
    </xf>
    <xf numFmtId="14" fontId="7" fillId="2" borderId="1" xfId="0" applyNumberFormat="1" applyFont="1" applyFill="1" applyBorder="1"/>
    <xf numFmtId="0" fontId="7" fillId="0" borderId="1" xfId="0" applyFont="1" applyFill="1" applyBorder="1"/>
    <xf numFmtId="0" fontId="7" fillId="6" borderId="1" xfId="0" applyFont="1" applyFill="1" applyBorder="1"/>
    <xf numFmtId="164" fontId="7" fillId="0" borderId="1" xfId="0" applyNumberFormat="1" applyFont="1" applyFill="1" applyBorder="1"/>
    <xf numFmtId="0" fontId="7" fillId="0" borderId="1" xfId="0" applyFont="1" applyFill="1" applyBorder="1" applyAlignment="1">
      <alignment horizontal="center" vertical="center" wrapText="1"/>
    </xf>
    <xf numFmtId="0" fontId="7" fillId="2" borderId="1" xfId="0" applyFont="1" applyFill="1" applyBorder="1"/>
    <xf numFmtId="14" fontId="7" fillId="13" borderId="1" xfId="0" applyNumberFormat="1" applyFont="1" applyFill="1" applyBorder="1"/>
    <xf numFmtId="0" fontId="7" fillId="13" borderId="1" xfId="0" applyFont="1" applyFill="1" applyBorder="1"/>
    <xf numFmtId="0" fontId="10" fillId="12" borderId="1" xfId="0" applyFont="1" applyFill="1" applyBorder="1"/>
    <xf numFmtId="0" fontId="6" fillId="16" borderId="0" xfId="0" applyFont="1" applyFill="1" applyBorder="1" applyAlignment="1">
      <alignment horizontal="center" vertical="center" wrapText="1"/>
    </xf>
    <xf numFmtId="14" fontId="6" fillId="2" borderId="0" xfId="0" applyNumberFormat="1" applyFont="1" applyFill="1" applyBorder="1"/>
    <xf numFmtId="2" fontId="6" fillId="0" borderId="0" xfId="0" applyNumberFormat="1" applyFont="1" applyFill="1" applyBorder="1"/>
    <xf numFmtId="0" fontId="6" fillId="7" borderId="0" xfId="0" applyFont="1" applyFill="1" applyBorder="1"/>
    <xf numFmtId="0" fontId="6" fillId="6" borderId="0" xfId="0" applyFont="1" applyFill="1" applyBorder="1"/>
    <xf numFmtId="0" fontId="6" fillId="0" borderId="0" xfId="0" applyFont="1" applyFill="1" applyBorder="1" applyAlignment="1">
      <alignment horizontal="center" vertical="center"/>
    </xf>
    <xf numFmtId="14" fontId="6" fillId="17" borderId="0" xfId="0" applyNumberFormat="1" applyFont="1" applyFill="1" applyBorder="1"/>
    <xf numFmtId="0" fontId="6" fillId="17" borderId="0" xfId="0" applyFont="1" applyFill="1" applyBorder="1"/>
    <xf numFmtId="14" fontId="10" fillId="2" borderId="1" xfId="0" applyNumberFormat="1" applyFont="1" applyFill="1" applyBorder="1"/>
    <xf numFmtId="0" fontId="11" fillId="0" borderId="1" xfId="0" applyFont="1" applyFill="1" applyBorder="1"/>
    <xf numFmtId="0" fontId="10" fillId="7" borderId="1" xfId="0" applyFont="1" applyFill="1" applyBorder="1"/>
    <xf numFmtId="0" fontId="4" fillId="0" borderId="1" xfId="0" applyFont="1" applyFill="1" applyBorder="1" applyAlignment="1">
      <alignment horizontal="center" vertical="center" wrapText="1"/>
    </xf>
    <xf numFmtId="14" fontId="10" fillId="5" borderId="1" xfId="0" applyNumberFormat="1" applyFont="1" applyFill="1" applyBorder="1"/>
    <xf numFmtId="0" fontId="11" fillId="8" borderId="1" xfId="0" applyFont="1" applyFill="1" applyBorder="1"/>
    <xf numFmtId="164" fontId="11" fillId="0" borderId="1" xfId="0" applyNumberFormat="1" applyFont="1" applyFill="1" applyBorder="1"/>
    <xf numFmtId="0" fontId="10" fillId="5" borderId="1" xfId="0" applyFont="1" applyFill="1" applyBorder="1"/>
    <xf numFmtId="0" fontId="4" fillId="5" borderId="0" xfId="0" applyFont="1" applyFill="1" applyBorder="1" applyAlignment="1">
      <alignment horizontal="center" vertical="center" textRotation="255"/>
    </xf>
    <xf numFmtId="0" fontId="4" fillId="18" borderId="0" xfId="0" applyFont="1" applyFill="1" applyBorder="1" applyAlignment="1">
      <alignment horizontal="center" vertical="center" textRotation="255"/>
    </xf>
    <xf numFmtId="0" fontId="4" fillId="19" borderId="0" xfId="0" applyFont="1" applyFill="1" applyBorder="1" applyAlignment="1">
      <alignment horizontal="center" vertical="center" textRotation="255"/>
    </xf>
    <xf numFmtId="0" fontId="2" fillId="0" borderId="0" xfId="0" applyFont="1" applyFill="1" applyBorder="1" applyAlignment="1">
      <alignment horizontal="center" vertical="center" wrapText="1"/>
    </xf>
    <xf numFmtId="0" fontId="8" fillId="20" borderId="0" xfId="0" applyFont="1" applyFill="1" applyBorder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3" borderId="0" xfId="0" applyFont="1" applyFill="1" applyBorder="1" applyAlignment="1">
      <alignment horizontal="center" vertical="center"/>
    </xf>
    <xf numFmtId="0" fontId="4" fillId="4" borderId="0" xfId="0" applyFont="1" applyFill="1" applyBorder="1" applyAlignment="1">
      <alignment horizontal="center" vertical="center" textRotation="255"/>
    </xf>
    <xf numFmtId="0" fontId="4" fillId="10" borderId="0" xfId="0" applyFont="1" applyFill="1" applyBorder="1" applyAlignment="1">
      <alignment horizontal="center" vertical="center" textRotation="255"/>
    </xf>
    <xf numFmtId="0" fontId="4" fillId="14" borderId="0" xfId="0" applyFont="1" applyFill="1" applyBorder="1" applyAlignment="1">
      <alignment horizontal="center" vertical="center" textRotation="255" wrapText="1"/>
    </xf>
    <xf numFmtId="0" fontId="4" fillId="16" borderId="0" xfId="0" applyFont="1" applyFill="1" applyBorder="1" applyAlignment="1">
      <alignment horizontal="center" vertical="center" textRotation="255" wrapText="1"/>
    </xf>
    <xf numFmtId="0" fontId="4" fillId="21" borderId="0" xfId="0" applyFont="1" applyFill="1" applyBorder="1" applyAlignment="1">
      <alignment vertical="center" textRotation="255" wrapText="1"/>
    </xf>
    <xf numFmtId="0" fontId="4" fillId="22" borderId="0" xfId="0" applyFont="1" applyFill="1" applyBorder="1" applyAlignment="1">
      <alignment horizontal="center" vertical="center" wrapText="1"/>
    </xf>
    <xf numFmtId="14" fontId="2" fillId="21" borderId="0" xfId="0" applyNumberFormat="1" applyFont="1" applyFill="1" applyBorder="1"/>
    <xf numFmtId="0" fontId="2" fillId="22" borderId="0" xfId="0" applyFont="1" applyFill="1" applyBorder="1"/>
    <xf numFmtId="0" fontId="2" fillId="21" borderId="0" xfId="0" applyFont="1" applyFill="1" applyBorder="1"/>
    <xf numFmtId="2" fontId="2" fillId="22" borderId="0" xfId="0" applyNumberFormat="1" applyFont="1" applyFill="1" applyBorder="1"/>
    <xf numFmtId="164" fontId="2" fillId="22" borderId="0" xfId="0" applyNumberFormat="1" applyFont="1" applyFill="1" applyBorder="1"/>
    <xf numFmtId="164" fontId="2" fillId="23" borderId="0" xfId="0" applyNumberFormat="1" applyFont="1" applyFill="1" applyBorder="1"/>
    <xf numFmtId="0" fontId="2" fillId="23" borderId="0" xfId="0" applyFont="1" applyFill="1" applyBorder="1"/>
    <xf numFmtId="164" fontId="2" fillId="23" borderId="2" xfId="0" applyNumberFormat="1" applyFont="1" applyFill="1" applyBorder="1"/>
    <xf numFmtId="0" fontId="10" fillId="0" borderId="0" xfId="0" applyFont="1" applyFill="1" applyBorder="1"/>
  </cellXfs>
  <cellStyles count="1">
    <cellStyle name="Normal" xfId="0" builtinId="0"/>
  </cellStyles>
  <dxfs count="12"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F2DCDB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58"/>
  <sheetViews>
    <sheetView tabSelected="1" zoomScale="70" zoomScaleNormal="70" workbookViewId="0">
      <pane xSplit="3" ySplit="4" topLeftCell="D200" activePane="bottomRight" state="frozen"/>
      <selection pane="topRight" activeCell="D1" sqref="D1"/>
      <selection pane="bottomLeft" activeCell="A5" sqref="A5"/>
      <selection pane="bottomRight" activeCell="F233" sqref="F233"/>
    </sheetView>
  </sheetViews>
  <sheetFormatPr baseColWidth="10" defaultRowHeight="15" x14ac:dyDescent="0.25"/>
  <sheetData>
    <row r="1" spans="1:26" x14ac:dyDescent="0.25">
      <c r="B1" s="35"/>
      <c r="D1" s="77" t="s">
        <v>26</v>
      </c>
      <c r="E1" s="77"/>
      <c r="F1" s="77"/>
      <c r="G1" s="77"/>
      <c r="H1" s="77"/>
      <c r="I1" s="77"/>
      <c r="J1" s="77" t="s">
        <v>27</v>
      </c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 t="s">
        <v>28</v>
      </c>
      <c r="W1" s="77"/>
      <c r="X1" s="77"/>
      <c r="Y1" s="77"/>
      <c r="Z1" s="77"/>
    </row>
    <row r="2" spans="1:26" x14ac:dyDescent="0.25">
      <c r="B2" s="35"/>
      <c r="C2" s="36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spans="1:26" x14ac:dyDescent="0.25">
      <c r="B3" s="35"/>
      <c r="C3" s="36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77" t="s">
        <v>29</v>
      </c>
      <c r="Q3" s="77"/>
      <c r="R3" s="77"/>
      <c r="S3" s="77"/>
      <c r="T3" s="77"/>
      <c r="U3" s="37"/>
      <c r="V3" s="37"/>
      <c r="W3" s="37"/>
      <c r="X3" s="37"/>
      <c r="Y3" s="37"/>
      <c r="Z3" s="37"/>
    </row>
    <row r="4" spans="1:26" x14ac:dyDescent="0.25">
      <c r="A4" t="s">
        <v>30</v>
      </c>
      <c r="B4" s="35">
        <v>5</v>
      </c>
      <c r="C4" t="s">
        <v>31</v>
      </c>
      <c r="D4" t="s">
        <v>32</v>
      </c>
      <c r="E4" t="s">
        <v>33</v>
      </c>
      <c r="F4" t="s">
        <v>34</v>
      </c>
      <c r="G4" s="78" t="s">
        <v>35</v>
      </c>
      <c r="H4" s="78"/>
      <c r="I4" t="s">
        <v>36</v>
      </c>
      <c r="J4" t="s">
        <v>37</v>
      </c>
      <c r="K4" t="s">
        <v>38</v>
      </c>
      <c r="L4" t="s">
        <v>39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 t="s">
        <v>45</v>
      </c>
      <c r="S4" t="s">
        <v>46</v>
      </c>
      <c r="T4" t="s">
        <v>47</v>
      </c>
      <c r="U4" t="s">
        <v>36</v>
      </c>
      <c r="V4" t="s">
        <v>48</v>
      </c>
      <c r="W4" t="s">
        <v>49</v>
      </c>
      <c r="X4" s="78" t="s">
        <v>50</v>
      </c>
      <c r="Y4" s="78"/>
      <c r="Z4" t="s">
        <v>36</v>
      </c>
    </row>
    <row r="5" spans="1:26" s="1" customFormat="1" x14ac:dyDescent="0.25">
      <c r="B5" s="2"/>
      <c r="C5" s="3">
        <v>41487</v>
      </c>
      <c r="D5" s="1">
        <v>25.1</v>
      </c>
      <c r="E5" s="1">
        <v>14.5</v>
      </c>
      <c r="F5" s="1">
        <v>31.6</v>
      </c>
      <c r="G5" s="4"/>
      <c r="H5" s="4"/>
      <c r="J5" s="1">
        <v>0</v>
      </c>
      <c r="L5" s="1">
        <v>5.7</v>
      </c>
      <c r="N5" s="1">
        <f t="shared" ref="N5:N38" si="0">J5-L5</f>
        <v>-5.7</v>
      </c>
      <c r="O5" s="1">
        <v>0</v>
      </c>
      <c r="T5" s="1">
        <v>0</v>
      </c>
      <c r="V5" s="1">
        <v>2518.1999999999998</v>
      </c>
      <c r="X5" s="4"/>
      <c r="Y5" s="4"/>
    </row>
    <row r="6" spans="1:26" s="1" customFormat="1" x14ac:dyDescent="0.25">
      <c r="B6" s="2"/>
      <c r="C6" s="3">
        <v>41488</v>
      </c>
      <c r="D6" s="1">
        <v>24.2</v>
      </c>
      <c r="E6" s="1">
        <v>20</v>
      </c>
      <c r="F6" s="1">
        <v>33.200000000000003</v>
      </c>
      <c r="G6" s="4"/>
      <c r="H6" s="4"/>
      <c r="J6" s="1">
        <v>0</v>
      </c>
      <c r="L6" s="1">
        <v>6</v>
      </c>
      <c r="N6" s="1">
        <f t="shared" si="0"/>
        <v>-6</v>
      </c>
      <c r="O6" s="1">
        <v>0</v>
      </c>
      <c r="T6" s="1">
        <v>0</v>
      </c>
      <c r="V6" s="1">
        <v>2133.8000000000002</v>
      </c>
      <c r="X6" s="4"/>
      <c r="Y6" s="4"/>
    </row>
    <row r="7" spans="1:26" s="1" customFormat="1" x14ac:dyDescent="0.25">
      <c r="B7" s="2"/>
      <c r="C7" s="3">
        <v>41489</v>
      </c>
      <c r="D7" s="1">
        <v>19.5</v>
      </c>
      <c r="E7" s="1">
        <v>17.399999999999999</v>
      </c>
      <c r="F7" s="1">
        <v>23</v>
      </c>
      <c r="G7" s="4"/>
      <c r="H7" s="4"/>
      <c r="J7" s="1">
        <v>0</v>
      </c>
      <c r="L7" s="1">
        <v>4.2</v>
      </c>
      <c r="N7" s="1">
        <f t="shared" si="0"/>
        <v>-4.2</v>
      </c>
      <c r="O7" s="1">
        <v>0</v>
      </c>
      <c r="T7" s="1">
        <v>0</v>
      </c>
      <c r="V7" s="1">
        <v>1938.1</v>
      </c>
      <c r="X7" s="4"/>
      <c r="Y7" s="4"/>
    </row>
    <row r="8" spans="1:26" s="1" customFormat="1" x14ac:dyDescent="0.25">
      <c r="B8" s="2"/>
      <c r="C8" s="3">
        <v>41490</v>
      </c>
      <c r="D8" s="1">
        <v>19.600000000000001</v>
      </c>
      <c r="E8" s="1">
        <v>13.4</v>
      </c>
      <c r="F8" s="1">
        <v>25.5</v>
      </c>
      <c r="G8" s="4"/>
      <c r="H8" s="4"/>
      <c r="J8" s="1">
        <v>0</v>
      </c>
      <c r="L8" s="1">
        <v>3.7</v>
      </c>
      <c r="N8" s="1">
        <f t="shared" si="0"/>
        <v>-3.7</v>
      </c>
      <c r="O8" s="1">
        <v>0</v>
      </c>
      <c r="T8" s="1">
        <v>0</v>
      </c>
      <c r="V8" s="1">
        <v>1732.9</v>
      </c>
      <c r="X8" s="4"/>
      <c r="Y8" s="4"/>
    </row>
    <row r="9" spans="1:26" s="1" customFormat="1" x14ac:dyDescent="0.25">
      <c r="B9" s="2"/>
      <c r="C9" s="3">
        <v>41491</v>
      </c>
      <c r="D9" s="1">
        <v>21.3</v>
      </c>
      <c r="E9" s="1">
        <v>14</v>
      </c>
      <c r="F9" s="1">
        <v>28.2</v>
      </c>
      <c r="G9" s="4"/>
      <c r="H9" s="4"/>
      <c r="J9" s="1">
        <v>0</v>
      </c>
      <c r="L9" s="1">
        <v>4.4000000000000004</v>
      </c>
      <c r="N9" s="1">
        <f t="shared" si="0"/>
        <v>-4.4000000000000004</v>
      </c>
      <c r="O9" s="1">
        <v>0</v>
      </c>
      <c r="T9" s="1">
        <v>0</v>
      </c>
      <c r="V9" s="1">
        <v>1839.8</v>
      </c>
      <c r="X9" s="4"/>
      <c r="Y9" s="4"/>
    </row>
    <row r="10" spans="1:26" s="1" customFormat="1" x14ac:dyDescent="0.25">
      <c r="B10" s="2"/>
      <c r="C10" s="3">
        <v>41492</v>
      </c>
      <c r="D10" s="1">
        <v>19.399999999999999</v>
      </c>
      <c r="E10" s="1">
        <v>15.4</v>
      </c>
      <c r="F10" s="1">
        <v>23.1</v>
      </c>
      <c r="G10" s="4"/>
      <c r="H10" s="4"/>
      <c r="J10" s="1">
        <v>0</v>
      </c>
      <c r="L10" s="1">
        <v>2</v>
      </c>
      <c r="N10" s="1">
        <f t="shared" si="0"/>
        <v>-2</v>
      </c>
      <c r="O10" s="1">
        <v>0</v>
      </c>
      <c r="T10" s="1">
        <v>0</v>
      </c>
      <c r="V10" s="1">
        <v>973.6</v>
      </c>
      <c r="X10" s="4"/>
      <c r="Y10" s="4"/>
    </row>
    <row r="11" spans="1:26" s="1" customFormat="1" x14ac:dyDescent="0.25">
      <c r="B11" s="2"/>
      <c r="C11" s="3">
        <v>41493</v>
      </c>
      <c r="D11" s="1">
        <v>16.5</v>
      </c>
      <c r="E11" s="1">
        <v>16.3</v>
      </c>
      <c r="F11" s="1">
        <v>17.7</v>
      </c>
      <c r="G11" s="4"/>
      <c r="H11" s="4"/>
      <c r="J11" s="1">
        <v>13.2</v>
      </c>
      <c r="L11" s="1">
        <v>1.5</v>
      </c>
      <c r="N11" s="1">
        <f t="shared" si="0"/>
        <v>11.7</v>
      </c>
      <c r="O11" s="1">
        <f t="shared" ref="O11:O14" si="1">O10+N11</f>
        <v>11.7</v>
      </c>
      <c r="T11" s="1">
        <v>11.7</v>
      </c>
      <c r="V11" s="1">
        <v>641.20000000000005</v>
      </c>
      <c r="X11" s="4"/>
      <c r="Y11" s="4"/>
    </row>
    <row r="12" spans="1:26" s="1" customFormat="1" x14ac:dyDescent="0.25">
      <c r="B12" s="2"/>
      <c r="C12" s="3">
        <v>41494</v>
      </c>
      <c r="D12" s="1">
        <v>16.5</v>
      </c>
      <c r="E12" s="1">
        <v>12.6</v>
      </c>
      <c r="F12" s="1">
        <v>20.8</v>
      </c>
      <c r="G12" s="4"/>
      <c r="H12" s="4"/>
      <c r="J12" s="1">
        <v>0</v>
      </c>
      <c r="L12" s="1">
        <v>3.2</v>
      </c>
      <c r="N12" s="1">
        <f t="shared" si="0"/>
        <v>-3.2</v>
      </c>
      <c r="O12" s="1">
        <f t="shared" si="1"/>
        <v>8.5</v>
      </c>
      <c r="T12" s="1">
        <v>8.5</v>
      </c>
      <c r="V12" s="1">
        <v>1642.1</v>
      </c>
      <c r="X12" s="4"/>
      <c r="Y12" s="4"/>
    </row>
    <row r="13" spans="1:26" s="1" customFormat="1" x14ac:dyDescent="0.25">
      <c r="B13" s="2"/>
      <c r="C13" s="3">
        <v>41495</v>
      </c>
      <c r="D13" s="1">
        <v>17.399999999999999</v>
      </c>
      <c r="E13" s="1">
        <v>12</v>
      </c>
      <c r="F13" s="1">
        <v>23.8</v>
      </c>
      <c r="G13" s="4"/>
      <c r="H13" s="4"/>
      <c r="J13" s="1">
        <v>0.1</v>
      </c>
      <c r="L13" s="1">
        <v>4.2</v>
      </c>
      <c r="N13" s="1">
        <f t="shared" si="0"/>
        <v>-4.1000000000000005</v>
      </c>
      <c r="O13" s="1">
        <f t="shared" si="1"/>
        <v>4.3999999999999995</v>
      </c>
      <c r="T13" s="1">
        <v>4.4000000000000004</v>
      </c>
      <c r="V13" s="1">
        <v>1968.6</v>
      </c>
      <c r="X13" s="4"/>
      <c r="Y13" s="4"/>
    </row>
    <row r="14" spans="1:26" s="1" customFormat="1" x14ac:dyDescent="0.25">
      <c r="B14" s="2"/>
      <c r="C14" s="3">
        <v>41496</v>
      </c>
      <c r="D14" s="1">
        <v>15.8</v>
      </c>
      <c r="E14" s="1">
        <v>11.9</v>
      </c>
      <c r="F14" s="1">
        <v>20.5</v>
      </c>
      <c r="G14" s="4"/>
      <c r="H14" s="4"/>
      <c r="J14" s="1">
        <v>0</v>
      </c>
      <c r="L14" s="1">
        <v>3.3</v>
      </c>
      <c r="N14" s="1">
        <f t="shared" si="0"/>
        <v>-3.3</v>
      </c>
      <c r="O14" s="1">
        <f t="shared" si="1"/>
        <v>1.0999999999999996</v>
      </c>
      <c r="T14" s="1">
        <v>1.1000000000000001</v>
      </c>
      <c r="V14" s="1">
        <v>1703.5</v>
      </c>
      <c r="X14" s="4"/>
      <c r="Y14" s="4"/>
    </row>
    <row r="15" spans="1:26" s="1" customFormat="1" x14ac:dyDescent="0.25">
      <c r="B15" s="2"/>
      <c r="C15" s="3">
        <v>41497</v>
      </c>
      <c r="D15" s="1">
        <v>16.899999999999999</v>
      </c>
      <c r="E15" s="1">
        <v>9.4</v>
      </c>
      <c r="F15" s="1">
        <v>22.2</v>
      </c>
      <c r="G15" s="4"/>
      <c r="H15" s="4"/>
      <c r="J15" s="1">
        <v>0.6</v>
      </c>
      <c r="L15" s="1">
        <v>2.4</v>
      </c>
      <c r="N15" s="1">
        <f t="shared" si="0"/>
        <v>-1.7999999999999998</v>
      </c>
      <c r="O15" s="1">
        <v>0</v>
      </c>
      <c r="T15" s="1">
        <v>0</v>
      </c>
      <c r="V15" s="1">
        <v>1159.7</v>
      </c>
      <c r="X15" s="4"/>
      <c r="Y15" s="4"/>
    </row>
    <row r="16" spans="1:26" s="1" customFormat="1" x14ac:dyDescent="0.25">
      <c r="B16" s="2"/>
      <c r="C16" s="3">
        <v>41498</v>
      </c>
      <c r="D16" s="1">
        <v>16.8</v>
      </c>
      <c r="E16" s="1">
        <v>15</v>
      </c>
      <c r="F16" s="1">
        <v>20.3</v>
      </c>
      <c r="G16" s="4"/>
      <c r="H16" s="4"/>
      <c r="J16" s="1">
        <v>0</v>
      </c>
      <c r="L16" s="1">
        <v>3.2</v>
      </c>
      <c r="N16" s="1">
        <f t="shared" si="0"/>
        <v>-3.2</v>
      </c>
      <c r="O16" s="1">
        <v>0</v>
      </c>
      <c r="T16" s="1">
        <v>0</v>
      </c>
      <c r="V16" s="1">
        <v>1582.9</v>
      </c>
      <c r="X16" s="4"/>
      <c r="Y16" s="4"/>
    </row>
    <row r="17" spans="2:25" s="1" customFormat="1" x14ac:dyDescent="0.25">
      <c r="B17" s="2"/>
      <c r="C17" s="3">
        <v>41499</v>
      </c>
      <c r="D17" s="1">
        <v>15.6</v>
      </c>
      <c r="E17" s="1">
        <v>11.8</v>
      </c>
      <c r="F17" s="1">
        <v>19.7</v>
      </c>
      <c r="G17" s="4"/>
      <c r="H17" s="4"/>
      <c r="J17" s="1">
        <v>0</v>
      </c>
      <c r="L17" s="1">
        <v>3.1</v>
      </c>
      <c r="N17" s="1">
        <f t="shared" si="0"/>
        <v>-3.1</v>
      </c>
      <c r="O17" s="1">
        <v>0</v>
      </c>
      <c r="T17" s="1">
        <v>0</v>
      </c>
      <c r="V17" s="1">
        <v>1592.5</v>
      </c>
      <c r="X17" s="4"/>
      <c r="Y17" s="4"/>
    </row>
    <row r="18" spans="2:25" s="1" customFormat="1" x14ac:dyDescent="0.25">
      <c r="B18" s="2"/>
      <c r="C18" s="3">
        <v>41500</v>
      </c>
      <c r="D18" s="1">
        <v>17.100000000000001</v>
      </c>
      <c r="E18" s="1">
        <v>12.8</v>
      </c>
      <c r="F18" s="1">
        <v>21.9</v>
      </c>
      <c r="G18" s="4"/>
      <c r="H18" s="4"/>
      <c r="J18" s="1">
        <v>0</v>
      </c>
      <c r="L18" s="1">
        <v>3.7</v>
      </c>
      <c r="N18" s="1">
        <f t="shared" si="0"/>
        <v>-3.7</v>
      </c>
      <c r="O18" s="1">
        <v>0</v>
      </c>
      <c r="T18" s="1">
        <v>0</v>
      </c>
      <c r="V18" s="1">
        <v>1977.6</v>
      </c>
      <c r="X18" s="4"/>
      <c r="Y18" s="4"/>
    </row>
    <row r="19" spans="2:25" s="1" customFormat="1" x14ac:dyDescent="0.25">
      <c r="B19" s="2"/>
      <c r="C19" s="3">
        <v>41501</v>
      </c>
      <c r="D19" s="1">
        <v>18.7</v>
      </c>
      <c r="E19" s="1">
        <v>11.7</v>
      </c>
      <c r="F19" s="1">
        <v>24.7</v>
      </c>
      <c r="G19" s="4"/>
      <c r="H19" s="4"/>
      <c r="J19" s="1">
        <v>0</v>
      </c>
      <c r="L19" s="1">
        <v>3</v>
      </c>
      <c r="N19" s="1">
        <f t="shared" si="0"/>
        <v>-3</v>
      </c>
      <c r="O19" s="1">
        <v>0</v>
      </c>
      <c r="T19" s="1">
        <v>0</v>
      </c>
      <c r="V19" s="1">
        <v>1436</v>
      </c>
      <c r="X19" s="4"/>
      <c r="Y19" s="4"/>
    </row>
    <row r="20" spans="2:25" s="1" customFormat="1" x14ac:dyDescent="0.25">
      <c r="B20" s="2"/>
      <c r="C20" s="3">
        <v>41502</v>
      </c>
      <c r="D20" s="1">
        <v>19.5</v>
      </c>
      <c r="E20" s="1">
        <v>13.4</v>
      </c>
      <c r="F20" s="1">
        <v>27.5</v>
      </c>
      <c r="G20" s="4"/>
      <c r="H20" s="4"/>
      <c r="J20" s="1">
        <v>0.2</v>
      </c>
      <c r="L20" s="1">
        <v>3.4</v>
      </c>
      <c r="N20" s="1">
        <f t="shared" si="0"/>
        <v>-3.1999999999999997</v>
      </c>
      <c r="O20" s="1">
        <v>0</v>
      </c>
      <c r="T20" s="1">
        <v>0</v>
      </c>
      <c r="V20" s="1">
        <v>1164.3</v>
      </c>
      <c r="X20" s="4"/>
      <c r="Y20" s="4"/>
    </row>
    <row r="21" spans="2:25" s="1" customFormat="1" x14ac:dyDescent="0.25">
      <c r="B21" s="2"/>
      <c r="C21" s="3">
        <v>41503</v>
      </c>
      <c r="D21" s="1">
        <v>20.3</v>
      </c>
      <c r="E21" s="1">
        <v>16.2</v>
      </c>
      <c r="F21" s="1">
        <v>23.9</v>
      </c>
      <c r="G21" s="4"/>
      <c r="H21" s="4"/>
      <c r="J21" s="1">
        <v>1.7</v>
      </c>
      <c r="L21" s="1">
        <v>3.2</v>
      </c>
      <c r="N21" s="1">
        <f t="shared" si="0"/>
        <v>-1.5000000000000002</v>
      </c>
      <c r="O21" s="1">
        <v>0</v>
      </c>
      <c r="T21" s="1">
        <v>0</v>
      </c>
      <c r="V21" s="1">
        <v>1260.4000000000001</v>
      </c>
      <c r="X21" s="4"/>
      <c r="Y21" s="4"/>
    </row>
    <row r="22" spans="2:25" s="1" customFormat="1" x14ac:dyDescent="0.25">
      <c r="B22" s="2"/>
      <c r="C22" s="3">
        <v>41504</v>
      </c>
      <c r="D22" s="1">
        <v>18.899999999999999</v>
      </c>
      <c r="E22" s="1">
        <v>18</v>
      </c>
      <c r="F22" s="1">
        <v>20.3</v>
      </c>
      <c r="G22" s="4"/>
      <c r="H22" s="4"/>
      <c r="J22" s="1">
        <v>9.1999999999999993</v>
      </c>
      <c r="L22" s="1">
        <v>1.7</v>
      </c>
      <c r="N22" s="1">
        <f t="shared" si="0"/>
        <v>7.4999999999999991</v>
      </c>
      <c r="O22" s="1">
        <f t="shared" ref="O22:O36" si="2">O21+N22</f>
        <v>7.4999999999999991</v>
      </c>
      <c r="T22" s="1">
        <v>7.5</v>
      </c>
      <c r="V22" s="1">
        <v>607.1</v>
      </c>
      <c r="X22" s="4"/>
      <c r="Y22" s="4"/>
    </row>
    <row r="23" spans="2:25" s="1" customFormat="1" x14ac:dyDescent="0.25">
      <c r="B23" s="2"/>
      <c r="C23" s="3">
        <v>41505</v>
      </c>
      <c r="D23" s="1">
        <v>16.8</v>
      </c>
      <c r="E23" s="1">
        <v>15.1</v>
      </c>
      <c r="F23" s="1">
        <v>20.6</v>
      </c>
      <c r="G23" s="4"/>
      <c r="H23" s="4"/>
      <c r="J23" s="1">
        <v>0.1</v>
      </c>
      <c r="L23" s="1">
        <v>3.7</v>
      </c>
      <c r="N23" s="1">
        <f t="shared" si="0"/>
        <v>-3.6</v>
      </c>
      <c r="O23" s="1">
        <f t="shared" si="2"/>
        <v>3.899999999999999</v>
      </c>
      <c r="T23" s="1">
        <v>3.9</v>
      </c>
      <c r="V23" s="1">
        <v>1603.3</v>
      </c>
      <c r="X23" s="4"/>
      <c r="Y23" s="4"/>
    </row>
    <row r="24" spans="2:25" s="1" customFormat="1" x14ac:dyDescent="0.25">
      <c r="B24" s="2"/>
      <c r="C24" s="3">
        <v>41506</v>
      </c>
      <c r="D24" s="1">
        <v>16.100000000000001</v>
      </c>
      <c r="E24" s="1">
        <v>10</v>
      </c>
      <c r="F24" s="1">
        <v>21.9</v>
      </c>
      <c r="G24" s="4"/>
      <c r="H24" s="4"/>
      <c r="J24" s="1">
        <v>0</v>
      </c>
      <c r="L24" s="1">
        <v>3.5</v>
      </c>
      <c r="N24" s="1">
        <f t="shared" si="0"/>
        <v>-3.5</v>
      </c>
      <c r="O24" s="1">
        <f t="shared" si="2"/>
        <v>0.39999999999999902</v>
      </c>
      <c r="T24" s="1">
        <v>0.4</v>
      </c>
      <c r="V24" s="1">
        <v>1899.2</v>
      </c>
      <c r="X24" s="4"/>
      <c r="Y24" s="4"/>
    </row>
    <row r="25" spans="2:25" s="1" customFormat="1" x14ac:dyDescent="0.25">
      <c r="B25" s="2"/>
      <c r="C25" s="3">
        <v>41507</v>
      </c>
      <c r="D25" s="1">
        <v>17.8</v>
      </c>
      <c r="E25" s="1">
        <v>11.2</v>
      </c>
      <c r="F25" s="1">
        <v>23.9</v>
      </c>
      <c r="G25" s="4"/>
      <c r="H25" s="4"/>
      <c r="J25" s="1">
        <v>0</v>
      </c>
      <c r="L25" s="1">
        <v>4.3</v>
      </c>
      <c r="N25" s="1">
        <f t="shared" si="0"/>
        <v>-4.3</v>
      </c>
      <c r="O25" s="1">
        <v>0</v>
      </c>
      <c r="T25" s="1">
        <v>0</v>
      </c>
      <c r="V25" s="1">
        <v>2177.3000000000002</v>
      </c>
      <c r="X25" s="4"/>
      <c r="Y25" s="4"/>
    </row>
    <row r="26" spans="2:25" s="1" customFormat="1" x14ac:dyDescent="0.25">
      <c r="B26" s="2"/>
      <c r="C26" s="3">
        <v>41508</v>
      </c>
      <c r="D26" s="1">
        <v>19.100000000000001</v>
      </c>
      <c r="E26" s="1">
        <v>13.2</v>
      </c>
      <c r="F26" s="1">
        <v>24</v>
      </c>
      <c r="G26" s="4"/>
      <c r="H26" s="4"/>
      <c r="J26" s="1">
        <v>0</v>
      </c>
      <c r="L26" s="1">
        <v>3</v>
      </c>
      <c r="N26" s="1">
        <f t="shared" si="0"/>
        <v>-3</v>
      </c>
      <c r="O26" s="1">
        <v>0</v>
      </c>
      <c r="T26" s="1">
        <v>0</v>
      </c>
      <c r="V26" s="1">
        <v>1359.4</v>
      </c>
      <c r="X26" s="4"/>
      <c r="Y26" s="4"/>
    </row>
    <row r="27" spans="2:25" s="1" customFormat="1" x14ac:dyDescent="0.25">
      <c r="B27" s="2"/>
      <c r="C27" s="3">
        <v>41509</v>
      </c>
      <c r="D27" s="1">
        <v>21.2</v>
      </c>
      <c r="E27" s="1">
        <v>15.3</v>
      </c>
      <c r="F27" s="1">
        <v>27.7</v>
      </c>
      <c r="G27" s="4"/>
      <c r="H27" s="4"/>
      <c r="J27" s="1">
        <v>2.1</v>
      </c>
      <c r="L27" s="1">
        <v>4.0999999999999996</v>
      </c>
      <c r="N27" s="1">
        <f t="shared" si="0"/>
        <v>-1.9999999999999996</v>
      </c>
      <c r="O27" s="1">
        <v>0</v>
      </c>
      <c r="T27" s="1">
        <v>0</v>
      </c>
      <c r="V27" s="1">
        <v>1711.8</v>
      </c>
      <c r="X27" s="4"/>
      <c r="Y27" s="4"/>
    </row>
    <row r="28" spans="2:25" s="1" customFormat="1" x14ac:dyDescent="0.25">
      <c r="B28" s="2"/>
      <c r="C28" s="3">
        <v>41510</v>
      </c>
      <c r="D28" s="1">
        <v>16.600000000000001</v>
      </c>
      <c r="E28" s="1">
        <v>16</v>
      </c>
      <c r="F28" s="1">
        <v>17.2</v>
      </c>
      <c r="G28" s="4"/>
      <c r="H28" s="4"/>
      <c r="J28" s="1">
        <v>20.2</v>
      </c>
      <c r="L28" s="1">
        <v>1.1000000000000001</v>
      </c>
      <c r="N28" s="1">
        <f t="shared" si="0"/>
        <v>19.099999999999998</v>
      </c>
      <c r="O28" s="1">
        <f t="shared" si="2"/>
        <v>19.099999999999998</v>
      </c>
      <c r="T28" s="1">
        <v>19.100000000000001</v>
      </c>
      <c r="V28" s="1">
        <v>403</v>
      </c>
      <c r="X28" s="4"/>
      <c r="Y28" s="4"/>
    </row>
    <row r="29" spans="2:25" s="1" customFormat="1" x14ac:dyDescent="0.25">
      <c r="B29" s="2"/>
      <c r="C29" s="3">
        <v>41511</v>
      </c>
      <c r="D29" s="1">
        <v>14.2</v>
      </c>
      <c r="E29" s="1">
        <v>14.1</v>
      </c>
      <c r="F29" s="1">
        <v>15.1</v>
      </c>
      <c r="G29" s="4"/>
      <c r="H29" s="4"/>
      <c r="J29" s="1">
        <v>2.5</v>
      </c>
      <c r="L29" s="1">
        <v>1</v>
      </c>
      <c r="N29" s="1">
        <f t="shared" si="0"/>
        <v>1.5</v>
      </c>
      <c r="O29" s="1">
        <f t="shared" si="2"/>
        <v>20.599999999999998</v>
      </c>
      <c r="T29" s="1">
        <v>20.6</v>
      </c>
      <c r="V29" s="1">
        <v>470.4</v>
      </c>
      <c r="X29" s="4"/>
      <c r="Y29" s="4"/>
    </row>
    <row r="30" spans="2:25" s="1" customFormat="1" x14ac:dyDescent="0.25">
      <c r="B30" s="2"/>
      <c r="C30" s="3">
        <v>41512</v>
      </c>
      <c r="D30" s="1">
        <v>17.2</v>
      </c>
      <c r="E30" s="1">
        <v>12.3</v>
      </c>
      <c r="F30" s="1">
        <v>22.7</v>
      </c>
      <c r="G30" s="4"/>
      <c r="H30" s="4"/>
      <c r="J30" s="1">
        <v>0</v>
      </c>
      <c r="L30" s="1">
        <v>3.4</v>
      </c>
      <c r="N30" s="1">
        <f t="shared" si="0"/>
        <v>-3.4</v>
      </c>
      <c r="O30" s="1">
        <f t="shared" si="2"/>
        <v>17.2</v>
      </c>
      <c r="T30" s="1">
        <v>17.2</v>
      </c>
      <c r="V30" s="1">
        <v>1707.5</v>
      </c>
      <c r="X30" s="4"/>
      <c r="Y30" s="4"/>
    </row>
    <row r="31" spans="2:25" s="1" customFormat="1" x14ac:dyDescent="0.25">
      <c r="B31" s="2"/>
      <c r="C31" s="3">
        <v>41513</v>
      </c>
      <c r="D31" s="1">
        <v>18</v>
      </c>
      <c r="E31" s="1">
        <v>15.3</v>
      </c>
      <c r="F31" s="1">
        <v>21.6</v>
      </c>
      <c r="G31" s="4"/>
      <c r="H31" s="4"/>
      <c r="J31" s="1">
        <v>0</v>
      </c>
      <c r="L31" s="1">
        <v>2.8</v>
      </c>
      <c r="N31" s="1">
        <f t="shared" si="0"/>
        <v>-2.8</v>
      </c>
      <c r="O31" s="1">
        <f t="shared" si="2"/>
        <v>14.399999999999999</v>
      </c>
      <c r="T31" s="1">
        <v>14.4</v>
      </c>
      <c r="V31" s="1">
        <v>1276.5999999999999</v>
      </c>
      <c r="X31" s="4"/>
      <c r="Y31" s="4"/>
    </row>
    <row r="32" spans="2:25" s="1" customFormat="1" x14ac:dyDescent="0.25">
      <c r="B32" s="2"/>
      <c r="C32" s="3">
        <v>41514</v>
      </c>
      <c r="D32" s="1">
        <v>17.100000000000001</v>
      </c>
      <c r="E32" s="1">
        <v>13.1</v>
      </c>
      <c r="F32" s="1">
        <v>22.6</v>
      </c>
      <c r="G32" s="4"/>
      <c r="H32" s="4"/>
      <c r="J32" s="1">
        <v>0.2</v>
      </c>
      <c r="L32" s="1">
        <v>3.5</v>
      </c>
      <c r="N32" s="1">
        <f t="shared" si="0"/>
        <v>-3.3</v>
      </c>
      <c r="O32" s="1">
        <f t="shared" si="2"/>
        <v>11.099999999999998</v>
      </c>
      <c r="T32" s="1">
        <v>11.1</v>
      </c>
      <c r="V32" s="1">
        <v>1566</v>
      </c>
      <c r="X32" s="4"/>
      <c r="Y32" s="4"/>
    </row>
    <row r="33" spans="1:27" s="1" customFormat="1" x14ac:dyDescent="0.25">
      <c r="B33" s="2"/>
      <c r="C33" s="3">
        <v>41515</v>
      </c>
      <c r="D33" s="1">
        <v>16.399999999999999</v>
      </c>
      <c r="E33" s="1">
        <v>12.5</v>
      </c>
      <c r="F33" s="1">
        <v>21.8</v>
      </c>
      <c r="G33" s="4"/>
      <c r="H33" s="4"/>
      <c r="J33" s="1">
        <v>0</v>
      </c>
      <c r="L33" s="1">
        <v>3.4</v>
      </c>
      <c r="N33" s="1">
        <f t="shared" si="0"/>
        <v>-3.4</v>
      </c>
      <c r="O33" s="1">
        <f t="shared" si="2"/>
        <v>7.6999999999999975</v>
      </c>
      <c r="T33" s="1">
        <v>7.7</v>
      </c>
      <c r="V33" s="1">
        <v>1767.9</v>
      </c>
      <c r="X33" s="4"/>
      <c r="Y33" s="4"/>
    </row>
    <row r="34" spans="1:27" s="1" customFormat="1" x14ac:dyDescent="0.25">
      <c r="B34" s="2"/>
      <c r="C34" s="3">
        <v>41516</v>
      </c>
      <c r="D34" s="1">
        <v>16.399999999999999</v>
      </c>
      <c r="E34" s="1">
        <v>10.7</v>
      </c>
      <c r="F34" s="1">
        <v>21.5</v>
      </c>
      <c r="G34" s="4"/>
      <c r="H34" s="4"/>
      <c r="J34" s="1">
        <v>0</v>
      </c>
      <c r="L34" s="1">
        <v>2.6</v>
      </c>
      <c r="N34" s="1">
        <f t="shared" si="0"/>
        <v>-2.6</v>
      </c>
      <c r="O34" s="1">
        <f t="shared" si="2"/>
        <v>5.0999999999999979</v>
      </c>
      <c r="T34" s="1">
        <v>5.0999999999999996</v>
      </c>
      <c r="V34" s="1">
        <v>1394</v>
      </c>
      <c r="X34" s="4"/>
      <c r="Y34" s="4"/>
    </row>
    <row r="35" spans="1:27" s="1" customFormat="1" x14ac:dyDescent="0.25">
      <c r="B35" s="2"/>
      <c r="C35" s="3">
        <v>41517</v>
      </c>
      <c r="D35" s="1">
        <v>16.8</v>
      </c>
      <c r="E35" s="1">
        <v>15.5</v>
      </c>
      <c r="F35" s="1">
        <v>20.399999999999999</v>
      </c>
      <c r="G35" s="4"/>
      <c r="H35" s="4"/>
      <c r="J35" s="1">
        <v>0</v>
      </c>
      <c r="L35" s="1">
        <v>1.9</v>
      </c>
      <c r="N35" s="1">
        <f t="shared" si="0"/>
        <v>-1.9</v>
      </c>
      <c r="O35" s="1">
        <f t="shared" si="2"/>
        <v>3.199999999999998</v>
      </c>
      <c r="T35" s="1">
        <v>3.2</v>
      </c>
      <c r="V35" s="1">
        <v>954.9</v>
      </c>
      <c r="X35" s="4"/>
      <c r="Y35" s="4"/>
    </row>
    <row r="36" spans="1:27" s="1" customFormat="1" x14ac:dyDescent="0.25">
      <c r="B36" s="2"/>
      <c r="C36" s="3">
        <v>41518</v>
      </c>
      <c r="D36" s="1">
        <v>13.1</v>
      </c>
      <c r="E36" s="1">
        <v>8</v>
      </c>
      <c r="F36" s="1">
        <v>18.5</v>
      </c>
      <c r="G36" s="4"/>
      <c r="H36" s="4"/>
      <c r="J36" s="1">
        <v>0</v>
      </c>
      <c r="L36" s="1">
        <v>2.7</v>
      </c>
      <c r="N36" s="1">
        <f t="shared" si="0"/>
        <v>-2.7</v>
      </c>
      <c r="O36" s="1">
        <f t="shared" si="2"/>
        <v>0.49999999999999778</v>
      </c>
      <c r="T36" s="1">
        <v>0.5</v>
      </c>
      <c r="V36" s="1">
        <v>1477.2</v>
      </c>
      <c r="X36" s="4"/>
      <c r="Y36" s="4"/>
    </row>
    <row r="37" spans="1:27" s="1" customFormat="1" x14ac:dyDescent="0.25">
      <c r="B37" s="2"/>
      <c r="C37" s="3">
        <v>41519</v>
      </c>
      <c r="D37" s="1">
        <v>15.1</v>
      </c>
      <c r="E37" s="1">
        <v>10.6</v>
      </c>
      <c r="F37" s="1">
        <v>20.8</v>
      </c>
      <c r="G37" s="4"/>
      <c r="H37" s="4"/>
      <c r="J37" s="1">
        <v>0</v>
      </c>
      <c r="L37" s="1">
        <v>3.5</v>
      </c>
      <c r="N37" s="1">
        <f t="shared" si="0"/>
        <v>-3.5</v>
      </c>
      <c r="O37" s="1">
        <v>0</v>
      </c>
      <c r="T37" s="1">
        <v>0</v>
      </c>
      <c r="V37" s="1">
        <v>1767</v>
      </c>
      <c r="X37" s="4"/>
      <c r="Y37" s="4"/>
    </row>
    <row r="38" spans="1:27" s="1" customFormat="1" x14ac:dyDescent="0.25">
      <c r="B38" s="2"/>
      <c r="C38" s="3">
        <v>41520</v>
      </c>
      <c r="D38" s="1">
        <v>17.600000000000001</v>
      </c>
      <c r="E38" s="1">
        <v>10.9</v>
      </c>
      <c r="F38" s="1">
        <v>23.4</v>
      </c>
      <c r="G38" s="4"/>
      <c r="H38" s="4"/>
      <c r="J38" s="1">
        <v>0.2</v>
      </c>
      <c r="L38" s="1">
        <v>3.6</v>
      </c>
      <c r="N38" s="1">
        <f t="shared" si="0"/>
        <v>-3.4</v>
      </c>
      <c r="O38" s="1">
        <v>0</v>
      </c>
      <c r="T38" s="1">
        <v>0</v>
      </c>
      <c r="V38" s="1">
        <v>1795.1</v>
      </c>
      <c r="X38" s="4"/>
      <c r="Y38" s="4"/>
    </row>
    <row r="39" spans="1:27" s="1" customFormat="1" x14ac:dyDescent="0.25">
      <c r="A39" s="79" t="s">
        <v>0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spans="1:27" s="1" customFormat="1" x14ac:dyDescent="0.25">
      <c r="A40" s="80" t="s">
        <v>1</v>
      </c>
      <c r="B40" s="5"/>
      <c r="C40" s="3">
        <v>41521</v>
      </c>
      <c r="D40" s="1">
        <v>20.2</v>
      </c>
      <c r="E40" s="1">
        <v>11.9</v>
      </c>
      <c r="F40" s="6">
        <v>27.3</v>
      </c>
      <c r="G40" s="1">
        <f>D40</f>
        <v>20.2</v>
      </c>
      <c r="I40" s="7" t="s">
        <v>2</v>
      </c>
      <c r="J40" s="1">
        <v>0</v>
      </c>
      <c r="K40" s="1">
        <f>J40</f>
        <v>0</v>
      </c>
      <c r="L40" s="1">
        <v>4.3</v>
      </c>
      <c r="M40" s="1">
        <f>L40</f>
        <v>4.3</v>
      </c>
      <c r="N40" s="8">
        <f>J40-L40</f>
        <v>-4.3</v>
      </c>
      <c r="O40" s="1">
        <f>O38+N40</f>
        <v>-4.3</v>
      </c>
      <c r="P40" s="1">
        <v>1</v>
      </c>
      <c r="Q40" s="1">
        <v>0.35</v>
      </c>
      <c r="R40" s="9">
        <f>Q40*L40</f>
        <v>1.5049999999999999</v>
      </c>
      <c r="S40" s="9">
        <f t="shared" ref="S40:S103" si="3">J40-R40</f>
        <v>-1.5049999999999999</v>
      </c>
      <c r="T40" s="9">
        <v>0</v>
      </c>
      <c r="U40" s="7" t="s">
        <v>3</v>
      </c>
      <c r="V40" s="1">
        <v>2061.8000000000002</v>
      </c>
      <c r="W40" s="1">
        <f t="shared" ref="W40:W103" si="4">V40/D40</f>
        <v>102.06930693069309</v>
      </c>
      <c r="X40" s="1">
        <f>V40</f>
        <v>2061.8000000000002</v>
      </c>
      <c r="Z40" s="7" t="s">
        <v>4</v>
      </c>
      <c r="AA40" s="1">
        <v>13.3043407395317</v>
      </c>
    </row>
    <row r="41" spans="1:27" s="1" customFormat="1" x14ac:dyDescent="0.25">
      <c r="A41" s="80"/>
      <c r="B41" s="5"/>
      <c r="C41" s="3">
        <v>41522</v>
      </c>
      <c r="D41" s="1">
        <v>22</v>
      </c>
      <c r="E41" s="1">
        <v>14.5</v>
      </c>
      <c r="F41" s="6">
        <v>30.7</v>
      </c>
      <c r="G41" s="1">
        <f>G40+D41</f>
        <v>42.2</v>
      </c>
      <c r="I41" s="1">
        <v>-0.1</v>
      </c>
      <c r="J41" s="1">
        <v>0</v>
      </c>
      <c r="K41" s="1">
        <f>K40+J41</f>
        <v>0</v>
      </c>
      <c r="L41" s="1">
        <v>4.9000000000000004</v>
      </c>
      <c r="M41" s="1">
        <f>M40+L41</f>
        <v>9.1999999999999993</v>
      </c>
      <c r="N41" s="8">
        <f t="shared" ref="N41:N104" si="5">J41-L41</f>
        <v>-4.9000000000000004</v>
      </c>
      <c r="O41" s="1">
        <f t="shared" ref="O41:O104" si="6">O40+N41</f>
        <v>-9.1999999999999993</v>
      </c>
      <c r="P41" s="1">
        <v>2</v>
      </c>
      <c r="Q41" s="1">
        <v>0.35</v>
      </c>
      <c r="R41" s="9">
        <f t="shared" ref="R41:R104" si="7">Q41*L41</f>
        <v>1.7150000000000001</v>
      </c>
      <c r="S41" s="9">
        <f t="shared" si="3"/>
        <v>-1.7150000000000001</v>
      </c>
      <c r="T41" s="9">
        <v>0</v>
      </c>
      <c r="V41" s="1">
        <v>1907.6</v>
      </c>
      <c r="W41" s="1">
        <f t="shared" si="4"/>
        <v>86.709090909090904</v>
      </c>
      <c r="X41" s="1">
        <f>X40+V41</f>
        <v>3969.4</v>
      </c>
      <c r="Z41" s="1">
        <v>46235.9</v>
      </c>
      <c r="AA41" s="1">
        <v>13.2443644788464</v>
      </c>
    </row>
    <row r="42" spans="1:27" s="1" customFormat="1" x14ac:dyDescent="0.25">
      <c r="A42" s="80"/>
      <c r="B42" s="5"/>
      <c r="C42" s="3">
        <v>41523</v>
      </c>
      <c r="D42" s="1">
        <v>15.4</v>
      </c>
      <c r="E42" s="1">
        <v>12.7</v>
      </c>
      <c r="F42" s="1">
        <v>16.8</v>
      </c>
      <c r="G42" s="1">
        <f t="shared" ref="G42:G105" si="8">G41+D42</f>
        <v>57.6</v>
      </c>
      <c r="I42" s="7" t="s">
        <v>5</v>
      </c>
      <c r="J42" s="1">
        <v>5.9</v>
      </c>
      <c r="K42" s="1">
        <f t="shared" ref="K42:K105" si="9">K41+J42</f>
        <v>5.9</v>
      </c>
      <c r="L42" s="1">
        <v>1.3</v>
      </c>
      <c r="M42" s="1">
        <f t="shared" ref="M42:M105" si="10">M41+L42</f>
        <v>10.5</v>
      </c>
      <c r="N42" s="1">
        <f t="shared" si="5"/>
        <v>4.6000000000000005</v>
      </c>
      <c r="O42" s="1">
        <f t="shared" si="6"/>
        <v>-4.5999999999999988</v>
      </c>
      <c r="P42" s="1">
        <v>3</v>
      </c>
      <c r="Q42" s="1">
        <v>0.35</v>
      </c>
      <c r="R42" s="9">
        <f t="shared" si="7"/>
        <v>0.45499999999999996</v>
      </c>
      <c r="S42" s="9">
        <f t="shared" si="3"/>
        <v>5.4450000000000003</v>
      </c>
      <c r="T42" s="9">
        <f>MIN(189.6,(T41+S42))</f>
        <v>5.4450000000000003</v>
      </c>
      <c r="U42" s="7" t="s">
        <v>6</v>
      </c>
      <c r="V42" s="10">
        <v>709.9</v>
      </c>
      <c r="W42" s="1">
        <f t="shared" si="4"/>
        <v>46.097402597402592</v>
      </c>
      <c r="X42" s="1">
        <f t="shared" ref="X42:X105" si="11">X41+V42</f>
        <v>4679.3</v>
      </c>
      <c r="Z42" s="7" t="s">
        <v>7</v>
      </c>
      <c r="AA42" s="1">
        <v>13.1842668281984</v>
      </c>
    </row>
    <row r="43" spans="1:27" s="1" customFormat="1" x14ac:dyDescent="0.25">
      <c r="A43" s="80"/>
      <c r="B43" s="5"/>
      <c r="C43" s="3">
        <v>41524</v>
      </c>
      <c r="D43" s="1">
        <v>15.2</v>
      </c>
      <c r="E43" s="1">
        <v>11.7</v>
      </c>
      <c r="F43" s="1">
        <v>18.8</v>
      </c>
      <c r="G43" s="1">
        <f t="shared" si="8"/>
        <v>72.8</v>
      </c>
      <c r="I43" s="1">
        <v>30.7</v>
      </c>
      <c r="J43" s="1">
        <v>0</v>
      </c>
      <c r="K43" s="1">
        <f t="shared" si="9"/>
        <v>5.9</v>
      </c>
      <c r="L43" s="1">
        <v>3</v>
      </c>
      <c r="M43" s="1">
        <f t="shared" si="10"/>
        <v>13.5</v>
      </c>
      <c r="N43" s="8">
        <f t="shared" si="5"/>
        <v>-3</v>
      </c>
      <c r="O43" s="1">
        <f t="shared" si="6"/>
        <v>-7.5999999999999988</v>
      </c>
      <c r="P43" s="1">
        <v>4</v>
      </c>
      <c r="Q43" s="1">
        <v>0.35</v>
      </c>
      <c r="R43" s="9">
        <f t="shared" si="7"/>
        <v>1.0499999999999998</v>
      </c>
      <c r="S43" s="9">
        <f t="shared" si="3"/>
        <v>-1.0499999999999998</v>
      </c>
      <c r="T43" s="9">
        <f t="shared" ref="T43:T106" si="12">MIN(189.6,(T42+S43))</f>
        <v>4.3950000000000005</v>
      </c>
      <c r="V43" s="1">
        <v>1707</v>
      </c>
      <c r="W43" s="1">
        <f t="shared" si="4"/>
        <v>112.30263157894737</v>
      </c>
      <c r="X43" s="1">
        <f t="shared" si="11"/>
        <v>6386.3</v>
      </c>
      <c r="Z43" s="11"/>
      <c r="AA43" s="1">
        <v>13.124055221142701</v>
      </c>
    </row>
    <row r="44" spans="1:27" s="1" customFormat="1" x14ac:dyDescent="0.25">
      <c r="A44" s="80"/>
      <c r="B44" s="5"/>
      <c r="C44" s="3">
        <v>41525</v>
      </c>
      <c r="D44" s="1">
        <v>14.2</v>
      </c>
      <c r="E44" s="1">
        <v>10.8</v>
      </c>
      <c r="F44" s="1">
        <v>19.899999999999999</v>
      </c>
      <c r="G44" s="1">
        <f t="shared" si="8"/>
        <v>87</v>
      </c>
      <c r="I44" s="7" t="s">
        <v>8</v>
      </c>
      <c r="J44" s="1">
        <v>2.9</v>
      </c>
      <c r="K44" s="1">
        <f t="shared" si="9"/>
        <v>8.8000000000000007</v>
      </c>
      <c r="L44" s="1">
        <v>2.4</v>
      </c>
      <c r="M44" s="1">
        <f t="shared" si="10"/>
        <v>15.9</v>
      </c>
      <c r="N44" s="1">
        <f t="shared" si="5"/>
        <v>0.5</v>
      </c>
      <c r="O44" s="1">
        <f t="shared" si="6"/>
        <v>-7.0999999999999988</v>
      </c>
      <c r="P44" s="1">
        <v>5</v>
      </c>
      <c r="Q44" s="1">
        <v>0.35</v>
      </c>
      <c r="R44" s="9">
        <f t="shared" si="7"/>
        <v>0.84</v>
      </c>
      <c r="S44" s="9">
        <f t="shared" si="3"/>
        <v>2.06</v>
      </c>
      <c r="T44" s="9">
        <f t="shared" si="12"/>
        <v>6.4550000000000001</v>
      </c>
      <c r="U44" s="7" t="s">
        <v>9</v>
      </c>
      <c r="V44" s="1">
        <v>1086.0999999999999</v>
      </c>
      <c r="W44" s="1">
        <f t="shared" si="4"/>
        <v>76.485915492957744</v>
      </c>
      <c r="X44" s="1">
        <f t="shared" si="11"/>
        <v>7472.4</v>
      </c>
      <c r="Z44" s="7" t="s">
        <v>10</v>
      </c>
      <c r="AA44" s="1">
        <v>13.063736831279501</v>
      </c>
    </row>
    <row r="45" spans="1:27" s="1" customFormat="1" x14ac:dyDescent="0.25">
      <c r="A45" s="80"/>
      <c r="B45" s="5"/>
      <c r="C45" s="3">
        <v>41526</v>
      </c>
      <c r="D45" s="1">
        <v>11.8</v>
      </c>
      <c r="E45" s="1">
        <v>8.8000000000000007</v>
      </c>
      <c r="F45" s="1">
        <v>15.3</v>
      </c>
      <c r="G45" s="1">
        <f t="shared" si="8"/>
        <v>98.8</v>
      </c>
      <c r="I45" s="9">
        <f>AVERAGE(D40:D112)</f>
        <v>12.420547945205486</v>
      </c>
      <c r="J45" s="1">
        <v>17.899999999999999</v>
      </c>
      <c r="K45" s="1">
        <f t="shared" si="9"/>
        <v>26.7</v>
      </c>
      <c r="L45" s="1">
        <v>1.1000000000000001</v>
      </c>
      <c r="M45" s="1">
        <f t="shared" si="10"/>
        <v>17</v>
      </c>
      <c r="N45" s="1">
        <f t="shared" si="5"/>
        <v>16.799999999999997</v>
      </c>
      <c r="O45" s="1">
        <f t="shared" si="6"/>
        <v>9.6999999999999993</v>
      </c>
      <c r="P45" s="1">
        <v>6</v>
      </c>
      <c r="Q45" s="1">
        <v>0.35</v>
      </c>
      <c r="R45" s="9">
        <f t="shared" si="7"/>
        <v>0.38500000000000001</v>
      </c>
      <c r="S45" s="9">
        <f t="shared" si="3"/>
        <v>17.514999999999997</v>
      </c>
      <c r="T45" s="9">
        <f t="shared" si="12"/>
        <v>23.97</v>
      </c>
      <c r="U45" s="1">
        <v>2</v>
      </c>
      <c r="V45" s="10">
        <v>509</v>
      </c>
      <c r="W45" s="1">
        <f t="shared" si="4"/>
        <v>43.135593220338983</v>
      </c>
      <c r="X45" s="1">
        <f t="shared" si="11"/>
        <v>7981.4</v>
      </c>
      <c r="Z45" s="1">
        <v>58</v>
      </c>
      <c r="AA45" s="1">
        <v>13.0033185890361</v>
      </c>
    </row>
    <row r="46" spans="1:27" s="1" customFormat="1" x14ac:dyDescent="0.25">
      <c r="A46" s="80"/>
      <c r="B46" s="5"/>
      <c r="C46" s="3">
        <v>41527</v>
      </c>
      <c r="D46" s="1">
        <v>11.9</v>
      </c>
      <c r="E46" s="1">
        <v>9.1</v>
      </c>
      <c r="F46" s="1">
        <v>15</v>
      </c>
      <c r="G46" s="1">
        <f t="shared" si="8"/>
        <v>110.7</v>
      </c>
      <c r="I46" s="7" t="s">
        <v>11</v>
      </c>
      <c r="J46" s="1">
        <v>2.2999999999999998</v>
      </c>
      <c r="K46" s="1">
        <f t="shared" si="9"/>
        <v>29</v>
      </c>
      <c r="L46" s="1">
        <v>1.4</v>
      </c>
      <c r="M46" s="1">
        <f t="shared" si="10"/>
        <v>18.399999999999999</v>
      </c>
      <c r="N46" s="1">
        <f t="shared" si="5"/>
        <v>0.89999999999999991</v>
      </c>
      <c r="O46" s="1">
        <f t="shared" si="6"/>
        <v>10.6</v>
      </c>
      <c r="P46" s="1">
        <v>7</v>
      </c>
      <c r="Q46" s="1">
        <v>0.35</v>
      </c>
      <c r="R46" s="9">
        <f t="shared" si="7"/>
        <v>0.48999999999999994</v>
      </c>
      <c r="S46" s="9">
        <f t="shared" si="3"/>
        <v>1.8099999999999998</v>
      </c>
      <c r="T46" s="9">
        <f t="shared" si="12"/>
        <v>25.779999999999998</v>
      </c>
      <c r="U46" s="7" t="s">
        <v>12</v>
      </c>
      <c r="V46" s="10">
        <v>717.1</v>
      </c>
      <c r="W46" s="1">
        <f t="shared" si="4"/>
        <v>60.260504201680675</v>
      </c>
      <c r="X46" s="1">
        <f t="shared" si="11"/>
        <v>8698.5</v>
      </c>
      <c r="AA46" s="1">
        <v>12.942807198494201</v>
      </c>
    </row>
    <row r="47" spans="1:27" s="1" customFormat="1" x14ac:dyDescent="0.25">
      <c r="A47" s="80"/>
      <c r="B47" s="5"/>
      <c r="C47" s="3">
        <v>41528</v>
      </c>
      <c r="D47" s="1">
        <v>12.7</v>
      </c>
      <c r="E47" s="1">
        <v>11.9</v>
      </c>
      <c r="F47" s="1">
        <v>14.1</v>
      </c>
      <c r="G47" s="1">
        <f t="shared" si="8"/>
        <v>123.4</v>
      </c>
      <c r="I47" s="1">
        <v>1</v>
      </c>
      <c r="J47" s="1">
        <v>0.4</v>
      </c>
      <c r="K47" s="1">
        <f t="shared" si="9"/>
        <v>29.4</v>
      </c>
      <c r="L47" s="1">
        <v>1.1000000000000001</v>
      </c>
      <c r="M47" s="1">
        <f t="shared" si="10"/>
        <v>19.5</v>
      </c>
      <c r="N47" s="8">
        <f t="shared" si="5"/>
        <v>-0.70000000000000007</v>
      </c>
      <c r="O47" s="1">
        <f t="shared" si="6"/>
        <v>9.9</v>
      </c>
      <c r="P47" s="1">
        <v>8</v>
      </c>
      <c r="Q47" s="1">
        <v>0.35</v>
      </c>
      <c r="R47" s="9">
        <f t="shared" si="7"/>
        <v>0.38500000000000001</v>
      </c>
      <c r="S47" s="9">
        <f t="shared" si="3"/>
        <v>1.5000000000000013E-2</v>
      </c>
      <c r="T47" s="9">
        <f t="shared" si="12"/>
        <v>25.794999999999998</v>
      </c>
      <c r="U47" s="1">
        <v>34</v>
      </c>
      <c r="V47" s="10">
        <v>470.8</v>
      </c>
      <c r="W47" s="1">
        <f t="shared" si="4"/>
        <v>37.070866141732289</v>
      </c>
      <c r="X47" s="1">
        <f t="shared" si="11"/>
        <v>9169.2999999999993</v>
      </c>
      <c r="AA47" s="1">
        <v>12.8822091542565</v>
      </c>
    </row>
    <row r="48" spans="1:27" s="1" customFormat="1" x14ac:dyDescent="0.25">
      <c r="A48" s="80"/>
      <c r="B48" s="5"/>
      <c r="C48" s="3">
        <v>41529</v>
      </c>
      <c r="D48" s="1">
        <v>13.8</v>
      </c>
      <c r="E48" s="1">
        <v>11.1</v>
      </c>
      <c r="F48" s="1">
        <v>16.8</v>
      </c>
      <c r="G48" s="1">
        <f t="shared" si="8"/>
        <v>137.20000000000002</v>
      </c>
      <c r="I48" s="7" t="s">
        <v>13</v>
      </c>
      <c r="J48" s="1">
        <v>0.1</v>
      </c>
      <c r="K48" s="1">
        <f t="shared" si="9"/>
        <v>29.5</v>
      </c>
      <c r="L48" s="1">
        <v>1.3</v>
      </c>
      <c r="M48" s="1">
        <f t="shared" si="10"/>
        <v>20.8</v>
      </c>
      <c r="N48" s="8">
        <f t="shared" si="5"/>
        <v>-1.2</v>
      </c>
      <c r="O48" s="1">
        <f t="shared" si="6"/>
        <v>8.7000000000000011</v>
      </c>
      <c r="P48" s="1">
        <v>9</v>
      </c>
      <c r="Q48" s="1">
        <v>0.35</v>
      </c>
      <c r="R48" s="9">
        <f t="shared" si="7"/>
        <v>0.45499999999999996</v>
      </c>
      <c r="S48" s="9">
        <f t="shared" si="3"/>
        <v>-0.35499999999999998</v>
      </c>
      <c r="T48" s="9">
        <f t="shared" si="12"/>
        <v>25.439999999999998</v>
      </c>
      <c r="U48" s="7" t="s">
        <v>14</v>
      </c>
      <c r="V48" s="10">
        <v>671</v>
      </c>
      <c r="W48" s="1">
        <f t="shared" si="4"/>
        <v>48.623188405797102</v>
      </c>
      <c r="X48" s="1">
        <f t="shared" si="11"/>
        <v>9840.2999999999993</v>
      </c>
      <c r="AA48" s="1">
        <v>12.8215307583491</v>
      </c>
    </row>
    <row r="49" spans="1:27" s="1" customFormat="1" x14ac:dyDescent="0.25">
      <c r="A49" s="80"/>
      <c r="B49" s="5"/>
      <c r="C49" s="3">
        <v>41530</v>
      </c>
      <c r="D49" s="1">
        <v>14.9</v>
      </c>
      <c r="E49" s="1">
        <v>11.4</v>
      </c>
      <c r="F49" s="1">
        <v>17.3</v>
      </c>
      <c r="G49" s="1">
        <f t="shared" si="8"/>
        <v>152.10000000000002</v>
      </c>
      <c r="I49" s="1">
        <v>2</v>
      </c>
      <c r="J49" s="1">
        <v>8.6999999999999993</v>
      </c>
      <c r="K49" s="1">
        <f t="shared" si="9"/>
        <v>38.200000000000003</v>
      </c>
      <c r="L49" s="1">
        <v>0.6</v>
      </c>
      <c r="M49" s="1">
        <f t="shared" si="10"/>
        <v>21.400000000000002</v>
      </c>
      <c r="N49" s="1">
        <f t="shared" si="5"/>
        <v>8.1</v>
      </c>
      <c r="O49" s="1">
        <f t="shared" si="6"/>
        <v>16.8</v>
      </c>
      <c r="P49" s="1">
        <v>10</v>
      </c>
      <c r="Q49" s="1">
        <f>0.35+((P49-9)/64)*(1-0.35)</f>
        <v>0.36015624999999996</v>
      </c>
      <c r="R49" s="9">
        <f t="shared" si="7"/>
        <v>0.21609374999999997</v>
      </c>
      <c r="S49" s="9">
        <f t="shared" si="3"/>
        <v>8.4839062499999986</v>
      </c>
      <c r="T49" s="9">
        <f t="shared" si="12"/>
        <v>33.923906249999995</v>
      </c>
      <c r="U49" s="9">
        <v>0</v>
      </c>
      <c r="V49" s="10">
        <v>384.5</v>
      </c>
      <c r="W49" s="1">
        <f t="shared" si="4"/>
        <v>25.805369127516776</v>
      </c>
      <c r="X49" s="1">
        <f t="shared" si="11"/>
        <v>10224.799999999999</v>
      </c>
      <c r="AA49" s="1">
        <v>12.760778137156301</v>
      </c>
    </row>
    <row r="50" spans="1:27" s="1" customFormat="1" x14ac:dyDescent="0.25">
      <c r="A50" s="80"/>
      <c r="B50" s="5"/>
      <c r="C50" s="3">
        <v>41531</v>
      </c>
      <c r="D50" s="1">
        <v>14.2</v>
      </c>
      <c r="E50" s="1">
        <v>13.3</v>
      </c>
      <c r="F50" s="1">
        <v>15</v>
      </c>
      <c r="G50" s="1">
        <f t="shared" si="8"/>
        <v>166.3</v>
      </c>
      <c r="I50" s="7" t="s">
        <v>15</v>
      </c>
      <c r="J50" s="1">
        <v>1.9</v>
      </c>
      <c r="K50" s="1">
        <f t="shared" si="9"/>
        <v>40.1</v>
      </c>
      <c r="L50" s="1">
        <v>0.8</v>
      </c>
      <c r="M50" s="1">
        <f t="shared" si="10"/>
        <v>22.200000000000003</v>
      </c>
      <c r="N50" s="1">
        <f t="shared" si="5"/>
        <v>1.0999999999999999</v>
      </c>
      <c r="O50" s="1">
        <f t="shared" si="6"/>
        <v>17.900000000000002</v>
      </c>
      <c r="P50" s="1">
        <v>11</v>
      </c>
      <c r="Q50" s="1">
        <f t="shared" ref="Q50:Q112" si="13">0.35+((P50-9)/64)*(1-0.35)</f>
        <v>0.37031249999999999</v>
      </c>
      <c r="R50" s="9">
        <f t="shared" si="7"/>
        <v>0.29625000000000001</v>
      </c>
      <c r="S50" s="9">
        <f t="shared" si="3"/>
        <v>1.6037499999999998</v>
      </c>
      <c r="T50" s="9">
        <f t="shared" si="12"/>
        <v>35.527656249999993</v>
      </c>
      <c r="U50" s="7" t="s">
        <v>16</v>
      </c>
      <c r="V50" s="10">
        <v>425.9</v>
      </c>
      <c r="W50" s="1">
        <f t="shared" si="4"/>
        <v>29.992957746478872</v>
      </c>
      <c r="X50" s="1">
        <f t="shared" si="11"/>
        <v>10650.699999999999</v>
      </c>
      <c r="AA50" s="1">
        <v>12.6999572583863</v>
      </c>
    </row>
    <row r="51" spans="1:27" s="1" customFormat="1" x14ac:dyDescent="0.25">
      <c r="A51" s="80"/>
      <c r="B51" s="5"/>
      <c r="C51" s="3">
        <v>41532</v>
      </c>
      <c r="D51" s="1">
        <v>13.1</v>
      </c>
      <c r="E51" s="1">
        <v>8.8000000000000007</v>
      </c>
      <c r="F51" s="1">
        <v>16</v>
      </c>
      <c r="G51" s="1">
        <f t="shared" si="8"/>
        <v>179.4</v>
      </c>
      <c r="I51" s="1">
        <v>7</v>
      </c>
      <c r="J51" s="1">
        <v>2.5</v>
      </c>
      <c r="K51" s="1">
        <f t="shared" si="9"/>
        <v>42.6</v>
      </c>
      <c r="L51" s="1">
        <v>1.6</v>
      </c>
      <c r="M51" s="1">
        <f t="shared" si="10"/>
        <v>23.800000000000004</v>
      </c>
      <c r="N51" s="1">
        <f t="shared" si="5"/>
        <v>0.89999999999999991</v>
      </c>
      <c r="O51" s="1">
        <f t="shared" si="6"/>
        <v>18.8</v>
      </c>
      <c r="P51" s="1">
        <v>12</v>
      </c>
      <c r="Q51" s="1">
        <f t="shared" si="13"/>
        <v>0.38046874999999997</v>
      </c>
      <c r="R51" s="9">
        <f t="shared" si="7"/>
        <v>0.60875000000000001</v>
      </c>
      <c r="S51" s="9">
        <f t="shared" si="3"/>
        <v>1.8912499999999999</v>
      </c>
      <c r="T51" s="9">
        <f t="shared" si="12"/>
        <v>37.418906249999992</v>
      </c>
      <c r="U51" s="9">
        <v>172.4</v>
      </c>
      <c r="V51" s="10">
        <v>788.8</v>
      </c>
      <c r="W51" s="1">
        <f t="shared" si="4"/>
        <v>60.213740458015266</v>
      </c>
      <c r="X51" s="1">
        <f t="shared" si="11"/>
        <v>11439.499999999998</v>
      </c>
      <c r="AA51" s="1">
        <v>12.639073948071101</v>
      </c>
    </row>
    <row r="52" spans="1:27" s="1" customFormat="1" x14ac:dyDescent="0.25">
      <c r="A52" s="80"/>
      <c r="B52" s="5"/>
      <c r="C52" s="3">
        <v>41533</v>
      </c>
      <c r="D52" s="1">
        <v>11.7</v>
      </c>
      <c r="E52" s="1">
        <v>11.4</v>
      </c>
      <c r="F52" s="1">
        <v>13.2</v>
      </c>
      <c r="G52" s="1">
        <f t="shared" si="8"/>
        <v>191.1</v>
      </c>
      <c r="I52" s="7" t="s">
        <v>17</v>
      </c>
      <c r="J52" s="1">
        <v>3.3</v>
      </c>
      <c r="K52" s="1">
        <f t="shared" si="9"/>
        <v>45.9</v>
      </c>
      <c r="L52" s="1">
        <v>1.5</v>
      </c>
      <c r="M52" s="1">
        <f t="shared" si="10"/>
        <v>25.300000000000004</v>
      </c>
      <c r="N52" s="1">
        <f t="shared" si="5"/>
        <v>1.7999999999999998</v>
      </c>
      <c r="O52" s="1">
        <f t="shared" si="6"/>
        <v>20.6</v>
      </c>
      <c r="P52" s="1">
        <v>13</v>
      </c>
      <c r="Q52" s="1">
        <f t="shared" si="13"/>
        <v>0.390625</v>
      </c>
      <c r="R52" s="9">
        <f t="shared" si="7"/>
        <v>0.5859375</v>
      </c>
      <c r="S52" s="9">
        <f t="shared" si="3"/>
        <v>2.7140624999999998</v>
      </c>
      <c r="T52" s="9">
        <f t="shared" si="12"/>
        <v>40.132968749999989</v>
      </c>
      <c r="U52" s="7" t="s">
        <v>18</v>
      </c>
      <c r="V52" s="10">
        <v>700.4</v>
      </c>
      <c r="W52" s="1">
        <f t="shared" si="4"/>
        <v>59.863247863247864</v>
      </c>
      <c r="X52" s="1">
        <f t="shared" si="11"/>
        <v>12139.899999999998</v>
      </c>
      <c r="AA52" s="1">
        <v>12.5781339075999</v>
      </c>
    </row>
    <row r="53" spans="1:27" s="1" customFormat="1" x14ac:dyDescent="0.25">
      <c r="A53" s="80"/>
      <c r="B53" s="5"/>
      <c r="C53" s="3">
        <v>41534</v>
      </c>
      <c r="D53" s="1">
        <v>11.8</v>
      </c>
      <c r="E53" s="1">
        <v>8.1999999999999993</v>
      </c>
      <c r="F53" s="1">
        <v>15.5</v>
      </c>
      <c r="G53" s="1">
        <f t="shared" si="8"/>
        <v>202.9</v>
      </c>
      <c r="I53" s="1">
        <v>906.7</v>
      </c>
      <c r="J53" s="1">
        <v>18.3</v>
      </c>
      <c r="K53" s="1">
        <f t="shared" si="9"/>
        <v>64.2</v>
      </c>
      <c r="L53" s="1">
        <v>1.7</v>
      </c>
      <c r="M53" s="1">
        <f t="shared" si="10"/>
        <v>27.000000000000004</v>
      </c>
      <c r="N53" s="1">
        <f t="shared" si="5"/>
        <v>16.600000000000001</v>
      </c>
      <c r="O53" s="1">
        <f t="shared" si="6"/>
        <v>37.200000000000003</v>
      </c>
      <c r="P53" s="1">
        <v>14</v>
      </c>
      <c r="Q53" s="1">
        <f t="shared" si="13"/>
        <v>0.40078124999999998</v>
      </c>
      <c r="R53" s="9">
        <f t="shared" si="7"/>
        <v>0.68132812499999995</v>
      </c>
      <c r="S53" s="9">
        <f t="shared" si="3"/>
        <v>17.618671875</v>
      </c>
      <c r="T53" s="9">
        <f t="shared" si="12"/>
        <v>57.751640624999993</v>
      </c>
      <c r="U53" s="11">
        <f>AVERAGE(T40:T112)</f>
        <v>81.088886986301361</v>
      </c>
      <c r="V53" s="1">
        <v>1007.9</v>
      </c>
      <c r="W53" s="1">
        <f t="shared" si="4"/>
        <v>85.415254237288124</v>
      </c>
      <c r="X53" s="1">
        <f t="shared" si="11"/>
        <v>13147.799999999997</v>
      </c>
      <c r="AA53" s="1">
        <v>12.517142730791599</v>
      </c>
    </row>
    <row r="54" spans="1:27" s="1" customFormat="1" x14ac:dyDescent="0.25">
      <c r="A54" s="80"/>
      <c r="B54" s="5"/>
      <c r="C54" s="3">
        <v>41535</v>
      </c>
      <c r="D54" s="1">
        <v>13.3</v>
      </c>
      <c r="E54" s="1">
        <v>12.3</v>
      </c>
      <c r="F54" s="1">
        <v>15.2</v>
      </c>
      <c r="G54" s="1">
        <f t="shared" si="8"/>
        <v>216.20000000000002</v>
      </c>
      <c r="J54" s="1">
        <v>4.2</v>
      </c>
      <c r="K54" s="1">
        <f t="shared" si="9"/>
        <v>68.400000000000006</v>
      </c>
      <c r="L54" s="1">
        <v>0.9</v>
      </c>
      <c r="M54" s="1">
        <f t="shared" si="10"/>
        <v>27.900000000000002</v>
      </c>
      <c r="N54" s="1">
        <f t="shared" si="5"/>
        <v>3.3000000000000003</v>
      </c>
      <c r="O54" s="1">
        <f t="shared" si="6"/>
        <v>40.5</v>
      </c>
      <c r="P54" s="1">
        <v>15</v>
      </c>
      <c r="Q54" s="1">
        <f t="shared" si="13"/>
        <v>0.41093749999999996</v>
      </c>
      <c r="R54" s="9">
        <f t="shared" si="7"/>
        <v>0.36984374999999997</v>
      </c>
      <c r="S54" s="9">
        <f t="shared" si="3"/>
        <v>3.8301562500000004</v>
      </c>
      <c r="T54" s="9">
        <f t="shared" si="12"/>
        <v>61.581796874999995</v>
      </c>
      <c r="V54" s="10">
        <v>365.6</v>
      </c>
      <c r="W54" s="1">
        <f t="shared" si="4"/>
        <v>27.488721804511279</v>
      </c>
      <c r="X54" s="1">
        <f t="shared" si="11"/>
        <v>13513.399999999998</v>
      </c>
      <c r="AA54" s="1">
        <v>12.4561059210099</v>
      </c>
    </row>
    <row r="55" spans="1:27" s="1" customFormat="1" x14ac:dyDescent="0.25">
      <c r="A55" s="80"/>
      <c r="B55" s="5"/>
      <c r="C55" s="3">
        <v>41536</v>
      </c>
      <c r="D55" s="1">
        <v>12.8</v>
      </c>
      <c r="E55" s="1">
        <v>8.1999999999999993</v>
      </c>
      <c r="F55" s="1">
        <v>15.9</v>
      </c>
      <c r="G55" s="1">
        <f t="shared" si="8"/>
        <v>229.00000000000003</v>
      </c>
      <c r="J55" s="1">
        <v>0</v>
      </c>
      <c r="K55" s="1">
        <f t="shared" si="9"/>
        <v>68.400000000000006</v>
      </c>
      <c r="L55" s="1">
        <v>1.5</v>
      </c>
      <c r="M55" s="1">
        <f t="shared" si="10"/>
        <v>29.400000000000002</v>
      </c>
      <c r="N55" s="8">
        <f t="shared" si="5"/>
        <v>-1.5</v>
      </c>
      <c r="O55" s="1">
        <f t="shared" si="6"/>
        <v>39</v>
      </c>
      <c r="P55" s="1">
        <v>16</v>
      </c>
      <c r="Q55" s="1">
        <f t="shared" si="13"/>
        <v>0.42109374999999999</v>
      </c>
      <c r="R55" s="9">
        <f t="shared" si="7"/>
        <v>0.63164062499999996</v>
      </c>
      <c r="S55" s="9">
        <f t="shared" si="3"/>
        <v>-0.63164062499999996</v>
      </c>
      <c r="T55" s="9">
        <f t="shared" si="12"/>
        <v>60.950156249999992</v>
      </c>
      <c r="U55" s="9">
        <f>(81.1*100)/189.6</f>
        <v>42.774261603375521</v>
      </c>
      <c r="V55" s="10">
        <v>892.6</v>
      </c>
      <c r="W55" s="1">
        <f t="shared" si="4"/>
        <v>69.734375</v>
      </c>
      <c r="X55" s="1">
        <f t="shared" si="11"/>
        <v>14405.999999999998</v>
      </c>
      <c r="AA55" s="1">
        <v>12.3950289083268</v>
      </c>
    </row>
    <row r="56" spans="1:27" s="1" customFormat="1" x14ac:dyDescent="0.25">
      <c r="A56" s="80"/>
      <c r="B56" s="5"/>
      <c r="C56" s="3">
        <v>41537</v>
      </c>
      <c r="D56" s="1">
        <v>13.3</v>
      </c>
      <c r="E56" s="1">
        <v>12.6</v>
      </c>
      <c r="F56" s="1">
        <v>17.2</v>
      </c>
      <c r="G56" s="1">
        <f t="shared" si="8"/>
        <v>242.30000000000004</v>
      </c>
      <c r="J56" s="1">
        <v>0</v>
      </c>
      <c r="K56" s="1">
        <f t="shared" si="9"/>
        <v>68.400000000000006</v>
      </c>
      <c r="L56" s="1">
        <v>2.2000000000000002</v>
      </c>
      <c r="M56" s="1">
        <f t="shared" si="10"/>
        <v>31.6</v>
      </c>
      <c r="N56" s="8">
        <f t="shared" si="5"/>
        <v>-2.2000000000000002</v>
      </c>
      <c r="O56" s="1">
        <f t="shared" si="6"/>
        <v>36.799999999999997</v>
      </c>
      <c r="P56" s="1">
        <v>17</v>
      </c>
      <c r="Q56" s="1">
        <f t="shared" si="13"/>
        <v>0.43124999999999997</v>
      </c>
      <c r="R56" s="9">
        <f t="shared" si="7"/>
        <v>0.94874999999999998</v>
      </c>
      <c r="S56" s="9">
        <f t="shared" si="3"/>
        <v>-0.94874999999999998</v>
      </c>
      <c r="T56" s="9">
        <f t="shared" si="12"/>
        <v>60.001406249999995</v>
      </c>
      <c r="V56" s="1">
        <v>1026.0999999999999</v>
      </c>
      <c r="W56" s="1">
        <f t="shared" si="4"/>
        <v>77.15037593984961</v>
      </c>
      <c r="X56" s="1">
        <f t="shared" si="11"/>
        <v>15432.099999999999</v>
      </c>
      <c r="AA56" s="1">
        <v>12.3339170667409</v>
      </c>
    </row>
    <row r="57" spans="1:27" s="1" customFormat="1" x14ac:dyDescent="0.25">
      <c r="A57" s="80"/>
      <c r="B57" s="5"/>
      <c r="C57" s="3">
        <v>41538</v>
      </c>
      <c r="D57" s="1">
        <v>13.5</v>
      </c>
      <c r="E57" s="1">
        <v>8</v>
      </c>
      <c r="F57" s="1">
        <v>17</v>
      </c>
      <c r="G57" s="1">
        <f t="shared" si="8"/>
        <v>255.80000000000004</v>
      </c>
      <c r="J57" s="1">
        <v>0.1</v>
      </c>
      <c r="K57" s="1">
        <f t="shared" si="9"/>
        <v>68.5</v>
      </c>
      <c r="L57" s="1">
        <v>1.3</v>
      </c>
      <c r="M57" s="1">
        <f t="shared" si="10"/>
        <v>32.9</v>
      </c>
      <c r="N57" s="8">
        <f t="shared" si="5"/>
        <v>-1.2</v>
      </c>
      <c r="O57" s="1">
        <f t="shared" si="6"/>
        <v>35.599999999999994</v>
      </c>
      <c r="P57" s="1">
        <v>18</v>
      </c>
      <c r="Q57" s="1">
        <f t="shared" si="13"/>
        <v>0.44140625</v>
      </c>
      <c r="R57" s="9">
        <f t="shared" si="7"/>
        <v>0.57382812500000002</v>
      </c>
      <c r="S57" s="9">
        <f t="shared" si="3"/>
        <v>-0.47382812500000004</v>
      </c>
      <c r="T57" s="9">
        <f t="shared" si="12"/>
        <v>59.527578124999998</v>
      </c>
      <c r="V57" s="10">
        <v>757.9</v>
      </c>
      <c r="W57" s="1">
        <f t="shared" si="4"/>
        <v>56.140740740740739</v>
      </c>
      <c r="X57" s="1">
        <f t="shared" si="11"/>
        <v>16189.999999999998</v>
      </c>
      <c r="AA57" s="1">
        <v>12.272775731457299</v>
      </c>
    </row>
    <row r="58" spans="1:27" s="1" customFormat="1" x14ac:dyDescent="0.25">
      <c r="A58" s="80"/>
      <c r="B58" s="5"/>
      <c r="C58" s="3">
        <v>41539</v>
      </c>
      <c r="D58" s="1">
        <v>17</v>
      </c>
      <c r="E58" s="1">
        <v>14.5</v>
      </c>
      <c r="F58" s="1">
        <v>20.3</v>
      </c>
      <c r="G58" s="1">
        <f t="shared" si="8"/>
        <v>272.80000000000007</v>
      </c>
      <c r="J58" s="1">
        <v>0</v>
      </c>
      <c r="K58" s="1">
        <f t="shared" si="9"/>
        <v>68.5</v>
      </c>
      <c r="L58" s="1">
        <v>1.9</v>
      </c>
      <c r="M58" s="1">
        <f t="shared" si="10"/>
        <v>34.799999999999997</v>
      </c>
      <c r="N58" s="8">
        <f t="shared" si="5"/>
        <v>-1.9</v>
      </c>
      <c r="O58" s="1">
        <f t="shared" si="6"/>
        <v>33.699999999999996</v>
      </c>
      <c r="P58" s="1">
        <v>19</v>
      </c>
      <c r="Q58" s="1">
        <f t="shared" si="13"/>
        <v>0.45156249999999998</v>
      </c>
      <c r="R58" s="9">
        <f t="shared" si="7"/>
        <v>0.85796874999999995</v>
      </c>
      <c r="S58" s="9">
        <f t="shared" si="3"/>
        <v>-0.85796874999999995</v>
      </c>
      <c r="T58" s="9">
        <f t="shared" si="12"/>
        <v>58.669609375</v>
      </c>
      <c r="V58" s="10">
        <v>876.7</v>
      </c>
      <c r="W58" s="1">
        <f t="shared" si="4"/>
        <v>51.570588235294117</v>
      </c>
      <c r="X58" s="1">
        <f t="shared" si="11"/>
        <v>17066.699999999997</v>
      </c>
      <c r="AA58" s="1">
        <v>12.2116102162378</v>
      </c>
    </row>
    <row r="59" spans="1:27" s="1" customFormat="1" x14ac:dyDescent="0.25">
      <c r="A59" s="80"/>
      <c r="B59" s="5"/>
      <c r="C59" s="3">
        <v>41540</v>
      </c>
      <c r="D59" s="1">
        <v>15.5</v>
      </c>
      <c r="E59" s="1">
        <v>10.5</v>
      </c>
      <c r="F59" s="1">
        <v>20.8</v>
      </c>
      <c r="G59" s="1">
        <f t="shared" si="8"/>
        <v>288.30000000000007</v>
      </c>
      <c r="J59" s="1">
        <v>0.1</v>
      </c>
      <c r="K59" s="1">
        <f t="shared" si="9"/>
        <v>68.599999999999994</v>
      </c>
      <c r="L59" s="1">
        <v>2.7</v>
      </c>
      <c r="M59" s="1">
        <f t="shared" si="10"/>
        <v>37.5</v>
      </c>
      <c r="N59" s="8">
        <f t="shared" si="5"/>
        <v>-2.6</v>
      </c>
      <c r="O59" s="1">
        <f t="shared" si="6"/>
        <v>31.099999999999994</v>
      </c>
      <c r="P59" s="1">
        <v>20</v>
      </c>
      <c r="Q59" s="1">
        <f t="shared" si="13"/>
        <v>0.46171874999999996</v>
      </c>
      <c r="R59" s="9">
        <f t="shared" si="7"/>
        <v>1.2466406249999999</v>
      </c>
      <c r="S59" s="9">
        <f t="shared" si="3"/>
        <v>-1.1466406249999999</v>
      </c>
      <c r="T59" s="9">
        <f t="shared" si="12"/>
        <v>57.522968750000004</v>
      </c>
      <c r="V59" s="1">
        <v>1456.3</v>
      </c>
      <c r="W59" s="1">
        <f t="shared" si="4"/>
        <v>93.954838709677418</v>
      </c>
      <c r="X59" s="1">
        <f t="shared" si="11"/>
        <v>18522.999999999996</v>
      </c>
      <c r="AA59" s="1">
        <v>12.1504258308271</v>
      </c>
    </row>
    <row r="60" spans="1:27" s="1" customFormat="1" x14ac:dyDescent="0.25">
      <c r="A60" s="80"/>
      <c r="B60" s="5"/>
      <c r="C60" s="3">
        <v>41541</v>
      </c>
      <c r="D60" s="1">
        <v>15.1</v>
      </c>
      <c r="E60" s="1">
        <v>10.6</v>
      </c>
      <c r="F60" s="1">
        <v>21.1</v>
      </c>
      <c r="G60" s="1">
        <f t="shared" si="8"/>
        <v>303.40000000000009</v>
      </c>
      <c r="J60" s="1">
        <v>0.2</v>
      </c>
      <c r="K60" s="1">
        <f t="shared" si="9"/>
        <v>68.8</v>
      </c>
      <c r="L60" s="1">
        <v>2.8</v>
      </c>
      <c r="M60" s="1">
        <f t="shared" si="10"/>
        <v>40.299999999999997</v>
      </c>
      <c r="N60" s="8">
        <f t="shared" si="5"/>
        <v>-2.5999999999999996</v>
      </c>
      <c r="O60" s="1">
        <f t="shared" si="6"/>
        <v>28.499999999999993</v>
      </c>
      <c r="P60" s="1">
        <v>21</v>
      </c>
      <c r="Q60" s="1">
        <f t="shared" si="13"/>
        <v>0.47187499999999999</v>
      </c>
      <c r="R60" s="9">
        <f t="shared" si="7"/>
        <v>1.3212499999999998</v>
      </c>
      <c r="S60" s="9">
        <f t="shared" si="3"/>
        <v>-1.1212499999999999</v>
      </c>
      <c r="T60" s="9">
        <f t="shared" si="12"/>
        <v>56.401718750000001</v>
      </c>
      <c r="V60" s="1">
        <v>1457.4</v>
      </c>
      <c r="W60" s="1">
        <f t="shared" si="4"/>
        <v>96.516556291390742</v>
      </c>
      <c r="X60" s="1">
        <f t="shared" si="11"/>
        <v>19980.399999999998</v>
      </c>
      <c r="AA60" s="1">
        <v>12.0892278984656</v>
      </c>
    </row>
    <row r="61" spans="1:27" s="1" customFormat="1" x14ac:dyDescent="0.25">
      <c r="A61" s="80"/>
      <c r="B61" s="5"/>
      <c r="C61" s="3">
        <v>41542</v>
      </c>
      <c r="D61" s="1">
        <v>15.7</v>
      </c>
      <c r="E61" s="1">
        <v>9.6</v>
      </c>
      <c r="F61" s="1">
        <v>21.5</v>
      </c>
      <c r="G61" s="1">
        <f t="shared" si="8"/>
        <v>319.10000000000008</v>
      </c>
      <c r="J61" s="1">
        <v>1.2</v>
      </c>
      <c r="K61" s="1">
        <f t="shared" si="9"/>
        <v>70</v>
      </c>
      <c r="L61" s="1">
        <v>2.1</v>
      </c>
      <c r="M61" s="1">
        <f t="shared" si="10"/>
        <v>42.4</v>
      </c>
      <c r="N61" s="8">
        <f t="shared" si="5"/>
        <v>-0.90000000000000013</v>
      </c>
      <c r="O61" s="1">
        <f t="shared" si="6"/>
        <v>27.599999999999994</v>
      </c>
      <c r="P61" s="1">
        <v>22</v>
      </c>
      <c r="Q61" s="1">
        <f t="shared" si="13"/>
        <v>0.48203125000000002</v>
      </c>
      <c r="R61" s="9">
        <f t="shared" si="7"/>
        <v>1.0122656250000002</v>
      </c>
      <c r="S61" s="9">
        <f t="shared" si="3"/>
        <v>0.18773437499999979</v>
      </c>
      <c r="T61" s="9">
        <f t="shared" si="12"/>
        <v>56.589453124999999</v>
      </c>
      <c r="V61" s="1">
        <v>1090.3</v>
      </c>
      <c r="W61" s="1">
        <f t="shared" si="4"/>
        <v>69.445859872611464</v>
      </c>
      <c r="X61" s="1">
        <f t="shared" si="11"/>
        <v>21070.699999999997</v>
      </c>
      <c r="AA61" s="1">
        <v>12.028021773495899</v>
      </c>
    </row>
    <row r="62" spans="1:27" s="1" customFormat="1" x14ac:dyDescent="0.25">
      <c r="A62" s="80"/>
      <c r="B62" s="5"/>
      <c r="C62" s="3">
        <v>41543</v>
      </c>
      <c r="D62" s="1">
        <v>15.2</v>
      </c>
      <c r="E62" s="1">
        <v>13.4</v>
      </c>
      <c r="F62" s="1">
        <v>18.8</v>
      </c>
      <c r="G62" s="1">
        <f t="shared" si="8"/>
        <v>334.30000000000007</v>
      </c>
      <c r="J62" s="1">
        <v>0.1</v>
      </c>
      <c r="K62" s="1">
        <f t="shared" si="9"/>
        <v>70.099999999999994</v>
      </c>
      <c r="L62" s="1">
        <v>1.4</v>
      </c>
      <c r="M62" s="1">
        <f t="shared" si="10"/>
        <v>43.8</v>
      </c>
      <c r="N62" s="8">
        <f t="shared" si="5"/>
        <v>-1.2999999999999998</v>
      </c>
      <c r="O62" s="1">
        <f t="shared" si="6"/>
        <v>26.299999999999994</v>
      </c>
      <c r="P62" s="1">
        <v>23</v>
      </c>
      <c r="Q62" s="1">
        <f t="shared" si="13"/>
        <v>0.4921875</v>
      </c>
      <c r="R62" s="9">
        <f t="shared" si="7"/>
        <v>0.68906249999999991</v>
      </c>
      <c r="S62" s="9">
        <f t="shared" si="3"/>
        <v>-0.58906249999999993</v>
      </c>
      <c r="T62" s="9">
        <f t="shared" si="12"/>
        <v>56.000390625000001</v>
      </c>
      <c r="V62" s="10">
        <v>646.79999999999995</v>
      </c>
      <c r="W62" s="1">
        <f t="shared" si="4"/>
        <v>42.55263157894737</v>
      </c>
      <c r="X62" s="1">
        <f t="shared" si="11"/>
        <v>21717.499999999996</v>
      </c>
      <c r="AA62" s="1">
        <v>11.9668128590714</v>
      </c>
    </row>
    <row r="63" spans="1:27" s="1" customFormat="1" x14ac:dyDescent="0.25">
      <c r="A63" s="80"/>
      <c r="B63" s="5"/>
      <c r="C63" s="3">
        <v>41544</v>
      </c>
      <c r="D63" s="1">
        <v>13.4</v>
      </c>
      <c r="E63" s="1">
        <v>9.1999999999999993</v>
      </c>
      <c r="F63" s="1">
        <v>17.2</v>
      </c>
      <c r="G63" s="1">
        <f t="shared" si="8"/>
        <v>347.70000000000005</v>
      </c>
      <c r="J63" s="1">
        <v>0.2</v>
      </c>
      <c r="K63" s="1">
        <f t="shared" si="9"/>
        <v>70.3</v>
      </c>
      <c r="L63" s="1">
        <v>1.8</v>
      </c>
      <c r="M63" s="1">
        <f t="shared" si="10"/>
        <v>45.599999999999994</v>
      </c>
      <c r="N63" s="8">
        <f t="shared" si="5"/>
        <v>-1.6</v>
      </c>
      <c r="O63" s="1">
        <f t="shared" si="6"/>
        <v>24.699999999999992</v>
      </c>
      <c r="P63" s="1">
        <v>24</v>
      </c>
      <c r="Q63" s="1">
        <f t="shared" si="13"/>
        <v>0.50234374999999998</v>
      </c>
      <c r="R63" s="9">
        <f t="shared" si="7"/>
        <v>0.90421874999999996</v>
      </c>
      <c r="S63" s="9">
        <f t="shared" si="3"/>
        <v>-0.70421874999999989</v>
      </c>
      <c r="T63" s="9">
        <f t="shared" si="12"/>
        <v>55.296171874999999</v>
      </c>
      <c r="V63" s="1">
        <v>1179.7</v>
      </c>
      <c r="W63" s="1">
        <f t="shared" si="4"/>
        <v>88.037313432835816</v>
      </c>
      <c r="X63" s="1">
        <f t="shared" si="11"/>
        <v>22897.199999999997</v>
      </c>
      <c r="AA63" s="1">
        <v>11.9056066249754</v>
      </c>
    </row>
    <row r="64" spans="1:27" s="1" customFormat="1" x14ac:dyDescent="0.25">
      <c r="A64" s="80"/>
      <c r="B64" s="5"/>
      <c r="C64" s="3">
        <v>41545</v>
      </c>
      <c r="D64" s="1">
        <v>16</v>
      </c>
      <c r="E64" s="1">
        <v>12.4</v>
      </c>
      <c r="F64" s="1">
        <v>19.7</v>
      </c>
      <c r="G64" s="1">
        <f t="shared" si="8"/>
        <v>363.70000000000005</v>
      </c>
      <c r="J64" s="1">
        <v>0</v>
      </c>
      <c r="K64" s="1">
        <f t="shared" si="9"/>
        <v>70.3</v>
      </c>
      <c r="L64" s="1">
        <v>1.4</v>
      </c>
      <c r="M64" s="1">
        <f t="shared" si="10"/>
        <v>46.999999999999993</v>
      </c>
      <c r="N64" s="8">
        <f t="shared" si="5"/>
        <v>-1.4</v>
      </c>
      <c r="O64" s="1">
        <f t="shared" si="6"/>
        <v>23.299999999999994</v>
      </c>
      <c r="P64" s="1">
        <v>25</v>
      </c>
      <c r="Q64" s="1">
        <f t="shared" si="13"/>
        <v>0.51249999999999996</v>
      </c>
      <c r="R64" s="9">
        <f t="shared" si="7"/>
        <v>0.71749999999999992</v>
      </c>
      <c r="S64" s="9">
        <f t="shared" si="3"/>
        <v>-0.71749999999999992</v>
      </c>
      <c r="T64" s="9">
        <f t="shared" si="12"/>
        <v>54.578671874999998</v>
      </c>
      <c r="V64" s="10">
        <v>543</v>
      </c>
      <c r="W64" s="1">
        <f t="shared" si="4"/>
        <v>33.9375</v>
      </c>
      <c r="X64" s="1">
        <f t="shared" si="11"/>
        <v>23440.199999999997</v>
      </c>
      <c r="AA64" s="1">
        <v>11.8444086255583</v>
      </c>
    </row>
    <row r="65" spans="1:27" s="1" customFormat="1" x14ac:dyDescent="0.25">
      <c r="A65" s="80"/>
      <c r="B65" s="5"/>
      <c r="C65" s="3">
        <v>41546</v>
      </c>
      <c r="D65" s="1">
        <v>16.3</v>
      </c>
      <c r="E65" s="1">
        <v>13.6</v>
      </c>
      <c r="F65" s="1">
        <v>20.100000000000001</v>
      </c>
      <c r="G65" s="1">
        <f t="shared" si="8"/>
        <v>380.00000000000006</v>
      </c>
      <c r="J65" s="1">
        <v>0</v>
      </c>
      <c r="K65" s="1">
        <f t="shared" si="9"/>
        <v>70.3</v>
      </c>
      <c r="L65" s="1">
        <v>2.1</v>
      </c>
      <c r="M65" s="1">
        <f t="shared" si="10"/>
        <v>49.099999999999994</v>
      </c>
      <c r="N65" s="8">
        <f t="shared" si="5"/>
        <v>-2.1</v>
      </c>
      <c r="O65" s="1">
        <f t="shared" si="6"/>
        <v>21.199999999999992</v>
      </c>
      <c r="P65" s="1">
        <v>26</v>
      </c>
      <c r="Q65" s="1">
        <f t="shared" si="13"/>
        <v>0.52265625000000004</v>
      </c>
      <c r="R65" s="9">
        <f t="shared" si="7"/>
        <v>1.0975781250000001</v>
      </c>
      <c r="S65" s="9">
        <f t="shared" si="3"/>
        <v>-1.0975781250000001</v>
      </c>
      <c r="T65" s="9">
        <f t="shared" si="12"/>
        <v>53.481093749999999</v>
      </c>
      <c r="V65" s="1">
        <v>1065.2</v>
      </c>
      <c r="W65" s="1">
        <f t="shared" si="4"/>
        <v>65.349693251533736</v>
      </c>
      <c r="X65" s="1">
        <f t="shared" si="11"/>
        <v>24505.399999999998</v>
      </c>
      <c r="AA65" s="1">
        <v>11.7832245178004</v>
      </c>
    </row>
    <row r="66" spans="1:27" s="1" customFormat="1" x14ac:dyDescent="0.25">
      <c r="A66" s="80"/>
      <c r="B66" s="5"/>
      <c r="C66" s="3">
        <v>41547</v>
      </c>
      <c r="D66" s="1">
        <v>14.2</v>
      </c>
      <c r="E66" s="1">
        <v>10.7</v>
      </c>
      <c r="F66" s="1">
        <v>18.399999999999999</v>
      </c>
      <c r="G66" s="1">
        <f t="shared" si="8"/>
        <v>394.20000000000005</v>
      </c>
      <c r="J66" s="1">
        <v>0</v>
      </c>
      <c r="K66" s="1">
        <f t="shared" si="9"/>
        <v>70.3</v>
      </c>
      <c r="L66" s="1">
        <v>2.2999999999999998</v>
      </c>
      <c r="M66" s="1">
        <f t="shared" si="10"/>
        <v>51.399999999999991</v>
      </c>
      <c r="N66" s="8">
        <f t="shared" si="5"/>
        <v>-2.2999999999999998</v>
      </c>
      <c r="O66" s="1">
        <f t="shared" si="6"/>
        <v>18.899999999999991</v>
      </c>
      <c r="P66" s="1">
        <v>27</v>
      </c>
      <c r="Q66" s="1">
        <f t="shared" si="13"/>
        <v>0.53281250000000002</v>
      </c>
      <c r="R66" s="9">
        <f t="shared" si="7"/>
        <v>1.2254687499999999</v>
      </c>
      <c r="S66" s="9">
        <f t="shared" si="3"/>
        <v>-1.2254687499999999</v>
      </c>
      <c r="T66" s="9">
        <f t="shared" si="12"/>
        <v>52.255625000000002</v>
      </c>
      <c r="V66" s="1">
        <v>1130.5</v>
      </c>
      <c r="W66" s="1">
        <f t="shared" si="4"/>
        <v>79.612676056338032</v>
      </c>
      <c r="X66" s="1">
        <f t="shared" si="11"/>
        <v>25635.899999999998</v>
      </c>
      <c r="AA66" s="1">
        <v>11.7220600795062</v>
      </c>
    </row>
    <row r="67" spans="1:27" s="1" customFormat="1" x14ac:dyDescent="0.25">
      <c r="A67" s="80"/>
      <c r="B67" s="5"/>
      <c r="C67" s="3">
        <v>41548</v>
      </c>
      <c r="D67" s="1">
        <v>13.4</v>
      </c>
      <c r="E67" s="1">
        <v>11.9</v>
      </c>
      <c r="F67" s="1">
        <v>15.8</v>
      </c>
      <c r="G67" s="1">
        <f t="shared" si="8"/>
        <v>407.6</v>
      </c>
      <c r="J67" s="1">
        <v>0</v>
      </c>
      <c r="K67" s="1">
        <f t="shared" si="9"/>
        <v>70.3</v>
      </c>
      <c r="L67" s="1">
        <v>1.9</v>
      </c>
      <c r="M67" s="1">
        <f t="shared" si="10"/>
        <v>53.29999999999999</v>
      </c>
      <c r="N67" s="8">
        <f t="shared" si="5"/>
        <v>-1.9</v>
      </c>
      <c r="O67" s="1">
        <f t="shared" si="6"/>
        <v>16.999999999999993</v>
      </c>
      <c r="P67" s="1">
        <v>28</v>
      </c>
      <c r="Q67" s="1">
        <f t="shared" si="13"/>
        <v>0.54296875</v>
      </c>
      <c r="R67" s="9">
        <f t="shared" si="7"/>
        <v>1.0316406249999999</v>
      </c>
      <c r="S67" s="9">
        <f t="shared" si="3"/>
        <v>-1.0316406249999999</v>
      </c>
      <c r="T67" s="9">
        <f t="shared" si="12"/>
        <v>51.223984375000001</v>
      </c>
      <c r="V67" s="1">
        <v>1008</v>
      </c>
      <c r="W67" s="1">
        <f t="shared" si="4"/>
        <v>75.223880597014926</v>
      </c>
      <c r="X67" s="1">
        <f t="shared" si="11"/>
        <v>26643.899999999998</v>
      </c>
      <c r="AA67" s="1">
        <v>11.6609212276372</v>
      </c>
    </row>
    <row r="68" spans="1:27" s="1" customFormat="1" x14ac:dyDescent="0.25">
      <c r="A68" s="80"/>
      <c r="B68" s="5"/>
      <c r="C68" s="3">
        <v>41549</v>
      </c>
      <c r="D68" s="1">
        <v>14.8</v>
      </c>
      <c r="E68" s="1">
        <v>9.9</v>
      </c>
      <c r="F68" s="1">
        <v>18.8</v>
      </c>
      <c r="G68" s="1">
        <f t="shared" si="8"/>
        <v>422.40000000000003</v>
      </c>
      <c r="J68" s="1">
        <v>0</v>
      </c>
      <c r="K68" s="1">
        <f t="shared" si="9"/>
        <v>70.3</v>
      </c>
      <c r="L68" s="1">
        <v>1.8</v>
      </c>
      <c r="M68" s="1">
        <f t="shared" si="10"/>
        <v>55.099999999999987</v>
      </c>
      <c r="N68" s="8">
        <f t="shared" si="5"/>
        <v>-1.8</v>
      </c>
      <c r="O68" s="1">
        <f t="shared" si="6"/>
        <v>15.199999999999992</v>
      </c>
      <c r="P68" s="1">
        <v>29</v>
      </c>
      <c r="Q68" s="1">
        <f t="shared" si="13"/>
        <v>0.55312499999999998</v>
      </c>
      <c r="R68" s="9">
        <f t="shared" si="7"/>
        <v>0.99562499999999998</v>
      </c>
      <c r="S68" s="9">
        <f t="shared" si="3"/>
        <v>-0.99562499999999998</v>
      </c>
      <c r="T68" s="9">
        <f t="shared" si="12"/>
        <v>50.228359375000004</v>
      </c>
      <c r="V68" s="1">
        <v>1016.1</v>
      </c>
      <c r="W68" s="1">
        <f t="shared" si="4"/>
        <v>68.655405405405403</v>
      </c>
      <c r="X68" s="1">
        <f t="shared" si="11"/>
        <v>27659.999999999996</v>
      </c>
      <c r="AA68" s="1">
        <v>11.599814036787199</v>
      </c>
    </row>
    <row r="69" spans="1:27" s="1" customFormat="1" x14ac:dyDescent="0.25">
      <c r="A69" s="80"/>
      <c r="B69" s="5"/>
      <c r="C69" s="3">
        <v>41550</v>
      </c>
      <c r="D69" s="1">
        <v>15.5</v>
      </c>
      <c r="E69" s="1">
        <v>10.4</v>
      </c>
      <c r="F69" s="1">
        <v>18</v>
      </c>
      <c r="G69" s="1">
        <f t="shared" si="8"/>
        <v>437.90000000000003</v>
      </c>
      <c r="J69" s="1">
        <v>3.8</v>
      </c>
      <c r="K69" s="1">
        <f t="shared" si="9"/>
        <v>74.099999999999994</v>
      </c>
      <c r="L69" s="1">
        <v>1.1000000000000001</v>
      </c>
      <c r="M69" s="1">
        <f t="shared" si="10"/>
        <v>56.199999999999989</v>
      </c>
      <c r="N69" s="1">
        <f t="shared" si="5"/>
        <v>2.6999999999999997</v>
      </c>
      <c r="O69" s="1">
        <f t="shared" si="6"/>
        <v>17.899999999999991</v>
      </c>
      <c r="P69" s="1">
        <v>30</v>
      </c>
      <c r="Q69" s="1">
        <f t="shared" si="13"/>
        <v>0.56328124999999996</v>
      </c>
      <c r="R69" s="9">
        <f t="shared" si="7"/>
        <v>0.61960937500000002</v>
      </c>
      <c r="S69" s="9">
        <f t="shared" si="3"/>
        <v>3.1803906249999998</v>
      </c>
      <c r="T69" s="9">
        <f t="shared" si="12"/>
        <v>53.408750000000005</v>
      </c>
      <c r="V69" s="10">
        <v>669.3</v>
      </c>
      <c r="W69" s="1">
        <f t="shared" si="4"/>
        <v>43.180645161290322</v>
      </c>
      <c r="X69" s="1">
        <f t="shared" si="11"/>
        <v>28329.299999999996</v>
      </c>
      <c r="AA69" s="1">
        <v>11.538744757803499</v>
      </c>
    </row>
    <row r="70" spans="1:27" s="1" customFormat="1" x14ac:dyDescent="0.25">
      <c r="A70" s="80"/>
      <c r="B70" s="5"/>
      <c r="C70" s="3">
        <v>41551</v>
      </c>
      <c r="D70" s="1">
        <v>17.2</v>
      </c>
      <c r="E70" s="1">
        <v>16.7</v>
      </c>
      <c r="F70" s="1">
        <v>19.8</v>
      </c>
      <c r="G70" s="1">
        <f t="shared" si="8"/>
        <v>455.1</v>
      </c>
      <c r="J70" s="1">
        <v>0</v>
      </c>
      <c r="K70" s="1">
        <f t="shared" si="9"/>
        <v>74.099999999999994</v>
      </c>
      <c r="L70" s="1">
        <v>1.8</v>
      </c>
      <c r="M70" s="1">
        <f t="shared" si="10"/>
        <v>57.999999999999986</v>
      </c>
      <c r="N70" s="8">
        <f t="shared" si="5"/>
        <v>-1.8</v>
      </c>
      <c r="O70" s="1">
        <f t="shared" si="6"/>
        <v>16.099999999999991</v>
      </c>
      <c r="P70" s="1">
        <v>31</v>
      </c>
      <c r="Q70" s="1">
        <f t="shared" si="13"/>
        <v>0.57343750000000004</v>
      </c>
      <c r="R70" s="9">
        <f t="shared" si="7"/>
        <v>1.0321875</v>
      </c>
      <c r="S70" s="9">
        <f t="shared" si="3"/>
        <v>-1.0321875</v>
      </c>
      <c r="T70" s="9">
        <f t="shared" si="12"/>
        <v>52.376562500000006</v>
      </c>
      <c r="V70" s="10">
        <v>612.6</v>
      </c>
      <c r="W70" s="1">
        <f t="shared" si="4"/>
        <v>35.616279069767444</v>
      </c>
      <c r="X70" s="1">
        <f t="shared" si="11"/>
        <v>28941.899999999994</v>
      </c>
      <c r="AA70" s="1">
        <v>11.477719836557</v>
      </c>
    </row>
    <row r="71" spans="1:27" s="1" customFormat="1" x14ac:dyDescent="0.25">
      <c r="A71" s="80"/>
      <c r="B71" s="5"/>
      <c r="C71" s="3">
        <v>41552</v>
      </c>
      <c r="D71" s="1">
        <v>15.1</v>
      </c>
      <c r="E71" s="1">
        <v>13.3</v>
      </c>
      <c r="F71" s="1">
        <v>18.399999999999999</v>
      </c>
      <c r="G71" s="1">
        <f t="shared" si="8"/>
        <v>470.20000000000005</v>
      </c>
      <c r="J71" s="1">
        <v>0.3</v>
      </c>
      <c r="K71" s="1">
        <f t="shared" si="9"/>
        <v>74.399999999999991</v>
      </c>
      <c r="L71" s="1">
        <v>1.3</v>
      </c>
      <c r="M71" s="1">
        <f t="shared" si="10"/>
        <v>59.299999999999983</v>
      </c>
      <c r="N71" s="8">
        <f t="shared" si="5"/>
        <v>-1</v>
      </c>
      <c r="O71" s="1">
        <f t="shared" si="6"/>
        <v>15.099999999999991</v>
      </c>
      <c r="P71" s="1">
        <v>32</v>
      </c>
      <c r="Q71" s="1">
        <f t="shared" si="13"/>
        <v>0.58359375000000002</v>
      </c>
      <c r="R71" s="9">
        <f t="shared" si="7"/>
        <v>0.75867187500000011</v>
      </c>
      <c r="S71" s="9">
        <f t="shared" si="3"/>
        <v>-0.45867187500000012</v>
      </c>
      <c r="T71" s="9">
        <f t="shared" si="12"/>
        <v>51.917890625000005</v>
      </c>
      <c r="V71" s="10">
        <v>737.3</v>
      </c>
      <c r="W71" s="1">
        <f t="shared" si="4"/>
        <v>48.827814569536422</v>
      </c>
      <c r="X71" s="1">
        <f t="shared" si="11"/>
        <v>29679.199999999993</v>
      </c>
      <c r="AA71" s="1">
        <v>11.4167459328616</v>
      </c>
    </row>
    <row r="72" spans="1:27" s="1" customFormat="1" x14ac:dyDescent="0.25">
      <c r="A72" s="80"/>
      <c r="B72" s="5"/>
      <c r="C72" s="3">
        <v>41553</v>
      </c>
      <c r="D72" s="1">
        <v>13.9</v>
      </c>
      <c r="E72" s="1">
        <v>11.8</v>
      </c>
      <c r="F72" s="1">
        <v>18.600000000000001</v>
      </c>
      <c r="G72" s="1">
        <f t="shared" si="8"/>
        <v>484.1</v>
      </c>
      <c r="J72" s="1">
        <v>0</v>
      </c>
      <c r="K72" s="1">
        <f t="shared" si="9"/>
        <v>74.399999999999991</v>
      </c>
      <c r="L72" s="1">
        <v>1.8</v>
      </c>
      <c r="M72" s="1">
        <f t="shared" si="10"/>
        <v>61.09999999999998</v>
      </c>
      <c r="N72" s="8">
        <f t="shared" si="5"/>
        <v>-1.8</v>
      </c>
      <c r="O72" s="1">
        <f t="shared" si="6"/>
        <v>13.29999999999999</v>
      </c>
      <c r="P72" s="1">
        <v>33</v>
      </c>
      <c r="Q72" s="1">
        <f t="shared" si="13"/>
        <v>0.59375</v>
      </c>
      <c r="R72" s="9">
        <f t="shared" si="7"/>
        <v>1.0687500000000001</v>
      </c>
      <c r="S72" s="9">
        <f t="shared" si="3"/>
        <v>-1.0687500000000001</v>
      </c>
      <c r="T72" s="9">
        <f t="shared" si="12"/>
        <v>50.849140625000004</v>
      </c>
      <c r="V72" s="10">
        <v>829.3</v>
      </c>
      <c r="W72" s="1">
        <f t="shared" si="4"/>
        <v>59.661870503597115</v>
      </c>
      <c r="X72" s="1">
        <f t="shared" si="11"/>
        <v>30508.499999999993</v>
      </c>
      <c r="AA72" s="1">
        <v>11.355829939541399</v>
      </c>
    </row>
    <row r="73" spans="1:27" s="1" customFormat="1" x14ac:dyDescent="0.25">
      <c r="A73" s="80"/>
      <c r="B73" s="5"/>
      <c r="C73" s="3">
        <v>41554</v>
      </c>
      <c r="D73" s="1">
        <v>12.7</v>
      </c>
      <c r="E73" s="1">
        <v>7.2</v>
      </c>
      <c r="F73" s="1">
        <v>18.5</v>
      </c>
      <c r="G73" s="1">
        <f t="shared" si="8"/>
        <v>496.8</v>
      </c>
      <c r="J73" s="1">
        <v>0</v>
      </c>
      <c r="K73" s="1">
        <f t="shared" si="9"/>
        <v>74.399999999999991</v>
      </c>
      <c r="L73" s="1">
        <v>2.1</v>
      </c>
      <c r="M73" s="1">
        <f t="shared" si="10"/>
        <v>63.199999999999982</v>
      </c>
      <c r="N73" s="8">
        <f t="shared" si="5"/>
        <v>-2.1</v>
      </c>
      <c r="O73" s="1">
        <f t="shared" si="6"/>
        <v>11.19999999999999</v>
      </c>
      <c r="P73" s="1">
        <v>34</v>
      </c>
      <c r="Q73" s="1">
        <f t="shared" si="13"/>
        <v>0.60390624999999998</v>
      </c>
      <c r="R73" s="9">
        <f t="shared" si="7"/>
        <v>1.2682031250000001</v>
      </c>
      <c r="S73" s="9">
        <f t="shared" si="3"/>
        <v>-1.2682031250000001</v>
      </c>
      <c r="T73" s="9">
        <f t="shared" si="12"/>
        <v>49.580937500000005</v>
      </c>
      <c r="V73" s="1">
        <v>1066.7</v>
      </c>
      <c r="W73" s="1">
        <f t="shared" si="4"/>
        <v>83.99212598425197</v>
      </c>
      <c r="X73" s="1">
        <f t="shared" si="11"/>
        <v>31575.199999999993</v>
      </c>
      <c r="AA73" s="1">
        <v>11.2949790016434</v>
      </c>
    </row>
    <row r="74" spans="1:27" s="1" customFormat="1" x14ac:dyDescent="0.25">
      <c r="A74" s="80"/>
      <c r="B74" s="5"/>
      <c r="C74" s="3">
        <v>41555</v>
      </c>
      <c r="D74" s="1">
        <v>13.3</v>
      </c>
      <c r="E74" s="1">
        <v>8.9</v>
      </c>
      <c r="F74" s="1">
        <v>17.3</v>
      </c>
      <c r="G74" s="1">
        <f t="shared" si="8"/>
        <v>510.1</v>
      </c>
      <c r="J74" s="1">
        <v>2.1</v>
      </c>
      <c r="K74" s="1">
        <f t="shared" si="9"/>
        <v>76.499999999999986</v>
      </c>
      <c r="L74" s="1">
        <v>1.2</v>
      </c>
      <c r="M74" s="1">
        <f t="shared" si="10"/>
        <v>64.399999999999977</v>
      </c>
      <c r="N74" s="1">
        <f t="shared" si="5"/>
        <v>0.90000000000000013</v>
      </c>
      <c r="O74" s="1">
        <f t="shared" si="6"/>
        <v>12.099999999999991</v>
      </c>
      <c r="P74" s="1">
        <v>35</v>
      </c>
      <c r="Q74" s="1">
        <f t="shared" si="13"/>
        <v>0.61406249999999996</v>
      </c>
      <c r="R74" s="9">
        <f t="shared" si="7"/>
        <v>0.73687499999999995</v>
      </c>
      <c r="S74" s="9">
        <f t="shared" si="3"/>
        <v>1.3631250000000001</v>
      </c>
      <c r="T74" s="9">
        <f t="shared" si="12"/>
        <v>50.944062500000001</v>
      </c>
      <c r="V74" s="10">
        <v>518.6</v>
      </c>
      <c r="W74" s="1">
        <f t="shared" si="4"/>
        <v>38.992481203007522</v>
      </c>
      <c r="X74" s="1">
        <f t="shared" si="11"/>
        <v>32093.799999999992</v>
      </c>
      <c r="AA74" s="1">
        <v>11.2342005357897</v>
      </c>
    </row>
    <row r="75" spans="1:27" s="1" customFormat="1" x14ac:dyDescent="0.25">
      <c r="A75" s="80"/>
      <c r="B75" s="5"/>
      <c r="C75" s="3">
        <v>41556</v>
      </c>
      <c r="D75" s="1">
        <v>13.5</v>
      </c>
      <c r="E75" s="1">
        <v>11.3</v>
      </c>
      <c r="F75" s="1">
        <v>16</v>
      </c>
      <c r="G75" s="1">
        <f t="shared" si="8"/>
        <v>523.6</v>
      </c>
      <c r="J75" s="1">
        <v>2.1</v>
      </c>
      <c r="K75" s="1">
        <f t="shared" si="9"/>
        <v>78.59999999999998</v>
      </c>
      <c r="L75" s="1">
        <v>0.9</v>
      </c>
      <c r="M75" s="1">
        <f t="shared" si="10"/>
        <v>65.299999999999983</v>
      </c>
      <c r="N75" s="1">
        <f t="shared" si="5"/>
        <v>1.2000000000000002</v>
      </c>
      <c r="O75" s="1">
        <f t="shared" si="6"/>
        <v>13.29999999999999</v>
      </c>
      <c r="P75" s="1">
        <v>36</v>
      </c>
      <c r="Q75" s="1">
        <f t="shared" si="13"/>
        <v>0.62421875000000004</v>
      </c>
      <c r="R75" s="9">
        <f t="shared" si="7"/>
        <v>0.56179687500000008</v>
      </c>
      <c r="S75" s="9">
        <f t="shared" si="3"/>
        <v>1.5382031249999999</v>
      </c>
      <c r="T75" s="9">
        <f t="shared" si="12"/>
        <v>52.482265625000004</v>
      </c>
      <c r="V75" s="10">
        <v>406.2</v>
      </c>
      <c r="W75" s="1">
        <f t="shared" si="4"/>
        <v>30.088888888888889</v>
      </c>
      <c r="X75" s="1">
        <f t="shared" si="11"/>
        <v>32499.999999999993</v>
      </c>
      <c r="AA75" s="1">
        <v>11.173502249662</v>
      </c>
    </row>
    <row r="76" spans="1:27" s="1" customFormat="1" x14ac:dyDescent="0.25">
      <c r="A76" s="80"/>
      <c r="B76" s="5"/>
      <c r="C76" s="3">
        <v>41557</v>
      </c>
      <c r="D76" s="1">
        <v>8.4</v>
      </c>
      <c r="E76" s="1">
        <v>6.1</v>
      </c>
      <c r="F76" s="1">
        <v>9.3000000000000007</v>
      </c>
      <c r="G76" s="1">
        <f t="shared" si="8"/>
        <v>532</v>
      </c>
      <c r="J76" s="1">
        <v>20.5</v>
      </c>
      <c r="K76" s="1">
        <f t="shared" si="9"/>
        <v>99.09999999999998</v>
      </c>
      <c r="L76" s="1">
        <v>0.7</v>
      </c>
      <c r="M76" s="1">
        <f t="shared" si="10"/>
        <v>65.999999999999986</v>
      </c>
      <c r="N76" s="1">
        <f t="shared" si="5"/>
        <v>19.8</v>
      </c>
      <c r="O76" s="1">
        <f t="shared" si="6"/>
        <v>33.099999999999994</v>
      </c>
      <c r="P76" s="1">
        <v>37</v>
      </c>
      <c r="Q76" s="1">
        <f t="shared" si="13"/>
        <v>0.63437499999999991</v>
      </c>
      <c r="R76" s="9">
        <f t="shared" si="7"/>
        <v>0.44406249999999992</v>
      </c>
      <c r="S76" s="9">
        <f t="shared" si="3"/>
        <v>20.055937499999999</v>
      </c>
      <c r="T76" s="9">
        <f t="shared" si="12"/>
        <v>72.538203124999995</v>
      </c>
      <c r="V76" s="10">
        <v>350.2</v>
      </c>
      <c r="W76" s="1">
        <f t="shared" si="4"/>
        <v>41.69047619047619</v>
      </c>
      <c r="X76" s="1">
        <f t="shared" si="11"/>
        <v>32850.19999999999</v>
      </c>
      <c r="AA76" s="1">
        <v>11.112892161608199</v>
      </c>
    </row>
    <row r="77" spans="1:27" s="1" customFormat="1" x14ac:dyDescent="0.25">
      <c r="A77" s="80"/>
      <c r="B77" s="5"/>
      <c r="C77" s="3">
        <v>41558</v>
      </c>
      <c r="D77" s="1">
        <v>8.5</v>
      </c>
      <c r="E77" s="1">
        <v>7.7</v>
      </c>
      <c r="F77" s="1">
        <v>9.5</v>
      </c>
      <c r="G77" s="1">
        <f t="shared" si="8"/>
        <v>540.5</v>
      </c>
      <c r="J77" s="1">
        <v>1.1000000000000001</v>
      </c>
      <c r="K77" s="1">
        <f t="shared" si="9"/>
        <v>100.19999999999997</v>
      </c>
      <c r="L77" s="1">
        <v>1.1000000000000001</v>
      </c>
      <c r="M77" s="1">
        <f t="shared" si="10"/>
        <v>67.09999999999998</v>
      </c>
      <c r="N77" s="1">
        <f t="shared" si="5"/>
        <v>0</v>
      </c>
      <c r="O77" s="1">
        <f t="shared" si="6"/>
        <v>33.099999999999994</v>
      </c>
      <c r="P77" s="1">
        <v>38</v>
      </c>
      <c r="Q77" s="1">
        <f t="shared" si="13"/>
        <v>0.64453125</v>
      </c>
      <c r="R77" s="9">
        <f t="shared" si="7"/>
        <v>0.70898437500000011</v>
      </c>
      <c r="S77" s="9">
        <f t="shared" si="3"/>
        <v>0.39101562499999998</v>
      </c>
      <c r="T77" s="9">
        <f t="shared" si="12"/>
        <v>72.92921874999999</v>
      </c>
      <c r="V77" s="10">
        <v>724.3</v>
      </c>
      <c r="W77" s="1">
        <f t="shared" si="4"/>
        <v>85.211764705882345</v>
      </c>
      <c r="X77" s="1">
        <f t="shared" si="11"/>
        <v>33574.499999999993</v>
      </c>
      <c r="AA77" s="1">
        <v>11.0523786203561</v>
      </c>
    </row>
    <row r="78" spans="1:27" s="1" customFormat="1" x14ac:dyDescent="0.25">
      <c r="A78" s="80"/>
      <c r="B78" s="5"/>
      <c r="C78" s="3">
        <v>41559</v>
      </c>
      <c r="D78" s="1">
        <v>7.5</v>
      </c>
      <c r="E78" s="1">
        <v>6.7</v>
      </c>
      <c r="F78" s="1">
        <v>9.6999999999999993</v>
      </c>
      <c r="G78" s="1">
        <f t="shared" si="8"/>
        <v>548</v>
      </c>
      <c r="J78" s="1">
        <v>0</v>
      </c>
      <c r="K78" s="1">
        <f t="shared" si="9"/>
        <v>100.19999999999997</v>
      </c>
      <c r="L78" s="1">
        <v>0.9</v>
      </c>
      <c r="M78" s="1">
        <f t="shared" si="10"/>
        <v>67.999999999999986</v>
      </c>
      <c r="N78" s="8">
        <f t="shared" si="5"/>
        <v>-0.9</v>
      </c>
      <c r="O78" s="1">
        <f t="shared" si="6"/>
        <v>32.199999999999996</v>
      </c>
      <c r="P78" s="1">
        <v>39</v>
      </c>
      <c r="Q78" s="1">
        <f t="shared" si="13"/>
        <v>0.65468749999999998</v>
      </c>
      <c r="R78" s="9">
        <f t="shared" si="7"/>
        <v>0.58921875000000001</v>
      </c>
      <c r="S78" s="9">
        <f t="shared" si="3"/>
        <v>-0.58921875000000001</v>
      </c>
      <c r="T78" s="9">
        <f t="shared" si="12"/>
        <v>72.339999999999989</v>
      </c>
      <c r="V78" s="10">
        <v>585.20000000000005</v>
      </c>
      <c r="W78" s="1">
        <f t="shared" si="4"/>
        <v>78.026666666666671</v>
      </c>
      <c r="X78" s="1">
        <f t="shared" si="11"/>
        <v>34159.69999999999</v>
      </c>
      <c r="AA78" s="1">
        <v>10.9919703248208</v>
      </c>
    </row>
    <row r="79" spans="1:27" s="1" customFormat="1" x14ac:dyDescent="0.25">
      <c r="A79" s="80"/>
      <c r="B79" s="5"/>
      <c r="C79" s="3">
        <v>41560</v>
      </c>
      <c r="D79" s="1">
        <v>8.4</v>
      </c>
      <c r="E79" s="1">
        <v>5.6</v>
      </c>
      <c r="F79" s="1">
        <v>9.8000000000000007</v>
      </c>
      <c r="G79" s="1">
        <f t="shared" si="8"/>
        <v>556.4</v>
      </c>
      <c r="J79" s="1">
        <v>10.1</v>
      </c>
      <c r="K79" s="1">
        <f t="shared" si="9"/>
        <v>110.29999999999997</v>
      </c>
      <c r="L79" s="1">
        <v>0.7</v>
      </c>
      <c r="M79" s="1">
        <f t="shared" si="10"/>
        <v>68.699999999999989</v>
      </c>
      <c r="N79" s="1">
        <f t="shared" si="5"/>
        <v>9.4</v>
      </c>
      <c r="O79" s="1">
        <f t="shared" si="6"/>
        <v>41.599999999999994</v>
      </c>
      <c r="P79" s="1">
        <v>40</v>
      </c>
      <c r="Q79" s="1">
        <f t="shared" si="13"/>
        <v>0.66484374999999996</v>
      </c>
      <c r="R79" s="9">
        <f t="shared" si="7"/>
        <v>0.46539062499999995</v>
      </c>
      <c r="S79" s="9">
        <f t="shared" si="3"/>
        <v>9.6346093750000001</v>
      </c>
      <c r="T79" s="9">
        <f t="shared" si="12"/>
        <v>81.974609374999986</v>
      </c>
      <c r="V79" s="10">
        <v>450.3</v>
      </c>
      <c r="W79" s="1">
        <f t="shared" si="4"/>
        <v>53.607142857142854</v>
      </c>
      <c r="X79" s="1">
        <f t="shared" si="11"/>
        <v>34609.999999999993</v>
      </c>
      <c r="AA79" s="1">
        <v>10.931676343982099</v>
      </c>
    </row>
    <row r="80" spans="1:27" s="1" customFormat="1" x14ac:dyDescent="0.25">
      <c r="A80" s="80"/>
      <c r="B80" s="5"/>
      <c r="C80" s="3">
        <v>41561</v>
      </c>
      <c r="D80" s="1">
        <v>10.199999999999999</v>
      </c>
      <c r="E80" s="1">
        <v>9.3000000000000007</v>
      </c>
      <c r="F80" s="1">
        <v>11.8</v>
      </c>
      <c r="G80" s="1">
        <f t="shared" si="8"/>
        <v>566.6</v>
      </c>
      <c r="J80" s="1">
        <v>11.1</v>
      </c>
      <c r="K80" s="1">
        <f t="shared" si="9"/>
        <v>121.39999999999996</v>
      </c>
      <c r="L80" s="1">
        <v>0.9</v>
      </c>
      <c r="M80" s="1">
        <f t="shared" si="10"/>
        <v>69.599999999999994</v>
      </c>
      <c r="N80" s="1">
        <f t="shared" si="5"/>
        <v>10.199999999999999</v>
      </c>
      <c r="O80" s="1">
        <f t="shared" si="6"/>
        <v>51.8</v>
      </c>
      <c r="P80" s="1">
        <v>41</v>
      </c>
      <c r="Q80" s="1">
        <f t="shared" si="13"/>
        <v>0.67500000000000004</v>
      </c>
      <c r="R80" s="9">
        <f t="shared" si="7"/>
        <v>0.60750000000000004</v>
      </c>
      <c r="S80" s="9">
        <f t="shared" si="3"/>
        <v>10.4925</v>
      </c>
      <c r="T80" s="9">
        <f t="shared" si="12"/>
        <v>92.467109374999978</v>
      </c>
      <c r="V80" s="10">
        <v>211</v>
      </c>
      <c r="W80" s="1">
        <f t="shared" si="4"/>
        <v>20.686274509803923</v>
      </c>
      <c r="X80" s="1">
        <f t="shared" si="11"/>
        <v>34820.999999999993</v>
      </c>
      <c r="AA80" s="1">
        <v>10.8715061368113</v>
      </c>
    </row>
    <row r="81" spans="1:27" s="1" customFormat="1" x14ac:dyDescent="0.25">
      <c r="A81" s="80"/>
      <c r="B81" s="5"/>
      <c r="C81" s="3">
        <v>41562</v>
      </c>
      <c r="D81" s="1">
        <v>9.6</v>
      </c>
      <c r="E81" s="1">
        <v>8.9</v>
      </c>
      <c r="F81" s="1">
        <v>12.4</v>
      </c>
      <c r="G81" s="1">
        <f t="shared" si="8"/>
        <v>576.20000000000005</v>
      </c>
      <c r="J81" s="1">
        <v>0.2</v>
      </c>
      <c r="K81" s="1">
        <f t="shared" si="9"/>
        <v>121.59999999999997</v>
      </c>
      <c r="L81" s="1">
        <v>1.4</v>
      </c>
      <c r="M81" s="1">
        <f t="shared" si="10"/>
        <v>71</v>
      </c>
      <c r="N81" s="8">
        <f t="shared" si="5"/>
        <v>-1.2</v>
      </c>
      <c r="O81" s="1">
        <f t="shared" si="6"/>
        <v>50.599999999999994</v>
      </c>
      <c r="P81" s="1">
        <v>42</v>
      </c>
      <c r="Q81" s="1">
        <f t="shared" si="13"/>
        <v>0.68515624999999991</v>
      </c>
      <c r="R81" s="9">
        <f t="shared" si="7"/>
        <v>0.95921874999999979</v>
      </c>
      <c r="S81" s="9">
        <f t="shared" si="3"/>
        <v>-0.75921874999999983</v>
      </c>
      <c r="T81" s="9">
        <f t="shared" si="12"/>
        <v>91.707890624999976</v>
      </c>
      <c r="V81" s="10">
        <v>739.3</v>
      </c>
      <c r="W81" s="1">
        <f t="shared" si="4"/>
        <v>77.010416666666671</v>
      </c>
      <c r="X81" s="1">
        <f t="shared" si="11"/>
        <v>35560.299999999996</v>
      </c>
      <c r="AA81" s="1">
        <v>10.811469572217</v>
      </c>
    </row>
    <row r="82" spans="1:27" s="1" customFormat="1" x14ac:dyDescent="0.25">
      <c r="A82" s="80"/>
      <c r="B82" s="5"/>
      <c r="C82" s="3">
        <v>41563</v>
      </c>
      <c r="D82" s="1">
        <v>8.5</v>
      </c>
      <c r="E82" s="12">
        <v>3.8</v>
      </c>
      <c r="F82" s="1">
        <v>11.2</v>
      </c>
      <c r="G82" s="1">
        <f t="shared" si="8"/>
        <v>584.70000000000005</v>
      </c>
      <c r="J82" s="1">
        <v>7.8</v>
      </c>
      <c r="K82" s="1">
        <f t="shared" si="9"/>
        <v>129.39999999999998</v>
      </c>
      <c r="L82" s="1">
        <v>0.4</v>
      </c>
      <c r="M82" s="1">
        <f t="shared" si="10"/>
        <v>71.400000000000006</v>
      </c>
      <c r="N82" s="1">
        <f t="shared" si="5"/>
        <v>7.3999999999999995</v>
      </c>
      <c r="O82" s="1">
        <f t="shared" si="6"/>
        <v>57.999999999999993</v>
      </c>
      <c r="P82" s="1">
        <v>43</v>
      </c>
      <c r="Q82" s="1">
        <f t="shared" si="13"/>
        <v>0.6953125</v>
      </c>
      <c r="R82" s="9">
        <f t="shared" si="7"/>
        <v>0.27812500000000001</v>
      </c>
      <c r="S82" s="9">
        <f t="shared" si="3"/>
        <v>7.5218749999999996</v>
      </c>
      <c r="T82" s="9">
        <f t="shared" si="12"/>
        <v>99.22976562499997</v>
      </c>
      <c r="V82" s="10">
        <v>274.7</v>
      </c>
      <c r="W82" s="1">
        <f t="shared" si="4"/>
        <v>32.317647058823525</v>
      </c>
      <c r="X82" s="1">
        <f t="shared" si="11"/>
        <v>35834.999999999993</v>
      </c>
      <c r="AA82" s="1">
        <v>10.7515769489798</v>
      </c>
    </row>
    <row r="83" spans="1:27" s="1" customFormat="1" x14ac:dyDescent="0.25">
      <c r="A83" s="80"/>
      <c r="B83" s="5"/>
      <c r="C83" s="3">
        <v>41564</v>
      </c>
      <c r="D83" s="1">
        <v>12.5</v>
      </c>
      <c r="E83" s="1">
        <v>10.7</v>
      </c>
      <c r="F83" s="1">
        <v>16.2</v>
      </c>
      <c r="G83" s="1">
        <f t="shared" si="8"/>
        <v>597.20000000000005</v>
      </c>
      <c r="J83" s="1">
        <v>1.5</v>
      </c>
      <c r="K83" s="1">
        <f t="shared" si="9"/>
        <v>130.89999999999998</v>
      </c>
      <c r="L83" s="1">
        <v>1.1000000000000001</v>
      </c>
      <c r="M83" s="1">
        <f t="shared" si="10"/>
        <v>72.5</v>
      </c>
      <c r="N83" s="1">
        <f t="shared" si="5"/>
        <v>0.39999999999999991</v>
      </c>
      <c r="O83" s="1">
        <f t="shared" si="6"/>
        <v>58.399999999999991</v>
      </c>
      <c r="P83" s="1">
        <v>44</v>
      </c>
      <c r="Q83" s="1">
        <f t="shared" si="13"/>
        <v>0.70546874999999998</v>
      </c>
      <c r="R83" s="9">
        <f t="shared" si="7"/>
        <v>0.77601562499999999</v>
      </c>
      <c r="S83" s="9">
        <f t="shared" si="3"/>
        <v>0.72398437500000001</v>
      </c>
      <c r="T83" s="9">
        <f t="shared" si="12"/>
        <v>99.953749999999971</v>
      </c>
      <c r="V83" s="10">
        <v>342</v>
      </c>
      <c r="W83" s="1">
        <f t="shared" si="4"/>
        <v>27.36</v>
      </c>
      <c r="X83" s="1">
        <f t="shared" si="11"/>
        <v>36176.999999999993</v>
      </c>
      <c r="AA83" s="1">
        <v>10.691839015636999</v>
      </c>
    </row>
    <row r="84" spans="1:27" s="1" customFormat="1" x14ac:dyDescent="0.25">
      <c r="A84" s="80"/>
      <c r="B84" s="5"/>
      <c r="C84" s="3">
        <v>41565</v>
      </c>
      <c r="D84" s="1">
        <v>10.1</v>
      </c>
      <c r="E84" s="1">
        <v>8.3000000000000007</v>
      </c>
      <c r="F84" s="1">
        <v>12.4</v>
      </c>
      <c r="G84" s="1">
        <f t="shared" si="8"/>
        <v>607.30000000000007</v>
      </c>
      <c r="J84" s="1">
        <v>0.2</v>
      </c>
      <c r="K84" s="1">
        <f t="shared" si="9"/>
        <v>131.09999999999997</v>
      </c>
      <c r="L84" s="1">
        <v>0.6</v>
      </c>
      <c r="M84" s="1">
        <f t="shared" si="10"/>
        <v>73.099999999999994</v>
      </c>
      <c r="N84" s="8">
        <f t="shared" si="5"/>
        <v>-0.39999999999999997</v>
      </c>
      <c r="O84" s="1">
        <f t="shared" si="6"/>
        <v>57.999999999999993</v>
      </c>
      <c r="P84" s="1">
        <v>45</v>
      </c>
      <c r="Q84" s="1">
        <f t="shared" si="13"/>
        <v>0.71562499999999996</v>
      </c>
      <c r="R84" s="9">
        <f t="shared" si="7"/>
        <v>0.42937499999999995</v>
      </c>
      <c r="S84" s="9">
        <f t="shared" si="3"/>
        <v>-0.22937499999999994</v>
      </c>
      <c r="T84" s="9">
        <f t="shared" si="12"/>
        <v>99.724374999999966</v>
      </c>
      <c r="V84" s="10">
        <v>335</v>
      </c>
      <c r="W84" s="1">
        <f t="shared" si="4"/>
        <v>33.168316831683171</v>
      </c>
      <c r="X84" s="1">
        <f t="shared" si="11"/>
        <v>36511.999999999993</v>
      </c>
      <c r="AA84" s="1">
        <v>10.6322669902773</v>
      </c>
    </row>
    <row r="85" spans="1:27" s="1" customFormat="1" x14ac:dyDescent="0.25">
      <c r="A85" s="80"/>
      <c r="B85" s="5"/>
      <c r="C85" s="3">
        <v>41566</v>
      </c>
      <c r="D85" s="1">
        <v>12.6</v>
      </c>
      <c r="E85" s="1">
        <v>9.1</v>
      </c>
      <c r="F85" s="1">
        <v>14.9</v>
      </c>
      <c r="G85" s="1">
        <f t="shared" si="8"/>
        <v>619.90000000000009</v>
      </c>
      <c r="J85" s="1">
        <v>0.6</v>
      </c>
      <c r="K85" s="1">
        <f t="shared" si="9"/>
        <v>131.69999999999996</v>
      </c>
      <c r="L85" s="1">
        <v>0.4</v>
      </c>
      <c r="M85" s="1">
        <f t="shared" si="10"/>
        <v>73.5</v>
      </c>
      <c r="N85" s="1">
        <f t="shared" si="5"/>
        <v>0.19999999999999996</v>
      </c>
      <c r="O85" s="1">
        <f t="shared" si="6"/>
        <v>58.199999999999996</v>
      </c>
      <c r="P85" s="1">
        <v>46</v>
      </c>
      <c r="Q85" s="1">
        <f t="shared" si="13"/>
        <v>0.72578125000000004</v>
      </c>
      <c r="R85" s="9">
        <f t="shared" si="7"/>
        <v>0.29031250000000003</v>
      </c>
      <c r="S85" s="9">
        <f t="shared" si="3"/>
        <v>0.30968749999999995</v>
      </c>
      <c r="T85" s="9">
        <f t="shared" si="12"/>
        <v>100.03406249999996</v>
      </c>
      <c r="V85" s="10">
        <v>209</v>
      </c>
      <c r="W85" s="1">
        <f t="shared" si="4"/>
        <v>16.587301587301589</v>
      </c>
      <c r="X85" s="1">
        <f t="shared" si="11"/>
        <v>36720.999999999993</v>
      </c>
      <c r="AA85" s="1">
        <v>10.572872580196901</v>
      </c>
    </row>
    <row r="86" spans="1:27" s="1" customFormat="1" x14ac:dyDescent="0.25">
      <c r="A86" s="80"/>
      <c r="B86" s="5"/>
      <c r="C86" s="3">
        <v>41567</v>
      </c>
      <c r="D86" s="1">
        <v>14</v>
      </c>
      <c r="E86" s="1">
        <v>12.7</v>
      </c>
      <c r="F86" s="1">
        <v>16</v>
      </c>
      <c r="G86" s="1">
        <f t="shared" si="8"/>
        <v>633.90000000000009</v>
      </c>
      <c r="J86" s="1">
        <v>3.6</v>
      </c>
      <c r="K86" s="1">
        <f t="shared" si="9"/>
        <v>135.29999999999995</v>
      </c>
      <c r="L86" s="1">
        <v>0.9</v>
      </c>
      <c r="M86" s="1">
        <f t="shared" si="10"/>
        <v>74.400000000000006</v>
      </c>
      <c r="N86" s="1">
        <f t="shared" si="5"/>
        <v>2.7</v>
      </c>
      <c r="O86" s="1">
        <f t="shared" si="6"/>
        <v>60.9</v>
      </c>
      <c r="P86" s="1">
        <v>47</v>
      </c>
      <c r="Q86" s="1">
        <f t="shared" si="13"/>
        <v>0.73593749999999991</v>
      </c>
      <c r="R86" s="9">
        <f t="shared" si="7"/>
        <v>0.6623437499999999</v>
      </c>
      <c r="S86" s="9">
        <f t="shared" si="3"/>
        <v>2.9376562500000003</v>
      </c>
      <c r="T86" s="9">
        <f t="shared" si="12"/>
        <v>102.97171874999997</v>
      </c>
      <c r="V86" s="10">
        <v>364.2</v>
      </c>
      <c r="W86" s="1">
        <f t="shared" si="4"/>
        <v>26.014285714285712</v>
      </c>
      <c r="X86" s="1">
        <f t="shared" si="11"/>
        <v>37085.19999999999</v>
      </c>
      <c r="AA86" s="1">
        <v>10.513668001364699</v>
      </c>
    </row>
    <row r="87" spans="1:27" s="1" customFormat="1" x14ac:dyDescent="0.25">
      <c r="A87" s="80"/>
      <c r="B87" s="5"/>
      <c r="C87" s="3">
        <v>41568</v>
      </c>
      <c r="D87" s="1">
        <v>15.4</v>
      </c>
      <c r="E87" s="1">
        <v>13.4</v>
      </c>
      <c r="F87" s="1">
        <v>18.100000000000001</v>
      </c>
      <c r="G87" s="1">
        <f t="shared" si="8"/>
        <v>649.30000000000007</v>
      </c>
      <c r="J87" s="1">
        <v>0.1</v>
      </c>
      <c r="K87" s="1">
        <f t="shared" si="9"/>
        <v>135.39999999999995</v>
      </c>
      <c r="L87" s="1">
        <v>1.2</v>
      </c>
      <c r="M87" s="1">
        <f t="shared" si="10"/>
        <v>75.600000000000009</v>
      </c>
      <c r="N87" s="8">
        <f t="shared" si="5"/>
        <v>-1.0999999999999999</v>
      </c>
      <c r="O87" s="1">
        <f t="shared" si="6"/>
        <v>59.8</v>
      </c>
      <c r="P87" s="1">
        <v>48</v>
      </c>
      <c r="Q87" s="1">
        <f t="shared" si="13"/>
        <v>0.74609375</v>
      </c>
      <c r="R87" s="9">
        <f t="shared" si="7"/>
        <v>0.89531249999999996</v>
      </c>
      <c r="S87" s="9">
        <f t="shared" si="3"/>
        <v>-0.79531249999999998</v>
      </c>
      <c r="T87" s="9">
        <f t="shared" si="12"/>
        <v>102.17640624999997</v>
      </c>
      <c r="V87" s="10">
        <v>342.9</v>
      </c>
      <c r="W87" s="1">
        <f t="shared" si="4"/>
        <v>22.266233766233764</v>
      </c>
      <c r="X87" s="1">
        <f t="shared" si="11"/>
        <v>37428.099999999991</v>
      </c>
      <c r="AA87" s="1">
        <v>10.4546659976386</v>
      </c>
    </row>
    <row r="88" spans="1:27" s="1" customFormat="1" x14ac:dyDescent="0.25">
      <c r="A88" s="80"/>
      <c r="B88" s="5"/>
      <c r="C88" s="3">
        <v>41569</v>
      </c>
      <c r="D88" s="1">
        <v>16.600000000000001</v>
      </c>
      <c r="E88" s="1">
        <v>14.5</v>
      </c>
      <c r="F88" s="1">
        <v>19.7</v>
      </c>
      <c r="G88" s="1">
        <f t="shared" si="8"/>
        <v>665.90000000000009</v>
      </c>
      <c r="J88" s="1">
        <v>0.1</v>
      </c>
      <c r="K88" s="1">
        <f t="shared" si="9"/>
        <v>135.49999999999994</v>
      </c>
      <c r="L88" s="1">
        <v>1.3</v>
      </c>
      <c r="M88" s="1">
        <f t="shared" si="10"/>
        <v>76.900000000000006</v>
      </c>
      <c r="N88" s="8">
        <f t="shared" si="5"/>
        <v>-1.2</v>
      </c>
      <c r="O88" s="1">
        <f t="shared" si="6"/>
        <v>58.599999999999994</v>
      </c>
      <c r="P88" s="1">
        <v>49</v>
      </c>
      <c r="Q88" s="1">
        <f t="shared" si="13"/>
        <v>0.75624999999999998</v>
      </c>
      <c r="R88" s="9">
        <f t="shared" si="7"/>
        <v>0.98312500000000003</v>
      </c>
      <c r="S88" s="9">
        <f t="shared" si="3"/>
        <v>-0.88312500000000005</v>
      </c>
      <c r="T88" s="9">
        <f t="shared" si="12"/>
        <v>101.29328124999996</v>
      </c>
      <c r="V88" s="10">
        <v>405.2</v>
      </c>
      <c r="W88" s="1">
        <f t="shared" si="4"/>
        <v>24.409638554216865</v>
      </c>
      <c r="X88" s="1">
        <f t="shared" si="11"/>
        <v>37833.299999999988</v>
      </c>
      <c r="AA88" s="1">
        <v>10.3958798596663</v>
      </c>
    </row>
    <row r="89" spans="1:27" s="1" customFormat="1" x14ac:dyDescent="0.25">
      <c r="A89" s="80"/>
      <c r="B89" s="5"/>
      <c r="C89" s="3">
        <v>41570</v>
      </c>
      <c r="D89" s="1">
        <v>15.2</v>
      </c>
      <c r="E89" s="1">
        <v>14</v>
      </c>
      <c r="F89" s="1">
        <v>18.399999999999999</v>
      </c>
      <c r="G89" s="1">
        <f t="shared" si="8"/>
        <v>681.10000000000014</v>
      </c>
      <c r="J89" s="1">
        <v>3.2</v>
      </c>
      <c r="K89" s="1">
        <f t="shared" si="9"/>
        <v>138.69999999999993</v>
      </c>
      <c r="L89" s="1">
        <v>1.9</v>
      </c>
      <c r="M89" s="1">
        <f t="shared" si="10"/>
        <v>78.800000000000011</v>
      </c>
      <c r="N89" s="1">
        <f t="shared" si="5"/>
        <v>1.3000000000000003</v>
      </c>
      <c r="O89" s="1">
        <f t="shared" si="6"/>
        <v>59.899999999999991</v>
      </c>
      <c r="P89" s="1">
        <v>50</v>
      </c>
      <c r="Q89" s="1">
        <f t="shared" si="13"/>
        <v>0.76640624999999996</v>
      </c>
      <c r="R89" s="9">
        <f t="shared" si="7"/>
        <v>1.4561718749999999</v>
      </c>
      <c r="S89" s="9">
        <f t="shared" si="3"/>
        <v>1.7438281250000003</v>
      </c>
      <c r="T89" s="9">
        <f t="shared" si="12"/>
        <v>103.03710937499997</v>
      </c>
      <c r="V89" s="10">
        <v>598.6</v>
      </c>
      <c r="W89" s="1">
        <f t="shared" si="4"/>
        <v>39.381578947368425</v>
      </c>
      <c r="X89" s="1">
        <f t="shared" si="11"/>
        <v>38431.899999999987</v>
      </c>
      <c r="AA89" s="1">
        <v>10.337323443400599</v>
      </c>
    </row>
    <row r="90" spans="1:27" s="1" customFormat="1" x14ac:dyDescent="0.25">
      <c r="A90" s="80"/>
      <c r="B90" s="5"/>
      <c r="C90" s="3">
        <v>41571</v>
      </c>
      <c r="D90" s="1">
        <v>12.2</v>
      </c>
      <c r="E90" s="1">
        <v>11.2</v>
      </c>
      <c r="F90" s="1">
        <v>14</v>
      </c>
      <c r="G90" s="1">
        <f t="shared" si="8"/>
        <v>693.30000000000018</v>
      </c>
      <c r="J90" s="1">
        <v>1.1000000000000001</v>
      </c>
      <c r="K90" s="1">
        <f t="shared" si="9"/>
        <v>139.79999999999993</v>
      </c>
      <c r="L90" s="1">
        <v>0.7</v>
      </c>
      <c r="M90" s="1">
        <f t="shared" si="10"/>
        <v>79.500000000000014</v>
      </c>
      <c r="N90" s="1">
        <f t="shared" si="5"/>
        <v>0.40000000000000013</v>
      </c>
      <c r="O90" s="1">
        <f t="shared" si="6"/>
        <v>60.29999999999999</v>
      </c>
      <c r="P90" s="1">
        <v>51</v>
      </c>
      <c r="Q90" s="1">
        <f t="shared" si="13"/>
        <v>0.77656250000000004</v>
      </c>
      <c r="R90" s="9">
        <f t="shared" si="7"/>
        <v>0.54359374999999999</v>
      </c>
      <c r="S90" s="9">
        <f t="shared" si="3"/>
        <v>0.5564062500000001</v>
      </c>
      <c r="T90" s="9">
        <f t="shared" si="12"/>
        <v>103.59351562499997</v>
      </c>
      <c r="V90" s="10">
        <v>290.8</v>
      </c>
      <c r="W90" s="1">
        <f t="shared" si="4"/>
        <v>23.836065573770494</v>
      </c>
      <c r="X90" s="1">
        <f t="shared" si="11"/>
        <v>38722.69999999999</v>
      </c>
      <c r="AA90" s="1">
        <v>10.2790111881509</v>
      </c>
    </row>
    <row r="91" spans="1:27" s="1" customFormat="1" x14ac:dyDescent="0.25">
      <c r="A91" s="80"/>
      <c r="B91" s="5"/>
      <c r="C91" s="3">
        <v>41572</v>
      </c>
      <c r="D91" s="1">
        <v>15.4</v>
      </c>
      <c r="E91" s="1">
        <v>11.5</v>
      </c>
      <c r="F91" s="1">
        <v>17.7</v>
      </c>
      <c r="G91" s="1">
        <f t="shared" si="8"/>
        <v>708.70000000000016</v>
      </c>
      <c r="J91" s="1">
        <v>1.5</v>
      </c>
      <c r="K91" s="1">
        <f t="shared" si="9"/>
        <v>141.29999999999993</v>
      </c>
      <c r="L91" s="1">
        <v>0.9</v>
      </c>
      <c r="M91" s="1">
        <f t="shared" si="10"/>
        <v>80.40000000000002</v>
      </c>
      <c r="N91" s="1">
        <f t="shared" si="5"/>
        <v>0.6</v>
      </c>
      <c r="O91" s="1">
        <f t="shared" si="6"/>
        <v>60.899999999999991</v>
      </c>
      <c r="P91" s="1">
        <v>52</v>
      </c>
      <c r="Q91" s="1">
        <f t="shared" si="13"/>
        <v>0.78671874999999991</v>
      </c>
      <c r="R91" s="9">
        <f t="shared" si="7"/>
        <v>0.70804687499999996</v>
      </c>
      <c r="S91" s="9">
        <f t="shared" si="3"/>
        <v>0.79195312500000004</v>
      </c>
      <c r="T91" s="9">
        <f t="shared" si="12"/>
        <v>104.38546874999997</v>
      </c>
      <c r="V91" s="10">
        <v>610.4</v>
      </c>
      <c r="W91" s="1">
        <f t="shared" si="4"/>
        <v>39.636363636363633</v>
      </c>
      <c r="X91" s="1">
        <f t="shared" si="11"/>
        <v>39333.099999999991</v>
      </c>
      <c r="AA91" s="1">
        <v>10.2209581340834</v>
      </c>
    </row>
    <row r="92" spans="1:27" s="1" customFormat="1" x14ac:dyDescent="0.25">
      <c r="A92" s="80"/>
      <c r="B92" s="5"/>
      <c r="C92" s="3">
        <v>41573</v>
      </c>
      <c r="D92" s="1">
        <v>15.7</v>
      </c>
      <c r="E92" s="1">
        <v>14.2</v>
      </c>
      <c r="F92" s="1">
        <v>18.8</v>
      </c>
      <c r="G92" s="1">
        <f t="shared" si="8"/>
        <v>724.4000000000002</v>
      </c>
      <c r="J92" s="1">
        <v>0.8</v>
      </c>
      <c r="K92" s="1">
        <f t="shared" si="9"/>
        <v>142.09999999999994</v>
      </c>
      <c r="L92" s="1">
        <v>1.6</v>
      </c>
      <c r="M92" s="1">
        <f t="shared" si="10"/>
        <v>82.000000000000014</v>
      </c>
      <c r="N92" s="8">
        <f t="shared" si="5"/>
        <v>-0.8</v>
      </c>
      <c r="O92" s="1">
        <f t="shared" si="6"/>
        <v>60.099999999999994</v>
      </c>
      <c r="P92" s="1">
        <v>53</v>
      </c>
      <c r="Q92" s="1">
        <f t="shared" si="13"/>
        <v>0.796875</v>
      </c>
      <c r="R92" s="9">
        <f t="shared" si="7"/>
        <v>1.2750000000000001</v>
      </c>
      <c r="S92" s="9">
        <f t="shared" si="3"/>
        <v>-0.47500000000000009</v>
      </c>
      <c r="T92" s="9">
        <f t="shared" si="12"/>
        <v>103.91046874999998</v>
      </c>
      <c r="V92" s="10">
        <v>576.9</v>
      </c>
      <c r="W92" s="1">
        <f t="shared" si="4"/>
        <v>36.745222929936304</v>
      </c>
      <c r="X92" s="1">
        <f t="shared" si="11"/>
        <v>39909.999999999993</v>
      </c>
      <c r="AA92" s="1">
        <v>10.1631799390808</v>
      </c>
    </row>
    <row r="93" spans="1:27" s="1" customFormat="1" x14ac:dyDescent="0.25">
      <c r="A93" s="80"/>
      <c r="B93" s="5"/>
      <c r="C93" s="3">
        <v>41574</v>
      </c>
      <c r="D93" s="1">
        <v>14.7</v>
      </c>
      <c r="E93" s="1">
        <v>14.1</v>
      </c>
      <c r="F93" s="1">
        <v>16.100000000000001</v>
      </c>
      <c r="G93" s="1">
        <f t="shared" si="8"/>
        <v>739.10000000000025</v>
      </c>
      <c r="J93" s="1">
        <v>3.4</v>
      </c>
      <c r="K93" s="1">
        <f t="shared" si="9"/>
        <v>145.49999999999994</v>
      </c>
      <c r="L93" s="1">
        <v>2.2999999999999998</v>
      </c>
      <c r="M93" s="1">
        <f t="shared" si="10"/>
        <v>84.300000000000011</v>
      </c>
      <c r="N93" s="1">
        <f t="shared" si="5"/>
        <v>1.1000000000000001</v>
      </c>
      <c r="O93" s="1">
        <f t="shared" si="6"/>
        <v>61.199999999999996</v>
      </c>
      <c r="P93" s="1">
        <v>54</v>
      </c>
      <c r="Q93" s="1">
        <f t="shared" si="13"/>
        <v>0.80703124999999998</v>
      </c>
      <c r="R93" s="9">
        <f t="shared" si="7"/>
        <v>1.8561718749999998</v>
      </c>
      <c r="S93" s="9">
        <f t="shared" si="3"/>
        <v>1.5438281250000001</v>
      </c>
      <c r="T93" s="9">
        <f t="shared" si="12"/>
        <v>105.45429687499998</v>
      </c>
      <c r="V93" s="10">
        <v>312.5</v>
      </c>
      <c r="W93" s="1">
        <f t="shared" si="4"/>
        <v>21.258503401360546</v>
      </c>
      <c r="X93" s="1">
        <f t="shared" si="11"/>
        <v>40222.499999999993</v>
      </c>
      <c r="AA93" s="1">
        <v>10.105692894858199</v>
      </c>
    </row>
    <row r="94" spans="1:27" s="1" customFormat="1" x14ac:dyDescent="0.25">
      <c r="A94" s="80"/>
      <c r="B94" s="5"/>
      <c r="C94" s="3">
        <v>41575</v>
      </c>
      <c r="D94" s="1">
        <v>12.7</v>
      </c>
      <c r="E94" s="1">
        <v>10.199999999999999</v>
      </c>
      <c r="F94" s="1">
        <v>15.5</v>
      </c>
      <c r="G94" s="1">
        <f t="shared" si="8"/>
        <v>751.8000000000003</v>
      </c>
      <c r="J94" s="1">
        <v>2.2999999999999998</v>
      </c>
      <c r="K94" s="1">
        <f t="shared" si="9"/>
        <v>147.79999999999995</v>
      </c>
      <c r="L94" s="1">
        <v>1.5</v>
      </c>
      <c r="M94" s="1">
        <f t="shared" si="10"/>
        <v>85.800000000000011</v>
      </c>
      <c r="N94" s="1">
        <f t="shared" si="5"/>
        <v>0.79999999999999982</v>
      </c>
      <c r="O94" s="1">
        <f t="shared" si="6"/>
        <v>61.999999999999993</v>
      </c>
      <c r="P94" s="1">
        <v>55</v>
      </c>
      <c r="Q94" s="1">
        <f t="shared" si="13"/>
        <v>0.81718749999999996</v>
      </c>
      <c r="R94" s="9">
        <f t="shared" si="7"/>
        <v>1.2257812499999998</v>
      </c>
      <c r="S94" s="9">
        <f t="shared" si="3"/>
        <v>1.07421875</v>
      </c>
      <c r="T94" s="9">
        <f t="shared" si="12"/>
        <v>106.52851562499998</v>
      </c>
      <c r="V94" s="10">
        <v>345.3</v>
      </c>
      <c r="W94" s="1">
        <f t="shared" si="4"/>
        <v>27.188976377952759</v>
      </c>
      <c r="X94" s="1">
        <f t="shared" si="11"/>
        <v>40567.799999999996</v>
      </c>
      <c r="AA94" s="1">
        <v>10.0485139422284</v>
      </c>
    </row>
    <row r="95" spans="1:27" s="1" customFormat="1" x14ac:dyDescent="0.25">
      <c r="A95" s="80"/>
      <c r="B95" s="5"/>
      <c r="C95" s="3">
        <v>41576</v>
      </c>
      <c r="D95" s="1">
        <v>9.1999999999999993</v>
      </c>
      <c r="E95" s="1">
        <v>8.3000000000000007</v>
      </c>
      <c r="F95" s="1">
        <v>12.5</v>
      </c>
      <c r="G95" s="1">
        <f t="shared" si="8"/>
        <v>761.00000000000034</v>
      </c>
      <c r="J95" s="1">
        <v>0.7</v>
      </c>
      <c r="K95" s="1">
        <f t="shared" si="9"/>
        <v>148.49999999999994</v>
      </c>
      <c r="L95" s="1">
        <v>1.5</v>
      </c>
      <c r="M95" s="1">
        <f t="shared" si="10"/>
        <v>87.300000000000011</v>
      </c>
      <c r="N95" s="8">
        <f t="shared" si="5"/>
        <v>-0.8</v>
      </c>
      <c r="O95" s="1">
        <f t="shared" si="6"/>
        <v>61.199999999999996</v>
      </c>
      <c r="P95" s="1">
        <v>56</v>
      </c>
      <c r="Q95" s="1">
        <f t="shared" si="13"/>
        <v>0.82734375000000004</v>
      </c>
      <c r="R95" s="9">
        <f t="shared" si="7"/>
        <v>1.2410156250000002</v>
      </c>
      <c r="S95" s="9">
        <f t="shared" si="3"/>
        <v>-0.54101562500000022</v>
      </c>
      <c r="T95" s="9">
        <f t="shared" si="12"/>
        <v>105.98749999999998</v>
      </c>
      <c r="V95" s="10">
        <v>562.5</v>
      </c>
      <c r="W95" s="1">
        <f t="shared" si="4"/>
        <v>61.141304347826093</v>
      </c>
      <c r="X95" s="1">
        <f t="shared" si="11"/>
        <v>41130.299999999996</v>
      </c>
      <c r="AA95" s="1">
        <v>9.9916606854013104</v>
      </c>
    </row>
    <row r="96" spans="1:27" s="1" customFormat="1" x14ac:dyDescent="0.25">
      <c r="A96" s="80"/>
      <c r="B96" s="5"/>
      <c r="C96" s="3">
        <v>41577</v>
      </c>
      <c r="D96" s="1">
        <v>7.7</v>
      </c>
      <c r="E96" s="12">
        <v>4.5999999999999996</v>
      </c>
      <c r="F96" s="1">
        <v>13.1</v>
      </c>
      <c r="G96" s="1">
        <f t="shared" si="8"/>
        <v>768.70000000000039</v>
      </c>
      <c r="J96" s="1">
        <v>0</v>
      </c>
      <c r="K96" s="1">
        <f t="shared" si="9"/>
        <v>148.49999999999994</v>
      </c>
      <c r="L96" s="1">
        <v>1.4</v>
      </c>
      <c r="M96" s="1">
        <f t="shared" si="10"/>
        <v>88.700000000000017</v>
      </c>
      <c r="N96" s="8">
        <f t="shared" si="5"/>
        <v>-1.4</v>
      </c>
      <c r="O96" s="1">
        <f t="shared" si="6"/>
        <v>59.8</v>
      </c>
      <c r="P96" s="1">
        <v>57</v>
      </c>
      <c r="Q96" s="1">
        <f t="shared" si="13"/>
        <v>0.83750000000000002</v>
      </c>
      <c r="R96" s="9">
        <f t="shared" si="7"/>
        <v>1.1724999999999999</v>
      </c>
      <c r="S96" s="9">
        <f t="shared" si="3"/>
        <v>-1.1724999999999999</v>
      </c>
      <c r="T96" s="9">
        <f t="shared" si="12"/>
        <v>104.81499999999998</v>
      </c>
      <c r="V96" s="10">
        <v>830.6</v>
      </c>
      <c r="W96" s="1">
        <f t="shared" si="4"/>
        <v>107.87012987012987</v>
      </c>
      <c r="X96" s="1">
        <f t="shared" si="11"/>
        <v>41960.899999999994</v>
      </c>
      <c r="AA96" s="1">
        <v>9.9351514051933396</v>
      </c>
    </row>
    <row r="97" spans="1:27" s="1" customFormat="1" x14ac:dyDescent="0.25">
      <c r="A97" s="80"/>
      <c r="B97" s="5"/>
      <c r="C97" s="3">
        <v>41578</v>
      </c>
      <c r="D97" s="1">
        <v>9.1999999999999993</v>
      </c>
      <c r="E97" s="12">
        <v>4.5999999999999996</v>
      </c>
      <c r="F97" s="1">
        <v>13</v>
      </c>
      <c r="G97" s="1">
        <f t="shared" si="8"/>
        <v>777.90000000000043</v>
      </c>
      <c r="J97" s="1">
        <v>1.1000000000000001</v>
      </c>
      <c r="K97" s="1">
        <f t="shared" si="9"/>
        <v>149.59999999999994</v>
      </c>
      <c r="L97" s="1">
        <v>1</v>
      </c>
      <c r="M97" s="1">
        <f t="shared" si="10"/>
        <v>89.700000000000017</v>
      </c>
      <c r="N97" s="1">
        <f t="shared" si="5"/>
        <v>0.10000000000000009</v>
      </c>
      <c r="O97" s="1">
        <f t="shared" si="6"/>
        <v>59.9</v>
      </c>
      <c r="P97" s="1">
        <v>58</v>
      </c>
      <c r="Q97" s="1">
        <f t="shared" si="13"/>
        <v>0.84765625</v>
      </c>
      <c r="R97" s="9">
        <f t="shared" si="7"/>
        <v>0.84765625</v>
      </c>
      <c r="S97" s="9">
        <f t="shared" si="3"/>
        <v>0.25234375000000009</v>
      </c>
      <c r="T97" s="9">
        <f t="shared" si="12"/>
        <v>105.06734374999998</v>
      </c>
      <c r="V97" s="10">
        <v>639.4</v>
      </c>
      <c r="W97" s="1">
        <f t="shared" si="4"/>
        <v>69.5</v>
      </c>
      <c r="X97" s="1">
        <f t="shared" si="11"/>
        <v>42600.299999999996</v>
      </c>
      <c r="AA97" s="1">
        <v>9.8790050710149195</v>
      </c>
    </row>
    <row r="98" spans="1:27" s="1" customFormat="1" x14ac:dyDescent="0.25">
      <c r="A98" s="80"/>
      <c r="B98" s="5"/>
      <c r="C98" s="3">
        <v>41579</v>
      </c>
      <c r="D98" s="1">
        <v>10</v>
      </c>
      <c r="E98" s="1">
        <v>9.1</v>
      </c>
      <c r="F98" s="1">
        <v>13.1</v>
      </c>
      <c r="G98" s="1">
        <f t="shared" si="8"/>
        <v>787.90000000000043</v>
      </c>
      <c r="J98" s="1">
        <v>12.7</v>
      </c>
      <c r="K98" s="1">
        <f t="shared" si="9"/>
        <v>162.29999999999993</v>
      </c>
      <c r="L98" s="1">
        <v>0.8</v>
      </c>
      <c r="M98" s="1">
        <f t="shared" si="10"/>
        <v>90.500000000000014</v>
      </c>
      <c r="N98" s="1">
        <f t="shared" si="5"/>
        <v>11.899999999999999</v>
      </c>
      <c r="O98" s="1">
        <f t="shared" si="6"/>
        <v>71.8</v>
      </c>
      <c r="P98" s="1">
        <v>59</v>
      </c>
      <c r="Q98" s="1">
        <f t="shared" si="13"/>
        <v>0.85781249999999998</v>
      </c>
      <c r="R98" s="9">
        <f t="shared" si="7"/>
        <v>0.68625000000000003</v>
      </c>
      <c r="S98" s="9">
        <f t="shared" si="3"/>
        <v>12.01375</v>
      </c>
      <c r="T98" s="9">
        <f t="shared" si="12"/>
        <v>117.08109374999998</v>
      </c>
      <c r="V98" s="10">
        <v>102.2</v>
      </c>
      <c r="W98" s="1">
        <f t="shared" si="4"/>
        <v>10.220000000000001</v>
      </c>
      <c r="X98" s="1">
        <f t="shared" si="11"/>
        <v>42702.499999999993</v>
      </c>
      <c r="AA98" s="1">
        <v>9.8232413514974795</v>
      </c>
    </row>
    <row r="99" spans="1:27" s="1" customFormat="1" x14ac:dyDescent="0.25">
      <c r="A99" s="80"/>
      <c r="B99" s="5"/>
      <c r="C99" s="3">
        <v>41580</v>
      </c>
      <c r="D99" s="1">
        <v>12.9</v>
      </c>
      <c r="E99" s="1">
        <v>9.3000000000000007</v>
      </c>
      <c r="F99" s="1">
        <v>14.8</v>
      </c>
      <c r="G99" s="1">
        <f t="shared" si="8"/>
        <v>800.80000000000041</v>
      </c>
      <c r="J99" s="1">
        <v>4.0999999999999996</v>
      </c>
      <c r="K99" s="1">
        <f t="shared" si="9"/>
        <v>166.39999999999992</v>
      </c>
      <c r="L99" s="1">
        <v>0.5</v>
      </c>
      <c r="M99" s="1">
        <f t="shared" si="10"/>
        <v>91.000000000000014</v>
      </c>
      <c r="N99" s="1">
        <f t="shared" si="5"/>
        <v>3.5999999999999996</v>
      </c>
      <c r="O99" s="1">
        <f t="shared" si="6"/>
        <v>75.399999999999991</v>
      </c>
      <c r="P99" s="1">
        <v>60</v>
      </c>
      <c r="Q99" s="1">
        <f t="shared" si="13"/>
        <v>0.86796874999999996</v>
      </c>
      <c r="R99" s="9">
        <f t="shared" si="7"/>
        <v>0.43398437499999998</v>
      </c>
      <c r="S99" s="9">
        <f t="shared" si="3"/>
        <v>3.6660156249999996</v>
      </c>
      <c r="T99" s="9">
        <f t="shared" si="12"/>
        <v>120.74710937499998</v>
      </c>
      <c r="V99" s="10">
        <v>286.39999999999998</v>
      </c>
      <c r="W99" s="1">
        <f t="shared" si="4"/>
        <v>22.201550387596896</v>
      </c>
      <c r="X99" s="1">
        <f t="shared" si="11"/>
        <v>42988.899999999994</v>
      </c>
      <c r="AA99" s="1">
        <v>9.7678806236124096</v>
      </c>
    </row>
    <row r="100" spans="1:27" s="1" customFormat="1" x14ac:dyDescent="0.25">
      <c r="A100" s="80"/>
      <c r="B100" s="5"/>
      <c r="C100" s="3">
        <v>41581</v>
      </c>
      <c r="D100" s="1">
        <v>9.1999999999999993</v>
      </c>
      <c r="E100" s="1">
        <v>7.4</v>
      </c>
      <c r="F100" s="1">
        <v>11.9</v>
      </c>
      <c r="G100" s="1">
        <f t="shared" si="8"/>
        <v>810.00000000000045</v>
      </c>
      <c r="J100" s="1">
        <v>4.7</v>
      </c>
      <c r="K100" s="1">
        <f t="shared" si="9"/>
        <v>171.09999999999991</v>
      </c>
      <c r="L100" s="1">
        <v>1.3</v>
      </c>
      <c r="M100" s="1">
        <f t="shared" si="10"/>
        <v>92.300000000000011</v>
      </c>
      <c r="N100" s="1">
        <f t="shared" si="5"/>
        <v>3.4000000000000004</v>
      </c>
      <c r="O100" s="1">
        <f t="shared" si="6"/>
        <v>78.8</v>
      </c>
      <c r="P100" s="1">
        <v>61</v>
      </c>
      <c r="Q100" s="1">
        <f t="shared" si="13"/>
        <v>0.87812500000000004</v>
      </c>
      <c r="R100" s="9">
        <f t="shared" si="7"/>
        <v>1.1415625</v>
      </c>
      <c r="S100" s="9">
        <f t="shared" si="3"/>
        <v>3.5584375000000001</v>
      </c>
      <c r="T100" s="9">
        <f t="shared" si="12"/>
        <v>124.30554687499998</v>
      </c>
      <c r="V100" s="10">
        <v>262.7</v>
      </c>
      <c r="W100" s="1">
        <f t="shared" si="4"/>
        <v>28.554347826086957</v>
      </c>
      <c r="X100" s="1">
        <f t="shared" si="11"/>
        <v>43251.599999999991</v>
      </c>
      <c r="AA100" s="1">
        <v>9.7129439801277098</v>
      </c>
    </row>
    <row r="101" spans="1:27" s="1" customFormat="1" x14ac:dyDescent="0.25">
      <c r="A101" s="80"/>
      <c r="B101" s="5"/>
      <c r="C101" s="3">
        <v>41582</v>
      </c>
      <c r="D101" s="1">
        <v>8.1999999999999993</v>
      </c>
      <c r="E101" s="12">
        <v>4.8</v>
      </c>
      <c r="F101" s="1">
        <v>11.6</v>
      </c>
      <c r="G101" s="1">
        <f t="shared" si="8"/>
        <v>818.2000000000005</v>
      </c>
      <c r="J101" s="1">
        <v>0.4</v>
      </c>
      <c r="K101" s="1">
        <f t="shared" si="9"/>
        <v>171.49999999999991</v>
      </c>
      <c r="L101" s="1">
        <v>0.5</v>
      </c>
      <c r="M101" s="1">
        <f t="shared" si="10"/>
        <v>92.800000000000011</v>
      </c>
      <c r="N101" s="8">
        <f t="shared" si="5"/>
        <v>-9.9999999999999978E-2</v>
      </c>
      <c r="O101" s="1">
        <f t="shared" si="6"/>
        <v>78.7</v>
      </c>
      <c r="P101" s="1">
        <v>62</v>
      </c>
      <c r="Q101" s="1">
        <f t="shared" si="13"/>
        <v>0.88828125000000002</v>
      </c>
      <c r="R101" s="9">
        <f t="shared" si="7"/>
        <v>0.44414062500000001</v>
      </c>
      <c r="S101" s="9">
        <f t="shared" si="3"/>
        <v>-4.4140624999999989E-2</v>
      </c>
      <c r="T101" s="9">
        <f t="shared" si="12"/>
        <v>124.26140624999998</v>
      </c>
      <c r="V101" s="10">
        <v>233</v>
      </c>
      <c r="W101" s="1">
        <f t="shared" si="4"/>
        <v>28.414634146341466</v>
      </c>
      <c r="X101" s="1">
        <f t="shared" si="11"/>
        <v>43484.599999999991</v>
      </c>
      <c r="AA101" s="1">
        <v>9.6584532352409607</v>
      </c>
    </row>
    <row r="102" spans="1:27" s="1" customFormat="1" x14ac:dyDescent="0.25">
      <c r="A102" s="80"/>
      <c r="B102" s="5"/>
      <c r="C102" s="3">
        <v>41583</v>
      </c>
      <c r="D102" s="1">
        <v>7.6</v>
      </c>
      <c r="E102" s="12">
        <v>4</v>
      </c>
      <c r="F102" s="1">
        <v>10.5</v>
      </c>
      <c r="G102" s="1">
        <f t="shared" si="8"/>
        <v>825.80000000000052</v>
      </c>
      <c r="J102" s="1">
        <v>11.8</v>
      </c>
      <c r="K102" s="1">
        <f t="shared" si="9"/>
        <v>183.29999999999993</v>
      </c>
      <c r="L102" s="1">
        <v>0.5</v>
      </c>
      <c r="M102" s="1">
        <f t="shared" si="10"/>
        <v>93.300000000000011</v>
      </c>
      <c r="N102" s="1">
        <f t="shared" si="5"/>
        <v>11.3</v>
      </c>
      <c r="O102" s="1">
        <f t="shared" si="6"/>
        <v>90</v>
      </c>
      <c r="P102" s="1">
        <v>63</v>
      </c>
      <c r="Q102" s="1">
        <f t="shared" si="13"/>
        <v>0.8984375</v>
      </c>
      <c r="R102" s="9">
        <f t="shared" si="7"/>
        <v>0.44921875</v>
      </c>
      <c r="S102" s="9">
        <f t="shared" si="3"/>
        <v>11.350781250000001</v>
      </c>
      <c r="T102" s="9">
        <f t="shared" si="12"/>
        <v>135.61218749999998</v>
      </c>
      <c r="V102" s="10">
        <v>115</v>
      </c>
      <c r="W102" s="1">
        <f t="shared" si="4"/>
        <v>15.131578947368421</v>
      </c>
      <c r="X102" s="1">
        <f t="shared" si="11"/>
        <v>43599.599999999991</v>
      </c>
      <c r="AA102" s="1">
        <v>9.6044309282204594</v>
      </c>
    </row>
    <row r="103" spans="1:27" s="1" customFormat="1" x14ac:dyDescent="0.25">
      <c r="A103" s="80"/>
      <c r="B103" s="5"/>
      <c r="C103" s="3">
        <v>41584</v>
      </c>
      <c r="D103" s="1">
        <v>12.8</v>
      </c>
      <c r="E103" s="1">
        <v>9.9</v>
      </c>
      <c r="F103" s="1">
        <v>14.3</v>
      </c>
      <c r="G103" s="1">
        <f t="shared" si="8"/>
        <v>838.60000000000048</v>
      </c>
      <c r="J103" s="1">
        <v>2.4</v>
      </c>
      <c r="K103" s="1">
        <f t="shared" si="9"/>
        <v>185.69999999999993</v>
      </c>
      <c r="L103" s="1">
        <v>0.5</v>
      </c>
      <c r="M103" s="1">
        <f t="shared" si="10"/>
        <v>93.800000000000011</v>
      </c>
      <c r="N103" s="1">
        <f t="shared" si="5"/>
        <v>1.9</v>
      </c>
      <c r="O103" s="1">
        <f t="shared" si="6"/>
        <v>91.9</v>
      </c>
      <c r="P103" s="1">
        <v>64</v>
      </c>
      <c r="Q103" s="1">
        <f t="shared" si="13"/>
        <v>0.90859374999999998</v>
      </c>
      <c r="R103" s="9">
        <f t="shared" si="7"/>
        <v>0.45429687499999999</v>
      </c>
      <c r="S103" s="9">
        <f t="shared" si="3"/>
        <v>1.9457031249999999</v>
      </c>
      <c r="T103" s="9">
        <f t="shared" si="12"/>
        <v>137.55789062499997</v>
      </c>
      <c r="V103" s="10">
        <v>145.4</v>
      </c>
      <c r="W103" s="1">
        <f t="shared" si="4"/>
        <v>11.359375</v>
      </c>
      <c r="X103" s="1">
        <f t="shared" si="11"/>
        <v>43744.999999999993</v>
      </c>
      <c r="AA103" s="1">
        <v>9.5509003248806295</v>
      </c>
    </row>
    <row r="104" spans="1:27" s="1" customFormat="1" x14ac:dyDescent="0.25">
      <c r="A104" s="80"/>
      <c r="B104" s="5"/>
      <c r="C104" s="3">
        <v>41585</v>
      </c>
      <c r="D104" s="1">
        <v>12.7</v>
      </c>
      <c r="E104" s="1">
        <v>11.8</v>
      </c>
      <c r="F104" s="1">
        <v>13.6</v>
      </c>
      <c r="G104" s="1">
        <f t="shared" si="8"/>
        <v>851.30000000000052</v>
      </c>
      <c r="J104" s="1">
        <v>18.899999999999999</v>
      </c>
      <c r="K104" s="1">
        <f t="shared" si="9"/>
        <v>204.59999999999994</v>
      </c>
      <c r="L104" s="1">
        <v>0.5</v>
      </c>
      <c r="M104" s="1">
        <f t="shared" si="10"/>
        <v>94.300000000000011</v>
      </c>
      <c r="N104" s="1">
        <f t="shared" si="5"/>
        <v>18.399999999999999</v>
      </c>
      <c r="O104" s="1">
        <f t="shared" si="6"/>
        <v>110.30000000000001</v>
      </c>
      <c r="P104" s="1">
        <v>65</v>
      </c>
      <c r="Q104" s="1">
        <f t="shared" si="13"/>
        <v>0.91874999999999996</v>
      </c>
      <c r="R104" s="9">
        <f t="shared" si="7"/>
        <v>0.45937499999999998</v>
      </c>
      <c r="S104" s="9">
        <f t="shared" ref="S104:S167" si="14">J104-R104</f>
        <v>18.440624999999997</v>
      </c>
      <c r="T104" s="9">
        <f t="shared" si="12"/>
        <v>155.99851562499998</v>
      </c>
      <c r="V104" s="10">
        <v>123.5</v>
      </c>
      <c r="W104" s="1">
        <f t="shared" ref="W104:W167" si="15">V104/D104</f>
        <v>9.7244094488188981</v>
      </c>
      <c r="X104" s="1">
        <f t="shared" si="11"/>
        <v>43868.499999999993</v>
      </c>
      <c r="AA104" s="1">
        <v>9.4978854167126094</v>
      </c>
    </row>
    <row r="105" spans="1:27" s="1" customFormat="1" x14ac:dyDescent="0.25">
      <c r="A105" s="80"/>
      <c r="B105" s="5"/>
      <c r="C105" s="3">
        <v>41586</v>
      </c>
      <c r="D105" s="1">
        <v>9.9</v>
      </c>
      <c r="E105" s="1">
        <v>8.4</v>
      </c>
      <c r="F105" s="1">
        <v>12.3</v>
      </c>
      <c r="G105" s="1">
        <f t="shared" si="8"/>
        <v>861.2000000000005</v>
      </c>
      <c r="J105" s="1">
        <v>5.4</v>
      </c>
      <c r="K105" s="1">
        <f t="shared" si="9"/>
        <v>209.99999999999994</v>
      </c>
      <c r="L105" s="1">
        <v>0.4</v>
      </c>
      <c r="M105" s="1">
        <f t="shared" si="10"/>
        <v>94.700000000000017</v>
      </c>
      <c r="N105" s="1">
        <f t="shared" ref="N105:N168" si="16">J105-L105</f>
        <v>5</v>
      </c>
      <c r="O105" s="1">
        <f t="shared" ref="O105" si="17">O104+N105</f>
        <v>115.30000000000001</v>
      </c>
      <c r="P105" s="1">
        <v>66</v>
      </c>
      <c r="Q105" s="1">
        <f t="shared" si="13"/>
        <v>0.92890625000000004</v>
      </c>
      <c r="R105" s="9">
        <f t="shared" ref="R105:R168" si="18">Q105*L105</f>
        <v>0.37156250000000002</v>
      </c>
      <c r="S105" s="9">
        <f t="shared" si="14"/>
        <v>5.0284375000000008</v>
      </c>
      <c r="T105" s="9">
        <f t="shared" si="12"/>
        <v>161.02695312499998</v>
      </c>
      <c r="V105" s="10">
        <v>118.9</v>
      </c>
      <c r="W105" s="1">
        <f t="shared" si="15"/>
        <v>12.01010101010101</v>
      </c>
      <c r="X105" s="1">
        <f t="shared" si="11"/>
        <v>43987.399999999994</v>
      </c>
      <c r="AA105" s="1">
        <v>9.44541091748669</v>
      </c>
    </row>
    <row r="106" spans="1:27" s="1" customFormat="1" x14ac:dyDescent="0.25">
      <c r="A106" s="80"/>
      <c r="B106" s="5"/>
      <c r="C106" s="3">
        <v>41587</v>
      </c>
      <c r="D106" s="1">
        <v>7.8</v>
      </c>
      <c r="E106" s="1">
        <v>5.5</v>
      </c>
      <c r="F106" s="1">
        <v>9.6</v>
      </c>
      <c r="G106" s="1">
        <f t="shared" ref="G106:G169" si="19">G105+D106</f>
        <v>869.00000000000045</v>
      </c>
      <c r="J106" s="1">
        <v>6</v>
      </c>
      <c r="K106" s="1">
        <f t="shared" ref="K106:K169" si="20">K105+J106</f>
        <v>215.99999999999994</v>
      </c>
      <c r="L106" s="1">
        <v>0.5</v>
      </c>
      <c r="M106" s="1">
        <f t="shared" ref="M106:M169" si="21">M105+L106</f>
        <v>95.200000000000017</v>
      </c>
      <c r="N106" s="1">
        <f t="shared" si="16"/>
        <v>5.5</v>
      </c>
      <c r="O106" s="1">
        <v>189.6</v>
      </c>
      <c r="P106" s="1">
        <v>67</v>
      </c>
      <c r="Q106" s="1">
        <f t="shared" si="13"/>
        <v>0.93906250000000002</v>
      </c>
      <c r="R106" s="9">
        <f t="shared" si="18"/>
        <v>0.46953125000000001</v>
      </c>
      <c r="S106" s="9">
        <f t="shared" si="14"/>
        <v>5.5304687499999998</v>
      </c>
      <c r="T106" s="9">
        <f t="shared" si="12"/>
        <v>166.55742187499999</v>
      </c>
      <c r="V106" s="10">
        <v>198.6</v>
      </c>
      <c r="W106" s="1">
        <f t="shared" si="15"/>
        <v>25.46153846153846</v>
      </c>
      <c r="X106" s="1">
        <f t="shared" ref="X106:X169" si="22">X105+V106</f>
        <v>44185.999999999993</v>
      </c>
      <c r="AA106" s="1">
        <v>9.3935022571399802</v>
      </c>
    </row>
    <row r="107" spans="1:27" s="1" customFormat="1" x14ac:dyDescent="0.25">
      <c r="A107" s="80"/>
      <c r="B107" s="5"/>
      <c r="C107" s="3">
        <v>41588</v>
      </c>
      <c r="D107" s="1">
        <v>6.4</v>
      </c>
      <c r="E107" s="1">
        <v>6.2</v>
      </c>
      <c r="F107" s="1">
        <v>8.6</v>
      </c>
      <c r="G107" s="1">
        <f t="shared" si="19"/>
        <v>875.40000000000043</v>
      </c>
      <c r="J107" s="1">
        <v>1.5</v>
      </c>
      <c r="K107" s="1">
        <f t="shared" si="20"/>
        <v>217.49999999999994</v>
      </c>
      <c r="L107" s="1">
        <v>1</v>
      </c>
      <c r="M107" s="1">
        <f t="shared" si="21"/>
        <v>96.200000000000017</v>
      </c>
      <c r="N107" s="1">
        <f t="shared" si="16"/>
        <v>0.5</v>
      </c>
      <c r="O107" s="1">
        <v>189.6</v>
      </c>
      <c r="P107" s="1">
        <v>68</v>
      </c>
      <c r="Q107" s="1">
        <f t="shared" si="13"/>
        <v>0.94921875</v>
      </c>
      <c r="R107" s="9">
        <f t="shared" si="18"/>
        <v>0.94921875</v>
      </c>
      <c r="S107" s="9">
        <f t="shared" si="14"/>
        <v>0.55078125</v>
      </c>
      <c r="T107" s="9">
        <f t="shared" ref="T107:T170" si="23">MIN(189.6,(T106+S107))</f>
        <v>167.10820312499999</v>
      </c>
      <c r="V107" s="10">
        <v>353.5</v>
      </c>
      <c r="W107" s="1">
        <f t="shared" si="15"/>
        <v>55.234375</v>
      </c>
      <c r="X107" s="1">
        <f t="shared" si="22"/>
        <v>44539.499999999993</v>
      </c>
      <c r="AA107" s="1">
        <v>9.3421855727611405</v>
      </c>
    </row>
    <row r="108" spans="1:27" s="1" customFormat="1" x14ac:dyDescent="0.25">
      <c r="A108" s="80"/>
      <c r="B108" s="5"/>
      <c r="C108" s="3">
        <v>41589</v>
      </c>
      <c r="D108" s="1">
        <v>5.6</v>
      </c>
      <c r="E108" s="13">
        <v>-0.1</v>
      </c>
      <c r="F108" s="1">
        <v>9.4</v>
      </c>
      <c r="G108" s="1">
        <f t="shared" si="19"/>
        <v>881.00000000000045</v>
      </c>
      <c r="J108" s="1">
        <v>0</v>
      </c>
      <c r="K108" s="1">
        <f t="shared" si="20"/>
        <v>217.49999999999994</v>
      </c>
      <c r="L108" s="1">
        <v>0.6</v>
      </c>
      <c r="M108" s="1">
        <f t="shared" si="21"/>
        <v>96.800000000000011</v>
      </c>
      <c r="N108" s="8">
        <f t="shared" si="16"/>
        <v>-0.6</v>
      </c>
      <c r="O108" s="1">
        <f>O107+N108</f>
        <v>189</v>
      </c>
      <c r="P108" s="1">
        <v>69</v>
      </c>
      <c r="Q108" s="1">
        <f t="shared" si="13"/>
        <v>0.95937499999999998</v>
      </c>
      <c r="R108" s="9">
        <f t="shared" si="18"/>
        <v>0.57562499999999994</v>
      </c>
      <c r="S108" s="9">
        <f t="shared" si="14"/>
        <v>-0.57562499999999994</v>
      </c>
      <c r="T108" s="9">
        <f t="shared" si="23"/>
        <v>166.53257812499999</v>
      </c>
      <c r="V108" s="10">
        <v>329.1</v>
      </c>
      <c r="W108" s="1">
        <f t="shared" si="15"/>
        <v>58.767857142857153</v>
      </c>
      <c r="X108" s="1">
        <f t="shared" si="22"/>
        <v>44868.599999999991</v>
      </c>
      <c r="AA108" s="1">
        <v>9.2914876964832498</v>
      </c>
    </row>
    <row r="109" spans="1:27" s="1" customFormat="1" x14ac:dyDescent="0.25">
      <c r="A109" s="80"/>
      <c r="B109" s="5"/>
      <c r="C109" s="3">
        <v>41590</v>
      </c>
      <c r="D109" s="1">
        <v>8.1999999999999993</v>
      </c>
      <c r="E109" s="1">
        <v>7.2</v>
      </c>
      <c r="F109" s="1">
        <v>9.3000000000000007</v>
      </c>
      <c r="G109" s="1">
        <f t="shared" si="19"/>
        <v>889.2000000000005</v>
      </c>
      <c r="J109" s="1">
        <v>3.6</v>
      </c>
      <c r="K109" s="1">
        <f t="shared" si="20"/>
        <v>221.09999999999994</v>
      </c>
      <c r="L109" s="1">
        <v>0.6</v>
      </c>
      <c r="M109" s="1">
        <f t="shared" si="21"/>
        <v>97.4</v>
      </c>
      <c r="N109" s="1">
        <f t="shared" si="16"/>
        <v>3</v>
      </c>
      <c r="O109" s="1">
        <v>189.6</v>
      </c>
      <c r="P109" s="1">
        <v>70</v>
      </c>
      <c r="Q109" s="1">
        <f t="shared" si="13"/>
        <v>0.96953124999999996</v>
      </c>
      <c r="R109" s="9">
        <f t="shared" si="18"/>
        <v>0.58171874999999995</v>
      </c>
      <c r="S109" s="9">
        <f t="shared" si="14"/>
        <v>3.0182812500000002</v>
      </c>
      <c r="T109" s="9">
        <f t="shared" si="23"/>
        <v>169.55085937499999</v>
      </c>
      <c r="V109" s="10">
        <v>201.6</v>
      </c>
      <c r="W109" s="1">
        <f t="shared" si="15"/>
        <v>24.585365853658537</v>
      </c>
      <c r="X109" s="1">
        <f t="shared" si="22"/>
        <v>45070.19999999999</v>
      </c>
      <c r="AA109" s="1">
        <v>9.2414361400975</v>
      </c>
    </row>
    <row r="110" spans="1:27" s="1" customFormat="1" x14ac:dyDescent="0.25">
      <c r="A110" s="80"/>
      <c r="B110" s="5"/>
      <c r="C110" s="3">
        <v>41591</v>
      </c>
      <c r="D110" s="1">
        <v>5.2</v>
      </c>
      <c r="E110" s="12">
        <v>2.2999999999999998</v>
      </c>
      <c r="F110" s="1">
        <v>10.6</v>
      </c>
      <c r="G110" s="1">
        <f t="shared" si="19"/>
        <v>894.40000000000055</v>
      </c>
      <c r="J110" s="1">
        <v>0.7</v>
      </c>
      <c r="K110" s="1">
        <f t="shared" si="20"/>
        <v>221.79999999999993</v>
      </c>
      <c r="L110" s="1">
        <v>1.1000000000000001</v>
      </c>
      <c r="M110" s="1">
        <f t="shared" si="21"/>
        <v>98.5</v>
      </c>
      <c r="N110" s="8">
        <f t="shared" si="16"/>
        <v>-0.40000000000000013</v>
      </c>
      <c r="O110" s="1">
        <f>O109+N110</f>
        <v>189.2</v>
      </c>
      <c r="P110" s="1">
        <v>71</v>
      </c>
      <c r="Q110" s="1">
        <f t="shared" si="13"/>
        <v>0.97968750000000004</v>
      </c>
      <c r="R110" s="9">
        <f t="shared" si="18"/>
        <v>1.0776562500000002</v>
      </c>
      <c r="S110" s="9">
        <f t="shared" si="14"/>
        <v>-0.37765625000000025</v>
      </c>
      <c r="T110" s="9">
        <f t="shared" si="23"/>
        <v>169.17320312499999</v>
      </c>
      <c r="V110" s="10">
        <v>690.1</v>
      </c>
      <c r="W110" s="1">
        <f t="shared" si="15"/>
        <v>132.71153846153845</v>
      </c>
      <c r="X110" s="1">
        <f t="shared" si="22"/>
        <v>45760.299999999988</v>
      </c>
      <c r="AA110" s="1">
        <v>9.1920590762033303</v>
      </c>
    </row>
    <row r="111" spans="1:27" s="1" customFormat="1" x14ac:dyDescent="0.25">
      <c r="A111" s="80"/>
      <c r="B111" s="5"/>
      <c r="C111" s="3">
        <v>41592</v>
      </c>
      <c r="D111" s="1">
        <v>5.8</v>
      </c>
      <c r="E111" s="12">
        <v>0.9</v>
      </c>
      <c r="F111" s="1">
        <v>9.5</v>
      </c>
      <c r="G111" s="1">
        <f t="shared" si="19"/>
        <v>900.2000000000005</v>
      </c>
      <c r="J111" s="1">
        <v>3.5</v>
      </c>
      <c r="K111" s="1">
        <f t="shared" si="20"/>
        <v>225.29999999999993</v>
      </c>
      <c r="L111" s="1">
        <v>0.3</v>
      </c>
      <c r="M111" s="1">
        <f t="shared" si="21"/>
        <v>98.8</v>
      </c>
      <c r="N111" s="1">
        <f t="shared" si="16"/>
        <v>3.2</v>
      </c>
      <c r="O111" s="1">
        <v>189.6</v>
      </c>
      <c r="P111" s="1">
        <v>72</v>
      </c>
      <c r="Q111" s="1">
        <f t="shared" si="13"/>
        <v>0.98984375000000002</v>
      </c>
      <c r="R111" s="9">
        <f t="shared" si="18"/>
        <v>0.29695312499999998</v>
      </c>
      <c r="S111" s="9">
        <f t="shared" si="14"/>
        <v>3.2030468750000001</v>
      </c>
      <c r="T111" s="9">
        <f t="shared" si="23"/>
        <v>172.37625</v>
      </c>
      <c r="V111" s="10">
        <v>245.1</v>
      </c>
      <c r="W111" s="1">
        <f t="shared" si="15"/>
        <v>42.258620689655174</v>
      </c>
      <c r="X111" s="1">
        <f t="shared" si="22"/>
        <v>46005.399999999987</v>
      </c>
      <c r="AA111" s="1">
        <v>9.1433853157159692</v>
      </c>
    </row>
    <row r="112" spans="1:27" s="52" customFormat="1" ht="15" customHeight="1" thickBot="1" x14ac:dyDescent="0.3">
      <c r="A112" s="80"/>
      <c r="B112" s="39"/>
      <c r="C112" s="47">
        <v>41593</v>
      </c>
      <c r="D112" s="52">
        <v>6.5</v>
      </c>
      <c r="E112" s="52">
        <v>5.4</v>
      </c>
      <c r="F112" s="52">
        <v>9</v>
      </c>
      <c r="G112" s="52">
        <f t="shared" si="19"/>
        <v>906.7000000000005</v>
      </c>
      <c r="J112" s="52">
        <v>0</v>
      </c>
      <c r="K112" s="52">
        <f t="shared" si="20"/>
        <v>225.29999999999993</v>
      </c>
      <c r="L112" s="52">
        <v>0.8</v>
      </c>
      <c r="M112" s="52">
        <f t="shared" si="21"/>
        <v>99.6</v>
      </c>
      <c r="N112" s="52">
        <f t="shared" si="16"/>
        <v>-0.8</v>
      </c>
      <c r="O112" s="42">
        <f t="shared" ref="O112:O144" si="24">O111+N112</f>
        <v>188.79999999999998</v>
      </c>
      <c r="P112" s="42">
        <v>73</v>
      </c>
      <c r="Q112" s="42">
        <f t="shared" si="13"/>
        <v>1</v>
      </c>
      <c r="R112" s="44">
        <f t="shared" si="18"/>
        <v>0.8</v>
      </c>
      <c r="S112" s="44">
        <f t="shared" si="14"/>
        <v>-0.8</v>
      </c>
      <c r="T112" s="44">
        <f t="shared" si="23"/>
        <v>171.57624999999999</v>
      </c>
      <c r="V112" s="52">
        <v>230.5</v>
      </c>
      <c r="W112" s="52">
        <f t="shared" si="15"/>
        <v>35.46153846153846</v>
      </c>
      <c r="X112" s="52">
        <f t="shared" si="22"/>
        <v>46235.899999999987</v>
      </c>
      <c r="AA112" s="42">
        <v>9.0954442815598995</v>
      </c>
    </row>
    <row r="113" spans="1:27" s="1" customFormat="1" ht="15" customHeight="1" x14ac:dyDescent="0.25">
      <c r="A113" s="81" t="s">
        <v>19</v>
      </c>
      <c r="B113" s="5"/>
      <c r="C113" s="3">
        <v>41594</v>
      </c>
      <c r="D113" s="12">
        <v>4.2</v>
      </c>
      <c r="E113" s="12">
        <v>3.8</v>
      </c>
      <c r="F113" s="12">
        <v>5</v>
      </c>
      <c r="G113" s="1">
        <f t="shared" si="19"/>
        <v>910.90000000000055</v>
      </c>
      <c r="H113" s="1">
        <f>4.2</f>
        <v>4.2</v>
      </c>
      <c r="I113" s="14" t="s">
        <v>2</v>
      </c>
      <c r="J113" s="1">
        <v>0</v>
      </c>
      <c r="K113" s="1">
        <f t="shared" si="20"/>
        <v>225.29999999999993</v>
      </c>
      <c r="L113" s="1">
        <v>0.6</v>
      </c>
      <c r="M113" s="1">
        <f t="shared" si="21"/>
        <v>100.19999999999999</v>
      </c>
      <c r="N113" s="8">
        <f t="shared" si="16"/>
        <v>-0.6</v>
      </c>
      <c r="O113" s="1">
        <f t="shared" si="24"/>
        <v>188.2</v>
      </c>
      <c r="P113" s="1">
        <v>74</v>
      </c>
      <c r="Q113" s="1">
        <v>1</v>
      </c>
      <c r="R113" s="9">
        <f t="shared" si="18"/>
        <v>0.6</v>
      </c>
      <c r="S113" s="9">
        <f t="shared" si="14"/>
        <v>-0.6</v>
      </c>
      <c r="T113" s="9">
        <f t="shared" si="23"/>
        <v>170.97624999999999</v>
      </c>
      <c r="U113" s="14" t="s">
        <v>3</v>
      </c>
      <c r="V113" s="10">
        <v>441.2</v>
      </c>
      <c r="W113" s="1">
        <f t="shared" si="15"/>
        <v>105.04761904761904</v>
      </c>
      <c r="X113" s="1">
        <f t="shared" si="22"/>
        <v>46677.099999999984</v>
      </c>
      <c r="Y113" s="1">
        <f>V113</f>
        <v>441.2</v>
      </c>
      <c r="Z113" s="14" t="s">
        <v>4</v>
      </c>
      <c r="AA113" s="1">
        <v>9.0482659783868105</v>
      </c>
    </row>
    <row r="114" spans="1:27" s="1" customFormat="1" x14ac:dyDescent="0.25">
      <c r="A114" s="81"/>
      <c r="B114" s="5"/>
      <c r="C114" s="3">
        <v>41595</v>
      </c>
      <c r="D114" s="12">
        <v>5</v>
      </c>
      <c r="E114" s="12">
        <v>4.0999999999999996</v>
      </c>
      <c r="F114" s="1">
        <v>5.8</v>
      </c>
      <c r="G114" s="1">
        <f t="shared" si="19"/>
        <v>915.90000000000055</v>
      </c>
      <c r="H114" s="1">
        <f>H113+D114</f>
        <v>9.1999999999999993</v>
      </c>
      <c r="I114" s="1">
        <v>-2.8</v>
      </c>
      <c r="J114" s="1">
        <v>0</v>
      </c>
      <c r="K114" s="1">
        <f t="shared" si="20"/>
        <v>225.29999999999993</v>
      </c>
      <c r="L114" s="1">
        <v>0.2</v>
      </c>
      <c r="M114" s="1">
        <f t="shared" si="21"/>
        <v>100.39999999999999</v>
      </c>
      <c r="N114" s="8">
        <f t="shared" si="16"/>
        <v>-0.2</v>
      </c>
      <c r="O114" s="1">
        <f t="shared" si="24"/>
        <v>188</v>
      </c>
      <c r="P114" s="1">
        <v>75</v>
      </c>
      <c r="Q114" s="1">
        <v>1</v>
      </c>
      <c r="R114" s="9">
        <f t="shared" si="18"/>
        <v>0.2</v>
      </c>
      <c r="S114" s="9">
        <f t="shared" si="14"/>
        <v>-0.2</v>
      </c>
      <c r="T114" s="9">
        <f t="shared" si="23"/>
        <v>170.77625</v>
      </c>
      <c r="V114" s="10">
        <v>175.5</v>
      </c>
      <c r="W114" s="1">
        <f t="shared" si="15"/>
        <v>35.1</v>
      </c>
      <c r="X114" s="1">
        <f t="shared" si="22"/>
        <v>46852.599999999984</v>
      </c>
      <c r="Y114" s="1">
        <f>Y113+V114</f>
        <v>616.70000000000005</v>
      </c>
      <c r="Z114" s="1">
        <v>8803</v>
      </c>
      <c r="AA114" s="1">
        <v>9.0018809581692096</v>
      </c>
    </row>
    <row r="115" spans="1:27" s="1" customFormat="1" x14ac:dyDescent="0.25">
      <c r="A115" s="81"/>
      <c r="B115" s="15">
        <v>1</v>
      </c>
      <c r="C115" s="3">
        <v>41596</v>
      </c>
      <c r="D115" s="12">
        <v>4.5</v>
      </c>
      <c r="E115" s="12">
        <v>4.0999999999999996</v>
      </c>
      <c r="F115" s="1">
        <v>5.8</v>
      </c>
      <c r="G115" s="1">
        <f t="shared" si="19"/>
        <v>920.40000000000055</v>
      </c>
      <c r="H115" s="1">
        <f t="shared" ref="H115:H143" si="25">H114+D115</f>
        <v>13.7</v>
      </c>
      <c r="I115" s="14" t="s">
        <v>5</v>
      </c>
      <c r="J115" s="1">
        <v>1.2</v>
      </c>
      <c r="K115" s="1">
        <f t="shared" si="20"/>
        <v>226.49999999999991</v>
      </c>
      <c r="L115" s="1">
        <v>0.5</v>
      </c>
      <c r="M115" s="1">
        <f t="shared" si="21"/>
        <v>100.89999999999999</v>
      </c>
      <c r="N115" s="1">
        <f t="shared" si="16"/>
        <v>0.7</v>
      </c>
      <c r="O115" s="1">
        <f t="shared" si="24"/>
        <v>188.7</v>
      </c>
      <c r="P115" s="1">
        <v>76</v>
      </c>
      <c r="Q115" s="1">
        <v>1</v>
      </c>
      <c r="R115" s="9">
        <f t="shared" si="18"/>
        <v>0.5</v>
      </c>
      <c r="S115" s="9">
        <f t="shared" si="14"/>
        <v>0.7</v>
      </c>
      <c r="T115" s="9">
        <f t="shared" si="23"/>
        <v>171.47624999999999</v>
      </c>
      <c r="U115" s="14" t="s">
        <v>6</v>
      </c>
      <c r="V115" s="10">
        <v>157.1</v>
      </c>
      <c r="W115" s="1">
        <f t="shared" si="15"/>
        <v>34.911111111111111</v>
      </c>
      <c r="X115" s="1">
        <f t="shared" si="22"/>
        <v>47009.699999999983</v>
      </c>
      <c r="Y115" s="1">
        <f t="shared" ref="Y115:Y178" si="26">Y114+V115</f>
        <v>773.80000000000007</v>
      </c>
      <c r="Z115" s="14" t="s">
        <v>7</v>
      </c>
      <c r="AA115" s="16">
        <v>8.9563202815366694</v>
      </c>
    </row>
    <row r="116" spans="1:27" s="1" customFormat="1" x14ac:dyDescent="0.25">
      <c r="A116" s="81"/>
      <c r="B116" s="15">
        <v>2</v>
      </c>
      <c r="C116" s="3">
        <v>41597</v>
      </c>
      <c r="D116" s="12">
        <v>4.7</v>
      </c>
      <c r="E116" s="12">
        <v>3</v>
      </c>
      <c r="F116" s="1">
        <v>6.6</v>
      </c>
      <c r="G116" s="1">
        <f t="shared" si="19"/>
        <v>925.10000000000059</v>
      </c>
      <c r="H116" s="1">
        <f t="shared" si="25"/>
        <v>18.399999999999999</v>
      </c>
      <c r="I116" s="1">
        <f>MAX(F113:F143)</f>
        <v>9.6</v>
      </c>
      <c r="J116" s="1">
        <v>0.1</v>
      </c>
      <c r="K116" s="1">
        <f t="shared" si="20"/>
        <v>226.59999999999991</v>
      </c>
      <c r="L116" s="1">
        <v>0.6</v>
      </c>
      <c r="M116" s="1">
        <f t="shared" si="21"/>
        <v>101.49999999999999</v>
      </c>
      <c r="N116" s="8">
        <f t="shared" si="16"/>
        <v>-0.5</v>
      </c>
      <c r="O116" s="1">
        <f t="shared" si="24"/>
        <v>188.2</v>
      </c>
      <c r="P116" s="1">
        <v>77</v>
      </c>
      <c r="Q116" s="1">
        <v>1</v>
      </c>
      <c r="R116" s="9">
        <f t="shared" si="18"/>
        <v>0.6</v>
      </c>
      <c r="S116" s="9">
        <f t="shared" si="14"/>
        <v>-0.5</v>
      </c>
      <c r="T116" s="9">
        <f t="shared" si="23"/>
        <v>170.97624999999999</v>
      </c>
      <c r="V116" s="10">
        <v>446</v>
      </c>
      <c r="W116" s="1">
        <f t="shared" si="15"/>
        <v>94.893617021276597</v>
      </c>
      <c r="X116" s="1">
        <f t="shared" si="22"/>
        <v>47455.699999999983</v>
      </c>
      <c r="Y116" s="1">
        <f t="shared" si="26"/>
        <v>1219.8000000000002</v>
      </c>
      <c r="Z116" s="11"/>
      <c r="AA116" s="16">
        <v>8.9116154747402199</v>
      </c>
    </row>
    <row r="117" spans="1:27" s="1" customFormat="1" x14ac:dyDescent="0.25">
      <c r="A117" s="81"/>
      <c r="B117" s="15">
        <v>3</v>
      </c>
      <c r="C117" s="3">
        <v>41598</v>
      </c>
      <c r="D117" s="12">
        <v>2.1</v>
      </c>
      <c r="E117" s="12">
        <v>0.3</v>
      </c>
      <c r="F117" s="12">
        <v>4.3</v>
      </c>
      <c r="G117" s="1">
        <f t="shared" si="19"/>
        <v>927.20000000000061</v>
      </c>
      <c r="H117" s="1">
        <f t="shared" si="25"/>
        <v>20.5</v>
      </c>
      <c r="I117" s="14" t="s">
        <v>8</v>
      </c>
      <c r="J117" s="1">
        <v>0.7</v>
      </c>
      <c r="K117" s="1">
        <f t="shared" si="20"/>
        <v>227.2999999999999</v>
      </c>
      <c r="L117" s="1">
        <v>0.4</v>
      </c>
      <c r="M117" s="1">
        <f t="shared" si="21"/>
        <v>101.89999999999999</v>
      </c>
      <c r="N117" s="1">
        <f t="shared" si="16"/>
        <v>0.29999999999999993</v>
      </c>
      <c r="O117" s="1">
        <f t="shared" si="24"/>
        <v>188.5</v>
      </c>
      <c r="P117" s="1">
        <v>78</v>
      </c>
      <c r="Q117" s="1">
        <v>1</v>
      </c>
      <c r="R117" s="9">
        <f t="shared" si="18"/>
        <v>0.4</v>
      </c>
      <c r="S117" s="9">
        <f t="shared" si="14"/>
        <v>0.29999999999999993</v>
      </c>
      <c r="T117" s="9">
        <f t="shared" si="23"/>
        <v>171.27625</v>
      </c>
      <c r="U117" s="14" t="s">
        <v>9</v>
      </c>
      <c r="V117" s="10">
        <v>132.1</v>
      </c>
      <c r="W117" s="1">
        <f t="shared" si="15"/>
        <v>62.904761904761898</v>
      </c>
      <c r="X117" s="1">
        <f t="shared" si="22"/>
        <v>47587.799999999981</v>
      </c>
      <c r="Y117" s="1">
        <f t="shared" si="26"/>
        <v>1351.9</v>
      </c>
      <c r="Z117" s="14" t="s">
        <v>10</v>
      </c>
      <c r="AA117" s="16">
        <v>8.8677984821521605</v>
      </c>
    </row>
    <row r="118" spans="1:27" s="1" customFormat="1" x14ac:dyDescent="0.25">
      <c r="A118" s="81"/>
      <c r="B118" s="15">
        <v>4</v>
      </c>
      <c r="C118" s="3">
        <v>41599</v>
      </c>
      <c r="D118" s="12">
        <v>1.8</v>
      </c>
      <c r="E118" s="12">
        <v>0.1</v>
      </c>
      <c r="F118" s="12">
        <v>3.3</v>
      </c>
      <c r="G118" s="1">
        <f t="shared" si="19"/>
        <v>929.00000000000057</v>
      </c>
      <c r="H118" s="1">
        <f t="shared" si="25"/>
        <v>22.3</v>
      </c>
      <c r="I118" s="9">
        <f>AVERAGE(D113:D143)</f>
        <v>4.0935483870967753</v>
      </c>
      <c r="J118" s="1">
        <v>0</v>
      </c>
      <c r="K118" s="1">
        <f t="shared" si="20"/>
        <v>227.2999999999999</v>
      </c>
      <c r="L118" s="1">
        <v>0.2</v>
      </c>
      <c r="M118" s="1">
        <f t="shared" si="21"/>
        <v>102.1</v>
      </c>
      <c r="N118" s="8">
        <f t="shared" si="16"/>
        <v>-0.2</v>
      </c>
      <c r="O118" s="1">
        <f t="shared" si="24"/>
        <v>188.3</v>
      </c>
      <c r="P118" s="1">
        <v>79</v>
      </c>
      <c r="Q118" s="1">
        <v>1</v>
      </c>
      <c r="R118" s="9">
        <f t="shared" si="18"/>
        <v>0.2</v>
      </c>
      <c r="S118" s="9">
        <f t="shared" si="14"/>
        <v>-0.2</v>
      </c>
      <c r="T118" s="9">
        <f t="shared" si="23"/>
        <v>171.07625000000002</v>
      </c>
      <c r="U118" s="1">
        <v>0</v>
      </c>
      <c r="V118" s="10">
        <v>148.80000000000001</v>
      </c>
      <c r="W118" s="1">
        <f t="shared" si="15"/>
        <v>82.666666666666671</v>
      </c>
      <c r="X118" s="1">
        <f t="shared" si="22"/>
        <v>47736.599999999984</v>
      </c>
      <c r="Y118" s="1">
        <f t="shared" si="26"/>
        <v>1500.7</v>
      </c>
      <c r="Z118" s="1">
        <v>31</v>
      </c>
      <c r="AA118" s="16">
        <v>8.8249016142338892</v>
      </c>
    </row>
    <row r="119" spans="1:27" s="1" customFormat="1" x14ac:dyDescent="0.25">
      <c r="A119" s="81"/>
      <c r="B119" s="15">
        <v>5</v>
      </c>
      <c r="C119" s="3">
        <v>41600</v>
      </c>
      <c r="D119" s="12">
        <v>3.4</v>
      </c>
      <c r="E119" s="12">
        <v>0.5</v>
      </c>
      <c r="F119" s="12">
        <v>4.9000000000000004</v>
      </c>
      <c r="G119" s="1">
        <f t="shared" si="19"/>
        <v>932.40000000000055</v>
      </c>
      <c r="H119" s="1">
        <f t="shared" si="25"/>
        <v>25.7</v>
      </c>
      <c r="I119" s="14" t="s">
        <v>11</v>
      </c>
      <c r="J119" s="1">
        <v>0</v>
      </c>
      <c r="K119" s="1">
        <f t="shared" si="20"/>
        <v>227.2999999999999</v>
      </c>
      <c r="L119" s="1">
        <v>0.4</v>
      </c>
      <c r="M119" s="1">
        <f t="shared" si="21"/>
        <v>102.5</v>
      </c>
      <c r="N119" s="8">
        <f t="shared" si="16"/>
        <v>-0.4</v>
      </c>
      <c r="O119" s="1">
        <f t="shared" si="24"/>
        <v>187.9</v>
      </c>
      <c r="P119" s="1">
        <v>80</v>
      </c>
      <c r="Q119" s="1">
        <v>1</v>
      </c>
      <c r="R119" s="9">
        <f t="shared" si="18"/>
        <v>0.4</v>
      </c>
      <c r="S119" s="9">
        <f t="shared" si="14"/>
        <v>-0.4</v>
      </c>
      <c r="T119" s="9">
        <f t="shared" si="23"/>
        <v>170.67625000000001</v>
      </c>
      <c r="U119" s="14" t="s">
        <v>12</v>
      </c>
      <c r="V119" s="10">
        <v>285.8</v>
      </c>
      <c r="W119" s="1">
        <f t="shared" si="15"/>
        <v>84.058823529411768</v>
      </c>
      <c r="X119" s="1">
        <f t="shared" si="22"/>
        <v>48022.399999999987</v>
      </c>
      <c r="Y119" s="1">
        <f t="shared" si="26"/>
        <v>1786.5</v>
      </c>
      <c r="AA119" s="16">
        <v>8.78295749093237</v>
      </c>
    </row>
    <row r="120" spans="1:27" s="1" customFormat="1" x14ac:dyDescent="0.25">
      <c r="A120" s="81"/>
      <c r="B120" s="15">
        <v>6</v>
      </c>
      <c r="C120" s="3">
        <v>41601</v>
      </c>
      <c r="D120" s="12">
        <v>4.5</v>
      </c>
      <c r="E120" s="12">
        <v>3.3</v>
      </c>
      <c r="F120" s="1">
        <v>6.3</v>
      </c>
      <c r="G120" s="1">
        <f t="shared" si="19"/>
        <v>936.90000000000055</v>
      </c>
      <c r="H120" s="1">
        <f t="shared" si="25"/>
        <v>30.2</v>
      </c>
      <c r="I120" s="1">
        <v>7</v>
      </c>
      <c r="J120" s="1">
        <v>0</v>
      </c>
      <c r="K120" s="1">
        <f t="shared" si="20"/>
        <v>227.2999999999999</v>
      </c>
      <c r="L120" s="1">
        <v>0.7</v>
      </c>
      <c r="M120" s="1">
        <f t="shared" si="21"/>
        <v>103.2</v>
      </c>
      <c r="N120" s="8">
        <f t="shared" si="16"/>
        <v>-0.7</v>
      </c>
      <c r="O120" s="1">
        <f t="shared" si="24"/>
        <v>187.20000000000002</v>
      </c>
      <c r="P120" s="1">
        <v>81</v>
      </c>
      <c r="Q120" s="1">
        <v>1</v>
      </c>
      <c r="R120" s="9">
        <f t="shared" si="18"/>
        <v>0.7</v>
      </c>
      <c r="S120" s="9">
        <f t="shared" si="14"/>
        <v>-0.7</v>
      </c>
      <c r="T120" s="9">
        <f t="shared" si="23"/>
        <v>169.97625000000002</v>
      </c>
      <c r="U120" s="1">
        <v>0</v>
      </c>
      <c r="V120" s="10">
        <v>235.9</v>
      </c>
      <c r="W120" s="1">
        <f t="shared" si="15"/>
        <v>52.422222222222224</v>
      </c>
      <c r="X120" s="1">
        <f t="shared" si="22"/>
        <v>48258.299999999988</v>
      </c>
      <c r="Y120" s="1">
        <f t="shared" si="26"/>
        <v>2022.4</v>
      </c>
      <c r="AA120" s="16">
        <v>8.74199898049803</v>
      </c>
    </row>
    <row r="121" spans="1:27" s="1" customFormat="1" x14ac:dyDescent="0.25">
      <c r="A121" s="81"/>
      <c r="B121" s="5"/>
      <c r="C121" s="3">
        <v>41602</v>
      </c>
      <c r="D121" s="1">
        <v>5.3</v>
      </c>
      <c r="E121" s="12">
        <v>2.1</v>
      </c>
      <c r="F121" s="1">
        <v>8</v>
      </c>
      <c r="G121" s="1">
        <f t="shared" si="19"/>
        <v>942.2000000000005</v>
      </c>
      <c r="H121" s="1">
        <f t="shared" si="25"/>
        <v>35.5</v>
      </c>
      <c r="I121" s="14" t="s">
        <v>13</v>
      </c>
      <c r="J121" s="1">
        <v>0</v>
      </c>
      <c r="K121" s="1">
        <f t="shared" si="20"/>
        <v>227.2999999999999</v>
      </c>
      <c r="L121" s="1">
        <v>0.4</v>
      </c>
      <c r="M121" s="1">
        <f t="shared" si="21"/>
        <v>103.60000000000001</v>
      </c>
      <c r="N121" s="8">
        <f t="shared" si="16"/>
        <v>-0.4</v>
      </c>
      <c r="O121" s="1">
        <f t="shared" si="24"/>
        <v>186.8</v>
      </c>
      <c r="P121" s="1">
        <v>82</v>
      </c>
      <c r="Q121" s="1">
        <v>1</v>
      </c>
      <c r="R121" s="9">
        <f t="shared" si="18"/>
        <v>0.4</v>
      </c>
      <c r="S121" s="9">
        <f t="shared" si="14"/>
        <v>-0.4</v>
      </c>
      <c r="T121" s="9">
        <f t="shared" si="23"/>
        <v>169.57625000000002</v>
      </c>
      <c r="U121" s="14" t="s">
        <v>14</v>
      </c>
      <c r="V121" s="10">
        <v>139.1</v>
      </c>
      <c r="W121" s="1">
        <f t="shared" si="15"/>
        <v>26.245283018867923</v>
      </c>
      <c r="X121" s="1">
        <f t="shared" si="22"/>
        <v>48397.399999999987</v>
      </c>
      <c r="Y121" s="1">
        <f t="shared" si="26"/>
        <v>2161.5</v>
      </c>
      <c r="AA121" s="16">
        <v>8.7020591337516908</v>
      </c>
    </row>
    <row r="122" spans="1:27" s="1" customFormat="1" x14ac:dyDescent="0.25">
      <c r="A122" s="81"/>
      <c r="B122" s="5"/>
      <c r="C122" s="3">
        <v>41603</v>
      </c>
      <c r="D122" s="1">
        <v>5.2</v>
      </c>
      <c r="E122" s="12">
        <v>4.2</v>
      </c>
      <c r="F122" s="1">
        <v>6.7</v>
      </c>
      <c r="G122" s="1">
        <f t="shared" si="19"/>
        <v>947.40000000000055</v>
      </c>
      <c r="H122" s="1">
        <f t="shared" si="25"/>
        <v>40.700000000000003</v>
      </c>
      <c r="I122" s="1">
        <v>0</v>
      </c>
      <c r="J122" s="1">
        <v>0</v>
      </c>
      <c r="K122" s="1">
        <f t="shared" si="20"/>
        <v>227.2999999999999</v>
      </c>
      <c r="L122" s="1">
        <v>0.6</v>
      </c>
      <c r="M122" s="1">
        <f t="shared" si="21"/>
        <v>104.2</v>
      </c>
      <c r="N122" s="8">
        <f t="shared" si="16"/>
        <v>-0.6</v>
      </c>
      <c r="O122" s="1">
        <f t="shared" si="24"/>
        <v>186.20000000000002</v>
      </c>
      <c r="P122" s="1">
        <v>83</v>
      </c>
      <c r="Q122" s="1">
        <v>1</v>
      </c>
      <c r="R122" s="9">
        <f t="shared" si="18"/>
        <v>0.6</v>
      </c>
      <c r="S122" s="9">
        <f t="shared" si="14"/>
        <v>-0.6</v>
      </c>
      <c r="T122" s="9">
        <f t="shared" si="23"/>
        <v>168.97625000000002</v>
      </c>
      <c r="U122" s="9">
        <f>MIN(T113:T143)</f>
        <v>164.47625000000002</v>
      </c>
      <c r="V122" s="10">
        <v>233.5</v>
      </c>
      <c r="W122" s="1">
        <f t="shared" si="15"/>
        <v>44.903846153846153</v>
      </c>
      <c r="X122" s="1">
        <f t="shared" si="22"/>
        <v>48630.899999999987</v>
      </c>
      <c r="Y122" s="1">
        <f t="shared" si="26"/>
        <v>2395</v>
      </c>
      <c r="AA122" s="16">
        <v>8.6631711138664507</v>
      </c>
    </row>
    <row r="123" spans="1:27" s="1" customFormat="1" x14ac:dyDescent="0.25">
      <c r="A123" s="81"/>
      <c r="B123" s="15">
        <v>7</v>
      </c>
      <c r="C123" s="3">
        <v>41604</v>
      </c>
      <c r="D123" s="12">
        <v>4.7</v>
      </c>
      <c r="E123" s="12">
        <v>1.5</v>
      </c>
      <c r="F123" s="1">
        <v>7.3</v>
      </c>
      <c r="G123" s="1">
        <f t="shared" si="19"/>
        <v>952.10000000000059</v>
      </c>
      <c r="H123" s="1">
        <f t="shared" si="25"/>
        <v>45.400000000000006</v>
      </c>
      <c r="I123" s="14" t="s">
        <v>15</v>
      </c>
      <c r="J123" s="1">
        <v>0.5</v>
      </c>
      <c r="K123" s="1">
        <f t="shared" si="20"/>
        <v>227.7999999999999</v>
      </c>
      <c r="L123" s="1">
        <v>0.4</v>
      </c>
      <c r="M123" s="1">
        <f t="shared" si="21"/>
        <v>104.60000000000001</v>
      </c>
      <c r="N123" s="1">
        <f t="shared" si="16"/>
        <v>9.9999999999999978E-2</v>
      </c>
      <c r="O123" s="1">
        <f t="shared" si="24"/>
        <v>186.3</v>
      </c>
      <c r="P123" s="1">
        <v>84</v>
      </c>
      <c r="Q123" s="1">
        <v>1</v>
      </c>
      <c r="R123" s="9">
        <f t="shared" si="18"/>
        <v>0.4</v>
      </c>
      <c r="S123" s="9">
        <f t="shared" si="14"/>
        <v>9.9999999999999978E-2</v>
      </c>
      <c r="T123" s="9">
        <f t="shared" si="23"/>
        <v>169.07625000000002</v>
      </c>
      <c r="U123" s="14" t="s">
        <v>16</v>
      </c>
      <c r="V123" s="10">
        <v>276.89999999999998</v>
      </c>
      <c r="W123" s="1">
        <f t="shared" si="15"/>
        <v>58.914893617021271</v>
      </c>
      <c r="X123" s="1">
        <f t="shared" si="22"/>
        <v>48907.799999999988</v>
      </c>
      <c r="Y123" s="1">
        <f t="shared" si="26"/>
        <v>2671.9</v>
      </c>
      <c r="AA123" s="16">
        <v>8.6253681217716895</v>
      </c>
    </row>
    <row r="124" spans="1:27" s="1" customFormat="1" x14ac:dyDescent="0.25">
      <c r="A124" s="81"/>
      <c r="B124" s="15">
        <v>8</v>
      </c>
      <c r="C124" s="3">
        <v>41605</v>
      </c>
      <c r="D124" s="12">
        <v>3.9</v>
      </c>
      <c r="E124" s="12">
        <v>3.1</v>
      </c>
      <c r="F124" s="1">
        <v>5.3</v>
      </c>
      <c r="G124" s="1">
        <f t="shared" si="19"/>
        <v>956.00000000000057</v>
      </c>
      <c r="H124" s="1">
        <f t="shared" si="25"/>
        <v>49.300000000000004</v>
      </c>
      <c r="I124" s="1">
        <v>22</v>
      </c>
      <c r="J124" s="1">
        <v>0</v>
      </c>
      <c r="K124" s="1">
        <f t="shared" si="20"/>
        <v>227.7999999999999</v>
      </c>
      <c r="L124" s="1">
        <v>0.4</v>
      </c>
      <c r="M124" s="1">
        <f t="shared" si="21"/>
        <v>105.00000000000001</v>
      </c>
      <c r="N124" s="8">
        <f t="shared" si="16"/>
        <v>-0.4</v>
      </c>
      <c r="O124" s="1">
        <f t="shared" si="24"/>
        <v>185.9</v>
      </c>
      <c r="P124" s="1">
        <v>85</v>
      </c>
      <c r="Q124" s="1">
        <v>1</v>
      </c>
      <c r="R124" s="9">
        <f t="shared" si="18"/>
        <v>0.4</v>
      </c>
      <c r="S124" s="9">
        <f t="shared" si="14"/>
        <v>-0.4</v>
      </c>
      <c r="T124" s="9">
        <f t="shared" si="23"/>
        <v>168.67625000000001</v>
      </c>
      <c r="U124" s="9">
        <f>MAX(T113:T143)</f>
        <v>171.47624999999999</v>
      </c>
      <c r="V124" s="10">
        <v>175.2</v>
      </c>
      <c r="W124" s="1">
        <f t="shared" si="15"/>
        <v>44.92307692307692</v>
      </c>
      <c r="X124" s="1">
        <f t="shared" si="22"/>
        <v>49082.999999999985</v>
      </c>
      <c r="Y124" s="1">
        <f t="shared" si="26"/>
        <v>2847.1</v>
      </c>
      <c r="AA124" s="16">
        <v>8.5886833173305508</v>
      </c>
    </row>
    <row r="125" spans="1:27" s="1" customFormat="1" x14ac:dyDescent="0.25">
      <c r="A125" s="81"/>
      <c r="B125" s="5"/>
      <c r="C125" s="3">
        <v>41606</v>
      </c>
      <c r="D125" s="1">
        <v>5.3</v>
      </c>
      <c r="E125" s="12">
        <v>2.8</v>
      </c>
      <c r="F125" s="1">
        <v>6.9</v>
      </c>
      <c r="G125" s="1">
        <f t="shared" si="19"/>
        <v>961.30000000000052</v>
      </c>
      <c r="H125" s="1">
        <f t="shared" si="25"/>
        <v>54.6</v>
      </c>
      <c r="I125" s="14" t="s">
        <v>17</v>
      </c>
      <c r="J125" s="1">
        <v>0.2</v>
      </c>
      <c r="K125" s="1">
        <f t="shared" si="20"/>
        <v>227.99999999999989</v>
      </c>
      <c r="L125" s="1">
        <v>0.2</v>
      </c>
      <c r="M125" s="1">
        <f t="shared" si="21"/>
        <v>105.20000000000002</v>
      </c>
      <c r="N125" s="1">
        <f t="shared" si="16"/>
        <v>0</v>
      </c>
      <c r="O125" s="1">
        <f t="shared" si="24"/>
        <v>185.9</v>
      </c>
      <c r="P125" s="1">
        <v>86</v>
      </c>
      <c r="Q125" s="1">
        <v>1</v>
      </c>
      <c r="R125" s="9">
        <f t="shared" si="18"/>
        <v>0.2</v>
      </c>
      <c r="S125" s="9">
        <f t="shared" si="14"/>
        <v>0</v>
      </c>
      <c r="T125" s="9">
        <f t="shared" si="23"/>
        <v>168.67625000000001</v>
      </c>
      <c r="U125" s="14" t="s">
        <v>18</v>
      </c>
      <c r="V125" s="10">
        <v>154.9</v>
      </c>
      <c r="W125" s="1">
        <f t="shared" si="15"/>
        <v>29.226415094339625</v>
      </c>
      <c r="X125" s="1">
        <f t="shared" si="22"/>
        <v>49237.899999999987</v>
      </c>
      <c r="Y125" s="1">
        <f t="shared" si="26"/>
        <v>3002</v>
      </c>
      <c r="AA125" s="16">
        <v>8.5531497364884093</v>
      </c>
    </row>
    <row r="126" spans="1:27" s="1" customFormat="1" x14ac:dyDescent="0.25">
      <c r="A126" s="81"/>
      <c r="B126" s="5"/>
      <c r="C126" s="3">
        <v>41607</v>
      </c>
      <c r="D126" s="1">
        <v>7.2</v>
      </c>
      <c r="E126" s="1">
        <v>6.6</v>
      </c>
      <c r="F126" s="1">
        <v>8.5</v>
      </c>
      <c r="G126" s="1">
        <f t="shared" si="19"/>
        <v>968.50000000000057</v>
      </c>
      <c r="H126" s="1">
        <f t="shared" si="25"/>
        <v>61.800000000000004</v>
      </c>
      <c r="I126" s="1">
        <v>127.8</v>
      </c>
      <c r="J126" s="1">
        <v>0</v>
      </c>
      <c r="K126" s="1">
        <f t="shared" si="20"/>
        <v>227.99999999999989</v>
      </c>
      <c r="L126" s="1">
        <v>0.4</v>
      </c>
      <c r="M126" s="1">
        <f t="shared" si="21"/>
        <v>105.60000000000002</v>
      </c>
      <c r="N126" s="8">
        <f t="shared" si="16"/>
        <v>-0.4</v>
      </c>
      <c r="O126" s="1">
        <f t="shared" si="24"/>
        <v>185.5</v>
      </c>
      <c r="P126" s="1">
        <v>87</v>
      </c>
      <c r="Q126" s="1">
        <v>1</v>
      </c>
      <c r="R126" s="9">
        <f t="shared" si="18"/>
        <v>0.4</v>
      </c>
      <c r="S126" s="9">
        <f t="shared" si="14"/>
        <v>-0.4</v>
      </c>
      <c r="T126" s="9">
        <f t="shared" si="23"/>
        <v>168.27625</v>
      </c>
      <c r="U126" s="11">
        <f>AVERAGE(T113:T143)</f>
        <v>168.04076612903228</v>
      </c>
      <c r="V126" s="10">
        <v>183.9</v>
      </c>
      <c r="W126" s="1">
        <f t="shared" si="15"/>
        <v>25.541666666666668</v>
      </c>
      <c r="X126" s="1">
        <f t="shared" si="22"/>
        <v>49421.799999999988</v>
      </c>
      <c r="Y126" s="1">
        <f t="shared" si="26"/>
        <v>3185.9</v>
      </c>
      <c r="AA126" s="16">
        <v>8.5188002046386906</v>
      </c>
    </row>
    <row r="127" spans="1:27" s="1" customFormat="1" x14ac:dyDescent="0.25">
      <c r="A127" s="81"/>
      <c r="B127" s="5"/>
      <c r="C127" s="3">
        <v>41608</v>
      </c>
      <c r="D127" s="1">
        <v>6.1</v>
      </c>
      <c r="E127" s="12">
        <v>4.8</v>
      </c>
      <c r="F127" s="1">
        <v>8.5</v>
      </c>
      <c r="G127" s="1">
        <f t="shared" si="19"/>
        <v>974.60000000000059</v>
      </c>
      <c r="H127" s="1">
        <f t="shared" si="25"/>
        <v>67.900000000000006</v>
      </c>
      <c r="J127" s="1">
        <v>0</v>
      </c>
      <c r="K127" s="1">
        <f t="shared" si="20"/>
        <v>227.99999999999989</v>
      </c>
      <c r="L127" s="1">
        <v>0.8</v>
      </c>
      <c r="M127" s="1">
        <f t="shared" si="21"/>
        <v>106.40000000000002</v>
      </c>
      <c r="N127" s="8">
        <f t="shared" si="16"/>
        <v>-0.8</v>
      </c>
      <c r="O127" s="1">
        <f t="shared" si="24"/>
        <v>184.7</v>
      </c>
      <c r="P127" s="1">
        <v>88</v>
      </c>
      <c r="Q127" s="1">
        <v>1</v>
      </c>
      <c r="R127" s="9">
        <f t="shared" si="18"/>
        <v>0.8</v>
      </c>
      <c r="S127" s="9">
        <f t="shared" si="14"/>
        <v>-0.8</v>
      </c>
      <c r="T127" s="9">
        <f t="shared" si="23"/>
        <v>167.47624999999999</v>
      </c>
      <c r="U127" s="14" t="s">
        <v>20</v>
      </c>
      <c r="V127" s="10">
        <v>170.9</v>
      </c>
      <c r="W127" s="1">
        <f t="shared" si="15"/>
        <v>28.016393442622952</v>
      </c>
      <c r="X127" s="1">
        <f t="shared" si="22"/>
        <v>49592.69999999999</v>
      </c>
      <c r="Y127" s="1">
        <f t="shared" si="26"/>
        <v>3356.8</v>
      </c>
      <c r="AA127" s="16">
        <v>8.4856672465020804</v>
      </c>
    </row>
    <row r="128" spans="1:27" s="1" customFormat="1" x14ac:dyDescent="0.25">
      <c r="A128" s="81"/>
      <c r="B128" s="5"/>
      <c r="C128" s="3">
        <v>41609</v>
      </c>
      <c r="D128" s="1">
        <v>5.4</v>
      </c>
      <c r="E128" s="12">
        <v>3.6</v>
      </c>
      <c r="F128" s="1">
        <v>8.4</v>
      </c>
      <c r="G128" s="1">
        <f t="shared" si="19"/>
        <v>980.00000000000057</v>
      </c>
      <c r="H128" s="1">
        <f t="shared" si="25"/>
        <v>73.300000000000011</v>
      </c>
      <c r="J128" s="1">
        <v>0</v>
      </c>
      <c r="K128" s="1">
        <f t="shared" si="20"/>
        <v>227.99999999999989</v>
      </c>
      <c r="L128" s="1">
        <v>0.7</v>
      </c>
      <c r="M128" s="1">
        <f t="shared" si="21"/>
        <v>107.10000000000002</v>
      </c>
      <c r="N128" s="8">
        <f t="shared" si="16"/>
        <v>-0.7</v>
      </c>
      <c r="O128" s="1">
        <f t="shared" si="24"/>
        <v>184</v>
      </c>
      <c r="P128" s="1">
        <v>89</v>
      </c>
      <c r="Q128" s="1">
        <v>1</v>
      </c>
      <c r="R128" s="9">
        <f t="shared" si="18"/>
        <v>0.7</v>
      </c>
      <c r="S128" s="9">
        <f t="shared" si="14"/>
        <v>-0.7</v>
      </c>
      <c r="T128" s="9">
        <f t="shared" si="23"/>
        <v>166.77625</v>
      </c>
      <c r="U128" s="1">
        <v>29</v>
      </c>
      <c r="V128" s="10">
        <v>384</v>
      </c>
      <c r="W128" s="1">
        <f t="shared" si="15"/>
        <v>71.1111111111111</v>
      </c>
      <c r="X128" s="1">
        <f t="shared" si="22"/>
        <v>49976.69999999999</v>
      </c>
      <c r="Y128" s="1">
        <f t="shared" si="26"/>
        <v>3740.8</v>
      </c>
      <c r="AA128" s="16">
        <v>8.45378299286625</v>
      </c>
    </row>
    <row r="129" spans="1:27" s="1" customFormat="1" x14ac:dyDescent="0.25">
      <c r="A129" s="81"/>
      <c r="B129" s="5"/>
      <c r="C129" s="3">
        <v>41610</v>
      </c>
      <c r="D129" s="1">
        <v>5.2</v>
      </c>
      <c r="E129" s="12">
        <v>3.9</v>
      </c>
      <c r="F129" s="1">
        <v>7.8</v>
      </c>
      <c r="G129" s="1">
        <f t="shared" si="19"/>
        <v>985.20000000000061</v>
      </c>
      <c r="H129" s="1">
        <f t="shared" si="25"/>
        <v>78.500000000000014</v>
      </c>
      <c r="J129" s="1">
        <v>0</v>
      </c>
      <c r="K129" s="1">
        <f t="shared" si="20"/>
        <v>227.99999999999989</v>
      </c>
      <c r="L129" s="1">
        <v>0.8</v>
      </c>
      <c r="M129" s="1">
        <f t="shared" si="21"/>
        <v>107.90000000000002</v>
      </c>
      <c r="N129" s="8">
        <f t="shared" si="16"/>
        <v>-0.8</v>
      </c>
      <c r="O129" s="1">
        <f t="shared" si="24"/>
        <v>183.2</v>
      </c>
      <c r="P129" s="1">
        <v>90</v>
      </c>
      <c r="Q129" s="1">
        <v>1</v>
      </c>
      <c r="R129" s="9">
        <f t="shared" si="18"/>
        <v>0.8</v>
      </c>
      <c r="S129" s="9">
        <f t="shared" si="14"/>
        <v>-0.8</v>
      </c>
      <c r="T129" s="9">
        <f t="shared" si="23"/>
        <v>165.97624999999999</v>
      </c>
      <c r="V129" s="10">
        <v>337.9</v>
      </c>
      <c r="W129" s="1">
        <f t="shared" si="15"/>
        <v>64.980769230769226</v>
      </c>
      <c r="X129" s="1">
        <f t="shared" si="22"/>
        <v>50314.599999999991</v>
      </c>
      <c r="Y129" s="1">
        <f t="shared" si="26"/>
        <v>4078.7000000000003</v>
      </c>
      <c r="AA129" s="16">
        <v>8.4231790845843495</v>
      </c>
    </row>
    <row r="130" spans="1:27" s="1" customFormat="1" x14ac:dyDescent="0.25">
      <c r="A130" s="81"/>
      <c r="B130" s="15">
        <v>9</v>
      </c>
      <c r="C130" s="3">
        <v>41611</v>
      </c>
      <c r="D130" s="12">
        <v>0.5</v>
      </c>
      <c r="E130" s="13">
        <v>-1.7</v>
      </c>
      <c r="F130" s="12">
        <v>3.9</v>
      </c>
      <c r="G130" s="1">
        <f t="shared" si="19"/>
        <v>985.70000000000061</v>
      </c>
      <c r="H130" s="1">
        <f t="shared" si="25"/>
        <v>79.000000000000014</v>
      </c>
      <c r="J130" s="1">
        <v>0</v>
      </c>
      <c r="K130" s="1">
        <f t="shared" si="20"/>
        <v>227.99999999999989</v>
      </c>
      <c r="L130" s="1">
        <v>0.6</v>
      </c>
      <c r="M130" s="1">
        <f t="shared" si="21"/>
        <v>108.50000000000001</v>
      </c>
      <c r="N130" s="8">
        <f t="shared" si="16"/>
        <v>-0.6</v>
      </c>
      <c r="O130" s="1">
        <f t="shared" si="24"/>
        <v>182.6</v>
      </c>
      <c r="P130" s="1">
        <v>91</v>
      </c>
      <c r="Q130" s="1">
        <v>1</v>
      </c>
      <c r="R130" s="9">
        <f t="shared" si="18"/>
        <v>0.6</v>
      </c>
      <c r="S130" s="9">
        <f t="shared" si="14"/>
        <v>-0.6</v>
      </c>
      <c r="T130" s="9">
        <f t="shared" si="23"/>
        <v>165.37625</v>
      </c>
      <c r="U130" s="9">
        <f>(U126*100)/189.6</f>
        <v>88.629096059616174</v>
      </c>
      <c r="V130" s="10">
        <v>465.1</v>
      </c>
      <c r="W130" s="1">
        <f t="shared" si="15"/>
        <v>930.2</v>
      </c>
      <c r="X130" s="1">
        <f t="shared" si="22"/>
        <v>50779.69999999999</v>
      </c>
      <c r="Y130" s="1">
        <f t="shared" si="26"/>
        <v>4543.8</v>
      </c>
      <c r="AA130" s="16">
        <v>8.3938865742811508</v>
      </c>
    </row>
    <row r="131" spans="1:27" s="1" customFormat="1" x14ac:dyDescent="0.25">
      <c r="A131" s="81"/>
      <c r="B131" s="15">
        <v>10</v>
      </c>
      <c r="C131" s="3">
        <v>41612</v>
      </c>
      <c r="D131" s="12">
        <v>4.9000000000000004</v>
      </c>
      <c r="E131" s="13">
        <v>-0.2</v>
      </c>
      <c r="F131" s="1">
        <v>6.9</v>
      </c>
      <c r="G131" s="1">
        <f t="shared" si="19"/>
        <v>990.60000000000059</v>
      </c>
      <c r="H131" s="1">
        <f t="shared" si="25"/>
        <v>83.90000000000002</v>
      </c>
      <c r="J131" s="1">
        <v>0.4</v>
      </c>
      <c r="K131" s="1">
        <f t="shared" si="20"/>
        <v>228.39999999999989</v>
      </c>
      <c r="L131" s="1">
        <v>0.2</v>
      </c>
      <c r="M131" s="1">
        <f t="shared" si="21"/>
        <v>108.70000000000002</v>
      </c>
      <c r="N131" s="1">
        <f t="shared" si="16"/>
        <v>0.2</v>
      </c>
      <c r="O131" s="1">
        <f t="shared" si="24"/>
        <v>182.79999999999998</v>
      </c>
      <c r="P131" s="1">
        <v>92</v>
      </c>
      <c r="Q131" s="1">
        <v>1</v>
      </c>
      <c r="R131" s="9">
        <f t="shared" si="18"/>
        <v>0.2</v>
      </c>
      <c r="S131" s="9">
        <f t="shared" si="14"/>
        <v>0.2</v>
      </c>
      <c r="T131" s="9">
        <f t="shared" si="23"/>
        <v>165.57624999999999</v>
      </c>
      <c r="V131" s="10">
        <v>177.8</v>
      </c>
      <c r="W131" s="1">
        <f t="shared" si="15"/>
        <v>36.285714285714285</v>
      </c>
      <c r="X131" s="1">
        <f t="shared" si="22"/>
        <v>50957.499999999993</v>
      </c>
      <c r="Y131" s="1">
        <f t="shared" si="26"/>
        <v>4721.6000000000004</v>
      </c>
      <c r="AA131" s="16">
        <v>8.3659358262648702</v>
      </c>
    </row>
    <row r="132" spans="1:27" s="1" customFormat="1" x14ac:dyDescent="0.25">
      <c r="A132" s="81"/>
      <c r="B132" s="15">
        <v>11</v>
      </c>
      <c r="C132" s="3">
        <v>41613</v>
      </c>
      <c r="D132" s="12">
        <v>4.2</v>
      </c>
      <c r="E132" s="13">
        <v>-0.7</v>
      </c>
      <c r="F132" s="1">
        <v>7.9</v>
      </c>
      <c r="G132" s="1">
        <f t="shared" si="19"/>
        <v>994.80000000000064</v>
      </c>
      <c r="H132" s="1">
        <f t="shared" si="25"/>
        <v>88.100000000000023</v>
      </c>
      <c r="J132" s="1">
        <v>1.9</v>
      </c>
      <c r="K132" s="1">
        <f t="shared" si="20"/>
        <v>230.2999999999999</v>
      </c>
      <c r="L132" s="1">
        <v>0.4</v>
      </c>
      <c r="M132" s="1">
        <f t="shared" si="21"/>
        <v>109.10000000000002</v>
      </c>
      <c r="N132" s="1">
        <f t="shared" si="16"/>
        <v>1.5</v>
      </c>
      <c r="O132" s="1">
        <f t="shared" si="24"/>
        <v>184.29999999999998</v>
      </c>
      <c r="P132" s="1">
        <v>93</v>
      </c>
      <c r="Q132" s="1">
        <v>1</v>
      </c>
      <c r="R132" s="9">
        <f t="shared" si="18"/>
        <v>0.4</v>
      </c>
      <c r="S132" s="9">
        <f t="shared" si="14"/>
        <v>1.5</v>
      </c>
      <c r="T132" s="9">
        <f t="shared" si="23"/>
        <v>167.07624999999999</v>
      </c>
      <c r="V132" s="10">
        <v>389.7</v>
      </c>
      <c r="W132" s="1">
        <f t="shared" si="15"/>
        <v>92.785714285714278</v>
      </c>
      <c r="X132" s="1">
        <f t="shared" si="22"/>
        <v>51347.19999999999</v>
      </c>
      <c r="Y132" s="1">
        <f t="shared" si="26"/>
        <v>5111.3</v>
      </c>
      <c r="AA132" s="16">
        <v>8.3393564151903394</v>
      </c>
    </row>
    <row r="133" spans="1:27" s="1" customFormat="1" x14ac:dyDescent="0.25">
      <c r="A133" s="81"/>
      <c r="B133" s="15">
        <v>12</v>
      </c>
      <c r="C133" s="3">
        <v>41614</v>
      </c>
      <c r="D133" s="12">
        <v>4.2</v>
      </c>
      <c r="E133" s="12">
        <v>2.2000000000000002</v>
      </c>
      <c r="F133" s="1">
        <v>6.1</v>
      </c>
      <c r="G133" s="1">
        <f t="shared" si="19"/>
        <v>999.00000000000068</v>
      </c>
      <c r="H133" s="1">
        <f t="shared" si="25"/>
        <v>92.300000000000026</v>
      </c>
      <c r="J133" s="1">
        <v>0.3</v>
      </c>
      <c r="K133" s="1">
        <f t="shared" si="20"/>
        <v>230.59999999999991</v>
      </c>
      <c r="L133" s="1">
        <v>0.8</v>
      </c>
      <c r="M133" s="1">
        <f t="shared" si="21"/>
        <v>109.90000000000002</v>
      </c>
      <c r="N133" s="8">
        <f t="shared" si="16"/>
        <v>-0.5</v>
      </c>
      <c r="O133" s="1">
        <f t="shared" si="24"/>
        <v>183.79999999999998</v>
      </c>
      <c r="P133" s="1">
        <v>94</v>
      </c>
      <c r="Q133" s="1">
        <v>1</v>
      </c>
      <c r="R133" s="9">
        <f t="shared" si="18"/>
        <v>0.8</v>
      </c>
      <c r="S133" s="9">
        <f t="shared" si="14"/>
        <v>-0.5</v>
      </c>
      <c r="T133" s="9">
        <f t="shared" si="23"/>
        <v>166.57624999999999</v>
      </c>
      <c r="V133" s="10">
        <v>367.3</v>
      </c>
      <c r="W133" s="1">
        <f t="shared" si="15"/>
        <v>87.452380952380949</v>
      </c>
      <c r="X133" s="1">
        <f t="shared" si="22"/>
        <v>51714.499999999993</v>
      </c>
      <c r="Y133" s="1">
        <f t="shared" si="26"/>
        <v>5478.6</v>
      </c>
      <c r="AA133" s="16">
        <v>8.3141770240623103</v>
      </c>
    </row>
    <row r="134" spans="1:27" s="1" customFormat="1" x14ac:dyDescent="0.25">
      <c r="A134" s="81"/>
      <c r="B134" s="5"/>
      <c r="C134" s="3">
        <v>41615</v>
      </c>
      <c r="D134" s="1">
        <v>6.2</v>
      </c>
      <c r="E134" s="12">
        <v>4.3</v>
      </c>
      <c r="F134" s="1">
        <v>7.4</v>
      </c>
      <c r="G134" s="1">
        <f t="shared" si="19"/>
        <v>1005.2000000000007</v>
      </c>
      <c r="H134" s="1">
        <f t="shared" si="25"/>
        <v>98.500000000000028</v>
      </c>
      <c r="J134" s="1">
        <v>0.5</v>
      </c>
      <c r="K134" s="1">
        <f t="shared" si="20"/>
        <v>231.09999999999991</v>
      </c>
      <c r="L134" s="1">
        <v>0.2</v>
      </c>
      <c r="M134" s="1">
        <f t="shared" si="21"/>
        <v>110.10000000000002</v>
      </c>
      <c r="N134" s="1">
        <f t="shared" si="16"/>
        <v>0.3</v>
      </c>
      <c r="O134" s="1">
        <f t="shared" si="24"/>
        <v>184.1</v>
      </c>
      <c r="P134" s="1">
        <v>95</v>
      </c>
      <c r="Q134" s="1">
        <v>1</v>
      </c>
      <c r="R134" s="9">
        <f t="shared" si="18"/>
        <v>0.2</v>
      </c>
      <c r="S134" s="9">
        <f t="shared" si="14"/>
        <v>0.3</v>
      </c>
      <c r="T134" s="9">
        <f t="shared" si="23"/>
        <v>166.87625</v>
      </c>
      <c r="V134" s="10">
        <v>133.69999999999999</v>
      </c>
      <c r="W134" s="1">
        <f t="shared" si="15"/>
        <v>21.564516129032256</v>
      </c>
      <c r="X134" s="1">
        <f t="shared" si="22"/>
        <v>51848.19999999999</v>
      </c>
      <c r="Y134" s="1">
        <f t="shared" si="26"/>
        <v>5612.3</v>
      </c>
      <c r="AA134" s="16">
        <v>8.2904253422086001</v>
      </c>
    </row>
    <row r="135" spans="1:27" s="1" customFormat="1" x14ac:dyDescent="0.25">
      <c r="A135" s="81"/>
      <c r="B135" s="5"/>
      <c r="C135" s="3">
        <v>41616</v>
      </c>
      <c r="D135" s="1">
        <v>5.7</v>
      </c>
      <c r="E135" s="12">
        <v>4.4000000000000004</v>
      </c>
      <c r="F135" s="1">
        <v>8.4</v>
      </c>
      <c r="G135" s="1">
        <f t="shared" si="19"/>
        <v>1010.9000000000008</v>
      </c>
      <c r="H135" s="1">
        <f t="shared" si="25"/>
        <v>104.20000000000003</v>
      </c>
      <c r="J135" s="1">
        <v>0.4</v>
      </c>
      <c r="K135" s="1">
        <f t="shared" si="20"/>
        <v>231.49999999999991</v>
      </c>
      <c r="L135" s="1">
        <v>0.6</v>
      </c>
      <c r="M135" s="1">
        <f t="shared" si="21"/>
        <v>110.70000000000002</v>
      </c>
      <c r="N135" s="8">
        <f t="shared" si="16"/>
        <v>-0.19999999999999996</v>
      </c>
      <c r="O135" s="1">
        <f t="shared" si="24"/>
        <v>183.9</v>
      </c>
      <c r="P135" s="1">
        <v>96</v>
      </c>
      <c r="Q135" s="1">
        <v>1</v>
      </c>
      <c r="R135" s="9">
        <f t="shared" si="18"/>
        <v>0.6</v>
      </c>
      <c r="S135" s="9">
        <f t="shared" si="14"/>
        <v>-0.19999999999999996</v>
      </c>
      <c r="T135" s="9">
        <f t="shared" si="23"/>
        <v>166.67625000000001</v>
      </c>
      <c r="V135" s="10">
        <v>262.89999999999998</v>
      </c>
      <c r="W135" s="1">
        <f t="shared" si="15"/>
        <v>46.122807017543856</v>
      </c>
      <c r="X135" s="1">
        <f t="shared" si="22"/>
        <v>52111.099999999991</v>
      </c>
      <c r="Y135" s="1">
        <f t="shared" si="26"/>
        <v>5875.2</v>
      </c>
      <c r="AA135" s="16">
        <v>8.2681279638867906</v>
      </c>
    </row>
    <row r="136" spans="1:27" s="1" customFormat="1" x14ac:dyDescent="0.25">
      <c r="A136" s="81"/>
      <c r="B136" s="15">
        <v>13</v>
      </c>
      <c r="C136" s="3">
        <v>41617</v>
      </c>
      <c r="D136" s="12">
        <v>2.9</v>
      </c>
      <c r="E136" s="12">
        <v>1.1000000000000001</v>
      </c>
      <c r="F136" s="1">
        <v>7.3</v>
      </c>
      <c r="G136" s="1">
        <f t="shared" si="19"/>
        <v>1013.8000000000008</v>
      </c>
      <c r="H136" s="1">
        <f t="shared" si="25"/>
        <v>107.10000000000004</v>
      </c>
      <c r="J136" s="1">
        <v>0</v>
      </c>
      <c r="K136" s="1">
        <f t="shared" si="20"/>
        <v>231.49999999999991</v>
      </c>
      <c r="L136" s="1">
        <v>0.8</v>
      </c>
      <c r="M136" s="1">
        <f t="shared" si="21"/>
        <v>111.50000000000001</v>
      </c>
      <c r="N136" s="8">
        <f t="shared" si="16"/>
        <v>-0.8</v>
      </c>
      <c r="O136" s="1">
        <f t="shared" si="24"/>
        <v>183.1</v>
      </c>
      <c r="P136" s="1">
        <v>97</v>
      </c>
      <c r="Q136" s="1">
        <v>1</v>
      </c>
      <c r="R136" s="9">
        <f t="shared" si="18"/>
        <v>0.8</v>
      </c>
      <c r="S136" s="9">
        <f t="shared" si="14"/>
        <v>-0.8</v>
      </c>
      <c r="T136" s="9">
        <f t="shared" si="23"/>
        <v>165.87625</v>
      </c>
      <c r="V136" s="10">
        <v>423.8</v>
      </c>
      <c r="W136" s="1">
        <f t="shared" si="15"/>
        <v>146.13793103448276</v>
      </c>
      <c r="X136" s="1">
        <f t="shared" si="22"/>
        <v>52534.899999999994</v>
      </c>
      <c r="Y136" s="1">
        <f t="shared" si="26"/>
        <v>6299</v>
      </c>
      <c r="AA136" s="16">
        <v>8.24731028821774</v>
      </c>
    </row>
    <row r="137" spans="1:27" s="1" customFormat="1" x14ac:dyDescent="0.25">
      <c r="A137" s="81"/>
      <c r="B137" s="15">
        <v>14</v>
      </c>
      <c r="C137" s="3">
        <v>41618</v>
      </c>
      <c r="D137" s="12">
        <v>0.6</v>
      </c>
      <c r="E137" s="13">
        <v>-2.2999999999999998</v>
      </c>
      <c r="F137" s="12">
        <v>4.8</v>
      </c>
      <c r="G137" s="1">
        <f t="shared" si="19"/>
        <v>1014.4000000000008</v>
      </c>
      <c r="H137" s="1">
        <f t="shared" si="25"/>
        <v>107.70000000000003</v>
      </c>
      <c r="J137" s="1">
        <v>0.2</v>
      </c>
      <c r="K137" s="1">
        <f t="shared" si="20"/>
        <v>231.6999999999999</v>
      </c>
      <c r="L137" s="1">
        <v>0.7</v>
      </c>
      <c r="M137" s="1">
        <f t="shared" si="21"/>
        <v>112.20000000000002</v>
      </c>
      <c r="N137" s="8">
        <f t="shared" si="16"/>
        <v>-0.49999999999999994</v>
      </c>
      <c r="O137" s="1">
        <f t="shared" si="24"/>
        <v>182.6</v>
      </c>
      <c r="P137" s="1">
        <v>98</v>
      </c>
      <c r="Q137" s="1">
        <v>1</v>
      </c>
      <c r="R137" s="9">
        <f t="shared" si="18"/>
        <v>0.7</v>
      </c>
      <c r="S137" s="9">
        <f t="shared" si="14"/>
        <v>-0.49999999999999994</v>
      </c>
      <c r="T137" s="9">
        <f t="shared" si="23"/>
        <v>165.37625</v>
      </c>
      <c r="V137" s="10">
        <v>452.4</v>
      </c>
      <c r="W137" s="1">
        <f t="shared" si="15"/>
        <v>754</v>
      </c>
      <c r="X137" s="1">
        <f t="shared" si="22"/>
        <v>52987.299999999996</v>
      </c>
      <c r="Y137" s="1">
        <f t="shared" si="26"/>
        <v>6751.4</v>
      </c>
      <c r="AA137" s="16">
        <v>8.2279964211608494</v>
      </c>
    </row>
    <row r="138" spans="1:27" s="1" customFormat="1" x14ac:dyDescent="0.25">
      <c r="A138" s="81"/>
      <c r="B138" s="15">
        <v>15</v>
      </c>
      <c r="C138" s="3">
        <v>41619</v>
      </c>
      <c r="D138" s="12">
        <v>0</v>
      </c>
      <c r="E138" s="13">
        <v>-2.1</v>
      </c>
      <c r="F138" s="12">
        <v>3.7</v>
      </c>
      <c r="G138" s="1">
        <f t="shared" si="19"/>
        <v>1014.4000000000008</v>
      </c>
      <c r="H138" s="1">
        <f t="shared" si="25"/>
        <v>107.70000000000003</v>
      </c>
      <c r="J138" s="1">
        <v>0</v>
      </c>
      <c r="K138" s="1">
        <f t="shared" si="20"/>
        <v>231.6999999999999</v>
      </c>
      <c r="L138" s="1">
        <v>0.7</v>
      </c>
      <c r="M138" s="1">
        <f t="shared" si="21"/>
        <v>112.90000000000002</v>
      </c>
      <c r="N138" s="8">
        <f t="shared" si="16"/>
        <v>-0.7</v>
      </c>
      <c r="O138" s="1">
        <f t="shared" si="24"/>
        <v>181.9</v>
      </c>
      <c r="P138" s="1">
        <v>99</v>
      </c>
      <c r="Q138" s="1">
        <v>1</v>
      </c>
      <c r="R138" s="9">
        <f t="shared" si="18"/>
        <v>0.7</v>
      </c>
      <c r="S138" s="9">
        <f t="shared" si="14"/>
        <v>-0.7</v>
      </c>
      <c r="T138" s="9">
        <f t="shared" si="23"/>
        <v>164.67625000000001</v>
      </c>
      <c r="V138" s="10">
        <v>413.1</v>
      </c>
      <c r="W138" s="1" t="e">
        <f t="shared" si="15"/>
        <v>#DIV/0!</v>
      </c>
      <c r="X138" s="1">
        <f t="shared" si="22"/>
        <v>53400.399999999994</v>
      </c>
      <c r="Y138" s="1">
        <f t="shared" si="26"/>
        <v>7164.5</v>
      </c>
      <c r="AA138" s="16">
        <v>8.2102090802609293</v>
      </c>
    </row>
    <row r="139" spans="1:27" s="1" customFormat="1" x14ac:dyDescent="0.25">
      <c r="A139" s="81"/>
      <c r="B139" s="15">
        <v>16</v>
      </c>
      <c r="C139" s="3">
        <v>41620</v>
      </c>
      <c r="D139" s="13">
        <v>-0.9</v>
      </c>
      <c r="E139" s="13">
        <v>-2.8</v>
      </c>
      <c r="F139" s="12">
        <v>0.9</v>
      </c>
      <c r="G139" s="1">
        <v>1014.4</v>
      </c>
      <c r="H139" s="1">
        <v>107.7</v>
      </c>
      <c r="J139" s="1">
        <v>0.1</v>
      </c>
      <c r="K139" s="1">
        <f t="shared" si="20"/>
        <v>231.7999999999999</v>
      </c>
      <c r="L139" s="1">
        <v>0.3</v>
      </c>
      <c r="M139" s="1">
        <f t="shared" si="21"/>
        <v>113.20000000000002</v>
      </c>
      <c r="N139" s="8">
        <f t="shared" si="16"/>
        <v>-0.19999999999999998</v>
      </c>
      <c r="O139" s="1">
        <f t="shared" si="24"/>
        <v>181.70000000000002</v>
      </c>
      <c r="P139" s="1">
        <v>100</v>
      </c>
      <c r="Q139" s="1">
        <v>1</v>
      </c>
      <c r="R139" s="9">
        <f t="shared" si="18"/>
        <v>0.3</v>
      </c>
      <c r="S139" s="9">
        <f t="shared" si="14"/>
        <v>-0.19999999999999998</v>
      </c>
      <c r="T139" s="9">
        <f t="shared" si="23"/>
        <v>164.47625000000002</v>
      </c>
      <c r="V139" s="10">
        <v>252.9</v>
      </c>
      <c r="W139" s="1">
        <f t="shared" si="15"/>
        <v>-281</v>
      </c>
      <c r="X139" s="1">
        <f t="shared" si="22"/>
        <v>53653.299999999996</v>
      </c>
      <c r="Y139" s="1">
        <f t="shared" si="26"/>
        <v>7417.4</v>
      </c>
      <c r="AA139" s="16">
        <v>8.1939695029020498</v>
      </c>
    </row>
    <row r="140" spans="1:27" s="1" customFormat="1" x14ac:dyDescent="0.25">
      <c r="A140" s="81"/>
      <c r="B140" s="15">
        <v>17</v>
      </c>
      <c r="C140" s="3">
        <v>41621</v>
      </c>
      <c r="D140" s="12">
        <v>1.2</v>
      </c>
      <c r="E140" s="13">
        <v>-2.1</v>
      </c>
      <c r="F140" s="12">
        <v>3.7</v>
      </c>
      <c r="G140" s="1">
        <f t="shared" si="19"/>
        <v>1015.6</v>
      </c>
      <c r="H140" s="1">
        <f t="shared" si="25"/>
        <v>108.9</v>
      </c>
      <c r="J140" s="1">
        <v>4.2</v>
      </c>
      <c r="K140" s="1">
        <f t="shared" si="20"/>
        <v>235.99999999999989</v>
      </c>
      <c r="L140" s="1">
        <v>0.3</v>
      </c>
      <c r="M140" s="1">
        <f t="shared" si="21"/>
        <v>113.50000000000001</v>
      </c>
      <c r="N140" s="1">
        <f t="shared" si="16"/>
        <v>3.9000000000000004</v>
      </c>
      <c r="O140" s="1">
        <f t="shared" si="24"/>
        <v>185.60000000000002</v>
      </c>
      <c r="P140" s="1">
        <v>101</v>
      </c>
      <c r="Q140" s="1">
        <v>1</v>
      </c>
      <c r="R140" s="9">
        <f t="shared" si="18"/>
        <v>0.3</v>
      </c>
      <c r="S140" s="9">
        <f t="shared" si="14"/>
        <v>3.9000000000000004</v>
      </c>
      <c r="T140" s="9">
        <f t="shared" si="23"/>
        <v>168.37625000000003</v>
      </c>
      <c r="V140" s="10">
        <v>275.5</v>
      </c>
      <c r="W140" s="1">
        <f t="shared" si="15"/>
        <v>229.58333333333334</v>
      </c>
      <c r="X140" s="1">
        <f t="shared" si="22"/>
        <v>53928.799999999996</v>
      </c>
      <c r="Y140" s="1">
        <f t="shared" si="26"/>
        <v>7692.9</v>
      </c>
      <c r="AA140" s="16">
        <v>8.1792973588013904</v>
      </c>
    </row>
    <row r="141" spans="1:27" s="1" customFormat="1" x14ac:dyDescent="0.25">
      <c r="A141" s="81"/>
      <c r="B141" s="5"/>
      <c r="C141" s="3">
        <v>41622</v>
      </c>
      <c r="D141" s="1">
        <v>5.7</v>
      </c>
      <c r="E141" s="12">
        <v>2.6</v>
      </c>
      <c r="F141" s="1">
        <v>7.9</v>
      </c>
      <c r="G141" s="1">
        <f t="shared" si="19"/>
        <v>1021.3000000000001</v>
      </c>
      <c r="H141" s="1">
        <f t="shared" si="25"/>
        <v>114.60000000000001</v>
      </c>
      <c r="J141" s="1">
        <v>0.4</v>
      </c>
      <c r="K141" s="1">
        <f t="shared" si="20"/>
        <v>236.39999999999989</v>
      </c>
      <c r="L141" s="1">
        <v>0.4</v>
      </c>
      <c r="M141" s="1">
        <f t="shared" si="21"/>
        <v>113.90000000000002</v>
      </c>
      <c r="N141" s="1">
        <f t="shared" si="16"/>
        <v>0</v>
      </c>
      <c r="O141" s="1">
        <f t="shared" si="24"/>
        <v>185.60000000000002</v>
      </c>
      <c r="P141" s="1">
        <v>102</v>
      </c>
      <c r="Q141" s="1">
        <v>1</v>
      </c>
      <c r="R141" s="9">
        <f t="shared" si="18"/>
        <v>0.4</v>
      </c>
      <c r="S141" s="9">
        <f t="shared" si="14"/>
        <v>0</v>
      </c>
      <c r="T141" s="9">
        <f t="shared" si="23"/>
        <v>168.37625000000003</v>
      </c>
      <c r="V141" s="10">
        <v>360.7</v>
      </c>
      <c r="W141" s="1">
        <f t="shared" si="15"/>
        <v>63.280701754385959</v>
      </c>
      <c r="X141" s="1">
        <f t="shared" si="22"/>
        <v>54289.499999999993</v>
      </c>
      <c r="Y141" s="1">
        <f t="shared" si="26"/>
        <v>8053.5999999999995</v>
      </c>
      <c r="AA141" s="16">
        <v>8.1662106674633801</v>
      </c>
    </row>
    <row r="142" spans="1:27" s="1" customFormat="1" x14ac:dyDescent="0.25">
      <c r="A142" s="81"/>
      <c r="B142" s="5"/>
      <c r="C142" s="3">
        <v>41623</v>
      </c>
      <c r="D142" s="1">
        <v>6.6</v>
      </c>
      <c r="E142" s="1">
        <v>5.9</v>
      </c>
      <c r="F142" s="1">
        <v>7.9</v>
      </c>
      <c r="G142" s="1">
        <f t="shared" si="19"/>
        <v>1027.9000000000001</v>
      </c>
      <c r="H142" s="1">
        <f t="shared" si="25"/>
        <v>121.2</v>
      </c>
      <c r="J142" s="1">
        <v>0</v>
      </c>
      <c r="K142" s="1">
        <f t="shared" si="20"/>
        <v>236.39999999999989</v>
      </c>
      <c r="L142" s="1">
        <v>1.2</v>
      </c>
      <c r="M142" s="1">
        <f t="shared" si="21"/>
        <v>115.10000000000002</v>
      </c>
      <c r="N142" s="8">
        <f t="shared" si="16"/>
        <v>-1.2</v>
      </c>
      <c r="O142" s="1">
        <f t="shared" si="24"/>
        <v>184.40000000000003</v>
      </c>
      <c r="P142" s="1">
        <v>103</v>
      </c>
      <c r="Q142" s="1">
        <v>1</v>
      </c>
      <c r="R142" s="9">
        <f t="shared" si="18"/>
        <v>1.2</v>
      </c>
      <c r="S142" s="9">
        <f t="shared" si="14"/>
        <v>-1.2</v>
      </c>
      <c r="T142" s="9">
        <f t="shared" si="23"/>
        <v>167.17625000000004</v>
      </c>
      <c r="V142" s="10">
        <v>272.3</v>
      </c>
      <c r="W142" s="1">
        <f t="shared" si="15"/>
        <v>41.257575757575765</v>
      </c>
      <c r="X142" s="1">
        <f t="shared" si="22"/>
        <v>54561.799999999996</v>
      </c>
      <c r="Y142" s="1">
        <f t="shared" si="26"/>
        <v>8325.9</v>
      </c>
      <c r="AA142" s="16">
        <v>8.1547257212929107</v>
      </c>
    </row>
    <row r="143" spans="1:27" s="54" customFormat="1" ht="15.75" thickBot="1" x14ac:dyDescent="0.3">
      <c r="A143" s="81"/>
      <c r="B143" s="39"/>
      <c r="C143" s="53">
        <v>41624</v>
      </c>
      <c r="D143" s="54">
        <v>6.6</v>
      </c>
      <c r="E143" s="54">
        <v>4.2</v>
      </c>
      <c r="F143" s="54">
        <v>9.6</v>
      </c>
      <c r="G143" s="54">
        <f t="shared" si="19"/>
        <v>1034.5</v>
      </c>
      <c r="H143" s="48">
        <f t="shared" si="25"/>
        <v>127.8</v>
      </c>
      <c r="I143" s="48"/>
      <c r="J143" s="54">
        <v>0</v>
      </c>
      <c r="K143" s="54">
        <f t="shared" si="20"/>
        <v>236.39999999999989</v>
      </c>
      <c r="L143" s="54">
        <v>1.1000000000000001</v>
      </c>
      <c r="M143" s="54">
        <f t="shared" si="21"/>
        <v>116.20000000000002</v>
      </c>
      <c r="N143" s="54">
        <f t="shared" si="16"/>
        <v>-1.1000000000000001</v>
      </c>
      <c r="O143" s="42">
        <f t="shared" si="24"/>
        <v>183.30000000000004</v>
      </c>
      <c r="P143" s="42">
        <v>104</v>
      </c>
      <c r="Q143" s="42">
        <v>1</v>
      </c>
      <c r="R143" s="44">
        <f t="shared" si="18"/>
        <v>1.1000000000000001</v>
      </c>
      <c r="S143" s="44">
        <f t="shared" si="14"/>
        <v>-1.1000000000000001</v>
      </c>
      <c r="T143" s="44">
        <f t="shared" si="23"/>
        <v>166.07625000000004</v>
      </c>
      <c r="V143" s="45">
        <v>477.1</v>
      </c>
      <c r="W143" s="54">
        <f t="shared" si="15"/>
        <v>72.287878787878796</v>
      </c>
      <c r="X143" s="54">
        <f t="shared" si="22"/>
        <v>55038.899999999994</v>
      </c>
      <c r="Y143" s="48">
        <f t="shared" si="26"/>
        <v>8803</v>
      </c>
      <c r="AA143" s="55">
        <v>8.1448570150340593</v>
      </c>
    </row>
    <row r="144" spans="1:27" s="1" customFormat="1" ht="15" customHeight="1" x14ac:dyDescent="0.25">
      <c r="A144" s="82" t="s">
        <v>21</v>
      </c>
      <c r="B144" s="17"/>
      <c r="C144" s="3">
        <v>41625</v>
      </c>
      <c r="D144" s="1">
        <v>6</v>
      </c>
      <c r="E144" s="12">
        <v>3.7</v>
      </c>
      <c r="F144" s="1">
        <v>7.4</v>
      </c>
      <c r="G144" s="1">
        <f t="shared" si="19"/>
        <v>1040.5</v>
      </c>
      <c r="H144" s="1">
        <f>6</f>
        <v>6</v>
      </c>
      <c r="I144" s="18" t="s">
        <v>2</v>
      </c>
      <c r="J144" s="1">
        <v>0</v>
      </c>
      <c r="K144" s="1">
        <f t="shared" si="20"/>
        <v>236.39999999999989</v>
      </c>
      <c r="L144" s="1">
        <v>0.6</v>
      </c>
      <c r="M144" s="1">
        <f t="shared" si="21"/>
        <v>116.80000000000001</v>
      </c>
      <c r="N144" s="8">
        <f t="shared" si="16"/>
        <v>-0.6</v>
      </c>
      <c r="O144" s="1">
        <f t="shared" si="24"/>
        <v>182.70000000000005</v>
      </c>
      <c r="P144" s="1">
        <v>105</v>
      </c>
      <c r="Q144" s="11">
        <f>1+((P144-104)/111)*(1.15-1)</f>
        <v>1.0013513513513514</v>
      </c>
      <c r="R144" s="9">
        <f t="shared" si="18"/>
        <v>0.60081081081081089</v>
      </c>
      <c r="S144" s="9">
        <f t="shared" si="14"/>
        <v>-0.60081081081081089</v>
      </c>
      <c r="T144" s="9">
        <f t="shared" si="23"/>
        <v>165.47543918918925</v>
      </c>
      <c r="U144" s="18" t="s">
        <v>3</v>
      </c>
      <c r="V144" s="10">
        <v>154.4</v>
      </c>
      <c r="W144" s="1">
        <f t="shared" si="15"/>
        <v>25.733333333333334</v>
      </c>
      <c r="X144" s="1">
        <f t="shared" si="22"/>
        <v>55193.299999999996</v>
      </c>
      <c r="Y144" s="1">
        <v>154.4</v>
      </c>
      <c r="Z144" s="18" t="s">
        <v>4</v>
      </c>
      <c r="AA144" s="16">
        <v>8.1366171821599593</v>
      </c>
    </row>
    <row r="145" spans="1:27" s="1" customFormat="1" x14ac:dyDescent="0.25">
      <c r="A145" s="82"/>
      <c r="B145" s="17"/>
      <c r="C145" s="3">
        <v>41626</v>
      </c>
      <c r="D145" s="1">
        <v>7.6</v>
      </c>
      <c r="E145" s="1">
        <v>5.5</v>
      </c>
      <c r="F145" s="1">
        <v>8.9</v>
      </c>
      <c r="G145" s="1">
        <f t="shared" si="19"/>
        <v>1048.0999999999999</v>
      </c>
      <c r="H145" s="1">
        <f>H144+D145</f>
        <v>13.6</v>
      </c>
      <c r="I145" s="1">
        <f>MIN(E144:E254)</f>
        <v>-1.5</v>
      </c>
      <c r="J145" s="1">
        <v>7.6</v>
      </c>
      <c r="K145" s="1">
        <f t="shared" si="20"/>
        <v>243.99999999999989</v>
      </c>
      <c r="L145" s="1">
        <v>0.6</v>
      </c>
      <c r="M145" s="1">
        <f t="shared" si="21"/>
        <v>117.4</v>
      </c>
      <c r="N145" s="1">
        <f t="shared" si="16"/>
        <v>7</v>
      </c>
      <c r="O145" s="1">
        <v>189.6</v>
      </c>
      <c r="P145" s="1">
        <v>106</v>
      </c>
      <c r="Q145" s="11">
        <f t="shared" ref="Q145:Q208" si="27">1+((P145-104)/111)*(1.15-1)</f>
        <v>1.0027027027027027</v>
      </c>
      <c r="R145" s="9">
        <f t="shared" si="18"/>
        <v>0.60162162162162158</v>
      </c>
      <c r="S145" s="9">
        <f t="shared" si="14"/>
        <v>6.9983783783783782</v>
      </c>
      <c r="T145" s="9">
        <f t="shared" si="23"/>
        <v>172.47381756756764</v>
      </c>
      <c r="V145" s="10">
        <v>369.7</v>
      </c>
      <c r="W145" s="1">
        <f t="shared" si="15"/>
        <v>48.644736842105267</v>
      </c>
      <c r="X145" s="1">
        <f t="shared" si="22"/>
        <v>55562.999999999993</v>
      </c>
      <c r="Y145" s="1">
        <f t="shared" si="26"/>
        <v>524.1</v>
      </c>
      <c r="Z145" s="1">
        <v>60993.4</v>
      </c>
      <c r="AA145" s="16">
        <v>8.1300169387881809</v>
      </c>
    </row>
    <row r="146" spans="1:27" s="1" customFormat="1" x14ac:dyDescent="0.25">
      <c r="A146" s="82"/>
      <c r="B146" s="17"/>
      <c r="C146" s="3">
        <v>41627</v>
      </c>
      <c r="D146" s="1">
        <v>6.9</v>
      </c>
      <c r="E146" s="12">
        <v>4.4000000000000004</v>
      </c>
      <c r="F146" s="1">
        <v>8.6999999999999993</v>
      </c>
      <c r="G146" s="1">
        <f t="shared" si="19"/>
        <v>1055</v>
      </c>
      <c r="H146" s="1">
        <f t="shared" ref="H146:H209" si="28">H145+D146</f>
        <v>20.5</v>
      </c>
      <c r="I146" s="18" t="s">
        <v>5</v>
      </c>
      <c r="J146" s="1">
        <v>1.1000000000000001</v>
      </c>
      <c r="K146" s="1">
        <f t="shared" si="20"/>
        <v>245.09999999999988</v>
      </c>
      <c r="L146" s="1">
        <v>0.5</v>
      </c>
      <c r="M146" s="1">
        <f t="shared" si="21"/>
        <v>117.9</v>
      </c>
      <c r="N146" s="1">
        <f t="shared" si="16"/>
        <v>0.60000000000000009</v>
      </c>
      <c r="O146" s="1">
        <v>189.6</v>
      </c>
      <c r="P146" s="1">
        <v>107</v>
      </c>
      <c r="Q146" s="11">
        <f t="shared" si="27"/>
        <v>1.0040540540540541</v>
      </c>
      <c r="R146" s="9">
        <f t="shared" si="18"/>
        <v>0.50202702702702706</v>
      </c>
      <c r="S146" s="9">
        <f t="shared" si="14"/>
        <v>0.59797297297297303</v>
      </c>
      <c r="T146" s="9">
        <f t="shared" si="23"/>
        <v>173.0717905405406</v>
      </c>
      <c r="U146" s="18" t="s">
        <v>6</v>
      </c>
      <c r="V146" s="10">
        <v>391.8</v>
      </c>
      <c r="W146" s="1">
        <f t="shared" si="15"/>
        <v>56.782608695652172</v>
      </c>
      <c r="X146" s="1">
        <f t="shared" si="22"/>
        <v>55954.799999999996</v>
      </c>
      <c r="Y146" s="1">
        <f t="shared" si="26"/>
        <v>915.90000000000009</v>
      </c>
      <c r="Z146" s="18" t="s">
        <v>7</v>
      </c>
      <c r="AA146" s="16">
        <v>8.1250650356366894</v>
      </c>
    </row>
    <row r="147" spans="1:27" s="1" customFormat="1" x14ac:dyDescent="0.25">
      <c r="A147" s="82"/>
      <c r="B147" s="15">
        <v>18</v>
      </c>
      <c r="C147" s="3">
        <v>41628</v>
      </c>
      <c r="D147" s="12">
        <v>4.5</v>
      </c>
      <c r="E147" s="12">
        <v>1.9</v>
      </c>
      <c r="F147" s="1">
        <v>7.3</v>
      </c>
      <c r="G147" s="1">
        <f t="shared" si="19"/>
        <v>1059.5</v>
      </c>
      <c r="H147" s="1">
        <f t="shared" si="28"/>
        <v>25</v>
      </c>
      <c r="I147" s="1">
        <f>MAX(F144:F254)</f>
        <v>20</v>
      </c>
      <c r="J147" s="1">
        <v>0.2</v>
      </c>
      <c r="K147" s="1">
        <f t="shared" si="20"/>
        <v>245.29999999999987</v>
      </c>
      <c r="L147" s="1">
        <v>0.6</v>
      </c>
      <c r="M147" s="1">
        <f t="shared" si="21"/>
        <v>118.5</v>
      </c>
      <c r="N147" s="8">
        <f t="shared" si="16"/>
        <v>-0.39999999999999997</v>
      </c>
      <c r="O147" s="1">
        <f>O146+N147</f>
        <v>189.2</v>
      </c>
      <c r="P147" s="1">
        <v>108</v>
      </c>
      <c r="Q147" s="11">
        <f t="shared" si="27"/>
        <v>1.0054054054054054</v>
      </c>
      <c r="R147" s="9">
        <f t="shared" si="18"/>
        <v>0.60324324324324319</v>
      </c>
      <c r="S147" s="9">
        <f t="shared" si="14"/>
        <v>-0.40324324324324318</v>
      </c>
      <c r="T147" s="9">
        <f t="shared" si="23"/>
        <v>172.66854729729735</v>
      </c>
      <c r="V147" s="10">
        <v>433.5</v>
      </c>
      <c r="W147" s="1">
        <f t="shared" si="15"/>
        <v>96.333333333333329</v>
      </c>
      <c r="X147" s="1">
        <f t="shared" si="22"/>
        <v>56388.299999999996</v>
      </c>
      <c r="Y147" s="1">
        <f t="shared" si="26"/>
        <v>1349.4</v>
      </c>
      <c r="Z147" s="11">
        <f>(Z145/100)/I157</f>
        <v>0.78650419084461631</v>
      </c>
      <c r="AA147" s="16">
        <v>8.1217682184677304</v>
      </c>
    </row>
    <row r="148" spans="1:27" s="1" customFormat="1" x14ac:dyDescent="0.25">
      <c r="A148" s="82"/>
      <c r="B148" s="17"/>
      <c r="C148" s="3">
        <v>41629</v>
      </c>
      <c r="D148" s="1">
        <v>5.8</v>
      </c>
      <c r="E148" s="12">
        <v>4.4000000000000004</v>
      </c>
      <c r="F148" s="1">
        <v>7.9</v>
      </c>
      <c r="G148" s="1">
        <f t="shared" si="19"/>
        <v>1065.3</v>
      </c>
      <c r="H148" s="1">
        <f t="shared" si="28"/>
        <v>30.8</v>
      </c>
      <c r="I148" s="18" t="s">
        <v>8</v>
      </c>
      <c r="J148" s="1">
        <v>0.4</v>
      </c>
      <c r="K148" s="1">
        <f t="shared" si="20"/>
        <v>245.69999999999987</v>
      </c>
      <c r="L148" s="1">
        <v>1.1000000000000001</v>
      </c>
      <c r="M148" s="1">
        <f t="shared" si="21"/>
        <v>119.6</v>
      </c>
      <c r="N148" s="8">
        <f t="shared" si="16"/>
        <v>-0.70000000000000007</v>
      </c>
      <c r="O148" s="1">
        <f>O147+N148</f>
        <v>188.5</v>
      </c>
      <c r="P148" s="1">
        <v>109</v>
      </c>
      <c r="Q148" s="11">
        <f t="shared" si="27"/>
        <v>1.0067567567567568</v>
      </c>
      <c r="R148" s="9">
        <f t="shared" si="18"/>
        <v>1.1074324324324325</v>
      </c>
      <c r="S148" s="9">
        <f t="shared" si="14"/>
        <v>-0.70743243243243248</v>
      </c>
      <c r="T148" s="9">
        <f t="shared" si="23"/>
        <v>171.96111486486492</v>
      </c>
      <c r="U148" s="18" t="s">
        <v>9</v>
      </c>
      <c r="V148" s="10">
        <v>181.3</v>
      </c>
      <c r="W148" s="1">
        <f t="shared" si="15"/>
        <v>31.258620689655174</v>
      </c>
      <c r="X148" s="1">
        <f t="shared" si="22"/>
        <v>56569.599999999999</v>
      </c>
      <c r="Y148" s="1">
        <f t="shared" si="26"/>
        <v>1530.7</v>
      </c>
      <c r="Z148" s="18" t="s">
        <v>10</v>
      </c>
      <c r="AA148" s="16">
        <v>8.1201311973919896</v>
      </c>
    </row>
    <row r="149" spans="1:27" s="1" customFormat="1" x14ac:dyDescent="0.25">
      <c r="A149" s="82"/>
      <c r="B149" s="17"/>
      <c r="C149" s="3">
        <v>41630</v>
      </c>
      <c r="D149" s="19">
        <v>7.9</v>
      </c>
      <c r="E149" s="19">
        <v>5.9</v>
      </c>
      <c r="F149" s="19">
        <v>9.4</v>
      </c>
      <c r="G149" s="19">
        <f t="shared" si="19"/>
        <v>1073.2</v>
      </c>
      <c r="H149" s="1">
        <f t="shared" si="28"/>
        <v>38.700000000000003</v>
      </c>
      <c r="I149" s="9">
        <f>AVERAGE(D144:D254)</f>
        <v>6.9864864864864877</v>
      </c>
      <c r="J149" s="19">
        <v>2.5</v>
      </c>
      <c r="K149" s="19">
        <f t="shared" si="20"/>
        <v>248.19999999999987</v>
      </c>
      <c r="L149" s="19">
        <v>0.4</v>
      </c>
      <c r="M149" s="19">
        <f t="shared" si="21"/>
        <v>120</v>
      </c>
      <c r="N149" s="19">
        <f t="shared" si="16"/>
        <v>2.1</v>
      </c>
      <c r="O149" s="1">
        <v>189.6</v>
      </c>
      <c r="P149" s="1">
        <v>110</v>
      </c>
      <c r="Q149" s="11">
        <f t="shared" si="27"/>
        <v>1.008108108108108</v>
      </c>
      <c r="R149" s="9">
        <f t="shared" si="18"/>
        <v>0.40324324324324323</v>
      </c>
      <c r="S149" s="9">
        <f t="shared" si="14"/>
        <v>2.0967567567567569</v>
      </c>
      <c r="T149" s="9">
        <f t="shared" si="23"/>
        <v>174.05787162162167</v>
      </c>
      <c r="U149" s="1">
        <v>0</v>
      </c>
      <c r="V149" s="10">
        <v>191.4</v>
      </c>
      <c r="W149" s="1">
        <f t="shared" si="15"/>
        <v>24.227848101265824</v>
      </c>
      <c r="X149" s="1">
        <f t="shared" si="22"/>
        <v>56761</v>
      </c>
      <c r="Y149" s="1">
        <f t="shared" si="26"/>
        <v>1722.1000000000001</v>
      </c>
      <c r="Z149" s="1">
        <v>85</v>
      </c>
      <c r="AA149" s="16">
        <v>8.1201566253249204</v>
      </c>
    </row>
    <row r="150" spans="1:27" s="1" customFormat="1" x14ac:dyDescent="0.25">
      <c r="A150" s="82"/>
      <c r="B150" s="17"/>
      <c r="C150" s="3">
        <v>41631</v>
      </c>
      <c r="D150" s="1">
        <v>8.6999999999999993</v>
      </c>
      <c r="E150" s="1">
        <v>5.4</v>
      </c>
      <c r="F150" s="1">
        <v>11.1</v>
      </c>
      <c r="G150" s="1">
        <f t="shared" si="19"/>
        <v>1081.9000000000001</v>
      </c>
      <c r="H150" s="1">
        <f t="shared" si="28"/>
        <v>47.400000000000006</v>
      </c>
      <c r="I150" s="18" t="s">
        <v>11</v>
      </c>
      <c r="J150" s="1">
        <v>0.9</v>
      </c>
      <c r="K150" s="1">
        <f t="shared" si="20"/>
        <v>249.09999999999988</v>
      </c>
      <c r="L150" s="1">
        <v>1</v>
      </c>
      <c r="M150" s="1">
        <f t="shared" si="21"/>
        <v>121</v>
      </c>
      <c r="N150" s="8">
        <f t="shared" si="16"/>
        <v>-9.9999999999999978E-2</v>
      </c>
      <c r="O150" s="1">
        <f>O149+N150</f>
        <v>189.5</v>
      </c>
      <c r="P150" s="1">
        <v>111</v>
      </c>
      <c r="Q150" s="11">
        <f t="shared" si="27"/>
        <v>1.0094594594594595</v>
      </c>
      <c r="R150" s="9">
        <f t="shared" si="18"/>
        <v>1.0094594594594595</v>
      </c>
      <c r="S150" s="9">
        <f t="shared" si="14"/>
        <v>-0.10945945945945945</v>
      </c>
      <c r="T150" s="9">
        <f t="shared" si="23"/>
        <v>173.94841216216221</v>
      </c>
      <c r="U150" s="18" t="s">
        <v>12</v>
      </c>
      <c r="V150" s="10">
        <v>74.900000000000006</v>
      </c>
      <c r="W150" s="1">
        <f t="shared" si="15"/>
        <v>8.6091954022988517</v>
      </c>
      <c r="X150" s="1">
        <f t="shared" si="22"/>
        <v>56835.9</v>
      </c>
      <c r="Y150" s="1">
        <f t="shared" si="26"/>
        <v>1797.0000000000002</v>
      </c>
      <c r="AA150" s="16">
        <v>8.1218450858009206</v>
      </c>
    </row>
    <row r="151" spans="1:27" s="1" customFormat="1" x14ac:dyDescent="0.25">
      <c r="A151" s="82"/>
      <c r="B151" s="17"/>
      <c r="C151" s="3">
        <v>41632</v>
      </c>
      <c r="D151" s="1">
        <v>9.6999999999999993</v>
      </c>
      <c r="E151" s="1">
        <v>7.8</v>
      </c>
      <c r="F151" s="1">
        <v>10.6</v>
      </c>
      <c r="G151" s="1">
        <f t="shared" si="19"/>
        <v>1091.6000000000001</v>
      </c>
      <c r="H151" s="1">
        <f t="shared" si="28"/>
        <v>57.100000000000009</v>
      </c>
      <c r="I151" s="1">
        <v>5</v>
      </c>
      <c r="J151" s="1">
        <v>14.6</v>
      </c>
      <c r="K151" s="1">
        <f t="shared" si="20"/>
        <v>263.69999999999987</v>
      </c>
      <c r="L151" s="1">
        <v>1.2</v>
      </c>
      <c r="M151" s="1">
        <f t="shared" si="21"/>
        <v>122.2</v>
      </c>
      <c r="N151" s="1">
        <f t="shared" si="16"/>
        <v>13.4</v>
      </c>
      <c r="O151" s="1">
        <v>189.6</v>
      </c>
      <c r="P151" s="1">
        <v>112</v>
      </c>
      <c r="Q151" s="11">
        <f t="shared" si="27"/>
        <v>1.0108108108108107</v>
      </c>
      <c r="R151" s="9">
        <f t="shared" si="18"/>
        <v>1.2129729729729728</v>
      </c>
      <c r="S151" s="9">
        <f t="shared" si="14"/>
        <v>13.387027027027028</v>
      </c>
      <c r="T151" s="9">
        <f t="shared" si="23"/>
        <v>187.33543918918923</v>
      </c>
      <c r="U151" s="1">
        <v>0</v>
      </c>
      <c r="V151" s="10">
        <v>75</v>
      </c>
      <c r="W151" s="1">
        <f t="shared" si="15"/>
        <v>7.7319587628865989</v>
      </c>
      <c r="X151" s="1">
        <f t="shared" si="22"/>
        <v>56910.9</v>
      </c>
      <c r="Y151" s="1">
        <f t="shared" si="26"/>
        <v>1872.0000000000002</v>
      </c>
      <c r="AA151" s="16">
        <v>8.1251950902625492</v>
      </c>
    </row>
    <row r="152" spans="1:27" s="1" customFormat="1" x14ac:dyDescent="0.25">
      <c r="A152" s="82"/>
      <c r="B152" s="17"/>
      <c r="C152" s="3">
        <v>41633</v>
      </c>
      <c r="D152" s="1">
        <v>6.6</v>
      </c>
      <c r="E152" s="1">
        <v>5.9</v>
      </c>
      <c r="F152" s="1">
        <v>8.1</v>
      </c>
      <c r="G152" s="1">
        <f t="shared" si="19"/>
        <v>1098.2</v>
      </c>
      <c r="H152" s="1">
        <f t="shared" si="28"/>
        <v>63.70000000000001</v>
      </c>
      <c r="I152" s="18" t="s">
        <v>13</v>
      </c>
      <c r="J152" s="1">
        <v>3.7</v>
      </c>
      <c r="K152" s="1">
        <f t="shared" si="20"/>
        <v>267.39999999999986</v>
      </c>
      <c r="L152" s="1">
        <v>0.6</v>
      </c>
      <c r="M152" s="1">
        <f t="shared" si="21"/>
        <v>122.8</v>
      </c>
      <c r="N152" s="1">
        <f t="shared" si="16"/>
        <v>3.1</v>
      </c>
      <c r="O152" s="1">
        <v>189.6</v>
      </c>
      <c r="P152" s="1">
        <v>113</v>
      </c>
      <c r="Q152" s="11">
        <f t="shared" si="27"/>
        <v>1.0121621621621621</v>
      </c>
      <c r="R152" s="9">
        <f t="shared" si="18"/>
        <v>0.60729729729729731</v>
      </c>
      <c r="S152" s="9">
        <f t="shared" si="14"/>
        <v>3.0927027027027028</v>
      </c>
      <c r="T152" s="9">
        <f t="shared" si="23"/>
        <v>189.6</v>
      </c>
      <c r="U152" s="18" t="s">
        <v>14</v>
      </c>
      <c r="V152" s="10">
        <v>345.5</v>
      </c>
      <c r="W152" s="1">
        <f t="shared" si="15"/>
        <v>52.348484848484851</v>
      </c>
      <c r="X152" s="1">
        <f t="shared" si="22"/>
        <v>57256.4</v>
      </c>
      <c r="Y152" s="1">
        <f t="shared" si="26"/>
        <v>2217.5</v>
      </c>
      <c r="AA152" s="16">
        <v>8.1302030848504891</v>
      </c>
    </row>
    <row r="153" spans="1:27" s="1" customFormat="1" x14ac:dyDescent="0.25">
      <c r="A153" s="82"/>
      <c r="B153" s="17"/>
      <c r="C153" s="3">
        <v>41634</v>
      </c>
      <c r="D153" s="1">
        <v>5.5</v>
      </c>
      <c r="E153" s="12">
        <v>4.2</v>
      </c>
      <c r="F153" s="1">
        <v>7.7</v>
      </c>
      <c r="G153" s="1">
        <f t="shared" si="19"/>
        <v>1103.7</v>
      </c>
      <c r="H153" s="1">
        <f t="shared" si="28"/>
        <v>69.200000000000017</v>
      </c>
      <c r="I153" s="1">
        <v>0</v>
      </c>
      <c r="J153" s="1">
        <v>1</v>
      </c>
      <c r="K153" s="1">
        <f t="shared" si="20"/>
        <v>268.39999999999986</v>
      </c>
      <c r="L153" s="1">
        <v>0.7</v>
      </c>
      <c r="M153" s="1">
        <f t="shared" si="21"/>
        <v>123.5</v>
      </c>
      <c r="N153" s="1">
        <f t="shared" si="16"/>
        <v>0.30000000000000004</v>
      </c>
      <c r="O153" s="1">
        <v>189.6</v>
      </c>
      <c r="P153" s="1">
        <v>114</v>
      </c>
      <c r="Q153" s="11">
        <f t="shared" si="27"/>
        <v>1.0135135135135136</v>
      </c>
      <c r="R153" s="9">
        <f t="shared" si="18"/>
        <v>0.70945945945945943</v>
      </c>
      <c r="S153" s="9">
        <f t="shared" si="14"/>
        <v>0.29054054054054057</v>
      </c>
      <c r="T153" s="9">
        <f t="shared" si="23"/>
        <v>189.6</v>
      </c>
      <c r="U153" s="9">
        <f>MIN(T144:T254)</f>
        <v>135.07500000000005</v>
      </c>
      <c r="V153" s="10">
        <v>434.8</v>
      </c>
      <c r="W153" s="1">
        <f t="shared" si="15"/>
        <v>79.054545454545462</v>
      </c>
      <c r="X153" s="1">
        <f t="shared" si="22"/>
        <v>57691.200000000004</v>
      </c>
      <c r="Y153" s="1">
        <f t="shared" si="26"/>
        <v>2652.3</v>
      </c>
      <c r="AA153" s="16">
        <v>8.1368634666289203</v>
      </c>
    </row>
    <row r="154" spans="1:27" s="1" customFormat="1" x14ac:dyDescent="0.25">
      <c r="A154" s="82"/>
      <c r="B154" s="17"/>
      <c r="C154" s="3">
        <v>41635</v>
      </c>
      <c r="D154" s="1">
        <v>8.5</v>
      </c>
      <c r="E154" s="12">
        <v>4.5</v>
      </c>
      <c r="F154" s="1">
        <v>10.3</v>
      </c>
      <c r="G154" s="1">
        <f t="shared" si="19"/>
        <v>1112.2</v>
      </c>
      <c r="H154" s="1">
        <f t="shared" si="28"/>
        <v>77.700000000000017</v>
      </c>
      <c r="I154" s="18" t="s">
        <v>15</v>
      </c>
      <c r="J154" s="1">
        <v>24.8</v>
      </c>
      <c r="K154" s="1">
        <f t="shared" si="20"/>
        <v>293.19999999999987</v>
      </c>
      <c r="L154" s="1">
        <v>0.1</v>
      </c>
      <c r="M154" s="1">
        <f t="shared" si="21"/>
        <v>123.6</v>
      </c>
      <c r="N154" s="1">
        <f t="shared" si="16"/>
        <v>24.7</v>
      </c>
      <c r="O154" s="1">
        <v>189.6</v>
      </c>
      <c r="P154" s="1">
        <v>115</v>
      </c>
      <c r="Q154" s="11">
        <f t="shared" si="27"/>
        <v>1.0148648648648648</v>
      </c>
      <c r="R154" s="9">
        <f t="shared" si="18"/>
        <v>0.10148648648648649</v>
      </c>
      <c r="S154" s="9">
        <f t="shared" si="14"/>
        <v>24.698513513513515</v>
      </c>
      <c r="T154" s="9">
        <f t="shared" si="23"/>
        <v>189.6</v>
      </c>
      <c r="U154" s="18" t="s">
        <v>16</v>
      </c>
      <c r="V154" s="10">
        <v>65.900000000000006</v>
      </c>
      <c r="W154" s="1">
        <f t="shared" si="15"/>
        <v>7.7529411764705891</v>
      </c>
      <c r="X154" s="1">
        <f t="shared" si="22"/>
        <v>57757.100000000006</v>
      </c>
      <c r="Y154" s="1">
        <f t="shared" si="26"/>
        <v>2718.2000000000003</v>
      </c>
      <c r="AA154" s="16">
        <v>8.1451686090903195</v>
      </c>
    </row>
    <row r="155" spans="1:27" s="1" customFormat="1" x14ac:dyDescent="0.25">
      <c r="A155" s="82"/>
      <c r="B155" s="17"/>
      <c r="C155" s="3">
        <v>41636</v>
      </c>
      <c r="D155" s="1">
        <v>6.8</v>
      </c>
      <c r="E155" s="1">
        <v>6.1</v>
      </c>
      <c r="F155" s="1">
        <v>8.9</v>
      </c>
      <c r="G155" s="1">
        <f t="shared" si="19"/>
        <v>1119</v>
      </c>
      <c r="H155" s="1">
        <f t="shared" si="28"/>
        <v>84.500000000000014</v>
      </c>
      <c r="I155" s="1">
        <v>65</v>
      </c>
      <c r="J155" s="1">
        <v>0.8</v>
      </c>
      <c r="K155" s="1">
        <f t="shared" si="20"/>
        <v>293.99999999999989</v>
      </c>
      <c r="L155" s="1">
        <v>0.6</v>
      </c>
      <c r="M155" s="1">
        <f t="shared" si="21"/>
        <v>124.19999999999999</v>
      </c>
      <c r="N155" s="1">
        <f t="shared" si="16"/>
        <v>0.20000000000000007</v>
      </c>
      <c r="O155" s="1">
        <v>189.6</v>
      </c>
      <c r="P155" s="1">
        <v>116</v>
      </c>
      <c r="Q155" s="11">
        <f t="shared" si="27"/>
        <v>1.0162162162162163</v>
      </c>
      <c r="R155" s="9">
        <f t="shared" si="18"/>
        <v>0.60972972972972972</v>
      </c>
      <c r="S155" s="9">
        <f t="shared" si="14"/>
        <v>0.19027027027027033</v>
      </c>
      <c r="T155" s="9">
        <f t="shared" si="23"/>
        <v>189.6</v>
      </c>
      <c r="U155" s="9">
        <f>MAX(T144:T254)</f>
        <v>189.6</v>
      </c>
      <c r="V155" s="10">
        <v>243.6</v>
      </c>
      <c r="W155" s="1">
        <f t="shared" si="15"/>
        <v>35.823529411764703</v>
      </c>
      <c r="X155" s="1">
        <f t="shared" si="22"/>
        <v>58000.700000000004</v>
      </c>
      <c r="Y155" s="1">
        <f t="shared" si="26"/>
        <v>2961.8</v>
      </c>
      <c r="AA155" s="16">
        <v>8.1551088966962393</v>
      </c>
    </row>
    <row r="156" spans="1:27" s="1" customFormat="1" x14ac:dyDescent="0.25">
      <c r="A156" s="82"/>
      <c r="B156" s="15">
        <v>19</v>
      </c>
      <c r="C156" s="3">
        <v>41637</v>
      </c>
      <c r="D156" s="12">
        <v>4.5</v>
      </c>
      <c r="E156" s="12">
        <v>3.8</v>
      </c>
      <c r="F156" s="1">
        <v>6.7</v>
      </c>
      <c r="G156" s="1">
        <f t="shared" si="19"/>
        <v>1123.5</v>
      </c>
      <c r="H156" s="1">
        <f t="shared" si="28"/>
        <v>89.000000000000014</v>
      </c>
      <c r="I156" s="18" t="s">
        <v>17</v>
      </c>
      <c r="J156" s="1">
        <v>0.6</v>
      </c>
      <c r="K156" s="1">
        <f t="shared" si="20"/>
        <v>294.59999999999991</v>
      </c>
      <c r="L156" s="1">
        <v>0.7</v>
      </c>
      <c r="M156" s="1">
        <f t="shared" si="21"/>
        <v>124.89999999999999</v>
      </c>
      <c r="N156" s="8">
        <f t="shared" si="16"/>
        <v>-9.9999999999999978E-2</v>
      </c>
      <c r="O156" s="1">
        <f>O155+N156</f>
        <v>189.5</v>
      </c>
      <c r="P156" s="1">
        <v>117</v>
      </c>
      <c r="Q156" s="11">
        <f t="shared" si="27"/>
        <v>1.0175675675675675</v>
      </c>
      <c r="R156" s="9">
        <f t="shared" si="18"/>
        <v>0.71229729729729718</v>
      </c>
      <c r="S156" s="9">
        <f t="shared" si="14"/>
        <v>-0.1122972972972972</v>
      </c>
      <c r="T156" s="9">
        <f t="shared" si="23"/>
        <v>189.48770270270271</v>
      </c>
      <c r="U156" s="18" t="s">
        <v>18</v>
      </c>
      <c r="V156" s="10">
        <v>412.8</v>
      </c>
      <c r="W156" s="1">
        <f t="shared" si="15"/>
        <v>91.733333333333334</v>
      </c>
      <c r="X156" s="1">
        <f t="shared" si="22"/>
        <v>58413.500000000007</v>
      </c>
      <c r="Y156" s="1">
        <f t="shared" si="26"/>
        <v>3374.6000000000004</v>
      </c>
      <c r="AA156" s="16">
        <v>8.1666727681266398</v>
      </c>
    </row>
    <row r="157" spans="1:27" s="1" customFormat="1" x14ac:dyDescent="0.25">
      <c r="A157" s="82"/>
      <c r="B157" s="15">
        <v>20</v>
      </c>
      <c r="C157" s="3">
        <v>41638</v>
      </c>
      <c r="D157" s="12">
        <v>4.8</v>
      </c>
      <c r="E157" s="12">
        <v>2.2999999999999998</v>
      </c>
      <c r="F157" s="1">
        <v>6.2</v>
      </c>
      <c r="G157" s="1">
        <f t="shared" si="19"/>
        <v>1128.3</v>
      </c>
      <c r="H157" s="1">
        <f t="shared" si="28"/>
        <v>93.800000000000011</v>
      </c>
      <c r="I157" s="1">
        <v>775.5</v>
      </c>
      <c r="J157" s="1">
        <v>2.4</v>
      </c>
      <c r="K157" s="1">
        <f t="shared" si="20"/>
        <v>296.99999999999989</v>
      </c>
      <c r="L157" s="1">
        <v>0.3</v>
      </c>
      <c r="M157" s="1">
        <f t="shared" si="21"/>
        <v>125.19999999999999</v>
      </c>
      <c r="N157" s="1">
        <f t="shared" si="16"/>
        <v>2.1</v>
      </c>
      <c r="O157" s="1">
        <v>189.6</v>
      </c>
      <c r="P157" s="1">
        <v>118</v>
      </c>
      <c r="Q157" s="11">
        <f t="shared" si="27"/>
        <v>1.0189189189189189</v>
      </c>
      <c r="R157" s="9">
        <f t="shared" si="18"/>
        <v>0.30567567567567566</v>
      </c>
      <c r="S157" s="9">
        <f t="shared" si="14"/>
        <v>2.0943243243243241</v>
      </c>
      <c r="T157" s="9">
        <f t="shared" si="23"/>
        <v>189.6</v>
      </c>
      <c r="U157" s="11">
        <f>AVERAGE(T144:T254)</f>
        <v>179.65028609690776</v>
      </c>
      <c r="V157" s="10">
        <v>135.80000000000001</v>
      </c>
      <c r="W157" s="1">
        <f t="shared" si="15"/>
        <v>28.291666666666671</v>
      </c>
      <c r="X157" s="1">
        <f t="shared" si="22"/>
        <v>58549.30000000001</v>
      </c>
      <c r="Y157" s="1">
        <f t="shared" si="26"/>
        <v>3510.4000000000005</v>
      </c>
      <c r="AA157" s="16">
        <v>8.1798467678323803</v>
      </c>
    </row>
    <row r="158" spans="1:27" s="1" customFormat="1" x14ac:dyDescent="0.25">
      <c r="A158" s="82"/>
      <c r="B158" s="17"/>
      <c r="C158" s="3">
        <v>41639</v>
      </c>
      <c r="D158" s="1">
        <v>6.4</v>
      </c>
      <c r="E158" s="1">
        <v>5.7</v>
      </c>
      <c r="F158" s="1">
        <v>6.9</v>
      </c>
      <c r="G158" s="1">
        <f t="shared" si="19"/>
        <v>1134.7</v>
      </c>
      <c r="H158" s="1">
        <f t="shared" si="28"/>
        <v>100.20000000000002</v>
      </c>
      <c r="J158" s="1">
        <v>2.6</v>
      </c>
      <c r="K158" s="1">
        <f t="shared" si="20"/>
        <v>299.59999999999991</v>
      </c>
      <c r="L158" s="1">
        <v>0.7</v>
      </c>
      <c r="M158" s="1">
        <f t="shared" si="21"/>
        <v>125.89999999999999</v>
      </c>
      <c r="N158" s="1">
        <f t="shared" si="16"/>
        <v>1.9000000000000001</v>
      </c>
      <c r="O158" s="1">
        <v>189.6</v>
      </c>
      <c r="P158" s="1">
        <v>119</v>
      </c>
      <c r="Q158" s="11">
        <f t="shared" si="27"/>
        <v>1.0202702702702702</v>
      </c>
      <c r="R158" s="9">
        <f t="shared" si="18"/>
        <v>0.71418918918918906</v>
      </c>
      <c r="S158" s="9">
        <f t="shared" si="14"/>
        <v>1.8858108108108111</v>
      </c>
      <c r="T158" s="9">
        <f t="shared" si="23"/>
        <v>189.6</v>
      </c>
      <c r="V158" s="10">
        <v>179.4</v>
      </c>
      <c r="W158" s="1">
        <f t="shared" si="15"/>
        <v>28.03125</v>
      </c>
      <c r="X158" s="1">
        <f t="shared" si="22"/>
        <v>58728.700000000012</v>
      </c>
      <c r="Y158" s="1">
        <f t="shared" si="26"/>
        <v>3689.8000000000006</v>
      </c>
      <c r="AA158" s="16">
        <v>8.1993783370637594</v>
      </c>
    </row>
    <row r="159" spans="1:27" s="1" customFormat="1" x14ac:dyDescent="0.25">
      <c r="A159" s="82"/>
      <c r="B159" s="17"/>
      <c r="C159" s="3">
        <v>41640</v>
      </c>
      <c r="D159" s="1">
        <v>7.7</v>
      </c>
      <c r="E159" s="1">
        <v>5.0999999999999996</v>
      </c>
      <c r="F159" s="1">
        <v>9.9</v>
      </c>
      <c r="G159" s="1">
        <f t="shared" si="19"/>
        <v>1142.4000000000001</v>
      </c>
      <c r="H159" s="1">
        <f t="shared" si="28"/>
        <v>107.90000000000002</v>
      </c>
      <c r="J159" s="1">
        <v>7.1</v>
      </c>
      <c r="K159" s="1">
        <f t="shared" si="20"/>
        <v>306.69999999999993</v>
      </c>
      <c r="L159" s="1">
        <v>0.7</v>
      </c>
      <c r="M159" s="1">
        <f t="shared" si="21"/>
        <v>126.6</v>
      </c>
      <c r="N159" s="1">
        <f t="shared" si="16"/>
        <v>6.3999999999999995</v>
      </c>
      <c r="O159" s="1">
        <v>189.6</v>
      </c>
      <c r="P159" s="1">
        <v>120</v>
      </c>
      <c r="Q159" s="11">
        <f t="shared" si="27"/>
        <v>1.0216216216216216</v>
      </c>
      <c r="R159" s="9">
        <f t="shared" si="18"/>
        <v>0.71513513513513505</v>
      </c>
      <c r="S159" s="9">
        <f t="shared" si="14"/>
        <v>6.3848648648648645</v>
      </c>
      <c r="T159" s="9">
        <f t="shared" si="23"/>
        <v>189.6</v>
      </c>
      <c r="U159" s="9">
        <f>(U157*100)/189.6</f>
        <v>94.752260599634894</v>
      </c>
      <c r="V159" s="10">
        <v>103.7</v>
      </c>
      <c r="W159" s="1">
        <f t="shared" si="15"/>
        <v>13.467532467532468</v>
      </c>
      <c r="X159" s="1">
        <f t="shared" si="22"/>
        <v>58832.400000000009</v>
      </c>
      <c r="Y159" s="1">
        <f t="shared" si="26"/>
        <v>3793.5000000000005</v>
      </c>
      <c r="AA159" s="16">
        <v>8.2161970055471301</v>
      </c>
    </row>
    <row r="160" spans="1:27" s="1" customFormat="1" x14ac:dyDescent="0.25">
      <c r="A160" s="82"/>
      <c r="B160" s="17"/>
      <c r="C160" s="3">
        <v>41641</v>
      </c>
      <c r="D160" s="1">
        <v>8.8000000000000007</v>
      </c>
      <c r="E160" s="1">
        <v>7</v>
      </c>
      <c r="F160" s="1">
        <v>10.1</v>
      </c>
      <c r="G160" s="1">
        <f t="shared" si="19"/>
        <v>1151.2</v>
      </c>
      <c r="H160" s="1">
        <f t="shared" si="28"/>
        <v>116.70000000000002</v>
      </c>
      <c r="J160" s="1">
        <v>0</v>
      </c>
      <c r="K160" s="1">
        <f t="shared" si="20"/>
        <v>306.69999999999993</v>
      </c>
      <c r="L160" s="1">
        <v>0.8</v>
      </c>
      <c r="M160" s="1">
        <f t="shared" si="21"/>
        <v>127.39999999999999</v>
      </c>
      <c r="N160" s="8">
        <f t="shared" si="16"/>
        <v>-0.8</v>
      </c>
      <c r="O160" s="1">
        <f>O159+N160</f>
        <v>188.79999999999998</v>
      </c>
      <c r="P160" s="1">
        <v>121</v>
      </c>
      <c r="Q160" s="11">
        <f t="shared" si="27"/>
        <v>1.0229729729729728</v>
      </c>
      <c r="R160" s="9">
        <f t="shared" si="18"/>
        <v>0.81837837837837835</v>
      </c>
      <c r="S160" s="9">
        <f t="shared" si="14"/>
        <v>-0.81837837837837835</v>
      </c>
      <c r="T160" s="9">
        <f t="shared" si="23"/>
        <v>188.78162162162161</v>
      </c>
      <c r="V160" s="10">
        <v>283.7</v>
      </c>
      <c r="W160" s="1">
        <f t="shared" si="15"/>
        <v>32.23863636363636</v>
      </c>
      <c r="X160" s="1">
        <f t="shared" si="22"/>
        <v>59116.100000000006</v>
      </c>
      <c r="Y160" s="1">
        <f t="shared" si="26"/>
        <v>4077.2000000000003</v>
      </c>
      <c r="AA160" s="16">
        <v>8.2345687255759508</v>
      </c>
    </row>
    <row r="161" spans="1:27" s="1" customFormat="1" ht="15" customHeight="1" x14ac:dyDescent="0.25">
      <c r="A161" s="82"/>
      <c r="B161" s="17"/>
      <c r="C161" s="3">
        <v>41642</v>
      </c>
      <c r="D161" s="1">
        <v>9.5</v>
      </c>
      <c r="E161" s="1">
        <v>7.3</v>
      </c>
      <c r="F161" s="1">
        <v>12.3</v>
      </c>
      <c r="G161" s="1">
        <f t="shared" si="19"/>
        <v>1160.7</v>
      </c>
      <c r="H161" s="1">
        <f t="shared" si="28"/>
        <v>126.20000000000002</v>
      </c>
      <c r="J161" s="1">
        <v>1.6</v>
      </c>
      <c r="K161" s="1">
        <f t="shared" si="20"/>
        <v>308.29999999999995</v>
      </c>
      <c r="L161" s="1">
        <v>1.3</v>
      </c>
      <c r="M161" s="1">
        <f t="shared" si="21"/>
        <v>128.69999999999999</v>
      </c>
      <c r="N161" s="1">
        <f t="shared" si="16"/>
        <v>0.30000000000000004</v>
      </c>
      <c r="O161" s="1">
        <f>O160+N161</f>
        <v>189.1</v>
      </c>
      <c r="P161" s="1">
        <v>122</v>
      </c>
      <c r="Q161" s="11">
        <f t="shared" si="27"/>
        <v>1.0243243243243243</v>
      </c>
      <c r="R161" s="9">
        <f t="shared" si="18"/>
        <v>1.3316216216216217</v>
      </c>
      <c r="S161" s="9">
        <f t="shared" si="14"/>
        <v>0.26837837837837841</v>
      </c>
      <c r="T161" s="9">
        <f t="shared" si="23"/>
        <v>189.04999999999998</v>
      </c>
      <c r="V161" s="10">
        <v>230.3</v>
      </c>
      <c r="W161" s="1">
        <f t="shared" si="15"/>
        <v>24.242105263157896</v>
      </c>
      <c r="X161" s="1">
        <f t="shared" si="22"/>
        <v>59346.400000000009</v>
      </c>
      <c r="Y161" s="1">
        <f t="shared" si="26"/>
        <v>4307.5</v>
      </c>
      <c r="AA161" s="16">
        <v>8.2544726576602301</v>
      </c>
    </row>
    <row r="162" spans="1:27" s="1" customFormat="1" x14ac:dyDescent="0.25">
      <c r="A162" s="82"/>
      <c r="B162" s="17"/>
      <c r="C162" s="3">
        <v>41643</v>
      </c>
      <c r="D162" s="1">
        <v>7.9</v>
      </c>
      <c r="E162" s="1">
        <v>6.8</v>
      </c>
      <c r="F162" s="1">
        <v>10.5</v>
      </c>
      <c r="G162" s="1">
        <f t="shared" si="19"/>
        <v>1168.6000000000001</v>
      </c>
      <c r="H162" s="1">
        <f t="shared" si="28"/>
        <v>134.10000000000002</v>
      </c>
      <c r="J162" s="1">
        <v>2.4</v>
      </c>
      <c r="K162" s="1">
        <f t="shared" si="20"/>
        <v>310.69999999999993</v>
      </c>
      <c r="L162" s="1">
        <v>1.1000000000000001</v>
      </c>
      <c r="M162" s="1">
        <f t="shared" si="21"/>
        <v>129.79999999999998</v>
      </c>
      <c r="N162" s="1">
        <f t="shared" si="16"/>
        <v>1.2999999999999998</v>
      </c>
      <c r="O162" s="1">
        <v>189.6</v>
      </c>
      <c r="P162" s="1">
        <v>123</v>
      </c>
      <c r="Q162" s="11">
        <f t="shared" si="27"/>
        <v>1.0256756756756757</v>
      </c>
      <c r="R162" s="9">
        <f t="shared" si="18"/>
        <v>1.1282432432432434</v>
      </c>
      <c r="S162" s="9">
        <f t="shared" si="14"/>
        <v>1.2717567567567565</v>
      </c>
      <c r="T162" s="9">
        <f t="shared" si="23"/>
        <v>189.6</v>
      </c>
      <c r="V162" s="10">
        <v>368.7</v>
      </c>
      <c r="W162" s="1">
        <f t="shared" si="15"/>
        <v>46.670886075949362</v>
      </c>
      <c r="X162" s="1">
        <f t="shared" si="22"/>
        <v>59715.100000000006</v>
      </c>
      <c r="Y162" s="1">
        <f t="shared" si="26"/>
        <v>4676.2</v>
      </c>
      <c r="AA162" s="16">
        <v>8.2758864581092606</v>
      </c>
    </row>
    <row r="163" spans="1:27" s="1" customFormat="1" x14ac:dyDescent="0.25">
      <c r="A163" s="82"/>
      <c r="B163" s="17"/>
      <c r="C163" s="3">
        <v>41644</v>
      </c>
      <c r="D163" s="1">
        <v>6.1</v>
      </c>
      <c r="E163" s="12">
        <v>3.2</v>
      </c>
      <c r="F163" s="1">
        <v>11.7</v>
      </c>
      <c r="G163" s="1">
        <f t="shared" si="19"/>
        <v>1174.7</v>
      </c>
      <c r="H163" s="1">
        <f t="shared" si="28"/>
        <v>140.20000000000002</v>
      </c>
      <c r="J163" s="1">
        <v>0.1</v>
      </c>
      <c r="K163" s="1">
        <f t="shared" si="20"/>
        <v>310.79999999999995</v>
      </c>
      <c r="L163" s="1">
        <v>1.1000000000000001</v>
      </c>
      <c r="M163" s="1">
        <f t="shared" si="21"/>
        <v>130.89999999999998</v>
      </c>
      <c r="N163" s="8">
        <f t="shared" si="16"/>
        <v>-1</v>
      </c>
      <c r="O163" s="1">
        <f t="shared" ref="O163:O170" si="29">O162+N163</f>
        <v>188.6</v>
      </c>
      <c r="P163" s="1">
        <v>124</v>
      </c>
      <c r="Q163" s="11">
        <f t="shared" si="27"/>
        <v>1.027027027027027</v>
      </c>
      <c r="R163" s="9">
        <f t="shared" si="18"/>
        <v>1.1297297297297297</v>
      </c>
      <c r="S163" s="9">
        <f t="shared" si="14"/>
        <v>-1.0297297297297296</v>
      </c>
      <c r="T163" s="9">
        <f t="shared" si="23"/>
        <v>188.57027027027027</v>
      </c>
      <c r="V163" s="10">
        <v>307</v>
      </c>
      <c r="W163" s="1">
        <f t="shared" si="15"/>
        <v>50.327868852459019</v>
      </c>
      <c r="X163" s="1">
        <f t="shared" si="22"/>
        <v>60022.100000000006</v>
      </c>
      <c r="Y163" s="1">
        <f t="shared" si="26"/>
        <v>4983.2</v>
      </c>
      <c r="AA163" s="16">
        <v>8.2987863696968294</v>
      </c>
    </row>
    <row r="164" spans="1:27" s="1" customFormat="1" x14ac:dyDescent="0.25">
      <c r="A164" s="82"/>
      <c r="B164" s="17"/>
      <c r="C164" s="3">
        <v>41645</v>
      </c>
      <c r="D164" s="1">
        <v>11.4</v>
      </c>
      <c r="E164" s="1">
        <v>7.4</v>
      </c>
      <c r="F164" s="1">
        <v>12.7</v>
      </c>
      <c r="G164" s="1">
        <f t="shared" si="19"/>
        <v>1186.1000000000001</v>
      </c>
      <c r="H164" s="1">
        <f t="shared" si="28"/>
        <v>151.60000000000002</v>
      </c>
      <c r="J164" s="1">
        <v>0.2</v>
      </c>
      <c r="K164" s="1">
        <f t="shared" si="20"/>
        <v>310.99999999999994</v>
      </c>
      <c r="L164" s="1">
        <v>0.6</v>
      </c>
      <c r="M164" s="1">
        <f t="shared" si="21"/>
        <v>131.49999999999997</v>
      </c>
      <c r="N164" s="8">
        <f t="shared" si="16"/>
        <v>-0.39999999999999997</v>
      </c>
      <c r="O164" s="1">
        <f t="shared" si="29"/>
        <v>188.2</v>
      </c>
      <c r="P164" s="1">
        <v>125</v>
      </c>
      <c r="Q164" s="11">
        <f t="shared" si="27"/>
        <v>1.0283783783783784</v>
      </c>
      <c r="R164" s="9">
        <f t="shared" si="18"/>
        <v>0.61702702702702705</v>
      </c>
      <c r="S164" s="9">
        <f t="shared" si="14"/>
        <v>-0.41702702702702704</v>
      </c>
      <c r="T164" s="9">
        <f t="shared" si="23"/>
        <v>188.15324324324325</v>
      </c>
      <c r="V164" s="10">
        <v>239.9</v>
      </c>
      <c r="W164" s="1">
        <f t="shared" si="15"/>
        <v>21.043859649122808</v>
      </c>
      <c r="X164" s="1">
        <f t="shared" si="22"/>
        <v>60262.000000000007</v>
      </c>
      <c r="Y164" s="1">
        <f t="shared" si="26"/>
        <v>5223.0999999999995</v>
      </c>
      <c r="AA164" s="16">
        <v>8.3231473160309903</v>
      </c>
    </row>
    <row r="165" spans="1:27" s="1" customFormat="1" x14ac:dyDescent="0.25">
      <c r="A165" s="82"/>
      <c r="B165" s="17"/>
      <c r="C165" s="3">
        <v>41646</v>
      </c>
      <c r="D165" s="1">
        <v>10</v>
      </c>
      <c r="E165" s="1">
        <v>8.8000000000000007</v>
      </c>
      <c r="F165" s="1">
        <v>11.5</v>
      </c>
      <c r="G165" s="1">
        <f t="shared" si="19"/>
        <v>1196.1000000000001</v>
      </c>
      <c r="H165" s="1">
        <f t="shared" si="28"/>
        <v>161.60000000000002</v>
      </c>
      <c r="J165" s="1">
        <v>0.2</v>
      </c>
      <c r="K165" s="1">
        <f t="shared" si="20"/>
        <v>311.19999999999993</v>
      </c>
      <c r="L165" s="1">
        <v>1.2</v>
      </c>
      <c r="M165" s="1">
        <f t="shared" si="21"/>
        <v>132.69999999999996</v>
      </c>
      <c r="N165" s="8">
        <f t="shared" si="16"/>
        <v>-1</v>
      </c>
      <c r="O165" s="1">
        <f t="shared" si="29"/>
        <v>187.2</v>
      </c>
      <c r="P165" s="1">
        <v>126</v>
      </c>
      <c r="Q165" s="11">
        <f t="shared" si="27"/>
        <v>1.0297297297297296</v>
      </c>
      <c r="R165" s="9">
        <f t="shared" si="18"/>
        <v>1.2356756756756755</v>
      </c>
      <c r="S165" s="9">
        <f t="shared" si="14"/>
        <v>-1.0356756756756755</v>
      </c>
      <c r="T165" s="9">
        <f t="shared" si="23"/>
        <v>187.11756756756759</v>
      </c>
      <c r="V165" s="10">
        <v>422.6</v>
      </c>
      <c r="W165" s="1">
        <f t="shared" si="15"/>
        <v>42.260000000000005</v>
      </c>
      <c r="X165" s="1">
        <f t="shared" si="22"/>
        <v>60684.600000000006</v>
      </c>
      <c r="Y165" s="1">
        <f t="shared" si="26"/>
        <v>5645.7</v>
      </c>
      <c r="AA165" s="16">
        <v>8.3489429988931008</v>
      </c>
    </row>
    <row r="166" spans="1:27" s="1" customFormat="1" x14ac:dyDescent="0.25">
      <c r="A166" s="82"/>
      <c r="B166" s="17"/>
      <c r="C166" s="3">
        <v>41647</v>
      </c>
      <c r="D166" s="1">
        <v>9.1999999999999993</v>
      </c>
      <c r="E166" s="1">
        <v>6.7</v>
      </c>
      <c r="F166" s="1">
        <v>10.7</v>
      </c>
      <c r="G166" s="1">
        <f t="shared" si="19"/>
        <v>1205.3000000000002</v>
      </c>
      <c r="H166" s="1">
        <f t="shared" si="28"/>
        <v>170.8</v>
      </c>
      <c r="J166" s="1">
        <v>2.4</v>
      </c>
      <c r="K166" s="1">
        <f t="shared" si="20"/>
        <v>313.59999999999991</v>
      </c>
      <c r="L166" s="1">
        <v>0.4</v>
      </c>
      <c r="M166" s="1">
        <f t="shared" si="21"/>
        <v>133.09999999999997</v>
      </c>
      <c r="N166" s="1">
        <f t="shared" si="16"/>
        <v>2</v>
      </c>
      <c r="O166" s="1">
        <f t="shared" si="29"/>
        <v>189.2</v>
      </c>
      <c r="P166" s="1">
        <v>127</v>
      </c>
      <c r="Q166" s="11">
        <f t="shared" si="27"/>
        <v>1.0310810810810811</v>
      </c>
      <c r="R166" s="9">
        <f t="shared" si="18"/>
        <v>0.41243243243243244</v>
      </c>
      <c r="S166" s="9">
        <f t="shared" si="14"/>
        <v>1.9875675675675675</v>
      </c>
      <c r="T166" s="9">
        <f t="shared" si="23"/>
        <v>189.10513513513516</v>
      </c>
      <c r="V166" s="10">
        <v>305.5</v>
      </c>
      <c r="W166" s="1">
        <f t="shared" si="15"/>
        <v>33.206521739130437</v>
      </c>
      <c r="X166" s="1">
        <f t="shared" si="22"/>
        <v>60990.100000000006</v>
      </c>
      <c r="Y166" s="1">
        <f t="shared" si="26"/>
        <v>5951.2</v>
      </c>
      <c r="AA166" s="16">
        <v>8.3761459978144099</v>
      </c>
    </row>
    <row r="167" spans="1:27" s="1" customFormat="1" x14ac:dyDescent="0.25">
      <c r="A167" s="82"/>
      <c r="B167" s="17"/>
      <c r="C167" s="3">
        <v>41648</v>
      </c>
      <c r="D167" s="1">
        <v>8.6999999999999993</v>
      </c>
      <c r="E167" s="1">
        <v>6.4</v>
      </c>
      <c r="F167" s="1">
        <v>10.9</v>
      </c>
      <c r="G167" s="1">
        <f t="shared" si="19"/>
        <v>1214.0000000000002</v>
      </c>
      <c r="H167" s="1">
        <f t="shared" si="28"/>
        <v>179.5</v>
      </c>
      <c r="J167" s="1">
        <v>0.4</v>
      </c>
      <c r="K167" s="1">
        <f t="shared" si="20"/>
        <v>313.99999999999989</v>
      </c>
      <c r="L167" s="1">
        <v>0.8</v>
      </c>
      <c r="M167" s="1">
        <f t="shared" si="21"/>
        <v>133.89999999999998</v>
      </c>
      <c r="N167" s="8">
        <f t="shared" si="16"/>
        <v>-0.4</v>
      </c>
      <c r="O167" s="1">
        <f t="shared" si="29"/>
        <v>188.79999999999998</v>
      </c>
      <c r="P167" s="1">
        <v>128</v>
      </c>
      <c r="Q167" s="11">
        <f t="shared" si="27"/>
        <v>1.0324324324324323</v>
      </c>
      <c r="R167" s="9">
        <f t="shared" si="18"/>
        <v>0.82594594594594595</v>
      </c>
      <c r="S167" s="9">
        <f t="shared" si="14"/>
        <v>-0.42594594594594593</v>
      </c>
      <c r="T167" s="9">
        <f t="shared" si="23"/>
        <v>188.6791891891892</v>
      </c>
      <c r="V167" s="10">
        <v>214.7</v>
      </c>
      <c r="W167" s="1">
        <f t="shared" si="15"/>
        <v>24.678160919540229</v>
      </c>
      <c r="X167" s="1">
        <f t="shared" si="22"/>
        <v>61204.800000000003</v>
      </c>
      <c r="Y167" s="1">
        <f t="shared" si="26"/>
        <v>6165.9</v>
      </c>
      <c r="AA167" s="16">
        <v>8.4047278711707794</v>
      </c>
    </row>
    <row r="168" spans="1:27" s="1" customFormat="1" x14ac:dyDescent="0.25">
      <c r="A168" s="82"/>
      <c r="B168" s="15">
        <v>21</v>
      </c>
      <c r="C168" s="3">
        <v>41649</v>
      </c>
      <c r="D168" s="12">
        <v>4.7</v>
      </c>
      <c r="E168" s="12">
        <v>3.8</v>
      </c>
      <c r="F168" s="1">
        <v>5.3</v>
      </c>
      <c r="G168" s="1">
        <f t="shared" si="19"/>
        <v>1218.7000000000003</v>
      </c>
      <c r="H168" s="1">
        <f t="shared" si="28"/>
        <v>184.2</v>
      </c>
      <c r="J168" s="1">
        <v>0.1</v>
      </c>
      <c r="K168" s="1">
        <f t="shared" si="20"/>
        <v>314.09999999999991</v>
      </c>
      <c r="L168" s="1">
        <v>0.2</v>
      </c>
      <c r="M168" s="1">
        <f t="shared" si="21"/>
        <v>134.09999999999997</v>
      </c>
      <c r="N168" s="8">
        <f t="shared" si="16"/>
        <v>-0.1</v>
      </c>
      <c r="O168" s="1">
        <f t="shared" si="29"/>
        <v>188.7</v>
      </c>
      <c r="P168" s="1">
        <v>129</v>
      </c>
      <c r="Q168" s="11">
        <f t="shared" si="27"/>
        <v>1.0337837837837838</v>
      </c>
      <c r="R168" s="9">
        <f t="shared" si="18"/>
        <v>0.20675675675675675</v>
      </c>
      <c r="S168" s="9">
        <f t="shared" ref="S168:S231" si="30">J168-R168</f>
        <v>-0.10675675675675675</v>
      </c>
      <c r="T168" s="9">
        <f t="shared" si="23"/>
        <v>188.57243243243244</v>
      </c>
      <c r="V168" s="10">
        <v>125.5</v>
      </c>
      <c r="W168" s="1">
        <f t="shared" ref="W168:W231" si="31">V168/D168</f>
        <v>26.702127659574469</v>
      </c>
      <c r="X168" s="1">
        <f t="shared" si="22"/>
        <v>61330.3</v>
      </c>
      <c r="Y168" s="1">
        <f t="shared" si="26"/>
        <v>6291.4</v>
      </c>
      <c r="AA168" s="16">
        <v>8.4346592580961808</v>
      </c>
    </row>
    <row r="169" spans="1:27" s="1" customFormat="1" x14ac:dyDescent="0.25">
      <c r="A169" s="82"/>
      <c r="B169" s="15">
        <v>22</v>
      </c>
      <c r="C169" s="3">
        <v>41650</v>
      </c>
      <c r="D169" s="12">
        <v>4.4000000000000004</v>
      </c>
      <c r="E169" s="12">
        <v>3.8</v>
      </c>
      <c r="F169" s="1">
        <v>8.3000000000000007</v>
      </c>
      <c r="G169" s="1">
        <f t="shared" si="19"/>
        <v>1223.1000000000004</v>
      </c>
      <c r="H169" s="1">
        <f t="shared" si="28"/>
        <v>188.6</v>
      </c>
      <c r="J169" s="1">
        <v>0</v>
      </c>
      <c r="K169" s="1">
        <f t="shared" si="20"/>
        <v>314.09999999999991</v>
      </c>
      <c r="L169" s="1">
        <v>0.5</v>
      </c>
      <c r="M169" s="1">
        <f t="shared" si="21"/>
        <v>134.59999999999997</v>
      </c>
      <c r="N169" s="8">
        <f t="shared" ref="N169:N232" si="32">J169-L169</f>
        <v>-0.5</v>
      </c>
      <c r="O169" s="1">
        <f t="shared" si="29"/>
        <v>188.2</v>
      </c>
      <c r="P169" s="1">
        <v>130</v>
      </c>
      <c r="Q169" s="11">
        <f t="shared" si="27"/>
        <v>1.0351351351351352</v>
      </c>
      <c r="R169" s="9">
        <f t="shared" ref="R169:R232" si="33">Q169*L169</f>
        <v>0.51756756756756761</v>
      </c>
      <c r="S169" s="9">
        <f t="shared" si="30"/>
        <v>-0.51756756756756761</v>
      </c>
      <c r="T169" s="9">
        <f t="shared" si="23"/>
        <v>188.05486486486487</v>
      </c>
      <c r="V169" s="10">
        <v>163.19999999999999</v>
      </c>
      <c r="W169" s="1">
        <f t="shared" si="31"/>
        <v>37.090909090909086</v>
      </c>
      <c r="X169" s="1">
        <f t="shared" si="22"/>
        <v>61493.5</v>
      </c>
      <c r="Y169" s="1">
        <f t="shared" si="26"/>
        <v>6454.5999999999995</v>
      </c>
      <c r="AA169" s="16">
        <v>8.4659099805428095</v>
      </c>
    </row>
    <row r="170" spans="1:27" s="1" customFormat="1" x14ac:dyDescent="0.25">
      <c r="A170" s="82"/>
      <c r="B170" s="15">
        <v>23</v>
      </c>
      <c r="C170" s="3">
        <v>41651</v>
      </c>
      <c r="D170" s="12">
        <v>2</v>
      </c>
      <c r="E170" s="13">
        <v>-1.3</v>
      </c>
      <c r="F170" s="1">
        <v>6.3</v>
      </c>
      <c r="G170" s="1">
        <f t="shared" ref="G170:G233" si="34">G169+D170</f>
        <v>1225.1000000000004</v>
      </c>
      <c r="H170" s="1">
        <f t="shared" si="28"/>
        <v>190.6</v>
      </c>
      <c r="J170" s="1">
        <v>0.2</v>
      </c>
      <c r="K170" s="1">
        <f t="shared" ref="K170:K233" si="35">K169+J170</f>
        <v>314.2999999999999</v>
      </c>
      <c r="L170" s="1">
        <v>0.3</v>
      </c>
      <c r="M170" s="1">
        <f t="shared" ref="M170:M233" si="36">M169+L170</f>
        <v>134.89999999999998</v>
      </c>
      <c r="N170" s="8">
        <f t="shared" si="32"/>
        <v>-9.9999999999999978E-2</v>
      </c>
      <c r="O170" s="1">
        <f t="shared" si="29"/>
        <v>188.1</v>
      </c>
      <c r="P170" s="1">
        <v>131</v>
      </c>
      <c r="Q170" s="11">
        <f t="shared" si="27"/>
        <v>1.0364864864864864</v>
      </c>
      <c r="R170" s="9">
        <f t="shared" si="33"/>
        <v>0.31094594594594593</v>
      </c>
      <c r="S170" s="9">
        <f t="shared" si="30"/>
        <v>-0.11094594594594592</v>
      </c>
      <c r="T170" s="9">
        <f t="shared" si="23"/>
        <v>187.94391891891891</v>
      </c>
      <c r="V170" s="10">
        <v>214.5</v>
      </c>
      <c r="W170" s="1">
        <f t="shared" si="31"/>
        <v>107.25</v>
      </c>
      <c r="X170" s="1">
        <f t="shared" ref="X170:X233" si="37">X169+V170</f>
        <v>61708</v>
      </c>
      <c r="Y170" s="1">
        <f t="shared" si="26"/>
        <v>6669.0999999999995</v>
      </c>
      <c r="AA170" s="16">
        <v>8.4984491448488804</v>
      </c>
    </row>
    <row r="171" spans="1:27" s="1" customFormat="1" x14ac:dyDescent="0.25">
      <c r="A171" s="82"/>
      <c r="B171" s="17"/>
      <c r="C171" s="3">
        <v>41652</v>
      </c>
      <c r="D171" s="1">
        <v>6.7</v>
      </c>
      <c r="E171" s="12">
        <v>4.7</v>
      </c>
      <c r="F171" s="1">
        <v>8.9</v>
      </c>
      <c r="G171" s="1">
        <f t="shared" si="34"/>
        <v>1231.8000000000004</v>
      </c>
      <c r="H171" s="1">
        <f t="shared" si="28"/>
        <v>197.29999999999998</v>
      </c>
      <c r="J171" s="1">
        <v>2.4</v>
      </c>
      <c r="K171" s="1">
        <f t="shared" si="35"/>
        <v>316.69999999999987</v>
      </c>
      <c r="L171" s="1">
        <v>0.6</v>
      </c>
      <c r="M171" s="1">
        <f t="shared" si="36"/>
        <v>135.49999999999997</v>
      </c>
      <c r="N171" s="1">
        <f t="shared" si="32"/>
        <v>1.7999999999999998</v>
      </c>
      <c r="O171" s="1">
        <v>189.6</v>
      </c>
      <c r="P171" s="1">
        <v>132</v>
      </c>
      <c r="Q171" s="11">
        <f t="shared" si="27"/>
        <v>1.0378378378378379</v>
      </c>
      <c r="R171" s="9">
        <f t="shared" si="33"/>
        <v>0.62270270270270267</v>
      </c>
      <c r="S171" s="9">
        <f t="shared" si="30"/>
        <v>1.7772972972972974</v>
      </c>
      <c r="T171" s="9">
        <f t="shared" ref="T171:T234" si="38">MIN(189.6,(T170+S171))</f>
        <v>189.6</v>
      </c>
      <c r="V171" s="10">
        <v>439</v>
      </c>
      <c r="W171" s="1">
        <f t="shared" si="31"/>
        <v>65.522388059701484</v>
      </c>
      <c r="X171" s="1">
        <f t="shared" si="37"/>
        <v>62147</v>
      </c>
      <c r="Y171" s="1">
        <f t="shared" si="26"/>
        <v>7108.0999999999995</v>
      </c>
      <c r="AA171" s="16">
        <v>8.5322452422138895</v>
      </c>
    </row>
    <row r="172" spans="1:27" s="1" customFormat="1" x14ac:dyDescent="0.25">
      <c r="A172" s="82"/>
      <c r="B172" s="15">
        <v>24</v>
      </c>
      <c r="C172" s="3">
        <v>41653</v>
      </c>
      <c r="D172" s="12">
        <v>4.5</v>
      </c>
      <c r="E172" s="12">
        <v>2.6</v>
      </c>
      <c r="F172" s="1">
        <v>6.5</v>
      </c>
      <c r="G172" s="1">
        <f t="shared" si="34"/>
        <v>1236.3000000000004</v>
      </c>
      <c r="H172" s="1">
        <f t="shared" si="28"/>
        <v>201.79999999999998</v>
      </c>
      <c r="J172" s="1">
        <v>5.4</v>
      </c>
      <c r="K172" s="1">
        <f t="shared" si="35"/>
        <v>322.09999999999985</v>
      </c>
      <c r="L172" s="1">
        <v>0.4</v>
      </c>
      <c r="M172" s="1">
        <f t="shared" si="36"/>
        <v>135.89999999999998</v>
      </c>
      <c r="N172" s="1">
        <f t="shared" si="32"/>
        <v>5</v>
      </c>
      <c r="O172" s="1">
        <v>189.6</v>
      </c>
      <c r="P172" s="1">
        <v>133</v>
      </c>
      <c r="Q172" s="11">
        <f t="shared" si="27"/>
        <v>1.0391891891891891</v>
      </c>
      <c r="R172" s="9">
        <f t="shared" si="33"/>
        <v>0.41567567567567565</v>
      </c>
      <c r="S172" s="9">
        <f t="shared" si="30"/>
        <v>4.9843243243243247</v>
      </c>
      <c r="T172" s="9">
        <f t="shared" si="38"/>
        <v>189.6</v>
      </c>
      <c r="V172" s="10">
        <v>195.1</v>
      </c>
      <c r="W172" s="1">
        <f t="shared" si="31"/>
        <v>43.355555555555554</v>
      </c>
      <c r="X172" s="1">
        <f t="shared" si="37"/>
        <v>62342.1</v>
      </c>
      <c r="Y172" s="1">
        <f t="shared" si="26"/>
        <v>7303.2</v>
      </c>
      <c r="AA172" s="16">
        <v>8.5672662475236692</v>
      </c>
    </row>
    <row r="173" spans="1:27" s="1" customFormat="1" x14ac:dyDescent="0.25">
      <c r="A173" s="82"/>
      <c r="B173" s="17"/>
      <c r="C173" s="3">
        <v>41654</v>
      </c>
      <c r="D173" s="1">
        <v>5.6</v>
      </c>
      <c r="E173" s="12">
        <v>2</v>
      </c>
      <c r="F173" s="1">
        <v>8.6</v>
      </c>
      <c r="G173" s="1">
        <f t="shared" si="34"/>
        <v>1241.9000000000003</v>
      </c>
      <c r="H173" s="1">
        <f t="shared" si="28"/>
        <v>207.39999999999998</v>
      </c>
      <c r="J173" s="1">
        <v>2</v>
      </c>
      <c r="K173" s="1">
        <f t="shared" si="35"/>
        <v>324.09999999999985</v>
      </c>
      <c r="L173" s="1">
        <v>0.3</v>
      </c>
      <c r="M173" s="1">
        <f t="shared" si="36"/>
        <v>136.19999999999999</v>
      </c>
      <c r="N173" s="1">
        <f t="shared" si="32"/>
        <v>1.7</v>
      </c>
      <c r="O173" s="1">
        <v>189.6</v>
      </c>
      <c r="P173" s="1">
        <v>134</v>
      </c>
      <c r="Q173" s="11">
        <f t="shared" si="27"/>
        <v>1.0405405405405406</v>
      </c>
      <c r="R173" s="9">
        <f t="shared" si="33"/>
        <v>0.31216216216216214</v>
      </c>
      <c r="S173" s="9">
        <f t="shared" si="30"/>
        <v>1.6878378378378378</v>
      </c>
      <c r="T173" s="9">
        <f t="shared" si="38"/>
        <v>189.6</v>
      </c>
      <c r="V173" s="10">
        <v>111.5</v>
      </c>
      <c r="W173" s="1">
        <f t="shared" si="31"/>
        <v>19.910714285714288</v>
      </c>
      <c r="X173" s="1">
        <f t="shared" si="37"/>
        <v>62453.599999999999</v>
      </c>
      <c r="Y173" s="1">
        <f t="shared" si="26"/>
        <v>7414.7</v>
      </c>
      <c r="AA173" s="16">
        <v>8.6034797160143501</v>
      </c>
    </row>
    <row r="174" spans="1:27" s="1" customFormat="1" x14ac:dyDescent="0.25">
      <c r="A174" s="82"/>
      <c r="B174" s="17"/>
      <c r="C174" s="3">
        <v>41655</v>
      </c>
      <c r="D174" s="1">
        <v>7.8</v>
      </c>
      <c r="E174" s="1">
        <v>7</v>
      </c>
      <c r="F174" s="1">
        <v>8.1</v>
      </c>
      <c r="G174" s="1">
        <f t="shared" si="34"/>
        <v>1249.7000000000003</v>
      </c>
      <c r="H174" s="1">
        <f t="shared" si="28"/>
        <v>215.2</v>
      </c>
      <c r="J174" s="1">
        <v>7.7</v>
      </c>
      <c r="K174" s="1">
        <f t="shared" si="35"/>
        <v>331.79999999999984</v>
      </c>
      <c r="L174" s="1">
        <v>0.4</v>
      </c>
      <c r="M174" s="1">
        <f t="shared" si="36"/>
        <v>136.6</v>
      </c>
      <c r="N174" s="1">
        <f t="shared" si="32"/>
        <v>7.3</v>
      </c>
      <c r="O174" s="1">
        <v>189.6</v>
      </c>
      <c r="P174" s="1">
        <v>135</v>
      </c>
      <c r="Q174" s="11">
        <f t="shared" si="27"/>
        <v>1.0418918918918918</v>
      </c>
      <c r="R174" s="9">
        <f t="shared" si="33"/>
        <v>0.41675675675675672</v>
      </c>
      <c r="S174" s="9">
        <f t="shared" si="30"/>
        <v>7.283243243243243</v>
      </c>
      <c r="T174" s="9">
        <f t="shared" si="38"/>
        <v>189.6</v>
      </c>
      <c r="V174" s="10">
        <v>178.1</v>
      </c>
      <c r="W174" s="1">
        <f t="shared" si="31"/>
        <v>22.833333333333332</v>
      </c>
      <c r="X174" s="1">
        <f t="shared" si="37"/>
        <v>62631.7</v>
      </c>
      <c r="Y174" s="1">
        <f t="shared" si="26"/>
        <v>7592.8</v>
      </c>
      <c r="AA174" s="16">
        <v>8.6408528773124402</v>
      </c>
    </row>
    <row r="175" spans="1:27" s="1" customFormat="1" x14ac:dyDescent="0.25">
      <c r="A175" s="82"/>
      <c r="B175" s="17"/>
      <c r="C175" s="3">
        <v>41656</v>
      </c>
      <c r="D175" s="1">
        <v>7.2</v>
      </c>
      <c r="E175" s="1">
        <v>7.1</v>
      </c>
      <c r="F175" s="1">
        <v>8.1999999999999993</v>
      </c>
      <c r="G175" s="1">
        <f t="shared" si="34"/>
        <v>1256.9000000000003</v>
      </c>
      <c r="H175" s="1">
        <f t="shared" si="28"/>
        <v>222.39999999999998</v>
      </c>
      <c r="J175" s="1">
        <v>3.5</v>
      </c>
      <c r="K175" s="1">
        <f t="shared" si="35"/>
        <v>335.29999999999984</v>
      </c>
      <c r="L175" s="1">
        <v>1</v>
      </c>
      <c r="M175" s="1">
        <f t="shared" si="36"/>
        <v>137.6</v>
      </c>
      <c r="N175" s="1">
        <f t="shared" si="32"/>
        <v>2.5</v>
      </c>
      <c r="O175" s="1">
        <v>189.6</v>
      </c>
      <c r="P175" s="1">
        <v>136</v>
      </c>
      <c r="Q175" s="11">
        <f t="shared" si="27"/>
        <v>1.0432432432432432</v>
      </c>
      <c r="R175" s="9">
        <f t="shared" si="33"/>
        <v>1.0432432432432432</v>
      </c>
      <c r="S175" s="9">
        <f t="shared" si="30"/>
        <v>2.4567567567567568</v>
      </c>
      <c r="T175" s="9">
        <f t="shared" si="38"/>
        <v>189.6</v>
      </c>
      <c r="V175" s="10">
        <v>125.7</v>
      </c>
      <c r="W175" s="1">
        <f t="shared" si="31"/>
        <v>17.458333333333332</v>
      </c>
      <c r="X175" s="1">
        <f t="shared" si="37"/>
        <v>62757.399999999994</v>
      </c>
      <c r="Y175" s="1">
        <f t="shared" si="26"/>
        <v>7718.5</v>
      </c>
      <c r="AA175" s="16">
        <v>8.6793527264390509</v>
      </c>
    </row>
    <row r="176" spans="1:27" s="1" customFormat="1" x14ac:dyDescent="0.25">
      <c r="A176" s="82"/>
      <c r="B176" s="17"/>
      <c r="C176" s="3">
        <v>41657</v>
      </c>
      <c r="D176" s="1">
        <v>5.5</v>
      </c>
      <c r="E176" s="12">
        <v>3.2</v>
      </c>
      <c r="F176" s="1">
        <v>7.5</v>
      </c>
      <c r="G176" s="1">
        <f t="shared" si="34"/>
        <v>1262.4000000000003</v>
      </c>
      <c r="H176" s="1">
        <f t="shared" si="28"/>
        <v>227.89999999999998</v>
      </c>
      <c r="J176" s="1">
        <v>1.2</v>
      </c>
      <c r="K176" s="1">
        <f t="shared" si="35"/>
        <v>336.49999999999983</v>
      </c>
      <c r="L176" s="1">
        <v>0.5</v>
      </c>
      <c r="M176" s="1">
        <f t="shared" si="36"/>
        <v>138.1</v>
      </c>
      <c r="N176" s="1">
        <f t="shared" si="32"/>
        <v>0.7</v>
      </c>
      <c r="O176" s="1">
        <v>189.6</v>
      </c>
      <c r="P176" s="1">
        <v>137</v>
      </c>
      <c r="Q176" s="11">
        <f t="shared" si="27"/>
        <v>1.0445945945945945</v>
      </c>
      <c r="R176" s="9">
        <f t="shared" si="33"/>
        <v>0.52229729729729724</v>
      </c>
      <c r="S176" s="9">
        <f t="shared" si="30"/>
        <v>0.67770270270270272</v>
      </c>
      <c r="T176" s="9">
        <f t="shared" si="38"/>
        <v>189.6</v>
      </c>
      <c r="V176" s="10">
        <v>281.8</v>
      </c>
      <c r="W176" s="1">
        <f t="shared" si="31"/>
        <v>51.236363636363642</v>
      </c>
      <c r="X176" s="1">
        <f t="shared" si="37"/>
        <v>63039.199999999997</v>
      </c>
      <c r="Y176" s="1">
        <f t="shared" si="26"/>
        <v>8000.3</v>
      </c>
      <c r="AA176" s="16">
        <v>8.7189461114168108</v>
      </c>
    </row>
    <row r="177" spans="1:27" s="1" customFormat="1" x14ac:dyDescent="0.25">
      <c r="A177" s="82"/>
      <c r="B177" s="17"/>
      <c r="C177" s="3">
        <v>41658</v>
      </c>
      <c r="D177" s="1">
        <v>6.3</v>
      </c>
      <c r="E177" s="12">
        <v>4.7</v>
      </c>
      <c r="F177" s="1">
        <v>8.3000000000000007</v>
      </c>
      <c r="G177" s="1">
        <f t="shared" si="34"/>
        <v>1268.7000000000003</v>
      </c>
      <c r="H177" s="1">
        <f t="shared" si="28"/>
        <v>234.2</v>
      </c>
      <c r="J177" s="1">
        <v>0</v>
      </c>
      <c r="K177" s="1">
        <f t="shared" si="35"/>
        <v>336.49999999999983</v>
      </c>
      <c r="L177" s="1">
        <v>0.3</v>
      </c>
      <c r="M177" s="1">
        <f t="shared" si="36"/>
        <v>138.4</v>
      </c>
      <c r="N177" s="8">
        <f t="shared" si="32"/>
        <v>-0.3</v>
      </c>
      <c r="O177" s="1">
        <f>O176+N177</f>
        <v>189.29999999999998</v>
      </c>
      <c r="P177" s="1">
        <v>138</v>
      </c>
      <c r="Q177" s="11">
        <f t="shared" si="27"/>
        <v>1.0459459459459459</v>
      </c>
      <c r="R177" s="9">
        <f t="shared" si="33"/>
        <v>0.31378378378378374</v>
      </c>
      <c r="S177" s="9">
        <f t="shared" si="30"/>
        <v>-0.31378378378378374</v>
      </c>
      <c r="T177" s="9">
        <f t="shared" si="38"/>
        <v>189.28621621621622</v>
      </c>
      <c r="V177" s="10">
        <v>152.69999999999999</v>
      </c>
      <c r="W177" s="1">
        <f t="shared" si="31"/>
        <v>24.238095238095237</v>
      </c>
      <c r="X177" s="1">
        <f t="shared" si="37"/>
        <v>63191.899999999994</v>
      </c>
      <c r="Y177" s="1">
        <f t="shared" si="26"/>
        <v>8153</v>
      </c>
      <c r="AA177" s="16">
        <v>8.7595998171692599</v>
      </c>
    </row>
    <row r="178" spans="1:27" s="1" customFormat="1" x14ac:dyDescent="0.25">
      <c r="A178" s="82"/>
      <c r="B178" s="15">
        <v>25</v>
      </c>
      <c r="C178" s="3">
        <v>41659</v>
      </c>
      <c r="D178" s="12">
        <v>4.8</v>
      </c>
      <c r="E178" s="12">
        <v>4.0999999999999996</v>
      </c>
      <c r="F178" s="1">
        <v>6.5</v>
      </c>
      <c r="G178" s="1">
        <f t="shared" si="34"/>
        <v>1273.5000000000002</v>
      </c>
      <c r="H178" s="1">
        <f t="shared" si="28"/>
        <v>239</v>
      </c>
      <c r="J178" s="1">
        <v>0.2</v>
      </c>
      <c r="K178" s="1">
        <f t="shared" si="35"/>
        <v>336.69999999999982</v>
      </c>
      <c r="L178" s="1">
        <v>0.4</v>
      </c>
      <c r="M178" s="1">
        <f t="shared" si="36"/>
        <v>138.80000000000001</v>
      </c>
      <c r="N178" s="8">
        <f t="shared" si="32"/>
        <v>-0.2</v>
      </c>
      <c r="O178" s="1">
        <f>O177+N178</f>
        <v>189.1</v>
      </c>
      <c r="P178" s="1">
        <v>139</v>
      </c>
      <c r="Q178" s="11">
        <f t="shared" si="27"/>
        <v>1.0472972972972974</v>
      </c>
      <c r="R178" s="9">
        <f t="shared" si="33"/>
        <v>0.41891891891891897</v>
      </c>
      <c r="S178" s="9">
        <f t="shared" si="30"/>
        <v>-0.21891891891891896</v>
      </c>
      <c r="T178" s="9">
        <f t="shared" si="38"/>
        <v>189.0672972972973</v>
      </c>
      <c r="V178" s="10">
        <v>164.4</v>
      </c>
      <c r="W178" s="1">
        <f t="shared" si="31"/>
        <v>34.25</v>
      </c>
      <c r="X178" s="1">
        <f t="shared" si="37"/>
        <v>63356.299999999996</v>
      </c>
      <c r="Y178" s="1">
        <f t="shared" si="26"/>
        <v>8317.4</v>
      </c>
      <c r="AA178" s="16">
        <v>8.8012806454525201</v>
      </c>
    </row>
    <row r="179" spans="1:27" s="1" customFormat="1" x14ac:dyDescent="0.25">
      <c r="A179" s="82"/>
      <c r="B179" s="15">
        <v>26</v>
      </c>
      <c r="C179" s="3">
        <v>41660</v>
      </c>
      <c r="D179" s="12">
        <v>3.1</v>
      </c>
      <c r="E179" s="12">
        <v>2.2999999999999998</v>
      </c>
      <c r="F179" s="12">
        <v>3.9</v>
      </c>
      <c r="G179" s="1">
        <f t="shared" si="34"/>
        <v>1276.6000000000001</v>
      </c>
      <c r="H179" s="1">
        <f t="shared" si="28"/>
        <v>242.1</v>
      </c>
      <c r="J179" s="1">
        <v>0</v>
      </c>
      <c r="K179" s="1">
        <f t="shared" si="35"/>
        <v>336.69999999999982</v>
      </c>
      <c r="L179" s="1">
        <v>0.2</v>
      </c>
      <c r="M179" s="1">
        <f t="shared" si="36"/>
        <v>139</v>
      </c>
      <c r="N179" s="8">
        <f t="shared" si="32"/>
        <v>-0.2</v>
      </c>
      <c r="O179" s="1">
        <f>O178+N179</f>
        <v>188.9</v>
      </c>
      <c r="P179" s="1">
        <v>140</v>
      </c>
      <c r="Q179" s="11">
        <f t="shared" si="27"/>
        <v>1.0486486486486486</v>
      </c>
      <c r="R179" s="9">
        <f t="shared" si="33"/>
        <v>0.20972972972972972</v>
      </c>
      <c r="S179" s="9">
        <f t="shared" si="30"/>
        <v>-0.20972972972972972</v>
      </c>
      <c r="T179" s="9">
        <f t="shared" si="38"/>
        <v>188.85756756756757</v>
      </c>
      <c r="V179" s="10">
        <v>107.5</v>
      </c>
      <c r="W179" s="1">
        <f t="shared" si="31"/>
        <v>34.677419354838712</v>
      </c>
      <c r="X179" s="1">
        <f t="shared" si="37"/>
        <v>63463.799999999996</v>
      </c>
      <c r="Y179" s="1">
        <f t="shared" ref="Y179:Y242" si="39">Y178+V179</f>
        <v>8424.9</v>
      </c>
      <c r="AA179" s="16">
        <v>8.8439554906079998</v>
      </c>
    </row>
    <row r="180" spans="1:27" s="1" customFormat="1" x14ac:dyDescent="0.25">
      <c r="A180" s="82"/>
      <c r="B180" s="15">
        <v>27</v>
      </c>
      <c r="C180" s="3">
        <v>41661</v>
      </c>
      <c r="D180" s="12">
        <v>3.2</v>
      </c>
      <c r="E180" s="12">
        <v>2</v>
      </c>
      <c r="F180" s="12">
        <v>4.5</v>
      </c>
      <c r="G180" s="1">
        <f t="shared" si="34"/>
        <v>1279.8000000000002</v>
      </c>
      <c r="H180" s="1">
        <f t="shared" si="28"/>
        <v>245.29999999999998</v>
      </c>
      <c r="J180" s="1">
        <v>3.7</v>
      </c>
      <c r="K180" s="1">
        <f t="shared" si="35"/>
        <v>340.39999999999981</v>
      </c>
      <c r="L180" s="1">
        <v>0.4</v>
      </c>
      <c r="M180" s="1">
        <f t="shared" si="36"/>
        <v>139.4</v>
      </c>
      <c r="N180" s="1">
        <f t="shared" si="32"/>
        <v>3.3000000000000003</v>
      </c>
      <c r="O180" s="1">
        <v>189.6</v>
      </c>
      <c r="P180" s="1">
        <v>141</v>
      </c>
      <c r="Q180" s="11">
        <f t="shared" si="27"/>
        <v>1.05</v>
      </c>
      <c r="R180" s="9">
        <f t="shared" si="33"/>
        <v>0.42000000000000004</v>
      </c>
      <c r="S180" s="9">
        <f t="shared" si="30"/>
        <v>3.2800000000000002</v>
      </c>
      <c r="T180" s="9">
        <f t="shared" si="38"/>
        <v>189.6</v>
      </c>
      <c r="V180" s="10">
        <v>87.7</v>
      </c>
      <c r="W180" s="1">
        <f t="shared" si="31"/>
        <v>27.40625</v>
      </c>
      <c r="X180" s="1">
        <f t="shared" si="37"/>
        <v>63551.499999999993</v>
      </c>
      <c r="Y180" s="1">
        <f t="shared" si="39"/>
        <v>8512.6</v>
      </c>
      <c r="AA180" s="16">
        <v>8.8875914109718099</v>
      </c>
    </row>
    <row r="181" spans="1:27" s="1" customFormat="1" x14ac:dyDescent="0.25">
      <c r="A181" s="82"/>
      <c r="B181" s="15">
        <v>28</v>
      </c>
      <c r="C181" s="3">
        <v>41662</v>
      </c>
      <c r="D181" s="12">
        <v>5</v>
      </c>
      <c r="E181" s="12">
        <v>3.8</v>
      </c>
      <c r="F181" s="1">
        <v>7.5</v>
      </c>
      <c r="G181" s="1">
        <f t="shared" si="34"/>
        <v>1284.8000000000002</v>
      </c>
      <c r="H181" s="1">
        <f t="shared" si="28"/>
        <v>250.29999999999998</v>
      </c>
      <c r="J181" s="1">
        <v>5.4</v>
      </c>
      <c r="K181" s="1">
        <f t="shared" si="35"/>
        <v>345.79999999999978</v>
      </c>
      <c r="L181" s="1">
        <v>0.5</v>
      </c>
      <c r="M181" s="1">
        <f t="shared" si="36"/>
        <v>139.9</v>
      </c>
      <c r="N181" s="1">
        <f t="shared" si="32"/>
        <v>4.9000000000000004</v>
      </c>
      <c r="O181" s="1">
        <v>189.6</v>
      </c>
      <c r="P181" s="1">
        <v>142</v>
      </c>
      <c r="Q181" s="11">
        <f t="shared" si="27"/>
        <v>1.0513513513513513</v>
      </c>
      <c r="R181" s="9">
        <f t="shared" si="33"/>
        <v>0.52567567567567564</v>
      </c>
      <c r="S181" s="9">
        <f t="shared" si="30"/>
        <v>4.8743243243243244</v>
      </c>
      <c r="T181" s="9">
        <f t="shared" si="38"/>
        <v>189.6</v>
      </c>
      <c r="V181" s="10">
        <v>151.30000000000001</v>
      </c>
      <c r="W181" s="1">
        <f t="shared" si="31"/>
        <v>30.26</v>
      </c>
      <c r="X181" s="1">
        <f t="shared" si="37"/>
        <v>63702.799999999996</v>
      </c>
      <c r="Y181" s="1">
        <f t="shared" si="39"/>
        <v>8663.9</v>
      </c>
      <c r="AA181" s="16">
        <v>8.9321556958211907</v>
      </c>
    </row>
    <row r="182" spans="1:27" s="1" customFormat="1" x14ac:dyDescent="0.25">
      <c r="A182" s="82"/>
      <c r="B182" s="15">
        <v>29</v>
      </c>
      <c r="C182" s="3">
        <v>41663</v>
      </c>
      <c r="D182" s="12">
        <v>2.8</v>
      </c>
      <c r="E182" s="12">
        <v>1.1000000000000001</v>
      </c>
      <c r="F182" s="1">
        <v>5.4</v>
      </c>
      <c r="G182" s="1">
        <f t="shared" si="34"/>
        <v>1287.6000000000001</v>
      </c>
      <c r="H182" s="1">
        <f t="shared" si="28"/>
        <v>253.1</v>
      </c>
      <c r="J182" s="1">
        <v>2.1</v>
      </c>
      <c r="K182" s="1">
        <f t="shared" si="35"/>
        <v>347.89999999999981</v>
      </c>
      <c r="L182" s="1">
        <v>0.5</v>
      </c>
      <c r="M182" s="1">
        <f t="shared" si="36"/>
        <v>140.4</v>
      </c>
      <c r="N182" s="1">
        <f t="shared" si="32"/>
        <v>1.6</v>
      </c>
      <c r="O182" s="1">
        <v>189.6</v>
      </c>
      <c r="P182" s="1">
        <v>143</v>
      </c>
      <c r="Q182" s="11">
        <f t="shared" si="27"/>
        <v>1.0527027027027027</v>
      </c>
      <c r="R182" s="9">
        <f t="shared" si="33"/>
        <v>0.52635135135135136</v>
      </c>
      <c r="S182" s="9">
        <f t="shared" si="30"/>
        <v>1.5736486486486487</v>
      </c>
      <c r="T182" s="9">
        <f t="shared" si="38"/>
        <v>189.6</v>
      </c>
      <c r="V182" s="10">
        <v>268.5</v>
      </c>
      <c r="W182" s="1">
        <f t="shared" si="31"/>
        <v>95.892857142857153</v>
      </c>
      <c r="X182" s="1">
        <f t="shared" si="37"/>
        <v>63971.299999999996</v>
      </c>
      <c r="Y182" s="1">
        <f t="shared" si="39"/>
        <v>8932.4</v>
      </c>
      <c r="AA182" s="16">
        <v>8.9776159277803007</v>
      </c>
    </row>
    <row r="183" spans="1:27" s="1" customFormat="1" x14ac:dyDescent="0.25">
      <c r="A183" s="82"/>
      <c r="B183" s="17"/>
      <c r="C183" s="3">
        <v>41664</v>
      </c>
      <c r="D183" s="12">
        <v>4.5999999999999996</v>
      </c>
      <c r="E183" s="12">
        <v>2.2000000000000002</v>
      </c>
      <c r="F183" s="1">
        <v>6.5</v>
      </c>
      <c r="G183" s="1">
        <f t="shared" si="34"/>
        <v>1292.2</v>
      </c>
      <c r="H183" s="1">
        <f t="shared" si="28"/>
        <v>257.7</v>
      </c>
      <c r="J183" s="1">
        <v>0.9</v>
      </c>
      <c r="K183" s="1">
        <f t="shared" si="35"/>
        <v>348.79999999999978</v>
      </c>
      <c r="L183" s="1">
        <v>0.5</v>
      </c>
      <c r="M183" s="1">
        <f t="shared" si="36"/>
        <v>140.9</v>
      </c>
      <c r="N183" s="1">
        <f t="shared" si="32"/>
        <v>0.4</v>
      </c>
      <c r="O183" s="1">
        <v>189.6</v>
      </c>
      <c r="P183" s="1">
        <v>144</v>
      </c>
      <c r="Q183" s="11">
        <f t="shared" si="27"/>
        <v>1.0540540540540539</v>
      </c>
      <c r="R183" s="9">
        <f t="shared" si="33"/>
        <v>0.52702702702702697</v>
      </c>
      <c r="S183" s="9">
        <f t="shared" si="30"/>
        <v>0.37297297297297305</v>
      </c>
      <c r="T183" s="9">
        <f t="shared" si="38"/>
        <v>189.6</v>
      </c>
      <c r="V183" s="10">
        <v>166.3</v>
      </c>
      <c r="W183" s="1">
        <f t="shared" si="31"/>
        <v>36.152173913043484</v>
      </c>
      <c r="X183" s="1">
        <f t="shared" si="37"/>
        <v>64137.599999999999</v>
      </c>
      <c r="Y183" s="1">
        <f t="shared" si="39"/>
        <v>9098.6999999999989</v>
      </c>
      <c r="AA183" s="1">
        <v>9.0239400406467194</v>
      </c>
    </row>
    <row r="184" spans="1:27" s="1" customFormat="1" x14ac:dyDescent="0.25">
      <c r="A184" s="82"/>
      <c r="B184" s="17"/>
      <c r="C184" s="3">
        <v>41665</v>
      </c>
      <c r="D184" s="1">
        <v>5.0999999999999996</v>
      </c>
      <c r="E184" s="12">
        <v>2</v>
      </c>
      <c r="F184" s="1">
        <v>8.1</v>
      </c>
      <c r="G184" s="1">
        <f t="shared" si="34"/>
        <v>1297.3</v>
      </c>
      <c r="H184" s="1">
        <f t="shared" si="28"/>
        <v>262.8</v>
      </c>
      <c r="J184" s="1">
        <v>9.3000000000000007</v>
      </c>
      <c r="K184" s="1">
        <f t="shared" si="35"/>
        <v>358.0999999999998</v>
      </c>
      <c r="L184" s="1">
        <v>0.6</v>
      </c>
      <c r="M184" s="1">
        <f t="shared" si="36"/>
        <v>141.5</v>
      </c>
      <c r="N184" s="1">
        <f t="shared" si="32"/>
        <v>8.7000000000000011</v>
      </c>
      <c r="O184" s="1">
        <v>189.6</v>
      </c>
      <c r="P184" s="1">
        <v>145</v>
      </c>
      <c r="Q184" s="11">
        <f t="shared" si="27"/>
        <v>1.0554054054054054</v>
      </c>
      <c r="R184" s="9">
        <f t="shared" si="33"/>
        <v>0.63324324324324321</v>
      </c>
      <c r="S184" s="9">
        <f t="shared" si="30"/>
        <v>8.6667567567567581</v>
      </c>
      <c r="T184" s="9">
        <f t="shared" si="38"/>
        <v>189.6</v>
      </c>
      <c r="V184" s="10">
        <v>321.60000000000002</v>
      </c>
      <c r="W184" s="1">
        <f t="shared" si="31"/>
        <v>63.058823529411775</v>
      </c>
      <c r="X184" s="1">
        <f t="shared" si="37"/>
        <v>64459.199999999997</v>
      </c>
      <c r="Y184" s="1">
        <f t="shared" si="39"/>
        <v>9420.2999999999993</v>
      </c>
      <c r="AA184" s="1">
        <v>9.0710963726359406</v>
      </c>
    </row>
    <row r="185" spans="1:27" s="1" customFormat="1" x14ac:dyDescent="0.25">
      <c r="A185" s="82"/>
      <c r="B185" s="17"/>
      <c r="C185" s="3">
        <v>41666</v>
      </c>
      <c r="D185" s="12">
        <v>2.9</v>
      </c>
      <c r="E185" s="12">
        <v>2</v>
      </c>
      <c r="F185" s="12">
        <v>4.0999999999999996</v>
      </c>
      <c r="G185" s="1">
        <f t="shared" si="34"/>
        <v>1300.2</v>
      </c>
      <c r="H185" s="1">
        <f t="shared" si="28"/>
        <v>265.7</v>
      </c>
      <c r="J185" s="1">
        <v>4.5</v>
      </c>
      <c r="K185" s="1">
        <f t="shared" si="35"/>
        <v>362.5999999999998</v>
      </c>
      <c r="L185" s="1">
        <v>0.5</v>
      </c>
      <c r="M185" s="1">
        <f t="shared" si="36"/>
        <v>142</v>
      </c>
      <c r="N185" s="1">
        <f t="shared" si="32"/>
        <v>4</v>
      </c>
      <c r="O185" s="1">
        <v>189.6</v>
      </c>
      <c r="P185" s="1">
        <v>146</v>
      </c>
      <c r="Q185" s="11">
        <f t="shared" si="27"/>
        <v>1.0567567567567566</v>
      </c>
      <c r="R185" s="9">
        <f t="shared" si="33"/>
        <v>0.52837837837837831</v>
      </c>
      <c r="S185" s="9">
        <f t="shared" si="30"/>
        <v>3.9716216216216216</v>
      </c>
      <c r="T185" s="9">
        <f t="shared" si="38"/>
        <v>189.6</v>
      </c>
      <c r="V185" s="10">
        <v>146</v>
      </c>
      <c r="W185" s="1">
        <f t="shared" si="31"/>
        <v>50.344827586206897</v>
      </c>
      <c r="X185" s="1">
        <f t="shared" si="37"/>
        <v>64605.2</v>
      </c>
      <c r="Y185" s="1">
        <f t="shared" si="39"/>
        <v>9566.2999999999993</v>
      </c>
      <c r="AA185" s="1">
        <v>9.1190537150738002</v>
      </c>
    </row>
    <row r="186" spans="1:27" s="1" customFormat="1" x14ac:dyDescent="0.25">
      <c r="A186" s="82"/>
      <c r="B186" s="17"/>
      <c r="C186" s="3">
        <v>41667</v>
      </c>
      <c r="D186" s="12">
        <v>4.2</v>
      </c>
      <c r="E186" s="12">
        <v>2.2999999999999998</v>
      </c>
      <c r="F186" s="1">
        <v>5.2</v>
      </c>
      <c r="G186" s="1">
        <f t="shared" si="34"/>
        <v>1304.4000000000001</v>
      </c>
      <c r="H186" s="1">
        <f t="shared" si="28"/>
        <v>269.89999999999998</v>
      </c>
      <c r="J186" s="1">
        <v>2</v>
      </c>
      <c r="K186" s="1">
        <f t="shared" si="35"/>
        <v>364.5999999999998</v>
      </c>
      <c r="L186" s="1">
        <v>0.3</v>
      </c>
      <c r="M186" s="1">
        <f t="shared" si="36"/>
        <v>142.30000000000001</v>
      </c>
      <c r="N186" s="1">
        <f t="shared" si="32"/>
        <v>1.7</v>
      </c>
      <c r="O186" s="1">
        <v>189.6</v>
      </c>
      <c r="P186" s="1">
        <v>147</v>
      </c>
      <c r="Q186" s="11">
        <f t="shared" si="27"/>
        <v>1.0581081081081081</v>
      </c>
      <c r="R186" s="9">
        <f t="shared" si="33"/>
        <v>0.31743243243243241</v>
      </c>
      <c r="S186" s="9">
        <f t="shared" si="30"/>
        <v>1.6825675675675675</v>
      </c>
      <c r="T186" s="9">
        <f t="shared" si="38"/>
        <v>189.6</v>
      </c>
      <c r="V186" s="10">
        <v>126.8</v>
      </c>
      <c r="W186" s="1">
        <f t="shared" si="31"/>
        <v>30.19047619047619</v>
      </c>
      <c r="X186" s="1">
        <f t="shared" si="37"/>
        <v>64732</v>
      </c>
      <c r="Y186" s="1">
        <f t="shared" si="39"/>
        <v>9693.0999999999985</v>
      </c>
      <c r="AA186" s="1">
        <v>9.1677813565960093</v>
      </c>
    </row>
    <row r="187" spans="1:27" s="1" customFormat="1" x14ac:dyDescent="0.25">
      <c r="A187" s="82"/>
      <c r="B187" s="17"/>
      <c r="C187" s="3">
        <v>41668</v>
      </c>
      <c r="D187" s="12">
        <v>3.7</v>
      </c>
      <c r="E187" s="12">
        <v>2.8</v>
      </c>
      <c r="F187" s="12">
        <v>4.5</v>
      </c>
      <c r="G187" s="1">
        <f t="shared" si="34"/>
        <v>1308.1000000000001</v>
      </c>
      <c r="H187" s="1">
        <f t="shared" si="28"/>
        <v>273.59999999999997</v>
      </c>
      <c r="J187" s="1">
        <v>3.3</v>
      </c>
      <c r="K187" s="1">
        <f t="shared" si="35"/>
        <v>367.89999999999981</v>
      </c>
      <c r="L187" s="1">
        <v>0.6</v>
      </c>
      <c r="M187" s="1">
        <f t="shared" si="36"/>
        <v>142.9</v>
      </c>
      <c r="N187" s="1">
        <f t="shared" si="32"/>
        <v>2.6999999999999997</v>
      </c>
      <c r="O187" s="1">
        <v>189.6</v>
      </c>
      <c r="P187" s="1">
        <v>148</v>
      </c>
      <c r="Q187" s="11">
        <f t="shared" si="27"/>
        <v>1.0594594594594595</v>
      </c>
      <c r="R187" s="9">
        <f t="shared" si="33"/>
        <v>0.63567567567567573</v>
      </c>
      <c r="S187" s="9">
        <f t="shared" si="30"/>
        <v>2.664324324324324</v>
      </c>
      <c r="T187" s="9">
        <f t="shared" si="38"/>
        <v>189.6</v>
      </c>
      <c r="V187" s="10">
        <v>262.8</v>
      </c>
      <c r="W187" s="1">
        <f t="shared" si="31"/>
        <v>71.027027027027032</v>
      </c>
      <c r="X187" s="1">
        <f t="shared" si="37"/>
        <v>64994.8</v>
      </c>
      <c r="Y187" s="1">
        <f t="shared" si="39"/>
        <v>9955.8999999999978</v>
      </c>
      <c r="AA187" s="1">
        <v>9.2172491229400499</v>
      </c>
    </row>
    <row r="188" spans="1:27" s="1" customFormat="1" x14ac:dyDescent="0.25">
      <c r="A188" s="82"/>
      <c r="B188" s="17"/>
      <c r="C188" s="3">
        <v>41669</v>
      </c>
      <c r="D188" s="12">
        <v>4.7</v>
      </c>
      <c r="E188" s="12">
        <v>3.6</v>
      </c>
      <c r="F188" s="1">
        <v>6.3</v>
      </c>
      <c r="G188" s="1">
        <f t="shared" si="34"/>
        <v>1312.8000000000002</v>
      </c>
      <c r="H188" s="1">
        <f t="shared" si="28"/>
        <v>278.29999999999995</v>
      </c>
      <c r="J188" s="1">
        <v>0</v>
      </c>
      <c r="K188" s="1">
        <f t="shared" si="35"/>
        <v>367.89999999999981</v>
      </c>
      <c r="L188" s="1">
        <v>0.3</v>
      </c>
      <c r="M188" s="1">
        <f t="shared" si="36"/>
        <v>143.20000000000002</v>
      </c>
      <c r="N188" s="8">
        <f t="shared" si="32"/>
        <v>-0.3</v>
      </c>
      <c r="O188" s="1">
        <f>O187+N188</f>
        <v>189.29999999999998</v>
      </c>
      <c r="P188" s="1">
        <v>149</v>
      </c>
      <c r="Q188" s="11">
        <f t="shared" si="27"/>
        <v>1.0608108108108107</v>
      </c>
      <c r="R188" s="9">
        <f t="shared" si="33"/>
        <v>0.31824324324324321</v>
      </c>
      <c r="S188" s="9">
        <f t="shared" si="30"/>
        <v>-0.31824324324324321</v>
      </c>
      <c r="T188" s="9">
        <f t="shared" si="38"/>
        <v>189.28175675675675</v>
      </c>
      <c r="V188" s="10">
        <v>125.8</v>
      </c>
      <c r="W188" s="1">
        <f t="shared" si="31"/>
        <v>26.76595744680851</v>
      </c>
      <c r="X188" s="1">
        <f t="shared" si="37"/>
        <v>65120.600000000006</v>
      </c>
      <c r="Y188" s="1">
        <f t="shared" si="39"/>
        <v>10081.699999999997</v>
      </c>
      <c r="AA188" s="1">
        <v>9.2674274124373994</v>
      </c>
    </row>
    <row r="189" spans="1:27" s="1" customFormat="1" x14ac:dyDescent="0.25">
      <c r="A189" s="82"/>
      <c r="B189" s="17"/>
      <c r="C189" s="3">
        <v>41670</v>
      </c>
      <c r="D189" s="12">
        <v>4.4000000000000004</v>
      </c>
      <c r="E189" s="12">
        <v>0.6</v>
      </c>
      <c r="F189" s="1">
        <v>7.3</v>
      </c>
      <c r="G189" s="1">
        <f t="shared" si="34"/>
        <v>1317.2000000000003</v>
      </c>
      <c r="H189" s="1">
        <f t="shared" si="28"/>
        <v>282.69999999999993</v>
      </c>
      <c r="J189" s="1">
        <v>13</v>
      </c>
      <c r="K189" s="1">
        <f t="shared" si="35"/>
        <v>380.89999999999981</v>
      </c>
      <c r="L189" s="1">
        <v>0.3</v>
      </c>
      <c r="M189" s="1">
        <f t="shared" si="36"/>
        <v>143.50000000000003</v>
      </c>
      <c r="N189" s="1">
        <f t="shared" si="32"/>
        <v>12.7</v>
      </c>
      <c r="O189" s="1">
        <v>189.6</v>
      </c>
      <c r="P189" s="1">
        <v>150</v>
      </c>
      <c r="Q189" s="11">
        <f t="shared" si="27"/>
        <v>1.0621621621621622</v>
      </c>
      <c r="R189" s="9">
        <f t="shared" si="33"/>
        <v>0.31864864864864867</v>
      </c>
      <c r="S189" s="9">
        <f t="shared" si="30"/>
        <v>12.681351351351351</v>
      </c>
      <c r="T189" s="9">
        <f t="shared" si="38"/>
        <v>189.6</v>
      </c>
      <c r="V189" s="10">
        <v>218.3</v>
      </c>
      <c r="W189" s="1">
        <f t="shared" si="31"/>
        <v>49.61363636363636</v>
      </c>
      <c r="X189" s="1">
        <f t="shared" si="37"/>
        <v>65338.900000000009</v>
      </c>
      <c r="Y189" s="1">
        <f t="shared" si="39"/>
        <v>10299.999999999996</v>
      </c>
      <c r="AA189" s="1">
        <v>9.31828722733351</v>
      </c>
    </row>
    <row r="190" spans="1:27" s="1" customFormat="1" x14ac:dyDescent="0.25">
      <c r="A190" s="82"/>
      <c r="B190" s="17"/>
      <c r="C190" s="3">
        <v>41671</v>
      </c>
      <c r="D190" s="1">
        <v>5.9</v>
      </c>
      <c r="E190" s="12">
        <v>4.5999999999999996</v>
      </c>
      <c r="F190" s="1">
        <v>7.8</v>
      </c>
      <c r="G190" s="1">
        <f t="shared" si="34"/>
        <v>1323.1000000000004</v>
      </c>
      <c r="H190" s="1">
        <f t="shared" si="28"/>
        <v>288.59999999999991</v>
      </c>
      <c r="J190" s="1">
        <v>0.9</v>
      </c>
      <c r="K190" s="1">
        <f t="shared" si="35"/>
        <v>381.79999999999978</v>
      </c>
      <c r="L190" s="1">
        <v>0.8</v>
      </c>
      <c r="M190" s="1">
        <f t="shared" si="36"/>
        <v>144.30000000000004</v>
      </c>
      <c r="N190" s="1">
        <f t="shared" si="32"/>
        <v>9.9999999999999978E-2</v>
      </c>
      <c r="O190" s="1">
        <v>189.6</v>
      </c>
      <c r="P190" s="1">
        <v>151</v>
      </c>
      <c r="Q190" s="11">
        <f t="shared" si="27"/>
        <v>1.0635135135135134</v>
      </c>
      <c r="R190" s="9">
        <f t="shared" si="33"/>
        <v>0.85081081081081078</v>
      </c>
      <c r="S190" s="9">
        <f t="shared" si="30"/>
        <v>4.9189189189189242E-2</v>
      </c>
      <c r="T190" s="9">
        <f t="shared" si="38"/>
        <v>189.6</v>
      </c>
      <c r="V190" s="10">
        <v>272</v>
      </c>
      <c r="W190" s="1">
        <f t="shared" si="31"/>
        <v>46.101694915254235</v>
      </c>
      <c r="X190" s="1">
        <f t="shared" si="37"/>
        <v>65610.900000000009</v>
      </c>
      <c r="Y190" s="1">
        <f t="shared" si="39"/>
        <v>10571.999999999996</v>
      </c>
      <c r="AA190" s="1">
        <v>9.3698002010794905</v>
      </c>
    </row>
    <row r="191" spans="1:27" s="1" customFormat="1" x14ac:dyDescent="0.25">
      <c r="A191" s="82"/>
      <c r="B191" s="17"/>
      <c r="C191" s="3">
        <v>41672</v>
      </c>
      <c r="D191" s="12">
        <v>4.2</v>
      </c>
      <c r="E191" s="12">
        <v>2.1</v>
      </c>
      <c r="F191" s="1">
        <v>7</v>
      </c>
      <c r="G191" s="1">
        <f t="shared" si="34"/>
        <v>1327.3000000000004</v>
      </c>
      <c r="H191" s="1">
        <f t="shared" si="28"/>
        <v>292.7999999999999</v>
      </c>
      <c r="J191" s="1">
        <v>0.1</v>
      </c>
      <c r="K191" s="1">
        <f t="shared" si="35"/>
        <v>381.89999999999981</v>
      </c>
      <c r="L191" s="1">
        <v>1</v>
      </c>
      <c r="M191" s="1">
        <f t="shared" si="36"/>
        <v>145.30000000000004</v>
      </c>
      <c r="N191" s="8">
        <f t="shared" si="32"/>
        <v>-0.9</v>
      </c>
      <c r="O191" s="1">
        <f>O190+N191</f>
        <v>188.7</v>
      </c>
      <c r="P191" s="1">
        <v>152</v>
      </c>
      <c r="Q191" s="11">
        <f t="shared" si="27"/>
        <v>1.0648648648648649</v>
      </c>
      <c r="R191" s="9">
        <f t="shared" si="33"/>
        <v>1.0648648648648649</v>
      </c>
      <c r="S191" s="9">
        <f t="shared" si="30"/>
        <v>-0.96486486486486489</v>
      </c>
      <c r="T191" s="9">
        <f t="shared" si="38"/>
        <v>188.63513513513513</v>
      </c>
      <c r="V191" s="10">
        <v>752.5</v>
      </c>
      <c r="W191" s="1">
        <f t="shared" si="31"/>
        <v>179.16666666666666</v>
      </c>
      <c r="X191" s="1">
        <f t="shared" si="37"/>
        <v>66363.400000000009</v>
      </c>
      <c r="Y191" s="1">
        <f t="shared" si="39"/>
        <v>11324.499999999996</v>
      </c>
      <c r="AA191" s="1">
        <v>9.42193862175289</v>
      </c>
    </row>
    <row r="192" spans="1:27" s="1" customFormat="1" x14ac:dyDescent="0.25">
      <c r="A192" s="82"/>
      <c r="B192" s="17"/>
      <c r="C192" s="3">
        <v>41673</v>
      </c>
      <c r="D192" s="12">
        <v>3.9</v>
      </c>
      <c r="E192" s="12">
        <v>0.9</v>
      </c>
      <c r="F192" s="1">
        <v>6.6</v>
      </c>
      <c r="G192" s="1">
        <f t="shared" si="34"/>
        <v>1331.2000000000005</v>
      </c>
      <c r="H192" s="1">
        <f t="shared" si="28"/>
        <v>296.69999999999987</v>
      </c>
      <c r="J192" s="1">
        <v>0</v>
      </c>
      <c r="K192" s="1">
        <f t="shared" si="35"/>
        <v>381.89999999999981</v>
      </c>
      <c r="L192" s="1">
        <v>0.8</v>
      </c>
      <c r="M192" s="1">
        <f t="shared" si="36"/>
        <v>146.10000000000005</v>
      </c>
      <c r="N192" s="8">
        <f t="shared" si="32"/>
        <v>-0.8</v>
      </c>
      <c r="O192" s="1">
        <f>O191+N192</f>
        <v>187.89999999999998</v>
      </c>
      <c r="P192" s="1">
        <v>153</v>
      </c>
      <c r="Q192" s="11">
        <f t="shared" si="27"/>
        <v>1.0662162162162161</v>
      </c>
      <c r="R192" s="9">
        <f t="shared" si="33"/>
        <v>0.85297297297297292</v>
      </c>
      <c r="S192" s="9">
        <f t="shared" si="30"/>
        <v>-0.85297297297297292</v>
      </c>
      <c r="T192" s="9">
        <f t="shared" si="38"/>
        <v>187.78216216216217</v>
      </c>
      <c r="V192" s="10">
        <v>672.2</v>
      </c>
      <c r="W192" s="1">
        <f t="shared" si="31"/>
        <v>172.35897435897436</v>
      </c>
      <c r="X192" s="1">
        <f t="shared" si="37"/>
        <v>67035.600000000006</v>
      </c>
      <c r="Y192" s="1">
        <f t="shared" si="39"/>
        <v>11996.699999999997</v>
      </c>
      <c r="AA192" s="1">
        <v>9.4746754517760401</v>
      </c>
    </row>
    <row r="193" spans="1:28" s="1" customFormat="1" x14ac:dyDescent="0.25">
      <c r="A193" s="82"/>
      <c r="B193" s="17"/>
      <c r="C193" s="3">
        <v>41674</v>
      </c>
      <c r="D193" s="1">
        <v>5.6</v>
      </c>
      <c r="E193" s="12">
        <v>3.5</v>
      </c>
      <c r="F193" s="1">
        <v>6.9</v>
      </c>
      <c r="G193" s="1">
        <f t="shared" si="34"/>
        <v>1336.8000000000004</v>
      </c>
      <c r="H193" s="1">
        <f t="shared" si="28"/>
        <v>302.2999999999999</v>
      </c>
      <c r="J193" s="1">
        <v>2</v>
      </c>
      <c r="K193" s="1">
        <f t="shared" si="35"/>
        <v>383.89999999999981</v>
      </c>
      <c r="L193" s="1">
        <v>0.9</v>
      </c>
      <c r="M193" s="1">
        <f t="shared" si="36"/>
        <v>147.00000000000006</v>
      </c>
      <c r="N193" s="1">
        <f t="shared" si="32"/>
        <v>1.1000000000000001</v>
      </c>
      <c r="O193" s="1">
        <f>O192+N193</f>
        <v>188.99999999999997</v>
      </c>
      <c r="P193" s="1">
        <v>154</v>
      </c>
      <c r="Q193" s="11">
        <f t="shared" si="27"/>
        <v>1.0675675675675675</v>
      </c>
      <c r="R193" s="9">
        <f t="shared" si="33"/>
        <v>0.96081081081081077</v>
      </c>
      <c r="S193" s="9">
        <f t="shared" si="30"/>
        <v>1.0391891891891891</v>
      </c>
      <c r="T193" s="9">
        <f t="shared" si="38"/>
        <v>188.82135135135135</v>
      </c>
      <c r="V193" s="10">
        <v>321.89999999999998</v>
      </c>
      <c r="W193" s="1">
        <f t="shared" si="31"/>
        <v>57.482142857142854</v>
      </c>
      <c r="X193" s="1">
        <f t="shared" si="37"/>
        <v>67357.5</v>
      </c>
      <c r="Y193" s="1">
        <f t="shared" si="39"/>
        <v>12318.599999999997</v>
      </c>
      <c r="AA193" s="1">
        <v>9.5279843441082193</v>
      </c>
    </row>
    <row r="194" spans="1:28" s="1" customFormat="1" x14ac:dyDescent="0.25">
      <c r="A194" s="82"/>
      <c r="B194" s="17"/>
      <c r="C194" s="3">
        <v>41675</v>
      </c>
      <c r="D194" s="1">
        <v>7.2</v>
      </c>
      <c r="E194" s="1">
        <v>5.8</v>
      </c>
      <c r="F194" s="1">
        <v>8.3000000000000007</v>
      </c>
      <c r="G194" s="1">
        <f t="shared" si="34"/>
        <v>1344.0000000000005</v>
      </c>
      <c r="H194" s="1">
        <f t="shared" si="28"/>
        <v>309.49999999999989</v>
      </c>
      <c r="J194" s="1">
        <v>0.6</v>
      </c>
      <c r="K194" s="1">
        <f t="shared" si="35"/>
        <v>384.49999999999983</v>
      </c>
      <c r="L194" s="1">
        <v>1.3</v>
      </c>
      <c r="M194" s="1">
        <f t="shared" si="36"/>
        <v>148.30000000000007</v>
      </c>
      <c r="N194" s="8">
        <f t="shared" si="32"/>
        <v>-0.70000000000000007</v>
      </c>
      <c r="O194" s="1">
        <f>O193+N194</f>
        <v>188.29999999999998</v>
      </c>
      <c r="P194" s="1">
        <v>155</v>
      </c>
      <c r="Q194" s="11">
        <f t="shared" si="27"/>
        <v>1.0689189189189188</v>
      </c>
      <c r="R194" s="9">
        <f t="shared" si="33"/>
        <v>1.3895945945945944</v>
      </c>
      <c r="S194" s="9">
        <f t="shared" si="30"/>
        <v>-0.78959459459459447</v>
      </c>
      <c r="T194" s="9">
        <f t="shared" si="38"/>
        <v>188.03175675675675</v>
      </c>
      <c r="V194" s="10">
        <v>482.3</v>
      </c>
      <c r="W194" s="1">
        <f t="shared" si="31"/>
        <v>66.986111111111114</v>
      </c>
      <c r="X194" s="1">
        <f t="shared" si="37"/>
        <v>67839.8</v>
      </c>
      <c r="Y194" s="1">
        <f t="shared" si="39"/>
        <v>12800.899999999996</v>
      </c>
      <c r="AA194" s="1">
        <v>9.5818396550943596</v>
      </c>
    </row>
    <row r="195" spans="1:28" s="1" customFormat="1" x14ac:dyDescent="0.25">
      <c r="A195" s="82"/>
      <c r="B195" s="17"/>
      <c r="C195" s="3">
        <v>41676</v>
      </c>
      <c r="D195" s="1">
        <v>7.5</v>
      </c>
      <c r="E195" s="12">
        <v>5</v>
      </c>
      <c r="F195" s="1">
        <v>11.2</v>
      </c>
      <c r="G195" s="1">
        <f t="shared" si="34"/>
        <v>1351.5000000000005</v>
      </c>
      <c r="H195" s="1">
        <f t="shared" si="28"/>
        <v>316.99999999999989</v>
      </c>
      <c r="J195" s="1">
        <v>7.2</v>
      </c>
      <c r="K195" s="1">
        <f t="shared" si="35"/>
        <v>391.69999999999982</v>
      </c>
      <c r="L195" s="1">
        <v>1.5</v>
      </c>
      <c r="M195" s="1">
        <f t="shared" si="36"/>
        <v>149.80000000000007</v>
      </c>
      <c r="N195" s="1">
        <f t="shared" si="32"/>
        <v>5.7</v>
      </c>
      <c r="O195" s="1">
        <v>189.6</v>
      </c>
      <c r="P195" s="1">
        <v>156</v>
      </c>
      <c r="Q195" s="11">
        <f t="shared" si="27"/>
        <v>1.0702702702702702</v>
      </c>
      <c r="R195" s="9">
        <f t="shared" si="33"/>
        <v>1.6054054054054054</v>
      </c>
      <c r="S195" s="9">
        <f t="shared" si="30"/>
        <v>5.5945945945945947</v>
      </c>
      <c r="T195" s="9">
        <f t="shared" si="38"/>
        <v>189.6</v>
      </c>
      <c r="V195" s="10">
        <v>193.9</v>
      </c>
      <c r="W195" s="1">
        <f t="shared" si="31"/>
        <v>25.853333333333335</v>
      </c>
      <c r="X195" s="1">
        <f t="shared" si="37"/>
        <v>68033.7</v>
      </c>
      <c r="Y195" s="1">
        <f t="shared" si="39"/>
        <v>12994.799999999996</v>
      </c>
      <c r="AA195" s="1">
        <v>9.6362164541563295</v>
      </c>
    </row>
    <row r="196" spans="1:28" s="1" customFormat="1" x14ac:dyDescent="0.25">
      <c r="A196" s="82"/>
      <c r="B196" s="17"/>
      <c r="C196" s="3">
        <v>41677</v>
      </c>
      <c r="D196" s="1">
        <v>7.9</v>
      </c>
      <c r="E196" s="1">
        <v>5.3</v>
      </c>
      <c r="F196" s="1">
        <v>9.4</v>
      </c>
      <c r="G196" s="1">
        <f t="shared" si="34"/>
        <v>1359.4000000000005</v>
      </c>
      <c r="H196" s="1">
        <f t="shared" si="28"/>
        <v>324.89999999999986</v>
      </c>
      <c r="J196" s="1">
        <v>5</v>
      </c>
      <c r="K196" s="1">
        <f t="shared" si="35"/>
        <v>396.69999999999982</v>
      </c>
      <c r="L196" s="1">
        <v>0.9</v>
      </c>
      <c r="M196" s="1">
        <f t="shared" si="36"/>
        <v>150.70000000000007</v>
      </c>
      <c r="N196" s="1">
        <f t="shared" si="32"/>
        <v>4.0999999999999996</v>
      </c>
      <c r="O196" s="1">
        <v>189.6</v>
      </c>
      <c r="P196" s="1">
        <v>157</v>
      </c>
      <c r="Q196" s="11">
        <f t="shared" si="27"/>
        <v>1.0716216216216217</v>
      </c>
      <c r="R196" s="9">
        <f t="shared" si="33"/>
        <v>0.96445945945945954</v>
      </c>
      <c r="S196" s="9">
        <f t="shared" si="30"/>
        <v>4.0355405405405405</v>
      </c>
      <c r="T196" s="9">
        <f t="shared" si="38"/>
        <v>189.6</v>
      </c>
      <c r="V196" s="10">
        <v>273.7</v>
      </c>
      <c r="W196" s="1">
        <f t="shared" si="31"/>
        <v>34.645569620253163</v>
      </c>
      <c r="X196" s="1">
        <f t="shared" si="37"/>
        <v>68307.399999999994</v>
      </c>
      <c r="Y196" s="1">
        <f t="shared" si="39"/>
        <v>13268.499999999996</v>
      </c>
      <c r="AA196" s="1">
        <v>9.6910905305149306</v>
      </c>
    </row>
    <row r="197" spans="1:28" s="1" customFormat="1" x14ac:dyDescent="0.25">
      <c r="A197" s="82"/>
      <c r="B197" s="17"/>
      <c r="C197" s="3">
        <v>41678</v>
      </c>
      <c r="D197" s="1">
        <v>7</v>
      </c>
      <c r="E197" s="1">
        <v>5.5</v>
      </c>
      <c r="F197" s="1">
        <v>9</v>
      </c>
      <c r="G197" s="1">
        <f t="shared" si="34"/>
        <v>1366.4000000000005</v>
      </c>
      <c r="H197" s="1">
        <f t="shared" si="28"/>
        <v>331.89999999999986</v>
      </c>
      <c r="J197" s="1">
        <v>1</v>
      </c>
      <c r="K197" s="1">
        <f t="shared" si="35"/>
        <v>397.69999999999982</v>
      </c>
      <c r="L197" s="1">
        <v>1.3</v>
      </c>
      <c r="M197" s="1">
        <f t="shared" si="36"/>
        <v>152.00000000000009</v>
      </c>
      <c r="N197" s="8">
        <f t="shared" si="32"/>
        <v>-0.30000000000000004</v>
      </c>
      <c r="O197" s="1">
        <f>O196+N197</f>
        <v>189.29999999999998</v>
      </c>
      <c r="P197" s="1">
        <v>158</v>
      </c>
      <c r="Q197" s="11">
        <f t="shared" si="27"/>
        <v>1.0729729729729729</v>
      </c>
      <c r="R197" s="9">
        <f t="shared" si="33"/>
        <v>1.3948648648648647</v>
      </c>
      <c r="S197" s="9">
        <f t="shared" si="30"/>
        <v>-0.39486486486486472</v>
      </c>
      <c r="T197" s="9">
        <f t="shared" si="38"/>
        <v>189.20513513513512</v>
      </c>
      <c r="V197" s="10">
        <v>574.29999999999995</v>
      </c>
      <c r="W197" s="1">
        <f t="shared" si="31"/>
        <v>82.04285714285713</v>
      </c>
      <c r="X197" s="1">
        <f t="shared" si="37"/>
        <v>68881.7</v>
      </c>
      <c r="Y197" s="1">
        <f t="shared" si="39"/>
        <v>13842.799999999996</v>
      </c>
      <c r="AA197" s="1">
        <v>9.7464383971307509</v>
      </c>
    </row>
    <row r="198" spans="1:28" s="1" customFormat="1" x14ac:dyDescent="0.25">
      <c r="A198" s="82"/>
      <c r="B198" s="17"/>
      <c r="C198" s="3">
        <v>41679</v>
      </c>
      <c r="D198" s="1">
        <v>5.5</v>
      </c>
      <c r="E198" s="12">
        <v>4.3</v>
      </c>
      <c r="F198" s="1">
        <v>7.5</v>
      </c>
      <c r="G198" s="1">
        <f t="shared" si="34"/>
        <v>1371.9000000000005</v>
      </c>
      <c r="H198" s="1">
        <f t="shared" si="28"/>
        <v>337.39999999999986</v>
      </c>
      <c r="J198" s="1">
        <v>0</v>
      </c>
      <c r="K198" s="1">
        <f t="shared" si="35"/>
        <v>397.69999999999982</v>
      </c>
      <c r="L198" s="1">
        <v>1.6</v>
      </c>
      <c r="M198" s="1">
        <f t="shared" si="36"/>
        <v>153.60000000000008</v>
      </c>
      <c r="N198" s="8">
        <f t="shared" si="32"/>
        <v>-1.6</v>
      </c>
      <c r="O198" s="1">
        <f>O197+N198</f>
        <v>187.7</v>
      </c>
      <c r="P198" s="1">
        <v>159</v>
      </c>
      <c r="Q198" s="11">
        <f t="shared" si="27"/>
        <v>1.0743243243243243</v>
      </c>
      <c r="R198" s="9">
        <f t="shared" si="33"/>
        <v>1.7189189189189191</v>
      </c>
      <c r="S198" s="9">
        <f t="shared" si="30"/>
        <v>-1.7189189189189191</v>
      </c>
      <c r="T198" s="9">
        <f t="shared" si="38"/>
        <v>187.48621621621621</v>
      </c>
      <c r="V198" s="10">
        <v>446.6</v>
      </c>
      <c r="W198" s="1">
        <f t="shared" si="31"/>
        <v>81.2</v>
      </c>
      <c r="X198" s="1">
        <f t="shared" si="37"/>
        <v>69328.3</v>
      </c>
      <c r="Y198" s="1">
        <f t="shared" si="39"/>
        <v>14289.399999999996</v>
      </c>
      <c r="AA198" s="1">
        <v>9.8022372920506502</v>
      </c>
    </row>
    <row r="199" spans="1:28" s="1" customFormat="1" x14ac:dyDescent="0.25">
      <c r="A199" s="82"/>
      <c r="B199" s="17"/>
      <c r="C199" s="3">
        <v>41680</v>
      </c>
      <c r="D199" s="12">
        <v>4.8</v>
      </c>
      <c r="E199" s="12">
        <v>2.9</v>
      </c>
      <c r="F199" s="1">
        <v>5.9</v>
      </c>
      <c r="G199" s="1">
        <f t="shared" si="34"/>
        <v>1376.7000000000005</v>
      </c>
      <c r="H199" s="1">
        <f t="shared" si="28"/>
        <v>342.19999999999987</v>
      </c>
      <c r="J199" s="1">
        <v>0</v>
      </c>
      <c r="K199" s="1">
        <f t="shared" si="35"/>
        <v>397.69999999999982</v>
      </c>
      <c r="L199" s="1">
        <v>0.4</v>
      </c>
      <c r="M199" s="1">
        <f t="shared" si="36"/>
        <v>154.00000000000009</v>
      </c>
      <c r="N199" s="8">
        <f t="shared" si="32"/>
        <v>-0.4</v>
      </c>
      <c r="O199" s="1">
        <f>O198+N199</f>
        <v>187.29999999999998</v>
      </c>
      <c r="P199" s="1">
        <v>160</v>
      </c>
      <c r="Q199" s="11">
        <f t="shared" si="27"/>
        <v>1.0756756756756756</v>
      </c>
      <c r="R199" s="9">
        <f t="shared" si="33"/>
        <v>0.43027027027027026</v>
      </c>
      <c r="S199" s="9">
        <f t="shared" si="30"/>
        <v>-0.43027027027027026</v>
      </c>
      <c r="T199" s="9">
        <f t="shared" si="38"/>
        <v>187.05594594594595</v>
      </c>
      <c r="V199" s="10">
        <v>349.3</v>
      </c>
      <c r="W199" s="1">
        <f t="shared" si="31"/>
        <v>72.770833333333343</v>
      </c>
      <c r="X199" s="1">
        <f t="shared" si="37"/>
        <v>69677.600000000006</v>
      </c>
      <c r="Y199" s="1">
        <f t="shared" si="39"/>
        <v>14638.699999999995</v>
      </c>
      <c r="AA199" s="1">
        <v>9.8584651773438203</v>
      </c>
    </row>
    <row r="200" spans="1:28" s="1" customFormat="1" x14ac:dyDescent="0.25">
      <c r="A200" s="82"/>
      <c r="B200" s="17"/>
      <c r="C200" s="3">
        <v>41681</v>
      </c>
      <c r="D200" s="12">
        <v>4.8</v>
      </c>
      <c r="E200" s="12">
        <v>3.2</v>
      </c>
      <c r="F200" s="1">
        <v>6.9</v>
      </c>
      <c r="G200" s="1">
        <f t="shared" si="34"/>
        <v>1381.5000000000005</v>
      </c>
      <c r="H200" s="1">
        <f t="shared" si="28"/>
        <v>346.99999999999989</v>
      </c>
      <c r="J200" s="1">
        <v>2.5</v>
      </c>
      <c r="K200" s="1">
        <f t="shared" si="35"/>
        <v>400.19999999999982</v>
      </c>
      <c r="L200" s="1">
        <v>0.9</v>
      </c>
      <c r="M200" s="1">
        <f t="shared" si="36"/>
        <v>154.90000000000009</v>
      </c>
      <c r="N200" s="1">
        <f t="shared" si="32"/>
        <v>1.6</v>
      </c>
      <c r="O200" s="1">
        <f>O199+N200</f>
        <v>188.89999999999998</v>
      </c>
      <c r="P200" s="1">
        <v>161</v>
      </c>
      <c r="Q200" s="11">
        <f t="shared" si="27"/>
        <v>1.077027027027027</v>
      </c>
      <c r="R200" s="9">
        <f t="shared" si="33"/>
        <v>0.96932432432432436</v>
      </c>
      <c r="S200" s="9">
        <f t="shared" si="30"/>
        <v>1.5306756756756756</v>
      </c>
      <c r="T200" s="9">
        <f t="shared" si="38"/>
        <v>188.58662162162162</v>
      </c>
      <c r="V200" s="10">
        <v>420.2</v>
      </c>
      <c r="W200" s="1">
        <f t="shared" si="31"/>
        <v>87.541666666666671</v>
      </c>
      <c r="X200" s="1">
        <f t="shared" si="37"/>
        <v>70097.8</v>
      </c>
      <c r="Y200" s="1">
        <f t="shared" si="39"/>
        <v>15058.899999999996</v>
      </c>
      <c r="AA200" s="1">
        <v>9.9151007358076004</v>
      </c>
    </row>
    <row r="201" spans="1:28" s="1" customFormat="1" x14ac:dyDescent="0.25">
      <c r="A201" s="82"/>
      <c r="B201" s="17"/>
      <c r="C201" s="3">
        <v>41682</v>
      </c>
      <c r="D201" s="1">
        <v>5.0999999999999996</v>
      </c>
      <c r="E201" s="12">
        <v>1.5</v>
      </c>
      <c r="F201" s="1">
        <v>8.1999999999999993</v>
      </c>
      <c r="G201" s="1">
        <f t="shared" si="34"/>
        <v>1386.6000000000004</v>
      </c>
      <c r="H201" s="1">
        <f t="shared" si="28"/>
        <v>352.09999999999991</v>
      </c>
      <c r="J201" s="1">
        <v>6.4</v>
      </c>
      <c r="K201" s="1">
        <f t="shared" si="35"/>
        <v>406.5999999999998</v>
      </c>
      <c r="L201" s="1">
        <v>1.1000000000000001</v>
      </c>
      <c r="M201" s="1">
        <f t="shared" si="36"/>
        <v>156.00000000000009</v>
      </c>
      <c r="N201" s="1">
        <f t="shared" si="32"/>
        <v>5.3000000000000007</v>
      </c>
      <c r="O201" s="1">
        <v>189.6</v>
      </c>
      <c r="P201" s="1">
        <v>162</v>
      </c>
      <c r="Q201" s="11">
        <f t="shared" si="27"/>
        <v>1.0783783783783782</v>
      </c>
      <c r="R201" s="9">
        <f t="shared" si="33"/>
        <v>1.1862162162162162</v>
      </c>
      <c r="S201" s="9">
        <f t="shared" si="30"/>
        <v>5.2137837837837839</v>
      </c>
      <c r="T201" s="9">
        <f t="shared" si="38"/>
        <v>189.6</v>
      </c>
      <c r="V201" s="10">
        <v>672.6</v>
      </c>
      <c r="W201" s="1">
        <f t="shared" si="31"/>
        <v>131.88235294117649</v>
      </c>
      <c r="X201" s="1">
        <f t="shared" si="37"/>
        <v>70770.400000000009</v>
      </c>
      <c r="Y201" s="1">
        <f t="shared" si="39"/>
        <v>15731.499999999996</v>
      </c>
      <c r="AA201" s="1">
        <v>9.9721233656181401</v>
      </c>
    </row>
    <row r="202" spans="1:28" s="1" customFormat="1" x14ac:dyDescent="0.25">
      <c r="A202" s="82"/>
      <c r="B202" s="17"/>
      <c r="C202" s="3">
        <v>41683</v>
      </c>
      <c r="D202" s="1">
        <v>5.3</v>
      </c>
      <c r="E202" s="1">
        <v>5.2</v>
      </c>
      <c r="F202" s="1">
        <v>6.9</v>
      </c>
      <c r="G202" s="1">
        <f t="shared" si="34"/>
        <v>1391.9000000000003</v>
      </c>
      <c r="H202" s="1">
        <f t="shared" si="28"/>
        <v>357.39999999999992</v>
      </c>
      <c r="J202" s="1">
        <v>3.2</v>
      </c>
      <c r="K202" s="1">
        <f t="shared" si="35"/>
        <v>409.79999999999978</v>
      </c>
      <c r="L202" s="1">
        <v>1</v>
      </c>
      <c r="M202" s="1">
        <f t="shared" si="36"/>
        <v>157.00000000000009</v>
      </c>
      <c r="N202" s="1">
        <f t="shared" si="32"/>
        <v>2.2000000000000002</v>
      </c>
      <c r="O202" s="1">
        <v>189.6</v>
      </c>
      <c r="P202" s="1">
        <v>163</v>
      </c>
      <c r="Q202" s="11">
        <f t="shared" si="27"/>
        <v>1.0797297297297297</v>
      </c>
      <c r="R202" s="9">
        <f t="shared" si="33"/>
        <v>1.0797297297297297</v>
      </c>
      <c r="S202" s="9">
        <f t="shared" si="30"/>
        <v>2.1202702702702707</v>
      </c>
      <c r="T202" s="9">
        <f t="shared" si="38"/>
        <v>189.6</v>
      </c>
      <c r="V202" s="10">
        <v>174.7</v>
      </c>
      <c r="W202" s="1">
        <f t="shared" si="31"/>
        <v>32.962264150943398</v>
      </c>
      <c r="X202" s="1">
        <f t="shared" si="37"/>
        <v>70945.100000000006</v>
      </c>
      <c r="Y202" s="1">
        <f t="shared" si="39"/>
        <v>15906.199999999997</v>
      </c>
      <c r="AA202" s="1">
        <v>10.0295131730956</v>
      </c>
    </row>
    <row r="203" spans="1:28" s="1" customFormat="1" x14ac:dyDescent="0.25">
      <c r="A203" s="82"/>
      <c r="B203" s="17"/>
      <c r="C203" s="3">
        <v>41684</v>
      </c>
      <c r="D203" s="1">
        <v>6.2</v>
      </c>
      <c r="E203" s="12">
        <v>2.6</v>
      </c>
      <c r="F203" s="1">
        <v>11.2</v>
      </c>
      <c r="G203" s="1">
        <f t="shared" si="34"/>
        <v>1398.1000000000004</v>
      </c>
      <c r="H203" s="1">
        <f t="shared" si="28"/>
        <v>363.59999999999991</v>
      </c>
      <c r="J203" s="1">
        <v>2.2000000000000002</v>
      </c>
      <c r="K203" s="1">
        <f t="shared" si="35"/>
        <v>411.99999999999977</v>
      </c>
      <c r="L203" s="1">
        <v>1.1000000000000001</v>
      </c>
      <c r="M203" s="1">
        <f t="shared" si="36"/>
        <v>158.10000000000008</v>
      </c>
      <c r="N203" s="1">
        <f t="shared" si="32"/>
        <v>1.1000000000000001</v>
      </c>
      <c r="O203" s="1">
        <v>189.6</v>
      </c>
      <c r="P203" s="1">
        <v>164</v>
      </c>
      <c r="Q203" s="11">
        <f t="shared" si="27"/>
        <v>1.0810810810810811</v>
      </c>
      <c r="R203" s="9">
        <f t="shared" si="33"/>
        <v>1.1891891891891893</v>
      </c>
      <c r="S203" s="9">
        <f t="shared" si="30"/>
        <v>1.0108108108108109</v>
      </c>
      <c r="T203" s="9">
        <f t="shared" si="38"/>
        <v>189.6</v>
      </c>
      <c r="V203" s="10">
        <v>200.5</v>
      </c>
      <c r="W203" s="1">
        <f t="shared" si="31"/>
        <v>32.338709677419352</v>
      </c>
      <c r="X203" s="1">
        <f t="shared" si="37"/>
        <v>71145.600000000006</v>
      </c>
      <c r="Y203" s="1">
        <f t="shared" si="39"/>
        <v>16106.699999999997</v>
      </c>
      <c r="AA203" s="1">
        <v>10.087250963746801</v>
      </c>
    </row>
    <row r="204" spans="1:28" s="1" customFormat="1" x14ac:dyDescent="0.25">
      <c r="A204" s="82"/>
      <c r="B204" s="17"/>
      <c r="C204" s="3">
        <v>41685</v>
      </c>
      <c r="D204" s="1">
        <v>8.5</v>
      </c>
      <c r="E204" s="1">
        <v>6.2</v>
      </c>
      <c r="F204" s="1">
        <v>10.3</v>
      </c>
      <c r="G204" s="1">
        <f t="shared" si="34"/>
        <v>1406.6000000000004</v>
      </c>
      <c r="H204" s="1">
        <f t="shared" si="28"/>
        <v>372.09999999999991</v>
      </c>
      <c r="J204" s="1">
        <v>0.8</v>
      </c>
      <c r="K204" s="1">
        <f t="shared" si="35"/>
        <v>412.79999999999978</v>
      </c>
      <c r="L204" s="1">
        <v>1.8</v>
      </c>
      <c r="M204" s="1">
        <f t="shared" si="36"/>
        <v>159.90000000000009</v>
      </c>
      <c r="N204" s="8">
        <f t="shared" si="32"/>
        <v>-1</v>
      </c>
      <c r="O204" s="1">
        <f>O203+N204</f>
        <v>188.6</v>
      </c>
      <c r="P204" s="1">
        <v>165</v>
      </c>
      <c r="Q204" s="11">
        <f t="shared" si="27"/>
        <v>1.0824324324324324</v>
      </c>
      <c r="R204" s="9">
        <f t="shared" si="33"/>
        <v>1.9483783783783784</v>
      </c>
      <c r="S204" s="9">
        <f t="shared" si="30"/>
        <v>-1.1483783783783783</v>
      </c>
      <c r="T204" s="9">
        <f t="shared" si="38"/>
        <v>188.45162162162163</v>
      </c>
      <c r="V204" s="10">
        <v>443.8</v>
      </c>
      <c r="W204" s="1">
        <f t="shared" si="31"/>
        <v>52.211764705882352</v>
      </c>
      <c r="X204" s="1">
        <f t="shared" si="37"/>
        <v>71589.400000000009</v>
      </c>
      <c r="Y204" s="1">
        <f t="shared" si="39"/>
        <v>16550.499999999996</v>
      </c>
      <c r="AA204" s="1">
        <v>10.145318231742101</v>
      </c>
    </row>
    <row r="205" spans="1:28" s="1" customFormat="1" x14ac:dyDescent="0.25">
      <c r="A205" s="82"/>
      <c r="B205" s="17"/>
      <c r="C205" s="3">
        <v>41686</v>
      </c>
      <c r="D205" s="1">
        <v>6.9</v>
      </c>
      <c r="E205" s="1">
        <v>5.4</v>
      </c>
      <c r="F205" s="1">
        <v>9.4</v>
      </c>
      <c r="G205" s="1">
        <f t="shared" si="34"/>
        <v>1413.5000000000005</v>
      </c>
      <c r="H205" s="1">
        <f t="shared" si="28"/>
        <v>378.99999999999989</v>
      </c>
      <c r="J205" s="1">
        <v>0.2</v>
      </c>
      <c r="K205" s="1">
        <f t="shared" si="35"/>
        <v>412.99999999999977</v>
      </c>
      <c r="L205" s="1">
        <v>1.2</v>
      </c>
      <c r="M205" s="1">
        <f t="shared" si="36"/>
        <v>161.10000000000008</v>
      </c>
      <c r="N205" s="8">
        <f t="shared" si="32"/>
        <v>-1</v>
      </c>
      <c r="O205" s="1">
        <f>O204+N205</f>
        <v>187.6</v>
      </c>
      <c r="P205" s="1">
        <v>166</v>
      </c>
      <c r="Q205" s="11">
        <f t="shared" si="27"/>
        <v>1.0837837837837838</v>
      </c>
      <c r="R205" s="9">
        <f t="shared" si="33"/>
        <v>1.3005405405405406</v>
      </c>
      <c r="S205" s="9">
        <f t="shared" si="30"/>
        <v>-1.1005405405405406</v>
      </c>
      <c r="T205" s="9">
        <f t="shared" si="38"/>
        <v>187.35108108108108</v>
      </c>
      <c r="V205" s="10">
        <v>563.6</v>
      </c>
      <c r="W205" s="1">
        <f t="shared" si="31"/>
        <v>81.681159420289859</v>
      </c>
      <c r="X205" s="1">
        <f t="shared" si="37"/>
        <v>72153.000000000015</v>
      </c>
      <c r="Y205" s="1">
        <f t="shared" si="39"/>
        <v>17114.099999999995</v>
      </c>
      <c r="AA205" s="1">
        <v>10.2036971479745</v>
      </c>
    </row>
    <row r="206" spans="1:28" s="1" customFormat="1" x14ac:dyDescent="0.25">
      <c r="A206" s="82"/>
      <c r="B206" s="17"/>
      <c r="C206" s="3">
        <v>41687</v>
      </c>
      <c r="D206" s="1">
        <v>5.6</v>
      </c>
      <c r="E206" s="12">
        <v>3.8</v>
      </c>
      <c r="F206" s="1">
        <v>7.2</v>
      </c>
      <c r="G206" s="1">
        <f t="shared" si="34"/>
        <v>1419.1000000000004</v>
      </c>
      <c r="H206" s="1">
        <f t="shared" si="28"/>
        <v>384.59999999999991</v>
      </c>
      <c r="J206" s="92">
        <v>0</v>
      </c>
      <c r="K206" s="1">
        <f t="shared" si="35"/>
        <v>412.99999999999977</v>
      </c>
      <c r="L206" s="1">
        <v>0.5</v>
      </c>
      <c r="M206" s="1">
        <f t="shared" si="36"/>
        <v>161.60000000000008</v>
      </c>
      <c r="N206" s="8">
        <f t="shared" si="32"/>
        <v>-0.5</v>
      </c>
      <c r="O206" s="1">
        <f>O205+N206</f>
        <v>187.1</v>
      </c>
      <c r="P206" s="1">
        <v>167</v>
      </c>
      <c r="Q206" s="11">
        <f t="shared" si="27"/>
        <v>1.085135135135135</v>
      </c>
      <c r="R206" s="9">
        <f t="shared" si="33"/>
        <v>0.54256756756756752</v>
      </c>
      <c r="S206" s="9">
        <f t="shared" si="30"/>
        <v>-0.54256756756756752</v>
      </c>
      <c r="T206" s="9">
        <f t="shared" si="38"/>
        <v>186.8085135135135</v>
      </c>
      <c r="V206" s="10">
        <v>323</v>
      </c>
      <c r="W206" s="1">
        <f t="shared" si="31"/>
        <v>57.678571428571431</v>
      </c>
      <c r="X206" s="1">
        <f t="shared" si="37"/>
        <v>72476.000000000015</v>
      </c>
      <c r="Y206" s="1">
        <f t="shared" si="39"/>
        <v>17437.099999999995</v>
      </c>
      <c r="AA206" s="1">
        <v>10.262370546844201</v>
      </c>
      <c r="AB206" s="94" t="s">
        <v>61</v>
      </c>
    </row>
    <row r="207" spans="1:28" s="1" customFormat="1" x14ac:dyDescent="0.25">
      <c r="A207" s="82"/>
      <c r="B207" s="17"/>
      <c r="C207" s="3">
        <v>41688</v>
      </c>
      <c r="D207" s="1">
        <v>5.0999999999999996</v>
      </c>
      <c r="E207" s="12">
        <v>3.7</v>
      </c>
      <c r="F207" s="1">
        <v>6.1</v>
      </c>
      <c r="G207" s="1">
        <f t="shared" si="34"/>
        <v>1424.2000000000003</v>
      </c>
      <c r="H207" s="1">
        <f t="shared" si="28"/>
        <v>389.69999999999993</v>
      </c>
      <c r="J207" s="92">
        <v>0.8</v>
      </c>
      <c r="K207" s="1">
        <f t="shared" si="35"/>
        <v>413.79999999999978</v>
      </c>
      <c r="L207" s="1">
        <v>0.4</v>
      </c>
      <c r="M207" s="1">
        <f t="shared" si="36"/>
        <v>162.00000000000009</v>
      </c>
      <c r="N207" s="1">
        <f t="shared" si="32"/>
        <v>0.4</v>
      </c>
      <c r="O207" s="1">
        <f>O206+N207</f>
        <v>187.5</v>
      </c>
      <c r="P207" s="1">
        <v>168</v>
      </c>
      <c r="Q207" s="11">
        <f t="shared" si="27"/>
        <v>1.0864864864864865</v>
      </c>
      <c r="R207" s="9">
        <f t="shared" si="33"/>
        <v>0.4345945945945946</v>
      </c>
      <c r="S207" s="9">
        <f t="shared" si="30"/>
        <v>0.36540540540540545</v>
      </c>
      <c r="T207" s="9">
        <f t="shared" si="38"/>
        <v>187.1739189189189</v>
      </c>
      <c r="V207" s="10">
        <v>266.39999999999998</v>
      </c>
      <c r="W207" s="1">
        <f t="shared" si="31"/>
        <v>52.235294117647058</v>
      </c>
      <c r="X207" s="1">
        <f t="shared" si="37"/>
        <v>72742.400000000009</v>
      </c>
      <c r="Y207" s="1">
        <f t="shared" si="39"/>
        <v>17703.499999999996</v>
      </c>
      <c r="AA207" s="1">
        <v>10.3213219118997</v>
      </c>
      <c r="AB207" s="11">
        <f>AVERAGE(T213:T226)</f>
        <v>186.81741312741315</v>
      </c>
    </row>
    <row r="208" spans="1:28" s="1" customFormat="1" x14ac:dyDescent="0.25">
      <c r="A208" s="82"/>
      <c r="B208" s="17"/>
      <c r="C208" s="3">
        <v>41689</v>
      </c>
      <c r="D208" s="1">
        <v>6.5</v>
      </c>
      <c r="E208" s="12">
        <v>3.4</v>
      </c>
      <c r="F208" s="1">
        <v>8.8000000000000007</v>
      </c>
      <c r="G208" s="1">
        <f t="shared" si="34"/>
        <v>1430.7000000000003</v>
      </c>
      <c r="H208" s="1">
        <f t="shared" si="28"/>
        <v>396.19999999999993</v>
      </c>
      <c r="J208" s="92">
        <v>1.8</v>
      </c>
      <c r="K208" s="1">
        <f t="shared" si="35"/>
        <v>415.5999999999998</v>
      </c>
      <c r="L208" s="1">
        <v>0.4</v>
      </c>
      <c r="M208" s="1">
        <f t="shared" si="36"/>
        <v>162.40000000000009</v>
      </c>
      <c r="N208" s="1">
        <f t="shared" si="32"/>
        <v>1.4</v>
      </c>
      <c r="O208" s="1">
        <f>O207+N208</f>
        <v>188.9</v>
      </c>
      <c r="P208" s="1">
        <v>169</v>
      </c>
      <c r="Q208" s="11">
        <f t="shared" si="27"/>
        <v>1.0878378378378377</v>
      </c>
      <c r="R208" s="9">
        <f t="shared" si="33"/>
        <v>0.43513513513513513</v>
      </c>
      <c r="S208" s="9">
        <f t="shared" si="30"/>
        <v>1.3648648648648649</v>
      </c>
      <c r="T208" s="9">
        <f t="shared" si="38"/>
        <v>188.53878378378377</v>
      </c>
      <c r="V208" s="10">
        <v>410.4</v>
      </c>
      <c r="W208" s="1">
        <f t="shared" si="31"/>
        <v>63.138461538461534</v>
      </c>
      <c r="X208" s="1">
        <f t="shared" si="37"/>
        <v>73152.800000000003</v>
      </c>
      <c r="Y208" s="1">
        <f t="shared" si="39"/>
        <v>18113.899999999998</v>
      </c>
      <c r="AA208" s="1">
        <v>10.3805353604641</v>
      </c>
      <c r="AB208" s="94" t="s">
        <v>62</v>
      </c>
    </row>
    <row r="209" spans="1:30" s="1" customFormat="1" x14ac:dyDescent="0.25">
      <c r="A209" s="82"/>
      <c r="B209" s="17"/>
      <c r="C209" s="3">
        <v>41690</v>
      </c>
      <c r="D209" s="1">
        <v>8.9</v>
      </c>
      <c r="E209" s="1">
        <v>6.4</v>
      </c>
      <c r="F209" s="1">
        <v>10.5</v>
      </c>
      <c r="G209" s="1">
        <f t="shared" si="34"/>
        <v>1439.6000000000004</v>
      </c>
      <c r="H209" s="1">
        <f t="shared" si="28"/>
        <v>405.09999999999991</v>
      </c>
      <c r="J209" s="92">
        <v>5.2</v>
      </c>
      <c r="K209" s="1">
        <f t="shared" si="35"/>
        <v>420.79999999999978</v>
      </c>
      <c r="L209" s="1">
        <v>0.2</v>
      </c>
      <c r="M209" s="1">
        <f t="shared" si="36"/>
        <v>162.60000000000008</v>
      </c>
      <c r="N209" s="1">
        <f t="shared" si="32"/>
        <v>5</v>
      </c>
      <c r="O209" s="1">
        <v>189.6</v>
      </c>
      <c r="P209" s="1">
        <v>170</v>
      </c>
      <c r="Q209" s="11">
        <f t="shared" ref="Q209:Q254" si="40">1+((P209-104)/111)*(1.15-1)</f>
        <v>1.0891891891891892</v>
      </c>
      <c r="R209" s="9">
        <f t="shared" si="33"/>
        <v>0.21783783783783783</v>
      </c>
      <c r="S209" s="9">
        <f t="shared" si="30"/>
        <v>4.9821621621621626</v>
      </c>
      <c r="T209" s="9">
        <f t="shared" si="38"/>
        <v>189.6</v>
      </c>
      <c r="V209" s="10">
        <v>162.5</v>
      </c>
      <c r="W209" s="1">
        <f t="shared" si="31"/>
        <v>18.258426966292134</v>
      </c>
      <c r="X209" s="1">
        <f t="shared" si="37"/>
        <v>73315.3</v>
      </c>
      <c r="Y209" s="1">
        <f t="shared" si="39"/>
        <v>18276.399999999998</v>
      </c>
      <c r="AA209" s="1">
        <v>10.4399956273618</v>
      </c>
      <c r="AB209" s="1">
        <v>1</v>
      </c>
    </row>
    <row r="210" spans="1:30" s="1" customFormat="1" x14ac:dyDescent="0.25">
      <c r="A210" s="82"/>
      <c r="B210" s="17"/>
      <c r="C210" s="3">
        <v>41691</v>
      </c>
      <c r="D210" s="1">
        <v>6.5</v>
      </c>
      <c r="E210" s="1">
        <v>5.6</v>
      </c>
      <c r="F210" s="1">
        <v>8.9</v>
      </c>
      <c r="G210" s="1">
        <f t="shared" si="34"/>
        <v>1446.1000000000004</v>
      </c>
      <c r="H210" s="1">
        <f t="shared" ref="H210:H254" si="41">H209+D210</f>
        <v>411.59999999999991</v>
      </c>
      <c r="J210" s="92">
        <v>1.8</v>
      </c>
      <c r="K210" s="1">
        <f t="shared" si="35"/>
        <v>422.5999999999998</v>
      </c>
      <c r="L210" s="1">
        <v>1.2</v>
      </c>
      <c r="M210" s="1">
        <f t="shared" si="36"/>
        <v>163.80000000000007</v>
      </c>
      <c r="N210" s="1">
        <f t="shared" si="32"/>
        <v>0.60000000000000009</v>
      </c>
      <c r="O210" s="1">
        <v>189.6</v>
      </c>
      <c r="P210" s="1">
        <v>171</v>
      </c>
      <c r="Q210" s="11">
        <f t="shared" si="40"/>
        <v>1.0905405405405404</v>
      </c>
      <c r="R210" s="9">
        <f t="shared" si="33"/>
        <v>1.3086486486486484</v>
      </c>
      <c r="S210" s="9">
        <f t="shared" si="30"/>
        <v>0.49135135135135166</v>
      </c>
      <c r="T210" s="9">
        <f t="shared" si="38"/>
        <v>189.6</v>
      </c>
      <c r="V210" s="10">
        <v>508.7</v>
      </c>
      <c r="W210" s="1">
        <f t="shared" si="31"/>
        <v>78.261538461538464</v>
      </c>
      <c r="X210" s="1">
        <f t="shared" si="37"/>
        <v>73824</v>
      </c>
      <c r="Y210" s="1">
        <f t="shared" si="39"/>
        <v>18785.099999999999</v>
      </c>
      <c r="AA210" s="1">
        <v>10.499688047858401</v>
      </c>
      <c r="AB210" s="94" t="s">
        <v>63</v>
      </c>
    </row>
    <row r="211" spans="1:30" s="1" customFormat="1" x14ac:dyDescent="0.25">
      <c r="A211" s="82"/>
      <c r="B211" s="17"/>
      <c r="C211" s="3">
        <v>41692</v>
      </c>
      <c r="D211" s="1">
        <v>5.8</v>
      </c>
      <c r="E211" s="12">
        <v>3.8</v>
      </c>
      <c r="F211" s="1">
        <v>8.4</v>
      </c>
      <c r="G211" s="1">
        <f t="shared" si="34"/>
        <v>1451.9000000000003</v>
      </c>
      <c r="H211" s="1">
        <f t="shared" si="41"/>
        <v>417.39999999999992</v>
      </c>
      <c r="J211" s="92">
        <v>0.2</v>
      </c>
      <c r="K211" s="1">
        <f t="shared" si="35"/>
        <v>422.79999999999978</v>
      </c>
      <c r="L211" s="1">
        <v>0.9</v>
      </c>
      <c r="M211" s="1">
        <f t="shared" si="36"/>
        <v>164.70000000000007</v>
      </c>
      <c r="N211" s="8">
        <f t="shared" si="32"/>
        <v>-0.7</v>
      </c>
      <c r="O211" s="1">
        <f>O210+N211</f>
        <v>188.9</v>
      </c>
      <c r="P211" s="1">
        <v>172</v>
      </c>
      <c r="Q211" s="11">
        <f t="shared" si="40"/>
        <v>1.0918918918918918</v>
      </c>
      <c r="R211" s="9">
        <f t="shared" si="33"/>
        <v>0.98270270270270266</v>
      </c>
      <c r="S211" s="9">
        <f t="shared" si="30"/>
        <v>-0.7827027027027027</v>
      </c>
      <c r="T211" s="9">
        <f t="shared" si="38"/>
        <v>188.8172972972973</v>
      </c>
      <c r="V211" s="10">
        <v>552</v>
      </c>
      <c r="W211" s="1">
        <f t="shared" si="31"/>
        <v>95.172413793103445</v>
      </c>
      <c r="X211" s="1">
        <f t="shared" si="37"/>
        <v>74376</v>
      </c>
      <c r="Y211" s="1">
        <f t="shared" si="39"/>
        <v>19337.099999999999</v>
      </c>
      <c r="AA211" s="1">
        <v>10.5595985399135</v>
      </c>
      <c r="AB211" s="1">
        <v>5</v>
      </c>
    </row>
    <row r="212" spans="1:30" s="1" customFormat="1" x14ac:dyDescent="0.25">
      <c r="A212" s="82"/>
      <c r="B212" s="17"/>
      <c r="C212" s="3">
        <v>41693</v>
      </c>
      <c r="D212" s="1">
        <v>7.4</v>
      </c>
      <c r="E212" s="12">
        <v>4</v>
      </c>
      <c r="F212" s="1">
        <v>11.5</v>
      </c>
      <c r="G212" s="1">
        <f t="shared" si="34"/>
        <v>1459.3000000000004</v>
      </c>
      <c r="H212" s="1">
        <f t="shared" si="41"/>
        <v>424.7999999999999</v>
      </c>
      <c r="J212" s="92">
        <v>0</v>
      </c>
      <c r="K212" s="1">
        <f t="shared" si="35"/>
        <v>422.79999999999978</v>
      </c>
      <c r="L212" s="1">
        <v>1.3</v>
      </c>
      <c r="M212" s="1">
        <f t="shared" si="36"/>
        <v>166.00000000000009</v>
      </c>
      <c r="N212" s="8">
        <f t="shared" si="32"/>
        <v>-1.3</v>
      </c>
      <c r="O212" s="1">
        <f>O211+N212</f>
        <v>187.6</v>
      </c>
      <c r="P212" s="1">
        <v>173</v>
      </c>
      <c r="Q212" s="11">
        <f t="shared" si="40"/>
        <v>1.0932432432432431</v>
      </c>
      <c r="R212" s="9">
        <f t="shared" si="33"/>
        <v>1.4212162162162161</v>
      </c>
      <c r="S212" s="9">
        <f t="shared" si="30"/>
        <v>-1.4212162162162161</v>
      </c>
      <c r="T212" s="9">
        <f t="shared" si="38"/>
        <v>187.39608108108109</v>
      </c>
      <c r="V212" s="10">
        <v>886.6</v>
      </c>
      <c r="W212" s="1">
        <f t="shared" si="31"/>
        <v>119.81081081081081</v>
      </c>
      <c r="X212" s="1">
        <f t="shared" si="37"/>
        <v>75262.600000000006</v>
      </c>
      <c r="Y212" s="1">
        <f t="shared" si="39"/>
        <v>20223.699999999997</v>
      </c>
      <c r="AA212" s="1">
        <v>10.6197135858434</v>
      </c>
      <c r="AB212" s="94" t="s">
        <v>64</v>
      </c>
    </row>
    <row r="213" spans="1:30" s="1" customFormat="1" x14ac:dyDescent="0.25">
      <c r="A213" s="82"/>
      <c r="B213" s="17"/>
      <c r="C213" s="3">
        <v>41694</v>
      </c>
      <c r="D213" s="1">
        <v>8</v>
      </c>
      <c r="E213" s="12">
        <v>3.6</v>
      </c>
      <c r="F213" s="1">
        <v>11.7</v>
      </c>
      <c r="G213" s="1">
        <f t="shared" si="34"/>
        <v>1467.3000000000004</v>
      </c>
      <c r="H213" s="1">
        <f t="shared" si="41"/>
        <v>432.7999999999999</v>
      </c>
      <c r="J213" s="92">
        <v>0.3</v>
      </c>
      <c r="K213" s="1">
        <f t="shared" si="35"/>
        <v>423.0999999999998</v>
      </c>
      <c r="L213" s="1">
        <v>1.5</v>
      </c>
      <c r="M213" s="1">
        <f t="shared" si="36"/>
        <v>167.50000000000009</v>
      </c>
      <c r="N213" s="8">
        <f t="shared" si="32"/>
        <v>-1.2</v>
      </c>
      <c r="O213" s="1">
        <f>O212+N213</f>
        <v>186.4</v>
      </c>
      <c r="P213" s="1">
        <v>174</v>
      </c>
      <c r="Q213" s="11">
        <f t="shared" si="40"/>
        <v>1.0945945945945945</v>
      </c>
      <c r="R213" s="9">
        <f t="shared" si="33"/>
        <v>1.6418918918918917</v>
      </c>
      <c r="S213" s="9">
        <f t="shared" si="30"/>
        <v>-1.3418918918918916</v>
      </c>
      <c r="T213" s="91">
        <f t="shared" si="38"/>
        <v>186.0541891891892</v>
      </c>
      <c r="V213" s="1">
        <v>1061.0999999999999</v>
      </c>
      <c r="W213" s="1">
        <f t="shared" si="31"/>
        <v>132.63749999999999</v>
      </c>
      <c r="X213" s="1">
        <f t="shared" si="37"/>
        <v>76323.700000000012</v>
      </c>
      <c r="Y213" s="1">
        <f t="shared" si="39"/>
        <v>21284.799999999996</v>
      </c>
      <c r="AA213" s="1">
        <v>10.6800202134794</v>
      </c>
      <c r="AB213" s="1">
        <v>4</v>
      </c>
    </row>
    <row r="214" spans="1:30" s="1" customFormat="1" x14ac:dyDescent="0.25">
      <c r="A214" s="82"/>
      <c r="B214" s="17"/>
      <c r="C214" s="3">
        <v>41695</v>
      </c>
      <c r="D214" s="1">
        <v>8.3000000000000007</v>
      </c>
      <c r="E214" s="1">
        <v>7.5</v>
      </c>
      <c r="F214" s="1">
        <v>11.6</v>
      </c>
      <c r="G214" s="1">
        <f t="shared" si="34"/>
        <v>1475.6000000000004</v>
      </c>
      <c r="H214" s="1">
        <f t="shared" si="41"/>
        <v>441.09999999999991</v>
      </c>
      <c r="J214" s="92">
        <v>2.7</v>
      </c>
      <c r="K214" s="1">
        <f t="shared" si="35"/>
        <v>425.79999999999978</v>
      </c>
      <c r="L214" s="1">
        <v>1.7</v>
      </c>
      <c r="M214" s="1">
        <f t="shared" si="36"/>
        <v>169.20000000000007</v>
      </c>
      <c r="N214" s="1">
        <f t="shared" si="32"/>
        <v>1.0000000000000002</v>
      </c>
      <c r="O214" s="1">
        <f>O213+N214</f>
        <v>187.4</v>
      </c>
      <c r="P214" s="1">
        <v>175</v>
      </c>
      <c r="Q214" s="11">
        <f t="shared" si="40"/>
        <v>1.095945945945946</v>
      </c>
      <c r="R214" s="9">
        <f t="shared" si="33"/>
        <v>1.863108108108108</v>
      </c>
      <c r="S214" s="9">
        <f t="shared" si="30"/>
        <v>0.83689189189189217</v>
      </c>
      <c r="T214" s="91">
        <f t="shared" si="38"/>
        <v>186.8910810810811</v>
      </c>
      <c r="V214" s="10">
        <v>329.6</v>
      </c>
      <c r="W214" s="1">
        <f t="shared" si="31"/>
        <v>39.710843373493972</v>
      </c>
      <c r="X214" s="1">
        <f t="shared" si="37"/>
        <v>76653.300000000017</v>
      </c>
      <c r="Y214" s="1">
        <f t="shared" si="39"/>
        <v>21614.399999999994</v>
      </c>
      <c r="AA214" s="1">
        <v>10.7405059769033</v>
      </c>
      <c r="AB214" s="94" t="s">
        <v>65</v>
      </c>
    </row>
    <row r="215" spans="1:30" s="1" customFormat="1" x14ac:dyDescent="0.25">
      <c r="A215" s="82"/>
      <c r="B215" s="17"/>
      <c r="C215" s="3">
        <v>41696</v>
      </c>
      <c r="D215" s="1">
        <v>5.5</v>
      </c>
      <c r="E215" s="12">
        <v>3.1</v>
      </c>
      <c r="F215" s="1">
        <v>8.3000000000000007</v>
      </c>
      <c r="G215" s="1">
        <f t="shared" si="34"/>
        <v>1481.1000000000004</v>
      </c>
      <c r="H215" s="1">
        <f t="shared" si="41"/>
        <v>446.59999999999991</v>
      </c>
      <c r="J215" s="92">
        <v>0.1</v>
      </c>
      <c r="K215" s="1">
        <f t="shared" si="35"/>
        <v>425.89999999999981</v>
      </c>
      <c r="L215" s="1">
        <v>0.8</v>
      </c>
      <c r="M215" s="1">
        <f t="shared" si="36"/>
        <v>170.00000000000009</v>
      </c>
      <c r="N215" s="8">
        <f t="shared" si="32"/>
        <v>-0.70000000000000007</v>
      </c>
      <c r="O215" s="1">
        <f>O214+N215</f>
        <v>186.70000000000002</v>
      </c>
      <c r="P215" s="1">
        <v>176</v>
      </c>
      <c r="Q215" s="11">
        <f t="shared" si="40"/>
        <v>1.0972972972972972</v>
      </c>
      <c r="R215" s="9">
        <f t="shared" si="33"/>
        <v>0.87783783783783775</v>
      </c>
      <c r="S215" s="9">
        <f t="shared" si="30"/>
        <v>-0.77783783783783778</v>
      </c>
      <c r="T215" s="91">
        <f t="shared" si="38"/>
        <v>186.11324324324326</v>
      </c>
      <c r="V215" s="10">
        <v>678.7</v>
      </c>
      <c r="W215" s="1">
        <f t="shared" si="31"/>
        <v>123.4</v>
      </c>
      <c r="X215" s="1">
        <f t="shared" si="37"/>
        <v>77332.000000000015</v>
      </c>
      <c r="Y215" s="1">
        <f t="shared" si="39"/>
        <v>22293.099999999995</v>
      </c>
      <c r="AA215" s="1">
        <v>10.8011589368326</v>
      </c>
      <c r="AB215" s="1">
        <f>SUM(J217:J226)</f>
        <v>15.5</v>
      </c>
    </row>
    <row r="216" spans="1:30" s="87" customFormat="1" x14ac:dyDescent="0.25">
      <c r="A216" s="82"/>
      <c r="B216" s="85" t="s">
        <v>66</v>
      </c>
      <c r="C216" s="86">
        <v>41697</v>
      </c>
      <c r="D216" s="88">
        <v>4.5</v>
      </c>
      <c r="E216" s="88">
        <v>2.9</v>
      </c>
      <c r="F216" s="87">
        <v>5.5</v>
      </c>
      <c r="G216" s="87">
        <f t="shared" si="34"/>
        <v>1485.6000000000004</v>
      </c>
      <c r="H216" s="87">
        <f t="shared" si="41"/>
        <v>451.09999999999991</v>
      </c>
      <c r="J216" s="87">
        <v>5.5</v>
      </c>
      <c r="K216" s="87">
        <f t="shared" si="35"/>
        <v>431.39999999999981</v>
      </c>
      <c r="L216" s="87">
        <v>0.4</v>
      </c>
      <c r="M216" s="87">
        <f t="shared" si="36"/>
        <v>170.40000000000009</v>
      </c>
      <c r="N216" s="87">
        <f t="shared" si="32"/>
        <v>5.0999999999999996</v>
      </c>
      <c r="O216" s="87">
        <v>189.6</v>
      </c>
      <c r="P216" s="87">
        <v>177</v>
      </c>
      <c r="Q216" s="89">
        <f t="shared" si="40"/>
        <v>1.0986486486486486</v>
      </c>
      <c r="R216" s="90">
        <f t="shared" si="33"/>
        <v>0.43945945945945947</v>
      </c>
      <c r="S216" s="90">
        <f t="shared" si="30"/>
        <v>5.0605405405405408</v>
      </c>
      <c r="T216" s="90">
        <f t="shared" si="38"/>
        <v>189.6</v>
      </c>
      <c r="V216" s="88">
        <v>310.89999999999998</v>
      </c>
      <c r="W216" s="87">
        <f t="shared" si="31"/>
        <v>69.088888888888889</v>
      </c>
      <c r="X216" s="87">
        <f t="shared" si="37"/>
        <v>77642.900000000009</v>
      </c>
      <c r="Y216" s="87">
        <f t="shared" si="39"/>
        <v>22603.999999999996</v>
      </c>
      <c r="AA216" s="87">
        <v>10.861967640722799</v>
      </c>
    </row>
    <row r="217" spans="1:30" s="1" customFormat="1" x14ac:dyDescent="0.25">
      <c r="A217" s="82"/>
      <c r="B217" s="17"/>
      <c r="C217" s="3">
        <v>41698</v>
      </c>
      <c r="D217" s="1">
        <v>5.0999999999999996</v>
      </c>
      <c r="E217" s="12">
        <v>4</v>
      </c>
      <c r="F217" s="1">
        <v>6.6</v>
      </c>
      <c r="G217" s="1">
        <f t="shared" si="34"/>
        <v>1490.7000000000003</v>
      </c>
      <c r="H217" s="1">
        <f t="shared" si="41"/>
        <v>456.19999999999993</v>
      </c>
      <c r="J217" s="92">
        <v>4.8</v>
      </c>
      <c r="K217" s="1">
        <f t="shared" si="35"/>
        <v>436.19999999999982</v>
      </c>
      <c r="L217" s="1">
        <v>0.4</v>
      </c>
      <c r="M217" s="1">
        <f t="shared" si="36"/>
        <v>170.8000000000001</v>
      </c>
      <c r="N217" s="1">
        <f t="shared" si="32"/>
        <v>4.3999999999999995</v>
      </c>
      <c r="O217" s="1">
        <v>189.6</v>
      </c>
      <c r="P217" s="1">
        <v>178</v>
      </c>
      <c r="Q217" s="11">
        <f t="shared" si="40"/>
        <v>1.0999999999999999</v>
      </c>
      <c r="R217" s="9">
        <f t="shared" si="33"/>
        <v>0.43999999999999995</v>
      </c>
      <c r="S217" s="9">
        <f t="shared" si="30"/>
        <v>4.3599999999999994</v>
      </c>
      <c r="T217" s="91">
        <f t="shared" si="38"/>
        <v>189.6</v>
      </c>
      <c r="V217" s="10">
        <v>228.2</v>
      </c>
      <c r="W217" s="1">
        <f t="shared" si="31"/>
        <v>44.745098039215684</v>
      </c>
      <c r="X217" s="1">
        <f t="shared" si="37"/>
        <v>77871.100000000006</v>
      </c>
      <c r="Y217" s="1">
        <f t="shared" si="39"/>
        <v>22832.199999999997</v>
      </c>
      <c r="AA217" s="1">
        <v>10.922921102646299</v>
      </c>
    </row>
    <row r="218" spans="1:30" s="1" customFormat="1" x14ac:dyDescent="0.25">
      <c r="A218" s="82"/>
      <c r="B218" s="17"/>
      <c r="C218" s="3">
        <v>41699</v>
      </c>
      <c r="D218" s="12">
        <v>4.0999999999999996</v>
      </c>
      <c r="E218" s="12">
        <v>3.7</v>
      </c>
      <c r="F218" s="1">
        <v>6.2</v>
      </c>
      <c r="G218" s="1">
        <f t="shared" si="34"/>
        <v>1494.8000000000002</v>
      </c>
      <c r="H218" s="1">
        <f t="shared" si="41"/>
        <v>460.29999999999995</v>
      </c>
      <c r="J218" s="92">
        <v>1.2</v>
      </c>
      <c r="K218" s="1">
        <f t="shared" si="35"/>
        <v>437.39999999999981</v>
      </c>
      <c r="L218" s="1">
        <v>0.8</v>
      </c>
      <c r="M218" s="1">
        <f t="shared" si="36"/>
        <v>171.60000000000011</v>
      </c>
      <c r="N218" s="1">
        <f t="shared" si="32"/>
        <v>0.39999999999999991</v>
      </c>
      <c r="O218" s="1">
        <v>189.6</v>
      </c>
      <c r="P218" s="1">
        <v>179</v>
      </c>
      <c r="Q218" s="11">
        <f t="shared" si="40"/>
        <v>1.1013513513513513</v>
      </c>
      <c r="R218" s="9">
        <f t="shared" si="33"/>
        <v>0.88108108108108107</v>
      </c>
      <c r="S218" s="9">
        <f t="shared" si="30"/>
        <v>0.31891891891891888</v>
      </c>
      <c r="T218" s="91">
        <f t="shared" si="38"/>
        <v>189.6</v>
      </c>
      <c r="V218" s="10">
        <v>532.5</v>
      </c>
      <c r="W218" s="1">
        <f t="shared" si="31"/>
        <v>129.8780487804878</v>
      </c>
      <c r="X218" s="1">
        <f t="shared" si="37"/>
        <v>78403.600000000006</v>
      </c>
      <c r="Y218" s="1">
        <f t="shared" si="39"/>
        <v>23364.699999999997</v>
      </c>
      <c r="AA218" s="1">
        <v>10.9840087830034</v>
      </c>
      <c r="AD218" s="94" t="s">
        <v>61</v>
      </c>
    </row>
    <row r="219" spans="1:30" s="1" customFormat="1" x14ac:dyDescent="0.25">
      <c r="A219" s="82"/>
      <c r="B219" s="17"/>
      <c r="C219" s="3">
        <v>41700</v>
      </c>
      <c r="D219" s="12">
        <v>4.8</v>
      </c>
      <c r="E219" s="13">
        <v>-0.3</v>
      </c>
      <c r="F219" s="1">
        <v>9.1</v>
      </c>
      <c r="G219" s="1">
        <f t="shared" si="34"/>
        <v>1499.6000000000001</v>
      </c>
      <c r="H219" s="1">
        <f t="shared" si="41"/>
        <v>465.09999999999997</v>
      </c>
      <c r="J219" s="92">
        <v>5.8</v>
      </c>
      <c r="K219" s="1">
        <f t="shared" si="35"/>
        <v>443.19999999999982</v>
      </c>
      <c r="L219" s="1">
        <v>1.2</v>
      </c>
      <c r="M219" s="1">
        <f t="shared" si="36"/>
        <v>172.8000000000001</v>
      </c>
      <c r="N219" s="1">
        <f t="shared" si="32"/>
        <v>4.5999999999999996</v>
      </c>
      <c r="O219" s="1">
        <v>189.6</v>
      </c>
      <c r="P219" s="1">
        <v>180</v>
      </c>
      <c r="Q219" s="11">
        <f t="shared" si="40"/>
        <v>1.1027027027027025</v>
      </c>
      <c r="R219" s="9">
        <f t="shared" si="33"/>
        <v>1.3232432432432431</v>
      </c>
      <c r="S219" s="9">
        <f t="shared" si="30"/>
        <v>4.4767567567567568</v>
      </c>
      <c r="T219" s="91">
        <f t="shared" si="38"/>
        <v>189.6</v>
      </c>
      <c r="V219" s="1">
        <v>972.1</v>
      </c>
      <c r="W219" s="1">
        <f t="shared" si="31"/>
        <v>202.52083333333334</v>
      </c>
      <c r="X219" s="1">
        <f t="shared" si="37"/>
        <v>79375.700000000012</v>
      </c>
      <c r="Y219" s="1">
        <f t="shared" si="39"/>
        <v>24336.799999999996</v>
      </c>
      <c r="AA219" s="1">
        <v>11.0452205681135</v>
      </c>
      <c r="AD219" s="11">
        <f>(AB207*(40/90))+(AB221*(50/90))</f>
        <v>175.81046868296869</v>
      </c>
    </row>
    <row r="220" spans="1:30" s="1" customFormat="1" x14ac:dyDescent="0.25">
      <c r="A220" s="82"/>
      <c r="B220" s="17"/>
      <c r="C220" s="3">
        <v>41701</v>
      </c>
      <c r="D220" s="1">
        <v>5.6</v>
      </c>
      <c r="E220" s="1">
        <v>5.2</v>
      </c>
      <c r="F220" s="1">
        <v>8.3000000000000007</v>
      </c>
      <c r="G220" s="1">
        <f t="shared" si="34"/>
        <v>1505.2</v>
      </c>
      <c r="H220" s="1">
        <f t="shared" si="41"/>
        <v>470.7</v>
      </c>
      <c r="I220" s="1">
        <v>10</v>
      </c>
      <c r="J220" s="92">
        <v>3.6</v>
      </c>
      <c r="K220" s="1">
        <f t="shared" si="35"/>
        <v>446.79999999999984</v>
      </c>
      <c r="L220" s="1">
        <v>1.1000000000000001</v>
      </c>
      <c r="M220" s="1">
        <f t="shared" si="36"/>
        <v>173.90000000000009</v>
      </c>
      <c r="N220" s="1">
        <f t="shared" si="32"/>
        <v>2.5</v>
      </c>
      <c r="O220" s="1">
        <v>189.6</v>
      </c>
      <c r="P220" s="1">
        <v>181</v>
      </c>
      <c r="Q220" s="11">
        <f t="shared" si="40"/>
        <v>1.104054054054054</v>
      </c>
      <c r="R220" s="9">
        <f t="shared" si="33"/>
        <v>1.2144594594594595</v>
      </c>
      <c r="S220" s="9">
        <f t="shared" si="30"/>
        <v>2.3855405405405405</v>
      </c>
      <c r="T220" s="91">
        <f t="shared" si="38"/>
        <v>189.6</v>
      </c>
      <c r="V220" s="10">
        <v>403.5</v>
      </c>
      <c r="W220" s="1">
        <f t="shared" si="31"/>
        <v>72.053571428571431</v>
      </c>
      <c r="X220" s="1">
        <f t="shared" si="37"/>
        <v>79779.200000000012</v>
      </c>
      <c r="Y220" s="1">
        <f t="shared" si="39"/>
        <v>24740.299999999996</v>
      </c>
      <c r="AA220" s="1">
        <v>11.1065467497302</v>
      </c>
      <c r="AB220" s="94" t="s">
        <v>61</v>
      </c>
      <c r="AD220" s="94" t="s">
        <v>62</v>
      </c>
    </row>
    <row r="221" spans="1:30" s="1" customFormat="1" x14ac:dyDescent="0.25">
      <c r="A221" s="82"/>
      <c r="B221" s="17"/>
      <c r="C221" s="3">
        <v>41702</v>
      </c>
      <c r="D221" s="12">
        <v>5</v>
      </c>
      <c r="E221" s="12">
        <v>2</v>
      </c>
      <c r="F221" s="1">
        <v>7.8</v>
      </c>
      <c r="G221" s="1">
        <f t="shared" si="34"/>
        <v>1510.2</v>
      </c>
      <c r="H221" s="1">
        <f t="shared" si="41"/>
        <v>475.7</v>
      </c>
      <c r="J221" s="92">
        <v>0.1</v>
      </c>
      <c r="K221" s="1">
        <f t="shared" si="35"/>
        <v>446.89999999999986</v>
      </c>
      <c r="L221" s="1">
        <v>0.6</v>
      </c>
      <c r="M221" s="1">
        <f t="shared" si="36"/>
        <v>174.50000000000009</v>
      </c>
      <c r="N221" s="8">
        <f t="shared" si="32"/>
        <v>-0.5</v>
      </c>
      <c r="O221" s="1">
        <f t="shared" ref="O221:O284" si="42">O220+N221</f>
        <v>189.1</v>
      </c>
      <c r="P221" s="1">
        <v>182</v>
      </c>
      <c r="Q221" s="11">
        <f t="shared" si="40"/>
        <v>1.1054054054054054</v>
      </c>
      <c r="R221" s="9">
        <f t="shared" si="33"/>
        <v>0.66324324324324324</v>
      </c>
      <c r="S221" s="9">
        <f t="shared" si="30"/>
        <v>-0.56324324324324326</v>
      </c>
      <c r="T221" s="91">
        <f t="shared" si="38"/>
        <v>189.03675675675674</v>
      </c>
      <c r="V221" s="10">
        <v>596.79999999999995</v>
      </c>
      <c r="W221" s="1">
        <f t="shared" si="31"/>
        <v>119.35999999999999</v>
      </c>
      <c r="X221" s="1">
        <f t="shared" si="37"/>
        <v>80376.000000000015</v>
      </c>
      <c r="Y221" s="1">
        <f t="shared" si="39"/>
        <v>25337.099999999995</v>
      </c>
      <c r="AA221" s="1">
        <v>11.1679780045177</v>
      </c>
      <c r="AB221" s="11">
        <f>AVERAGE(T227:T240)</f>
        <v>167.00491312741315</v>
      </c>
      <c r="AD221" s="9">
        <f>(AB209*(40/90))+(AB223*(50/90))</f>
        <v>3.7777777777777777</v>
      </c>
    </row>
    <row r="222" spans="1:30" s="1" customFormat="1" x14ac:dyDescent="0.25">
      <c r="A222" s="82"/>
      <c r="B222" s="17"/>
      <c r="C222" s="3">
        <v>41703</v>
      </c>
      <c r="D222" s="1">
        <v>5.2</v>
      </c>
      <c r="E222" s="13">
        <v>-0.3</v>
      </c>
      <c r="F222" s="1">
        <v>10.8</v>
      </c>
      <c r="G222" s="1">
        <f t="shared" si="34"/>
        <v>1515.4</v>
      </c>
      <c r="H222" s="1">
        <f t="shared" si="41"/>
        <v>480.9</v>
      </c>
      <c r="J222" s="92">
        <v>0</v>
      </c>
      <c r="K222" s="1">
        <f t="shared" si="35"/>
        <v>446.89999999999986</v>
      </c>
      <c r="L222" s="1">
        <v>1.4</v>
      </c>
      <c r="M222" s="1">
        <f t="shared" si="36"/>
        <v>175.90000000000009</v>
      </c>
      <c r="N222" s="8">
        <f t="shared" si="32"/>
        <v>-1.4</v>
      </c>
      <c r="O222" s="1">
        <f t="shared" si="42"/>
        <v>187.7</v>
      </c>
      <c r="P222" s="1">
        <v>183</v>
      </c>
      <c r="Q222" s="11">
        <f t="shared" si="40"/>
        <v>1.1067567567567567</v>
      </c>
      <c r="R222" s="9">
        <f t="shared" si="33"/>
        <v>1.5494594594594593</v>
      </c>
      <c r="S222" s="9">
        <f t="shared" si="30"/>
        <v>-1.5494594594594593</v>
      </c>
      <c r="T222" s="91">
        <f t="shared" si="38"/>
        <v>187.48729729729729</v>
      </c>
      <c r="V222" s="1">
        <v>1143.3</v>
      </c>
      <c r="W222" s="1">
        <f t="shared" si="31"/>
        <v>219.86538461538461</v>
      </c>
      <c r="X222" s="1">
        <f t="shared" si="37"/>
        <v>81519.300000000017</v>
      </c>
      <c r="Y222" s="1">
        <f t="shared" si="39"/>
        <v>26480.399999999994</v>
      </c>
      <c r="AA222" s="1">
        <v>11.2295053735237</v>
      </c>
      <c r="AB222" s="94" t="s">
        <v>62</v>
      </c>
      <c r="AD222" s="94" t="s">
        <v>63</v>
      </c>
    </row>
    <row r="223" spans="1:30" s="1" customFormat="1" x14ac:dyDescent="0.25">
      <c r="A223" s="82"/>
      <c r="B223" s="17"/>
      <c r="C223" s="3">
        <v>41704</v>
      </c>
      <c r="D223" s="1">
        <v>6.1</v>
      </c>
      <c r="E223" s="12">
        <v>0.3</v>
      </c>
      <c r="F223" s="1">
        <v>11.8</v>
      </c>
      <c r="G223" s="1">
        <f t="shared" si="34"/>
        <v>1521.5</v>
      </c>
      <c r="H223" s="1">
        <f t="shared" si="41"/>
        <v>487</v>
      </c>
      <c r="J223" s="92">
        <v>0</v>
      </c>
      <c r="K223" s="1">
        <f t="shared" si="35"/>
        <v>446.89999999999986</v>
      </c>
      <c r="L223" s="1">
        <v>1.7</v>
      </c>
      <c r="M223" s="1">
        <f t="shared" si="36"/>
        <v>177.60000000000008</v>
      </c>
      <c r="N223" s="8">
        <f t="shared" si="32"/>
        <v>-1.7</v>
      </c>
      <c r="O223" s="1">
        <f t="shared" si="42"/>
        <v>186</v>
      </c>
      <c r="P223" s="1">
        <v>184</v>
      </c>
      <c r="Q223" s="11">
        <f t="shared" si="40"/>
        <v>1.1081081081081081</v>
      </c>
      <c r="R223" s="9">
        <f t="shared" si="33"/>
        <v>1.8837837837837836</v>
      </c>
      <c r="S223" s="9">
        <f t="shared" si="30"/>
        <v>-1.8837837837837836</v>
      </c>
      <c r="T223" s="91">
        <f t="shared" si="38"/>
        <v>185.60351351351352</v>
      </c>
      <c r="V223" s="1">
        <v>1159.5</v>
      </c>
      <c r="W223" s="1">
        <f t="shared" si="31"/>
        <v>190.08196721311475</v>
      </c>
      <c r="X223" s="1">
        <f t="shared" si="37"/>
        <v>82678.800000000017</v>
      </c>
      <c r="Y223" s="1">
        <f t="shared" si="39"/>
        <v>27639.899999999994</v>
      </c>
      <c r="AA223" s="1">
        <v>11.2911202416762</v>
      </c>
      <c r="AB223" s="1">
        <v>6</v>
      </c>
      <c r="AD223" s="9">
        <f>(AB211*(40/90))+(AB225*(50/90))</f>
        <v>3.8888888888888893</v>
      </c>
    </row>
    <row r="224" spans="1:30" s="1" customFormat="1" x14ac:dyDescent="0.25">
      <c r="A224" s="82"/>
      <c r="B224" s="17"/>
      <c r="C224" s="3">
        <v>41705</v>
      </c>
      <c r="D224" s="1">
        <v>7.5</v>
      </c>
      <c r="E224" s="12">
        <v>1.5</v>
      </c>
      <c r="F224" s="1">
        <v>12.3</v>
      </c>
      <c r="G224" s="1">
        <f t="shared" si="34"/>
        <v>1529</v>
      </c>
      <c r="H224" s="1">
        <f t="shared" si="41"/>
        <v>494.5</v>
      </c>
      <c r="J224" s="92">
        <v>0</v>
      </c>
      <c r="K224" s="1">
        <f t="shared" si="35"/>
        <v>446.89999999999986</v>
      </c>
      <c r="L224" s="1">
        <v>0.9</v>
      </c>
      <c r="M224" s="1">
        <f t="shared" si="36"/>
        <v>178.50000000000009</v>
      </c>
      <c r="N224" s="8">
        <f t="shared" si="32"/>
        <v>-0.9</v>
      </c>
      <c r="O224" s="1">
        <f t="shared" si="42"/>
        <v>185.1</v>
      </c>
      <c r="P224" s="1">
        <v>185</v>
      </c>
      <c r="Q224" s="11">
        <f t="shared" si="40"/>
        <v>1.1094594594594593</v>
      </c>
      <c r="R224" s="9">
        <f t="shared" si="33"/>
        <v>0.99851351351351347</v>
      </c>
      <c r="S224" s="9">
        <f t="shared" si="30"/>
        <v>-0.99851351351351347</v>
      </c>
      <c r="T224" s="91">
        <f t="shared" si="38"/>
        <v>184.60500000000002</v>
      </c>
      <c r="V224" s="10">
        <v>574.6</v>
      </c>
      <c r="W224" s="1">
        <f t="shared" si="31"/>
        <v>76.61333333333333</v>
      </c>
      <c r="X224" s="1">
        <f t="shared" si="37"/>
        <v>83253.400000000023</v>
      </c>
      <c r="Y224" s="1">
        <f t="shared" si="39"/>
        <v>28214.499999999993</v>
      </c>
      <c r="AA224" s="1">
        <v>11.3528143173298</v>
      </c>
      <c r="AB224" s="94" t="s">
        <v>63</v>
      </c>
      <c r="AD224" s="94" t="s">
        <v>64</v>
      </c>
    </row>
    <row r="225" spans="1:30" s="1" customFormat="1" x14ac:dyDescent="0.25">
      <c r="A225" s="82"/>
      <c r="B225" s="17"/>
      <c r="C225" s="3">
        <v>41706</v>
      </c>
      <c r="D225" s="1">
        <v>9.1</v>
      </c>
      <c r="E225" s="12">
        <v>2.9</v>
      </c>
      <c r="F225" s="1">
        <v>14.7</v>
      </c>
      <c r="G225" s="1">
        <f t="shared" si="34"/>
        <v>1538.1</v>
      </c>
      <c r="H225" s="1">
        <f t="shared" si="41"/>
        <v>503.6</v>
      </c>
      <c r="J225" s="92">
        <v>0</v>
      </c>
      <c r="K225" s="1">
        <f t="shared" si="35"/>
        <v>446.89999999999986</v>
      </c>
      <c r="L225" s="1">
        <v>2</v>
      </c>
      <c r="M225" s="1">
        <f t="shared" si="36"/>
        <v>180.50000000000009</v>
      </c>
      <c r="N225" s="8">
        <f t="shared" si="32"/>
        <v>-2</v>
      </c>
      <c r="O225" s="1">
        <f t="shared" si="42"/>
        <v>183.1</v>
      </c>
      <c r="P225" s="1">
        <v>186</v>
      </c>
      <c r="Q225" s="11">
        <f t="shared" si="40"/>
        <v>1.1108108108108108</v>
      </c>
      <c r="R225" s="9">
        <f t="shared" si="33"/>
        <v>2.2216216216216216</v>
      </c>
      <c r="S225" s="9">
        <f t="shared" si="30"/>
        <v>-2.2216216216216216</v>
      </c>
      <c r="T225" s="91">
        <f t="shared" si="38"/>
        <v>182.38337837837841</v>
      </c>
      <c r="V225" s="1">
        <v>1235.4000000000001</v>
      </c>
      <c r="W225" s="1">
        <f t="shared" si="31"/>
        <v>135.75824175824178</v>
      </c>
      <c r="X225" s="1">
        <f t="shared" si="37"/>
        <v>84488.800000000017</v>
      </c>
      <c r="Y225" s="1">
        <f t="shared" si="39"/>
        <v>29449.899999999994</v>
      </c>
      <c r="AA225" s="1">
        <v>11.4145796118836</v>
      </c>
      <c r="AB225" s="1">
        <v>3</v>
      </c>
      <c r="AD225" s="9">
        <f>(AB213*(40/90))+(AB227*(50/90))</f>
        <v>1.7777777777777777</v>
      </c>
    </row>
    <row r="226" spans="1:30" s="1" customFormat="1" x14ac:dyDescent="0.25">
      <c r="A226" s="82"/>
      <c r="B226" s="17"/>
      <c r="C226" s="3">
        <v>41707</v>
      </c>
      <c r="D226" s="1">
        <v>10.6</v>
      </c>
      <c r="E226" s="12">
        <v>4.3</v>
      </c>
      <c r="F226" s="1">
        <v>17.899999999999999</v>
      </c>
      <c r="G226" s="1">
        <f t="shared" si="34"/>
        <v>1548.6999999999998</v>
      </c>
      <c r="H226" s="1">
        <f t="shared" si="41"/>
        <v>514.20000000000005</v>
      </c>
      <c r="I226" s="1">
        <v>-10</v>
      </c>
      <c r="J226" s="92">
        <v>0</v>
      </c>
      <c r="K226" s="1">
        <f t="shared" si="35"/>
        <v>446.89999999999986</v>
      </c>
      <c r="L226" s="1">
        <v>2.8</v>
      </c>
      <c r="M226" s="1">
        <f t="shared" si="36"/>
        <v>183.3000000000001</v>
      </c>
      <c r="N226" s="8">
        <f t="shared" si="32"/>
        <v>-2.8</v>
      </c>
      <c r="O226" s="1">
        <f t="shared" si="42"/>
        <v>180.29999999999998</v>
      </c>
      <c r="P226" s="1">
        <v>187</v>
      </c>
      <c r="Q226" s="11">
        <f t="shared" si="40"/>
        <v>1.112162162162162</v>
      </c>
      <c r="R226" s="9">
        <f t="shared" si="33"/>
        <v>3.1140540540540536</v>
      </c>
      <c r="S226" s="9">
        <f t="shared" si="30"/>
        <v>-3.1140540540540536</v>
      </c>
      <c r="T226" s="93">
        <f t="shared" si="38"/>
        <v>179.26932432432434</v>
      </c>
      <c r="V226" s="1">
        <v>1379.8</v>
      </c>
      <c r="W226" s="1">
        <f t="shared" si="31"/>
        <v>130.16981132075472</v>
      </c>
      <c r="X226" s="1">
        <f t="shared" si="37"/>
        <v>85868.60000000002</v>
      </c>
      <c r="Y226" s="1">
        <f t="shared" si="39"/>
        <v>30829.699999999993</v>
      </c>
      <c r="AA226" s="1">
        <v>11.4764084194862</v>
      </c>
      <c r="AB226" s="94" t="s">
        <v>64</v>
      </c>
      <c r="AD226" s="94" t="s">
        <v>65</v>
      </c>
    </row>
    <row r="227" spans="1:30" s="1" customFormat="1" x14ac:dyDescent="0.25">
      <c r="A227" s="82"/>
      <c r="B227" s="17"/>
      <c r="C227" s="3">
        <v>41708</v>
      </c>
      <c r="D227" s="1">
        <v>9.5</v>
      </c>
      <c r="E227" s="12">
        <v>1.9</v>
      </c>
      <c r="F227" s="1">
        <v>16.399999999999999</v>
      </c>
      <c r="G227" s="1">
        <f t="shared" si="34"/>
        <v>1558.1999999999998</v>
      </c>
      <c r="H227" s="1">
        <f t="shared" si="41"/>
        <v>523.70000000000005</v>
      </c>
      <c r="J227" s="92">
        <v>0</v>
      </c>
      <c r="K227" s="1">
        <f t="shared" si="35"/>
        <v>446.89999999999986</v>
      </c>
      <c r="L227" s="1">
        <v>2.2000000000000002</v>
      </c>
      <c r="M227" s="1">
        <f t="shared" si="36"/>
        <v>185.50000000000009</v>
      </c>
      <c r="N227" s="8">
        <f t="shared" si="32"/>
        <v>-2.2000000000000002</v>
      </c>
      <c r="O227" s="1">
        <f t="shared" si="42"/>
        <v>178.1</v>
      </c>
      <c r="P227" s="1">
        <v>188</v>
      </c>
      <c r="Q227" s="11">
        <f t="shared" si="40"/>
        <v>1.1135135135135135</v>
      </c>
      <c r="R227" s="9">
        <f t="shared" si="33"/>
        <v>2.44972972972973</v>
      </c>
      <c r="S227" s="9">
        <f t="shared" si="30"/>
        <v>-2.44972972972973</v>
      </c>
      <c r="T227" s="91">
        <f t="shared" si="38"/>
        <v>176.81959459459461</v>
      </c>
      <c r="V227" s="1">
        <v>1348.7</v>
      </c>
      <c r="W227" s="1">
        <f t="shared" si="31"/>
        <v>141.96842105263158</v>
      </c>
      <c r="X227" s="1">
        <f t="shared" si="37"/>
        <v>87217.300000000017</v>
      </c>
      <c r="Y227" s="1">
        <f t="shared" si="39"/>
        <v>32178.399999999994</v>
      </c>
      <c r="AA227" s="1">
        <v>11.5382932968443</v>
      </c>
      <c r="AB227" s="1">
        <v>0</v>
      </c>
      <c r="AD227" s="9">
        <f>(AB215*(40/90))+(AB229*(50/90))</f>
        <v>11.777777777777779</v>
      </c>
    </row>
    <row r="228" spans="1:30" s="1" customFormat="1" x14ac:dyDescent="0.25">
      <c r="A228" s="82"/>
      <c r="B228" s="17"/>
      <c r="C228" s="3">
        <v>41709</v>
      </c>
      <c r="D228" s="1">
        <v>9.1</v>
      </c>
      <c r="E228" s="1">
        <v>7.8</v>
      </c>
      <c r="F228" s="1">
        <v>10.9</v>
      </c>
      <c r="G228" s="1">
        <f t="shared" si="34"/>
        <v>1567.2999999999997</v>
      </c>
      <c r="H228" s="1">
        <f t="shared" si="41"/>
        <v>532.80000000000007</v>
      </c>
      <c r="J228" s="92">
        <v>0.1</v>
      </c>
      <c r="K228" s="1">
        <f t="shared" si="35"/>
        <v>446.99999999999989</v>
      </c>
      <c r="L228" s="1">
        <v>1.8</v>
      </c>
      <c r="M228" s="1">
        <f t="shared" si="36"/>
        <v>187.3000000000001</v>
      </c>
      <c r="N228" s="8">
        <f t="shared" si="32"/>
        <v>-1.7</v>
      </c>
      <c r="O228" s="1">
        <f t="shared" si="42"/>
        <v>176.4</v>
      </c>
      <c r="P228" s="1">
        <v>189</v>
      </c>
      <c r="Q228" s="11">
        <f t="shared" si="40"/>
        <v>1.1148648648648647</v>
      </c>
      <c r="R228" s="9">
        <f t="shared" si="33"/>
        <v>2.0067567567567566</v>
      </c>
      <c r="S228" s="9">
        <f t="shared" si="30"/>
        <v>-1.9067567567567565</v>
      </c>
      <c r="T228" s="91">
        <f t="shared" si="38"/>
        <v>174.91283783783786</v>
      </c>
      <c r="V228" s="1">
        <v>1279</v>
      </c>
      <c r="W228" s="1">
        <f t="shared" si="31"/>
        <v>140.54945054945057</v>
      </c>
      <c r="X228" s="1">
        <f t="shared" si="37"/>
        <v>88496.300000000017</v>
      </c>
      <c r="Y228" s="1">
        <f t="shared" si="39"/>
        <v>33457.399999999994</v>
      </c>
      <c r="AA228" s="1">
        <v>11.600227043145299</v>
      </c>
      <c r="AB228" s="94" t="s">
        <v>65</v>
      </c>
    </row>
    <row r="229" spans="1:30" s="1" customFormat="1" x14ac:dyDescent="0.25">
      <c r="A229" s="82"/>
      <c r="B229" s="17"/>
      <c r="C229" s="3">
        <v>41710</v>
      </c>
      <c r="D229" s="1">
        <v>8.8000000000000007</v>
      </c>
      <c r="E229" s="12">
        <v>2.8</v>
      </c>
      <c r="F229" s="1">
        <v>14.5</v>
      </c>
      <c r="G229" s="1">
        <f t="shared" si="34"/>
        <v>1576.0999999999997</v>
      </c>
      <c r="H229" s="1">
        <f t="shared" si="41"/>
        <v>541.6</v>
      </c>
      <c r="J229" s="92">
        <v>0</v>
      </c>
      <c r="K229" s="1">
        <f t="shared" si="35"/>
        <v>446.99999999999989</v>
      </c>
      <c r="L229" s="1">
        <v>2.1</v>
      </c>
      <c r="M229" s="1">
        <f t="shared" si="36"/>
        <v>189.40000000000009</v>
      </c>
      <c r="N229" s="8">
        <f t="shared" si="32"/>
        <v>-2.1</v>
      </c>
      <c r="O229" s="1">
        <f t="shared" si="42"/>
        <v>174.3</v>
      </c>
      <c r="P229" s="1">
        <v>190</v>
      </c>
      <c r="Q229" s="11">
        <f t="shared" si="40"/>
        <v>1.1162162162162161</v>
      </c>
      <c r="R229" s="9">
        <f t="shared" si="33"/>
        <v>2.344054054054054</v>
      </c>
      <c r="S229" s="9">
        <f t="shared" si="30"/>
        <v>-2.344054054054054</v>
      </c>
      <c r="T229" s="91">
        <f t="shared" si="38"/>
        <v>172.5687837837838</v>
      </c>
      <c r="V229" s="1">
        <v>1351.4</v>
      </c>
      <c r="W229" s="1">
        <f t="shared" si="31"/>
        <v>153.56818181818181</v>
      </c>
      <c r="X229" s="1">
        <f t="shared" si="37"/>
        <v>89847.700000000012</v>
      </c>
      <c r="Y229" s="1">
        <f t="shared" si="39"/>
        <v>34808.799999999996</v>
      </c>
      <c r="AA229" s="1">
        <v>11.6622026801018</v>
      </c>
      <c r="AB229" s="1">
        <f>SUM(J231:J240)</f>
        <v>8.8000000000000007</v>
      </c>
    </row>
    <row r="230" spans="1:30" s="87" customFormat="1" x14ac:dyDescent="0.25">
      <c r="A230" s="82"/>
      <c r="B230" s="85" t="s">
        <v>67</v>
      </c>
      <c r="C230" s="86">
        <v>41711</v>
      </c>
      <c r="D230" s="87">
        <v>8.6999999999999993</v>
      </c>
      <c r="E230" s="88">
        <v>2.2999999999999998</v>
      </c>
      <c r="F230" s="87">
        <v>15.2</v>
      </c>
      <c r="G230" s="87">
        <f t="shared" si="34"/>
        <v>1584.7999999999997</v>
      </c>
      <c r="H230" s="87">
        <f t="shared" si="41"/>
        <v>550.30000000000007</v>
      </c>
      <c r="J230" s="87">
        <v>0.1</v>
      </c>
      <c r="K230" s="87">
        <f t="shared" si="35"/>
        <v>447.09999999999991</v>
      </c>
      <c r="L230" s="87">
        <v>2.2000000000000002</v>
      </c>
      <c r="M230" s="87">
        <f t="shared" si="36"/>
        <v>191.60000000000008</v>
      </c>
      <c r="N230" s="88">
        <f t="shared" si="32"/>
        <v>-2.1</v>
      </c>
      <c r="O230" s="87">
        <f t="shared" si="42"/>
        <v>172.20000000000002</v>
      </c>
      <c r="P230" s="87">
        <v>191</v>
      </c>
      <c r="Q230" s="89">
        <f t="shared" si="40"/>
        <v>1.1175675675675676</v>
      </c>
      <c r="R230" s="90">
        <f t="shared" si="33"/>
        <v>2.4586486486486487</v>
      </c>
      <c r="S230" s="90">
        <f t="shared" si="30"/>
        <v>-2.3586486486486486</v>
      </c>
      <c r="T230" s="90">
        <f t="shared" si="38"/>
        <v>170.21013513513515</v>
      </c>
      <c r="V230" s="87">
        <v>1468.8</v>
      </c>
      <c r="W230" s="87">
        <f t="shared" si="31"/>
        <v>168.82758620689657</v>
      </c>
      <c r="X230" s="87">
        <f t="shared" si="37"/>
        <v>91316.500000000015</v>
      </c>
      <c r="Y230" s="87">
        <f t="shared" si="39"/>
        <v>36277.599999999999</v>
      </c>
      <c r="AA230" s="87">
        <v>11.724213432125801</v>
      </c>
    </row>
    <row r="231" spans="1:30" s="1" customFormat="1" x14ac:dyDescent="0.25">
      <c r="A231" s="82"/>
      <c r="B231" s="17"/>
      <c r="C231" s="3">
        <v>41712</v>
      </c>
      <c r="D231" s="1">
        <v>7.6</v>
      </c>
      <c r="E231" s="12">
        <v>3</v>
      </c>
      <c r="F231" s="1">
        <v>10.6</v>
      </c>
      <c r="G231" s="1">
        <f t="shared" si="34"/>
        <v>1592.3999999999996</v>
      </c>
      <c r="H231" s="1">
        <f t="shared" si="41"/>
        <v>557.90000000000009</v>
      </c>
      <c r="J231" s="92">
        <v>0.1</v>
      </c>
      <c r="K231" s="1">
        <f t="shared" si="35"/>
        <v>447.19999999999993</v>
      </c>
      <c r="L231" s="1">
        <v>1.2</v>
      </c>
      <c r="M231" s="1">
        <f t="shared" si="36"/>
        <v>192.80000000000007</v>
      </c>
      <c r="N231" s="8">
        <f t="shared" si="32"/>
        <v>-1.0999999999999999</v>
      </c>
      <c r="O231" s="1">
        <f t="shared" si="42"/>
        <v>171.10000000000002</v>
      </c>
      <c r="P231" s="1">
        <v>192</v>
      </c>
      <c r="Q231" s="11">
        <f t="shared" si="40"/>
        <v>1.1189189189189188</v>
      </c>
      <c r="R231" s="9">
        <f t="shared" si="33"/>
        <v>1.3427027027027025</v>
      </c>
      <c r="S231" s="9">
        <f t="shared" si="30"/>
        <v>-1.2427027027027024</v>
      </c>
      <c r="T231" s="91">
        <f t="shared" si="38"/>
        <v>168.96743243243245</v>
      </c>
      <c r="V231" s="1">
        <v>994</v>
      </c>
      <c r="W231" s="1">
        <f t="shared" si="31"/>
        <v>130.78947368421052</v>
      </c>
      <c r="X231" s="1">
        <f t="shared" si="37"/>
        <v>92310.500000000015</v>
      </c>
      <c r="Y231" s="1">
        <f t="shared" si="39"/>
        <v>37271.599999999999</v>
      </c>
      <c r="AA231" s="1">
        <v>11.7862527066358</v>
      </c>
    </row>
    <row r="232" spans="1:30" s="1" customFormat="1" x14ac:dyDescent="0.25">
      <c r="A232" s="82"/>
      <c r="B232" s="17"/>
      <c r="C232" s="3">
        <v>41713</v>
      </c>
      <c r="D232" s="1">
        <v>9.5</v>
      </c>
      <c r="E232" s="1">
        <v>6.9</v>
      </c>
      <c r="F232" s="1">
        <v>11.7</v>
      </c>
      <c r="G232" s="1">
        <f t="shared" si="34"/>
        <v>1601.8999999999996</v>
      </c>
      <c r="H232" s="1">
        <f t="shared" si="41"/>
        <v>567.40000000000009</v>
      </c>
      <c r="J232" s="92">
        <v>0</v>
      </c>
      <c r="K232" s="1">
        <f t="shared" si="35"/>
        <v>447.19999999999993</v>
      </c>
      <c r="L232" s="1">
        <v>1.3</v>
      </c>
      <c r="M232" s="1">
        <f t="shared" si="36"/>
        <v>194.10000000000008</v>
      </c>
      <c r="N232" s="8">
        <f t="shared" si="32"/>
        <v>-1.3</v>
      </c>
      <c r="O232" s="1">
        <f t="shared" si="42"/>
        <v>169.8</v>
      </c>
      <c r="P232" s="1">
        <v>193</v>
      </c>
      <c r="Q232" s="11">
        <f t="shared" si="40"/>
        <v>1.1202702702702703</v>
      </c>
      <c r="R232" s="9">
        <f t="shared" si="33"/>
        <v>1.4563513513513513</v>
      </c>
      <c r="S232" s="9">
        <f t="shared" ref="S232:S295" si="43">J232-R232</f>
        <v>-1.4563513513513513</v>
      </c>
      <c r="T232" s="91">
        <f t="shared" si="38"/>
        <v>167.5110810810811</v>
      </c>
      <c r="V232" s="10">
        <v>749.8</v>
      </c>
      <c r="W232" s="1">
        <f t="shared" ref="W232:W295" si="44">V232/D232</f>
        <v>78.926315789473676</v>
      </c>
      <c r="X232" s="1">
        <f t="shared" si="37"/>
        <v>93060.300000000017</v>
      </c>
      <c r="Y232" s="1">
        <f t="shared" si="39"/>
        <v>38021.4</v>
      </c>
      <c r="AA232" s="1">
        <v>11.8483140744981</v>
      </c>
    </row>
    <row r="233" spans="1:30" s="1" customFormat="1" x14ac:dyDescent="0.25">
      <c r="A233" s="82"/>
      <c r="B233" s="17"/>
      <c r="C233" s="3">
        <v>41714</v>
      </c>
      <c r="D233" s="1">
        <v>9.6999999999999993</v>
      </c>
      <c r="E233" s="1">
        <v>5.9</v>
      </c>
      <c r="F233" s="1">
        <v>14.7</v>
      </c>
      <c r="G233" s="1">
        <f t="shared" si="34"/>
        <v>1611.5999999999997</v>
      </c>
      <c r="H233" s="1">
        <f t="shared" si="41"/>
        <v>577.10000000000014</v>
      </c>
      <c r="J233" s="92">
        <v>0</v>
      </c>
      <c r="K233" s="1">
        <f t="shared" si="35"/>
        <v>447.19999999999993</v>
      </c>
      <c r="L233" s="1">
        <v>1.7</v>
      </c>
      <c r="M233" s="1">
        <f t="shared" si="36"/>
        <v>195.80000000000007</v>
      </c>
      <c r="N233" s="8">
        <f t="shared" ref="N233:N296" si="45">J233-L233</f>
        <v>-1.7</v>
      </c>
      <c r="O233" s="1">
        <f t="shared" si="42"/>
        <v>168.10000000000002</v>
      </c>
      <c r="P233" s="1">
        <v>194</v>
      </c>
      <c r="Q233" s="11">
        <f t="shared" si="40"/>
        <v>1.1216216216216215</v>
      </c>
      <c r="R233" s="9">
        <f t="shared" ref="R233:R296" si="46">Q233*L233</f>
        <v>1.9067567567567565</v>
      </c>
      <c r="S233" s="9">
        <f t="shared" si="43"/>
        <v>-1.9067567567567565</v>
      </c>
      <c r="T233" s="91">
        <f t="shared" si="38"/>
        <v>165.60432432432435</v>
      </c>
      <c r="V233" s="1">
        <v>1047.0999999999999</v>
      </c>
      <c r="W233" s="1">
        <f t="shared" si="44"/>
        <v>107.94845360824742</v>
      </c>
      <c r="X233" s="1">
        <f t="shared" si="37"/>
        <v>94107.400000000023</v>
      </c>
      <c r="Y233" s="1">
        <f t="shared" si="39"/>
        <v>39068.5</v>
      </c>
      <c r="AA233" s="1">
        <v>11.910391250604199</v>
      </c>
    </row>
    <row r="234" spans="1:30" s="1" customFormat="1" x14ac:dyDescent="0.25">
      <c r="A234" s="82"/>
      <c r="B234" s="17"/>
      <c r="C234" s="3">
        <v>41715</v>
      </c>
      <c r="D234" s="1">
        <v>8.6999999999999993</v>
      </c>
      <c r="E234" s="1">
        <v>6.4</v>
      </c>
      <c r="F234" s="1">
        <v>9.6999999999999993</v>
      </c>
      <c r="G234" s="1">
        <f t="shared" ref="G234:G297" si="47">G233+D234</f>
        <v>1620.2999999999997</v>
      </c>
      <c r="H234" s="1">
        <f t="shared" si="41"/>
        <v>585.80000000000018</v>
      </c>
      <c r="J234" s="92">
        <v>0.3</v>
      </c>
      <c r="K234" s="1">
        <f t="shared" ref="K234:K297" si="48">K233+J234</f>
        <v>447.49999999999994</v>
      </c>
      <c r="L234" s="1">
        <v>0.4</v>
      </c>
      <c r="M234" s="1">
        <f t="shared" ref="M234:M297" si="49">M233+L234</f>
        <v>196.20000000000007</v>
      </c>
      <c r="N234" s="8">
        <f t="shared" si="45"/>
        <v>-0.10000000000000003</v>
      </c>
      <c r="O234" s="1">
        <f t="shared" si="42"/>
        <v>168.00000000000003</v>
      </c>
      <c r="P234" s="1">
        <v>195</v>
      </c>
      <c r="Q234" s="11">
        <f t="shared" si="40"/>
        <v>1.1229729729729729</v>
      </c>
      <c r="R234" s="9">
        <f t="shared" si="46"/>
        <v>0.44918918918918921</v>
      </c>
      <c r="S234" s="9">
        <f t="shared" si="43"/>
        <v>-0.14918918918918922</v>
      </c>
      <c r="T234" s="91">
        <f t="shared" si="38"/>
        <v>165.45513513513515</v>
      </c>
      <c r="V234" s="10">
        <v>421.9</v>
      </c>
      <c r="W234" s="1">
        <f t="shared" si="44"/>
        <v>48.494252873563219</v>
      </c>
      <c r="X234" s="1">
        <f t="shared" ref="X234:X297" si="50">X233+V234</f>
        <v>94529.300000000017</v>
      </c>
      <c r="Y234" s="1">
        <f t="shared" si="39"/>
        <v>39490.400000000001</v>
      </c>
      <c r="AA234" s="1">
        <v>11.972478074581099</v>
      </c>
    </row>
    <row r="235" spans="1:30" s="1" customFormat="1" x14ac:dyDescent="0.25">
      <c r="A235" s="82"/>
      <c r="B235" s="17"/>
      <c r="C235" s="3">
        <v>41716</v>
      </c>
      <c r="D235" s="1">
        <v>8.9</v>
      </c>
      <c r="E235" s="1">
        <v>7.8</v>
      </c>
      <c r="F235" s="1">
        <v>10.1</v>
      </c>
      <c r="G235" s="1">
        <f t="shared" si="47"/>
        <v>1629.1999999999998</v>
      </c>
      <c r="H235" s="1">
        <f t="shared" si="41"/>
        <v>594.70000000000016</v>
      </c>
      <c r="J235" s="92">
        <v>0.1</v>
      </c>
      <c r="K235" s="1">
        <f t="shared" si="48"/>
        <v>447.59999999999997</v>
      </c>
      <c r="L235" s="1">
        <v>0.9</v>
      </c>
      <c r="M235" s="1">
        <f t="shared" si="49"/>
        <v>197.10000000000008</v>
      </c>
      <c r="N235" s="8">
        <f t="shared" si="45"/>
        <v>-0.8</v>
      </c>
      <c r="O235" s="1">
        <f t="shared" si="42"/>
        <v>167.20000000000002</v>
      </c>
      <c r="P235" s="1">
        <v>196</v>
      </c>
      <c r="Q235" s="11">
        <f t="shared" si="40"/>
        <v>1.1243243243243242</v>
      </c>
      <c r="R235" s="9">
        <f t="shared" si="46"/>
        <v>1.0118918918918918</v>
      </c>
      <c r="S235" s="9">
        <f t="shared" si="43"/>
        <v>-0.91189189189189179</v>
      </c>
      <c r="T235" s="91">
        <f t="shared" ref="T235:T298" si="51">MIN(189.6,(T234+S235))</f>
        <v>164.54324324324327</v>
      </c>
      <c r="V235" s="10">
        <v>425.4</v>
      </c>
      <c r="W235" s="1">
        <f t="shared" si="44"/>
        <v>47.797752808988761</v>
      </c>
      <c r="X235" s="1">
        <f t="shared" si="50"/>
        <v>94954.700000000012</v>
      </c>
      <c r="Y235" s="1">
        <f t="shared" si="39"/>
        <v>39915.800000000003</v>
      </c>
      <c r="AA235" s="1">
        <v>12.0345684916335</v>
      </c>
    </row>
    <row r="236" spans="1:30" s="1" customFormat="1" x14ac:dyDescent="0.25">
      <c r="A236" s="82"/>
      <c r="B236" s="17"/>
      <c r="C236" s="3">
        <v>41717</v>
      </c>
      <c r="D236" s="1">
        <v>9.1</v>
      </c>
      <c r="E236" s="1">
        <v>5.4</v>
      </c>
      <c r="F236" s="1">
        <v>13.4</v>
      </c>
      <c r="G236" s="1">
        <f t="shared" si="47"/>
        <v>1638.2999999999997</v>
      </c>
      <c r="H236" s="1">
        <f t="shared" si="41"/>
        <v>603.80000000000018</v>
      </c>
      <c r="J236" s="92">
        <v>0</v>
      </c>
      <c r="K236" s="1">
        <f t="shared" si="48"/>
        <v>447.59999999999997</v>
      </c>
      <c r="L236" s="1">
        <v>1.9</v>
      </c>
      <c r="M236" s="1">
        <f t="shared" si="49"/>
        <v>199.00000000000009</v>
      </c>
      <c r="N236" s="8">
        <f t="shared" si="45"/>
        <v>-1.9</v>
      </c>
      <c r="O236" s="1">
        <f t="shared" si="42"/>
        <v>165.3</v>
      </c>
      <c r="P236" s="1">
        <v>197</v>
      </c>
      <c r="Q236" s="11">
        <f t="shared" si="40"/>
        <v>1.1256756756756756</v>
      </c>
      <c r="R236" s="9">
        <f t="shared" si="46"/>
        <v>2.1387837837837838</v>
      </c>
      <c r="S236" s="9">
        <f t="shared" si="43"/>
        <v>-2.1387837837837838</v>
      </c>
      <c r="T236" s="91">
        <f t="shared" si="51"/>
        <v>162.40445945945947</v>
      </c>
      <c r="V236" s="1">
        <v>1305.0999999999999</v>
      </c>
      <c r="W236" s="1">
        <f t="shared" si="44"/>
        <v>143.41758241758242</v>
      </c>
      <c r="X236" s="1">
        <f t="shared" si="50"/>
        <v>96259.800000000017</v>
      </c>
      <c r="Y236" s="1">
        <f t="shared" si="39"/>
        <v>41220.9</v>
      </c>
      <c r="AA236" s="1">
        <v>12.0966565335137</v>
      </c>
    </row>
    <row r="237" spans="1:30" s="1" customFormat="1" x14ac:dyDescent="0.25">
      <c r="A237" s="82"/>
      <c r="B237" s="17"/>
      <c r="C237" s="3">
        <v>41718</v>
      </c>
      <c r="D237" s="1">
        <v>11.6</v>
      </c>
      <c r="E237" s="12">
        <v>4.8</v>
      </c>
      <c r="F237" s="1">
        <v>17.2</v>
      </c>
      <c r="G237" s="1">
        <f t="shared" si="47"/>
        <v>1649.8999999999996</v>
      </c>
      <c r="H237" s="1">
        <f t="shared" si="41"/>
        <v>615.4000000000002</v>
      </c>
      <c r="J237" s="92">
        <v>1.4</v>
      </c>
      <c r="K237" s="1">
        <f t="shared" si="48"/>
        <v>448.99999999999994</v>
      </c>
      <c r="L237" s="1">
        <v>2.6</v>
      </c>
      <c r="M237" s="1">
        <f t="shared" si="49"/>
        <v>201.60000000000008</v>
      </c>
      <c r="N237" s="8">
        <f t="shared" si="45"/>
        <v>-1.2000000000000002</v>
      </c>
      <c r="O237" s="1">
        <f t="shared" si="42"/>
        <v>164.10000000000002</v>
      </c>
      <c r="P237" s="1">
        <v>198</v>
      </c>
      <c r="Q237" s="11">
        <f t="shared" si="40"/>
        <v>1.1270270270270268</v>
      </c>
      <c r="R237" s="9">
        <f t="shared" si="46"/>
        <v>2.9302702702702699</v>
      </c>
      <c r="S237" s="9">
        <f t="shared" si="43"/>
        <v>-1.53027027027027</v>
      </c>
      <c r="T237" s="91">
        <f t="shared" si="51"/>
        <v>160.8741891891892</v>
      </c>
      <c r="V237" s="1">
        <v>1470.2</v>
      </c>
      <c r="W237" s="1">
        <f t="shared" si="44"/>
        <v>126.74137931034484</v>
      </c>
      <c r="X237" s="1">
        <f t="shared" si="50"/>
        <v>97730.000000000015</v>
      </c>
      <c r="Y237" s="1">
        <f t="shared" si="39"/>
        <v>42691.1</v>
      </c>
      <c r="AA237" s="1">
        <v>12.1587362996137</v>
      </c>
    </row>
    <row r="238" spans="1:30" s="1" customFormat="1" x14ac:dyDescent="0.25">
      <c r="A238" s="82"/>
      <c r="B238" s="17"/>
      <c r="C238" s="3">
        <v>41719</v>
      </c>
      <c r="D238" s="1">
        <v>8.8000000000000007</v>
      </c>
      <c r="E238" s="1">
        <v>7.8</v>
      </c>
      <c r="F238" s="1">
        <v>10.4</v>
      </c>
      <c r="G238" s="1">
        <f t="shared" si="47"/>
        <v>1658.6999999999996</v>
      </c>
      <c r="H238" s="1">
        <f t="shared" si="41"/>
        <v>624.20000000000016</v>
      </c>
      <c r="J238" s="92">
        <v>3.1</v>
      </c>
      <c r="K238" s="1">
        <f t="shared" si="48"/>
        <v>452.09999999999997</v>
      </c>
      <c r="L238" s="1">
        <v>1.4</v>
      </c>
      <c r="M238" s="1">
        <f t="shared" si="49"/>
        <v>203.00000000000009</v>
      </c>
      <c r="N238" s="1">
        <f t="shared" si="45"/>
        <v>1.7000000000000002</v>
      </c>
      <c r="O238" s="1">
        <f t="shared" si="42"/>
        <v>165.8</v>
      </c>
      <c r="P238" s="1">
        <v>199</v>
      </c>
      <c r="Q238" s="11">
        <f t="shared" si="40"/>
        <v>1.1283783783783783</v>
      </c>
      <c r="R238" s="9">
        <f t="shared" si="46"/>
        <v>1.5797297297297295</v>
      </c>
      <c r="S238" s="9">
        <f t="shared" si="43"/>
        <v>1.5202702702702706</v>
      </c>
      <c r="T238" s="91">
        <f t="shared" si="51"/>
        <v>162.39445945945945</v>
      </c>
      <c r="V238" s="10">
        <v>751.3</v>
      </c>
      <c r="W238" s="1">
        <f t="shared" si="44"/>
        <v>85.374999999999986</v>
      </c>
      <c r="X238" s="1">
        <f t="shared" si="50"/>
        <v>98481.300000000017</v>
      </c>
      <c r="Y238" s="1">
        <f t="shared" si="39"/>
        <v>43442.400000000001</v>
      </c>
      <c r="AA238" s="1">
        <v>12.220801938175301</v>
      </c>
    </row>
    <row r="239" spans="1:30" s="1" customFormat="1" x14ac:dyDescent="0.25">
      <c r="A239" s="82"/>
      <c r="B239" s="17"/>
      <c r="C239" s="3">
        <v>41720</v>
      </c>
      <c r="D239" s="1">
        <v>6.4</v>
      </c>
      <c r="E239" s="1">
        <v>5.3</v>
      </c>
      <c r="F239" s="1">
        <v>9.6999999999999993</v>
      </c>
      <c r="G239" s="1">
        <f t="shared" si="47"/>
        <v>1665.0999999999997</v>
      </c>
      <c r="H239" s="1">
        <f t="shared" si="41"/>
        <v>630.60000000000014</v>
      </c>
      <c r="J239" s="92">
        <v>2.2999999999999998</v>
      </c>
      <c r="K239" s="1">
        <f t="shared" si="48"/>
        <v>454.4</v>
      </c>
      <c r="L239" s="1">
        <v>1.5</v>
      </c>
      <c r="M239" s="1">
        <f t="shared" si="49"/>
        <v>204.50000000000009</v>
      </c>
      <c r="N239" s="1">
        <f t="shared" si="45"/>
        <v>0.79999999999999982</v>
      </c>
      <c r="O239" s="1">
        <f t="shared" si="42"/>
        <v>166.60000000000002</v>
      </c>
      <c r="P239" s="1">
        <v>200</v>
      </c>
      <c r="Q239" s="11">
        <f t="shared" si="40"/>
        <v>1.1297297297297297</v>
      </c>
      <c r="R239" s="9">
        <f t="shared" si="46"/>
        <v>1.6945945945945946</v>
      </c>
      <c r="S239" s="9">
        <f t="shared" si="43"/>
        <v>0.60540540540540522</v>
      </c>
      <c r="T239" s="91">
        <f t="shared" si="51"/>
        <v>162.99986486486486</v>
      </c>
      <c r="V239" s="10">
        <v>835.9</v>
      </c>
      <c r="W239" s="1">
        <f t="shared" si="44"/>
        <v>130.609375</v>
      </c>
      <c r="X239" s="1">
        <f t="shared" si="50"/>
        <v>99317.200000000012</v>
      </c>
      <c r="Y239" s="1">
        <f t="shared" si="39"/>
        <v>44278.3</v>
      </c>
      <c r="AA239" s="1">
        <v>12.282847627611901</v>
      </c>
    </row>
    <row r="240" spans="1:30" s="1" customFormat="1" x14ac:dyDescent="0.25">
      <c r="A240" s="82"/>
      <c r="B240" s="17"/>
      <c r="C240" s="3">
        <v>41721</v>
      </c>
      <c r="D240" s="1">
        <v>5.0999999999999996</v>
      </c>
      <c r="E240" s="12">
        <v>3.1</v>
      </c>
      <c r="F240" s="1">
        <v>7.8</v>
      </c>
      <c r="G240" s="1">
        <f t="shared" si="47"/>
        <v>1670.1999999999996</v>
      </c>
      <c r="H240" s="1">
        <f t="shared" si="41"/>
        <v>635.70000000000016</v>
      </c>
      <c r="J240" s="92">
        <v>1.5</v>
      </c>
      <c r="K240" s="1">
        <f t="shared" si="48"/>
        <v>455.9</v>
      </c>
      <c r="L240" s="1">
        <v>1.5</v>
      </c>
      <c r="M240" s="1">
        <f t="shared" si="49"/>
        <v>206.00000000000009</v>
      </c>
      <c r="N240" s="1">
        <f t="shared" si="45"/>
        <v>0</v>
      </c>
      <c r="O240" s="1">
        <f t="shared" si="42"/>
        <v>166.60000000000002</v>
      </c>
      <c r="P240" s="1">
        <v>201</v>
      </c>
      <c r="Q240" s="11">
        <f t="shared" si="40"/>
        <v>1.131081081081081</v>
      </c>
      <c r="R240" s="9">
        <f t="shared" si="46"/>
        <v>1.6966216216216214</v>
      </c>
      <c r="S240" s="9">
        <f t="shared" si="43"/>
        <v>-0.19662162162162145</v>
      </c>
      <c r="T240" s="91">
        <f t="shared" si="51"/>
        <v>162.80324324324323</v>
      </c>
      <c r="V240" s="1">
        <v>1165.9000000000001</v>
      </c>
      <c r="W240" s="1">
        <f t="shared" si="44"/>
        <v>228.60784313725495</v>
      </c>
      <c r="X240" s="1">
        <f t="shared" si="50"/>
        <v>100483.1</v>
      </c>
      <c r="Y240" s="1">
        <f t="shared" si="39"/>
        <v>45444.200000000004</v>
      </c>
      <c r="AA240" s="1">
        <v>12.344867557934901</v>
      </c>
    </row>
    <row r="241" spans="1:27" s="1" customFormat="1" x14ac:dyDescent="0.25">
      <c r="A241" s="82"/>
      <c r="B241" s="17"/>
      <c r="C241" s="3">
        <v>41722</v>
      </c>
      <c r="D241" s="1">
        <v>5.5</v>
      </c>
      <c r="E241" s="12">
        <v>0.9</v>
      </c>
      <c r="F241" s="1">
        <v>9.8000000000000007</v>
      </c>
      <c r="G241" s="1">
        <f t="shared" si="47"/>
        <v>1675.6999999999996</v>
      </c>
      <c r="H241" s="1">
        <f t="shared" si="41"/>
        <v>641.20000000000016</v>
      </c>
      <c r="J241" s="1">
        <v>0</v>
      </c>
      <c r="K241" s="1">
        <f t="shared" si="48"/>
        <v>455.9</v>
      </c>
      <c r="L241" s="1">
        <v>1.3</v>
      </c>
      <c r="M241" s="1">
        <f t="shared" si="49"/>
        <v>207.3000000000001</v>
      </c>
      <c r="N241" s="8">
        <f t="shared" si="45"/>
        <v>-1.3</v>
      </c>
      <c r="O241" s="1">
        <f t="shared" si="42"/>
        <v>165.3</v>
      </c>
      <c r="P241" s="1">
        <v>202</v>
      </c>
      <c r="Q241" s="11">
        <f t="shared" si="40"/>
        <v>1.1324324324324324</v>
      </c>
      <c r="R241" s="9">
        <f t="shared" si="46"/>
        <v>1.4721621621621621</v>
      </c>
      <c r="S241" s="9">
        <f t="shared" si="43"/>
        <v>-1.4721621621621621</v>
      </c>
      <c r="T241" s="9">
        <f t="shared" si="51"/>
        <v>161.33108108108107</v>
      </c>
      <c r="V241" s="1">
        <v>1022</v>
      </c>
      <c r="W241" s="1">
        <f t="shared" si="44"/>
        <v>185.81818181818181</v>
      </c>
      <c r="X241" s="1">
        <f t="shared" si="50"/>
        <v>101505.1</v>
      </c>
      <c r="Y241" s="1">
        <f t="shared" si="39"/>
        <v>46466.200000000004</v>
      </c>
      <c r="AA241" s="1">
        <v>12.406855912279701</v>
      </c>
    </row>
    <row r="242" spans="1:27" s="1" customFormat="1" x14ac:dyDescent="0.25">
      <c r="A242" s="82"/>
      <c r="B242" s="17"/>
      <c r="C242" s="3">
        <v>41723</v>
      </c>
      <c r="D242" s="1">
        <v>5.0999999999999996</v>
      </c>
      <c r="E242" s="12">
        <v>2.6</v>
      </c>
      <c r="F242" s="1">
        <v>8</v>
      </c>
      <c r="G242" s="1">
        <f t="shared" si="47"/>
        <v>1680.7999999999995</v>
      </c>
      <c r="H242" s="1">
        <f t="shared" si="41"/>
        <v>646.30000000000018</v>
      </c>
      <c r="J242" s="1">
        <v>0</v>
      </c>
      <c r="K242" s="1">
        <f t="shared" si="48"/>
        <v>455.9</v>
      </c>
      <c r="L242" s="1">
        <v>0.9</v>
      </c>
      <c r="M242" s="1">
        <f t="shared" si="49"/>
        <v>208.2000000000001</v>
      </c>
      <c r="N242" s="8">
        <f t="shared" si="45"/>
        <v>-0.9</v>
      </c>
      <c r="O242" s="1">
        <f t="shared" si="42"/>
        <v>164.4</v>
      </c>
      <c r="P242" s="1">
        <v>203</v>
      </c>
      <c r="Q242" s="11">
        <f t="shared" si="40"/>
        <v>1.1337837837837836</v>
      </c>
      <c r="R242" s="9">
        <f t="shared" si="46"/>
        <v>1.0204054054054053</v>
      </c>
      <c r="S242" s="9">
        <f t="shared" si="43"/>
        <v>-1.0204054054054053</v>
      </c>
      <c r="T242" s="9">
        <f t="shared" si="51"/>
        <v>160.31067567567567</v>
      </c>
      <c r="V242" s="10">
        <v>671</v>
      </c>
      <c r="W242" s="1">
        <f t="shared" si="44"/>
        <v>131.56862745098042</v>
      </c>
      <c r="X242" s="1">
        <f t="shared" si="50"/>
        <v>102176.1</v>
      </c>
      <c r="Y242" s="1">
        <f t="shared" si="39"/>
        <v>47137.200000000004</v>
      </c>
      <c r="AA242" s="1">
        <v>12.4688068485226</v>
      </c>
    </row>
    <row r="243" spans="1:27" s="1" customFormat="1" x14ac:dyDescent="0.25">
      <c r="A243" s="82"/>
      <c r="B243" s="17"/>
      <c r="C243" s="3">
        <v>41724</v>
      </c>
      <c r="D243" s="12">
        <v>4.7</v>
      </c>
      <c r="E243" s="12">
        <v>1</v>
      </c>
      <c r="F243" s="1">
        <v>9.8000000000000007</v>
      </c>
      <c r="G243" s="1">
        <f t="shared" si="47"/>
        <v>1685.4999999999995</v>
      </c>
      <c r="H243" s="1">
        <f t="shared" si="41"/>
        <v>651.00000000000023</v>
      </c>
      <c r="J243" s="1">
        <v>0</v>
      </c>
      <c r="K243" s="1">
        <f t="shared" si="48"/>
        <v>455.9</v>
      </c>
      <c r="L243" s="1">
        <v>1.8</v>
      </c>
      <c r="M243" s="1">
        <f t="shared" si="49"/>
        <v>210.00000000000011</v>
      </c>
      <c r="N243" s="8">
        <f t="shared" si="45"/>
        <v>-1.8</v>
      </c>
      <c r="O243" s="1">
        <f t="shared" si="42"/>
        <v>162.6</v>
      </c>
      <c r="P243" s="1">
        <v>204</v>
      </c>
      <c r="Q243" s="11">
        <f t="shared" si="40"/>
        <v>1.1351351351351351</v>
      </c>
      <c r="R243" s="9">
        <f t="shared" si="46"/>
        <v>2.0432432432432432</v>
      </c>
      <c r="S243" s="9">
        <f t="shared" si="43"/>
        <v>-2.0432432432432432</v>
      </c>
      <c r="T243" s="9">
        <f t="shared" si="51"/>
        <v>158.26743243243243</v>
      </c>
      <c r="V243" s="1">
        <v>1328.8</v>
      </c>
      <c r="W243" s="1">
        <f t="shared" si="44"/>
        <v>282.72340425531911</v>
      </c>
      <c r="X243" s="1">
        <f t="shared" si="50"/>
        <v>103504.90000000001</v>
      </c>
      <c r="Y243" s="1">
        <f t="shared" ref="Y243:Y306" si="52">Y242+V243</f>
        <v>48466.000000000007</v>
      </c>
      <c r="AA243" s="1">
        <v>12.5307144809848</v>
      </c>
    </row>
    <row r="244" spans="1:27" s="1" customFormat="1" x14ac:dyDescent="0.25">
      <c r="A244" s="82"/>
      <c r="B244" s="17"/>
      <c r="C244" s="3">
        <v>41725</v>
      </c>
      <c r="D244" s="12">
        <v>4.8</v>
      </c>
      <c r="E244" s="13">
        <v>-1.5</v>
      </c>
      <c r="F244" s="1">
        <v>10.6</v>
      </c>
      <c r="G244" s="1">
        <f t="shared" si="47"/>
        <v>1690.2999999999995</v>
      </c>
      <c r="H244" s="1">
        <f t="shared" si="41"/>
        <v>655.80000000000018</v>
      </c>
      <c r="J244" s="1">
        <v>0</v>
      </c>
      <c r="K244" s="1">
        <f t="shared" si="48"/>
        <v>455.9</v>
      </c>
      <c r="L244" s="1">
        <v>1.4</v>
      </c>
      <c r="M244" s="1">
        <f t="shared" si="49"/>
        <v>211.40000000000012</v>
      </c>
      <c r="N244" s="8">
        <f t="shared" si="45"/>
        <v>-1.4</v>
      </c>
      <c r="O244" s="1">
        <f t="shared" si="42"/>
        <v>161.19999999999999</v>
      </c>
      <c r="P244" s="1">
        <v>205</v>
      </c>
      <c r="Q244" s="11">
        <f t="shared" si="40"/>
        <v>1.1364864864864863</v>
      </c>
      <c r="R244" s="9">
        <f t="shared" si="46"/>
        <v>1.5910810810810807</v>
      </c>
      <c r="S244" s="9">
        <f t="shared" si="43"/>
        <v>-1.5910810810810807</v>
      </c>
      <c r="T244" s="9">
        <f t="shared" si="51"/>
        <v>156.67635135135134</v>
      </c>
      <c r="V244" s="1">
        <v>1209.7</v>
      </c>
      <c r="W244" s="1">
        <f t="shared" si="44"/>
        <v>252.02083333333334</v>
      </c>
      <c r="X244" s="1">
        <f t="shared" si="50"/>
        <v>104714.6</v>
      </c>
      <c r="Y244" s="1">
        <f t="shared" si="52"/>
        <v>49675.700000000004</v>
      </c>
      <c r="AA244" s="1">
        <v>12.5925728622148</v>
      </c>
    </row>
    <row r="245" spans="1:27" s="1" customFormat="1" x14ac:dyDescent="0.25">
      <c r="A245" s="82"/>
      <c r="B245" s="17"/>
      <c r="C245" s="3">
        <v>41726</v>
      </c>
      <c r="D245" s="1">
        <v>6.9</v>
      </c>
      <c r="E245" s="13">
        <v>-0.6</v>
      </c>
      <c r="F245" s="1">
        <v>13.7</v>
      </c>
      <c r="G245" s="1">
        <f t="shared" si="47"/>
        <v>1697.1999999999996</v>
      </c>
      <c r="H245" s="1">
        <f t="shared" si="41"/>
        <v>662.70000000000016</v>
      </c>
      <c r="J245" s="1">
        <v>0</v>
      </c>
      <c r="K245" s="1">
        <f t="shared" si="48"/>
        <v>455.9</v>
      </c>
      <c r="L245" s="1">
        <v>1.8</v>
      </c>
      <c r="M245" s="1">
        <f t="shared" si="49"/>
        <v>213.20000000000013</v>
      </c>
      <c r="N245" s="8">
        <f t="shared" si="45"/>
        <v>-1.8</v>
      </c>
      <c r="O245" s="1">
        <f t="shared" si="42"/>
        <v>159.39999999999998</v>
      </c>
      <c r="P245" s="1">
        <v>206</v>
      </c>
      <c r="Q245" s="11">
        <f t="shared" si="40"/>
        <v>1.1378378378378378</v>
      </c>
      <c r="R245" s="9">
        <f t="shared" si="46"/>
        <v>2.0481081081081078</v>
      </c>
      <c r="S245" s="9">
        <f t="shared" si="43"/>
        <v>-2.0481081081081078</v>
      </c>
      <c r="T245" s="9">
        <f t="shared" si="51"/>
        <v>154.62824324324325</v>
      </c>
      <c r="V245" s="1">
        <v>1218.7</v>
      </c>
      <c r="W245" s="1">
        <f t="shared" si="44"/>
        <v>176.62318840579709</v>
      </c>
      <c r="X245" s="1">
        <f t="shared" si="50"/>
        <v>105933.3</v>
      </c>
      <c r="Y245" s="1">
        <f t="shared" si="52"/>
        <v>50894.400000000001</v>
      </c>
      <c r="AA245" s="1">
        <v>12.6543759648451</v>
      </c>
    </row>
    <row r="246" spans="1:27" s="1" customFormat="1" x14ac:dyDescent="0.25">
      <c r="A246" s="82"/>
      <c r="B246" s="17"/>
      <c r="C246" s="3">
        <v>41727</v>
      </c>
      <c r="D246" s="1">
        <v>11</v>
      </c>
      <c r="E246" s="12">
        <v>3.4</v>
      </c>
      <c r="F246" s="1">
        <v>17.899999999999999</v>
      </c>
      <c r="G246" s="1">
        <f t="shared" si="47"/>
        <v>1708.1999999999996</v>
      </c>
      <c r="H246" s="1">
        <f t="shared" si="41"/>
        <v>673.70000000000016</v>
      </c>
      <c r="J246" s="1">
        <v>0</v>
      </c>
      <c r="K246" s="1">
        <f t="shared" si="48"/>
        <v>455.9</v>
      </c>
      <c r="L246" s="1">
        <v>2.9</v>
      </c>
      <c r="M246" s="1">
        <f t="shared" si="49"/>
        <v>216.10000000000014</v>
      </c>
      <c r="N246" s="8">
        <f t="shared" si="45"/>
        <v>-2.9</v>
      </c>
      <c r="O246" s="1">
        <f t="shared" si="42"/>
        <v>156.49999999999997</v>
      </c>
      <c r="P246" s="1">
        <v>207</v>
      </c>
      <c r="Q246" s="11">
        <f t="shared" si="40"/>
        <v>1.1391891891891892</v>
      </c>
      <c r="R246" s="9">
        <f t="shared" si="46"/>
        <v>3.3036486486486485</v>
      </c>
      <c r="S246" s="9">
        <f t="shared" si="43"/>
        <v>-3.3036486486486485</v>
      </c>
      <c r="T246" s="9">
        <f t="shared" si="51"/>
        <v>151.3245945945946</v>
      </c>
      <c r="V246" s="1">
        <v>1417.7</v>
      </c>
      <c r="W246" s="1">
        <f t="shared" si="44"/>
        <v>128.88181818181818</v>
      </c>
      <c r="X246" s="1">
        <f t="shared" si="50"/>
        <v>107351</v>
      </c>
      <c r="Y246" s="1">
        <f t="shared" si="52"/>
        <v>52312.1</v>
      </c>
      <c r="AA246" s="1">
        <v>12.7161176635174</v>
      </c>
    </row>
    <row r="247" spans="1:27" s="1" customFormat="1" x14ac:dyDescent="0.25">
      <c r="A247" s="82"/>
      <c r="B247" s="17"/>
      <c r="C247" s="3">
        <v>41728</v>
      </c>
      <c r="D247" s="1">
        <v>11.8</v>
      </c>
      <c r="E247" s="1">
        <v>5.7</v>
      </c>
      <c r="F247" s="1">
        <v>18.3</v>
      </c>
      <c r="G247" s="1">
        <f t="shared" si="47"/>
        <v>1719.9999999999995</v>
      </c>
      <c r="H247" s="1">
        <f t="shared" si="41"/>
        <v>685.50000000000011</v>
      </c>
      <c r="J247" s="1">
        <v>0</v>
      </c>
      <c r="K247" s="1">
        <f t="shared" si="48"/>
        <v>455.9</v>
      </c>
      <c r="L247" s="1">
        <v>2.2999999999999998</v>
      </c>
      <c r="M247" s="1">
        <f t="shared" si="49"/>
        <v>218.40000000000015</v>
      </c>
      <c r="N247" s="8">
        <f t="shared" si="45"/>
        <v>-2.2999999999999998</v>
      </c>
      <c r="O247" s="1">
        <f t="shared" si="42"/>
        <v>154.19999999999996</v>
      </c>
      <c r="P247" s="1">
        <v>208</v>
      </c>
      <c r="Q247" s="11">
        <f t="shared" si="40"/>
        <v>1.1405405405405404</v>
      </c>
      <c r="R247" s="9">
        <f t="shared" si="46"/>
        <v>2.6232432432432429</v>
      </c>
      <c r="S247" s="9">
        <f t="shared" si="43"/>
        <v>-2.6232432432432429</v>
      </c>
      <c r="T247" s="9">
        <f t="shared" si="51"/>
        <v>148.70135135135135</v>
      </c>
      <c r="V247" s="1">
        <v>1336.7</v>
      </c>
      <c r="W247" s="1">
        <f t="shared" si="44"/>
        <v>113.27966101694915</v>
      </c>
      <c r="X247" s="1">
        <f t="shared" si="50"/>
        <v>108687.7</v>
      </c>
      <c r="Y247" s="1">
        <f t="shared" si="52"/>
        <v>53648.799999999996</v>
      </c>
      <c r="AA247" s="1">
        <v>12.7777917168725</v>
      </c>
    </row>
    <row r="248" spans="1:27" s="1" customFormat="1" x14ac:dyDescent="0.25">
      <c r="A248" s="82"/>
      <c r="B248" s="17"/>
      <c r="C248" s="3">
        <v>41729</v>
      </c>
      <c r="D248" s="1">
        <v>12.2</v>
      </c>
      <c r="E248" s="12">
        <v>5</v>
      </c>
      <c r="F248" s="1">
        <v>19.100000000000001</v>
      </c>
      <c r="G248" s="1">
        <f t="shared" si="47"/>
        <v>1732.1999999999996</v>
      </c>
      <c r="H248" s="1">
        <f t="shared" si="41"/>
        <v>697.70000000000016</v>
      </c>
      <c r="J248" s="1">
        <v>0</v>
      </c>
      <c r="K248" s="1">
        <f t="shared" si="48"/>
        <v>455.9</v>
      </c>
      <c r="L248" s="1">
        <v>2.1</v>
      </c>
      <c r="M248" s="1">
        <f t="shared" si="49"/>
        <v>220.50000000000014</v>
      </c>
      <c r="N248" s="8">
        <f t="shared" si="45"/>
        <v>-2.1</v>
      </c>
      <c r="O248" s="1">
        <f t="shared" si="42"/>
        <v>152.09999999999997</v>
      </c>
      <c r="P248" s="1">
        <v>209</v>
      </c>
      <c r="Q248" s="11">
        <f t="shared" si="40"/>
        <v>1.1418918918918919</v>
      </c>
      <c r="R248" s="9">
        <f t="shared" si="46"/>
        <v>2.3979729729729731</v>
      </c>
      <c r="S248" s="9">
        <f t="shared" si="43"/>
        <v>-2.3979729729729731</v>
      </c>
      <c r="T248" s="9">
        <f t="shared" si="51"/>
        <v>146.30337837837837</v>
      </c>
      <c r="V248" s="1">
        <v>1234.5999999999999</v>
      </c>
      <c r="W248" s="1">
        <f t="shared" si="44"/>
        <v>101.19672131147541</v>
      </c>
      <c r="X248" s="1">
        <f t="shared" si="50"/>
        <v>109922.3</v>
      </c>
      <c r="Y248" s="1">
        <f t="shared" si="52"/>
        <v>54883.399999999994</v>
      </c>
      <c r="AA248" s="1">
        <v>12.839391749601001</v>
      </c>
    </row>
    <row r="249" spans="1:27" s="1" customFormat="1" x14ac:dyDescent="0.25">
      <c r="A249" s="82"/>
      <c r="B249" s="17"/>
      <c r="C249" s="3">
        <v>41730</v>
      </c>
      <c r="D249" s="1">
        <v>13.3</v>
      </c>
      <c r="E249" s="1">
        <v>7.5</v>
      </c>
      <c r="F249" s="1">
        <v>19.600000000000001</v>
      </c>
      <c r="G249" s="1">
        <f t="shared" si="47"/>
        <v>1745.4999999999995</v>
      </c>
      <c r="H249" s="1">
        <f t="shared" si="41"/>
        <v>711.00000000000011</v>
      </c>
      <c r="J249" s="1">
        <v>0</v>
      </c>
      <c r="K249" s="1">
        <f t="shared" si="48"/>
        <v>455.9</v>
      </c>
      <c r="L249" s="1">
        <v>2.5</v>
      </c>
      <c r="M249" s="1">
        <f t="shared" si="49"/>
        <v>223.00000000000014</v>
      </c>
      <c r="N249" s="8">
        <f t="shared" si="45"/>
        <v>-2.5</v>
      </c>
      <c r="O249" s="1">
        <f t="shared" si="42"/>
        <v>149.59999999999997</v>
      </c>
      <c r="P249" s="1">
        <v>210</v>
      </c>
      <c r="Q249" s="11">
        <f t="shared" si="40"/>
        <v>1.1432432432432431</v>
      </c>
      <c r="R249" s="9">
        <f t="shared" si="46"/>
        <v>2.8581081081081079</v>
      </c>
      <c r="S249" s="9">
        <f t="shared" si="43"/>
        <v>-2.8581081081081079</v>
      </c>
      <c r="T249" s="9">
        <f t="shared" si="51"/>
        <v>143.44527027027027</v>
      </c>
      <c r="V249" s="1">
        <v>1503.1</v>
      </c>
      <c r="W249" s="1">
        <f t="shared" si="44"/>
        <v>113.01503759398494</v>
      </c>
      <c r="X249" s="1">
        <f t="shared" si="50"/>
        <v>111425.40000000001</v>
      </c>
      <c r="Y249" s="1">
        <f t="shared" si="52"/>
        <v>56386.499999999993</v>
      </c>
      <c r="AA249" s="1">
        <v>12.9009112345524</v>
      </c>
    </row>
    <row r="250" spans="1:27" s="1" customFormat="1" x14ac:dyDescent="0.25">
      <c r="A250" s="82"/>
      <c r="B250" s="17"/>
      <c r="C250" s="3">
        <v>41731</v>
      </c>
      <c r="D250" s="1">
        <v>14</v>
      </c>
      <c r="E250" s="1">
        <v>7.3</v>
      </c>
      <c r="F250" s="1">
        <v>20</v>
      </c>
      <c r="G250" s="1">
        <f t="shared" si="47"/>
        <v>1759.4999999999995</v>
      </c>
      <c r="H250" s="1">
        <f t="shared" si="41"/>
        <v>725.00000000000011</v>
      </c>
      <c r="J250" s="1">
        <v>0</v>
      </c>
      <c r="K250" s="1">
        <f t="shared" si="48"/>
        <v>455.9</v>
      </c>
      <c r="L250" s="1">
        <v>2.2000000000000002</v>
      </c>
      <c r="M250" s="1">
        <f t="shared" si="49"/>
        <v>225.20000000000013</v>
      </c>
      <c r="N250" s="8">
        <f t="shared" si="45"/>
        <v>-2.2000000000000002</v>
      </c>
      <c r="O250" s="1">
        <f t="shared" si="42"/>
        <v>147.39999999999998</v>
      </c>
      <c r="P250" s="1">
        <v>211</v>
      </c>
      <c r="Q250" s="11">
        <f t="shared" si="40"/>
        <v>1.1445945945945946</v>
      </c>
      <c r="R250" s="9">
        <f t="shared" si="46"/>
        <v>2.518108108108108</v>
      </c>
      <c r="S250" s="9">
        <f t="shared" si="43"/>
        <v>-2.518108108108108</v>
      </c>
      <c r="T250" s="9">
        <f t="shared" si="51"/>
        <v>140.92716216216218</v>
      </c>
      <c r="V250" s="1">
        <v>1322.1</v>
      </c>
      <c r="W250" s="1">
        <f t="shared" si="44"/>
        <v>94.435714285714283</v>
      </c>
      <c r="X250" s="1">
        <f t="shared" si="50"/>
        <v>112747.50000000001</v>
      </c>
      <c r="Y250" s="1">
        <f t="shared" si="52"/>
        <v>57708.599999999991</v>
      </c>
      <c r="AA250" s="1">
        <v>12.9623434749028</v>
      </c>
    </row>
    <row r="251" spans="1:27" s="1" customFormat="1" x14ac:dyDescent="0.25">
      <c r="A251" s="82"/>
      <c r="B251" s="17"/>
      <c r="C251" s="3">
        <v>41732</v>
      </c>
      <c r="D251" s="1">
        <v>13.7</v>
      </c>
      <c r="E251" s="1">
        <v>9.6</v>
      </c>
      <c r="F251" s="1">
        <v>18.3</v>
      </c>
      <c r="G251" s="1">
        <f t="shared" si="47"/>
        <v>1773.1999999999996</v>
      </c>
      <c r="H251" s="1">
        <f t="shared" si="41"/>
        <v>738.70000000000016</v>
      </c>
      <c r="J251" s="1">
        <v>0</v>
      </c>
      <c r="K251" s="1">
        <f t="shared" si="48"/>
        <v>455.9</v>
      </c>
      <c r="L251" s="1">
        <v>1.7</v>
      </c>
      <c r="M251" s="1">
        <f t="shared" si="49"/>
        <v>226.90000000000012</v>
      </c>
      <c r="N251" s="8">
        <f t="shared" si="45"/>
        <v>-1.7</v>
      </c>
      <c r="O251" s="1">
        <f t="shared" si="42"/>
        <v>145.69999999999999</v>
      </c>
      <c r="P251" s="1">
        <v>212</v>
      </c>
      <c r="Q251" s="11">
        <f t="shared" si="40"/>
        <v>1.1459459459459458</v>
      </c>
      <c r="R251" s="9">
        <f t="shared" si="46"/>
        <v>1.9481081081081077</v>
      </c>
      <c r="S251" s="9">
        <f t="shared" si="43"/>
        <v>-1.9481081081081077</v>
      </c>
      <c r="T251" s="9">
        <f t="shared" si="51"/>
        <v>138.97905405405407</v>
      </c>
      <c r="V251" s="10">
        <v>672.2</v>
      </c>
      <c r="W251" s="1">
        <f t="shared" si="44"/>
        <v>49.065693430656943</v>
      </c>
      <c r="X251" s="1">
        <f t="shared" si="50"/>
        <v>113419.70000000001</v>
      </c>
      <c r="Y251" s="1">
        <f t="shared" si="52"/>
        <v>58380.799999999988</v>
      </c>
      <c r="AA251" s="1">
        <v>13.0236815863797</v>
      </c>
    </row>
    <row r="252" spans="1:27" s="23" customFormat="1" x14ac:dyDescent="0.25">
      <c r="A252" s="82"/>
      <c r="B252" s="17"/>
      <c r="C252" s="20">
        <v>41733</v>
      </c>
      <c r="D252" s="21">
        <v>11.1</v>
      </c>
      <c r="E252" s="21">
        <v>10.9</v>
      </c>
      <c r="F252" s="21">
        <v>13</v>
      </c>
      <c r="G252" s="21">
        <f t="shared" si="47"/>
        <v>1784.2999999999995</v>
      </c>
      <c r="H252" s="21">
        <f t="shared" si="41"/>
        <v>749.80000000000018</v>
      </c>
      <c r="I252" s="21"/>
      <c r="J252" s="21">
        <v>0</v>
      </c>
      <c r="K252" s="21">
        <f t="shared" si="48"/>
        <v>455.9</v>
      </c>
      <c r="L252" s="21">
        <v>1</v>
      </c>
      <c r="M252" s="21">
        <f t="shared" si="49"/>
        <v>227.90000000000012</v>
      </c>
      <c r="N252" s="21">
        <f t="shared" si="45"/>
        <v>-1</v>
      </c>
      <c r="O252" s="21">
        <f t="shared" si="42"/>
        <v>144.69999999999999</v>
      </c>
      <c r="P252" s="21">
        <v>213</v>
      </c>
      <c r="Q252" s="11">
        <f t="shared" si="40"/>
        <v>1.1472972972972972</v>
      </c>
      <c r="R252" s="22">
        <f t="shared" si="46"/>
        <v>1.1472972972972972</v>
      </c>
      <c r="S252" s="22">
        <f t="shared" si="43"/>
        <v>-1.1472972972972972</v>
      </c>
      <c r="T252" s="9">
        <f t="shared" si="51"/>
        <v>137.83175675675679</v>
      </c>
      <c r="U252" s="21"/>
      <c r="V252" s="21">
        <v>580.4</v>
      </c>
      <c r="W252" s="21">
        <f t="shared" si="44"/>
        <v>52.288288288288285</v>
      </c>
      <c r="X252" s="21">
        <f t="shared" si="50"/>
        <v>114000.1</v>
      </c>
      <c r="Y252" s="1">
        <f t="shared" si="52"/>
        <v>58961.19999999999</v>
      </c>
      <c r="Z252" s="21"/>
      <c r="AA252" s="1">
        <v>13.0849184795475</v>
      </c>
    </row>
    <row r="253" spans="1:27" s="6" customFormat="1" ht="15" customHeight="1" x14ac:dyDescent="0.25">
      <c r="A253" s="82"/>
      <c r="B253" s="17"/>
      <c r="C253" s="24">
        <v>41734</v>
      </c>
      <c r="D253" s="21">
        <v>11.4</v>
      </c>
      <c r="E253" s="25">
        <v>4.7</v>
      </c>
      <c r="F253" s="21">
        <v>16.899999999999999</v>
      </c>
      <c r="G253" s="21">
        <f t="shared" si="47"/>
        <v>1795.6999999999996</v>
      </c>
      <c r="H253" s="21">
        <f t="shared" si="41"/>
        <v>761.20000000000016</v>
      </c>
      <c r="I253" s="21"/>
      <c r="J253" s="21">
        <v>0</v>
      </c>
      <c r="K253" s="21">
        <f t="shared" si="48"/>
        <v>455.9</v>
      </c>
      <c r="L253" s="21">
        <v>2.4</v>
      </c>
      <c r="M253" s="21">
        <f t="shared" si="49"/>
        <v>230.30000000000013</v>
      </c>
      <c r="N253" s="21">
        <f t="shared" si="45"/>
        <v>-2.4</v>
      </c>
      <c r="O253" s="21">
        <f t="shared" si="42"/>
        <v>142.29999999999998</v>
      </c>
      <c r="P253" s="21">
        <v>214</v>
      </c>
      <c r="Q253" s="11">
        <f t="shared" si="40"/>
        <v>1.1486486486486485</v>
      </c>
      <c r="R253" s="22">
        <f t="shared" si="46"/>
        <v>2.7567567567567561</v>
      </c>
      <c r="S253" s="22">
        <f t="shared" si="43"/>
        <v>-2.7567567567567561</v>
      </c>
      <c r="T253" s="9">
        <f t="shared" si="51"/>
        <v>135.07500000000005</v>
      </c>
      <c r="U253" s="21"/>
      <c r="V253" s="21">
        <v>1506.6</v>
      </c>
      <c r="W253" s="21">
        <f t="shared" si="44"/>
        <v>132.15789473684208</v>
      </c>
      <c r="X253" s="21">
        <f t="shared" si="50"/>
        <v>115506.70000000001</v>
      </c>
      <c r="Y253" s="1">
        <f t="shared" si="52"/>
        <v>60467.799999999988</v>
      </c>
      <c r="Z253" s="21"/>
      <c r="AA253" s="1">
        <v>13.146046842156499</v>
      </c>
    </row>
    <row r="254" spans="1:27" s="48" customFormat="1" ht="15.75" thickBot="1" x14ac:dyDescent="0.3">
      <c r="A254" s="82"/>
      <c r="B254" s="51"/>
      <c r="C254" s="47">
        <v>41735</v>
      </c>
      <c r="D254" s="48">
        <v>14.3</v>
      </c>
      <c r="E254" s="48">
        <v>11.3</v>
      </c>
      <c r="F254" s="48">
        <v>16.8</v>
      </c>
      <c r="G254" s="48">
        <f t="shared" si="47"/>
        <v>1809.9999999999995</v>
      </c>
      <c r="H254" s="48">
        <f t="shared" si="41"/>
        <v>775.50000000000011</v>
      </c>
      <c r="J254" s="48">
        <v>1.2</v>
      </c>
      <c r="K254" s="48">
        <f t="shared" si="48"/>
        <v>457.09999999999997</v>
      </c>
      <c r="L254" s="48">
        <v>1</v>
      </c>
      <c r="M254" s="48">
        <f t="shared" si="49"/>
        <v>231.30000000000013</v>
      </c>
      <c r="N254" s="48">
        <f t="shared" si="45"/>
        <v>0.19999999999999996</v>
      </c>
      <c r="O254" s="48">
        <f t="shared" si="42"/>
        <v>142.49999999999997</v>
      </c>
      <c r="P254" s="48">
        <v>215</v>
      </c>
      <c r="Q254" s="43">
        <f t="shared" si="40"/>
        <v>1.1499999999999999</v>
      </c>
      <c r="R254" s="50">
        <f t="shared" si="46"/>
        <v>1.1499999999999999</v>
      </c>
      <c r="S254" s="50">
        <f t="shared" si="43"/>
        <v>5.0000000000000044E-2</v>
      </c>
      <c r="T254" s="44">
        <f t="shared" si="51"/>
        <v>135.12500000000006</v>
      </c>
      <c r="V254" s="45">
        <v>525.6</v>
      </c>
      <c r="W254" s="48">
        <f t="shared" si="44"/>
        <v>36.755244755244753</v>
      </c>
      <c r="X254" s="48">
        <f t="shared" si="50"/>
        <v>116032.30000000002</v>
      </c>
      <c r="Y254" s="42">
        <f t="shared" si="52"/>
        <v>60993.399999999987</v>
      </c>
      <c r="AA254" s="42">
        <v>13.2070591215617</v>
      </c>
    </row>
    <row r="255" spans="1:27" s="1" customFormat="1" x14ac:dyDescent="0.25">
      <c r="A255" s="83" t="s">
        <v>51</v>
      </c>
      <c r="B255" s="27" t="s">
        <v>22</v>
      </c>
      <c r="C255" s="3">
        <v>41736</v>
      </c>
      <c r="D255" s="1">
        <v>14.7</v>
      </c>
      <c r="E255" s="1">
        <v>12.1</v>
      </c>
      <c r="F255" s="1">
        <v>20.6</v>
      </c>
      <c r="G255" s="1">
        <f t="shared" si="47"/>
        <v>1824.6999999999996</v>
      </c>
      <c r="H255" s="1">
        <v>14.7</v>
      </c>
      <c r="I255" s="26" t="s">
        <v>2</v>
      </c>
      <c r="J255" s="1">
        <v>14.2</v>
      </c>
      <c r="K255" s="1">
        <f t="shared" si="48"/>
        <v>471.29999999999995</v>
      </c>
      <c r="L255" s="1">
        <v>2.2000000000000002</v>
      </c>
      <c r="M255" s="1">
        <f t="shared" si="49"/>
        <v>233.50000000000011</v>
      </c>
      <c r="N255" s="1">
        <f t="shared" si="45"/>
        <v>12</v>
      </c>
      <c r="O255" s="1">
        <f t="shared" si="42"/>
        <v>154.49999999999997</v>
      </c>
      <c r="P255" s="1">
        <v>216</v>
      </c>
      <c r="Q255" s="1">
        <v>1.1499999999999999</v>
      </c>
      <c r="R255" s="9">
        <f t="shared" si="46"/>
        <v>2.5299999999999998</v>
      </c>
      <c r="S255" s="9">
        <f t="shared" si="43"/>
        <v>11.67</v>
      </c>
      <c r="T255" s="9">
        <f t="shared" si="51"/>
        <v>146.79500000000004</v>
      </c>
      <c r="U255" s="26" t="s">
        <v>3</v>
      </c>
      <c r="V255" s="10">
        <v>707</v>
      </c>
      <c r="W255" s="1">
        <f t="shared" si="44"/>
        <v>48.095238095238095</v>
      </c>
      <c r="X255" s="1">
        <f t="shared" si="50"/>
        <v>116739.30000000002</v>
      </c>
      <c r="Y255" s="1">
        <v>707</v>
      </c>
      <c r="Z255" s="26" t="s">
        <v>4</v>
      </c>
      <c r="AA255" s="1">
        <v>13.2679475072184</v>
      </c>
    </row>
    <row r="256" spans="1:27" s="1" customFormat="1" x14ac:dyDescent="0.25">
      <c r="A256" s="83"/>
      <c r="C256" s="3">
        <v>41737</v>
      </c>
      <c r="D256" s="1">
        <v>8.6</v>
      </c>
      <c r="E256" s="1">
        <v>7.4</v>
      </c>
      <c r="F256" s="1">
        <v>10.9</v>
      </c>
      <c r="G256" s="1">
        <f t="shared" si="47"/>
        <v>1833.2999999999995</v>
      </c>
      <c r="H256" s="1">
        <f t="shared" ref="H256:H319" si="53">H255+D256</f>
        <v>23.299999999999997</v>
      </c>
      <c r="I256" s="1">
        <f>MIN(E255:E275)</f>
        <v>3.2</v>
      </c>
      <c r="J256" s="1">
        <v>1.1000000000000001</v>
      </c>
      <c r="K256" s="1">
        <f t="shared" si="48"/>
        <v>472.4</v>
      </c>
      <c r="L256" s="1">
        <v>2.4</v>
      </c>
      <c r="M256" s="1">
        <f t="shared" si="49"/>
        <v>235.90000000000012</v>
      </c>
      <c r="N256" s="8">
        <f t="shared" si="45"/>
        <v>-1.2999999999999998</v>
      </c>
      <c r="O256" s="1">
        <f t="shared" si="42"/>
        <v>153.19999999999996</v>
      </c>
      <c r="P256" s="1">
        <v>217</v>
      </c>
      <c r="Q256" s="1">
        <v>1.1499999999999999</v>
      </c>
      <c r="R256" s="9">
        <f t="shared" si="46"/>
        <v>2.76</v>
      </c>
      <c r="S256" s="9">
        <f t="shared" si="43"/>
        <v>-1.6599999999999997</v>
      </c>
      <c r="T256" s="9">
        <f t="shared" si="51"/>
        <v>145.13500000000005</v>
      </c>
      <c r="V256" s="1">
        <v>1785.5</v>
      </c>
      <c r="W256" s="1">
        <f t="shared" si="44"/>
        <v>207.61627906976744</v>
      </c>
      <c r="X256" s="1">
        <f t="shared" si="50"/>
        <v>118524.80000000002</v>
      </c>
      <c r="Y256" s="1">
        <f t="shared" si="52"/>
        <v>2492.5</v>
      </c>
      <c r="Z256" s="1">
        <v>27449.9</v>
      </c>
      <c r="AA256" s="1">
        <v>13.328703913265899</v>
      </c>
    </row>
    <row r="257" spans="1:27" s="1" customFormat="1" x14ac:dyDescent="0.25">
      <c r="A257" s="83"/>
      <c r="C257" s="3">
        <v>41738</v>
      </c>
      <c r="D257" s="1">
        <v>8.5</v>
      </c>
      <c r="E257" s="12">
        <v>3.9</v>
      </c>
      <c r="F257" s="1">
        <v>12.9</v>
      </c>
      <c r="G257" s="1">
        <f t="shared" si="47"/>
        <v>1841.7999999999995</v>
      </c>
      <c r="H257" s="1">
        <f t="shared" si="53"/>
        <v>31.799999999999997</v>
      </c>
      <c r="I257" s="28" t="s">
        <v>5</v>
      </c>
      <c r="J257" s="1">
        <v>0</v>
      </c>
      <c r="K257" s="1">
        <f t="shared" si="48"/>
        <v>472.4</v>
      </c>
      <c r="L257" s="1">
        <v>1.9</v>
      </c>
      <c r="M257" s="1">
        <f t="shared" si="49"/>
        <v>237.80000000000013</v>
      </c>
      <c r="N257" s="8">
        <f t="shared" si="45"/>
        <v>-1.9</v>
      </c>
      <c r="O257" s="1">
        <f t="shared" si="42"/>
        <v>151.29999999999995</v>
      </c>
      <c r="P257" s="1">
        <v>218</v>
      </c>
      <c r="Q257" s="1">
        <v>1.1499999999999999</v>
      </c>
      <c r="R257" s="9">
        <f t="shared" si="46"/>
        <v>2.1849999999999996</v>
      </c>
      <c r="S257" s="9">
        <f t="shared" si="43"/>
        <v>-2.1849999999999996</v>
      </c>
      <c r="T257" s="9">
        <f t="shared" si="51"/>
        <v>142.95000000000005</v>
      </c>
      <c r="U257" s="28" t="s">
        <v>6</v>
      </c>
      <c r="V257" s="1">
        <v>1278.5</v>
      </c>
      <c r="W257" s="1">
        <f t="shared" si="44"/>
        <v>150.41176470588235</v>
      </c>
      <c r="X257" s="1">
        <f t="shared" si="50"/>
        <v>119803.30000000002</v>
      </c>
      <c r="Y257" s="1">
        <f t="shared" si="52"/>
        <v>3771</v>
      </c>
      <c r="Z257" s="28" t="s">
        <v>7</v>
      </c>
      <c r="AA257" s="1">
        <v>13.389319961210401</v>
      </c>
    </row>
    <row r="258" spans="1:27" s="1" customFormat="1" x14ac:dyDescent="0.25">
      <c r="A258" s="83"/>
      <c r="C258" s="3">
        <v>41739</v>
      </c>
      <c r="D258" s="1">
        <v>9.3000000000000007</v>
      </c>
      <c r="E258" s="12">
        <v>3.4</v>
      </c>
      <c r="F258" s="1">
        <v>14.5</v>
      </c>
      <c r="G258" s="1">
        <f t="shared" si="47"/>
        <v>1851.0999999999995</v>
      </c>
      <c r="H258" s="1">
        <f t="shared" si="53"/>
        <v>41.099999999999994</v>
      </c>
      <c r="I258" s="1">
        <f>MAX(F255:F275)</f>
        <v>20.6</v>
      </c>
      <c r="J258" s="1">
        <v>0</v>
      </c>
      <c r="K258" s="1">
        <f t="shared" si="48"/>
        <v>472.4</v>
      </c>
      <c r="L258" s="1">
        <v>2.4</v>
      </c>
      <c r="M258" s="1">
        <f t="shared" si="49"/>
        <v>240.20000000000013</v>
      </c>
      <c r="N258" s="8">
        <f t="shared" si="45"/>
        <v>-2.4</v>
      </c>
      <c r="O258" s="1">
        <f t="shared" si="42"/>
        <v>148.89999999999995</v>
      </c>
      <c r="P258" s="1">
        <v>219</v>
      </c>
      <c r="Q258" s="1">
        <v>1.1499999999999999</v>
      </c>
      <c r="R258" s="9">
        <f t="shared" si="46"/>
        <v>2.76</v>
      </c>
      <c r="S258" s="9">
        <f t="shared" si="43"/>
        <v>-2.76</v>
      </c>
      <c r="T258" s="9">
        <f t="shared" si="51"/>
        <v>140.19000000000005</v>
      </c>
      <c r="V258" s="1">
        <v>1768.6</v>
      </c>
      <c r="W258" s="1">
        <f t="shared" si="44"/>
        <v>190.17204301075267</v>
      </c>
      <c r="X258" s="1">
        <f t="shared" si="50"/>
        <v>121571.90000000002</v>
      </c>
      <c r="Y258" s="1">
        <f t="shared" si="52"/>
        <v>5539.6</v>
      </c>
      <c r="Z258" s="11">
        <f>(Z256/100)/I268</f>
        <v>1.2562883295194509</v>
      </c>
      <c r="AA258" s="1">
        <v>13.449786962723399</v>
      </c>
    </row>
    <row r="259" spans="1:27" s="1" customFormat="1" x14ac:dyDescent="0.25">
      <c r="A259" s="83"/>
      <c r="C259" s="3">
        <v>41740</v>
      </c>
      <c r="D259" s="1">
        <v>9.9</v>
      </c>
      <c r="E259" s="1">
        <v>5.5</v>
      </c>
      <c r="F259" s="1">
        <v>14.9</v>
      </c>
      <c r="G259" s="1">
        <f t="shared" si="47"/>
        <v>1860.9999999999995</v>
      </c>
      <c r="H259" s="1">
        <f t="shared" si="53"/>
        <v>50.999999999999993</v>
      </c>
      <c r="I259" s="28" t="s">
        <v>8</v>
      </c>
      <c r="J259" s="1">
        <v>0</v>
      </c>
      <c r="K259" s="1">
        <f t="shared" si="48"/>
        <v>472.4</v>
      </c>
      <c r="L259" s="1">
        <v>2.1</v>
      </c>
      <c r="M259" s="1">
        <f t="shared" si="49"/>
        <v>242.30000000000013</v>
      </c>
      <c r="N259" s="8">
        <f t="shared" si="45"/>
        <v>-2.1</v>
      </c>
      <c r="O259" s="1">
        <f t="shared" si="42"/>
        <v>146.79999999999995</v>
      </c>
      <c r="P259" s="1">
        <v>220</v>
      </c>
      <c r="Q259" s="1">
        <v>1.1499999999999999</v>
      </c>
      <c r="R259" s="9">
        <f t="shared" si="46"/>
        <v>2.415</v>
      </c>
      <c r="S259" s="9">
        <f t="shared" si="43"/>
        <v>-2.415</v>
      </c>
      <c r="T259" s="9">
        <f t="shared" si="51"/>
        <v>137.77500000000006</v>
      </c>
      <c r="U259" s="28" t="s">
        <v>9</v>
      </c>
      <c r="V259" s="1">
        <v>1431</v>
      </c>
      <c r="W259" s="1">
        <f t="shared" si="44"/>
        <v>144.54545454545453</v>
      </c>
      <c r="X259" s="1">
        <f t="shared" si="50"/>
        <v>123002.90000000002</v>
      </c>
      <c r="Y259" s="1">
        <f t="shared" si="52"/>
        <v>6970.6</v>
      </c>
      <c r="Z259" s="28" t="s">
        <v>10</v>
      </c>
      <c r="AA259" s="1">
        <v>13.5100959025732</v>
      </c>
    </row>
    <row r="260" spans="1:27" s="1" customFormat="1" x14ac:dyDescent="0.25">
      <c r="A260" s="83"/>
      <c r="C260" s="3">
        <v>41741</v>
      </c>
      <c r="D260" s="1">
        <v>10</v>
      </c>
      <c r="E260" s="1">
        <v>6</v>
      </c>
      <c r="F260" s="1">
        <v>14</v>
      </c>
      <c r="G260" s="1">
        <f t="shared" si="47"/>
        <v>1870.9999999999995</v>
      </c>
      <c r="H260" s="1">
        <f t="shared" si="53"/>
        <v>60.999999999999993</v>
      </c>
      <c r="I260" s="9">
        <f>AVERAGE(D255:D275)</f>
        <v>10.404761904761903</v>
      </c>
      <c r="J260" s="1">
        <v>0</v>
      </c>
      <c r="K260" s="1">
        <f t="shared" si="48"/>
        <v>472.4</v>
      </c>
      <c r="L260" s="1">
        <v>1.4</v>
      </c>
      <c r="M260" s="1">
        <f t="shared" si="49"/>
        <v>243.70000000000013</v>
      </c>
      <c r="N260" s="8">
        <f t="shared" si="45"/>
        <v>-1.4</v>
      </c>
      <c r="O260" s="1">
        <f t="shared" si="42"/>
        <v>145.39999999999995</v>
      </c>
      <c r="P260" s="1">
        <v>221</v>
      </c>
      <c r="Q260" s="1">
        <v>1.1499999999999999</v>
      </c>
      <c r="R260" s="9">
        <f t="shared" si="46"/>
        <v>1.6099999999999999</v>
      </c>
      <c r="S260" s="9">
        <f t="shared" si="43"/>
        <v>-1.6099999999999999</v>
      </c>
      <c r="T260" s="9">
        <f t="shared" si="51"/>
        <v>136.16500000000005</v>
      </c>
      <c r="U260" s="1">
        <v>0</v>
      </c>
      <c r="V260" s="10">
        <v>797.3</v>
      </c>
      <c r="W260" s="1">
        <f t="shared" si="44"/>
        <v>79.72999999999999</v>
      </c>
      <c r="X260" s="1">
        <f t="shared" si="50"/>
        <v>123800.20000000003</v>
      </c>
      <c r="Y260" s="1">
        <f t="shared" si="52"/>
        <v>7767.9000000000005</v>
      </c>
      <c r="Z260" s="1">
        <v>5</v>
      </c>
      <c r="AA260" s="1">
        <v>13.5702374217108</v>
      </c>
    </row>
    <row r="261" spans="1:27" s="1" customFormat="1" x14ac:dyDescent="0.25">
      <c r="A261" s="83"/>
      <c r="C261" s="3">
        <v>41742</v>
      </c>
      <c r="D261" s="1">
        <v>10.1</v>
      </c>
      <c r="E261" s="1">
        <v>7.3</v>
      </c>
      <c r="F261" s="1">
        <v>13.9</v>
      </c>
      <c r="G261" s="1">
        <f t="shared" si="47"/>
        <v>1881.0999999999995</v>
      </c>
      <c r="H261" s="1">
        <f t="shared" si="53"/>
        <v>71.099999999999994</v>
      </c>
      <c r="I261" s="28" t="s">
        <v>11</v>
      </c>
      <c r="J261" s="1">
        <v>0</v>
      </c>
      <c r="K261" s="1">
        <f t="shared" si="48"/>
        <v>472.4</v>
      </c>
      <c r="L261" s="1">
        <v>2.2999999999999998</v>
      </c>
      <c r="M261" s="1">
        <f t="shared" si="49"/>
        <v>246.00000000000014</v>
      </c>
      <c r="N261" s="8">
        <f t="shared" si="45"/>
        <v>-2.2999999999999998</v>
      </c>
      <c r="O261" s="1">
        <f t="shared" si="42"/>
        <v>143.09999999999994</v>
      </c>
      <c r="P261" s="1">
        <v>222</v>
      </c>
      <c r="Q261" s="1">
        <v>1.1499999999999999</v>
      </c>
      <c r="R261" s="9">
        <f t="shared" si="46"/>
        <v>2.6449999999999996</v>
      </c>
      <c r="S261" s="9">
        <f t="shared" si="43"/>
        <v>-2.6449999999999996</v>
      </c>
      <c r="T261" s="9">
        <f t="shared" si="51"/>
        <v>133.52000000000004</v>
      </c>
      <c r="U261" s="28" t="s">
        <v>12</v>
      </c>
      <c r="V261" s="1">
        <v>1409.4</v>
      </c>
      <c r="W261" s="1">
        <f t="shared" si="44"/>
        <v>139.54455445544556</v>
      </c>
      <c r="X261" s="1">
        <f t="shared" si="50"/>
        <v>125209.60000000002</v>
      </c>
      <c r="Y261" s="1">
        <f t="shared" si="52"/>
        <v>9177.3000000000011</v>
      </c>
      <c r="AA261" s="1">
        <v>13.630201800534</v>
      </c>
    </row>
    <row r="262" spans="1:27" s="1" customFormat="1" x14ac:dyDescent="0.25">
      <c r="A262" s="83"/>
      <c r="C262" s="3">
        <v>41743</v>
      </c>
      <c r="D262" s="1">
        <v>8.9</v>
      </c>
      <c r="E262" s="1">
        <v>5.6</v>
      </c>
      <c r="F262" s="1">
        <v>13.3</v>
      </c>
      <c r="G262" s="1">
        <f t="shared" si="47"/>
        <v>1889.9999999999995</v>
      </c>
      <c r="H262" s="1">
        <f t="shared" si="53"/>
        <v>80</v>
      </c>
      <c r="I262" s="1">
        <v>0</v>
      </c>
      <c r="J262" s="1">
        <v>0</v>
      </c>
      <c r="K262" s="1">
        <f t="shared" si="48"/>
        <v>472.4</v>
      </c>
      <c r="L262" s="1">
        <v>2.4</v>
      </c>
      <c r="M262" s="1">
        <f t="shared" si="49"/>
        <v>248.40000000000015</v>
      </c>
      <c r="N262" s="8">
        <f t="shared" si="45"/>
        <v>-2.4</v>
      </c>
      <c r="O262" s="1">
        <f t="shared" si="42"/>
        <v>140.69999999999993</v>
      </c>
      <c r="P262" s="1">
        <v>223</v>
      </c>
      <c r="Q262" s="1">
        <v>1.1499999999999999</v>
      </c>
      <c r="R262" s="9">
        <f t="shared" si="46"/>
        <v>2.76</v>
      </c>
      <c r="S262" s="9">
        <f t="shared" si="43"/>
        <v>-2.76</v>
      </c>
      <c r="T262" s="9">
        <f t="shared" si="51"/>
        <v>130.76000000000005</v>
      </c>
      <c r="U262" s="1">
        <v>0</v>
      </c>
      <c r="V262" s="1">
        <v>1429.3</v>
      </c>
      <c r="W262" s="1">
        <f t="shared" si="44"/>
        <v>160.59550561797752</v>
      </c>
      <c r="X262" s="1">
        <f t="shared" si="50"/>
        <v>126638.90000000002</v>
      </c>
      <c r="Y262" s="1">
        <f t="shared" si="52"/>
        <v>10606.6</v>
      </c>
      <c r="AA262" s="1">
        <v>13.689978942358101</v>
      </c>
    </row>
    <row r="263" spans="1:27" s="1" customFormat="1" x14ac:dyDescent="0.25">
      <c r="A263" s="83"/>
      <c r="C263" s="3">
        <v>41744</v>
      </c>
      <c r="D263" s="1">
        <v>7.4</v>
      </c>
      <c r="E263" s="12">
        <v>3.4</v>
      </c>
      <c r="F263" s="1">
        <v>12.2</v>
      </c>
      <c r="G263" s="1">
        <f t="shared" si="47"/>
        <v>1897.3999999999996</v>
      </c>
      <c r="H263" s="1">
        <f t="shared" si="53"/>
        <v>87.4</v>
      </c>
      <c r="I263" s="28" t="s">
        <v>13</v>
      </c>
      <c r="J263" s="1">
        <v>0</v>
      </c>
      <c r="K263" s="1">
        <f t="shared" si="48"/>
        <v>472.4</v>
      </c>
      <c r="L263" s="1">
        <v>2.2999999999999998</v>
      </c>
      <c r="M263" s="1">
        <f t="shared" si="49"/>
        <v>250.70000000000016</v>
      </c>
      <c r="N263" s="8">
        <f t="shared" si="45"/>
        <v>-2.2999999999999998</v>
      </c>
      <c r="O263" s="1">
        <f t="shared" si="42"/>
        <v>138.39999999999992</v>
      </c>
      <c r="P263" s="1">
        <v>224</v>
      </c>
      <c r="Q263" s="1">
        <v>1.1499999999999999</v>
      </c>
      <c r="R263" s="9">
        <f t="shared" si="46"/>
        <v>2.6449999999999996</v>
      </c>
      <c r="S263" s="9">
        <f t="shared" si="43"/>
        <v>-2.6449999999999996</v>
      </c>
      <c r="T263" s="9">
        <f t="shared" si="51"/>
        <v>128.11500000000004</v>
      </c>
      <c r="U263" s="28" t="s">
        <v>14</v>
      </c>
      <c r="V263" s="1">
        <v>1530</v>
      </c>
      <c r="W263" s="1">
        <f t="shared" si="44"/>
        <v>206.75675675675674</v>
      </c>
      <c r="X263" s="1">
        <f t="shared" si="50"/>
        <v>128168.90000000002</v>
      </c>
      <c r="Y263" s="1">
        <f t="shared" si="52"/>
        <v>12136.6</v>
      </c>
      <c r="AA263" s="1">
        <v>13.7495583571237</v>
      </c>
    </row>
    <row r="264" spans="1:27" s="1" customFormat="1" x14ac:dyDescent="0.25">
      <c r="A264" s="83"/>
      <c r="C264" s="3">
        <v>41745</v>
      </c>
      <c r="D264" s="1">
        <v>8.6</v>
      </c>
      <c r="E264" s="12">
        <v>3.2</v>
      </c>
      <c r="F264" s="1">
        <v>13.8</v>
      </c>
      <c r="G264" s="1">
        <f t="shared" si="47"/>
        <v>1905.9999999999995</v>
      </c>
      <c r="H264" s="1">
        <f t="shared" si="53"/>
        <v>96</v>
      </c>
      <c r="I264" s="1">
        <v>0</v>
      </c>
      <c r="J264" s="1">
        <v>0</v>
      </c>
      <c r="K264" s="1">
        <f t="shared" si="48"/>
        <v>472.4</v>
      </c>
      <c r="L264" s="1">
        <v>3.1</v>
      </c>
      <c r="M264" s="1">
        <f t="shared" si="49"/>
        <v>253.80000000000015</v>
      </c>
      <c r="N264" s="8">
        <f t="shared" si="45"/>
        <v>-3.1</v>
      </c>
      <c r="O264" s="1">
        <f t="shared" si="42"/>
        <v>135.29999999999993</v>
      </c>
      <c r="P264" s="1">
        <v>225</v>
      </c>
      <c r="Q264" s="1">
        <v>1.1499999999999999</v>
      </c>
      <c r="R264" s="9">
        <f t="shared" si="46"/>
        <v>3.5649999999999999</v>
      </c>
      <c r="S264" s="9">
        <f t="shared" si="43"/>
        <v>-3.5649999999999999</v>
      </c>
      <c r="T264" s="9">
        <f t="shared" si="51"/>
        <v>124.55000000000004</v>
      </c>
      <c r="U264" s="9">
        <f>MIN(T255:T275)</f>
        <v>106.57000000000004</v>
      </c>
      <c r="V264" s="1">
        <v>2254.9</v>
      </c>
      <c r="W264" s="1">
        <f t="shared" si="44"/>
        <v>262.19767441860466</v>
      </c>
      <c r="X264" s="1">
        <f t="shared" si="50"/>
        <v>130423.80000000002</v>
      </c>
      <c r="Y264" s="1">
        <f t="shared" si="52"/>
        <v>14391.5</v>
      </c>
      <c r="AA264" s="1">
        <v>13.808929145378301</v>
      </c>
    </row>
    <row r="265" spans="1:27" s="1" customFormat="1" x14ac:dyDescent="0.25">
      <c r="A265" s="83"/>
      <c r="C265" s="3">
        <v>41746</v>
      </c>
      <c r="D265" s="1">
        <v>11.1</v>
      </c>
      <c r="E265" s="12">
        <v>4.0999999999999996</v>
      </c>
      <c r="F265" s="1">
        <v>16.8</v>
      </c>
      <c r="G265" s="1">
        <f t="shared" si="47"/>
        <v>1917.0999999999995</v>
      </c>
      <c r="H265" s="1">
        <f t="shared" si="53"/>
        <v>107.1</v>
      </c>
      <c r="I265" s="28" t="s">
        <v>15</v>
      </c>
      <c r="J265" s="1">
        <v>0</v>
      </c>
      <c r="K265" s="1">
        <f t="shared" si="48"/>
        <v>472.4</v>
      </c>
      <c r="L265" s="1">
        <v>2.9</v>
      </c>
      <c r="M265" s="1">
        <f t="shared" si="49"/>
        <v>256.70000000000016</v>
      </c>
      <c r="N265" s="8">
        <f t="shared" si="45"/>
        <v>-2.9</v>
      </c>
      <c r="O265" s="1">
        <f t="shared" si="42"/>
        <v>132.39999999999992</v>
      </c>
      <c r="P265" s="1">
        <v>226</v>
      </c>
      <c r="Q265" s="1">
        <v>1.1499999999999999</v>
      </c>
      <c r="R265" s="9">
        <f t="shared" si="46"/>
        <v>3.3349999999999995</v>
      </c>
      <c r="S265" s="9">
        <f t="shared" si="43"/>
        <v>-3.3349999999999995</v>
      </c>
      <c r="T265" s="9">
        <f t="shared" si="51"/>
        <v>121.21500000000005</v>
      </c>
      <c r="U265" s="28" t="s">
        <v>16</v>
      </c>
      <c r="V265" s="1">
        <v>1925.3</v>
      </c>
      <c r="W265" s="1">
        <f t="shared" si="44"/>
        <v>173.45045045045046</v>
      </c>
      <c r="X265" s="1">
        <f t="shared" si="50"/>
        <v>132349.1</v>
      </c>
      <c r="Y265" s="1">
        <f t="shared" si="52"/>
        <v>16316.8</v>
      </c>
      <c r="AA265" s="1">
        <v>13.868079982568</v>
      </c>
    </row>
    <row r="266" spans="1:27" s="1" customFormat="1" x14ac:dyDescent="0.25">
      <c r="A266" s="83"/>
      <c r="C266" s="3">
        <v>41747</v>
      </c>
      <c r="D266" s="1">
        <v>9.3000000000000007</v>
      </c>
      <c r="E266" s="1">
        <v>8.8000000000000007</v>
      </c>
      <c r="F266" s="1">
        <v>11.7</v>
      </c>
      <c r="G266" s="1">
        <f t="shared" si="47"/>
        <v>1926.3999999999994</v>
      </c>
      <c r="H266" s="1">
        <f t="shared" si="53"/>
        <v>116.39999999999999</v>
      </c>
      <c r="I266" s="1">
        <v>6</v>
      </c>
      <c r="J266" s="1">
        <v>0</v>
      </c>
      <c r="K266" s="1">
        <f t="shared" si="48"/>
        <v>472.4</v>
      </c>
      <c r="L266" s="1">
        <v>3.3</v>
      </c>
      <c r="M266" s="1">
        <f t="shared" si="49"/>
        <v>260.00000000000017</v>
      </c>
      <c r="N266" s="8">
        <f t="shared" si="45"/>
        <v>-3.3</v>
      </c>
      <c r="O266" s="1">
        <f t="shared" si="42"/>
        <v>129.09999999999991</v>
      </c>
      <c r="P266" s="1">
        <v>227</v>
      </c>
      <c r="Q266" s="1">
        <v>1.1499999999999999</v>
      </c>
      <c r="R266" s="9">
        <f t="shared" si="46"/>
        <v>3.7949999999999995</v>
      </c>
      <c r="S266" s="9">
        <f t="shared" si="43"/>
        <v>-3.7949999999999995</v>
      </c>
      <c r="T266" s="9">
        <f t="shared" si="51"/>
        <v>117.42000000000004</v>
      </c>
      <c r="U266" s="9">
        <f>MAX(T255:T275)</f>
        <v>146.79500000000004</v>
      </c>
      <c r="V266" s="1">
        <v>1921.9</v>
      </c>
      <c r="W266" s="1">
        <f t="shared" si="44"/>
        <v>206.65591397849462</v>
      </c>
      <c r="X266" s="1">
        <f t="shared" si="50"/>
        <v>134271</v>
      </c>
      <c r="Y266" s="1">
        <f t="shared" si="52"/>
        <v>18238.7</v>
      </c>
      <c r="AA266" s="1">
        <v>13.9269991036858</v>
      </c>
    </row>
    <row r="267" spans="1:27" s="1" customFormat="1" x14ac:dyDescent="0.25">
      <c r="A267" s="83"/>
      <c r="C267" s="3">
        <v>41748</v>
      </c>
      <c r="D267" s="1">
        <v>9.3000000000000007</v>
      </c>
      <c r="E267" s="12">
        <v>3.7</v>
      </c>
      <c r="F267" s="1">
        <v>12.6</v>
      </c>
      <c r="G267" s="1">
        <f t="shared" si="47"/>
        <v>1935.6999999999994</v>
      </c>
      <c r="H267" s="1">
        <f t="shared" si="53"/>
        <v>125.69999999999999</v>
      </c>
      <c r="I267" s="28" t="s">
        <v>17</v>
      </c>
      <c r="J267" s="1">
        <v>0</v>
      </c>
      <c r="K267" s="1">
        <f t="shared" si="48"/>
        <v>472.4</v>
      </c>
      <c r="L267" s="1">
        <v>2.5</v>
      </c>
      <c r="M267" s="1">
        <f t="shared" si="49"/>
        <v>262.50000000000017</v>
      </c>
      <c r="N267" s="8">
        <f t="shared" si="45"/>
        <v>-2.5</v>
      </c>
      <c r="O267" s="1">
        <f t="shared" si="42"/>
        <v>126.59999999999991</v>
      </c>
      <c r="P267" s="1">
        <v>228</v>
      </c>
      <c r="Q267" s="1">
        <v>1.1499999999999999</v>
      </c>
      <c r="R267" s="9">
        <f t="shared" si="46"/>
        <v>2.875</v>
      </c>
      <c r="S267" s="9">
        <f t="shared" si="43"/>
        <v>-2.875</v>
      </c>
      <c r="T267" s="9">
        <f t="shared" si="51"/>
        <v>114.54500000000004</v>
      </c>
      <c r="U267" s="28" t="s">
        <v>18</v>
      </c>
      <c r="V267" s="1">
        <v>1771.6</v>
      </c>
      <c r="W267" s="1">
        <f t="shared" si="44"/>
        <v>190.49462365591395</v>
      </c>
      <c r="X267" s="1">
        <f t="shared" si="50"/>
        <v>136042.6</v>
      </c>
      <c r="Y267" s="1">
        <f t="shared" si="52"/>
        <v>20010.3</v>
      </c>
      <c r="AA267" s="1">
        <v>13.9856742883214</v>
      </c>
    </row>
    <row r="268" spans="1:27" s="1" customFormat="1" x14ac:dyDescent="0.25">
      <c r="A268" s="83"/>
      <c r="C268" s="3">
        <v>41749</v>
      </c>
      <c r="D268" s="1">
        <v>12.4</v>
      </c>
      <c r="E268" s="1">
        <v>10.7</v>
      </c>
      <c r="F268" s="1">
        <v>15.3</v>
      </c>
      <c r="G268" s="1">
        <f t="shared" si="47"/>
        <v>1948.0999999999995</v>
      </c>
      <c r="H268" s="1">
        <f t="shared" si="53"/>
        <v>138.1</v>
      </c>
      <c r="I268" s="1">
        <v>218.5</v>
      </c>
      <c r="J268" s="1">
        <v>0</v>
      </c>
      <c r="K268" s="1">
        <f t="shared" si="48"/>
        <v>472.4</v>
      </c>
      <c r="L268" s="1">
        <v>2.4</v>
      </c>
      <c r="M268" s="1">
        <f t="shared" si="49"/>
        <v>264.90000000000015</v>
      </c>
      <c r="N268" s="8">
        <f t="shared" si="45"/>
        <v>-2.4</v>
      </c>
      <c r="O268" s="1">
        <f t="shared" si="42"/>
        <v>124.1999999999999</v>
      </c>
      <c r="P268" s="1">
        <v>229</v>
      </c>
      <c r="Q268" s="1">
        <v>1.1499999999999999</v>
      </c>
      <c r="R268" s="9">
        <f t="shared" si="46"/>
        <v>2.76</v>
      </c>
      <c r="S268" s="9">
        <f t="shared" si="43"/>
        <v>-2.76</v>
      </c>
      <c r="T268" s="9">
        <f t="shared" si="51"/>
        <v>111.78500000000004</v>
      </c>
      <c r="U268" s="11">
        <f>AVERAGE(T255:T275)</f>
        <v>123.2480952380953</v>
      </c>
      <c r="V268" s="1">
        <v>953.6</v>
      </c>
      <c r="W268" s="1">
        <f t="shared" si="44"/>
        <v>76.903225806451616</v>
      </c>
      <c r="X268" s="1">
        <f t="shared" si="50"/>
        <v>136996.20000000001</v>
      </c>
      <c r="Y268" s="1">
        <f t="shared" si="52"/>
        <v>20963.899999999998</v>
      </c>
      <c r="AA268" s="1">
        <v>14.044092846166601</v>
      </c>
    </row>
    <row r="269" spans="1:27" s="1" customFormat="1" x14ac:dyDescent="0.25">
      <c r="A269" s="83"/>
      <c r="C269" s="3">
        <v>41750</v>
      </c>
      <c r="D269" s="1">
        <v>11.2</v>
      </c>
      <c r="E269" s="1">
        <v>6.1</v>
      </c>
      <c r="F269" s="1">
        <v>16.2</v>
      </c>
      <c r="G269" s="1">
        <f t="shared" si="47"/>
        <v>1959.2999999999995</v>
      </c>
      <c r="H269" s="1">
        <f t="shared" si="53"/>
        <v>149.29999999999998</v>
      </c>
      <c r="J269" s="1">
        <v>0</v>
      </c>
      <c r="K269" s="1">
        <f t="shared" si="48"/>
        <v>472.4</v>
      </c>
      <c r="L269" s="1">
        <v>1.8</v>
      </c>
      <c r="M269" s="1">
        <f t="shared" si="49"/>
        <v>266.70000000000016</v>
      </c>
      <c r="N269" s="8">
        <f t="shared" si="45"/>
        <v>-1.8</v>
      </c>
      <c r="O269" s="1">
        <f t="shared" si="42"/>
        <v>122.39999999999991</v>
      </c>
      <c r="P269" s="1">
        <v>230</v>
      </c>
      <c r="Q269" s="1">
        <v>1.1499999999999999</v>
      </c>
      <c r="R269" s="9">
        <f t="shared" si="46"/>
        <v>2.0699999999999998</v>
      </c>
      <c r="S269" s="9">
        <f t="shared" si="43"/>
        <v>-2.0699999999999998</v>
      </c>
      <c r="T269" s="9">
        <f t="shared" si="51"/>
        <v>109.71500000000005</v>
      </c>
      <c r="U269" s="9">
        <f>(U268*100)/189.6</f>
        <v>65.004269640345626</v>
      </c>
      <c r="V269" s="1">
        <v>1067.0999999999999</v>
      </c>
      <c r="W269" s="1">
        <f t="shared" si="44"/>
        <v>95.276785714285708</v>
      </c>
      <c r="X269" s="1">
        <f t="shared" si="50"/>
        <v>138063.30000000002</v>
      </c>
      <c r="Y269" s="1">
        <f t="shared" si="52"/>
        <v>22030.999999999996</v>
      </c>
      <c r="AA269" s="1">
        <v>14.102241603031301</v>
      </c>
    </row>
    <row r="270" spans="1:27" s="1" customFormat="1" x14ac:dyDescent="0.25">
      <c r="A270" s="83"/>
      <c r="C270" s="3">
        <v>41751</v>
      </c>
      <c r="D270" s="1">
        <v>12</v>
      </c>
      <c r="E270" s="1">
        <v>9.4</v>
      </c>
      <c r="F270" s="1">
        <v>17.600000000000001</v>
      </c>
      <c r="G270" s="1">
        <f t="shared" si="47"/>
        <v>1971.2999999999995</v>
      </c>
      <c r="H270" s="1">
        <f t="shared" si="53"/>
        <v>161.29999999999998</v>
      </c>
      <c r="J270" s="1">
        <v>1.8</v>
      </c>
      <c r="K270" s="1">
        <f t="shared" si="48"/>
        <v>474.2</v>
      </c>
      <c r="L270" s="1">
        <v>2.2000000000000002</v>
      </c>
      <c r="M270" s="1">
        <f t="shared" si="49"/>
        <v>268.90000000000015</v>
      </c>
      <c r="N270" s="8">
        <f t="shared" si="45"/>
        <v>-0.40000000000000013</v>
      </c>
      <c r="O270" s="1">
        <f t="shared" si="42"/>
        <v>121.9999999999999</v>
      </c>
      <c r="P270" s="1">
        <v>231</v>
      </c>
      <c r="Q270" s="1">
        <v>1.1499999999999999</v>
      </c>
      <c r="R270" s="9">
        <f t="shared" si="46"/>
        <v>2.5299999999999998</v>
      </c>
      <c r="S270" s="9">
        <f t="shared" si="43"/>
        <v>-0.72999999999999976</v>
      </c>
      <c r="T270" s="9">
        <f t="shared" si="51"/>
        <v>108.98500000000004</v>
      </c>
      <c r="V270" s="1">
        <v>1164.9000000000001</v>
      </c>
      <c r="W270" s="1">
        <f t="shared" si="44"/>
        <v>97.075000000000003</v>
      </c>
      <c r="X270" s="1">
        <f t="shared" si="50"/>
        <v>139228.20000000001</v>
      </c>
      <c r="Y270" s="1">
        <f t="shared" si="52"/>
        <v>23195.899999999998</v>
      </c>
      <c r="AA270" s="1">
        <v>14.1601068874331</v>
      </c>
    </row>
    <row r="271" spans="1:27" s="1" customFormat="1" x14ac:dyDescent="0.25">
      <c r="A271" s="83"/>
      <c r="C271" s="3">
        <v>41752</v>
      </c>
      <c r="D271" s="1">
        <v>12.4</v>
      </c>
      <c r="E271" s="1">
        <v>6.6</v>
      </c>
      <c r="F271" s="1">
        <v>17.7</v>
      </c>
      <c r="G271" s="1">
        <f t="shared" si="47"/>
        <v>1983.6999999999996</v>
      </c>
      <c r="H271" s="1">
        <f t="shared" si="53"/>
        <v>173.7</v>
      </c>
      <c r="J271" s="1">
        <v>0</v>
      </c>
      <c r="K271" s="1">
        <f t="shared" si="48"/>
        <v>474.2</v>
      </c>
      <c r="L271" s="1">
        <v>2.1</v>
      </c>
      <c r="M271" s="1">
        <f t="shared" si="49"/>
        <v>271.00000000000017</v>
      </c>
      <c r="N271" s="8">
        <f t="shared" si="45"/>
        <v>-2.1</v>
      </c>
      <c r="O271" s="1">
        <f t="shared" si="42"/>
        <v>119.89999999999991</v>
      </c>
      <c r="P271" s="1">
        <v>232</v>
      </c>
      <c r="Q271" s="1">
        <v>1.1499999999999999</v>
      </c>
      <c r="R271" s="9">
        <f t="shared" si="46"/>
        <v>2.415</v>
      </c>
      <c r="S271" s="9">
        <f t="shared" si="43"/>
        <v>-2.415</v>
      </c>
      <c r="T271" s="9">
        <f t="shared" si="51"/>
        <v>106.57000000000004</v>
      </c>
      <c r="V271" s="1">
        <v>1399.3</v>
      </c>
      <c r="W271" s="1">
        <f t="shared" si="44"/>
        <v>112.84677419354838</v>
      </c>
      <c r="X271" s="1">
        <f t="shared" si="50"/>
        <v>140627.5</v>
      </c>
      <c r="Y271" s="1">
        <f t="shared" si="52"/>
        <v>24595.199999999997</v>
      </c>
      <c r="AA271" s="1">
        <v>14.2176745178259</v>
      </c>
    </row>
    <row r="272" spans="1:27" s="1" customFormat="1" x14ac:dyDescent="0.25">
      <c r="A272" s="83"/>
      <c r="C272" s="3">
        <v>41753</v>
      </c>
      <c r="D272" s="1">
        <v>13.2</v>
      </c>
      <c r="E272" s="1">
        <v>10.1</v>
      </c>
      <c r="F272" s="1">
        <v>16</v>
      </c>
      <c r="G272" s="1">
        <f t="shared" si="47"/>
        <v>1996.8999999999996</v>
      </c>
      <c r="H272" s="1">
        <f t="shared" si="53"/>
        <v>186.89999999999998</v>
      </c>
      <c r="J272" s="1">
        <v>1.4</v>
      </c>
      <c r="K272" s="1">
        <f t="shared" si="48"/>
        <v>475.59999999999997</v>
      </c>
      <c r="L272" s="1">
        <v>1</v>
      </c>
      <c r="M272" s="1">
        <f t="shared" si="49"/>
        <v>272.00000000000017</v>
      </c>
      <c r="N272" s="1">
        <f t="shared" si="45"/>
        <v>0.39999999999999991</v>
      </c>
      <c r="O272" s="1">
        <f t="shared" si="42"/>
        <v>120.29999999999991</v>
      </c>
      <c r="P272" s="1">
        <v>233</v>
      </c>
      <c r="Q272" s="1">
        <v>1.1499999999999999</v>
      </c>
      <c r="R272" s="9">
        <f t="shared" si="46"/>
        <v>1.1499999999999999</v>
      </c>
      <c r="S272" s="9">
        <f t="shared" si="43"/>
        <v>0.25</v>
      </c>
      <c r="T272" s="9">
        <f t="shared" si="51"/>
        <v>106.82000000000004</v>
      </c>
      <c r="V272" s="10">
        <v>535.9</v>
      </c>
      <c r="W272" s="1">
        <f t="shared" si="44"/>
        <v>40.598484848484851</v>
      </c>
      <c r="X272" s="1">
        <f t="shared" si="50"/>
        <v>141163.4</v>
      </c>
      <c r="Y272" s="1">
        <f t="shared" si="52"/>
        <v>25131.1</v>
      </c>
      <c r="AA272" s="1">
        <v>14.274929790539</v>
      </c>
    </row>
    <row r="273" spans="1:27" s="1" customFormat="1" x14ac:dyDescent="0.25">
      <c r="A273" s="83"/>
      <c r="C273" s="3">
        <v>41754</v>
      </c>
      <c r="D273" s="1">
        <v>12.5</v>
      </c>
      <c r="E273" s="1">
        <v>12</v>
      </c>
      <c r="F273" s="1">
        <v>16.2</v>
      </c>
      <c r="G273" s="1">
        <f t="shared" si="47"/>
        <v>2009.3999999999996</v>
      </c>
      <c r="H273" s="1">
        <f t="shared" si="53"/>
        <v>199.39999999999998</v>
      </c>
      <c r="J273" s="1">
        <v>2.2000000000000002</v>
      </c>
      <c r="K273" s="1">
        <f t="shared" si="48"/>
        <v>477.79999999999995</v>
      </c>
      <c r="L273" s="1">
        <v>1.9</v>
      </c>
      <c r="M273" s="1">
        <f t="shared" si="49"/>
        <v>273.90000000000015</v>
      </c>
      <c r="N273" s="1">
        <f t="shared" si="45"/>
        <v>0.30000000000000027</v>
      </c>
      <c r="O273" s="1">
        <f t="shared" si="42"/>
        <v>120.59999999999991</v>
      </c>
      <c r="P273" s="1">
        <v>234</v>
      </c>
      <c r="Q273" s="1">
        <v>1.1499999999999999</v>
      </c>
      <c r="R273" s="9">
        <f t="shared" si="46"/>
        <v>2.1849999999999996</v>
      </c>
      <c r="S273" s="9">
        <f t="shared" si="43"/>
        <v>1.5000000000000568E-2</v>
      </c>
      <c r="T273" s="9">
        <f t="shared" si="51"/>
        <v>106.83500000000004</v>
      </c>
      <c r="V273" s="1">
        <v>950.4</v>
      </c>
      <c r="W273" s="1">
        <f t="shared" si="44"/>
        <v>76.031999999999996</v>
      </c>
      <c r="X273" s="1">
        <f t="shared" si="50"/>
        <v>142113.79999999999</v>
      </c>
      <c r="Y273" s="1">
        <f t="shared" si="52"/>
        <v>26081.5</v>
      </c>
      <c r="AA273" s="1">
        <v>14.3318574685045</v>
      </c>
    </row>
    <row r="274" spans="1:27" s="1" customFormat="1" x14ac:dyDescent="0.25">
      <c r="A274" s="83"/>
      <c r="C274" s="3">
        <v>41755</v>
      </c>
      <c r="D274" s="1">
        <v>9.4</v>
      </c>
      <c r="E274" s="1">
        <v>6.8</v>
      </c>
      <c r="F274" s="1">
        <v>11.6</v>
      </c>
      <c r="G274" s="1">
        <f t="shared" si="47"/>
        <v>2018.7999999999997</v>
      </c>
      <c r="H274" s="1">
        <f t="shared" si="53"/>
        <v>208.79999999999998</v>
      </c>
      <c r="J274" s="1">
        <v>3.4</v>
      </c>
      <c r="K274" s="1">
        <f t="shared" si="48"/>
        <v>481.19999999999993</v>
      </c>
      <c r="L274" s="1">
        <v>0.8</v>
      </c>
      <c r="M274" s="1">
        <f t="shared" si="49"/>
        <v>274.70000000000016</v>
      </c>
      <c r="N274" s="1">
        <f t="shared" si="45"/>
        <v>2.5999999999999996</v>
      </c>
      <c r="O274" s="1">
        <f t="shared" si="42"/>
        <v>123.1999999999999</v>
      </c>
      <c r="P274" s="1">
        <v>235</v>
      </c>
      <c r="Q274" s="1">
        <v>1.1499999999999999</v>
      </c>
      <c r="R274" s="9">
        <f t="shared" si="46"/>
        <v>0.91999999999999993</v>
      </c>
      <c r="S274" s="9">
        <f t="shared" si="43"/>
        <v>2.48</v>
      </c>
      <c r="T274" s="9">
        <f t="shared" si="51"/>
        <v>109.31500000000004</v>
      </c>
      <c r="V274" s="10">
        <v>623.6</v>
      </c>
      <c r="W274" s="1">
        <f t="shared" si="44"/>
        <v>66.340425531914889</v>
      </c>
      <c r="X274" s="1">
        <f t="shared" si="50"/>
        <v>142737.4</v>
      </c>
      <c r="Y274" s="1">
        <f t="shared" si="52"/>
        <v>26705.1</v>
      </c>
      <c r="AA274" s="1">
        <v>14.3884417708522</v>
      </c>
    </row>
    <row r="275" spans="1:27" s="48" customFormat="1" ht="15.75" thickBot="1" x14ac:dyDescent="0.3">
      <c r="A275" s="83"/>
      <c r="B275" s="46" t="s">
        <v>23</v>
      </c>
      <c r="C275" s="47">
        <v>41756</v>
      </c>
      <c r="D275" s="48">
        <v>9.6999999999999993</v>
      </c>
      <c r="E275" s="48">
        <v>7.2</v>
      </c>
      <c r="F275" s="48">
        <v>12.7</v>
      </c>
      <c r="G275" s="48">
        <f t="shared" si="47"/>
        <v>2028.4999999999998</v>
      </c>
      <c r="H275" s="48">
        <f t="shared" si="53"/>
        <v>218.49999999999997</v>
      </c>
      <c r="J275" s="48">
        <v>1</v>
      </c>
      <c r="K275" s="48">
        <f t="shared" si="48"/>
        <v>482.19999999999993</v>
      </c>
      <c r="L275" s="48">
        <v>1.1000000000000001</v>
      </c>
      <c r="M275" s="48">
        <f t="shared" si="49"/>
        <v>275.80000000000018</v>
      </c>
      <c r="N275" s="49">
        <f t="shared" si="45"/>
        <v>-0.10000000000000009</v>
      </c>
      <c r="O275" s="48">
        <f t="shared" si="42"/>
        <v>123.09999999999991</v>
      </c>
      <c r="P275" s="48">
        <v>236</v>
      </c>
      <c r="Q275" s="48">
        <v>1.1499999999999999</v>
      </c>
      <c r="R275" s="50">
        <f t="shared" si="46"/>
        <v>1.2649999999999999</v>
      </c>
      <c r="S275" s="50">
        <f t="shared" si="43"/>
        <v>-0.2649999999999999</v>
      </c>
      <c r="T275" s="44">
        <f t="shared" si="51"/>
        <v>109.05000000000004</v>
      </c>
      <c r="V275" s="45">
        <v>744.8</v>
      </c>
      <c r="W275" s="48">
        <f t="shared" si="44"/>
        <v>76.783505154639172</v>
      </c>
      <c r="X275" s="48">
        <f t="shared" si="50"/>
        <v>143482.19999999998</v>
      </c>
      <c r="Y275" s="48">
        <f t="shared" si="52"/>
        <v>27449.899999999998</v>
      </c>
      <c r="AA275" s="42">
        <v>14.4446663634609</v>
      </c>
    </row>
    <row r="276" spans="1:27" s="30" customFormat="1" x14ac:dyDescent="0.25">
      <c r="A276" s="72">
        <v>300</v>
      </c>
      <c r="B276" s="17"/>
      <c r="C276" s="29">
        <v>41757</v>
      </c>
      <c r="D276" s="21">
        <v>10.7</v>
      </c>
      <c r="E276" s="21">
        <v>7</v>
      </c>
      <c r="F276" s="21">
        <v>13.7</v>
      </c>
      <c r="G276" s="21">
        <f t="shared" si="47"/>
        <v>2039.1999999999998</v>
      </c>
      <c r="H276" s="21">
        <v>10.7</v>
      </c>
      <c r="I276" s="21"/>
      <c r="J276" s="21">
        <v>0</v>
      </c>
      <c r="K276" s="21">
        <f t="shared" si="48"/>
        <v>482.19999999999993</v>
      </c>
      <c r="L276" s="21">
        <v>1.8</v>
      </c>
      <c r="M276" s="21">
        <f t="shared" si="49"/>
        <v>277.60000000000019</v>
      </c>
      <c r="N276" s="21">
        <f t="shared" si="45"/>
        <v>-1.8</v>
      </c>
      <c r="O276" s="21">
        <f t="shared" si="42"/>
        <v>121.29999999999991</v>
      </c>
      <c r="P276" s="21">
        <v>237</v>
      </c>
      <c r="Q276" s="21">
        <v>1.1499999999999999</v>
      </c>
      <c r="R276" s="22">
        <f t="shared" si="46"/>
        <v>2.0699999999999998</v>
      </c>
      <c r="S276" s="22">
        <f t="shared" si="43"/>
        <v>-2.0699999999999998</v>
      </c>
      <c r="T276" s="9">
        <f t="shared" si="51"/>
        <v>106.98000000000005</v>
      </c>
      <c r="U276" s="21"/>
      <c r="V276" s="21">
        <v>1398.1</v>
      </c>
      <c r="W276" s="21">
        <f t="shared" si="44"/>
        <v>130.66355140186917</v>
      </c>
      <c r="X276" s="21">
        <f t="shared" si="50"/>
        <v>144880.29999999999</v>
      </c>
      <c r="Y276" s="21">
        <v>1398.1</v>
      </c>
      <c r="Z276" s="21"/>
      <c r="AA276" s="1">
        <v>14.5005143505566</v>
      </c>
    </row>
    <row r="277" spans="1:27" s="1" customFormat="1" ht="15" customHeight="1" x14ac:dyDescent="0.25">
      <c r="A277" s="72"/>
      <c r="B277" s="5"/>
      <c r="C277" s="3">
        <v>41758</v>
      </c>
      <c r="D277" s="1">
        <v>11.5</v>
      </c>
      <c r="E277" s="1">
        <v>6.8</v>
      </c>
      <c r="F277" s="1">
        <v>16.7</v>
      </c>
      <c r="G277" s="1">
        <f t="shared" si="47"/>
        <v>2050.6999999999998</v>
      </c>
      <c r="H277" s="1">
        <f>H276+D277</f>
        <v>22.2</v>
      </c>
      <c r="I277" s="31" t="s">
        <v>2</v>
      </c>
      <c r="J277" s="1">
        <v>2</v>
      </c>
      <c r="K277" s="1">
        <f t="shared" si="48"/>
        <v>484.19999999999993</v>
      </c>
      <c r="L277" s="1">
        <v>1.8</v>
      </c>
      <c r="M277" s="1">
        <f t="shared" si="49"/>
        <v>279.4000000000002</v>
      </c>
      <c r="N277" s="1">
        <f t="shared" si="45"/>
        <v>0.19999999999999996</v>
      </c>
      <c r="O277" s="1">
        <f t="shared" si="42"/>
        <v>121.49999999999991</v>
      </c>
      <c r="P277" s="1">
        <v>238</v>
      </c>
      <c r="Q277" s="1">
        <v>1.1499999999999999</v>
      </c>
      <c r="R277" s="9">
        <f t="shared" si="46"/>
        <v>2.0699999999999998</v>
      </c>
      <c r="S277" s="9">
        <f t="shared" si="43"/>
        <v>-6.999999999999984E-2</v>
      </c>
      <c r="T277" s="9">
        <f t="shared" si="51"/>
        <v>106.91000000000005</v>
      </c>
      <c r="U277" s="31" t="s">
        <v>3</v>
      </c>
      <c r="V277" s="1">
        <v>1194.4000000000001</v>
      </c>
      <c r="W277" s="1">
        <f t="shared" si="44"/>
        <v>103.8608695652174</v>
      </c>
      <c r="X277" s="1">
        <f t="shared" si="50"/>
        <v>146074.69999999998</v>
      </c>
      <c r="Y277" s="1">
        <f>Y276+V277</f>
        <v>2592.5</v>
      </c>
      <c r="Z277" s="31" t="s">
        <v>4</v>
      </c>
      <c r="AA277" s="1">
        <v>14.555968267454601</v>
      </c>
    </row>
    <row r="278" spans="1:27" s="1" customFormat="1" x14ac:dyDescent="0.25">
      <c r="A278" s="72"/>
      <c r="B278" s="5"/>
      <c r="C278" s="3">
        <v>41759</v>
      </c>
      <c r="D278" s="1">
        <v>12.5</v>
      </c>
      <c r="E278" s="1">
        <v>8.6</v>
      </c>
      <c r="F278" s="1">
        <v>16.8</v>
      </c>
      <c r="G278" s="1">
        <f t="shared" si="47"/>
        <v>2063.1999999999998</v>
      </c>
      <c r="H278" s="1">
        <f t="shared" si="53"/>
        <v>34.700000000000003</v>
      </c>
      <c r="I278" s="1">
        <v>4.3</v>
      </c>
      <c r="J278" s="1">
        <v>1.8</v>
      </c>
      <c r="K278" s="1">
        <f t="shared" si="48"/>
        <v>485.99999999999994</v>
      </c>
      <c r="L278" s="1">
        <v>3</v>
      </c>
      <c r="M278" s="1">
        <f t="shared" si="49"/>
        <v>282.4000000000002</v>
      </c>
      <c r="N278" s="8">
        <f t="shared" si="45"/>
        <v>-1.2</v>
      </c>
      <c r="O278" s="1">
        <f t="shared" si="42"/>
        <v>120.29999999999991</v>
      </c>
      <c r="P278" s="1">
        <v>239</v>
      </c>
      <c r="Q278" s="1">
        <v>1.1499999999999999</v>
      </c>
      <c r="R278" s="9">
        <f t="shared" si="46"/>
        <v>3.4499999999999997</v>
      </c>
      <c r="S278" s="9">
        <f t="shared" si="43"/>
        <v>-1.6499999999999997</v>
      </c>
      <c r="T278" s="9">
        <f t="shared" si="51"/>
        <v>105.26000000000005</v>
      </c>
      <c r="V278" s="1">
        <v>1825.6</v>
      </c>
      <c r="W278" s="1">
        <f t="shared" si="44"/>
        <v>146.048</v>
      </c>
      <c r="X278" s="1">
        <f t="shared" si="50"/>
        <v>147900.29999999999</v>
      </c>
      <c r="Y278" s="1">
        <f>Y277+V278</f>
        <v>4418.1000000000004</v>
      </c>
      <c r="Z278" s="1">
        <v>38204.6</v>
      </c>
      <c r="AA278" s="1">
        <v>14.6110100745474</v>
      </c>
    </row>
    <row r="279" spans="1:27" s="1" customFormat="1" x14ac:dyDescent="0.25">
      <c r="A279" s="72"/>
      <c r="B279" s="5"/>
      <c r="C279" s="3">
        <v>41760</v>
      </c>
      <c r="D279" s="1">
        <v>11.2</v>
      </c>
      <c r="E279" s="1">
        <v>8.4</v>
      </c>
      <c r="F279" s="1">
        <v>12.7</v>
      </c>
      <c r="G279" s="1">
        <f t="shared" si="47"/>
        <v>2074.3999999999996</v>
      </c>
      <c r="H279" s="1">
        <f t="shared" si="53"/>
        <v>45.900000000000006</v>
      </c>
      <c r="I279" s="31" t="s">
        <v>5</v>
      </c>
      <c r="J279" s="1">
        <v>11.2</v>
      </c>
      <c r="K279" s="1">
        <f t="shared" si="48"/>
        <v>497.19999999999993</v>
      </c>
      <c r="L279" s="1">
        <v>1.1000000000000001</v>
      </c>
      <c r="M279" s="1">
        <f t="shared" si="49"/>
        <v>283.50000000000023</v>
      </c>
      <c r="N279" s="1">
        <f t="shared" si="45"/>
        <v>10.1</v>
      </c>
      <c r="O279" s="1">
        <f t="shared" si="42"/>
        <v>130.39999999999992</v>
      </c>
      <c r="P279" s="1">
        <v>240</v>
      </c>
      <c r="Q279" s="1">
        <v>1.1499999999999999</v>
      </c>
      <c r="R279" s="9">
        <f t="shared" si="46"/>
        <v>1.2649999999999999</v>
      </c>
      <c r="S279" s="9">
        <f t="shared" si="43"/>
        <v>9.9349999999999987</v>
      </c>
      <c r="T279" s="9">
        <f t="shared" si="51"/>
        <v>115.19500000000005</v>
      </c>
      <c r="U279" s="31" t="s">
        <v>6</v>
      </c>
      <c r="V279" s="10">
        <v>766</v>
      </c>
      <c r="W279" s="1">
        <f t="shared" si="44"/>
        <v>68.392857142857153</v>
      </c>
      <c r="X279" s="1">
        <f t="shared" si="50"/>
        <v>148666.29999999999</v>
      </c>
      <c r="Y279" s="1">
        <f t="shared" si="52"/>
        <v>5184.1000000000004</v>
      </c>
      <c r="Z279" s="31" t="s">
        <v>7</v>
      </c>
      <c r="AA279" s="1">
        <v>14.665621152643499</v>
      </c>
    </row>
    <row r="280" spans="1:27" s="1" customFormat="1" x14ac:dyDescent="0.25">
      <c r="A280" s="72"/>
      <c r="B280" s="5"/>
      <c r="C280" s="3">
        <v>41761</v>
      </c>
      <c r="D280" s="1">
        <v>11</v>
      </c>
      <c r="E280" s="1">
        <v>10.3</v>
      </c>
      <c r="F280" s="1">
        <v>14.4</v>
      </c>
      <c r="G280" s="1">
        <f t="shared" si="47"/>
        <v>2085.3999999999996</v>
      </c>
      <c r="H280" s="1">
        <f t="shared" si="53"/>
        <v>56.900000000000006</v>
      </c>
      <c r="I280" s="1">
        <f>MAX(F276:F300)</f>
        <v>24.4</v>
      </c>
      <c r="J280" s="1">
        <v>0.3</v>
      </c>
      <c r="K280" s="1">
        <f t="shared" si="48"/>
        <v>497.49999999999994</v>
      </c>
      <c r="L280" s="1">
        <v>2.1</v>
      </c>
      <c r="M280" s="1">
        <f t="shared" si="49"/>
        <v>285.60000000000025</v>
      </c>
      <c r="N280" s="8">
        <f t="shared" si="45"/>
        <v>-1.8</v>
      </c>
      <c r="O280" s="1">
        <f t="shared" si="42"/>
        <v>128.59999999999991</v>
      </c>
      <c r="P280" s="1">
        <v>241</v>
      </c>
      <c r="Q280" s="1">
        <v>1.1499999999999999</v>
      </c>
      <c r="R280" s="9">
        <f t="shared" si="46"/>
        <v>2.415</v>
      </c>
      <c r="S280" s="9">
        <f t="shared" si="43"/>
        <v>-2.1150000000000002</v>
      </c>
      <c r="T280" s="9">
        <f t="shared" si="51"/>
        <v>113.08000000000006</v>
      </c>
      <c r="V280" s="1">
        <v>1060.5</v>
      </c>
      <c r="W280" s="1">
        <f t="shared" si="44"/>
        <v>96.409090909090907</v>
      </c>
      <c r="X280" s="1">
        <f t="shared" si="50"/>
        <v>149726.79999999999</v>
      </c>
      <c r="Y280" s="1">
        <f t="shared" si="52"/>
        <v>6244.6</v>
      </c>
      <c r="Z280" s="11">
        <f>(Z278/100)/I290</f>
        <v>1.2292342342342342</v>
      </c>
      <c r="AA280" s="1">
        <v>14.7197822997689</v>
      </c>
    </row>
    <row r="281" spans="1:27" s="1" customFormat="1" x14ac:dyDescent="0.25">
      <c r="A281" s="72"/>
      <c r="B281" s="5"/>
      <c r="C281" s="3">
        <v>41762</v>
      </c>
      <c r="D281" s="1">
        <v>9.1999999999999993</v>
      </c>
      <c r="E281" s="1">
        <v>5.8</v>
      </c>
      <c r="F281" s="1">
        <v>13.2</v>
      </c>
      <c r="G281" s="1">
        <f t="shared" si="47"/>
        <v>2094.5999999999995</v>
      </c>
      <c r="H281" s="1">
        <f t="shared" si="53"/>
        <v>66.100000000000009</v>
      </c>
      <c r="I281" s="31" t="s">
        <v>8</v>
      </c>
      <c r="J281" s="1">
        <v>0</v>
      </c>
      <c r="K281" s="1">
        <f t="shared" si="48"/>
        <v>497.49999999999994</v>
      </c>
      <c r="L281" s="1">
        <v>2.9</v>
      </c>
      <c r="M281" s="1">
        <f t="shared" si="49"/>
        <v>288.50000000000023</v>
      </c>
      <c r="N281" s="8">
        <f t="shared" si="45"/>
        <v>-2.9</v>
      </c>
      <c r="O281" s="1">
        <f t="shared" si="42"/>
        <v>125.6999999999999</v>
      </c>
      <c r="P281" s="1">
        <v>242</v>
      </c>
      <c r="Q281" s="1">
        <v>1.1499999999999999</v>
      </c>
      <c r="R281" s="9">
        <f t="shared" si="46"/>
        <v>3.3349999999999995</v>
      </c>
      <c r="S281" s="9">
        <f t="shared" si="43"/>
        <v>-3.3349999999999995</v>
      </c>
      <c r="T281" s="9">
        <f t="shared" si="51"/>
        <v>109.74500000000006</v>
      </c>
      <c r="U281" s="31" t="s">
        <v>9</v>
      </c>
      <c r="V281" s="1">
        <v>2011.6</v>
      </c>
      <c r="W281" s="1">
        <f t="shared" si="44"/>
        <v>218.6521739130435</v>
      </c>
      <c r="X281" s="1">
        <f t="shared" si="50"/>
        <v>151738.4</v>
      </c>
      <c r="Y281" s="1">
        <f t="shared" si="52"/>
        <v>8256.2000000000007</v>
      </c>
      <c r="Z281" s="31" t="s">
        <v>10</v>
      </c>
      <c r="AA281" s="1">
        <v>14.7734737295446</v>
      </c>
    </row>
    <row r="282" spans="1:27" s="1" customFormat="1" x14ac:dyDescent="0.25">
      <c r="A282" s="72"/>
      <c r="B282" s="5"/>
      <c r="C282" s="3">
        <v>41763</v>
      </c>
      <c r="D282" s="1">
        <v>9.9</v>
      </c>
      <c r="E282" s="12">
        <v>4.3</v>
      </c>
      <c r="F282" s="1">
        <v>14.8</v>
      </c>
      <c r="G282" s="1">
        <f t="shared" si="47"/>
        <v>2104.4999999999995</v>
      </c>
      <c r="H282" s="1">
        <f t="shared" si="53"/>
        <v>76.000000000000014</v>
      </c>
      <c r="I282" s="9">
        <f>AVERAGE(D276:D300)</f>
        <v>12.431999999999999</v>
      </c>
      <c r="J282" s="1">
        <v>0</v>
      </c>
      <c r="K282" s="1">
        <f t="shared" si="48"/>
        <v>497.49999999999994</v>
      </c>
      <c r="L282" s="1">
        <v>2.1</v>
      </c>
      <c r="M282" s="1">
        <f t="shared" si="49"/>
        <v>290.60000000000025</v>
      </c>
      <c r="N282" s="8">
        <f t="shared" si="45"/>
        <v>-2.1</v>
      </c>
      <c r="O282" s="1">
        <f t="shared" si="42"/>
        <v>123.59999999999991</v>
      </c>
      <c r="P282" s="1">
        <v>243</v>
      </c>
      <c r="Q282" s="1">
        <v>1.1499999999999999</v>
      </c>
      <c r="R282" s="9">
        <f t="shared" si="46"/>
        <v>2.415</v>
      </c>
      <c r="S282" s="9">
        <f t="shared" si="43"/>
        <v>-2.415</v>
      </c>
      <c r="T282" s="9">
        <f t="shared" si="51"/>
        <v>107.33000000000006</v>
      </c>
      <c r="U282" s="1">
        <v>0</v>
      </c>
      <c r="V282" s="1">
        <v>1522</v>
      </c>
      <c r="W282" s="1">
        <f t="shared" si="44"/>
        <v>153.73737373737373</v>
      </c>
      <c r="X282" s="1">
        <f t="shared" si="50"/>
        <v>153260.4</v>
      </c>
      <c r="Y282" s="1">
        <f t="shared" si="52"/>
        <v>9778.2000000000007</v>
      </c>
      <c r="Z282" s="1">
        <v>6</v>
      </c>
      <c r="AA282" s="1">
        <v>14.826675071258901</v>
      </c>
    </row>
    <row r="283" spans="1:27" s="1" customFormat="1" x14ac:dyDescent="0.25">
      <c r="A283" s="72"/>
      <c r="B283" s="5"/>
      <c r="C283" s="3">
        <v>41764</v>
      </c>
      <c r="D283" s="1">
        <v>13.5</v>
      </c>
      <c r="E283" s="1">
        <v>6.6</v>
      </c>
      <c r="F283" s="1">
        <v>19.399999999999999</v>
      </c>
      <c r="G283" s="1">
        <f t="shared" si="47"/>
        <v>2117.9999999999995</v>
      </c>
      <c r="H283" s="1">
        <f t="shared" si="53"/>
        <v>89.500000000000014</v>
      </c>
      <c r="I283" s="31" t="s">
        <v>11</v>
      </c>
      <c r="J283" s="1">
        <v>0.2</v>
      </c>
      <c r="K283" s="1">
        <f t="shared" si="48"/>
        <v>497.69999999999993</v>
      </c>
      <c r="L283" s="1">
        <v>3.4</v>
      </c>
      <c r="M283" s="1">
        <f t="shared" si="49"/>
        <v>294.00000000000023</v>
      </c>
      <c r="N283" s="8">
        <f t="shared" si="45"/>
        <v>-3.1999999999999997</v>
      </c>
      <c r="O283" s="1">
        <f t="shared" si="42"/>
        <v>120.39999999999991</v>
      </c>
      <c r="P283" s="1">
        <v>244</v>
      </c>
      <c r="Q283" s="1">
        <v>1.1499999999999999</v>
      </c>
      <c r="R283" s="9">
        <f t="shared" si="46"/>
        <v>3.9099999999999997</v>
      </c>
      <c r="S283" s="9">
        <f t="shared" si="43"/>
        <v>-3.7099999999999995</v>
      </c>
      <c r="T283" s="9">
        <f t="shared" si="51"/>
        <v>103.62000000000006</v>
      </c>
      <c r="U283" s="31" t="s">
        <v>12</v>
      </c>
      <c r="V283" s="1">
        <v>2095.3000000000002</v>
      </c>
      <c r="W283" s="1">
        <f t="shared" si="44"/>
        <v>155.20740740740743</v>
      </c>
      <c r="X283" s="1">
        <f t="shared" si="50"/>
        <v>155355.69999999998</v>
      </c>
      <c r="Y283" s="1">
        <f t="shared" si="52"/>
        <v>11873.5</v>
      </c>
      <c r="AA283" s="1">
        <v>14.8793653717553</v>
      </c>
    </row>
    <row r="284" spans="1:27" s="1" customFormat="1" x14ac:dyDescent="0.25">
      <c r="A284" s="72"/>
      <c r="B284" s="5"/>
      <c r="C284" s="3">
        <v>41765</v>
      </c>
      <c r="D284" s="1">
        <v>13.6</v>
      </c>
      <c r="E284" s="1">
        <v>11.2</v>
      </c>
      <c r="F284" s="1">
        <v>17.8</v>
      </c>
      <c r="G284" s="1">
        <f t="shared" si="47"/>
        <v>2131.5999999999995</v>
      </c>
      <c r="H284" s="1">
        <f t="shared" si="53"/>
        <v>103.10000000000001</v>
      </c>
      <c r="I284" s="1">
        <v>0</v>
      </c>
      <c r="J284" s="1">
        <v>18.600000000000001</v>
      </c>
      <c r="K284" s="1">
        <f t="shared" si="48"/>
        <v>516.29999999999995</v>
      </c>
      <c r="L284" s="1">
        <v>1.9</v>
      </c>
      <c r="M284" s="1">
        <f t="shared" si="49"/>
        <v>295.9000000000002</v>
      </c>
      <c r="N284" s="1">
        <f t="shared" si="45"/>
        <v>16.700000000000003</v>
      </c>
      <c r="O284" s="1">
        <f t="shared" si="42"/>
        <v>137.09999999999991</v>
      </c>
      <c r="P284" s="1">
        <v>245</v>
      </c>
      <c r="Q284" s="1">
        <v>1.1499999999999999</v>
      </c>
      <c r="R284" s="9">
        <f t="shared" si="46"/>
        <v>2.1849999999999996</v>
      </c>
      <c r="S284" s="9">
        <f t="shared" si="43"/>
        <v>16.415000000000003</v>
      </c>
      <c r="T284" s="9">
        <f t="shared" si="51"/>
        <v>120.03500000000007</v>
      </c>
      <c r="U284" s="1">
        <v>0</v>
      </c>
      <c r="V284" s="10">
        <v>829.8</v>
      </c>
      <c r="W284" s="1">
        <f t="shared" si="44"/>
        <v>61.014705882352942</v>
      </c>
      <c r="X284" s="1">
        <f t="shared" si="50"/>
        <v>156185.49999999997</v>
      </c>
      <c r="Y284" s="1">
        <f t="shared" si="52"/>
        <v>12703.3</v>
      </c>
      <c r="AA284" s="1">
        <v>14.9315230992589</v>
      </c>
    </row>
    <row r="285" spans="1:27" s="1" customFormat="1" x14ac:dyDescent="0.25">
      <c r="A285" s="72"/>
      <c r="B285" s="5"/>
      <c r="C285" s="3">
        <v>41766</v>
      </c>
      <c r="D285" s="1">
        <v>11.8</v>
      </c>
      <c r="E285" s="1">
        <v>10.9</v>
      </c>
      <c r="F285" s="1">
        <v>13.8</v>
      </c>
      <c r="G285" s="1">
        <f t="shared" si="47"/>
        <v>2143.3999999999996</v>
      </c>
      <c r="H285" s="1">
        <f t="shared" si="53"/>
        <v>114.9</v>
      </c>
      <c r="I285" s="31" t="s">
        <v>13</v>
      </c>
      <c r="J285" s="1">
        <v>0.5</v>
      </c>
      <c r="K285" s="1">
        <f t="shared" si="48"/>
        <v>516.79999999999995</v>
      </c>
      <c r="L285" s="1">
        <v>1.9</v>
      </c>
      <c r="M285" s="1">
        <f t="shared" si="49"/>
        <v>297.80000000000018</v>
      </c>
      <c r="N285" s="8">
        <f t="shared" si="45"/>
        <v>-1.4</v>
      </c>
      <c r="O285" s="1">
        <f t="shared" ref="O285:O348" si="54">O284+N285</f>
        <v>135.6999999999999</v>
      </c>
      <c r="P285" s="1">
        <v>246</v>
      </c>
      <c r="Q285" s="1">
        <v>1.1499999999999999</v>
      </c>
      <c r="R285" s="9">
        <f t="shared" si="46"/>
        <v>2.1849999999999996</v>
      </c>
      <c r="S285" s="9">
        <f t="shared" si="43"/>
        <v>-1.6849999999999996</v>
      </c>
      <c r="T285" s="9">
        <f t="shared" si="51"/>
        <v>118.35000000000007</v>
      </c>
      <c r="U285" s="31" t="s">
        <v>14</v>
      </c>
      <c r="V285" s="1">
        <v>1144.7</v>
      </c>
      <c r="W285" s="1">
        <f t="shared" si="44"/>
        <v>97.008474576271183</v>
      </c>
      <c r="X285" s="1">
        <f t="shared" si="50"/>
        <v>157330.19999999998</v>
      </c>
      <c r="Y285" s="1">
        <f t="shared" si="52"/>
        <v>13848</v>
      </c>
      <c r="AA285" s="1">
        <v>14.9831261492678</v>
      </c>
    </row>
    <row r="286" spans="1:27" s="1" customFormat="1" x14ac:dyDescent="0.25">
      <c r="A286" s="72"/>
      <c r="B286" s="5"/>
      <c r="C286" s="3">
        <v>41767</v>
      </c>
      <c r="D286" s="1">
        <v>11.9</v>
      </c>
      <c r="E286" s="1">
        <v>8.6</v>
      </c>
      <c r="F286" s="1">
        <v>13.6</v>
      </c>
      <c r="G286" s="1">
        <f t="shared" si="47"/>
        <v>2155.2999999999997</v>
      </c>
      <c r="H286" s="1">
        <f t="shared" si="53"/>
        <v>126.80000000000001</v>
      </c>
      <c r="I286" s="1">
        <v>0</v>
      </c>
      <c r="J286" s="1">
        <v>12.7</v>
      </c>
      <c r="K286" s="1">
        <f t="shared" si="48"/>
        <v>529.5</v>
      </c>
      <c r="L286" s="1">
        <v>0.9</v>
      </c>
      <c r="M286" s="1">
        <f t="shared" si="49"/>
        <v>298.70000000000016</v>
      </c>
      <c r="N286" s="1">
        <f t="shared" si="45"/>
        <v>11.799999999999999</v>
      </c>
      <c r="O286" s="1">
        <f t="shared" si="54"/>
        <v>147.49999999999991</v>
      </c>
      <c r="P286" s="1">
        <v>247</v>
      </c>
      <c r="Q286" s="1">
        <v>1.1499999999999999</v>
      </c>
      <c r="R286" s="9">
        <f t="shared" si="46"/>
        <v>1.0349999999999999</v>
      </c>
      <c r="S286" s="9">
        <f t="shared" si="43"/>
        <v>11.664999999999999</v>
      </c>
      <c r="T286" s="9">
        <f t="shared" si="51"/>
        <v>130.01500000000007</v>
      </c>
      <c r="U286" s="9">
        <f>MIN(T276:T300)</f>
        <v>103.62000000000006</v>
      </c>
      <c r="V286" s="10">
        <v>571.70000000000005</v>
      </c>
      <c r="W286" s="1">
        <f t="shared" si="44"/>
        <v>48.042016806722692</v>
      </c>
      <c r="X286" s="1">
        <f t="shared" si="50"/>
        <v>157901.9</v>
      </c>
      <c r="Y286" s="1">
        <f t="shared" si="52"/>
        <v>14419.7</v>
      </c>
      <c r="AA286" s="1">
        <v>15.0341518526344</v>
      </c>
    </row>
    <row r="287" spans="1:27" s="1" customFormat="1" x14ac:dyDescent="0.25">
      <c r="A287" s="72"/>
      <c r="B287" s="5"/>
      <c r="C287" s="3">
        <v>41768</v>
      </c>
      <c r="D287" s="1">
        <v>12.7</v>
      </c>
      <c r="E287" s="1">
        <v>11.2</v>
      </c>
      <c r="F287" s="1">
        <v>15.3</v>
      </c>
      <c r="G287" s="1">
        <f t="shared" si="47"/>
        <v>2167.9999999999995</v>
      </c>
      <c r="H287" s="1">
        <f t="shared" si="53"/>
        <v>139.5</v>
      </c>
      <c r="I287" s="31" t="s">
        <v>15</v>
      </c>
      <c r="J287" s="1">
        <v>0</v>
      </c>
      <c r="K287" s="1">
        <f t="shared" si="48"/>
        <v>529.5</v>
      </c>
      <c r="L287" s="1">
        <v>2.5</v>
      </c>
      <c r="M287" s="1">
        <f t="shared" si="49"/>
        <v>301.20000000000016</v>
      </c>
      <c r="N287" s="8">
        <f t="shared" si="45"/>
        <v>-2.5</v>
      </c>
      <c r="O287" s="1">
        <f t="shared" si="54"/>
        <v>144.99999999999991</v>
      </c>
      <c r="P287" s="1">
        <v>248</v>
      </c>
      <c r="Q287" s="1">
        <v>1.1499999999999999</v>
      </c>
      <c r="R287" s="9">
        <f t="shared" si="46"/>
        <v>2.875</v>
      </c>
      <c r="S287" s="9">
        <f t="shared" si="43"/>
        <v>-2.875</v>
      </c>
      <c r="T287" s="9">
        <f t="shared" si="51"/>
        <v>127.14000000000007</v>
      </c>
      <c r="U287" s="31" t="s">
        <v>16</v>
      </c>
      <c r="V287" s="1">
        <v>1404.3</v>
      </c>
      <c r="W287" s="1">
        <f t="shared" si="44"/>
        <v>110.5748031496063</v>
      </c>
      <c r="X287" s="1">
        <f t="shared" si="50"/>
        <v>159306.19999999998</v>
      </c>
      <c r="Y287" s="1">
        <f t="shared" si="52"/>
        <v>15824</v>
      </c>
      <c r="AA287" s="1">
        <v>15.0845769859628</v>
      </c>
    </row>
    <row r="288" spans="1:27" s="1" customFormat="1" x14ac:dyDescent="0.25">
      <c r="A288" s="72"/>
      <c r="B288" s="5"/>
      <c r="C288" s="3">
        <v>41769</v>
      </c>
      <c r="D288" s="1">
        <v>12</v>
      </c>
      <c r="E288" s="1">
        <v>8.6999999999999993</v>
      </c>
      <c r="F288" s="1">
        <v>14.1</v>
      </c>
      <c r="G288" s="1">
        <f t="shared" si="47"/>
        <v>2179.9999999999995</v>
      </c>
      <c r="H288" s="1">
        <f t="shared" si="53"/>
        <v>151.5</v>
      </c>
      <c r="I288" s="1">
        <v>1</v>
      </c>
      <c r="J288" s="1">
        <v>6.6</v>
      </c>
      <c r="K288" s="1">
        <f t="shared" si="48"/>
        <v>536.1</v>
      </c>
      <c r="L288" s="1">
        <v>1</v>
      </c>
      <c r="M288" s="1">
        <f t="shared" si="49"/>
        <v>302.20000000000016</v>
      </c>
      <c r="N288" s="1">
        <f t="shared" si="45"/>
        <v>5.6</v>
      </c>
      <c r="O288" s="1">
        <f t="shared" si="54"/>
        <v>150.59999999999991</v>
      </c>
      <c r="P288" s="1">
        <v>249</v>
      </c>
      <c r="Q288" s="1">
        <v>1.1499999999999999</v>
      </c>
      <c r="R288" s="9">
        <f t="shared" si="46"/>
        <v>1.1499999999999999</v>
      </c>
      <c r="S288" s="9">
        <f t="shared" si="43"/>
        <v>5.4499999999999993</v>
      </c>
      <c r="T288" s="9">
        <f t="shared" si="51"/>
        <v>132.59000000000006</v>
      </c>
      <c r="U288" s="9">
        <f>MAX(T276:T300)</f>
        <v>135.12000000000006</v>
      </c>
      <c r="V288" s="10">
        <v>584.4</v>
      </c>
      <c r="W288" s="1">
        <f t="shared" si="44"/>
        <v>48.699999999999996</v>
      </c>
      <c r="X288" s="1">
        <f t="shared" si="50"/>
        <v>159890.59999999998</v>
      </c>
      <c r="Y288" s="1">
        <f t="shared" si="52"/>
        <v>16408.400000000001</v>
      </c>
      <c r="AA288" s="1">
        <v>15.1343777844481</v>
      </c>
    </row>
    <row r="289" spans="1:27" s="1" customFormat="1" x14ac:dyDescent="0.25">
      <c r="A289" s="72"/>
      <c r="B289" s="5"/>
      <c r="C289" s="3">
        <v>41770</v>
      </c>
      <c r="D289" s="1">
        <v>10.6</v>
      </c>
      <c r="E289" s="1">
        <v>9</v>
      </c>
      <c r="F289" s="1">
        <v>12.9</v>
      </c>
      <c r="G289" s="1">
        <f t="shared" si="47"/>
        <v>2190.5999999999995</v>
      </c>
      <c r="H289" s="1">
        <f t="shared" si="53"/>
        <v>162.1</v>
      </c>
      <c r="I289" s="31" t="s">
        <v>17</v>
      </c>
      <c r="J289" s="1">
        <v>1.8</v>
      </c>
      <c r="K289" s="1">
        <f t="shared" si="48"/>
        <v>537.9</v>
      </c>
      <c r="L289" s="1">
        <v>2.5</v>
      </c>
      <c r="M289" s="1">
        <f t="shared" si="49"/>
        <v>304.70000000000016</v>
      </c>
      <c r="N289" s="8">
        <f t="shared" si="45"/>
        <v>-0.7</v>
      </c>
      <c r="O289" s="1">
        <f t="shared" si="54"/>
        <v>149.89999999999992</v>
      </c>
      <c r="P289" s="1">
        <v>250</v>
      </c>
      <c r="Q289" s="1">
        <v>1.1499999999999999</v>
      </c>
      <c r="R289" s="9">
        <f t="shared" si="46"/>
        <v>2.875</v>
      </c>
      <c r="S289" s="9">
        <f t="shared" si="43"/>
        <v>-1.075</v>
      </c>
      <c r="T289" s="9">
        <f t="shared" si="51"/>
        <v>131.51500000000007</v>
      </c>
      <c r="U289" s="31" t="s">
        <v>18</v>
      </c>
      <c r="V289" s="1">
        <v>1655.6</v>
      </c>
      <c r="W289" s="1">
        <f t="shared" si="44"/>
        <v>156.18867924528303</v>
      </c>
      <c r="X289" s="1">
        <f t="shared" si="50"/>
        <v>161546.19999999998</v>
      </c>
      <c r="Y289" s="1">
        <f t="shared" si="52"/>
        <v>18064</v>
      </c>
      <c r="AA289" s="1">
        <v>15.1835299572792</v>
      </c>
    </row>
    <row r="290" spans="1:27" s="1" customFormat="1" x14ac:dyDescent="0.25">
      <c r="A290" s="72"/>
      <c r="B290" s="5"/>
      <c r="C290" s="3">
        <v>41771</v>
      </c>
      <c r="D290" s="1">
        <v>9.6999999999999993</v>
      </c>
      <c r="E290" s="1">
        <v>7.8</v>
      </c>
      <c r="F290" s="1">
        <v>12</v>
      </c>
      <c r="G290" s="1">
        <f t="shared" si="47"/>
        <v>2200.2999999999993</v>
      </c>
      <c r="H290" s="1">
        <f t="shared" si="53"/>
        <v>171.79999999999998</v>
      </c>
      <c r="I290" s="1">
        <v>310.8</v>
      </c>
      <c r="J290" s="1">
        <v>4</v>
      </c>
      <c r="K290" s="1">
        <f t="shared" si="48"/>
        <v>541.9</v>
      </c>
      <c r="L290" s="1">
        <v>1.6</v>
      </c>
      <c r="M290" s="1">
        <f t="shared" si="49"/>
        <v>306.30000000000018</v>
      </c>
      <c r="N290" s="1">
        <f t="shared" si="45"/>
        <v>2.4</v>
      </c>
      <c r="O290" s="1">
        <f t="shared" si="54"/>
        <v>152.29999999999993</v>
      </c>
      <c r="P290" s="1">
        <v>251</v>
      </c>
      <c r="Q290" s="1">
        <v>1.1499999999999999</v>
      </c>
      <c r="R290" s="9">
        <f t="shared" si="46"/>
        <v>1.8399999999999999</v>
      </c>
      <c r="S290" s="9">
        <f t="shared" si="43"/>
        <v>2.16</v>
      </c>
      <c r="T290" s="9">
        <f t="shared" si="51"/>
        <v>133.67500000000007</v>
      </c>
      <c r="U290" s="11">
        <f>AVERAGE(T276:T300)</f>
        <v>120.11720000000008</v>
      </c>
      <c r="V290" s="1">
        <v>1085.7</v>
      </c>
      <c r="W290" s="1">
        <f t="shared" si="44"/>
        <v>111.92783505154641</v>
      </c>
      <c r="X290" s="1">
        <f t="shared" si="50"/>
        <v>162631.9</v>
      </c>
      <c r="Y290" s="1">
        <f t="shared" si="52"/>
        <v>19149.7</v>
      </c>
      <c r="AA290" s="1">
        <v>15.2320087057244</v>
      </c>
    </row>
    <row r="291" spans="1:27" s="1" customFormat="1" x14ac:dyDescent="0.25">
      <c r="A291" s="72"/>
      <c r="B291" s="5"/>
      <c r="C291" s="3">
        <v>41772</v>
      </c>
      <c r="D291" s="1">
        <v>9.6999999999999993</v>
      </c>
      <c r="E291" s="1">
        <v>6.4</v>
      </c>
      <c r="F291" s="1">
        <v>13</v>
      </c>
      <c r="G291" s="1">
        <f t="shared" si="47"/>
        <v>2209.9999999999991</v>
      </c>
      <c r="H291" s="1">
        <f t="shared" si="53"/>
        <v>181.49999999999997</v>
      </c>
      <c r="J291" s="1">
        <v>3.4</v>
      </c>
      <c r="K291" s="1">
        <f t="shared" si="48"/>
        <v>545.29999999999995</v>
      </c>
      <c r="L291" s="1">
        <v>1.7</v>
      </c>
      <c r="M291" s="1">
        <f t="shared" si="49"/>
        <v>308.00000000000017</v>
      </c>
      <c r="N291" s="1">
        <f t="shared" si="45"/>
        <v>1.7</v>
      </c>
      <c r="O291" s="1">
        <f t="shared" si="54"/>
        <v>153.99999999999991</v>
      </c>
      <c r="P291" s="1">
        <v>252</v>
      </c>
      <c r="Q291" s="1">
        <v>1.1499999999999999</v>
      </c>
      <c r="R291" s="9">
        <f t="shared" si="46"/>
        <v>1.9549999999999998</v>
      </c>
      <c r="S291" s="9">
        <f t="shared" si="43"/>
        <v>1.4450000000000001</v>
      </c>
      <c r="T291" s="9">
        <f t="shared" si="51"/>
        <v>135.12000000000006</v>
      </c>
      <c r="V291" s="1">
        <v>1353.4</v>
      </c>
      <c r="W291" s="1">
        <f t="shared" si="44"/>
        <v>139.5257731958763</v>
      </c>
      <c r="X291" s="1">
        <f t="shared" si="50"/>
        <v>163985.29999999999</v>
      </c>
      <c r="Y291" s="1">
        <f t="shared" si="52"/>
        <v>20503.100000000002</v>
      </c>
      <c r="AA291" s="1">
        <v>15.279788744014599</v>
      </c>
    </row>
    <row r="292" spans="1:27" s="1" customFormat="1" x14ac:dyDescent="0.25">
      <c r="A292" s="72"/>
      <c r="B292" s="5"/>
      <c r="C292" s="3">
        <v>41773</v>
      </c>
      <c r="D292" s="1">
        <v>10.5</v>
      </c>
      <c r="E292" s="1">
        <v>5.8</v>
      </c>
      <c r="F292" s="1">
        <v>15.7</v>
      </c>
      <c r="G292" s="1">
        <f t="shared" si="47"/>
        <v>2220.4999999999991</v>
      </c>
      <c r="H292" s="1">
        <f t="shared" si="53"/>
        <v>191.99999999999997</v>
      </c>
      <c r="J292" s="1">
        <v>0</v>
      </c>
      <c r="K292" s="1">
        <f t="shared" si="48"/>
        <v>545.29999999999995</v>
      </c>
      <c r="L292" s="1">
        <v>2.6</v>
      </c>
      <c r="M292" s="1">
        <f t="shared" si="49"/>
        <v>310.60000000000019</v>
      </c>
      <c r="N292" s="8">
        <f t="shared" si="45"/>
        <v>-2.6</v>
      </c>
      <c r="O292" s="1">
        <f t="shared" si="54"/>
        <v>151.39999999999992</v>
      </c>
      <c r="P292" s="1">
        <v>253</v>
      </c>
      <c r="Q292" s="1">
        <v>1.1499999999999999</v>
      </c>
      <c r="R292" s="9">
        <f t="shared" si="46"/>
        <v>2.9899999999999998</v>
      </c>
      <c r="S292" s="9">
        <f t="shared" si="43"/>
        <v>-2.9899999999999998</v>
      </c>
      <c r="T292" s="9">
        <f t="shared" si="51"/>
        <v>132.13000000000005</v>
      </c>
      <c r="U292" s="9">
        <f>(U290*100)/189.6</f>
        <v>63.352953586497939</v>
      </c>
      <c r="V292" s="1">
        <v>1661.4</v>
      </c>
      <c r="W292" s="1">
        <f t="shared" si="44"/>
        <v>158.22857142857143</v>
      </c>
      <c r="X292" s="1">
        <f t="shared" si="50"/>
        <v>165646.69999999998</v>
      </c>
      <c r="Y292" s="1">
        <f t="shared" si="52"/>
        <v>22164.500000000004</v>
      </c>
      <c r="AA292" s="1">
        <v>15.326844323130199</v>
      </c>
    </row>
    <row r="293" spans="1:27" s="1" customFormat="1" x14ac:dyDescent="0.25">
      <c r="A293" s="72"/>
      <c r="B293" s="5"/>
      <c r="C293" s="3">
        <v>41774</v>
      </c>
      <c r="D293" s="1">
        <v>10.4</v>
      </c>
      <c r="E293" s="1">
        <v>5.5</v>
      </c>
      <c r="F293" s="1">
        <v>14.6</v>
      </c>
      <c r="G293" s="1">
        <f t="shared" si="47"/>
        <v>2230.8999999999992</v>
      </c>
      <c r="H293" s="1">
        <f t="shared" si="53"/>
        <v>202.39999999999998</v>
      </c>
      <c r="J293" s="1">
        <v>0</v>
      </c>
      <c r="K293" s="1">
        <f t="shared" si="48"/>
        <v>545.29999999999995</v>
      </c>
      <c r="L293" s="1">
        <v>3.1</v>
      </c>
      <c r="M293" s="1">
        <f t="shared" si="49"/>
        <v>313.70000000000022</v>
      </c>
      <c r="N293" s="8">
        <f t="shared" si="45"/>
        <v>-3.1</v>
      </c>
      <c r="O293" s="1">
        <f t="shared" si="54"/>
        <v>148.29999999999993</v>
      </c>
      <c r="P293" s="1">
        <v>254</v>
      </c>
      <c r="Q293" s="1">
        <v>1.1499999999999999</v>
      </c>
      <c r="R293" s="9">
        <f t="shared" si="46"/>
        <v>3.5649999999999999</v>
      </c>
      <c r="S293" s="9">
        <f t="shared" si="43"/>
        <v>-3.5649999999999999</v>
      </c>
      <c r="T293" s="9">
        <f t="shared" si="51"/>
        <v>128.56500000000005</v>
      </c>
      <c r="V293" s="1">
        <v>2320.1999999999998</v>
      </c>
      <c r="W293" s="1">
        <f t="shared" si="44"/>
        <v>223.09615384615381</v>
      </c>
      <c r="X293" s="1">
        <f t="shared" si="50"/>
        <v>167966.9</v>
      </c>
      <c r="Y293" s="1">
        <f t="shared" si="52"/>
        <v>24484.700000000004</v>
      </c>
      <c r="AA293" s="1">
        <v>15.373149257592299</v>
      </c>
    </row>
    <row r="294" spans="1:27" s="1" customFormat="1" x14ac:dyDescent="0.25">
      <c r="A294" s="72"/>
      <c r="B294" s="5"/>
      <c r="C294" s="3">
        <v>41775</v>
      </c>
      <c r="D294" s="1">
        <v>12.4</v>
      </c>
      <c r="E294" s="1">
        <v>6.4</v>
      </c>
      <c r="F294" s="1">
        <v>17</v>
      </c>
      <c r="G294" s="1">
        <f t="shared" si="47"/>
        <v>2243.2999999999993</v>
      </c>
      <c r="H294" s="1">
        <f t="shared" si="53"/>
        <v>214.79999999999998</v>
      </c>
      <c r="J294" s="1">
        <v>0</v>
      </c>
      <c r="K294" s="1">
        <f t="shared" si="48"/>
        <v>545.29999999999995</v>
      </c>
      <c r="L294" s="1">
        <v>3.6</v>
      </c>
      <c r="M294" s="1">
        <f t="shared" si="49"/>
        <v>317.30000000000024</v>
      </c>
      <c r="N294" s="8">
        <f t="shared" si="45"/>
        <v>-3.6</v>
      </c>
      <c r="O294" s="1">
        <f t="shared" si="54"/>
        <v>144.69999999999993</v>
      </c>
      <c r="P294" s="1">
        <v>255</v>
      </c>
      <c r="Q294" s="1">
        <v>1.1499999999999999</v>
      </c>
      <c r="R294" s="9">
        <f t="shared" si="46"/>
        <v>4.1399999999999997</v>
      </c>
      <c r="S294" s="9">
        <f t="shared" si="43"/>
        <v>-4.1399999999999997</v>
      </c>
      <c r="T294" s="9">
        <f t="shared" si="51"/>
        <v>124.42500000000005</v>
      </c>
      <c r="V294" s="1">
        <v>2534.9</v>
      </c>
      <c r="W294" s="1">
        <f t="shared" si="44"/>
        <v>204.42741935483872</v>
      </c>
      <c r="X294" s="1">
        <f t="shared" si="50"/>
        <v>170501.8</v>
      </c>
      <c r="Y294" s="1">
        <f t="shared" si="52"/>
        <v>27019.600000000006</v>
      </c>
      <c r="AA294" s="1">
        <v>15.4186769553468</v>
      </c>
    </row>
    <row r="295" spans="1:27" s="1" customFormat="1" x14ac:dyDescent="0.25">
      <c r="A295" s="72"/>
      <c r="B295" s="5"/>
      <c r="C295" s="3">
        <v>41776</v>
      </c>
      <c r="D295" s="1">
        <v>14.5</v>
      </c>
      <c r="E295" s="1">
        <v>8.9</v>
      </c>
      <c r="F295" s="1">
        <v>19.399999999999999</v>
      </c>
      <c r="G295" s="1">
        <f t="shared" si="47"/>
        <v>2257.7999999999993</v>
      </c>
      <c r="H295" s="1">
        <f t="shared" si="53"/>
        <v>229.29999999999998</v>
      </c>
      <c r="J295" s="1">
        <v>0</v>
      </c>
      <c r="K295" s="1">
        <f t="shared" si="48"/>
        <v>545.29999999999995</v>
      </c>
      <c r="L295" s="1">
        <v>4.2</v>
      </c>
      <c r="M295" s="1">
        <f t="shared" si="49"/>
        <v>321.50000000000023</v>
      </c>
      <c r="N295" s="8">
        <f t="shared" si="45"/>
        <v>-4.2</v>
      </c>
      <c r="O295" s="1">
        <f t="shared" si="54"/>
        <v>140.49999999999994</v>
      </c>
      <c r="P295" s="1">
        <v>256</v>
      </c>
      <c r="Q295" s="1">
        <v>1.1499999999999999</v>
      </c>
      <c r="R295" s="9">
        <f t="shared" si="46"/>
        <v>4.83</v>
      </c>
      <c r="S295" s="9">
        <f t="shared" si="43"/>
        <v>-4.83</v>
      </c>
      <c r="T295" s="9">
        <f t="shared" si="51"/>
        <v>119.59500000000006</v>
      </c>
      <c r="V295" s="1">
        <v>2653.9</v>
      </c>
      <c r="W295" s="1">
        <f t="shared" si="44"/>
        <v>183.02758620689656</v>
      </c>
      <c r="X295" s="1">
        <f t="shared" si="50"/>
        <v>173155.69999999998</v>
      </c>
      <c r="Y295" s="1">
        <f t="shared" si="52"/>
        <v>29673.500000000007</v>
      </c>
      <c r="AA295" s="1">
        <v>15.463400450818201</v>
      </c>
    </row>
    <row r="296" spans="1:27" s="1" customFormat="1" x14ac:dyDescent="0.25">
      <c r="A296" s="72"/>
      <c r="B296" s="5"/>
      <c r="C296" s="3">
        <v>41777</v>
      </c>
      <c r="D296" s="1">
        <v>16.8</v>
      </c>
      <c r="E296" s="1">
        <v>10.199999999999999</v>
      </c>
      <c r="F296" s="1">
        <v>21.9</v>
      </c>
      <c r="G296" s="1">
        <f t="shared" si="47"/>
        <v>2274.5999999999995</v>
      </c>
      <c r="H296" s="1">
        <f t="shared" si="53"/>
        <v>246.1</v>
      </c>
      <c r="J296" s="1">
        <v>0</v>
      </c>
      <c r="K296" s="1">
        <f t="shared" si="48"/>
        <v>545.29999999999995</v>
      </c>
      <c r="L296" s="1">
        <v>4.3</v>
      </c>
      <c r="M296" s="1">
        <f t="shared" si="49"/>
        <v>325.80000000000024</v>
      </c>
      <c r="N296" s="8">
        <f t="shared" si="45"/>
        <v>-4.3</v>
      </c>
      <c r="O296" s="1">
        <f t="shared" si="54"/>
        <v>136.19999999999993</v>
      </c>
      <c r="P296" s="1">
        <v>257</v>
      </c>
      <c r="Q296" s="1">
        <v>1.1499999999999999</v>
      </c>
      <c r="R296" s="9">
        <f t="shared" si="46"/>
        <v>4.9449999999999994</v>
      </c>
      <c r="S296" s="9">
        <f t="shared" ref="S296:S357" si="55">J296-R296</f>
        <v>-4.9449999999999994</v>
      </c>
      <c r="T296" s="9">
        <f t="shared" si="51"/>
        <v>114.65000000000006</v>
      </c>
      <c r="V296" s="1">
        <v>2648</v>
      </c>
      <c r="W296" s="1">
        <f t="shared" ref="W296:W357" si="56">V296/D296</f>
        <v>157.61904761904762</v>
      </c>
      <c r="X296" s="1">
        <f t="shared" si="50"/>
        <v>175803.69999999998</v>
      </c>
      <c r="Y296" s="1">
        <f t="shared" si="52"/>
        <v>32321.500000000007</v>
      </c>
      <c r="AA296" s="1">
        <v>15.507292441198199</v>
      </c>
    </row>
    <row r="297" spans="1:27" s="1" customFormat="1" x14ac:dyDescent="0.25">
      <c r="A297" s="72"/>
      <c r="B297" s="5"/>
      <c r="C297" s="3">
        <v>41778</v>
      </c>
      <c r="D297" s="1">
        <v>18.8</v>
      </c>
      <c r="E297" s="1">
        <v>12.9</v>
      </c>
      <c r="F297" s="1">
        <v>24.4</v>
      </c>
      <c r="G297" s="1">
        <f t="shared" si="47"/>
        <v>2293.3999999999996</v>
      </c>
      <c r="H297" s="1">
        <f t="shared" si="53"/>
        <v>264.89999999999998</v>
      </c>
      <c r="J297" s="1">
        <v>0</v>
      </c>
      <c r="K297" s="1">
        <f t="shared" si="48"/>
        <v>545.29999999999995</v>
      </c>
      <c r="L297" s="1">
        <v>5.2</v>
      </c>
      <c r="M297" s="1">
        <f t="shared" si="49"/>
        <v>331.00000000000023</v>
      </c>
      <c r="N297" s="8">
        <f t="shared" ref="N297:N356" si="57">J297-L297</f>
        <v>-5.2</v>
      </c>
      <c r="O297" s="1">
        <f t="shared" si="54"/>
        <v>130.99999999999994</v>
      </c>
      <c r="P297" s="1">
        <v>258</v>
      </c>
      <c r="Q297" s="1">
        <v>1.1499999999999999</v>
      </c>
      <c r="R297" s="9">
        <f t="shared" ref="R297:R357" si="58">Q297*L297</f>
        <v>5.9799999999999995</v>
      </c>
      <c r="S297" s="9">
        <f t="shared" si="55"/>
        <v>-5.9799999999999995</v>
      </c>
      <c r="T297" s="9">
        <f t="shared" si="51"/>
        <v>108.67000000000006</v>
      </c>
      <c r="V297" s="1">
        <v>2667.8</v>
      </c>
      <c r="W297" s="1">
        <f t="shared" si="56"/>
        <v>141.90425531914894</v>
      </c>
      <c r="X297" s="1">
        <f t="shared" si="50"/>
        <v>178471.49999999997</v>
      </c>
      <c r="Y297" s="1">
        <f t="shared" si="52"/>
        <v>34989.30000000001</v>
      </c>
      <c r="AA297" s="1">
        <v>15.5503253260155</v>
      </c>
    </row>
    <row r="298" spans="1:27" s="1" customFormat="1" x14ac:dyDescent="0.25">
      <c r="A298" s="72"/>
      <c r="B298" s="5"/>
      <c r="C298" s="3">
        <v>41779</v>
      </c>
      <c r="D298" s="1">
        <v>16.2</v>
      </c>
      <c r="E298" s="1">
        <v>13.6</v>
      </c>
      <c r="F298" s="1">
        <v>21.7</v>
      </c>
      <c r="G298" s="1">
        <f t="shared" ref="G298:G357" si="59">G297+D298</f>
        <v>2309.5999999999995</v>
      </c>
      <c r="H298" s="1">
        <f t="shared" si="53"/>
        <v>281.09999999999997</v>
      </c>
      <c r="J298" s="1">
        <v>11.5</v>
      </c>
      <c r="K298" s="1">
        <f t="shared" ref="K298:K357" si="60">K297+J298</f>
        <v>556.79999999999995</v>
      </c>
      <c r="L298" s="1">
        <v>2.2999999999999998</v>
      </c>
      <c r="M298" s="1">
        <f t="shared" ref="M298:M357" si="61">M297+L298</f>
        <v>333.30000000000024</v>
      </c>
      <c r="N298" s="1">
        <f t="shared" si="57"/>
        <v>9.1999999999999993</v>
      </c>
      <c r="O298" s="1">
        <f t="shared" si="54"/>
        <v>140.19999999999993</v>
      </c>
      <c r="P298" s="1">
        <v>259</v>
      </c>
      <c r="Q298" s="1">
        <v>1.1499999999999999</v>
      </c>
      <c r="R298" s="9">
        <f t="shared" si="58"/>
        <v>2.6449999999999996</v>
      </c>
      <c r="S298" s="9">
        <f t="shared" si="55"/>
        <v>8.8550000000000004</v>
      </c>
      <c r="T298" s="9">
        <f t="shared" si="51"/>
        <v>117.52500000000006</v>
      </c>
      <c r="V298" s="10">
        <v>828.6</v>
      </c>
      <c r="W298" s="1">
        <f t="shared" si="56"/>
        <v>51.148148148148152</v>
      </c>
      <c r="X298" s="1">
        <f t="shared" ref="X298:X357" si="62">X297+V298</f>
        <v>179300.09999999998</v>
      </c>
      <c r="Y298" s="1">
        <f t="shared" si="52"/>
        <v>35817.900000000009</v>
      </c>
      <c r="AA298" s="1">
        <v>15.5924712500165</v>
      </c>
    </row>
    <row r="299" spans="1:27" s="1" customFormat="1" x14ac:dyDescent="0.25">
      <c r="A299" s="72"/>
      <c r="B299" s="5"/>
      <c r="C299" s="3">
        <v>41780</v>
      </c>
      <c r="D299" s="1">
        <v>14.8</v>
      </c>
      <c r="E299" s="1">
        <v>12.9</v>
      </c>
      <c r="F299" s="1">
        <v>17.7</v>
      </c>
      <c r="G299" s="1">
        <f t="shared" si="59"/>
        <v>2324.3999999999996</v>
      </c>
      <c r="H299" s="1">
        <f t="shared" si="53"/>
        <v>295.89999999999998</v>
      </c>
      <c r="J299" s="1">
        <v>15</v>
      </c>
      <c r="K299" s="1">
        <f t="shared" si="60"/>
        <v>571.79999999999995</v>
      </c>
      <c r="L299" s="1">
        <v>1.3</v>
      </c>
      <c r="M299" s="1">
        <f t="shared" si="61"/>
        <v>334.60000000000025</v>
      </c>
      <c r="N299" s="1">
        <f t="shared" si="57"/>
        <v>13.7</v>
      </c>
      <c r="O299" s="1">
        <f t="shared" si="54"/>
        <v>153.89999999999992</v>
      </c>
      <c r="P299" s="1">
        <v>260</v>
      </c>
      <c r="Q299" s="1">
        <v>1.1499999999999999</v>
      </c>
      <c r="R299" s="9">
        <f t="shared" si="58"/>
        <v>1.4949999999999999</v>
      </c>
      <c r="S299" s="9">
        <f t="shared" si="55"/>
        <v>13.505000000000001</v>
      </c>
      <c r="T299" s="9">
        <f t="shared" ref="T299:T357" si="63">MIN(189.6,(T298+S299))</f>
        <v>131.03000000000006</v>
      </c>
      <c r="V299" s="10">
        <v>636.20000000000005</v>
      </c>
      <c r="W299" s="1">
        <f t="shared" si="56"/>
        <v>42.986486486486484</v>
      </c>
      <c r="X299" s="1">
        <f t="shared" si="62"/>
        <v>179936.3</v>
      </c>
      <c r="Y299" s="1">
        <f t="shared" si="52"/>
        <v>36454.100000000006</v>
      </c>
      <c r="AA299" s="1">
        <v>15.633702149368199</v>
      </c>
    </row>
    <row r="300" spans="1:27" s="41" customFormat="1" ht="15.75" thickBot="1" x14ac:dyDescent="0.3">
      <c r="A300" s="72"/>
      <c r="B300" s="39"/>
      <c r="C300" s="40">
        <v>41781</v>
      </c>
      <c r="D300" s="41">
        <v>14.9</v>
      </c>
      <c r="E300" s="41">
        <v>12.9</v>
      </c>
      <c r="F300" s="41">
        <v>18.600000000000001</v>
      </c>
      <c r="G300" s="41">
        <f t="shared" si="59"/>
        <v>2339.2999999999997</v>
      </c>
      <c r="H300" s="41">
        <f t="shared" si="53"/>
        <v>310.79999999999995</v>
      </c>
      <c r="J300" s="41">
        <v>2.2000000000000002</v>
      </c>
      <c r="K300" s="41">
        <f t="shared" si="60"/>
        <v>574</v>
      </c>
      <c r="L300" s="41">
        <v>3</v>
      </c>
      <c r="M300" s="41">
        <f t="shared" si="61"/>
        <v>337.60000000000025</v>
      </c>
      <c r="N300" s="41">
        <f t="shared" si="57"/>
        <v>-0.79999999999999982</v>
      </c>
      <c r="O300" s="42">
        <f t="shared" si="54"/>
        <v>153.09999999999991</v>
      </c>
      <c r="P300" s="42">
        <v>261</v>
      </c>
      <c r="Q300" s="42">
        <v>1.1499999999999999</v>
      </c>
      <c r="R300" s="44">
        <f t="shared" si="58"/>
        <v>3.4499999999999997</v>
      </c>
      <c r="S300" s="44">
        <f t="shared" si="55"/>
        <v>-1.2499999999999996</v>
      </c>
      <c r="T300" s="44">
        <f t="shared" si="63"/>
        <v>129.78000000000006</v>
      </c>
      <c r="V300" s="41">
        <v>1750.5</v>
      </c>
      <c r="W300" s="41">
        <f t="shared" si="56"/>
        <v>117.48322147651007</v>
      </c>
      <c r="X300" s="41">
        <f t="shared" si="62"/>
        <v>181686.8</v>
      </c>
      <c r="Y300" s="41">
        <f t="shared" si="52"/>
        <v>38204.600000000006</v>
      </c>
      <c r="AA300" s="42">
        <v>15.6739898011683</v>
      </c>
    </row>
    <row r="301" spans="1:27" s="1" customFormat="1" x14ac:dyDescent="0.25">
      <c r="A301" s="73">
        <v>600</v>
      </c>
      <c r="B301" s="5"/>
      <c r="C301" s="3">
        <v>41782</v>
      </c>
      <c r="D301" s="1">
        <v>14.1</v>
      </c>
      <c r="E301" s="1">
        <v>10.5</v>
      </c>
      <c r="F301" s="1">
        <v>17.3</v>
      </c>
      <c r="G301" s="1">
        <f t="shared" si="59"/>
        <v>2353.3999999999996</v>
      </c>
      <c r="H301" s="1">
        <v>14.1</v>
      </c>
      <c r="I301" s="32" t="s">
        <v>2</v>
      </c>
      <c r="J301" s="1">
        <v>4</v>
      </c>
      <c r="K301" s="1">
        <f t="shared" si="60"/>
        <v>578</v>
      </c>
      <c r="L301" s="1">
        <v>2.9</v>
      </c>
      <c r="M301" s="1">
        <f t="shared" si="61"/>
        <v>340.50000000000023</v>
      </c>
      <c r="N301" s="1">
        <f t="shared" si="57"/>
        <v>1.1000000000000001</v>
      </c>
      <c r="O301" s="1">
        <f t="shared" si="54"/>
        <v>154.1999999999999</v>
      </c>
      <c r="P301" s="1">
        <v>262</v>
      </c>
      <c r="Q301" s="11">
        <f>1.15+((P301-261)/57)*(0.35-1.15)</f>
        <v>1.1359649122807016</v>
      </c>
      <c r="R301" s="9">
        <f t="shared" si="58"/>
        <v>3.2942982456140344</v>
      </c>
      <c r="S301" s="9">
        <f t="shared" si="55"/>
        <v>0.70570175438596561</v>
      </c>
      <c r="T301" s="9">
        <f t="shared" si="63"/>
        <v>130.48570175438601</v>
      </c>
      <c r="U301" s="32" t="s">
        <v>3</v>
      </c>
      <c r="V301" s="1">
        <v>1875.3</v>
      </c>
      <c r="W301" s="1">
        <f t="shared" si="56"/>
        <v>133</v>
      </c>
      <c r="X301" s="1">
        <f t="shared" si="62"/>
        <v>183562.09999999998</v>
      </c>
      <c r="Y301" s="1">
        <v>1875.3</v>
      </c>
      <c r="Z301" s="32" t="s">
        <v>4</v>
      </c>
      <c r="AA301" s="1">
        <v>15.7133058762291</v>
      </c>
    </row>
    <row r="302" spans="1:27" s="1" customFormat="1" x14ac:dyDescent="0.25">
      <c r="A302" s="73"/>
      <c r="B302" s="5"/>
      <c r="C302" s="3">
        <v>41783</v>
      </c>
      <c r="D302" s="1">
        <v>12.7</v>
      </c>
      <c r="E302" s="1">
        <v>10.9</v>
      </c>
      <c r="F302" s="1">
        <v>14.9</v>
      </c>
      <c r="G302" s="1">
        <f t="shared" si="59"/>
        <v>2366.0999999999995</v>
      </c>
      <c r="H302" s="1">
        <f t="shared" si="53"/>
        <v>26.799999999999997</v>
      </c>
      <c r="I302" s="1">
        <f>MIN(E301:E320)</f>
        <v>7.4</v>
      </c>
      <c r="J302" s="1">
        <v>2.6</v>
      </c>
      <c r="K302" s="1">
        <f t="shared" si="60"/>
        <v>580.6</v>
      </c>
      <c r="L302" s="1">
        <v>2</v>
      </c>
      <c r="M302" s="1">
        <f t="shared" si="61"/>
        <v>342.50000000000023</v>
      </c>
      <c r="N302" s="1">
        <f t="shared" si="57"/>
        <v>0.60000000000000009</v>
      </c>
      <c r="O302" s="1">
        <f t="shared" si="54"/>
        <v>154.7999999999999</v>
      </c>
      <c r="P302" s="1">
        <v>263</v>
      </c>
      <c r="Q302" s="11">
        <f t="shared" ref="Q302:Q357" si="64">1.15+((P302-261)/57)*(0.35-1.15)</f>
        <v>1.1219298245614033</v>
      </c>
      <c r="R302" s="9">
        <f t="shared" si="58"/>
        <v>2.2438596491228067</v>
      </c>
      <c r="S302" s="9">
        <f t="shared" si="55"/>
        <v>0.35614035087719342</v>
      </c>
      <c r="T302" s="9">
        <f t="shared" si="63"/>
        <v>130.8418421052632</v>
      </c>
      <c r="V302" s="1">
        <v>1144.5999999999999</v>
      </c>
      <c r="W302" s="1">
        <f t="shared" si="56"/>
        <v>90.125984251968504</v>
      </c>
      <c r="X302" s="1">
        <f t="shared" si="62"/>
        <v>184706.69999999998</v>
      </c>
      <c r="Y302" s="1">
        <f t="shared" si="52"/>
        <v>3019.8999999999996</v>
      </c>
      <c r="Z302" s="1">
        <v>29336.799999999999</v>
      </c>
      <c r="AA302" s="1">
        <v>15.751621995070099</v>
      </c>
    </row>
    <row r="303" spans="1:27" s="1" customFormat="1" x14ac:dyDescent="0.25">
      <c r="A303" s="73"/>
      <c r="B303" s="5"/>
      <c r="C303" s="3">
        <v>41784</v>
      </c>
      <c r="D303" s="1">
        <v>14.3</v>
      </c>
      <c r="E303" s="1">
        <v>9.3000000000000007</v>
      </c>
      <c r="F303" s="1">
        <v>18.3</v>
      </c>
      <c r="G303" s="1">
        <f t="shared" si="59"/>
        <v>2380.3999999999996</v>
      </c>
      <c r="H303" s="1">
        <f t="shared" si="53"/>
        <v>41.099999999999994</v>
      </c>
      <c r="I303" s="32" t="s">
        <v>5</v>
      </c>
      <c r="J303" s="1">
        <v>0.9</v>
      </c>
      <c r="K303" s="1">
        <f t="shared" si="60"/>
        <v>581.5</v>
      </c>
      <c r="L303" s="1">
        <v>2.4</v>
      </c>
      <c r="M303" s="1">
        <f t="shared" si="61"/>
        <v>344.9000000000002</v>
      </c>
      <c r="N303" s="8">
        <f t="shared" si="57"/>
        <v>-1.5</v>
      </c>
      <c r="O303" s="1">
        <f t="shared" si="54"/>
        <v>153.2999999999999</v>
      </c>
      <c r="P303" s="1">
        <v>264</v>
      </c>
      <c r="Q303" s="11">
        <f t="shared" si="64"/>
        <v>1.1078947368421053</v>
      </c>
      <c r="R303" s="9">
        <f t="shared" si="58"/>
        <v>2.6589473684210527</v>
      </c>
      <c r="S303" s="9">
        <f t="shared" si="55"/>
        <v>-1.7589473684210528</v>
      </c>
      <c r="T303" s="9">
        <f t="shared" si="63"/>
        <v>129.08289473684215</v>
      </c>
      <c r="U303" s="32" t="s">
        <v>6</v>
      </c>
      <c r="V303" s="1">
        <v>1625.2</v>
      </c>
      <c r="W303" s="1">
        <f t="shared" si="56"/>
        <v>113.65034965034965</v>
      </c>
      <c r="X303" s="1">
        <f t="shared" si="62"/>
        <v>186331.9</v>
      </c>
      <c r="Y303" s="1">
        <f t="shared" si="52"/>
        <v>4645.0999999999995</v>
      </c>
      <c r="Z303" s="32" t="s">
        <v>7</v>
      </c>
      <c r="AA303" s="1">
        <v>15.7889097870295</v>
      </c>
    </row>
    <row r="304" spans="1:27" s="1" customFormat="1" x14ac:dyDescent="0.25">
      <c r="A304" s="73"/>
      <c r="B304" s="5"/>
      <c r="C304" s="3">
        <v>41785</v>
      </c>
      <c r="D304" s="1">
        <v>12.9</v>
      </c>
      <c r="E304" s="1">
        <v>11.4</v>
      </c>
      <c r="F304" s="1">
        <v>14.2</v>
      </c>
      <c r="G304" s="1">
        <f t="shared" si="59"/>
        <v>2393.2999999999997</v>
      </c>
      <c r="H304" s="1">
        <f t="shared" si="53"/>
        <v>53.999999999999993</v>
      </c>
      <c r="I304" s="1">
        <f>MAX(F301:F320)</f>
        <v>25.5</v>
      </c>
      <c r="J304" s="1">
        <v>8.1999999999999993</v>
      </c>
      <c r="K304" s="1">
        <f t="shared" si="60"/>
        <v>589.70000000000005</v>
      </c>
      <c r="L304" s="1">
        <v>1.2</v>
      </c>
      <c r="M304" s="1">
        <f t="shared" si="61"/>
        <v>346.10000000000019</v>
      </c>
      <c r="N304" s="1">
        <f t="shared" si="57"/>
        <v>6.9999999999999991</v>
      </c>
      <c r="O304" s="1">
        <f t="shared" si="54"/>
        <v>160.2999999999999</v>
      </c>
      <c r="P304" s="1">
        <v>265</v>
      </c>
      <c r="Q304" s="11">
        <f t="shared" si="64"/>
        <v>1.093859649122807</v>
      </c>
      <c r="R304" s="9">
        <f t="shared" si="58"/>
        <v>1.3126315789473684</v>
      </c>
      <c r="S304" s="9">
        <f t="shared" si="55"/>
        <v>6.8873684210526314</v>
      </c>
      <c r="T304" s="9">
        <f t="shared" si="63"/>
        <v>135.97026315789478</v>
      </c>
      <c r="V304" s="10">
        <v>680.9</v>
      </c>
      <c r="W304" s="1">
        <f t="shared" si="56"/>
        <v>52.782945736434108</v>
      </c>
      <c r="X304" s="1">
        <f t="shared" si="62"/>
        <v>187012.8</v>
      </c>
      <c r="Y304" s="1">
        <f t="shared" si="52"/>
        <v>5325.9999999999991</v>
      </c>
      <c r="Z304" s="11">
        <f>(Z302/100)/I314</f>
        <v>0.9596597971867844</v>
      </c>
      <c r="AA304" s="1">
        <v>15.825140952375</v>
      </c>
    </row>
    <row r="305" spans="1:27" s="1" customFormat="1" x14ac:dyDescent="0.25">
      <c r="A305" s="73"/>
      <c r="B305" s="5"/>
      <c r="C305" s="3">
        <v>41786</v>
      </c>
      <c r="D305" s="1">
        <v>13.5</v>
      </c>
      <c r="E305" s="1">
        <v>12.9</v>
      </c>
      <c r="F305" s="1">
        <v>15.3</v>
      </c>
      <c r="G305" s="1">
        <f t="shared" si="59"/>
        <v>2406.7999999999997</v>
      </c>
      <c r="H305" s="1">
        <f t="shared" si="53"/>
        <v>67.5</v>
      </c>
      <c r="I305" s="32" t="s">
        <v>8</v>
      </c>
      <c r="J305" s="1">
        <v>0</v>
      </c>
      <c r="K305" s="1">
        <f t="shared" si="60"/>
        <v>589.70000000000005</v>
      </c>
      <c r="L305" s="1">
        <v>1.3</v>
      </c>
      <c r="M305" s="1">
        <f t="shared" si="61"/>
        <v>347.4000000000002</v>
      </c>
      <c r="N305" s="8">
        <f t="shared" si="57"/>
        <v>-1.3</v>
      </c>
      <c r="O305" s="1">
        <f t="shared" si="54"/>
        <v>158.99999999999989</v>
      </c>
      <c r="P305" s="1">
        <v>266</v>
      </c>
      <c r="Q305" s="11">
        <f t="shared" si="64"/>
        <v>1.0798245614035087</v>
      </c>
      <c r="R305" s="9">
        <f t="shared" si="58"/>
        <v>1.4037719298245614</v>
      </c>
      <c r="S305" s="9">
        <f t="shared" si="55"/>
        <v>-1.4037719298245614</v>
      </c>
      <c r="T305" s="9">
        <f t="shared" si="63"/>
        <v>134.56649122807022</v>
      </c>
      <c r="U305" s="32" t="s">
        <v>9</v>
      </c>
      <c r="V305" s="10">
        <v>580.70000000000005</v>
      </c>
      <c r="W305" s="1">
        <f t="shared" si="56"/>
        <v>43.014814814814819</v>
      </c>
      <c r="X305" s="1">
        <f t="shared" si="62"/>
        <v>187593.5</v>
      </c>
      <c r="Y305" s="1">
        <f t="shared" si="52"/>
        <v>5906.6999999999989</v>
      </c>
      <c r="Z305" s="32" t="s">
        <v>10</v>
      </c>
      <c r="AA305" s="1">
        <v>15.8602873272624</v>
      </c>
    </row>
    <row r="306" spans="1:27" s="1" customFormat="1" x14ac:dyDescent="0.25">
      <c r="A306" s="73"/>
      <c r="B306" s="5"/>
      <c r="C306" s="3">
        <v>41787</v>
      </c>
      <c r="D306" s="1">
        <v>12.6</v>
      </c>
      <c r="E306" s="1">
        <v>12.2</v>
      </c>
      <c r="F306" s="1">
        <v>13.3</v>
      </c>
      <c r="G306" s="1">
        <f t="shared" si="59"/>
        <v>2419.3999999999996</v>
      </c>
      <c r="H306" s="1">
        <f t="shared" si="53"/>
        <v>80.099999999999994</v>
      </c>
      <c r="I306" s="9">
        <f>AVERAGE(D301:D320)</f>
        <v>15.285000000000002</v>
      </c>
      <c r="J306" s="1">
        <v>0.3</v>
      </c>
      <c r="K306" s="1">
        <f t="shared" si="60"/>
        <v>590</v>
      </c>
      <c r="L306" s="1">
        <v>1.4</v>
      </c>
      <c r="M306" s="1">
        <f t="shared" si="61"/>
        <v>348.80000000000018</v>
      </c>
      <c r="N306" s="8">
        <f t="shared" si="57"/>
        <v>-1.0999999999999999</v>
      </c>
      <c r="O306" s="1">
        <f t="shared" si="54"/>
        <v>157.89999999999989</v>
      </c>
      <c r="P306" s="1">
        <v>267</v>
      </c>
      <c r="Q306" s="11">
        <f t="shared" si="64"/>
        <v>1.0657894736842104</v>
      </c>
      <c r="R306" s="9">
        <f t="shared" si="58"/>
        <v>1.4921052631578944</v>
      </c>
      <c r="S306" s="9">
        <f t="shared" si="55"/>
        <v>-1.1921052631578943</v>
      </c>
      <c r="T306" s="9">
        <f t="shared" si="63"/>
        <v>133.37438596491234</v>
      </c>
      <c r="U306" s="1">
        <v>0</v>
      </c>
      <c r="V306" s="10">
        <v>833.3</v>
      </c>
      <c r="W306" s="1">
        <f t="shared" si="56"/>
        <v>66.134920634920633</v>
      </c>
      <c r="X306" s="1">
        <f t="shared" si="62"/>
        <v>188426.8</v>
      </c>
      <c r="Y306" s="1">
        <f t="shared" si="52"/>
        <v>6739.9999999999991</v>
      </c>
      <c r="Z306" s="1">
        <v>5</v>
      </c>
      <c r="AA306" s="1">
        <v>15.894320951357299</v>
      </c>
    </row>
    <row r="307" spans="1:27" s="1" customFormat="1" x14ac:dyDescent="0.25">
      <c r="A307" s="73"/>
      <c r="B307" s="5"/>
      <c r="C307" s="3">
        <v>41788</v>
      </c>
      <c r="D307" s="1">
        <v>14.6</v>
      </c>
      <c r="E307" s="1">
        <v>11.8</v>
      </c>
      <c r="F307" s="1">
        <v>17.899999999999999</v>
      </c>
      <c r="G307" s="1">
        <f t="shared" si="59"/>
        <v>2433.9999999999995</v>
      </c>
      <c r="H307" s="1">
        <f t="shared" si="53"/>
        <v>94.699999999999989</v>
      </c>
      <c r="I307" s="32" t="s">
        <v>11</v>
      </c>
      <c r="J307" s="1">
        <v>0</v>
      </c>
      <c r="K307" s="1">
        <f t="shared" si="60"/>
        <v>590</v>
      </c>
      <c r="L307" s="1">
        <v>2.2999999999999998</v>
      </c>
      <c r="M307" s="1">
        <f t="shared" si="61"/>
        <v>351.10000000000019</v>
      </c>
      <c r="N307" s="8">
        <f t="shared" si="57"/>
        <v>-2.2999999999999998</v>
      </c>
      <c r="O307" s="1">
        <f t="shared" si="54"/>
        <v>155.59999999999988</v>
      </c>
      <c r="P307" s="1">
        <v>268</v>
      </c>
      <c r="Q307" s="11">
        <f t="shared" si="64"/>
        <v>1.0517543859649121</v>
      </c>
      <c r="R307" s="9">
        <f t="shared" si="58"/>
        <v>2.4190350877192976</v>
      </c>
      <c r="S307" s="9">
        <f t="shared" si="55"/>
        <v>-2.4190350877192976</v>
      </c>
      <c r="T307" s="9">
        <f t="shared" si="63"/>
        <v>130.95535087719304</v>
      </c>
      <c r="U307" s="32" t="s">
        <v>12</v>
      </c>
      <c r="V307" s="1">
        <v>1279.0999999999999</v>
      </c>
      <c r="W307" s="1">
        <f t="shared" si="56"/>
        <v>87.609589041095887</v>
      </c>
      <c r="X307" s="1">
        <f t="shared" si="62"/>
        <v>189705.9</v>
      </c>
      <c r="Y307" s="1">
        <f t="shared" ref="Y307:Y357" si="65">Y306+V307</f>
        <v>8019.0999999999985</v>
      </c>
      <c r="AA307" s="1">
        <v>15.927214137905599</v>
      </c>
    </row>
    <row r="308" spans="1:27" s="1" customFormat="1" x14ac:dyDescent="0.25">
      <c r="A308" s="73"/>
      <c r="B308" s="5"/>
      <c r="C308" s="3">
        <v>41789</v>
      </c>
      <c r="D308" s="1">
        <v>15</v>
      </c>
      <c r="E308" s="1">
        <v>12.4</v>
      </c>
      <c r="F308" s="1">
        <v>18.3</v>
      </c>
      <c r="G308" s="1">
        <f t="shared" si="59"/>
        <v>2448.9999999999995</v>
      </c>
      <c r="H308" s="1">
        <f t="shared" si="53"/>
        <v>109.69999999999999</v>
      </c>
      <c r="I308" s="1">
        <v>0</v>
      </c>
      <c r="J308" s="1">
        <v>0</v>
      </c>
      <c r="K308" s="1">
        <f t="shared" si="60"/>
        <v>590</v>
      </c>
      <c r="L308" s="1">
        <v>3.4</v>
      </c>
      <c r="M308" s="1">
        <f t="shared" si="61"/>
        <v>354.50000000000017</v>
      </c>
      <c r="N308" s="8">
        <f t="shared" si="57"/>
        <v>-3.4</v>
      </c>
      <c r="O308" s="1">
        <f t="shared" si="54"/>
        <v>152.19999999999987</v>
      </c>
      <c r="P308" s="1">
        <v>269</v>
      </c>
      <c r="Q308" s="11">
        <f t="shared" si="64"/>
        <v>1.037719298245614</v>
      </c>
      <c r="R308" s="9">
        <f t="shared" si="58"/>
        <v>3.5282456140350877</v>
      </c>
      <c r="S308" s="9">
        <f t="shared" si="55"/>
        <v>-3.5282456140350877</v>
      </c>
      <c r="T308" s="9">
        <f t="shared" si="63"/>
        <v>127.42710526315796</v>
      </c>
      <c r="U308" s="1">
        <v>0</v>
      </c>
      <c r="V308" s="1">
        <v>2064.3000000000002</v>
      </c>
      <c r="W308" s="1">
        <f t="shared" si="56"/>
        <v>137.62</v>
      </c>
      <c r="X308" s="1">
        <f t="shared" si="62"/>
        <v>191770.19999999998</v>
      </c>
      <c r="Y308" s="1">
        <f t="shared" si="65"/>
        <v>10083.399999999998</v>
      </c>
      <c r="AA308" s="1">
        <v>15.958939545999501</v>
      </c>
    </row>
    <row r="309" spans="1:27" s="1" customFormat="1" x14ac:dyDescent="0.25">
      <c r="A309" s="73"/>
      <c r="B309" s="5"/>
      <c r="C309" s="3">
        <v>41790</v>
      </c>
      <c r="D309" s="1">
        <v>13.4</v>
      </c>
      <c r="E309" s="1">
        <v>10.7</v>
      </c>
      <c r="F309" s="1">
        <v>18</v>
      </c>
      <c r="G309" s="1">
        <f t="shared" si="59"/>
        <v>2462.3999999999996</v>
      </c>
      <c r="H309" s="1">
        <f t="shared" si="53"/>
        <v>123.1</v>
      </c>
      <c r="I309" s="32" t="s">
        <v>13</v>
      </c>
      <c r="J309" s="1">
        <v>0</v>
      </c>
      <c r="K309" s="1">
        <f t="shared" si="60"/>
        <v>590</v>
      </c>
      <c r="L309" s="1">
        <v>3.3</v>
      </c>
      <c r="M309" s="1">
        <f t="shared" si="61"/>
        <v>357.80000000000018</v>
      </c>
      <c r="N309" s="8">
        <f t="shared" si="57"/>
        <v>-3.3</v>
      </c>
      <c r="O309" s="1">
        <f t="shared" si="54"/>
        <v>148.89999999999986</v>
      </c>
      <c r="P309" s="1">
        <v>270</v>
      </c>
      <c r="Q309" s="11">
        <f t="shared" si="64"/>
        <v>1.0236842105263158</v>
      </c>
      <c r="R309" s="9">
        <f t="shared" si="58"/>
        <v>3.3781578947368418</v>
      </c>
      <c r="S309" s="9">
        <f t="shared" si="55"/>
        <v>-3.3781578947368418</v>
      </c>
      <c r="T309" s="9">
        <f t="shared" si="63"/>
        <v>124.04894736842111</v>
      </c>
      <c r="U309" s="32" t="s">
        <v>14</v>
      </c>
      <c r="V309" s="1">
        <v>1917.2</v>
      </c>
      <c r="W309" s="1">
        <f t="shared" si="56"/>
        <v>143.07462686567163</v>
      </c>
      <c r="X309" s="1">
        <f t="shared" si="62"/>
        <v>193687.4</v>
      </c>
      <c r="Y309" s="1">
        <f t="shared" si="65"/>
        <v>12000.599999999999</v>
      </c>
      <c r="AA309" s="1">
        <v>15.989470254758499</v>
      </c>
    </row>
    <row r="310" spans="1:27" s="1" customFormat="1" x14ac:dyDescent="0.25">
      <c r="A310" s="73"/>
      <c r="B310" s="5"/>
      <c r="C310" s="3">
        <v>41791</v>
      </c>
      <c r="D310" s="1">
        <v>12.7</v>
      </c>
      <c r="E310" s="1">
        <v>7.4</v>
      </c>
      <c r="F310" s="1">
        <v>17.399999999999999</v>
      </c>
      <c r="G310" s="1">
        <f t="shared" si="59"/>
        <v>2475.0999999999995</v>
      </c>
      <c r="H310" s="1">
        <f t="shared" si="53"/>
        <v>135.79999999999998</v>
      </c>
      <c r="I310" s="1">
        <v>2</v>
      </c>
      <c r="J310" s="1">
        <v>0</v>
      </c>
      <c r="K310" s="1">
        <f t="shared" si="60"/>
        <v>590</v>
      </c>
      <c r="L310" s="1">
        <v>1.8</v>
      </c>
      <c r="M310" s="1">
        <f t="shared" si="61"/>
        <v>359.60000000000019</v>
      </c>
      <c r="N310" s="8">
        <f t="shared" si="57"/>
        <v>-1.8</v>
      </c>
      <c r="O310" s="1">
        <f t="shared" si="54"/>
        <v>147.09999999999985</v>
      </c>
      <c r="P310" s="1">
        <v>271</v>
      </c>
      <c r="Q310" s="11">
        <f t="shared" si="64"/>
        <v>1.0096491228070175</v>
      </c>
      <c r="R310" s="9">
        <f t="shared" si="58"/>
        <v>1.8173684210526315</v>
      </c>
      <c r="S310" s="9">
        <f t="shared" si="55"/>
        <v>-1.8173684210526315</v>
      </c>
      <c r="T310" s="9">
        <f t="shared" si="63"/>
        <v>122.23157894736848</v>
      </c>
      <c r="U310" s="9">
        <f>MIN(T301:T320)</f>
        <v>119.64385964912286</v>
      </c>
      <c r="V310" s="1">
        <v>1138.0999999999999</v>
      </c>
      <c r="W310" s="1">
        <f t="shared" si="56"/>
        <v>89.614173228346459</v>
      </c>
      <c r="X310" s="1">
        <f t="shared" si="62"/>
        <v>194825.5</v>
      </c>
      <c r="Y310" s="1">
        <f t="shared" si="65"/>
        <v>13138.699999999999</v>
      </c>
      <c r="AA310" s="1">
        <v>16.018779839104699</v>
      </c>
    </row>
    <row r="311" spans="1:27" s="1" customFormat="1" x14ac:dyDescent="0.25">
      <c r="A311" s="73"/>
      <c r="B311" s="5"/>
      <c r="C311" s="3">
        <v>41792</v>
      </c>
      <c r="D311" s="1">
        <v>14</v>
      </c>
      <c r="E311" s="1">
        <v>9</v>
      </c>
      <c r="F311" s="1">
        <v>18.100000000000001</v>
      </c>
      <c r="G311" s="1">
        <f t="shared" si="59"/>
        <v>2489.0999999999995</v>
      </c>
      <c r="H311" s="1">
        <f t="shared" si="53"/>
        <v>149.79999999999998</v>
      </c>
      <c r="I311" s="32" t="s">
        <v>15</v>
      </c>
      <c r="J311" s="1">
        <v>0.2</v>
      </c>
      <c r="K311" s="1">
        <f t="shared" si="60"/>
        <v>590.20000000000005</v>
      </c>
      <c r="L311" s="1">
        <v>2.8</v>
      </c>
      <c r="M311" s="1">
        <f t="shared" si="61"/>
        <v>362.4000000000002</v>
      </c>
      <c r="N311" s="8">
        <f t="shared" si="57"/>
        <v>-2.5999999999999996</v>
      </c>
      <c r="O311" s="1">
        <f t="shared" si="54"/>
        <v>144.49999999999986</v>
      </c>
      <c r="P311" s="1">
        <v>272</v>
      </c>
      <c r="Q311" s="11">
        <f t="shared" si="64"/>
        <v>0.99561403508771917</v>
      </c>
      <c r="R311" s="9">
        <f t="shared" si="58"/>
        <v>2.7877192982456136</v>
      </c>
      <c r="S311" s="9">
        <f t="shared" si="55"/>
        <v>-2.5877192982456134</v>
      </c>
      <c r="T311" s="9">
        <f t="shared" si="63"/>
        <v>119.64385964912286</v>
      </c>
      <c r="U311" s="32" t="s">
        <v>16</v>
      </c>
      <c r="V311" s="1">
        <v>1872.2</v>
      </c>
      <c r="W311" s="1">
        <f t="shared" si="56"/>
        <v>133.72857142857143</v>
      </c>
      <c r="X311" s="1">
        <f t="shared" si="62"/>
        <v>196697.7</v>
      </c>
      <c r="Y311" s="1">
        <f t="shared" si="65"/>
        <v>15010.9</v>
      </c>
      <c r="AA311" s="1">
        <v>16.046842446784598</v>
      </c>
    </row>
    <row r="312" spans="1:27" s="1" customFormat="1" x14ac:dyDescent="0.25">
      <c r="A312" s="73"/>
      <c r="B312" s="5"/>
      <c r="C312" s="3">
        <v>41793</v>
      </c>
      <c r="D312" s="1">
        <v>14.8</v>
      </c>
      <c r="E312" s="1">
        <v>11.9</v>
      </c>
      <c r="F312" s="1">
        <v>16.899999999999999</v>
      </c>
      <c r="G312" s="1">
        <f t="shared" si="59"/>
        <v>2503.8999999999996</v>
      </c>
      <c r="H312" s="1">
        <f t="shared" si="53"/>
        <v>164.6</v>
      </c>
      <c r="I312" s="1">
        <v>0</v>
      </c>
      <c r="J312" s="1">
        <v>8.8000000000000007</v>
      </c>
      <c r="K312" s="1">
        <f t="shared" si="60"/>
        <v>599</v>
      </c>
      <c r="L312" s="1">
        <v>1.5</v>
      </c>
      <c r="M312" s="1">
        <f t="shared" si="61"/>
        <v>363.9000000000002</v>
      </c>
      <c r="N312" s="1">
        <f t="shared" si="57"/>
        <v>7.3000000000000007</v>
      </c>
      <c r="O312" s="1">
        <f t="shared" si="54"/>
        <v>151.79999999999987</v>
      </c>
      <c r="P312" s="1">
        <v>273</v>
      </c>
      <c r="Q312" s="11">
        <f t="shared" si="64"/>
        <v>0.981578947368421</v>
      </c>
      <c r="R312" s="9">
        <f t="shared" si="58"/>
        <v>1.4723684210526315</v>
      </c>
      <c r="S312" s="9">
        <f t="shared" si="55"/>
        <v>7.3276315789473694</v>
      </c>
      <c r="T312" s="9">
        <f t="shared" si="63"/>
        <v>126.97149122807024</v>
      </c>
      <c r="U312" s="9">
        <f>MAX(T301:T320)</f>
        <v>147.77008771929832</v>
      </c>
      <c r="V312" s="1">
        <v>1008.1</v>
      </c>
      <c r="W312" s="1">
        <f t="shared" si="56"/>
        <v>68.114864864864856</v>
      </c>
      <c r="X312" s="1">
        <f t="shared" si="62"/>
        <v>197705.80000000002</v>
      </c>
      <c r="Y312" s="1">
        <f t="shared" si="65"/>
        <v>16019</v>
      </c>
      <c r="AA312" s="1">
        <v>16.073632876255999</v>
      </c>
    </row>
    <row r="313" spans="1:27" s="1" customFormat="1" x14ac:dyDescent="0.25">
      <c r="A313" s="73"/>
      <c r="B313" s="5"/>
      <c r="C313" s="3">
        <v>41794</v>
      </c>
      <c r="D313" s="1">
        <v>13.1</v>
      </c>
      <c r="E313" s="1">
        <v>12.8</v>
      </c>
      <c r="F313" s="1">
        <v>16.399999999999999</v>
      </c>
      <c r="G313" s="1">
        <f t="shared" si="59"/>
        <v>2516.9999999999995</v>
      </c>
      <c r="H313" s="1">
        <f t="shared" si="53"/>
        <v>177.7</v>
      </c>
      <c r="I313" s="32" t="s">
        <v>17</v>
      </c>
      <c r="J313" s="1">
        <v>14.3</v>
      </c>
      <c r="K313" s="1">
        <f t="shared" si="60"/>
        <v>613.29999999999995</v>
      </c>
      <c r="L313" s="1">
        <v>1.9</v>
      </c>
      <c r="M313" s="1">
        <f t="shared" si="61"/>
        <v>365.80000000000018</v>
      </c>
      <c r="N313" s="1">
        <f t="shared" si="57"/>
        <v>12.4</v>
      </c>
      <c r="O313" s="1">
        <f t="shared" si="54"/>
        <v>164.19999999999987</v>
      </c>
      <c r="P313" s="1">
        <v>274</v>
      </c>
      <c r="Q313" s="11">
        <f t="shared" si="64"/>
        <v>0.96754385964912271</v>
      </c>
      <c r="R313" s="9">
        <f t="shared" si="58"/>
        <v>1.8383333333333332</v>
      </c>
      <c r="S313" s="9">
        <f t="shared" si="55"/>
        <v>12.461666666666668</v>
      </c>
      <c r="T313" s="9">
        <f t="shared" si="63"/>
        <v>139.43315789473689</v>
      </c>
      <c r="U313" s="32" t="s">
        <v>18</v>
      </c>
      <c r="V313" s="10">
        <v>886.7</v>
      </c>
      <c r="W313" s="1">
        <f t="shared" si="56"/>
        <v>67.687022900763367</v>
      </c>
      <c r="X313" s="1">
        <f t="shared" si="62"/>
        <v>198592.50000000003</v>
      </c>
      <c r="Y313" s="1">
        <f t="shared" si="65"/>
        <v>16905.7</v>
      </c>
      <c r="AA313" s="1">
        <v>16.0991266550297</v>
      </c>
    </row>
    <row r="314" spans="1:27" s="1" customFormat="1" x14ac:dyDescent="0.25">
      <c r="A314" s="73"/>
      <c r="B314" s="5"/>
      <c r="C314" s="3">
        <v>41795</v>
      </c>
      <c r="D314" s="1">
        <v>13.3</v>
      </c>
      <c r="E314" s="1">
        <v>7.5</v>
      </c>
      <c r="F314" s="1">
        <v>17.7</v>
      </c>
      <c r="G314" s="1">
        <f t="shared" si="59"/>
        <v>2530.2999999999997</v>
      </c>
      <c r="H314" s="1">
        <f t="shared" si="53"/>
        <v>191</v>
      </c>
      <c r="I314" s="1">
        <v>305.7</v>
      </c>
      <c r="J314" s="1">
        <v>0</v>
      </c>
      <c r="K314" s="1">
        <f t="shared" si="60"/>
        <v>613.29999999999995</v>
      </c>
      <c r="L314" s="1">
        <v>2.8</v>
      </c>
      <c r="M314" s="1">
        <f t="shared" si="61"/>
        <v>368.60000000000019</v>
      </c>
      <c r="N314" s="8">
        <f t="shared" si="57"/>
        <v>-2.8</v>
      </c>
      <c r="O314" s="1">
        <f t="shared" si="54"/>
        <v>161.39999999999986</v>
      </c>
      <c r="P314" s="1">
        <v>275</v>
      </c>
      <c r="Q314" s="11">
        <f t="shared" si="64"/>
        <v>0.95350877192982453</v>
      </c>
      <c r="R314" s="9">
        <f t="shared" si="58"/>
        <v>2.6698245614035083</v>
      </c>
      <c r="S314" s="9">
        <f t="shared" si="55"/>
        <v>-2.6698245614035083</v>
      </c>
      <c r="T314" s="9">
        <f t="shared" si="63"/>
        <v>136.76333333333338</v>
      </c>
      <c r="U314" s="11">
        <f>AVERAGE(T301:T320)</f>
        <v>132.3700614035088</v>
      </c>
      <c r="V314" s="1">
        <v>1859.6</v>
      </c>
      <c r="W314" s="1">
        <f t="shared" si="56"/>
        <v>139.81954887218043</v>
      </c>
      <c r="X314" s="1">
        <f t="shared" si="62"/>
        <v>200452.10000000003</v>
      </c>
      <c r="Y314" s="1">
        <f t="shared" si="65"/>
        <v>18765.3</v>
      </c>
      <c r="AA314" s="1">
        <v>16.1233001180291</v>
      </c>
    </row>
    <row r="315" spans="1:27" s="1" customFormat="1" x14ac:dyDescent="0.25">
      <c r="A315" s="73"/>
      <c r="B315" s="5"/>
      <c r="C315" s="3">
        <v>41796</v>
      </c>
      <c r="D315" s="1">
        <v>18</v>
      </c>
      <c r="E315" s="1">
        <v>9.6</v>
      </c>
      <c r="F315" s="1">
        <v>23.4</v>
      </c>
      <c r="G315" s="1">
        <f t="shared" si="59"/>
        <v>2548.2999999999997</v>
      </c>
      <c r="H315" s="1">
        <f t="shared" si="53"/>
        <v>209</v>
      </c>
      <c r="J315" s="1">
        <v>0</v>
      </c>
      <c r="K315" s="1">
        <f t="shared" si="60"/>
        <v>613.29999999999995</v>
      </c>
      <c r="L315" s="1">
        <v>4.4000000000000004</v>
      </c>
      <c r="M315" s="1">
        <f t="shared" si="61"/>
        <v>373.00000000000017</v>
      </c>
      <c r="N315" s="8">
        <f t="shared" si="57"/>
        <v>-4.4000000000000004</v>
      </c>
      <c r="O315" s="1">
        <f t="shared" si="54"/>
        <v>156.99999999999986</v>
      </c>
      <c r="P315" s="1">
        <v>276</v>
      </c>
      <c r="Q315" s="11">
        <f t="shared" si="64"/>
        <v>0.93947368421052624</v>
      </c>
      <c r="R315" s="9">
        <f t="shared" si="58"/>
        <v>4.1336842105263161</v>
      </c>
      <c r="S315" s="9">
        <f t="shared" si="55"/>
        <v>-4.1336842105263161</v>
      </c>
      <c r="T315" s="9">
        <f t="shared" si="63"/>
        <v>132.62964912280705</v>
      </c>
      <c r="V315" s="1">
        <v>2721.1</v>
      </c>
      <c r="W315" s="1">
        <f t="shared" si="56"/>
        <v>151.17222222222222</v>
      </c>
      <c r="X315" s="1">
        <f t="shared" si="62"/>
        <v>203173.20000000004</v>
      </c>
      <c r="Y315" s="1">
        <f t="shared" si="65"/>
        <v>21486.399999999998</v>
      </c>
      <c r="AA315" s="1">
        <v>16.1461304855085</v>
      </c>
    </row>
    <row r="316" spans="1:27" s="1" customFormat="1" x14ac:dyDescent="0.25">
      <c r="A316" s="73"/>
      <c r="B316" s="5"/>
      <c r="C316" s="3">
        <v>41797</v>
      </c>
      <c r="D316" s="1">
        <v>20.7</v>
      </c>
      <c r="E316" s="1">
        <v>15.7</v>
      </c>
      <c r="F316" s="6">
        <v>25.5</v>
      </c>
      <c r="G316" s="1">
        <f t="shared" si="59"/>
        <v>2568.9999999999995</v>
      </c>
      <c r="H316" s="1">
        <f t="shared" si="53"/>
        <v>229.7</v>
      </c>
      <c r="J316" s="1">
        <v>1.7</v>
      </c>
      <c r="K316" s="1">
        <f t="shared" si="60"/>
        <v>615</v>
      </c>
      <c r="L316" s="1">
        <v>3.6</v>
      </c>
      <c r="M316" s="1">
        <f t="shared" si="61"/>
        <v>376.60000000000019</v>
      </c>
      <c r="N316" s="8">
        <f t="shared" si="57"/>
        <v>-1.9000000000000001</v>
      </c>
      <c r="O316" s="1">
        <f t="shared" si="54"/>
        <v>155.09999999999985</v>
      </c>
      <c r="P316" s="1">
        <v>277</v>
      </c>
      <c r="Q316" s="11">
        <f t="shared" si="64"/>
        <v>0.92543859649122795</v>
      </c>
      <c r="R316" s="9">
        <f t="shared" si="58"/>
        <v>3.3315789473684205</v>
      </c>
      <c r="S316" s="9">
        <f t="shared" si="55"/>
        <v>-1.6315789473684206</v>
      </c>
      <c r="T316" s="9">
        <f t="shared" si="63"/>
        <v>130.99807017543864</v>
      </c>
      <c r="U316" s="9">
        <f>(U314*100)/189.6</f>
        <v>69.815433229698741</v>
      </c>
      <c r="V316" s="1">
        <v>1911.6</v>
      </c>
      <c r="W316" s="1">
        <f t="shared" si="56"/>
        <v>92.347826086956516</v>
      </c>
      <c r="X316" s="1">
        <f t="shared" si="62"/>
        <v>205084.80000000005</v>
      </c>
      <c r="Y316" s="1">
        <f t="shared" si="65"/>
        <v>23397.999999999996</v>
      </c>
      <c r="AA316" s="1">
        <v>16.167595940049001</v>
      </c>
    </row>
    <row r="317" spans="1:27" s="1" customFormat="1" x14ac:dyDescent="0.25">
      <c r="A317" s="73"/>
      <c r="B317" s="5"/>
      <c r="C317" s="3">
        <v>41798</v>
      </c>
      <c r="D317" s="1">
        <v>19.899999999999999</v>
      </c>
      <c r="E317" s="1">
        <v>14.5</v>
      </c>
      <c r="F317" s="6">
        <v>25.2</v>
      </c>
      <c r="G317" s="1">
        <f t="shared" si="59"/>
        <v>2588.8999999999996</v>
      </c>
      <c r="H317" s="1">
        <f t="shared" si="53"/>
        <v>249.6</v>
      </c>
      <c r="J317" s="1">
        <v>1.5</v>
      </c>
      <c r="K317" s="1">
        <f t="shared" si="60"/>
        <v>616.5</v>
      </c>
      <c r="L317" s="1">
        <v>3.3</v>
      </c>
      <c r="M317" s="1">
        <f t="shared" si="61"/>
        <v>379.9000000000002</v>
      </c>
      <c r="N317" s="8">
        <f t="shared" si="57"/>
        <v>-1.7999999999999998</v>
      </c>
      <c r="O317" s="1">
        <f t="shared" si="54"/>
        <v>153.29999999999984</v>
      </c>
      <c r="P317" s="1">
        <v>278</v>
      </c>
      <c r="Q317" s="11">
        <f t="shared" si="64"/>
        <v>0.91140350877192977</v>
      </c>
      <c r="R317" s="9">
        <f t="shared" si="58"/>
        <v>3.0076315789473682</v>
      </c>
      <c r="S317" s="9">
        <f t="shared" si="55"/>
        <v>-1.5076315789473682</v>
      </c>
      <c r="T317" s="9">
        <f t="shared" si="63"/>
        <v>129.49043859649129</v>
      </c>
      <c r="V317" s="1">
        <v>1692</v>
      </c>
      <c r="W317" s="1">
        <f t="shared" si="56"/>
        <v>85.025125628140714</v>
      </c>
      <c r="X317" s="1">
        <f t="shared" si="62"/>
        <v>206776.80000000005</v>
      </c>
      <c r="Y317" s="1">
        <f t="shared" si="65"/>
        <v>25089.999999999996</v>
      </c>
      <c r="AA317" s="1">
        <v>16.187675702137401</v>
      </c>
    </row>
    <row r="318" spans="1:27" s="1" customFormat="1" x14ac:dyDescent="0.25">
      <c r="A318" s="73"/>
      <c r="B318" s="5"/>
      <c r="C318" s="3">
        <v>41799</v>
      </c>
      <c r="D318" s="1">
        <v>20.7</v>
      </c>
      <c r="E318" s="1">
        <v>17.8</v>
      </c>
      <c r="F318" s="1">
        <v>23.9</v>
      </c>
      <c r="G318" s="1">
        <f t="shared" si="59"/>
        <v>2609.5999999999995</v>
      </c>
      <c r="H318" s="1">
        <f t="shared" si="53"/>
        <v>270.3</v>
      </c>
      <c r="J318" s="1">
        <v>13</v>
      </c>
      <c r="K318" s="1">
        <f t="shared" si="60"/>
        <v>629.5</v>
      </c>
      <c r="L318" s="1">
        <v>2.4</v>
      </c>
      <c r="M318" s="1">
        <f t="shared" si="61"/>
        <v>382.30000000000018</v>
      </c>
      <c r="N318" s="1">
        <f t="shared" si="57"/>
        <v>10.6</v>
      </c>
      <c r="O318" s="1">
        <f t="shared" si="54"/>
        <v>163.89999999999984</v>
      </c>
      <c r="P318" s="1">
        <v>279</v>
      </c>
      <c r="Q318" s="11">
        <f t="shared" si="64"/>
        <v>0.89736842105263159</v>
      </c>
      <c r="R318" s="9">
        <f t="shared" si="58"/>
        <v>2.1536842105263156</v>
      </c>
      <c r="S318" s="9">
        <f t="shared" si="55"/>
        <v>10.846315789473685</v>
      </c>
      <c r="T318" s="9">
        <f t="shared" si="63"/>
        <v>140.33675438596498</v>
      </c>
      <c r="V318" s="1">
        <v>1173.5</v>
      </c>
      <c r="W318" s="1">
        <f t="shared" si="56"/>
        <v>56.690821256038646</v>
      </c>
      <c r="X318" s="1">
        <f t="shared" si="62"/>
        <v>207950.30000000005</v>
      </c>
      <c r="Y318" s="1">
        <f t="shared" si="65"/>
        <v>26263.499999999996</v>
      </c>
      <c r="AA318" s="1">
        <v>16.206350103821901</v>
      </c>
    </row>
    <row r="319" spans="1:27" s="1" customFormat="1" x14ac:dyDescent="0.25">
      <c r="A319" s="73"/>
      <c r="B319" s="5"/>
      <c r="C319" s="3">
        <v>41800</v>
      </c>
      <c r="D319" s="1">
        <v>17.8</v>
      </c>
      <c r="E319" s="1">
        <v>17.5</v>
      </c>
      <c r="F319" s="1">
        <v>20.9</v>
      </c>
      <c r="G319" s="1">
        <f t="shared" si="59"/>
        <v>2627.3999999999996</v>
      </c>
      <c r="H319" s="1">
        <f t="shared" si="53"/>
        <v>288.10000000000002</v>
      </c>
      <c r="J319" s="1">
        <v>9.1999999999999993</v>
      </c>
      <c r="K319" s="1">
        <f t="shared" si="60"/>
        <v>638.70000000000005</v>
      </c>
      <c r="L319" s="1">
        <v>2</v>
      </c>
      <c r="M319" s="1">
        <f t="shared" si="61"/>
        <v>384.30000000000018</v>
      </c>
      <c r="N319" s="1">
        <f t="shared" si="57"/>
        <v>7.1999999999999993</v>
      </c>
      <c r="O319" s="1">
        <f t="shared" si="54"/>
        <v>171.09999999999982</v>
      </c>
      <c r="P319" s="1">
        <v>280</v>
      </c>
      <c r="Q319" s="11">
        <f t="shared" si="64"/>
        <v>0.8833333333333333</v>
      </c>
      <c r="R319" s="9">
        <f t="shared" si="58"/>
        <v>1.7666666666666666</v>
      </c>
      <c r="S319" s="9">
        <f t="shared" si="55"/>
        <v>7.4333333333333327</v>
      </c>
      <c r="T319" s="9">
        <f t="shared" si="63"/>
        <v>147.77008771929832</v>
      </c>
      <c r="V319" s="10">
        <v>869.1</v>
      </c>
      <c r="W319" s="1">
        <f t="shared" si="56"/>
        <v>48.825842696629216</v>
      </c>
      <c r="X319" s="1">
        <f t="shared" si="62"/>
        <v>208819.40000000005</v>
      </c>
      <c r="Y319" s="1">
        <f t="shared" si="65"/>
        <v>27132.599999999995</v>
      </c>
      <c r="AA319" s="1">
        <v>16.223600659931702</v>
      </c>
    </row>
    <row r="320" spans="1:27" s="41" customFormat="1" ht="15.75" thickBot="1" x14ac:dyDescent="0.3">
      <c r="A320" s="73"/>
      <c r="B320" s="39"/>
      <c r="C320" s="40">
        <v>41801</v>
      </c>
      <c r="D320" s="41">
        <v>17.600000000000001</v>
      </c>
      <c r="E320" s="41">
        <v>13</v>
      </c>
      <c r="F320" s="41">
        <v>22</v>
      </c>
      <c r="G320" s="41">
        <f t="shared" si="59"/>
        <v>2644.9999999999995</v>
      </c>
      <c r="H320" s="41">
        <f t="shared" ref="H320:H357" si="66">H319+D320</f>
        <v>305.70000000000005</v>
      </c>
      <c r="J320" s="41">
        <v>0</v>
      </c>
      <c r="K320" s="41">
        <f t="shared" si="60"/>
        <v>638.70000000000005</v>
      </c>
      <c r="L320" s="41">
        <v>3.9</v>
      </c>
      <c r="M320" s="41">
        <f t="shared" si="61"/>
        <v>388.20000000000016</v>
      </c>
      <c r="N320" s="41">
        <f t="shared" si="57"/>
        <v>-3.9</v>
      </c>
      <c r="O320" s="42">
        <f t="shared" si="54"/>
        <v>167.19999999999982</v>
      </c>
      <c r="P320" s="42">
        <v>281</v>
      </c>
      <c r="Q320" s="43">
        <f t="shared" si="64"/>
        <v>0.86929824561403501</v>
      </c>
      <c r="R320" s="44">
        <f t="shared" si="58"/>
        <v>3.3902631578947364</v>
      </c>
      <c r="S320" s="44">
        <f t="shared" si="55"/>
        <v>-3.3902631578947364</v>
      </c>
      <c r="T320" s="44">
        <f t="shared" si="63"/>
        <v>144.37982456140358</v>
      </c>
      <c r="V320" s="41">
        <v>2204.1999999999998</v>
      </c>
      <c r="W320" s="41">
        <f t="shared" si="56"/>
        <v>125.23863636363635</v>
      </c>
      <c r="X320" s="41">
        <f t="shared" si="62"/>
        <v>211023.60000000006</v>
      </c>
      <c r="Y320" s="41">
        <f t="shared" si="65"/>
        <v>29336.799999999996</v>
      </c>
      <c r="AA320" s="42">
        <v>16.2394101363499</v>
      </c>
    </row>
    <row r="321" spans="1:27" s="1" customFormat="1" x14ac:dyDescent="0.25">
      <c r="A321" s="74">
        <v>1000</v>
      </c>
      <c r="B321" s="5"/>
      <c r="C321" s="3">
        <v>41802</v>
      </c>
      <c r="D321" s="1">
        <v>17.2</v>
      </c>
      <c r="E321" s="1">
        <v>12.1</v>
      </c>
      <c r="F321" s="1">
        <v>21.8</v>
      </c>
      <c r="G321" s="1">
        <f t="shared" si="59"/>
        <v>2662.1999999999994</v>
      </c>
      <c r="H321" s="1">
        <v>17.2</v>
      </c>
      <c r="I321" s="33" t="s">
        <v>2</v>
      </c>
      <c r="J321" s="1">
        <v>0</v>
      </c>
      <c r="K321" s="1">
        <f t="shared" si="60"/>
        <v>638.70000000000005</v>
      </c>
      <c r="L321" s="1">
        <v>4.8</v>
      </c>
      <c r="M321" s="1">
        <f t="shared" si="61"/>
        <v>393.00000000000017</v>
      </c>
      <c r="N321" s="8">
        <f t="shared" si="57"/>
        <v>-4.8</v>
      </c>
      <c r="O321" s="1">
        <f t="shared" si="54"/>
        <v>162.39999999999981</v>
      </c>
      <c r="P321" s="1">
        <v>282</v>
      </c>
      <c r="Q321" s="11">
        <f t="shared" si="64"/>
        <v>0.85526315789473673</v>
      </c>
      <c r="R321" s="9">
        <f t="shared" si="58"/>
        <v>4.1052631578947363</v>
      </c>
      <c r="S321" s="9">
        <f t="shared" si="55"/>
        <v>-4.1052631578947363</v>
      </c>
      <c r="T321" s="9">
        <f t="shared" si="63"/>
        <v>140.27456140350884</v>
      </c>
      <c r="U321" s="33" t="s">
        <v>3</v>
      </c>
      <c r="V321" s="1">
        <v>2773.3</v>
      </c>
      <c r="W321" s="1">
        <f t="shared" si="56"/>
        <v>161.23837209302329</v>
      </c>
      <c r="X321" s="1">
        <f t="shared" si="62"/>
        <v>213796.90000000005</v>
      </c>
      <c r="Y321" s="1">
        <v>2773.3</v>
      </c>
      <c r="Z321" s="33" t="s">
        <v>4</v>
      </c>
      <c r="AA321" s="1">
        <v>16.253762614833501</v>
      </c>
    </row>
    <row r="322" spans="1:27" s="1" customFormat="1" x14ac:dyDescent="0.25">
      <c r="A322" s="74"/>
      <c r="B322" s="5"/>
      <c r="C322" s="3">
        <v>41803</v>
      </c>
      <c r="D322" s="1">
        <v>17.3</v>
      </c>
      <c r="E322" s="1">
        <v>12.1</v>
      </c>
      <c r="F322" s="1">
        <v>21.9</v>
      </c>
      <c r="G322" s="1">
        <f t="shared" si="59"/>
        <v>2679.4999999999995</v>
      </c>
      <c r="H322" s="1">
        <f t="shared" si="66"/>
        <v>34.5</v>
      </c>
      <c r="I322" s="1">
        <f>MIN(E321:E345)</f>
        <v>8.6</v>
      </c>
      <c r="J322" s="1">
        <v>0.1</v>
      </c>
      <c r="K322" s="1">
        <f t="shared" si="60"/>
        <v>638.80000000000007</v>
      </c>
      <c r="L322" s="1">
        <v>4.5</v>
      </c>
      <c r="M322" s="1">
        <f t="shared" si="61"/>
        <v>397.50000000000017</v>
      </c>
      <c r="N322" s="8">
        <f t="shared" si="57"/>
        <v>-4.4000000000000004</v>
      </c>
      <c r="O322" s="1">
        <f t="shared" si="54"/>
        <v>157.9999999999998</v>
      </c>
      <c r="P322" s="1">
        <v>283</v>
      </c>
      <c r="Q322" s="11">
        <f t="shared" si="64"/>
        <v>0.84122807017543855</v>
      </c>
      <c r="R322" s="9">
        <f t="shared" si="58"/>
        <v>3.7855263157894736</v>
      </c>
      <c r="S322" s="9">
        <f t="shared" si="55"/>
        <v>-3.6855263157894735</v>
      </c>
      <c r="T322" s="9">
        <f t="shared" si="63"/>
        <v>136.58903508771937</v>
      </c>
      <c r="V322" s="1">
        <v>2694.6</v>
      </c>
      <c r="W322" s="1">
        <f t="shared" si="56"/>
        <v>155.757225433526</v>
      </c>
      <c r="X322" s="1">
        <f t="shared" si="62"/>
        <v>216491.50000000006</v>
      </c>
      <c r="Y322" s="1">
        <f t="shared" si="65"/>
        <v>5467.9</v>
      </c>
      <c r="Z322" s="1">
        <v>41022.1</v>
      </c>
      <c r="AA322" s="1">
        <v>16.266643553885899</v>
      </c>
    </row>
    <row r="323" spans="1:27" s="1" customFormat="1" x14ac:dyDescent="0.25">
      <c r="A323" s="74"/>
      <c r="B323" s="5"/>
      <c r="C323" s="3">
        <v>41804</v>
      </c>
      <c r="D323" s="1">
        <v>15.6</v>
      </c>
      <c r="E323" s="1">
        <v>12</v>
      </c>
      <c r="F323" s="1">
        <v>19.600000000000001</v>
      </c>
      <c r="G323" s="1">
        <f t="shared" si="59"/>
        <v>2695.0999999999995</v>
      </c>
      <c r="H323" s="1">
        <f t="shared" si="66"/>
        <v>50.1</v>
      </c>
      <c r="I323" s="33" t="s">
        <v>5</v>
      </c>
      <c r="J323" s="1">
        <v>0</v>
      </c>
      <c r="K323" s="1">
        <f t="shared" si="60"/>
        <v>638.80000000000007</v>
      </c>
      <c r="L323" s="1">
        <v>3.1</v>
      </c>
      <c r="M323" s="1">
        <f t="shared" si="61"/>
        <v>400.60000000000019</v>
      </c>
      <c r="N323" s="8">
        <f t="shared" si="57"/>
        <v>-3.1</v>
      </c>
      <c r="O323" s="1">
        <f t="shared" si="54"/>
        <v>154.89999999999981</v>
      </c>
      <c r="P323" s="1">
        <v>284</v>
      </c>
      <c r="Q323" s="11">
        <f t="shared" si="64"/>
        <v>0.82719298245614037</v>
      </c>
      <c r="R323" s="9">
        <f t="shared" si="58"/>
        <v>2.5642982456140353</v>
      </c>
      <c r="S323" s="9">
        <f t="shared" si="55"/>
        <v>-2.5642982456140353</v>
      </c>
      <c r="T323" s="9">
        <f t="shared" si="63"/>
        <v>134.02473684210534</v>
      </c>
      <c r="U323" s="33" t="s">
        <v>6</v>
      </c>
      <c r="V323" s="1">
        <v>1622.6</v>
      </c>
      <c r="W323" s="1">
        <f t="shared" si="56"/>
        <v>104.01282051282051</v>
      </c>
      <c r="X323" s="1">
        <f t="shared" si="62"/>
        <v>218114.10000000006</v>
      </c>
      <c r="Y323" s="1">
        <f t="shared" si="65"/>
        <v>7090.5</v>
      </c>
      <c r="Z323" s="33" t="s">
        <v>7</v>
      </c>
      <c r="AA323" s="1">
        <v>16.2780398452072</v>
      </c>
    </row>
    <row r="324" spans="1:27" s="1" customFormat="1" x14ac:dyDescent="0.25">
      <c r="A324" s="74"/>
      <c r="B324" s="5"/>
      <c r="C324" s="3">
        <v>41805</v>
      </c>
      <c r="D324" s="1">
        <v>14.5</v>
      </c>
      <c r="E324" s="1">
        <v>10.8</v>
      </c>
      <c r="F324" s="1">
        <v>17.8</v>
      </c>
      <c r="G324" s="1">
        <f t="shared" si="59"/>
        <v>2709.5999999999995</v>
      </c>
      <c r="H324" s="1">
        <f t="shared" si="66"/>
        <v>64.599999999999994</v>
      </c>
      <c r="I324" s="1">
        <v>25.9</v>
      </c>
      <c r="J324" s="1">
        <v>0</v>
      </c>
      <c r="K324" s="1">
        <f t="shared" si="60"/>
        <v>638.80000000000007</v>
      </c>
      <c r="L324" s="1">
        <v>2.7</v>
      </c>
      <c r="M324" s="1">
        <f t="shared" si="61"/>
        <v>403.30000000000018</v>
      </c>
      <c r="N324" s="8">
        <f t="shared" si="57"/>
        <v>-2.7</v>
      </c>
      <c r="O324" s="1">
        <f t="shared" si="54"/>
        <v>152.19999999999982</v>
      </c>
      <c r="P324" s="1">
        <v>285</v>
      </c>
      <c r="Q324" s="11">
        <f t="shared" si="64"/>
        <v>0.81315789473684208</v>
      </c>
      <c r="R324" s="9">
        <f t="shared" si="58"/>
        <v>2.1955263157894738</v>
      </c>
      <c r="S324" s="9">
        <f t="shared" si="55"/>
        <v>-2.1955263157894738</v>
      </c>
      <c r="T324" s="9">
        <f t="shared" si="63"/>
        <v>131.82921052631588</v>
      </c>
      <c r="V324" s="1">
        <v>1629.8</v>
      </c>
      <c r="W324" s="1">
        <f t="shared" si="56"/>
        <v>112.39999999999999</v>
      </c>
      <c r="X324" s="1">
        <f t="shared" si="62"/>
        <v>219743.90000000005</v>
      </c>
      <c r="Y324" s="1">
        <f t="shared" si="65"/>
        <v>8720.2999999999993</v>
      </c>
      <c r="Z324" s="11">
        <f>(Z322/100)/I334</f>
        <v>1.003967205090553</v>
      </c>
      <c r="AA324" s="1">
        <v>16.287939865271198</v>
      </c>
    </row>
    <row r="325" spans="1:27" s="1" customFormat="1" x14ac:dyDescent="0.25">
      <c r="A325" s="74"/>
      <c r="B325" s="5"/>
      <c r="C325" s="3">
        <v>41806</v>
      </c>
      <c r="D325" s="1">
        <v>13.9</v>
      </c>
      <c r="E325" s="1">
        <v>10.1</v>
      </c>
      <c r="F325" s="1">
        <v>16.600000000000001</v>
      </c>
      <c r="G325" s="1">
        <f t="shared" si="59"/>
        <v>2723.4999999999995</v>
      </c>
      <c r="H325" s="1">
        <f t="shared" si="66"/>
        <v>78.5</v>
      </c>
      <c r="I325" s="33" t="s">
        <v>8</v>
      </c>
      <c r="J325" s="1">
        <v>0</v>
      </c>
      <c r="K325" s="1">
        <f t="shared" si="60"/>
        <v>638.80000000000007</v>
      </c>
      <c r="L325" s="1">
        <v>2.5</v>
      </c>
      <c r="M325" s="1">
        <f t="shared" si="61"/>
        <v>405.80000000000018</v>
      </c>
      <c r="N325" s="8">
        <f t="shared" si="57"/>
        <v>-2.5</v>
      </c>
      <c r="O325" s="1">
        <f t="shared" si="54"/>
        <v>149.69999999999982</v>
      </c>
      <c r="P325" s="1">
        <v>286</v>
      </c>
      <c r="Q325" s="11">
        <f t="shared" si="64"/>
        <v>0.79912280701754379</v>
      </c>
      <c r="R325" s="9">
        <f t="shared" si="58"/>
        <v>1.9978070175438596</v>
      </c>
      <c r="S325" s="9">
        <f t="shared" si="55"/>
        <v>-1.9978070175438596</v>
      </c>
      <c r="T325" s="9">
        <f t="shared" si="63"/>
        <v>129.83140350877201</v>
      </c>
      <c r="U325" s="33" t="s">
        <v>9</v>
      </c>
      <c r="V325" s="1">
        <v>1597.1</v>
      </c>
      <c r="W325" s="1">
        <f t="shared" si="56"/>
        <v>114.89928057553956</v>
      </c>
      <c r="X325" s="1">
        <f t="shared" si="62"/>
        <v>221341.00000000006</v>
      </c>
      <c r="Y325" s="1">
        <f t="shared" si="65"/>
        <v>10317.4</v>
      </c>
      <c r="Z325" s="33" t="s">
        <v>10</v>
      </c>
      <c r="AA325" s="1">
        <v>16.2963335216077</v>
      </c>
    </row>
    <row r="326" spans="1:27" s="1" customFormat="1" x14ac:dyDescent="0.25">
      <c r="A326" s="74"/>
      <c r="B326" s="5"/>
      <c r="C326" s="3">
        <v>41807</v>
      </c>
      <c r="D326" s="1">
        <v>14.3</v>
      </c>
      <c r="E326" s="1">
        <v>11.7</v>
      </c>
      <c r="F326" s="1">
        <v>16.899999999999999</v>
      </c>
      <c r="G326" s="1">
        <f t="shared" si="59"/>
        <v>2737.7999999999997</v>
      </c>
      <c r="H326" s="1">
        <f t="shared" si="66"/>
        <v>92.8</v>
      </c>
      <c r="I326" s="9">
        <f>AVERAGE(D321:D345)</f>
        <v>16.343999999999994</v>
      </c>
      <c r="J326" s="1">
        <v>0</v>
      </c>
      <c r="K326" s="1">
        <f t="shared" si="60"/>
        <v>638.80000000000007</v>
      </c>
      <c r="L326" s="1">
        <v>2.1</v>
      </c>
      <c r="M326" s="1">
        <f t="shared" si="61"/>
        <v>407.9000000000002</v>
      </c>
      <c r="N326" s="8">
        <f t="shared" si="57"/>
        <v>-2.1</v>
      </c>
      <c r="O326" s="1">
        <f t="shared" si="54"/>
        <v>147.59999999999982</v>
      </c>
      <c r="P326" s="1">
        <v>287</v>
      </c>
      <c r="Q326" s="11">
        <f t="shared" si="64"/>
        <v>0.7850877192982455</v>
      </c>
      <c r="R326" s="9">
        <f t="shared" si="58"/>
        <v>1.6486842105263155</v>
      </c>
      <c r="S326" s="9">
        <f t="shared" si="55"/>
        <v>-1.6486842105263155</v>
      </c>
      <c r="T326" s="9">
        <f t="shared" si="63"/>
        <v>128.1827192982457</v>
      </c>
      <c r="U326" s="1">
        <v>0</v>
      </c>
      <c r="V326" s="1">
        <v>936</v>
      </c>
      <c r="W326" s="1">
        <f t="shared" si="56"/>
        <v>65.454545454545453</v>
      </c>
      <c r="X326" s="1">
        <f t="shared" si="62"/>
        <v>222277.00000000006</v>
      </c>
      <c r="Y326" s="1">
        <f t="shared" si="65"/>
        <v>11253.4</v>
      </c>
      <c r="Z326" s="1">
        <v>4</v>
      </c>
      <c r="AA326" s="1">
        <v>16.303212293407299</v>
      </c>
    </row>
    <row r="327" spans="1:27" s="1" customFormat="1" x14ac:dyDescent="0.25">
      <c r="A327" s="74"/>
      <c r="B327" s="5"/>
      <c r="C327" s="3">
        <v>41808</v>
      </c>
      <c r="D327" s="1">
        <v>15.6</v>
      </c>
      <c r="E327" s="1">
        <v>11.2</v>
      </c>
      <c r="F327" s="1">
        <v>19.8</v>
      </c>
      <c r="G327" s="1">
        <f t="shared" si="59"/>
        <v>2753.3999999999996</v>
      </c>
      <c r="H327" s="1">
        <f t="shared" si="66"/>
        <v>108.39999999999999</v>
      </c>
      <c r="I327" s="33" t="s">
        <v>11</v>
      </c>
      <c r="J327" s="1">
        <v>0</v>
      </c>
      <c r="K327" s="1">
        <f t="shared" si="60"/>
        <v>638.80000000000007</v>
      </c>
      <c r="L327" s="1">
        <v>3.5</v>
      </c>
      <c r="M327" s="1">
        <f t="shared" si="61"/>
        <v>411.4000000000002</v>
      </c>
      <c r="N327" s="8">
        <f t="shared" si="57"/>
        <v>-3.5</v>
      </c>
      <c r="O327" s="1">
        <f t="shared" si="54"/>
        <v>144.09999999999982</v>
      </c>
      <c r="P327" s="1">
        <v>288</v>
      </c>
      <c r="Q327" s="11">
        <f t="shared" si="64"/>
        <v>0.77105263157894732</v>
      </c>
      <c r="R327" s="9">
        <f t="shared" si="58"/>
        <v>2.6986842105263156</v>
      </c>
      <c r="S327" s="9">
        <f t="shared" si="55"/>
        <v>-2.6986842105263156</v>
      </c>
      <c r="T327" s="9">
        <f t="shared" si="63"/>
        <v>125.48403508771939</v>
      </c>
      <c r="U327" s="33" t="s">
        <v>12</v>
      </c>
      <c r="V327" s="1">
        <v>2125.3000000000002</v>
      </c>
      <c r="W327" s="1">
        <f t="shared" si="56"/>
        <v>136.2371794871795</v>
      </c>
      <c r="X327" s="1">
        <f t="shared" si="62"/>
        <v>224402.30000000005</v>
      </c>
      <c r="Y327" s="1">
        <f t="shared" si="65"/>
        <v>13378.7</v>
      </c>
      <c r="AA327" s="1">
        <v>16.308569266106399</v>
      </c>
    </row>
    <row r="328" spans="1:27" s="1" customFormat="1" x14ac:dyDescent="0.25">
      <c r="A328" s="74"/>
      <c r="B328" s="5"/>
      <c r="C328" s="3">
        <v>41809</v>
      </c>
      <c r="D328" s="1">
        <v>15.7</v>
      </c>
      <c r="E328" s="1">
        <v>11</v>
      </c>
      <c r="F328" s="1">
        <v>19.8</v>
      </c>
      <c r="G328" s="1">
        <f t="shared" si="59"/>
        <v>2769.0999999999995</v>
      </c>
      <c r="H328" s="1">
        <f t="shared" si="66"/>
        <v>124.1</v>
      </c>
      <c r="I328" s="1">
        <v>0</v>
      </c>
      <c r="J328" s="1">
        <v>0</v>
      </c>
      <c r="K328" s="1">
        <f t="shared" si="60"/>
        <v>638.80000000000007</v>
      </c>
      <c r="L328" s="1">
        <v>2.2000000000000002</v>
      </c>
      <c r="M328" s="1">
        <f t="shared" si="61"/>
        <v>413.60000000000019</v>
      </c>
      <c r="N328" s="8">
        <f t="shared" si="57"/>
        <v>-2.2000000000000002</v>
      </c>
      <c r="O328" s="1">
        <f t="shared" si="54"/>
        <v>141.89999999999984</v>
      </c>
      <c r="P328" s="1">
        <v>289</v>
      </c>
      <c r="Q328" s="11">
        <f t="shared" si="64"/>
        <v>0.75701754385964914</v>
      </c>
      <c r="R328" s="9">
        <f t="shared" si="58"/>
        <v>1.6654385964912282</v>
      </c>
      <c r="S328" s="9">
        <f t="shared" si="55"/>
        <v>-1.6654385964912282</v>
      </c>
      <c r="T328" s="9">
        <f t="shared" si="63"/>
        <v>123.81859649122816</v>
      </c>
      <c r="U328" s="1">
        <v>0</v>
      </c>
      <c r="V328" s="1">
        <v>1238.8</v>
      </c>
      <c r="W328" s="1">
        <f t="shared" si="56"/>
        <v>78.904458598726109</v>
      </c>
      <c r="X328" s="1">
        <f t="shared" si="62"/>
        <v>225641.10000000003</v>
      </c>
      <c r="Y328" s="1">
        <f t="shared" si="65"/>
        <v>14617.5</v>
      </c>
      <c r="AA328" s="1">
        <v>16.312399159655801</v>
      </c>
    </row>
    <row r="329" spans="1:27" s="1" customFormat="1" x14ac:dyDescent="0.25">
      <c r="A329" s="74"/>
      <c r="B329" s="5"/>
      <c r="C329" s="3">
        <v>41810</v>
      </c>
      <c r="D329" s="1">
        <v>14.5</v>
      </c>
      <c r="E329" s="1">
        <v>12.8</v>
      </c>
      <c r="F329" s="1">
        <v>17.899999999999999</v>
      </c>
      <c r="G329" s="1">
        <f t="shared" si="59"/>
        <v>2783.5999999999995</v>
      </c>
      <c r="H329" s="1">
        <f t="shared" si="66"/>
        <v>138.6</v>
      </c>
      <c r="I329" s="33" t="s">
        <v>13</v>
      </c>
      <c r="J329" s="1">
        <v>0</v>
      </c>
      <c r="K329" s="1">
        <f t="shared" si="60"/>
        <v>638.80000000000007</v>
      </c>
      <c r="L329" s="1">
        <v>2.2000000000000002</v>
      </c>
      <c r="M329" s="1">
        <f t="shared" si="61"/>
        <v>415.80000000000018</v>
      </c>
      <c r="N329" s="8">
        <f t="shared" si="57"/>
        <v>-2.2000000000000002</v>
      </c>
      <c r="O329" s="1">
        <f t="shared" si="54"/>
        <v>139.69999999999985</v>
      </c>
      <c r="P329" s="1">
        <v>290</v>
      </c>
      <c r="Q329" s="11">
        <f t="shared" si="64"/>
        <v>0.74298245614035086</v>
      </c>
      <c r="R329" s="9">
        <f t="shared" si="58"/>
        <v>1.6345614035087721</v>
      </c>
      <c r="S329" s="9">
        <f t="shared" si="55"/>
        <v>-1.6345614035087721</v>
      </c>
      <c r="T329" s="9">
        <f t="shared" si="63"/>
        <v>122.18403508771939</v>
      </c>
      <c r="U329" s="33" t="s">
        <v>14</v>
      </c>
      <c r="V329" s="1">
        <v>1109.5999999999999</v>
      </c>
      <c r="W329" s="1">
        <f t="shared" si="56"/>
        <v>76.524137931034474</v>
      </c>
      <c r="X329" s="1">
        <f t="shared" si="62"/>
        <v>226750.70000000004</v>
      </c>
      <c r="Y329" s="1">
        <f t="shared" si="65"/>
        <v>15727.1</v>
      </c>
      <c r="AA329" s="1">
        <v>16.3146983502313</v>
      </c>
    </row>
    <row r="330" spans="1:27" s="1" customFormat="1" x14ac:dyDescent="0.25">
      <c r="A330" s="74"/>
      <c r="B330" s="5"/>
      <c r="C330" s="3">
        <v>41811</v>
      </c>
      <c r="D330" s="1">
        <v>16</v>
      </c>
      <c r="E330" s="1">
        <v>8.6</v>
      </c>
      <c r="F330" s="1">
        <v>21.1</v>
      </c>
      <c r="G330" s="1">
        <f t="shared" si="59"/>
        <v>2799.5999999999995</v>
      </c>
      <c r="H330" s="1">
        <f t="shared" si="66"/>
        <v>154.6</v>
      </c>
      <c r="I330" s="1">
        <v>1</v>
      </c>
      <c r="J330" s="1">
        <v>0</v>
      </c>
      <c r="K330" s="1">
        <f t="shared" si="60"/>
        <v>638.80000000000007</v>
      </c>
      <c r="L330" s="1">
        <v>3.6</v>
      </c>
      <c r="M330" s="1">
        <f t="shared" si="61"/>
        <v>419.4000000000002</v>
      </c>
      <c r="N330" s="8">
        <f t="shared" si="57"/>
        <v>-3.6</v>
      </c>
      <c r="O330" s="1">
        <f t="shared" si="54"/>
        <v>136.09999999999985</v>
      </c>
      <c r="P330" s="1">
        <v>291</v>
      </c>
      <c r="Q330" s="11">
        <f t="shared" si="64"/>
        <v>0.72894736842105257</v>
      </c>
      <c r="R330" s="9">
        <f t="shared" si="58"/>
        <v>2.6242105263157893</v>
      </c>
      <c r="S330" s="9">
        <f t="shared" si="55"/>
        <v>-2.6242105263157893</v>
      </c>
      <c r="T330" s="9">
        <f t="shared" si="63"/>
        <v>119.5598245614036</v>
      </c>
      <c r="U330" s="9">
        <f>MIN(T321:T345)</f>
        <v>106.36447368421062</v>
      </c>
      <c r="V330" s="1">
        <v>2130.1</v>
      </c>
      <c r="W330" s="1">
        <f t="shared" si="56"/>
        <v>133.13124999999999</v>
      </c>
      <c r="X330" s="1">
        <f t="shared" si="62"/>
        <v>228880.80000000005</v>
      </c>
      <c r="Y330" s="1">
        <f t="shared" si="65"/>
        <v>17857.2</v>
      </c>
      <c r="AA330" s="1">
        <v>16.315464885196</v>
      </c>
    </row>
    <row r="331" spans="1:27" s="1" customFormat="1" x14ac:dyDescent="0.25">
      <c r="A331" s="74"/>
      <c r="B331" s="5"/>
      <c r="C331" s="3">
        <v>41812</v>
      </c>
      <c r="D331" s="1">
        <v>17.899999999999999</v>
      </c>
      <c r="E331" s="1">
        <v>10.7</v>
      </c>
      <c r="F331" s="1">
        <v>22.9</v>
      </c>
      <c r="G331" s="1">
        <f t="shared" si="59"/>
        <v>2817.4999999999995</v>
      </c>
      <c r="H331" s="1">
        <f t="shared" si="66"/>
        <v>172.5</v>
      </c>
      <c r="I331" s="33" t="s">
        <v>15</v>
      </c>
      <c r="J331" s="1">
        <v>0</v>
      </c>
      <c r="K331" s="1">
        <f t="shared" si="60"/>
        <v>638.80000000000007</v>
      </c>
      <c r="L331" s="1">
        <v>4</v>
      </c>
      <c r="M331" s="1">
        <f t="shared" si="61"/>
        <v>423.4000000000002</v>
      </c>
      <c r="N331" s="8">
        <f t="shared" si="57"/>
        <v>-4</v>
      </c>
      <c r="O331" s="1">
        <f t="shared" si="54"/>
        <v>132.09999999999985</v>
      </c>
      <c r="P331" s="1">
        <v>292</v>
      </c>
      <c r="Q331" s="11">
        <f t="shared" si="64"/>
        <v>0.71491228070175428</v>
      </c>
      <c r="R331" s="9">
        <f t="shared" si="58"/>
        <v>2.8596491228070171</v>
      </c>
      <c r="S331" s="9">
        <f t="shared" si="55"/>
        <v>-2.8596491228070171</v>
      </c>
      <c r="T331" s="9">
        <f t="shared" si="63"/>
        <v>116.70017543859659</v>
      </c>
      <c r="U331" s="33" t="s">
        <v>16</v>
      </c>
      <c r="V331" s="1">
        <v>2409.9</v>
      </c>
      <c r="W331" s="1">
        <f t="shared" si="56"/>
        <v>134.63128491620114</v>
      </c>
      <c r="X331" s="1">
        <f t="shared" si="62"/>
        <v>231290.70000000004</v>
      </c>
      <c r="Y331" s="1">
        <f t="shared" si="65"/>
        <v>20267.100000000002</v>
      </c>
      <c r="AA331" s="1">
        <v>16.314698491182799</v>
      </c>
    </row>
    <row r="332" spans="1:27" s="1" customFormat="1" x14ac:dyDescent="0.25">
      <c r="A332" s="74"/>
      <c r="B332" s="5"/>
      <c r="C332" s="3">
        <v>41813</v>
      </c>
      <c r="D332" s="1">
        <v>17.399999999999999</v>
      </c>
      <c r="E332" s="1">
        <v>13.7</v>
      </c>
      <c r="F332" s="1">
        <v>22.1</v>
      </c>
      <c r="G332" s="1">
        <f t="shared" si="59"/>
        <v>2834.8999999999996</v>
      </c>
      <c r="H332" s="1">
        <f t="shared" si="66"/>
        <v>189.9</v>
      </c>
      <c r="I332" s="1">
        <v>0</v>
      </c>
      <c r="J332" s="1">
        <v>0</v>
      </c>
      <c r="K332" s="1">
        <f t="shared" si="60"/>
        <v>638.80000000000007</v>
      </c>
      <c r="L332" s="1">
        <v>4.7</v>
      </c>
      <c r="M332" s="1">
        <f t="shared" si="61"/>
        <v>428.10000000000019</v>
      </c>
      <c r="N332" s="8">
        <f t="shared" si="57"/>
        <v>-4.7</v>
      </c>
      <c r="O332" s="1">
        <f t="shared" si="54"/>
        <v>127.39999999999985</v>
      </c>
      <c r="P332" s="1">
        <v>293</v>
      </c>
      <c r="Q332" s="11">
        <f t="shared" si="64"/>
        <v>0.7008771929824561</v>
      </c>
      <c r="R332" s="9">
        <f t="shared" si="58"/>
        <v>3.2941228070175437</v>
      </c>
      <c r="S332" s="9">
        <f t="shared" si="55"/>
        <v>-3.2941228070175437</v>
      </c>
      <c r="T332" s="9">
        <f t="shared" si="63"/>
        <v>113.40605263157904</v>
      </c>
      <c r="U332" s="9">
        <f>MAX(T321:T345)</f>
        <v>140.27456140350884</v>
      </c>
      <c r="V332" s="1">
        <v>2359.9</v>
      </c>
      <c r="W332" s="1">
        <f t="shared" si="56"/>
        <v>135.62643678160921</v>
      </c>
      <c r="X332" s="1">
        <f t="shared" si="62"/>
        <v>233650.60000000003</v>
      </c>
      <c r="Y332" s="1">
        <f t="shared" si="65"/>
        <v>22627.000000000004</v>
      </c>
      <c r="AA332" s="1">
        <v>16.312400575227699</v>
      </c>
    </row>
    <row r="333" spans="1:27" s="1" customFormat="1" x14ac:dyDescent="0.25">
      <c r="A333" s="74"/>
      <c r="B333" s="5"/>
      <c r="C333" s="3">
        <v>41814</v>
      </c>
      <c r="D333" s="1">
        <v>17.899999999999999</v>
      </c>
      <c r="E333" s="1">
        <v>11.2</v>
      </c>
      <c r="F333" s="1">
        <v>23.7</v>
      </c>
      <c r="G333" s="1">
        <f t="shared" si="59"/>
        <v>2852.7999999999997</v>
      </c>
      <c r="H333" s="1">
        <f t="shared" si="66"/>
        <v>207.8</v>
      </c>
      <c r="I333" s="33" t="s">
        <v>17</v>
      </c>
      <c r="J333" s="1">
        <v>0.1</v>
      </c>
      <c r="K333" s="1">
        <f t="shared" si="60"/>
        <v>638.90000000000009</v>
      </c>
      <c r="L333" s="1">
        <v>3.7</v>
      </c>
      <c r="M333" s="1">
        <f t="shared" si="61"/>
        <v>431.80000000000018</v>
      </c>
      <c r="N333" s="8">
        <f t="shared" si="57"/>
        <v>-3.6</v>
      </c>
      <c r="O333" s="1">
        <f t="shared" si="54"/>
        <v>123.79999999999986</v>
      </c>
      <c r="P333" s="1">
        <v>294</v>
      </c>
      <c r="Q333" s="11">
        <f t="shared" si="64"/>
        <v>0.68684210526315781</v>
      </c>
      <c r="R333" s="9">
        <f t="shared" si="58"/>
        <v>2.5413157894736842</v>
      </c>
      <c r="S333" s="9">
        <f t="shared" si="55"/>
        <v>-2.4413157894736841</v>
      </c>
      <c r="T333" s="9">
        <f t="shared" si="63"/>
        <v>110.96473684210537</v>
      </c>
      <c r="U333" s="33" t="s">
        <v>18</v>
      </c>
      <c r="V333" s="1">
        <v>1980.4</v>
      </c>
      <c r="W333" s="1">
        <f t="shared" si="56"/>
        <v>110.6368715083799</v>
      </c>
      <c r="X333" s="1">
        <f t="shared" si="62"/>
        <v>235631.00000000003</v>
      </c>
      <c r="Y333" s="1">
        <f t="shared" si="65"/>
        <v>24607.400000000005</v>
      </c>
      <c r="AA333" s="1">
        <v>16.308574218940901</v>
      </c>
    </row>
    <row r="334" spans="1:27" s="1" customFormat="1" x14ac:dyDescent="0.25">
      <c r="A334" s="74"/>
      <c r="B334" s="5"/>
      <c r="C334" s="3">
        <v>41815</v>
      </c>
      <c r="D334" s="1">
        <v>15.9</v>
      </c>
      <c r="E334" s="1">
        <v>14.2</v>
      </c>
      <c r="F334" s="1">
        <v>19.2</v>
      </c>
      <c r="G334" s="1">
        <f t="shared" si="59"/>
        <v>2868.7</v>
      </c>
      <c r="H334" s="1">
        <f t="shared" si="66"/>
        <v>223.70000000000002</v>
      </c>
      <c r="I334" s="1">
        <v>408.6</v>
      </c>
      <c r="J334" s="1">
        <v>0</v>
      </c>
      <c r="K334" s="1">
        <f t="shared" si="60"/>
        <v>638.90000000000009</v>
      </c>
      <c r="L334" s="1">
        <v>3.9</v>
      </c>
      <c r="M334" s="1">
        <f t="shared" si="61"/>
        <v>435.70000000000016</v>
      </c>
      <c r="N334" s="8">
        <f t="shared" si="57"/>
        <v>-3.9</v>
      </c>
      <c r="O334" s="1">
        <f t="shared" si="54"/>
        <v>119.89999999999985</v>
      </c>
      <c r="P334" s="1">
        <v>295</v>
      </c>
      <c r="Q334" s="11">
        <f t="shared" si="64"/>
        <v>0.67280701754385963</v>
      </c>
      <c r="R334" s="9">
        <f t="shared" si="58"/>
        <v>2.6239473684210526</v>
      </c>
      <c r="S334" s="9">
        <f t="shared" si="55"/>
        <v>-2.6239473684210526</v>
      </c>
      <c r="T334" s="9">
        <f t="shared" si="63"/>
        <v>108.34078947368431</v>
      </c>
      <c r="U334" s="11">
        <f>AVERAGE(T321:T345)</f>
        <v>123.16730877192991</v>
      </c>
      <c r="V334" s="1">
        <v>1873.7</v>
      </c>
      <c r="W334" s="1">
        <f t="shared" si="56"/>
        <v>117.84276729559748</v>
      </c>
      <c r="X334" s="1">
        <f t="shared" si="62"/>
        <v>237504.70000000004</v>
      </c>
      <c r="Y334" s="1">
        <f t="shared" si="65"/>
        <v>26481.100000000006</v>
      </c>
      <c r="AA334" s="1">
        <v>16.303224165769201</v>
      </c>
    </row>
    <row r="335" spans="1:27" s="1" customFormat="1" x14ac:dyDescent="0.25">
      <c r="A335" s="74"/>
      <c r="B335" s="5"/>
      <c r="C335" s="3">
        <v>41816</v>
      </c>
      <c r="D335" s="1">
        <v>17.100000000000001</v>
      </c>
      <c r="E335" s="1">
        <v>9.5</v>
      </c>
      <c r="F335" s="1">
        <v>22.5</v>
      </c>
      <c r="G335" s="1">
        <f t="shared" si="59"/>
        <v>2885.7999999999997</v>
      </c>
      <c r="H335" s="1">
        <f t="shared" si="66"/>
        <v>240.8</v>
      </c>
      <c r="J335" s="1">
        <v>0</v>
      </c>
      <c r="K335" s="1">
        <f t="shared" si="60"/>
        <v>638.90000000000009</v>
      </c>
      <c r="L335" s="1">
        <v>3</v>
      </c>
      <c r="M335" s="1">
        <f t="shared" si="61"/>
        <v>438.70000000000016</v>
      </c>
      <c r="N335" s="8">
        <f t="shared" si="57"/>
        <v>-3</v>
      </c>
      <c r="O335" s="1">
        <f t="shared" si="54"/>
        <v>116.89999999999985</v>
      </c>
      <c r="P335" s="1">
        <v>296</v>
      </c>
      <c r="Q335" s="11">
        <f t="shared" si="64"/>
        <v>0.65877192982456134</v>
      </c>
      <c r="R335" s="9">
        <f t="shared" si="58"/>
        <v>1.976315789473684</v>
      </c>
      <c r="S335" s="9">
        <f t="shared" si="55"/>
        <v>-1.976315789473684</v>
      </c>
      <c r="T335" s="9">
        <f t="shared" si="63"/>
        <v>106.36447368421062</v>
      </c>
      <c r="V335" s="1">
        <v>1705.8</v>
      </c>
      <c r="W335" s="1">
        <f t="shared" si="56"/>
        <v>99.754385964912274</v>
      </c>
      <c r="X335" s="1">
        <f t="shared" si="62"/>
        <v>239210.50000000003</v>
      </c>
      <c r="Y335" s="1">
        <f t="shared" si="65"/>
        <v>28186.900000000005</v>
      </c>
      <c r="AA335" s="1">
        <v>16.296356801458401</v>
      </c>
    </row>
    <row r="336" spans="1:27" s="1" customFormat="1" x14ac:dyDescent="0.25">
      <c r="A336" s="74"/>
      <c r="B336" s="5"/>
      <c r="C336" s="3">
        <v>41817</v>
      </c>
      <c r="D336" s="1">
        <v>17.5</v>
      </c>
      <c r="E336" s="1">
        <v>15.1</v>
      </c>
      <c r="F336" s="1">
        <v>21.9</v>
      </c>
      <c r="G336" s="1">
        <f t="shared" si="59"/>
        <v>2903.2999999999997</v>
      </c>
      <c r="H336" s="1">
        <f t="shared" si="66"/>
        <v>258.3</v>
      </c>
      <c r="J336" s="1">
        <v>4.0999999999999996</v>
      </c>
      <c r="K336" s="1">
        <f t="shared" si="60"/>
        <v>643.00000000000011</v>
      </c>
      <c r="L336" s="1">
        <v>2.6</v>
      </c>
      <c r="M336" s="1">
        <f t="shared" si="61"/>
        <v>441.30000000000018</v>
      </c>
      <c r="N336" s="1">
        <f t="shared" si="57"/>
        <v>1.4999999999999996</v>
      </c>
      <c r="O336" s="1">
        <f t="shared" si="54"/>
        <v>118.39999999999985</v>
      </c>
      <c r="P336" s="1">
        <v>297</v>
      </c>
      <c r="Q336" s="11">
        <f t="shared" si="64"/>
        <v>0.64473684210526316</v>
      </c>
      <c r="R336" s="9">
        <f t="shared" si="58"/>
        <v>1.6763157894736842</v>
      </c>
      <c r="S336" s="9">
        <f t="shared" si="55"/>
        <v>2.4236842105263152</v>
      </c>
      <c r="T336" s="9">
        <f t="shared" si="63"/>
        <v>108.78815789473694</v>
      </c>
      <c r="U336" s="9">
        <f>(U334*100)/189.6</f>
        <v>64.961660744688771</v>
      </c>
      <c r="V336" s="1">
        <v>1297.5999999999999</v>
      </c>
      <c r="W336" s="1">
        <f t="shared" si="56"/>
        <v>74.148571428571429</v>
      </c>
      <c r="X336" s="1">
        <f t="shared" si="62"/>
        <v>240508.10000000003</v>
      </c>
      <c r="Y336" s="1">
        <f t="shared" si="65"/>
        <v>29484.500000000004</v>
      </c>
      <c r="AA336" s="1">
        <v>16.2879801278877</v>
      </c>
    </row>
    <row r="337" spans="1:27" s="1" customFormat="1" x14ac:dyDescent="0.25">
      <c r="A337" s="74"/>
      <c r="B337" s="5"/>
      <c r="C337" s="3">
        <v>41818</v>
      </c>
      <c r="D337" s="1">
        <v>14.9</v>
      </c>
      <c r="E337" s="1">
        <v>14.1</v>
      </c>
      <c r="F337" s="1">
        <v>15.9</v>
      </c>
      <c r="G337" s="1">
        <f t="shared" si="59"/>
        <v>2918.2</v>
      </c>
      <c r="H337" s="1">
        <f t="shared" si="66"/>
        <v>273.2</v>
      </c>
      <c r="J337" s="1">
        <v>10.5</v>
      </c>
      <c r="K337" s="1">
        <f t="shared" si="60"/>
        <v>653.50000000000011</v>
      </c>
      <c r="L337" s="1">
        <v>1.4</v>
      </c>
      <c r="M337" s="1">
        <f t="shared" si="61"/>
        <v>442.70000000000016</v>
      </c>
      <c r="N337" s="1">
        <f t="shared" si="57"/>
        <v>9.1</v>
      </c>
      <c r="O337" s="1">
        <f t="shared" si="54"/>
        <v>127.49999999999984</v>
      </c>
      <c r="P337" s="1">
        <v>298</v>
      </c>
      <c r="Q337" s="11">
        <f t="shared" si="64"/>
        <v>0.63070175438596487</v>
      </c>
      <c r="R337" s="9">
        <f t="shared" si="58"/>
        <v>0.88298245614035076</v>
      </c>
      <c r="S337" s="9">
        <f t="shared" si="55"/>
        <v>9.6170175438596495</v>
      </c>
      <c r="T337" s="9">
        <f t="shared" si="63"/>
        <v>118.40517543859659</v>
      </c>
      <c r="V337" s="1">
        <v>946.4</v>
      </c>
      <c r="W337" s="1">
        <f t="shared" si="56"/>
        <v>63.516778523489933</v>
      </c>
      <c r="X337" s="1">
        <f t="shared" si="62"/>
        <v>241454.50000000003</v>
      </c>
      <c r="Y337" s="1">
        <f t="shared" si="65"/>
        <v>30430.900000000005</v>
      </c>
      <c r="AA337" s="1">
        <v>16.278103730499399</v>
      </c>
    </row>
    <row r="338" spans="1:27" s="1" customFormat="1" x14ac:dyDescent="0.25">
      <c r="A338" s="74"/>
      <c r="B338" s="5"/>
      <c r="C338" s="3">
        <v>41819</v>
      </c>
      <c r="D338" s="1">
        <v>14</v>
      </c>
      <c r="E338" s="1">
        <v>13</v>
      </c>
      <c r="F338" s="1">
        <v>16</v>
      </c>
      <c r="G338" s="1">
        <f t="shared" si="59"/>
        <v>2932.2</v>
      </c>
      <c r="H338" s="1">
        <f t="shared" si="66"/>
        <v>287.2</v>
      </c>
      <c r="J338" s="1">
        <v>6.6</v>
      </c>
      <c r="K338" s="1">
        <f t="shared" si="60"/>
        <v>660.10000000000014</v>
      </c>
      <c r="L338" s="1">
        <v>1.6</v>
      </c>
      <c r="M338" s="1">
        <f t="shared" si="61"/>
        <v>444.30000000000018</v>
      </c>
      <c r="N338" s="1">
        <f t="shared" si="57"/>
        <v>5</v>
      </c>
      <c r="O338" s="1">
        <f t="shared" si="54"/>
        <v>132.49999999999983</v>
      </c>
      <c r="P338" s="1">
        <v>299</v>
      </c>
      <c r="Q338" s="11">
        <f t="shared" si="64"/>
        <v>0.6166666666666667</v>
      </c>
      <c r="R338" s="9">
        <f t="shared" si="58"/>
        <v>0.9866666666666668</v>
      </c>
      <c r="S338" s="9">
        <f t="shared" si="55"/>
        <v>5.6133333333333333</v>
      </c>
      <c r="T338" s="9">
        <f t="shared" si="63"/>
        <v>124.01850877192992</v>
      </c>
      <c r="V338" s="10">
        <v>848.4</v>
      </c>
      <c r="W338" s="1">
        <f t="shared" si="56"/>
        <v>60.6</v>
      </c>
      <c r="X338" s="1">
        <f t="shared" si="62"/>
        <v>242302.90000000002</v>
      </c>
      <c r="Y338" s="1">
        <f t="shared" si="65"/>
        <v>31279.300000000007</v>
      </c>
      <c r="AA338" s="1">
        <v>16.266738739605</v>
      </c>
    </row>
    <row r="339" spans="1:27" s="1" customFormat="1" x14ac:dyDescent="0.25">
      <c r="A339" s="74"/>
      <c r="B339" s="5"/>
      <c r="C339" s="3">
        <v>41820</v>
      </c>
      <c r="D339" s="1">
        <v>14.9</v>
      </c>
      <c r="E339" s="1">
        <v>10.6</v>
      </c>
      <c r="F339" s="1">
        <v>19.600000000000001</v>
      </c>
      <c r="G339" s="1">
        <f t="shared" si="59"/>
        <v>2947.1</v>
      </c>
      <c r="H339" s="1">
        <f t="shared" si="66"/>
        <v>302.09999999999997</v>
      </c>
      <c r="J339" s="1">
        <v>3.2</v>
      </c>
      <c r="K339" s="1">
        <f t="shared" si="60"/>
        <v>663.30000000000018</v>
      </c>
      <c r="L339" s="1">
        <v>1.3</v>
      </c>
      <c r="M339" s="1">
        <f t="shared" si="61"/>
        <v>445.60000000000019</v>
      </c>
      <c r="N339" s="1">
        <f t="shared" si="57"/>
        <v>1.9000000000000001</v>
      </c>
      <c r="O339" s="1">
        <f t="shared" si="54"/>
        <v>134.39999999999984</v>
      </c>
      <c r="P339" s="1">
        <v>300</v>
      </c>
      <c r="Q339" s="11">
        <f t="shared" si="64"/>
        <v>0.60263157894736841</v>
      </c>
      <c r="R339" s="9">
        <f t="shared" si="58"/>
        <v>0.78342105263157891</v>
      </c>
      <c r="S339" s="9">
        <f t="shared" si="55"/>
        <v>2.4165789473684214</v>
      </c>
      <c r="T339" s="9">
        <f t="shared" si="63"/>
        <v>126.43508771929834</v>
      </c>
      <c r="V339" s="10">
        <v>692.1</v>
      </c>
      <c r="W339" s="1">
        <f t="shared" si="56"/>
        <v>46.449664429530202</v>
      </c>
      <c r="X339" s="1">
        <f t="shared" si="62"/>
        <v>242995.00000000003</v>
      </c>
      <c r="Y339" s="1">
        <f t="shared" si="65"/>
        <v>31971.400000000005</v>
      </c>
      <c r="AA339" s="1">
        <v>16.2538977858922</v>
      </c>
    </row>
    <row r="340" spans="1:27" s="1" customFormat="1" x14ac:dyDescent="0.25">
      <c r="A340" s="74"/>
      <c r="B340" s="5"/>
      <c r="C340" s="3">
        <v>41821</v>
      </c>
      <c r="D340" s="1">
        <v>16.399999999999999</v>
      </c>
      <c r="E340" s="1">
        <v>12.6</v>
      </c>
      <c r="F340" s="1">
        <v>20</v>
      </c>
      <c r="G340" s="1">
        <f t="shared" si="59"/>
        <v>2963.5</v>
      </c>
      <c r="H340" s="1">
        <f t="shared" si="66"/>
        <v>318.49999999999994</v>
      </c>
      <c r="J340" s="1">
        <v>0</v>
      </c>
      <c r="K340" s="1">
        <f t="shared" si="60"/>
        <v>663.30000000000018</v>
      </c>
      <c r="L340" s="1">
        <v>2.4</v>
      </c>
      <c r="M340" s="1">
        <f t="shared" si="61"/>
        <v>448.00000000000017</v>
      </c>
      <c r="N340" s="8">
        <f t="shared" si="57"/>
        <v>-2.4</v>
      </c>
      <c r="O340" s="1">
        <f t="shared" si="54"/>
        <v>131.99999999999983</v>
      </c>
      <c r="P340" s="1">
        <v>301</v>
      </c>
      <c r="Q340" s="11">
        <f t="shared" si="64"/>
        <v>0.58859649122807012</v>
      </c>
      <c r="R340" s="9">
        <f t="shared" si="58"/>
        <v>1.4126315789473682</v>
      </c>
      <c r="S340" s="9">
        <f t="shared" si="55"/>
        <v>-1.4126315789473682</v>
      </c>
      <c r="T340" s="9">
        <f t="shared" si="63"/>
        <v>125.02245614035097</v>
      </c>
      <c r="V340" s="1">
        <v>1033.3</v>
      </c>
      <c r="W340" s="1">
        <f t="shared" si="56"/>
        <v>63.006097560975611</v>
      </c>
      <c r="X340" s="1">
        <f t="shared" si="62"/>
        <v>244028.30000000002</v>
      </c>
      <c r="Y340" s="1">
        <f t="shared" si="65"/>
        <v>33004.700000000004</v>
      </c>
      <c r="AA340" s="1">
        <v>16.239594950505701</v>
      </c>
    </row>
    <row r="341" spans="1:27" s="1" customFormat="1" x14ac:dyDescent="0.25">
      <c r="A341" s="74"/>
      <c r="B341" s="5"/>
      <c r="C341" s="3">
        <v>41822</v>
      </c>
      <c r="D341" s="1">
        <v>16.7</v>
      </c>
      <c r="E341" s="1">
        <v>11.8</v>
      </c>
      <c r="F341" s="1">
        <v>21.5</v>
      </c>
      <c r="G341" s="1">
        <f t="shared" si="59"/>
        <v>2980.2</v>
      </c>
      <c r="H341" s="1">
        <f t="shared" si="66"/>
        <v>335.19999999999993</v>
      </c>
      <c r="J341" s="1">
        <v>0</v>
      </c>
      <c r="K341" s="1">
        <f t="shared" si="60"/>
        <v>663.30000000000018</v>
      </c>
      <c r="L341" s="1">
        <v>4.8</v>
      </c>
      <c r="M341" s="1">
        <f t="shared" si="61"/>
        <v>452.80000000000018</v>
      </c>
      <c r="N341" s="8">
        <f t="shared" si="57"/>
        <v>-4.8</v>
      </c>
      <c r="O341" s="1">
        <f t="shared" si="54"/>
        <v>127.19999999999983</v>
      </c>
      <c r="P341" s="1">
        <v>302</v>
      </c>
      <c r="Q341" s="11">
        <f t="shared" si="64"/>
        <v>0.57456140350877183</v>
      </c>
      <c r="R341" s="9">
        <f t="shared" si="58"/>
        <v>2.7578947368421045</v>
      </c>
      <c r="S341" s="9">
        <f t="shared" si="55"/>
        <v>-2.7578947368421045</v>
      </c>
      <c r="T341" s="9">
        <f t="shared" si="63"/>
        <v>122.26456140350886</v>
      </c>
      <c r="V341" s="1">
        <v>2733.3</v>
      </c>
      <c r="W341" s="1">
        <f t="shared" si="56"/>
        <v>163.67065868263475</v>
      </c>
      <c r="X341" s="1">
        <f t="shared" si="62"/>
        <v>246761.60000000001</v>
      </c>
      <c r="Y341" s="1">
        <f t="shared" si="65"/>
        <v>35738.000000000007</v>
      </c>
      <c r="AA341" s="1">
        <v>16.2238457101089</v>
      </c>
    </row>
    <row r="342" spans="1:27" s="1" customFormat="1" x14ac:dyDescent="0.25">
      <c r="A342" s="74"/>
      <c r="B342" s="5"/>
      <c r="C342" s="3">
        <v>41823</v>
      </c>
      <c r="D342" s="1">
        <v>19.899999999999999</v>
      </c>
      <c r="E342" s="1">
        <v>12.7</v>
      </c>
      <c r="F342" s="6">
        <v>25.9</v>
      </c>
      <c r="G342" s="1">
        <f t="shared" si="59"/>
        <v>3000.1</v>
      </c>
      <c r="H342" s="1">
        <f t="shared" si="66"/>
        <v>355.09999999999991</v>
      </c>
      <c r="J342" s="1">
        <v>0</v>
      </c>
      <c r="K342" s="1">
        <f t="shared" si="60"/>
        <v>663.30000000000018</v>
      </c>
      <c r="L342" s="1">
        <v>5.3</v>
      </c>
      <c r="M342" s="1">
        <f t="shared" si="61"/>
        <v>458.10000000000019</v>
      </c>
      <c r="N342" s="8">
        <f t="shared" si="57"/>
        <v>-5.3</v>
      </c>
      <c r="O342" s="1">
        <f t="shared" si="54"/>
        <v>121.89999999999984</v>
      </c>
      <c r="P342" s="1">
        <v>303</v>
      </c>
      <c r="Q342" s="11">
        <f t="shared" si="64"/>
        <v>0.56052631578947365</v>
      </c>
      <c r="R342" s="9">
        <f t="shared" si="58"/>
        <v>2.9707894736842104</v>
      </c>
      <c r="S342" s="9">
        <f t="shared" si="55"/>
        <v>-2.9707894736842104</v>
      </c>
      <c r="T342" s="9">
        <f t="shared" si="63"/>
        <v>119.29377192982466</v>
      </c>
      <c r="V342" s="1">
        <v>2724.4</v>
      </c>
      <c r="W342" s="1">
        <f t="shared" si="56"/>
        <v>136.90452261306535</v>
      </c>
      <c r="X342" s="1">
        <f t="shared" si="62"/>
        <v>249486</v>
      </c>
      <c r="Y342" s="1">
        <f t="shared" si="65"/>
        <v>38462.400000000009</v>
      </c>
      <c r="AA342" s="1">
        <v>16.206666877370399</v>
      </c>
    </row>
    <row r="343" spans="1:27" s="1" customFormat="1" x14ac:dyDescent="0.25">
      <c r="A343" s="74"/>
      <c r="B343" s="5"/>
      <c r="C343" s="3">
        <v>41824</v>
      </c>
      <c r="D343" s="1">
        <v>18.899999999999999</v>
      </c>
      <c r="E343" s="1">
        <v>13.6</v>
      </c>
      <c r="F343" s="1">
        <v>21.8</v>
      </c>
      <c r="G343" s="1">
        <f t="shared" si="59"/>
        <v>3019</v>
      </c>
      <c r="H343" s="1">
        <f t="shared" si="66"/>
        <v>373.99999999999989</v>
      </c>
      <c r="J343" s="1">
        <v>4.5</v>
      </c>
      <c r="K343" s="1">
        <f t="shared" si="60"/>
        <v>667.80000000000018</v>
      </c>
      <c r="L343" s="1">
        <v>1.9</v>
      </c>
      <c r="M343" s="1">
        <f t="shared" si="61"/>
        <v>460.00000000000017</v>
      </c>
      <c r="N343" s="1">
        <f t="shared" si="57"/>
        <v>2.6</v>
      </c>
      <c r="O343" s="1">
        <f t="shared" si="54"/>
        <v>124.49999999999983</v>
      </c>
      <c r="P343" s="1">
        <v>304</v>
      </c>
      <c r="Q343" s="11">
        <f t="shared" si="64"/>
        <v>0.54649122807017536</v>
      </c>
      <c r="R343" s="9">
        <f t="shared" si="58"/>
        <v>1.0383333333333331</v>
      </c>
      <c r="S343" s="9">
        <f t="shared" si="55"/>
        <v>3.4616666666666669</v>
      </c>
      <c r="T343" s="9">
        <f t="shared" si="63"/>
        <v>122.75543859649133</v>
      </c>
      <c r="V343" s="1">
        <v>1131.0999999999999</v>
      </c>
      <c r="W343" s="1">
        <f t="shared" si="56"/>
        <v>59.846560846560848</v>
      </c>
      <c r="X343" s="1">
        <f t="shared" si="62"/>
        <v>250617.1</v>
      </c>
      <c r="Y343" s="1">
        <f t="shared" si="65"/>
        <v>39593.500000000007</v>
      </c>
      <c r="AA343" s="1">
        <v>16.188076537341999</v>
      </c>
    </row>
    <row r="344" spans="1:27" s="1" customFormat="1" x14ac:dyDescent="0.25">
      <c r="A344" s="74"/>
      <c r="B344" s="5"/>
      <c r="C344" s="3">
        <v>41825</v>
      </c>
      <c r="D344" s="1">
        <v>18.7</v>
      </c>
      <c r="E344" s="1">
        <v>16.7</v>
      </c>
      <c r="F344" s="1">
        <v>20.399999999999999</v>
      </c>
      <c r="G344" s="1">
        <f t="shared" si="59"/>
        <v>3037.7</v>
      </c>
      <c r="H344" s="1">
        <f t="shared" si="66"/>
        <v>392.69999999999987</v>
      </c>
      <c r="J344" s="1">
        <v>2.7</v>
      </c>
      <c r="K344" s="1">
        <f t="shared" si="60"/>
        <v>670.50000000000023</v>
      </c>
      <c r="L344" s="1">
        <v>1.3</v>
      </c>
      <c r="M344" s="1">
        <f t="shared" si="61"/>
        <v>461.30000000000018</v>
      </c>
      <c r="N344" s="1">
        <f t="shared" si="57"/>
        <v>1.4000000000000001</v>
      </c>
      <c r="O344" s="1">
        <f t="shared" si="54"/>
        <v>125.89999999999984</v>
      </c>
      <c r="P344" s="1">
        <v>305</v>
      </c>
      <c r="Q344" s="11">
        <f t="shared" si="64"/>
        <v>0.53245614035087718</v>
      </c>
      <c r="R344" s="9">
        <f t="shared" si="58"/>
        <v>0.69219298245614036</v>
      </c>
      <c r="S344" s="9">
        <f t="shared" si="55"/>
        <v>2.0078070175438598</v>
      </c>
      <c r="T344" s="9">
        <f t="shared" si="63"/>
        <v>124.76324561403518</v>
      </c>
      <c r="V344" s="10">
        <v>539.5</v>
      </c>
      <c r="W344" s="1">
        <f t="shared" si="56"/>
        <v>28.850267379679146</v>
      </c>
      <c r="X344" s="1">
        <f t="shared" si="62"/>
        <v>251156.6</v>
      </c>
      <c r="Y344" s="1">
        <f t="shared" si="65"/>
        <v>40133.000000000007</v>
      </c>
      <c r="AA344" s="1">
        <v>16.168093980218099</v>
      </c>
    </row>
    <row r="345" spans="1:27" s="41" customFormat="1" ht="15.75" thickBot="1" x14ac:dyDescent="0.3">
      <c r="A345" s="74"/>
      <c r="B345" s="39"/>
      <c r="C345" s="40">
        <v>41826</v>
      </c>
      <c r="D345" s="41">
        <v>15.9</v>
      </c>
      <c r="E345" s="41">
        <v>14.8</v>
      </c>
      <c r="F345" s="41">
        <v>18.2</v>
      </c>
      <c r="G345" s="41">
        <f t="shared" si="59"/>
        <v>3053.6</v>
      </c>
      <c r="H345" s="41">
        <f t="shared" si="66"/>
        <v>408.59999999999985</v>
      </c>
      <c r="J345" s="41">
        <v>16</v>
      </c>
      <c r="K345" s="41">
        <f t="shared" si="60"/>
        <v>686.50000000000023</v>
      </c>
      <c r="L345" s="41">
        <v>1.7</v>
      </c>
      <c r="M345" s="41">
        <f t="shared" si="61"/>
        <v>463.00000000000017</v>
      </c>
      <c r="N345" s="41">
        <f t="shared" si="57"/>
        <v>14.3</v>
      </c>
      <c r="O345" s="42">
        <f t="shared" si="54"/>
        <v>140.19999999999985</v>
      </c>
      <c r="P345" s="42">
        <v>306</v>
      </c>
      <c r="Q345" s="43">
        <f t="shared" si="64"/>
        <v>0.51842105263157889</v>
      </c>
      <c r="R345" s="44">
        <f t="shared" si="58"/>
        <v>0.88131578947368405</v>
      </c>
      <c r="S345" s="44">
        <f t="shared" si="55"/>
        <v>15.118684210526316</v>
      </c>
      <c r="T345" s="44">
        <f t="shared" si="63"/>
        <v>139.8819298245615</v>
      </c>
      <c r="V345" s="45">
        <v>889.1</v>
      </c>
      <c r="W345" s="41">
        <f t="shared" si="56"/>
        <v>55.918238993710695</v>
      </c>
      <c r="X345" s="41">
        <f t="shared" si="62"/>
        <v>252045.7</v>
      </c>
      <c r="Y345" s="41">
        <f t="shared" si="65"/>
        <v>41022.100000000006</v>
      </c>
      <c r="AA345" s="42">
        <v>16.1467396309795</v>
      </c>
    </row>
    <row r="346" spans="1:27" s="1" customFormat="1" x14ac:dyDescent="0.25">
      <c r="A346" s="75" t="s">
        <v>24</v>
      </c>
      <c r="B346" s="34"/>
      <c r="C346" s="3">
        <v>41827</v>
      </c>
      <c r="D346" s="1">
        <v>15.6</v>
      </c>
      <c r="E346" s="1">
        <v>10.1</v>
      </c>
      <c r="F346" s="1">
        <v>19.600000000000001</v>
      </c>
      <c r="G346" s="1">
        <f t="shared" si="59"/>
        <v>3069.2</v>
      </c>
      <c r="H346" s="1">
        <v>15.6</v>
      </c>
      <c r="J346" s="1">
        <v>7.1</v>
      </c>
      <c r="K346" s="1">
        <f t="shared" si="60"/>
        <v>693.60000000000025</v>
      </c>
      <c r="L346" s="1">
        <v>2.5</v>
      </c>
      <c r="M346" s="1">
        <f t="shared" si="61"/>
        <v>465.50000000000017</v>
      </c>
      <c r="N346" s="1">
        <f t="shared" si="57"/>
        <v>4.5999999999999996</v>
      </c>
      <c r="O346" s="1">
        <f t="shared" si="54"/>
        <v>144.79999999999984</v>
      </c>
      <c r="P346" s="1">
        <v>307</v>
      </c>
      <c r="Q346" s="11">
        <f t="shared" si="64"/>
        <v>0.50438596491228072</v>
      </c>
      <c r="R346" s="9">
        <f t="shared" si="58"/>
        <v>1.2609649122807018</v>
      </c>
      <c r="S346" s="9">
        <f t="shared" si="55"/>
        <v>5.8390350877192976</v>
      </c>
      <c r="T346" s="9">
        <f t="shared" si="63"/>
        <v>145.72096491228081</v>
      </c>
      <c r="V346" s="1">
        <v>1718.6</v>
      </c>
      <c r="W346" s="1">
        <f t="shared" si="56"/>
        <v>110.16666666666666</v>
      </c>
      <c r="X346" s="1">
        <f t="shared" si="62"/>
        <v>253764.30000000002</v>
      </c>
      <c r="Y346" s="1">
        <v>1718.6</v>
      </c>
      <c r="AA346" s="1">
        <v>16.124034976432402</v>
      </c>
    </row>
    <row r="347" spans="1:27" s="1" customFormat="1" x14ac:dyDescent="0.25">
      <c r="A347" s="75"/>
      <c r="B347" s="34"/>
      <c r="C347" s="3">
        <v>41828</v>
      </c>
      <c r="D347" s="1">
        <v>14.4</v>
      </c>
      <c r="E347" s="1">
        <v>13.2</v>
      </c>
      <c r="F347" s="1">
        <v>16.7</v>
      </c>
      <c r="G347" s="1">
        <f t="shared" si="59"/>
        <v>3083.6</v>
      </c>
      <c r="H347" s="1">
        <f t="shared" si="66"/>
        <v>30</v>
      </c>
      <c r="J347" s="1">
        <v>2.4</v>
      </c>
      <c r="K347" s="1">
        <f t="shared" si="60"/>
        <v>696.00000000000023</v>
      </c>
      <c r="L347" s="1">
        <v>1.4</v>
      </c>
      <c r="M347" s="1">
        <f t="shared" si="61"/>
        <v>466.90000000000015</v>
      </c>
      <c r="N347" s="1">
        <f t="shared" si="57"/>
        <v>1</v>
      </c>
      <c r="O347" s="1">
        <f t="shared" si="54"/>
        <v>145.79999999999984</v>
      </c>
      <c r="P347" s="1">
        <v>308</v>
      </c>
      <c r="Q347" s="11">
        <f t="shared" si="64"/>
        <v>0.49035087719298243</v>
      </c>
      <c r="R347" s="9">
        <f t="shared" si="58"/>
        <v>0.68649122807017537</v>
      </c>
      <c r="S347" s="9">
        <f t="shared" si="55"/>
        <v>1.7135087719298245</v>
      </c>
      <c r="T347" s="9">
        <f t="shared" si="63"/>
        <v>147.43447368421064</v>
      </c>
      <c r="V347" s="10">
        <v>794.8</v>
      </c>
      <c r="W347" s="1">
        <f t="shared" si="56"/>
        <v>55.194444444444443</v>
      </c>
      <c r="X347" s="1">
        <f t="shared" si="62"/>
        <v>254559.1</v>
      </c>
      <c r="Y347" s="1">
        <f t="shared" si="65"/>
        <v>2513.3999999999996</v>
      </c>
      <c r="AA347" s="1">
        <v>16.100002490156001</v>
      </c>
    </row>
    <row r="348" spans="1:27" s="1" customFormat="1" x14ac:dyDescent="0.25">
      <c r="A348" s="75"/>
      <c r="B348" s="34"/>
      <c r="C348" s="3">
        <v>41829</v>
      </c>
      <c r="D348" s="1">
        <v>13.9</v>
      </c>
      <c r="E348" s="1">
        <v>11.8</v>
      </c>
      <c r="F348" s="1">
        <v>14.8</v>
      </c>
      <c r="G348" s="1">
        <f t="shared" si="59"/>
        <v>3097.5</v>
      </c>
      <c r="H348" s="1">
        <f t="shared" si="66"/>
        <v>43.9</v>
      </c>
      <c r="J348" s="1">
        <v>20.7</v>
      </c>
      <c r="K348" s="1">
        <f t="shared" si="60"/>
        <v>716.70000000000027</v>
      </c>
      <c r="L348" s="1">
        <v>0.8</v>
      </c>
      <c r="M348" s="1">
        <f t="shared" si="61"/>
        <v>467.70000000000016</v>
      </c>
      <c r="N348" s="1">
        <f t="shared" si="57"/>
        <v>19.899999999999999</v>
      </c>
      <c r="O348" s="1">
        <f t="shared" si="54"/>
        <v>165.69999999999985</v>
      </c>
      <c r="P348" s="1">
        <v>309</v>
      </c>
      <c r="Q348" s="11">
        <f t="shared" si="64"/>
        <v>0.47631578947368425</v>
      </c>
      <c r="R348" s="9">
        <f t="shared" si="58"/>
        <v>0.38105263157894742</v>
      </c>
      <c r="S348" s="9">
        <f t="shared" si="55"/>
        <v>20.318947368421053</v>
      </c>
      <c r="T348" s="9">
        <f t="shared" si="63"/>
        <v>167.75342105263169</v>
      </c>
      <c r="V348" s="10">
        <v>557.6</v>
      </c>
      <c r="W348" s="1">
        <f t="shared" si="56"/>
        <v>40.115107913669064</v>
      </c>
      <c r="X348" s="1">
        <f t="shared" si="62"/>
        <v>255116.7</v>
      </c>
      <c r="Y348" s="1">
        <f t="shared" si="65"/>
        <v>3070.9999999999995</v>
      </c>
      <c r="AA348" s="1">
        <v>16.074665555867501</v>
      </c>
    </row>
    <row r="349" spans="1:27" s="1" customFormat="1" x14ac:dyDescent="0.25">
      <c r="A349" s="75"/>
      <c r="B349" s="34"/>
      <c r="C349" s="3">
        <v>41830</v>
      </c>
      <c r="D349" s="1">
        <v>15.4</v>
      </c>
      <c r="E349" s="1">
        <v>14.1</v>
      </c>
      <c r="F349" s="1">
        <v>16.5</v>
      </c>
      <c r="G349" s="1">
        <f t="shared" si="59"/>
        <v>3112.9</v>
      </c>
      <c r="H349" s="1">
        <f t="shared" si="66"/>
        <v>59.3</v>
      </c>
      <c r="J349" s="1">
        <v>18.899999999999999</v>
      </c>
      <c r="K349" s="1">
        <f t="shared" si="60"/>
        <v>735.60000000000025</v>
      </c>
      <c r="L349" s="1">
        <v>1</v>
      </c>
      <c r="M349" s="1">
        <f t="shared" si="61"/>
        <v>468.70000000000016</v>
      </c>
      <c r="N349" s="1">
        <f t="shared" si="57"/>
        <v>17.899999999999999</v>
      </c>
      <c r="O349" s="1">
        <f t="shared" ref="O349" si="67">O348+N349</f>
        <v>183.59999999999985</v>
      </c>
      <c r="P349" s="1">
        <v>310</v>
      </c>
      <c r="Q349" s="11">
        <f t="shared" si="64"/>
        <v>0.46228070175438596</v>
      </c>
      <c r="R349" s="9">
        <f t="shared" si="58"/>
        <v>0.46228070175438596</v>
      </c>
      <c r="S349" s="9">
        <f t="shared" si="55"/>
        <v>18.437719298245611</v>
      </c>
      <c r="T349" s="9">
        <f t="shared" si="63"/>
        <v>186.1911403508773</v>
      </c>
      <c r="V349" s="10">
        <v>516.70000000000005</v>
      </c>
      <c r="W349" s="1">
        <f t="shared" si="56"/>
        <v>33.551948051948052</v>
      </c>
      <c r="X349" s="1">
        <f t="shared" si="62"/>
        <v>255633.40000000002</v>
      </c>
      <c r="Y349" s="1">
        <f t="shared" si="65"/>
        <v>3587.7</v>
      </c>
      <c r="AA349" s="1">
        <v>16.0480483897061</v>
      </c>
    </row>
    <row r="350" spans="1:27" s="1" customFormat="1" x14ac:dyDescent="0.25">
      <c r="A350" s="75"/>
      <c r="B350" s="34"/>
      <c r="C350" s="3">
        <v>41831</v>
      </c>
      <c r="D350" s="1">
        <v>15.2</v>
      </c>
      <c r="E350" s="1">
        <v>14.5</v>
      </c>
      <c r="F350" s="1">
        <v>15.8</v>
      </c>
      <c r="G350" s="1">
        <f t="shared" si="59"/>
        <v>3128.1</v>
      </c>
      <c r="H350" s="1">
        <f t="shared" si="66"/>
        <v>74.5</v>
      </c>
      <c r="J350" s="1">
        <v>8</v>
      </c>
      <c r="K350" s="1">
        <f t="shared" si="60"/>
        <v>743.60000000000025</v>
      </c>
      <c r="L350" s="1">
        <v>0.8</v>
      </c>
      <c r="M350" s="1">
        <f t="shared" si="61"/>
        <v>469.50000000000017</v>
      </c>
      <c r="N350" s="1">
        <f t="shared" si="57"/>
        <v>7.2</v>
      </c>
      <c r="O350" s="1">
        <v>189.6</v>
      </c>
      <c r="P350" s="1">
        <v>311</v>
      </c>
      <c r="Q350" s="11">
        <f t="shared" si="64"/>
        <v>0.44824561403508778</v>
      </c>
      <c r="R350" s="9">
        <f t="shared" si="58"/>
        <v>0.35859649122807025</v>
      </c>
      <c r="S350" s="9">
        <f t="shared" si="55"/>
        <v>7.6414035087719299</v>
      </c>
      <c r="T350" s="9">
        <f t="shared" si="63"/>
        <v>189.6</v>
      </c>
      <c r="V350" s="10">
        <v>400.5</v>
      </c>
      <c r="W350" s="1">
        <f t="shared" si="56"/>
        <v>26.348684210526319</v>
      </c>
      <c r="X350" s="1">
        <f t="shared" si="62"/>
        <v>256033.90000000002</v>
      </c>
      <c r="Y350" s="1">
        <f t="shared" si="65"/>
        <v>3988.2</v>
      </c>
      <c r="AA350" s="1">
        <v>16.020175961919801</v>
      </c>
    </row>
    <row r="351" spans="1:27" s="1" customFormat="1" x14ac:dyDescent="0.25">
      <c r="A351" s="75"/>
      <c r="B351" s="34"/>
      <c r="C351" s="3">
        <v>41832</v>
      </c>
      <c r="D351" s="1">
        <v>16.7</v>
      </c>
      <c r="E351" s="1">
        <v>14.3</v>
      </c>
      <c r="F351" s="1">
        <v>20.8</v>
      </c>
      <c r="G351" s="1">
        <f t="shared" si="59"/>
        <v>3144.7999999999997</v>
      </c>
      <c r="H351" s="1">
        <f t="shared" si="66"/>
        <v>91.2</v>
      </c>
      <c r="J351" s="1">
        <v>1.2</v>
      </c>
      <c r="K351" s="1">
        <f t="shared" si="60"/>
        <v>744.8000000000003</v>
      </c>
      <c r="L351" s="1">
        <v>1.4</v>
      </c>
      <c r="M351" s="1">
        <f t="shared" si="61"/>
        <v>470.90000000000015</v>
      </c>
      <c r="N351" s="8">
        <f t="shared" si="57"/>
        <v>-0.19999999999999996</v>
      </c>
      <c r="O351" s="1">
        <f>O350+N351</f>
        <v>189.4</v>
      </c>
      <c r="P351" s="1">
        <v>312</v>
      </c>
      <c r="Q351" s="11">
        <f t="shared" si="64"/>
        <v>0.43421052631578949</v>
      </c>
      <c r="R351" s="9">
        <f t="shared" si="58"/>
        <v>0.60789473684210527</v>
      </c>
      <c r="S351" s="9">
        <f t="shared" si="55"/>
        <v>0.59210526315789469</v>
      </c>
      <c r="T351" s="9">
        <f t="shared" si="63"/>
        <v>189.6</v>
      </c>
      <c r="V351" s="10">
        <v>631.5</v>
      </c>
      <c r="W351" s="1">
        <f t="shared" si="56"/>
        <v>37.814371257485028</v>
      </c>
      <c r="X351" s="1">
        <f t="shared" si="62"/>
        <v>256665.40000000002</v>
      </c>
      <c r="Y351" s="1">
        <f t="shared" si="65"/>
        <v>4619.7</v>
      </c>
      <c r="AA351" s="1">
        <v>15.991073918425201</v>
      </c>
    </row>
    <row r="352" spans="1:27" s="1" customFormat="1" x14ac:dyDescent="0.25">
      <c r="A352" s="75"/>
      <c r="B352" s="34"/>
      <c r="C352" s="3">
        <v>41833</v>
      </c>
      <c r="D352" s="1">
        <v>17.5</v>
      </c>
      <c r="E352" s="1">
        <v>13.7</v>
      </c>
      <c r="F352" s="1">
        <v>20.9</v>
      </c>
      <c r="G352" s="1">
        <f t="shared" si="59"/>
        <v>3162.2999999999997</v>
      </c>
      <c r="H352" s="1">
        <f t="shared" si="66"/>
        <v>108.7</v>
      </c>
      <c r="J352" s="1">
        <v>4.2</v>
      </c>
      <c r="K352" s="1">
        <f t="shared" si="60"/>
        <v>749.00000000000034</v>
      </c>
      <c r="L352" s="1">
        <v>1.7</v>
      </c>
      <c r="M352" s="1">
        <f t="shared" si="61"/>
        <v>472.60000000000014</v>
      </c>
      <c r="N352" s="1">
        <f t="shared" si="57"/>
        <v>2.5</v>
      </c>
      <c r="O352" s="1">
        <v>189.6</v>
      </c>
      <c r="P352" s="1">
        <v>313</v>
      </c>
      <c r="Q352" s="11">
        <f t="shared" si="64"/>
        <v>0.4201754385964912</v>
      </c>
      <c r="R352" s="9">
        <f t="shared" si="58"/>
        <v>0.71429824561403499</v>
      </c>
      <c r="S352" s="9">
        <f t="shared" si="55"/>
        <v>3.485701754385965</v>
      </c>
      <c r="T352" s="9">
        <f t="shared" si="63"/>
        <v>189.6</v>
      </c>
      <c r="V352" s="10">
        <v>811.8</v>
      </c>
      <c r="W352" s="1">
        <f t="shared" si="56"/>
        <v>46.388571428571424</v>
      </c>
      <c r="X352" s="1">
        <f t="shared" si="62"/>
        <v>257477.2</v>
      </c>
      <c r="Y352" s="1">
        <f t="shared" si="65"/>
        <v>5431.5</v>
      </c>
      <c r="AA352" s="1">
        <v>15.960768502683999</v>
      </c>
    </row>
    <row r="353" spans="1:27" s="1" customFormat="1" x14ac:dyDescent="0.25">
      <c r="A353" s="75"/>
      <c r="B353" s="34"/>
      <c r="C353" s="3">
        <v>41834</v>
      </c>
      <c r="D353" s="1">
        <v>17.2</v>
      </c>
      <c r="E353" s="1">
        <v>13.2</v>
      </c>
      <c r="F353" s="1">
        <v>20.8</v>
      </c>
      <c r="G353" s="1">
        <f t="shared" si="59"/>
        <v>3179.4999999999995</v>
      </c>
      <c r="H353" s="1">
        <f t="shared" si="66"/>
        <v>125.9</v>
      </c>
      <c r="J353" s="1">
        <v>0</v>
      </c>
      <c r="K353" s="1">
        <f t="shared" si="60"/>
        <v>749.00000000000034</v>
      </c>
      <c r="L353" s="1">
        <v>4.3</v>
      </c>
      <c r="M353" s="1">
        <f t="shared" si="61"/>
        <v>476.90000000000015</v>
      </c>
      <c r="N353" s="8">
        <f t="shared" si="57"/>
        <v>-4.3</v>
      </c>
      <c r="O353" s="1">
        <f>O352+N353</f>
        <v>185.29999999999998</v>
      </c>
      <c r="P353" s="1">
        <v>314</v>
      </c>
      <c r="Q353" s="11">
        <f t="shared" si="64"/>
        <v>0.40614035087719291</v>
      </c>
      <c r="R353" s="9">
        <f t="shared" si="58"/>
        <v>1.7464035087719294</v>
      </c>
      <c r="S353" s="9">
        <f t="shared" si="55"/>
        <v>-1.7464035087719294</v>
      </c>
      <c r="T353" s="9">
        <f t="shared" si="63"/>
        <v>187.85359649122807</v>
      </c>
      <c r="V353" s="1">
        <v>2351.1999999999998</v>
      </c>
      <c r="W353" s="1">
        <f t="shared" si="56"/>
        <v>136.69767441860463</v>
      </c>
      <c r="X353" s="1">
        <f t="shared" si="62"/>
        <v>259828.40000000002</v>
      </c>
      <c r="Y353" s="1">
        <f t="shared" si="65"/>
        <v>7782.7</v>
      </c>
      <c r="AA353" s="1">
        <v>15.9292864783163</v>
      </c>
    </row>
    <row r="354" spans="1:27" s="1" customFormat="1" x14ac:dyDescent="0.25">
      <c r="A354" s="75"/>
      <c r="B354" s="34"/>
      <c r="C354" s="3">
        <v>41835</v>
      </c>
      <c r="D354" s="1">
        <v>17.399999999999999</v>
      </c>
      <c r="E354" s="1">
        <v>11.4</v>
      </c>
      <c r="F354" s="1">
        <v>21.1</v>
      </c>
      <c r="G354" s="1">
        <f t="shared" si="59"/>
        <v>3196.8999999999996</v>
      </c>
      <c r="H354" s="1">
        <f t="shared" si="66"/>
        <v>143.30000000000001</v>
      </c>
      <c r="J354" s="1">
        <v>0</v>
      </c>
      <c r="K354" s="1">
        <f t="shared" si="60"/>
        <v>749.00000000000034</v>
      </c>
      <c r="L354" s="1">
        <v>1.2</v>
      </c>
      <c r="M354" s="1">
        <f t="shared" si="61"/>
        <v>478.10000000000014</v>
      </c>
      <c r="N354" s="8">
        <f t="shared" si="57"/>
        <v>-1.2</v>
      </c>
      <c r="O354" s="1">
        <f>O353+N354</f>
        <v>184.1</v>
      </c>
      <c r="P354" s="1">
        <v>315</v>
      </c>
      <c r="Q354" s="11">
        <f t="shared" si="64"/>
        <v>0.39210526315789473</v>
      </c>
      <c r="R354" s="9">
        <f t="shared" si="58"/>
        <v>0.47052631578947368</v>
      </c>
      <c r="S354" s="9">
        <f t="shared" si="55"/>
        <v>-0.47052631578947368</v>
      </c>
      <c r="T354" s="9">
        <f t="shared" si="63"/>
        <v>187.3830701754386</v>
      </c>
      <c r="V354" s="10">
        <v>834.4</v>
      </c>
      <c r="W354" s="1">
        <f t="shared" si="56"/>
        <v>47.954022988505749</v>
      </c>
      <c r="X354" s="1">
        <f t="shared" si="62"/>
        <v>260662.80000000002</v>
      </c>
      <c r="Y354" s="1">
        <f t="shared" si="65"/>
        <v>8617.1</v>
      </c>
      <c r="AA354" s="1">
        <v>15.896655052842201</v>
      </c>
    </row>
    <row r="355" spans="1:27" s="1" customFormat="1" x14ac:dyDescent="0.25">
      <c r="A355" s="75"/>
      <c r="B355" s="34"/>
      <c r="C355" s="3">
        <v>41836</v>
      </c>
      <c r="D355" s="1">
        <v>21</v>
      </c>
      <c r="E355" s="1">
        <v>14.2</v>
      </c>
      <c r="F355" s="1">
        <v>27.1</v>
      </c>
      <c r="G355" s="1">
        <f t="shared" si="59"/>
        <v>3217.8999999999996</v>
      </c>
      <c r="H355" s="1">
        <f t="shared" si="66"/>
        <v>164.3</v>
      </c>
      <c r="J355" s="1">
        <v>0</v>
      </c>
      <c r="K355" s="1">
        <f t="shared" si="60"/>
        <v>749.00000000000034</v>
      </c>
      <c r="L355" s="1">
        <v>3.2</v>
      </c>
      <c r="M355" s="1">
        <f t="shared" si="61"/>
        <v>481.30000000000013</v>
      </c>
      <c r="N355" s="8">
        <f t="shared" si="57"/>
        <v>-3.2</v>
      </c>
      <c r="O355" s="1">
        <f>O354+N355</f>
        <v>180.9</v>
      </c>
      <c r="P355" s="1">
        <v>316</v>
      </c>
      <c r="Q355" s="11">
        <f t="shared" si="64"/>
        <v>0.37807017543859645</v>
      </c>
      <c r="R355" s="9">
        <f t="shared" si="58"/>
        <v>1.2098245614035088</v>
      </c>
      <c r="S355" s="9">
        <f t="shared" si="55"/>
        <v>-1.2098245614035088</v>
      </c>
      <c r="T355" s="9">
        <f t="shared" si="63"/>
        <v>186.1732456140351</v>
      </c>
      <c r="V355" s="1">
        <v>1639.5</v>
      </c>
      <c r="W355" s="1">
        <f t="shared" si="56"/>
        <v>78.071428571428569</v>
      </c>
      <c r="X355" s="1">
        <f t="shared" si="62"/>
        <v>262302.30000000005</v>
      </c>
      <c r="Y355" s="1">
        <f t="shared" si="65"/>
        <v>10256.6</v>
      </c>
      <c r="AA355" s="1">
        <v>15.8629018029114</v>
      </c>
    </row>
    <row r="356" spans="1:27" s="1" customFormat="1" x14ac:dyDescent="0.25">
      <c r="A356" s="75"/>
      <c r="B356" s="34"/>
      <c r="C356" s="3">
        <v>41837</v>
      </c>
      <c r="D356" s="1">
        <v>22.7</v>
      </c>
      <c r="E356" s="1">
        <v>15.4</v>
      </c>
      <c r="F356" s="1">
        <v>28.3</v>
      </c>
      <c r="G356" s="1">
        <f t="shared" si="59"/>
        <v>3240.5999999999995</v>
      </c>
      <c r="H356" s="1">
        <f t="shared" si="66"/>
        <v>187</v>
      </c>
      <c r="J356" s="1">
        <v>0</v>
      </c>
      <c r="K356" s="1">
        <f t="shared" si="60"/>
        <v>749.00000000000034</v>
      </c>
      <c r="L356" s="1">
        <v>4.0999999999999996</v>
      </c>
      <c r="M356" s="1">
        <f t="shared" si="61"/>
        <v>485.40000000000015</v>
      </c>
      <c r="N356" s="8">
        <f t="shared" si="57"/>
        <v>-4.0999999999999996</v>
      </c>
      <c r="O356" s="1">
        <f>O355+N356</f>
        <v>176.8</v>
      </c>
      <c r="P356" s="1">
        <v>317</v>
      </c>
      <c r="Q356" s="11">
        <f t="shared" si="64"/>
        <v>0.36403508771929827</v>
      </c>
      <c r="R356" s="9">
        <f t="shared" si="58"/>
        <v>1.4925438596491227</v>
      </c>
      <c r="S356" s="9">
        <f t="shared" si="55"/>
        <v>-1.4925438596491227</v>
      </c>
      <c r="T356" s="9">
        <f t="shared" si="63"/>
        <v>184.68070175438598</v>
      </c>
      <c r="V356" s="1">
        <v>1915.9</v>
      </c>
      <c r="W356" s="1">
        <f t="shared" si="56"/>
        <v>84.400881057268734</v>
      </c>
      <c r="X356" s="1">
        <f t="shared" si="62"/>
        <v>264218.20000000007</v>
      </c>
      <c r="Y356" s="1">
        <f t="shared" si="65"/>
        <v>12172.5</v>
      </c>
      <c r="AA356" s="1">
        <v>15.8280546013505</v>
      </c>
    </row>
    <row r="357" spans="1:27" s="1" customFormat="1" x14ac:dyDescent="0.25">
      <c r="A357" s="75"/>
      <c r="B357" s="34"/>
      <c r="C357" s="3">
        <v>41838</v>
      </c>
      <c r="D357" s="1">
        <v>25.6</v>
      </c>
      <c r="E357" s="1">
        <v>19.2</v>
      </c>
      <c r="F357" s="1">
        <v>31.7</v>
      </c>
      <c r="G357" s="1">
        <f t="shared" si="59"/>
        <v>3266.1999999999994</v>
      </c>
      <c r="H357" s="1">
        <f t="shared" si="66"/>
        <v>212.6</v>
      </c>
      <c r="J357" s="1">
        <v>0</v>
      </c>
      <c r="K357" s="1">
        <f t="shared" si="60"/>
        <v>749.00000000000034</v>
      </c>
      <c r="L357" s="1">
        <v>5.9</v>
      </c>
      <c r="M357" s="1">
        <f t="shared" si="61"/>
        <v>491.30000000000013</v>
      </c>
      <c r="N357" s="8">
        <f>J357-L357</f>
        <v>-5.9</v>
      </c>
      <c r="O357" s="1">
        <f>O356+N357</f>
        <v>170.9</v>
      </c>
      <c r="P357" s="1">
        <v>318</v>
      </c>
      <c r="Q357" s="11">
        <f t="shared" si="64"/>
        <v>0.35</v>
      </c>
      <c r="R357" s="9">
        <f t="shared" si="58"/>
        <v>2.0649999999999999</v>
      </c>
      <c r="S357" s="9">
        <f t="shared" si="55"/>
        <v>-2.0649999999999999</v>
      </c>
      <c r="T357" s="9">
        <f t="shared" si="63"/>
        <v>182.61570175438598</v>
      </c>
      <c r="V357" s="1">
        <v>2512.4</v>
      </c>
      <c r="W357" s="1">
        <f t="shared" si="56"/>
        <v>98.140625</v>
      </c>
      <c r="X357" s="1">
        <f t="shared" si="62"/>
        <v>266730.60000000009</v>
      </c>
      <c r="Y357" s="1">
        <f t="shared" si="65"/>
        <v>14684.9</v>
      </c>
      <c r="AA357" s="1">
        <v>15.7921415463214</v>
      </c>
    </row>
    <row r="358" spans="1:27" s="1" customFormat="1" x14ac:dyDescent="0.25">
      <c r="A358" s="76" t="s">
        <v>25</v>
      </c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</sheetData>
  <mergeCells count="16">
    <mergeCell ref="A39:Z39"/>
    <mergeCell ref="A40:A112"/>
    <mergeCell ref="A113:A143"/>
    <mergeCell ref="A144:A254"/>
    <mergeCell ref="A255:A275"/>
    <mergeCell ref="D1:I2"/>
    <mergeCell ref="J1:U2"/>
    <mergeCell ref="V1:Z2"/>
    <mergeCell ref="P3:T3"/>
    <mergeCell ref="G4:H4"/>
    <mergeCell ref="X4:Y4"/>
    <mergeCell ref="A276:A300"/>
    <mergeCell ref="A301:A320"/>
    <mergeCell ref="A321:A345"/>
    <mergeCell ref="A346:A357"/>
    <mergeCell ref="A358:Z358"/>
  </mergeCells>
  <conditionalFormatting sqref="N5:N38">
    <cfRule type="cellIs" dxfId="11" priority="6" operator="lessThanOrEqual">
      <formula>0</formula>
    </cfRule>
    <cfRule type="cellIs" priority="7" operator="lessThanOrEqual">
      <formula>0</formula>
    </cfRule>
  </conditionalFormatting>
  <conditionalFormatting sqref="S40:S357">
    <cfRule type="cellIs" dxfId="10" priority="5" operator="lessThanOrEqual">
      <formula>0</formula>
    </cfRule>
  </conditionalFormatting>
  <conditionalFormatting sqref="T5:T358">
    <cfRule type="cellIs" dxfId="9" priority="3" operator="equal">
      <formula>0</formula>
    </cfRule>
    <cfRule type="cellIs" dxfId="8" priority="4" operator="lessThanOrEqual">
      <formula>63.2</formula>
    </cfRule>
  </conditionalFormatting>
  <conditionalFormatting sqref="T1:T4">
    <cfRule type="cellIs" dxfId="7" priority="1" operator="equal">
      <formula>0</formula>
    </cfRule>
    <cfRule type="cellIs" dxfId="6" priority="2" operator="lessThanOrEqual">
      <formula>63.2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58"/>
  <sheetViews>
    <sheetView zoomScale="70" zoomScaleNormal="70" workbookViewId="0">
      <pane xSplit="3" ySplit="4" topLeftCell="I206" activePane="bottomRight" state="frozen"/>
      <selection pane="topRight" activeCell="D1" sqref="D1"/>
      <selection pane="bottomLeft" activeCell="A5" sqref="A5"/>
      <selection pane="bottomRight" activeCell="AB220" sqref="AB220:AB229"/>
    </sheetView>
  </sheetViews>
  <sheetFormatPr baseColWidth="10" defaultRowHeight="15" x14ac:dyDescent="0.25"/>
  <sheetData>
    <row r="1" spans="1:26" x14ac:dyDescent="0.25">
      <c r="B1" s="35"/>
      <c r="D1" s="77" t="s">
        <v>26</v>
      </c>
      <c r="E1" s="77"/>
      <c r="F1" s="77"/>
      <c r="G1" s="77"/>
      <c r="H1" s="77"/>
      <c r="I1" s="77"/>
      <c r="J1" s="77" t="s">
        <v>27</v>
      </c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 t="s">
        <v>28</v>
      </c>
      <c r="W1" s="77"/>
      <c r="X1" s="77"/>
      <c r="Y1" s="77"/>
      <c r="Z1" s="77"/>
    </row>
    <row r="2" spans="1:26" x14ac:dyDescent="0.25">
      <c r="B2" s="35"/>
      <c r="C2" s="36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</row>
    <row r="3" spans="1:26" x14ac:dyDescent="0.25">
      <c r="B3" s="35"/>
      <c r="C3" s="36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77" t="s">
        <v>29</v>
      </c>
      <c r="Q3" s="77"/>
      <c r="R3" s="77"/>
      <c r="S3" s="77"/>
      <c r="T3" s="77"/>
      <c r="U3" s="37"/>
      <c r="V3" s="37"/>
      <c r="W3" s="37"/>
      <c r="X3" s="37"/>
      <c r="Y3" s="37"/>
      <c r="Z3" s="37"/>
    </row>
    <row r="4" spans="1:26" x14ac:dyDescent="0.25">
      <c r="A4" t="s">
        <v>30</v>
      </c>
      <c r="B4" s="35">
        <v>5</v>
      </c>
      <c r="C4" t="s">
        <v>31</v>
      </c>
      <c r="D4" t="s">
        <v>32</v>
      </c>
      <c r="E4" t="s">
        <v>33</v>
      </c>
      <c r="F4" t="s">
        <v>34</v>
      </c>
      <c r="G4" s="78" t="s">
        <v>35</v>
      </c>
      <c r="H4" s="78"/>
      <c r="I4" t="s">
        <v>36</v>
      </c>
      <c r="J4" t="s">
        <v>37</v>
      </c>
      <c r="K4" t="s">
        <v>38</v>
      </c>
      <c r="L4" t="s">
        <v>39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 t="s">
        <v>45</v>
      </c>
      <c r="S4" t="s">
        <v>46</v>
      </c>
      <c r="T4" t="s">
        <v>47</v>
      </c>
      <c r="U4" t="s">
        <v>36</v>
      </c>
      <c r="V4" t="s">
        <v>48</v>
      </c>
      <c r="W4" t="s">
        <v>49</v>
      </c>
      <c r="X4" s="78" t="s">
        <v>50</v>
      </c>
      <c r="Y4" s="78"/>
      <c r="Z4" t="s">
        <v>36</v>
      </c>
    </row>
    <row r="5" spans="1:26" s="1" customFormat="1" x14ac:dyDescent="0.25">
      <c r="B5" s="2"/>
      <c r="C5" s="3">
        <v>41487</v>
      </c>
      <c r="D5" s="1">
        <v>25.1</v>
      </c>
      <c r="E5" s="1">
        <v>14.5</v>
      </c>
      <c r="F5" s="1">
        <v>31.6</v>
      </c>
      <c r="G5" s="4"/>
      <c r="H5" s="4"/>
      <c r="J5" s="1">
        <v>0</v>
      </c>
      <c r="L5" s="1">
        <v>5.7</v>
      </c>
      <c r="N5" s="1">
        <f t="shared" ref="N5:N38" si="0">J5-L5</f>
        <v>-5.7</v>
      </c>
      <c r="O5" s="1">
        <v>0</v>
      </c>
      <c r="T5" s="1">
        <v>0</v>
      </c>
      <c r="V5" s="1">
        <v>2518.1999999999998</v>
      </c>
      <c r="X5" s="4"/>
      <c r="Y5" s="4"/>
    </row>
    <row r="6" spans="1:26" s="1" customFormat="1" x14ac:dyDescent="0.25">
      <c r="B6" s="2"/>
      <c r="C6" s="3">
        <v>41488</v>
      </c>
      <c r="D6" s="1">
        <v>24.2</v>
      </c>
      <c r="E6" s="1">
        <v>20</v>
      </c>
      <c r="F6" s="1">
        <v>33.200000000000003</v>
      </c>
      <c r="G6" s="4"/>
      <c r="H6" s="4"/>
      <c r="J6" s="1">
        <v>0</v>
      </c>
      <c r="L6" s="1">
        <v>6</v>
      </c>
      <c r="N6" s="1">
        <f t="shared" si="0"/>
        <v>-6</v>
      </c>
      <c r="O6" s="1">
        <v>0</v>
      </c>
      <c r="T6" s="1">
        <v>0</v>
      </c>
      <c r="V6" s="1">
        <v>2133.8000000000002</v>
      </c>
      <c r="X6" s="4"/>
      <c r="Y6" s="4"/>
    </row>
    <row r="7" spans="1:26" s="1" customFormat="1" x14ac:dyDescent="0.25">
      <c r="B7" s="2"/>
      <c r="C7" s="3">
        <v>41489</v>
      </c>
      <c r="D7" s="1">
        <v>19.5</v>
      </c>
      <c r="E7" s="1">
        <v>17.399999999999999</v>
      </c>
      <c r="F7" s="1">
        <v>23</v>
      </c>
      <c r="G7" s="4"/>
      <c r="H7" s="4"/>
      <c r="J7" s="1">
        <v>0</v>
      </c>
      <c r="L7" s="1">
        <v>4.2</v>
      </c>
      <c r="N7" s="1">
        <f t="shared" si="0"/>
        <v>-4.2</v>
      </c>
      <c r="O7" s="1">
        <v>0</v>
      </c>
      <c r="T7" s="1">
        <v>0</v>
      </c>
      <c r="V7" s="1">
        <v>1938.1</v>
      </c>
      <c r="X7" s="4"/>
      <c r="Y7" s="4"/>
    </row>
    <row r="8" spans="1:26" s="1" customFormat="1" x14ac:dyDescent="0.25">
      <c r="B8" s="2"/>
      <c r="C8" s="3">
        <v>41490</v>
      </c>
      <c r="D8" s="1">
        <v>19.600000000000001</v>
      </c>
      <c r="E8" s="1">
        <v>13.4</v>
      </c>
      <c r="F8" s="1">
        <v>25.5</v>
      </c>
      <c r="G8" s="4"/>
      <c r="H8" s="4"/>
      <c r="J8" s="1">
        <v>0</v>
      </c>
      <c r="L8" s="1">
        <v>3.7</v>
      </c>
      <c r="N8" s="1">
        <f t="shared" si="0"/>
        <v>-3.7</v>
      </c>
      <c r="O8" s="1">
        <v>0</v>
      </c>
      <c r="T8" s="1">
        <v>0</v>
      </c>
      <c r="V8" s="1">
        <v>1732.9</v>
      </c>
      <c r="X8" s="4"/>
      <c r="Y8" s="4"/>
    </row>
    <row r="9" spans="1:26" s="1" customFormat="1" x14ac:dyDescent="0.25">
      <c r="B9" s="2"/>
      <c r="C9" s="3">
        <v>41491</v>
      </c>
      <c r="D9" s="1">
        <v>21.3</v>
      </c>
      <c r="E9" s="1">
        <v>14</v>
      </c>
      <c r="F9" s="1">
        <v>28.2</v>
      </c>
      <c r="G9" s="4"/>
      <c r="H9" s="4"/>
      <c r="J9" s="1">
        <v>0</v>
      </c>
      <c r="L9" s="1">
        <v>4.4000000000000004</v>
      </c>
      <c r="N9" s="1">
        <f t="shared" si="0"/>
        <v>-4.4000000000000004</v>
      </c>
      <c r="O9" s="1">
        <v>0</v>
      </c>
      <c r="T9" s="1">
        <v>0</v>
      </c>
      <c r="V9" s="1">
        <v>1839.8</v>
      </c>
      <c r="X9" s="4"/>
      <c r="Y9" s="4"/>
    </row>
    <row r="10" spans="1:26" s="1" customFormat="1" x14ac:dyDescent="0.25">
      <c r="B10" s="2"/>
      <c r="C10" s="3">
        <v>41492</v>
      </c>
      <c r="D10" s="1">
        <v>19.399999999999999</v>
      </c>
      <c r="E10" s="1">
        <v>15.4</v>
      </c>
      <c r="F10" s="1">
        <v>23.1</v>
      </c>
      <c r="G10" s="4"/>
      <c r="H10" s="4"/>
      <c r="J10" s="1">
        <v>0</v>
      </c>
      <c r="L10" s="1">
        <v>2</v>
      </c>
      <c r="N10" s="1">
        <f t="shared" si="0"/>
        <v>-2</v>
      </c>
      <c r="O10" s="1">
        <v>0</v>
      </c>
      <c r="T10" s="1">
        <v>0</v>
      </c>
      <c r="V10" s="1">
        <v>973.6</v>
      </c>
      <c r="X10" s="4"/>
      <c r="Y10" s="4"/>
    </row>
    <row r="11" spans="1:26" s="1" customFormat="1" x14ac:dyDescent="0.25">
      <c r="B11" s="2"/>
      <c r="C11" s="3">
        <v>41493</v>
      </c>
      <c r="D11" s="1">
        <v>16.5</v>
      </c>
      <c r="E11" s="1">
        <v>16.3</v>
      </c>
      <c r="F11" s="1">
        <v>17.7</v>
      </c>
      <c r="G11" s="4"/>
      <c r="H11" s="4"/>
      <c r="J11" s="1">
        <v>13.2</v>
      </c>
      <c r="L11" s="1">
        <v>1.5</v>
      </c>
      <c r="N11" s="1">
        <f t="shared" si="0"/>
        <v>11.7</v>
      </c>
      <c r="O11" s="1">
        <f t="shared" ref="O11:O14" si="1">O10+N11</f>
        <v>11.7</v>
      </c>
      <c r="T11" s="1">
        <v>11.7</v>
      </c>
      <c r="V11" s="1">
        <v>641.20000000000005</v>
      </c>
      <c r="X11" s="4"/>
      <c r="Y11" s="4"/>
    </row>
    <row r="12" spans="1:26" s="1" customFormat="1" x14ac:dyDescent="0.25">
      <c r="B12" s="2"/>
      <c r="C12" s="3">
        <v>41494</v>
      </c>
      <c r="D12" s="1">
        <v>16.5</v>
      </c>
      <c r="E12" s="1">
        <v>12.6</v>
      </c>
      <c r="F12" s="1">
        <v>20.8</v>
      </c>
      <c r="G12" s="4"/>
      <c r="H12" s="4"/>
      <c r="J12" s="1">
        <v>0</v>
      </c>
      <c r="L12" s="1">
        <v>3.2</v>
      </c>
      <c r="N12" s="1">
        <f t="shared" si="0"/>
        <v>-3.2</v>
      </c>
      <c r="O12" s="1">
        <f t="shared" si="1"/>
        <v>8.5</v>
      </c>
      <c r="T12" s="1">
        <v>8.5</v>
      </c>
      <c r="V12" s="1">
        <v>1642.1</v>
      </c>
      <c r="X12" s="4"/>
      <c r="Y12" s="4"/>
    </row>
    <row r="13" spans="1:26" s="1" customFormat="1" x14ac:dyDescent="0.25">
      <c r="B13" s="2"/>
      <c r="C13" s="3">
        <v>41495</v>
      </c>
      <c r="D13" s="1">
        <v>17.399999999999999</v>
      </c>
      <c r="E13" s="1">
        <v>12</v>
      </c>
      <c r="F13" s="1">
        <v>23.8</v>
      </c>
      <c r="G13" s="4"/>
      <c r="H13" s="4"/>
      <c r="J13" s="1">
        <v>0.1</v>
      </c>
      <c r="L13" s="1">
        <v>4.2</v>
      </c>
      <c r="N13" s="1">
        <f t="shared" si="0"/>
        <v>-4.1000000000000005</v>
      </c>
      <c r="O13" s="1">
        <f t="shared" si="1"/>
        <v>4.3999999999999995</v>
      </c>
      <c r="T13" s="1">
        <v>4.4000000000000004</v>
      </c>
      <c r="V13" s="1">
        <v>1968.6</v>
      </c>
      <c r="X13" s="4"/>
      <c r="Y13" s="4"/>
    </row>
    <row r="14" spans="1:26" s="1" customFormat="1" x14ac:dyDescent="0.25">
      <c r="B14" s="2"/>
      <c r="C14" s="3">
        <v>41496</v>
      </c>
      <c r="D14" s="1">
        <v>15.8</v>
      </c>
      <c r="E14" s="1">
        <v>11.9</v>
      </c>
      <c r="F14" s="1">
        <v>20.5</v>
      </c>
      <c r="G14" s="4"/>
      <c r="H14" s="4"/>
      <c r="J14" s="1">
        <v>0</v>
      </c>
      <c r="L14" s="1">
        <v>3.3</v>
      </c>
      <c r="N14" s="1">
        <f t="shared" si="0"/>
        <v>-3.3</v>
      </c>
      <c r="O14" s="1">
        <f t="shared" si="1"/>
        <v>1.0999999999999996</v>
      </c>
      <c r="T14" s="1">
        <v>1.1000000000000001</v>
      </c>
      <c r="V14" s="1">
        <v>1703.5</v>
      </c>
      <c r="X14" s="4"/>
      <c r="Y14" s="4"/>
    </row>
    <row r="15" spans="1:26" s="1" customFormat="1" x14ac:dyDescent="0.25">
      <c r="B15" s="2"/>
      <c r="C15" s="3">
        <v>41497</v>
      </c>
      <c r="D15" s="1">
        <v>16.899999999999999</v>
      </c>
      <c r="E15" s="1">
        <v>9.4</v>
      </c>
      <c r="F15" s="1">
        <v>22.2</v>
      </c>
      <c r="G15" s="4"/>
      <c r="H15" s="4"/>
      <c r="J15" s="1">
        <v>0.6</v>
      </c>
      <c r="L15" s="1">
        <v>2.4</v>
      </c>
      <c r="N15" s="1">
        <f t="shared" si="0"/>
        <v>-1.7999999999999998</v>
      </c>
      <c r="O15" s="1">
        <v>0</v>
      </c>
      <c r="T15" s="1">
        <v>0</v>
      </c>
      <c r="V15" s="1">
        <v>1159.7</v>
      </c>
      <c r="X15" s="4"/>
      <c r="Y15" s="4"/>
    </row>
    <row r="16" spans="1:26" s="1" customFormat="1" x14ac:dyDescent="0.25">
      <c r="B16" s="2"/>
      <c r="C16" s="3">
        <v>41498</v>
      </c>
      <c r="D16" s="1">
        <v>16.8</v>
      </c>
      <c r="E16" s="1">
        <v>15</v>
      </c>
      <c r="F16" s="1">
        <v>20.3</v>
      </c>
      <c r="G16" s="4"/>
      <c r="H16" s="4"/>
      <c r="J16" s="1">
        <v>0</v>
      </c>
      <c r="L16" s="1">
        <v>3.2</v>
      </c>
      <c r="N16" s="1">
        <f t="shared" si="0"/>
        <v>-3.2</v>
      </c>
      <c r="O16" s="1">
        <v>0</v>
      </c>
      <c r="T16" s="1">
        <v>0</v>
      </c>
      <c r="V16" s="1">
        <v>1582.9</v>
      </c>
      <c r="X16" s="4"/>
      <c r="Y16" s="4"/>
    </row>
    <row r="17" spans="2:25" s="1" customFormat="1" x14ac:dyDescent="0.25">
      <c r="B17" s="2"/>
      <c r="C17" s="3">
        <v>41499</v>
      </c>
      <c r="D17" s="1">
        <v>15.6</v>
      </c>
      <c r="E17" s="1">
        <v>11.8</v>
      </c>
      <c r="F17" s="1">
        <v>19.7</v>
      </c>
      <c r="G17" s="4"/>
      <c r="H17" s="4"/>
      <c r="J17" s="1">
        <v>0</v>
      </c>
      <c r="L17" s="1">
        <v>3.1</v>
      </c>
      <c r="N17" s="1">
        <f t="shared" si="0"/>
        <v>-3.1</v>
      </c>
      <c r="O17" s="1">
        <v>0</v>
      </c>
      <c r="T17" s="1">
        <v>0</v>
      </c>
      <c r="V17" s="1">
        <v>1592.5</v>
      </c>
      <c r="X17" s="4"/>
      <c r="Y17" s="4"/>
    </row>
    <row r="18" spans="2:25" s="1" customFormat="1" x14ac:dyDescent="0.25">
      <c r="B18" s="2"/>
      <c r="C18" s="3">
        <v>41500</v>
      </c>
      <c r="D18" s="1">
        <v>17.100000000000001</v>
      </c>
      <c r="E18" s="1">
        <v>12.8</v>
      </c>
      <c r="F18" s="1">
        <v>21.9</v>
      </c>
      <c r="G18" s="4"/>
      <c r="H18" s="4"/>
      <c r="J18" s="1">
        <v>0</v>
      </c>
      <c r="L18" s="1">
        <v>3.7</v>
      </c>
      <c r="N18" s="1">
        <f t="shared" si="0"/>
        <v>-3.7</v>
      </c>
      <c r="O18" s="1">
        <v>0</v>
      </c>
      <c r="T18" s="1">
        <v>0</v>
      </c>
      <c r="V18" s="1">
        <v>1977.6</v>
      </c>
      <c r="X18" s="4"/>
      <c r="Y18" s="4"/>
    </row>
    <row r="19" spans="2:25" s="1" customFormat="1" x14ac:dyDescent="0.25">
      <c r="B19" s="2"/>
      <c r="C19" s="3">
        <v>41501</v>
      </c>
      <c r="D19" s="1">
        <v>18.7</v>
      </c>
      <c r="E19" s="1">
        <v>11.7</v>
      </c>
      <c r="F19" s="1">
        <v>24.7</v>
      </c>
      <c r="G19" s="4"/>
      <c r="H19" s="4"/>
      <c r="J19" s="1">
        <v>0</v>
      </c>
      <c r="L19" s="1">
        <v>3</v>
      </c>
      <c r="N19" s="1">
        <f t="shared" si="0"/>
        <v>-3</v>
      </c>
      <c r="O19" s="1">
        <v>0</v>
      </c>
      <c r="T19" s="1">
        <v>0</v>
      </c>
      <c r="V19" s="1">
        <v>1436</v>
      </c>
      <c r="X19" s="4"/>
      <c r="Y19" s="4"/>
    </row>
    <row r="20" spans="2:25" s="1" customFormat="1" x14ac:dyDescent="0.25">
      <c r="B20" s="2"/>
      <c r="C20" s="3">
        <v>41502</v>
      </c>
      <c r="D20" s="1">
        <v>19.5</v>
      </c>
      <c r="E20" s="1">
        <v>13.4</v>
      </c>
      <c r="F20" s="1">
        <v>27.5</v>
      </c>
      <c r="G20" s="4"/>
      <c r="H20" s="4"/>
      <c r="J20" s="1">
        <v>0.2</v>
      </c>
      <c r="L20" s="1">
        <v>3.4</v>
      </c>
      <c r="N20" s="1">
        <f t="shared" si="0"/>
        <v>-3.1999999999999997</v>
      </c>
      <c r="O20" s="1">
        <v>0</v>
      </c>
      <c r="T20" s="1">
        <v>0</v>
      </c>
      <c r="V20" s="1">
        <v>1164.3</v>
      </c>
      <c r="X20" s="4"/>
      <c r="Y20" s="4"/>
    </row>
    <row r="21" spans="2:25" s="1" customFormat="1" x14ac:dyDescent="0.25">
      <c r="B21" s="2"/>
      <c r="C21" s="3">
        <v>41503</v>
      </c>
      <c r="D21" s="1">
        <v>20.3</v>
      </c>
      <c r="E21" s="1">
        <v>16.2</v>
      </c>
      <c r="F21" s="1">
        <v>23.9</v>
      </c>
      <c r="G21" s="4"/>
      <c r="H21" s="4"/>
      <c r="J21" s="1">
        <v>1.7</v>
      </c>
      <c r="L21" s="1">
        <v>3.2</v>
      </c>
      <c r="N21" s="1">
        <f t="shared" si="0"/>
        <v>-1.5000000000000002</v>
      </c>
      <c r="O21" s="1">
        <v>0</v>
      </c>
      <c r="T21" s="1">
        <v>0</v>
      </c>
      <c r="V21" s="1">
        <v>1260.4000000000001</v>
      </c>
      <c r="X21" s="4"/>
      <c r="Y21" s="4"/>
    </row>
    <row r="22" spans="2:25" s="1" customFormat="1" x14ac:dyDescent="0.25">
      <c r="B22" s="2"/>
      <c r="C22" s="3">
        <v>41504</v>
      </c>
      <c r="D22" s="1">
        <v>18.899999999999999</v>
      </c>
      <c r="E22" s="1">
        <v>18</v>
      </c>
      <c r="F22" s="1">
        <v>20.3</v>
      </c>
      <c r="G22" s="4"/>
      <c r="H22" s="4"/>
      <c r="J22" s="1">
        <v>9.1999999999999993</v>
      </c>
      <c r="L22" s="1">
        <v>1.7</v>
      </c>
      <c r="N22" s="1">
        <f t="shared" si="0"/>
        <v>7.4999999999999991</v>
      </c>
      <c r="O22" s="1">
        <f t="shared" ref="O22:O36" si="2">O21+N22</f>
        <v>7.4999999999999991</v>
      </c>
      <c r="T22" s="1">
        <v>7.5</v>
      </c>
      <c r="V22" s="1">
        <v>607.1</v>
      </c>
      <c r="X22" s="4"/>
      <c r="Y22" s="4"/>
    </row>
    <row r="23" spans="2:25" s="1" customFormat="1" x14ac:dyDescent="0.25">
      <c r="B23" s="2"/>
      <c r="C23" s="3">
        <v>41505</v>
      </c>
      <c r="D23" s="1">
        <v>16.8</v>
      </c>
      <c r="E23" s="1">
        <v>15.1</v>
      </c>
      <c r="F23" s="1">
        <v>20.6</v>
      </c>
      <c r="G23" s="4"/>
      <c r="H23" s="4"/>
      <c r="J23" s="1">
        <v>0.1</v>
      </c>
      <c r="L23" s="1">
        <v>3.7</v>
      </c>
      <c r="N23" s="1">
        <f t="shared" si="0"/>
        <v>-3.6</v>
      </c>
      <c r="O23" s="1">
        <f t="shared" si="2"/>
        <v>3.899999999999999</v>
      </c>
      <c r="T23" s="1">
        <v>3.9</v>
      </c>
      <c r="V23" s="1">
        <v>1603.3</v>
      </c>
      <c r="X23" s="4"/>
      <c r="Y23" s="4"/>
    </row>
    <row r="24" spans="2:25" s="1" customFormat="1" x14ac:dyDescent="0.25">
      <c r="B24" s="2"/>
      <c r="C24" s="3">
        <v>41506</v>
      </c>
      <c r="D24" s="1">
        <v>16.100000000000001</v>
      </c>
      <c r="E24" s="1">
        <v>10</v>
      </c>
      <c r="F24" s="1">
        <v>21.9</v>
      </c>
      <c r="G24" s="4"/>
      <c r="H24" s="4"/>
      <c r="J24" s="1">
        <v>0</v>
      </c>
      <c r="L24" s="1">
        <v>3.5</v>
      </c>
      <c r="N24" s="1">
        <f t="shared" si="0"/>
        <v>-3.5</v>
      </c>
      <c r="O24" s="1">
        <f t="shared" si="2"/>
        <v>0.39999999999999902</v>
      </c>
      <c r="T24" s="1">
        <v>0.4</v>
      </c>
      <c r="V24" s="1">
        <v>1899.2</v>
      </c>
      <c r="X24" s="4"/>
      <c r="Y24" s="4"/>
    </row>
    <row r="25" spans="2:25" s="1" customFormat="1" x14ac:dyDescent="0.25">
      <c r="B25" s="2"/>
      <c r="C25" s="3">
        <v>41507</v>
      </c>
      <c r="D25" s="1">
        <v>17.8</v>
      </c>
      <c r="E25" s="1">
        <v>11.2</v>
      </c>
      <c r="F25" s="1">
        <v>23.9</v>
      </c>
      <c r="G25" s="4"/>
      <c r="H25" s="4"/>
      <c r="J25" s="1">
        <v>0</v>
      </c>
      <c r="L25" s="1">
        <v>4.3</v>
      </c>
      <c r="N25" s="1">
        <f t="shared" si="0"/>
        <v>-4.3</v>
      </c>
      <c r="O25" s="1">
        <v>0</v>
      </c>
      <c r="T25" s="1">
        <v>0</v>
      </c>
      <c r="V25" s="1">
        <v>2177.3000000000002</v>
      </c>
      <c r="X25" s="4"/>
      <c r="Y25" s="4"/>
    </row>
    <row r="26" spans="2:25" s="1" customFormat="1" x14ac:dyDescent="0.25">
      <c r="B26" s="2"/>
      <c r="C26" s="3">
        <v>41508</v>
      </c>
      <c r="D26" s="1">
        <v>19.100000000000001</v>
      </c>
      <c r="E26" s="1">
        <v>13.2</v>
      </c>
      <c r="F26" s="1">
        <v>24</v>
      </c>
      <c r="G26" s="4"/>
      <c r="H26" s="4"/>
      <c r="J26" s="1">
        <v>0</v>
      </c>
      <c r="L26" s="1">
        <v>3</v>
      </c>
      <c r="N26" s="1">
        <f t="shared" si="0"/>
        <v>-3</v>
      </c>
      <c r="O26" s="1">
        <v>0</v>
      </c>
      <c r="T26" s="1">
        <v>0</v>
      </c>
      <c r="V26" s="1">
        <v>1359.4</v>
      </c>
      <c r="X26" s="4"/>
      <c r="Y26" s="4"/>
    </row>
    <row r="27" spans="2:25" s="1" customFormat="1" x14ac:dyDescent="0.25">
      <c r="B27" s="2"/>
      <c r="C27" s="3">
        <v>41509</v>
      </c>
      <c r="D27" s="1">
        <v>21.2</v>
      </c>
      <c r="E27" s="1">
        <v>15.3</v>
      </c>
      <c r="F27" s="1">
        <v>27.7</v>
      </c>
      <c r="G27" s="4"/>
      <c r="H27" s="4"/>
      <c r="J27" s="1">
        <v>2.1</v>
      </c>
      <c r="L27" s="1">
        <v>4.0999999999999996</v>
      </c>
      <c r="N27" s="1">
        <f t="shared" si="0"/>
        <v>-1.9999999999999996</v>
      </c>
      <c r="O27" s="1">
        <v>0</v>
      </c>
      <c r="T27" s="1">
        <v>0</v>
      </c>
      <c r="V27" s="1">
        <v>1711.8</v>
      </c>
      <c r="X27" s="4"/>
      <c r="Y27" s="4"/>
    </row>
    <row r="28" spans="2:25" s="1" customFormat="1" x14ac:dyDescent="0.25">
      <c r="B28" s="2"/>
      <c r="C28" s="3">
        <v>41510</v>
      </c>
      <c r="D28" s="1">
        <v>16.600000000000001</v>
      </c>
      <c r="E28" s="1">
        <v>16</v>
      </c>
      <c r="F28" s="1">
        <v>17.2</v>
      </c>
      <c r="G28" s="4"/>
      <c r="H28" s="4"/>
      <c r="J28" s="1">
        <v>20.2</v>
      </c>
      <c r="L28" s="1">
        <v>1.1000000000000001</v>
      </c>
      <c r="N28" s="1">
        <f t="shared" si="0"/>
        <v>19.099999999999998</v>
      </c>
      <c r="O28" s="1">
        <f t="shared" si="2"/>
        <v>19.099999999999998</v>
      </c>
      <c r="T28" s="1">
        <v>19.100000000000001</v>
      </c>
      <c r="V28" s="1">
        <v>403</v>
      </c>
      <c r="X28" s="4"/>
      <c r="Y28" s="4"/>
    </row>
    <row r="29" spans="2:25" s="1" customFormat="1" x14ac:dyDescent="0.25">
      <c r="B29" s="2"/>
      <c r="C29" s="3">
        <v>41511</v>
      </c>
      <c r="D29" s="1">
        <v>14.2</v>
      </c>
      <c r="E29" s="1">
        <v>14.1</v>
      </c>
      <c r="F29" s="1">
        <v>15.1</v>
      </c>
      <c r="G29" s="4"/>
      <c r="H29" s="4"/>
      <c r="J29" s="1">
        <v>2.5</v>
      </c>
      <c r="L29" s="1">
        <v>1</v>
      </c>
      <c r="N29" s="1">
        <f t="shared" si="0"/>
        <v>1.5</v>
      </c>
      <c r="O29" s="1">
        <f t="shared" si="2"/>
        <v>20.599999999999998</v>
      </c>
      <c r="T29" s="1">
        <v>20.6</v>
      </c>
      <c r="V29" s="1">
        <v>470.4</v>
      </c>
      <c r="X29" s="4"/>
      <c r="Y29" s="4"/>
    </row>
    <row r="30" spans="2:25" s="1" customFormat="1" x14ac:dyDescent="0.25">
      <c r="B30" s="2"/>
      <c r="C30" s="3">
        <v>41512</v>
      </c>
      <c r="D30" s="1">
        <v>17.2</v>
      </c>
      <c r="E30" s="1">
        <v>12.3</v>
      </c>
      <c r="F30" s="1">
        <v>22.7</v>
      </c>
      <c r="G30" s="4"/>
      <c r="H30" s="4"/>
      <c r="J30" s="1">
        <v>0</v>
      </c>
      <c r="L30" s="1">
        <v>3.4</v>
      </c>
      <c r="N30" s="1">
        <f t="shared" si="0"/>
        <v>-3.4</v>
      </c>
      <c r="O30" s="1">
        <f t="shared" si="2"/>
        <v>17.2</v>
      </c>
      <c r="T30" s="1">
        <v>17.2</v>
      </c>
      <c r="V30" s="1">
        <v>1707.5</v>
      </c>
      <c r="X30" s="4"/>
      <c r="Y30" s="4"/>
    </row>
    <row r="31" spans="2:25" s="1" customFormat="1" x14ac:dyDescent="0.25">
      <c r="B31" s="2"/>
      <c r="C31" s="3">
        <v>41513</v>
      </c>
      <c r="D31" s="1">
        <v>18</v>
      </c>
      <c r="E31" s="1">
        <v>15.3</v>
      </c>
      <c r="F31" s="1">
        <v>21.6</v>
      </c>
      <c r="G31" s="4"/>
      <c r="H31" s="4"/>
      <c r="J31" s="1">
        <v>0</v>
      </c>
      <c r="L31" s="1">
        <v>2.8</v>
      </c>
      <c r="N31" s="1">
        <f t="shared" si="0"/>
        <v>-2.8</v>
      </c>
      <c r="O31" s="1">
        <f t="shared" si="2"/>
        <v>14.399999999999999</v>
      </c>
      <c r="T31" s="1">
        <v>14.4</v>
      </c>
      <c r="V31" s="1">
        <v>1276.5999999999999</v>
      </c>
      <c r="X31" s="4"/>
      <c r="Y31" s="4"/>
    </row>
    <row r="32" spans="2:25" s="1" customFormat="1" x14ac:dyDescent="0.25">
      <c r="B32" s="2"/>
      <c r="C32" s="3">
        <v>41514</v>
      </c>
      <c r="D32" s="1">
        <v>17.100000000000001</v>
      </c>
      <c r="E32" s="1">
        <v>13.1</v>
      </c>
      <c r="F32" s="1">
        <v>22.6</v>
      </c>
      <c r="G32" s="4"/>
      <c r="H32" s="4"/>
      <c r="J32" s="1">
        <v>0.2</v>
      </c>
      <c r="L32" s="1">
        <v>3.5</v>
      </c>
      <c r="N32" s="1">
        <f t="shared" si="0"/>
        <v>-3.3</v>
      </c>
      <c r="O32" s="1">
        <f t="shared" si="2"/>
        <v>11.099999999999998</v>
      </c>
      <c r="T32" s="1">
        <v>11.1</v>
      </c>
      <c r="V32" s="1">
        <v>1566</v>
      </c>
      <c r="X32" s="4"/>
      <c r="Y32" s="4"/>
    </row>
    <row r="33" spans="1:27" s="1" customFormat="1" x14ac:dyDescent="0.25">
      <c r="B33" s="2"/>
      <c r="C33" s="3">
        <v>41515</v>
      </c>
      <c r="D33" s="1">
        <v>16.399999999999999</v>
      </c>
      <c r="E33" s="1">
        <v>12.5</v>
      </c>
      <c r="F33" s="1">
        <v>21.8</v>
      </c>
      <c r="G33" s="4"/>
      <c r="H33" s="4"/>
      <c r="J33" s="1">
        <v>0</v>
      </c>
      <c r="L33" s="1">
        <v>3.4</v>
      </c>
      <c r="N33" s="1">
        <f t="shared" si="0"/>
        <v>-3.4</v>
      </c>
      <c r="O33" s="1">
        <f t="shared" si="2"/>
        <v>7.6999999999999975</v>
      </c>
      <c r="T33" s="1">
        <v>7.7</v>
      </c>
      <c r="V33" s="1">
        <v>1767.9</v>
      </c>
      <c r="X33" s="4"/>
      <c r="Y33" s="4"/>
    </row>
    <row r="34" spans="1:27" s="1" customFormat="1" x14ac:dyDescent="0.25">
      <c r="B34" s="2"/>
      <c r="C34" s="3">
        <v>41516</v>
      </c>
      <c r="D34" s="1">
        <v>16.399999999999999</v>
      </c>
      <c r="E34" s="1">
        <v>10.7</v>
      </c>
      <c r="F34" s="1">
        <v>21.5</v>
      </c>
      <c r="G34" s="4"/>
      <c r="H34" s="4"/>
      <c r="J34" s="1">
        <v>0</v>
      </c>
      <c r="L34" s="1">
        <v>2.6</v>
      </c>
      <c r="N34" s="1">
        <f t="shared" si="0"/>
        <v>-2.6</v>
      </c>
      <c r="O34" s="1">
        <f t="shared" si="2"/>
        <v>5.0999999999999979</v>
      </c>
      <c r="T34" s="1">
        <v>5.0999999999999996</v>
      </c>
      <c r="V34" s="1">
        <v>1394</v>
      </c>
      <c r="X34" s="4"/>
      <c r="Y34" s="4"/>
    </row>
    <row r="35" spans="1:27" s="1" customFormat="1" x14ac:dyDescent="0.25">
      <c r="B35" s="2"/>
      <c r="C35" s="3">
        <v>41517</v>
      </c>
      <c r="D35" s="1">
        <v>16.8</v>
      </c>
      <c r="E35" s="1">
        <v>15.5</v>
      </c>
      <c r="F35" s="1">
        <v>20.399999999999999</v>
      </c>
      <c r="G35" s="4"/>
      <c r="H35" s="4"/>
      <c r="J35" s="1">
        <v>0</v>
      </c>
      <c r="L35" s="1">
        <v>1.9</v>
      </c>
      <c r="N35" s="1">
        <f t="shared" si="0"/>
        <v>-1.9</v>
      </c>
      <c r="O35" s="1">
        <f t="shared" si="2"/>
        <v>3.199999999999998</v>
      </c>
      <c r="T35" s="1">
        <v>3.2</v>
      </c>
      <c r="V35" s="1">
        <v>954.9</v>
      </c>
      <c r="X35" s="4"/>
      <c r="Y35" s="4"/>
    </row>
    <row r="36" spans="1:27" s="1" customFormat="1" x14ac:dyDescent="0.25">
      <c r="B36" s="2"/>
      <c r="C36" s="3">
        <v>41518</v>
      </c>
      <c r="D36" s="1">
        <v>13.1</v>
      </c>
      <c r="E36" s="1">
        <v>8</v>
      </c>
      <c r="F36" s="1">
        <v>18.5</v>
      </c>
      <c r="G36" s="4"/>
      <c r="H36" s="4"/>
      <c r="J36" s="1">
        <v>0</v>
      </c>
      <c r="L36" s="1">
        <v>2.7</v>
      </c>
      <c r="N36" s="1">
        <f t="shared" si="0"/>
        <v>-2.7</v>
      </c>
      <c r="O36" s="1">
        <f t="shared" si="2"/>
        <v>0.49999999999999778</v>
      </c>
      <c r="T36" s="1">
        <v>0.5</v>
      </c>
      <c r="V36" s="1">
        <v>1477.2</v>
      </c>
      <c r="X36" s="4"/>
      <c r="Y36" s="4"/>
    </row>
    <row r="37" spans="1:27" s="1" customFormat="1" x14ac:dyDescent="0.25">
      <c r="B37" s="2"/>
      <c r="C37" s="3">
        <v>41519</v>
      </c>
      <c r="D37" s="1">
        <v>15.1</v>
      </c>
      <c r="E37" s="1">
        <v>10.6</v>
      </c>
      <c r="F37" s="1">
        <v>20.8</v>
      </c>
      <c r="G37" s="4"/>
      <c r="H37" s="4"/>
      <c r="J37" s="1">
        <v>0</v>
      </c>
      <c r="L37" s="1">
        <v>3.5</v>
      </c>
      <c r="N37" s="1">
        <f t="shared" si="0"/>
        <v>-3.5</v>
      </c>
      <c r="O37" s="1">
        <v>0</v>
      </c>
      <c r="T37" s="1">
        <v>0</v>
      </c>
      <c r="V37" s="1">
        <v>1767</v>
      </c>
      <c r="X37" s="4"/>
      <c r="Y37" s="4"/>
    </row>
    <row r="38" spans="1:27" s="1" customFormat="1" x14ac:dyDescent="0.25">
      <c r="B38" s="2"/>
      <c r="C38" s="3">
        <v>41520</v>
      </c>
      <c r="D38" s="1">
        <v>17.600000000000001</v>
      </c>
      <c r="E38" s="1">
        <v>10.9</v>
      </c>
      <c r="F38" s="1">
        <v>23.4</v>
      </c>
      <c r="G38" s="4"/>
      <c r="H38" s="4"/>
      <c r="J38" s="1">
        <v>0.2</v>
      </c>
      <c r="L38" s="1">
        <v>3.6</v>
      </c>
      <c r="N38" s="1">
        <f t="shared" si="0"/>
        <v>-3.4</v>
      </c>
      <c r="O38" s="1">
        <v>0</v>
      </c>
      <c r="T38" s="1">
        <v>0</v>
      </c>
      <c r="V38" s="1">
        <v>1795.1</v>
      </c>
      <c r="X38" s="4"/>
      <c r="Y38" s="4"/>
    </row>
    <row r="39" spans="1:27" s="1" customFormat="1" x14ac:dyDescent="0.25">
      <c r="A39" s="79" t="s">
        <v>0</v>
      </c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 spans="1:27" s="1" customFormat="1" x14ac:dyDescent="0.25">
      <c r="A40" s="80" t="s">
        <v>1</v>
      </c>
      <c r="B40" s="5"/>
      <c r="C40" s="3">
        <v>41521</v>
      </c>
      <c r="D40" s="1">
        <v>20.2</v>
      </c>
      <c r="E40" s="1">
        <v>11.9</v>
      </c>
      <c r="F40" s="6">
        <v>27.3</v>
      </c>
      <c r="G40" s="1">
        <f>D40</f>
        <v>20.2</v>
      </c>
      <c r="I40" s="7" t="s">
        <v>2</v>
      </c>
      <c r="J40" s="1">
        <v>0</v>
      </c>
      <c r="K40" s="1">
        <f>J40</f>
        <v>0</v>
      </c>
      <c r="L40" s="1">
        <v>4.3</v>
      </c>
      <c r="M40" s="1">
        <f>L40</f>
        <v>4.3</v>
      </c>
      <c r="N40" s="8">
        <f>J40-L40</f>
        <v>-4.3</v>
      </c>
      <c r="O40" s="1">
        <f>O38+N40</f>
        <v>-4.3</v>
      </c>
      <c r="P40" s="1">
        <v>1</v>
      </c>
      <c r="Q40" s="1">
        <v>0.35</v>
      </c>
      <c r="R40" s="9">
        <f>Q40*L40</f>
        <v>1.5049999999999999</v>
      </c>
      <c r="S40" s="9">
        <f t="shared" ref="S40:S103" si="3">J40-R40</f>
        <v>-1.5049999999999999</v>
      </c>
      <c r="T40" s="9">
        <v>0</v>
      </c>
      <c r="U40" s="7" t="s">
        <v>3</v>
      </c>
      <c r="V40" s="1">
        <v>2061.8000000000002</v>
      </c>
      <c r="W40" s="1">
        <f t="shared" ref="W40:W103" si="4">V40/D40</f>
        <v>102.06930693069309</v>
      </c>
      <c r="X40" s="1">
        <f>V40</f>
        <v>2061.8000000000002</v>
      </c>
      <c r="Z40" s="7" t="s">
        <v>4</v>
      </c>
      <c r="AA40" s="1">
        <v>13.3043407395317</v>
      </c>
    </row>
    <row r="41" spans="1:27" s="1" customFormat="1" x14ac:dyDescent="0.25">
      <c r="A41" s="80"/>
      <c r="B41" s="5"/>
      <c r="C41" s="3">
        <v>41522</v>
      </c>
      <c r="D41" s="1">
        <v>22</v>
      </c>
      <c r="E41" s="1">
        <v>14.5</v>
      </c>
      <c r="F41" s="6">
        <v>30.7</v>
      </c>
      <c r="G41" s="1">
        <f>G40+D41</f>
        <v>42.2</v>
      </c>
      <c r="I41" s="1">
        <v>-0.1</v>
      </c>
      <c r="J41" s="1">
        <v>0</v>
      </c>
      <c r="K41" s="1">
        <f>K40+J41</f>
        <v>0</v>
      </c>
      <c r="L41" s="1">
        <v>4.9000000000000004</v>
      </c>
      <c r="M41" s="1">
        <f>M40+L41</f>
        <v>9.1999999999999993</v>
      </c>
      <c r="N41" s="8">
        <f t="shared" ref="N41:N104" si="5">J41-L41</f>
        <v>-4.9000000000000004</v>
      </c>
      <c r="O41" s="1">
        <f t="shared" ref="O41:O104" si="6">O40+N41</f>
        <v>-9.1999999999999993</v>
      </c>
      <c r="P41" s="1">
        <v>2</v>
      </c>
      <c r="Q41" s="1">
        <v>0.35</v>
      </c>
      <c r="R41" s="9">
        <f t="shared" ref="R41:R104" si="7">Q41*L41</f>
        <v>1.7150000000000001</v>
      </c>
      <c r="S41" s="9">
        <f t="shared" si="3"/>
        <v>-1.7150000000000001</v>
      </c>
      <c r="T41" s="9">
        <v>0</v>
      </c>
      <c r="V41" s="1">
        <v>1907.6</v>
      </c>
      <c r="W41" s="1">
        <f t="shared" si="4"/>
        <v>86.709090909090904</v>
      </c>
      <c r="X41" s="1">
        <f>X40+V41</f>
        <v>3969.4</v>
      </c>
      <c r="Z41" s="1">
        <v>46235.9</v>
      </c>
      <c r="AA41" s="1">
        <v>13.2443644788464</v>
      </c>
    </row>
    <row r="42" spans="1:27" s="1" customFormat="1" x14ac:dyDescent="0.25">
      <c r="A42" s="80"/>
      <c r="B42" s="5"/>
      <c r="C42" s="3">
        <v>41523</v>
      </c>
      <c r="D42" s="1">
        <v>15.4</v>
      </c>
      <c r="E42" s="1">
        <v>12.7</v>
      </c>
      <c r="F42" s="1">
        <v>16.8</v>
      </c>
      <c r="G42" s="1">
        <f t="shared" ref="G42:G105" si="8">G41+D42</f>
        <v>57.6</v>
      </c>
      <c r="I42" s="7" t="s">
        <v>5</v>
      </c>
      <c r="J42" s="1">
        <v>5.9</v>
      </c>
      <c r="K42" s="1">
        <f t="shared" ref="K42:K105" si="9">K41+J42</f>
        <v>5.9</v>
      </c>
      <c r="L42" s="1">
        <v>1.3</v>
      </c>
      <c r="M42" s="1">
        <f t="shared" ref="M42:M105" si="10">M41+L42</f>
        <v>10.5</v>
      </c>
      <c r="N42" s="1">
        <f t="shared" si="5"/>
        <v>4.6000000000000005</v>
      </c>
      <c r="O42" s="1">
        <f t="shared" si="6"/>
        <v>-4.5999999999999988</v>
      </c>
      <c r="P42" s="1">
        <v>3</v>
      </c>
      <c r="Q42" s="1">
        <v>0.35</v>
      </c>
      <c r="R42" s="9">
        <f t="shared" si="7"/>
        <v>0.45499999999999996</v>
      </c>
      <c r="S42" s="9">
        <f t="shared" si="3"/>
        <v>5.4450000000000003</v>
      </c>
      <c r="T42" s="9">
        <f>MIN(189.6,(T41+S42))</f>
        <v>5.4450000000000003</v>
      </c>
      <c r="U42" s="7" t="s">
        <v>6</v>
      </c>
      <c r="V42" s="10">
        <v>709.9</v>
      </c>
      <c r="W42" s="1">
        <f t="shared" si="4"/>
        <v>46.097402597402592</v>
      </c>
      <c r="X42" s="1">
        <f t="shared" ref="X42:X105" si="11">X41+V42</f>
        <v>4679.3</v>
      </c>
      <c r="Z42" s="7" t="s">
        <v>7</v>
      </c>
      <c r="AA42" s="1">
        <v>13.1842668281984</v>
      </c>
    </row>
    <row r="43" spans="1:27" s="1" customFormat="1" x14ac:dyDescent="0.25">
      <c r="A43" s="80"/>
      <c r="B43" s="5"/>
      <c r="C43" s="3">
        <v>41524</v>
      </c>
      <c r="D43" s="1">
        <v>15.2</v>
      </c>
      <c r="E43" s="1">
        <v>11.7</v>
      </c>
      <c r="F43" s="1">
        <v>18.8</v>
      </c>
      <c r="G43" s="1">
        <f t="shared" si="8"/>
        <v>72.8</v>
      </c>
      <c r="I43" s="1">
        <v>30.7</v>
      </c>
      <c r="J43" s="1">
        <v>0</v>
      </c>
      <c r="K43" s="1">
        <f t="shared" si="9"/>
        <v>5.9</v>
      </c>
      <c r="L43" s="1">
        <v>3</v>
      </c>
      <c r="M43" s="1">
        <f t="shared" si="10"/>
        <v>13.5</v>
      </c>
      <c r="N43" s="8">
        <f t="shared" si="5"/>
        <v>-3</v>
      </c>
      <c r="O43" s="1">
        <f t="shared" si="6"/>
        <v>-7.5999999999999988</v>
      </c>
      <c r="P43" s="1">
        <v>4</v>
      </c>
      <c r="Q43" s="1">
        <v>0.35</v>
      </c>
      <c r="R43" s="9">
        <f t="shared" si="7"/>
        <v>1.0499999999999998</v>
      </c>
      <c r="S43" s="9">
        <f t="shared" si="3"/>
        <v>-1.0499999999999998</v>
      </c>
      <c r="T43" s="9">
        <f t="shared" ref="T43:T106" si="12">MIN(189.6,(T42+S43))</f>
        <v>4.3950000000000005</v>
      </c>
      <c r="V43" s="1">
        <v>1707</v>
      </c>
      <c r="W43" s="1">
        <f t="shared" si="4"/>
        <v>112.30263157894737</v>
      </c>
      <c r="X43" s="1">
        <f t="shared" si="11"/>
        <v>6386.3</v>
      </c>
      <c r="Z43" s="11"/>
      <c r="AA43" s="1">
        <v>13.124055221142701</v>
      </c>
    </row>
    <row r="44" spans="1:27" s="1" customFormat="1" x14ac:dyDescent="0.25">
      <c r="A44" s="80"/>
      <c r="B44" s="5"/>
      <c r="C44" s="3">
        <v>41525</v>
      </c>
      <c r="D44" s="1">
        <v>14.2</v>
      </c>
      <c r="E44" s="1">
        <v>10.8</v>
      </c>
      <c r="F44" s="1">
        <v>19.899999999999999</v>
      </c>
      <c r="G44" s="1">
        <f t="shared" si="8"/>
        <v>87</v>
      </c>
      <c r="I44" s="7" t="s">
        <v>8</v>
      </c>
      <c r="J44" s="1">
        <v>2.9</v>
      </c>
      <c r="K44" s="1">
        <f t="shared" si="9"/>
        <v>8.8000000000000007</v>
      </c>
      <c r="L44" s="1">
        <v>2.4</v>
      </c>
      <c r="M44" s="1">
        <f t="shared" si="10"/>
        <v>15.9</v>
      </c>
      <c r="N44" s="1">
        <f t="shared" si="5"/>
        <v>0.5</v>
      </c>
      <c r="O44" s="1">
        <f t="shared" si="6"/>
        <v>-7.0999999999999988</v>
      </c>
      <c r="P44" s="1">
        <v>5</v>
      </c>
      <c r="Q44" s="1">
        <v>0.35</v>
      </c>
      <c r="R44" s="9">
        <f t="shared" si="7"/>
        <v>0.84</v>
      </c>
      <c r="S44" s="9">
        <f t="shared" si="3"/>
        <v>2.06</v>
      </c>
      <c r="T44" s="9">
        <f t="shared" si="12"/>
        <v>6.4550000000000001</v>
      </c>
      <c r="U44" s="7" t="s">
        <v>9</v>
      </c>
      <c r="V44" s="1">
        <v>1086.0999999999999</v>
      </c>
      <c r="W44" s="1">
        <f t="shared" si="4"/>
        <v>76.485915492957744</v>
      </c>
      <c r="X44" s="1">
        <f t="shared" si="11"/>
        <v>7472.4</v>
      </c>
      <c r="Z44" s="7" t="s">
        <v>10</v>
      </c>
      <c r="AA44" s="1">
        <v>13.063736831279501</v>
      </c>
    </row>
    <row r="45" spans="1:27" s="1" customFormat="1" x14ac:dyDescent="0.25">
      <c r="A45" s="80"/>
      <c r="B45" s="5"/>
      <c r="C45" s="3">
        <v>41526</v>
      </c>
      <c r="D45" s="1">
        <v>11.8</v>
      </c>
      <c r="E45" s="1">
        <v>8.8000000000000007</v>
      </c>
      <c r="F45" s="1">
        <v>15.3</v>
      </c>
      <c r="G45" s="1">
        <f t="shared" si="8"/>
        <v>98.8</v>
      </c>
      <c r="I45" s="9">
        <f>AVERAGE(D40:D112)</f>
        <v>12.420547945205486</v>
      </c>
      <c r="J45" s="1">
        <v>17.899999999999999</v>
      </c>
      <c r="K45" s="1">
        <f t="shared" si="9"/>
        <v>26.7</v>
      </c>
      <c r="L45" s="1">
        <v>1.1000000000000001</v>
      </c>
      <c r="M45" s="1">
        <f t="shared" si="10"/>
        <v>17</v>
      </c>
      <c r="N45" s="1">
        <f t="shared" si="5"/>
        <v>16.799999999999997</v>
      </c>
      <c r="O45" s="1">
        <f t="shared" si="6"/>
        <v>9.6999999999999993</v>
      </c>
      <c r="P45" s="1">
        <v>6</v>
      </c>
      <c r="Q45" s="1">
        <v>0.35</v>
      </c>
      <c r="R45" s="9">
        <f t="shared" si="7"/>
        <v>0.38500000000000001</v>
      </c>
      <c r="S45" s="9">
        <f t="shared" si="3"/>
        <v>17.514999999999997</v>
      </c>
      <c r="T45" s="9">
        <f t="shared" si="12"/>
        <v>23.97</v>
      </c>
      <c r="U45" s="1">
        <v>2</v>
      </c>
      <c r="V45" s="10">
        <v>509</v>
      </c>
      <c r="W45" s="1">
        <f t="shared" si="4"/>
        <v>43.135593220338983</v>
      </c>
      <c r="X45" s="1">
        <f t="shared" si="11"/>
        <v>7981.4</v>
      </c>
      <c r="Z45" s="1">
        <v>58</v>
      </c>
      <c r="AA45" s="1">
        <v>13.0033185890361</v>
      </c>
    </row>
    <row r="46" spans="1:27" s="1" customFormat="1" x14ac:dyDescent="0.25">
      <c r="A46" s="80"/>
      <c r="B46" s="5"/>
      <c r="C46" s="3">
        <v>41527</v>
      </c>
      <c r="D46" s="1">
        <v>11.9</v>
      </c>
      <c r="E46" s="1">
        <v>9.1</v>
      </c>
      <c r="F46" s="1">
        <v>15</v>
      </c>
      <c r="G46" s="1">
        <f t="shared" si="8"/>
        <v>110.7</v>
      </c>
      <c r="I46" s="7" t="s">
        <v>11</v>
      </c>
      <c r="J46" s="1">
        <v>2.2999999999999998</v>
      </c>
      <c r="K46" s="1">
        <f t="shared" si="9"/>
        <v>29</v>
      </c>
      <c r="L46" s="1">
        <v>1.4</v>
      </c>
      <c r="M46" s="1">
        <f t="shared" si="10"/>
        <v>18.399999999999999</v>
      </c>
      <c r="N46" s="1">
        <f t="shared" si="5"/>
        <v>0.89999999999999991</v>
      </c>
      <c r="O46" s="1">
        <f t="shared" si="6"/>
        <v>10.6</v>
      </c>
      <c r="P46" s="1">
        <v>7</v>
      </c>
      <c r="Q46" s="1">
        <v>0.35</v>
      </c>
      <c r="R46" s="9">
        <f t="shared" si="7"/>
        <v>0.48999999999999994</v>
      </c>
      <c r="S46" s="9">
        <f t="shared" si="3"/>
        <v>1.8099999999999998</v>
      </c>
      <c r="T46" s="9">
        <f t="shared" si="12"/>
        <v>25.779999999999998</v>
      </c>
      <c r="U46" s="7" t="s">
        <v>12</v>
      </c>
      <c r="V46" s="10">
        <v>717.1</v>
      </c>
      <c r="W46" s="1">
        <f t="shared" si="4"/>
        <v>60.260504201680675</v>
      </c>
      <c r="X46" s="1">
        <f t="shared" si="11"/>
        <v>8698.5</v>
      </c>
      <c r="AA46" s="1">
        <v>12.942807198494201</v>
      </c>
    </row>
    <row r="47" spans="1:27" s="1" customFormat="1" x14ac:dyDescent="0.25">
      <c r="A47" s="80"/>
      <c r="B47" s="5"/>
      <c r="C47" s="3">
        <v>41528</v>
      </c>
      <c r="D47" s="1">
        <v>12.7</v>
      </c>
      <c r="E47" s="1">
        <v>11.9</v>
      </c>
      <c r="F47" s="1">
        <v>14.1</v>
      </c>
      <c r="G47" s="1">
        <f t="shared" si="8"/>
        <v>123.4</v>
      </c>
      <c r="I47" s="1">
        <v>1</v>
      </c>
      <c r="J47" s="1">
        <v>0.4</v>
      </c>
      <c r="K47" s="1">
        <f t="shared" si="9"/>
        <v>29.4</v>
      </c>
      <c r="L47" s="1">
        <v>1.1000000000000001</v>
      </c>
      <c r="M47" s="1">
        <f t="shared" si="10"/>
        <v>19.5</v>
      </c>
      <c r="N47" s="8">
        <f t="shared" si="5"/>
        <v>-0.70000000000000007</v>
      </c>
      <c r="O47" s="1">
        <f t="shared" si="6"/>
        <v>9.9</v>
      </c>
      <c r="P47" s="1">
        <v>8</v>
      </c>
      <c r="Q47" s="1">
        <v>0.35</v>
      </c>
      <c r="R47" s="9">
        <f t="shared" si="7"/>
        <v>0.38500000000000001</v>
      </c>
      <c r="S47" s="9">
        <f t="shared" si="3"/>
        <v>1.5000000000000013E-2</v>
      </c>
      <c r="T47" s="9">
        <f t="shared" si="12"/>
        <v>25.794999999999998</v>
      </c>
      <c r="U47" s="1">
        <v>34</v>
      </c>
      <c r="V47" s="10">
        <v>470.8</v>
      </c>
      <c r="W47" s="1">
        <f t="shared" si="4"/>
        <v>37.070866141732289</v>
      </c>
      <c r="X47" s="1">
        <f t="shared" si="11"/>
        <v>9169.2999999999993</v>
      </c>
      <c r="AA47" s="1">
        <v>12.8822091542565</v>
      </c>
    </row>
    <row r="48" spans="1:27" s="1" customFormat="1" x14ac:dyDescent="0.25">
      <c r="A48" s="80"/>
      <c r="B48" s="5"/>
      <c r="C48" s="3">
        <v>41529</v>
      </c>
      <c r="D48" s="1">
        <v>13.8</v>
      </c>
      <c r="E48" s="1">
        <v>11.1</v>
      </c>
      <c r="F48" s="1">
        <v>16.8</v>
      </c>
      <c r="G48" s="1">
        <f t="shared" si="8"/>
        <v>137.20000000000002</v>
      </c>
      <c r="I48" s="7" t="s">
        <v>13</v>
      </c>
      <c r="J48" s="1">
        <v>0.1</v>
      </c>
      <c r="K48" s="1">
        <f t="shared" si="9"/>
        <v>29.5</v>
      </c>
      <c r="L48" s="1">
        <v>1.3</v>
      </c>
      <c r="M48" s="1">
        <f t="shared" si="10"/>
        <v>20.8</v>
      </c>
      <c r="N48" s="8">
        <f t="shared" si="5"/>
        <v>-1.2</v>
      </c>
      <c r="O48" s="1">
        <f t="shared" si="6"/>
        <v>8.7000000000000011</v>
      </c>
      <c r="P48" s="1">
        <v>9</v>
      </c>
      <c r="Q48" s="1">
        <v>0.35</v>
      </c>
      <c r="R48" s="9">
        <f t="shared" si="7"/>
        <v>0.45499999999999996</v>
      </c>
      <c r="S48" s="9">
        <f t="shared" si="3"/>
        <v>-0.35499999999999998</v>
      </c>
      <c r="T48" s="9">
        <f t="shared" si="12"/>
        <v>25.439999999999998</v>
      </c>
      <c r="U48" s="7" t="s">
        <v>14</v>
      </c>
      <c r="V48" s="10">
        <v>671</v>
      </c>
      <c r="W48" s="1">
        <f t="shared" si="4"/>
        <v>48.623188405797102</v>
      </c>
      <c r="X48" s="1">
        <f t="shared" si="11"/>
        <v>9840.2999999999993</v>
      </c>
      <c r="AA48" s="1">
        <v>12.8215307583491</v>
      </c>
    </row>
    <row r="49" spans="1:27" s="1" customFormat="1" x14ac:dyDescent="0.25">
      <c r="A49" s="80"/>
      <c r="B49" s="5"/>
      <c r="C49" s="3">
        <v>41530</v>
      </c>
      <c r="D49" s="1">
        <v>14.9</v>
      </c>
      <c r="E49" s="1">
        <v>11.4</v>
      </c>
      <c r="F49" s="1">
        <v>17.3</v>
      </c>
      <c r="G49" s="1">
        <f t="shared" si="8"/>
        <v>152.10000000000002</v>
      </c>
      <c r="I49" s="1">
        <v>2</v>
      </c>
      <c r="J49" s="1">
        <v>8.6999999999999993</v>
      </c>
      <c r="K49" s="1">
        <f t="shared" si="9"/>
        <v>38.200000000000003</v>
      </c>
      <c r="L49" s="1">
        <v>0.6</v>
      </c>
      <c r="M49" s="1">
        <f t="shared" si="10"/>
        <v>21.400000000000002</v>
      </c>
      <c r="N49" s="1">
        <f t="shared" si="5"/>
        <v>8.1</v>
      </c>
      <c r="O49" s="1">
        <f t="shared" si="6"/>
        <v>16.8</v>
      </c>
      <c r="P49" s="1">
        <v>10</v>
      </c>
      <c r="Q49" s="1">
        <f>0.35+((P49-9)/64)*(1-0.35)</f>
        <v>0.36015624999999996</v>
      </c>
      <c r="R49" s="9">
        <f t="shared" si="7"/>
        <v>0.21609374999999997</v>
      </c>
      <c r="S49" s="9">
        <f t="shared" si="3"/>
        <v>8.4839062499999986</v>
      </c>
      <c r="T49" s="9">
        <f t="shared" si="12"/>
        <v>33.923906249999995</v>
      </c>
      <c r="U49" s="9">
        <v>0</v>
      </c>
      <c r="V49" s="10">
        <v>384.5</v>
      </c>
      <c r="W49" s="1">
        <f t="shared" si="4"/>
        <v>25.805369127516776</v>
      </c>
      <c r="X49" s="1">
        <f t="shared" si="11"/>
        <v>10224.799999999999</v>
      </c>
      <c r="AA49" s="1">
        <v>12.760778137156301</v>
      </c>
    </row>
    <row r="50" spans="1:27" s="1" customFormat="1" x14ac:dyDescent="0.25">
      <c r="A50" s="80"/>
      <c r="B50" s="5"/>
      <c r="C50" s="3">
        <v>41531</v>
      </c>
      <c r="D50" s="1">
        <v>14.2</v>
      </c>
      <c r="E50" s="1">
        <v>13.3</v>
      </c>
      <c r="F50" s="1">
        <v>15</v>
      </c>
      <c r="G50" s="1">
        <f t="shared" si="8"/>
        <v>166.3</v>
      </c>
      <c r="I50" s="7" t="s">
        <v>15</v>
      </c>
      <c r="J50" s="1">
        <v>1.9</v>
      </c>
      <c r="K50" s="1">
        <f t="shared" si="9"/>
        <v>40.1</v>
      </c>
      <c r="L50" s="1">
        <v>0.8</v>
      </c>
      <c r="M50" s="1">
        <f t="shared" si="10"/>
        <v>22.200000000000003</v>
      </c>
      <c r="N50" s="1">
        <f t="shared" si="5"/>
        <v>1.0999999999999999</v>
      </c>
      <c r="O50" s="1">
        <f t="shared" si="6"/>
        <v>17.900000000000002</v>
      </c>
      <c r="P50" s="1">
        <v>11</v>
      </c>
      <c r="Q50" s="1">
        <f t="shared" ref="Q50:Q112" si="13">0.35+((P50-9)/64)*(1-0.35)</f>
        <v>0.37031249999999999</v>
      </c>
      <c r="R50" s="9">
        <f t="shared" si="7"/>
        <v>0.29625000000000001</v>
      </c>
      <c r="S50" s="9">
        <f t="shared" si="3"/>
        <v>1.6037499999999998</v>
      </c>
      <c r="T50" s="9">
        <f t="shared" si="12"/>
        <v>35.527656249999993</v>
      </c>
      <c r="U50" s="7" t="s">
        <v>16</v>
      </c>
      <c r="V50" s="10">
        <v>425.9</v>
      </c>
      <c r="W50" s="1">
        <f t="shared" si="4"/>
        <v>29.992957746478872</v>
      </c>
      <c r="X50" s="1">
        <f t="shared" si="11"/>
        <v>10650.699999999999</v>
      </c>
      <c r="AA50" s="1">
        <v>12.6999572583863</v>
      </c>
    </row>
    <row r="51" spans="1:27" s="1" customFormat="1" x14ac:dyDescent="0.25">
      <c r="A51" s="80"/>
      <c r="B51" s="5"/>
      <c r="C51" s="3">
        <v>41532</v>
      </c>
      <c r="D51" s="1">
        <v>13.1</v>
      </c>
      <c r="E51" s="1">
        <v>8.8000000000000007</v>
      </c>
      <c r="F51" s="1">
        <v>16</v>
      </c>
      <c r="G51" s="1">
        <f t="shared" si="8"/>
        <v>179.4</v>
      </c>
      <c r="I51" s="1">
        <v>7</v>
      </c>
      <c r="J51" s="1">
        <v>2.5</v>
      </c>
      <c r="K51" s="1">
        <f t="shared" si="9"/>
        <v>42.6</v>
      </c>
      <c r="L51" s="1">
        <v>1.6</v>
      </c>
      <c r="M51" s="1">
        <f t="shared" si="10"/>
        <v>23.800000000000004</v>
      </c>
      <c r="N51" s="1">
        <f t="shared" si="5"/>
        <v>0.89999999999999991</v>
      </c>
      <c r="O51" s="1">
        <f t="shared" si="6"/>
        <v>18.8</v>
      </c>
      <c r="P51" s="1">
        <v>12</v>
      </c>
      <c r="Q51" s="1">
        <f t="shared" si="13"/>
        <v>0.38046874999999997</v>
      </c>
      <c r="R51" s="9">
        <f t="shared" si="7"/>
        <v>0.60875000000000001</v>
      </c>
      <c r="S51" s="9">
        <f t="shared" si="3"/>
        <v>1.8912499999999999</v>
      </c>
      <c r="T51" s="9">
        <f t="shared" si="12"/>
        <v>37.418906249999992</v>
      </c>
      <c r="U51" s="9">
        <v>172.4</v>
      </c>
      <c r="V51" s="10">
        <v>788.8</v>
      </c>
      <c r="W51" s="1">
        <f t="shared" si="4"/>
        <v>60.213740458015266</v>
      </c>
      <c r="X51" s="1">
        <f t="shared" si="11"/>
        <v>11439.499999999998</v>
      </c>
      <c r="AA51" s="1">
        <v>12.639073948071101</v>
      </c>
    </row>
    <row r="52" spans="1:27" s="1" customFormat="1" x14ac:dyDescent="0.25">
      <c r="A52" s="80"/>
      <c r="B52" s="5"/>
      <c r="C52" s="3">
        <v>41533</v>
      </c>
      <c r="D52" s="1">
        <v>11.7</v>
      </c>
      <c r="E52" s="1">
        <v>11.4</v>
      </c>
      <c r="F52" s="1">
        <v>13.2</v>
      </c>
      <c r="G52" s="1">
        <f t="shared" si="8"/>
        <v>191.1</v>
      </c>
      <c r="I52" s="7" t="s">
        <v>17</v>
      </c>
      <c r="J52" s="1">
        <v>3.3</v>
      </c>
      <c r="K52" s="1">
        <f t="shared" si="9"/>
        <v>45.9</v>
      </c>
      <c r="L52" s="1">
        <v>1.5</v>
      </c>
      <c r="M52" s="1">
        <f t="shared" si="10"/>
        <v>25.300000000000004</v>
      </c>
      <c r="N52" s="1">
        <f t="shared" si="5"/>
        <v>1.7999999999999998</v>
      </c>
      <c r="O52" s="1">
        <f t="shared" si="6"/>
        <v>20.6</v>
      </c>
      <c r="P52" s="1">
        <v>13</v>
      </c>
      <c r="Q52" s="1">
        <f t="shared" si="13"/>
        <v>0.390625</v>
      </c>
      <c r="R52" s="9">
        <f t="shared" si="7"/>
        <v>0.5859375</v>
      </c>
      <c r="S52" s="9">
        <f t="shared" si="3"/>
        <v>2.7140624999999998</v>
      </c>
      <c r="T52" s="9">
        <f t="shared" si="12"/>
        <v>40.132968749999989</v>
      </c>
      <c r="U52" s="7" t="s">
        <v>18</v>
      </c>
      <c r="V52" s="10">
        <v>700.4</v>
      </c>
      <c r="W52" s="1">
        <f t="shared" si="4"/>
        <v>59.863247863247864</v>
      </c>
      <c r="X52" s="1">
        <f t="shared" si="11"/>
        <v>12139.899999999998</v>
      </c>
      <c r="AA52" s="1">
        <v>12.5781339075999</v>
      </c>
    </row>
    <row r="53" spans="1:27" s="1" customFormat="1" x14ac:dyDescent="0.25">
      <c r="A53" s="80"/>
      <c r="B53" s="5"/>
      <c r="C53" s="3">
        <v>41534</v>
      </c>
      <c r="D53" s="1">
        <v>11.8</v>
      </c>
      <c r="E53" s="1">
        <v>8.1999999999999993</v>
      </c>
      <c r="F53" s="1">
        <v>15.5</v>
      </c>
      <c r="G53" s="1">
        <f t="shared" si="8"/>
        <v>202.9</v>
      </c>
      <c r="I53" s="1">
        <v>906.7</v>
      </c>
      <c r="J53" s="1">
        <v>18.3</v>
      </c>
      <c r="K53" s="1">
        <f t="shared" si="9"/>
        <v>64.2</v>
      </c>
      <c r="L53" s="1">
        <v>1.7</v>
      </c>
      <c r="M53" s="1">
        <f t="shared" si="10"/>
        <v>27.000000000000004</v>
      </c>
      <c r="N53" s="1">
        <f t="shared" si="5"/>
        <v>16.600000000000001</v>
      </c>
      <c r="O53" s="1">
        <f t="shared" si="6"/>
        <v>37.200000000000003</v>
      </c>
      <c r="P53" s="1">
        <v>14</v>
      </c>
      <c r="Q53" s="1">
        <f t="shared" si="13"/>
        <v>0.40078124999999998</v>
      </c>
      <c r="R53" s="9">
        <f t="shared" si="7"/>
        <v>0.68132812499999995</v>
      </c>
      <c r="S53" s="9">
        <f t="shared" si="3"/>
        <v>17.618671875</v>
      </c>
      <c r="T53" s="9">
        <f t="shared" si="12"/>
        <v>57.751640624999993</v>
      </c>
      <c r="U53" s="11">
        <f>AVERAGE(T40:T112)</f>
        <v>81.088886986301361</v>
      </c>
      <c r="V53" s="1">
        <v>1007.9</v>
      </c>
      <c r="W53" s="1">
        <f t="shared" si="4"/>
        <v>85.415254237288124</v>
      </c>
      <c r="X53" s="1">
        <f t="shared" si="11"/>
        <v>13147.799999999997</v>
      </c>
      <c r="AA53" s="1">
        <v>12.517142730791599</v>
      </c>
    </row>
    <row r="54" spans="1:27" s="1" customFormat="1" x14ac:dyDescent="0.25">
      <c r="A54" s="80"/>
      <c r="B54" s="5"/>
      <c r="C54" s="3">
        <v>41535</v>
      </c>
      <c r="D54" s="1">
        <v>13.3</v>
      </c>
      <c r="E54" s="1">
        <v>12.3</v>
      </c>
      <c r="F54" s="1">
        <v>15.2</v>
      </c>
      <c r="G54" s="1">
        <f t="shared" si="8"/>
        <v>216.20000000000002</v>
      </c>
      <c r="J54" s="1">
        <v>4.2</v>
      </c>
      <c r="K54" s="1">
        <f t="shared" si="9"/>
        <v>68.400000000000006</v>
      </c>
      <c r="L54" s="1">
        <v>0.9</v>
      </c>
      <c r="M54" s="1">
        <f t="shared" si="10"/>
        <v>27.900000000000002</v>
      </c>
      <c r="N54" s="1">
        <f t="shared" si="5"/>
        <v>3.3000000000000003</v>
      </c>
      <c r="O54" s="1">
        <f t="shared" si="6"/>
        <v>40.5</v>
      </c>
      <c r="P54" s="1">
        <v>15</v>
      </c>
      <c r="Q54" s="1">
        <f t="shared" si="13"/>
        <v>0.41093749999999996</v>
      </c>
      <c r="R54" s="9">
        <f t="shared" si="7"/>
        <v>0.36984374999999997</v>
      </c>
      <c r="S54" s="9">
        <f t="shared" si="3"/>
        <v>3.8301562500000004</v>
      </c>
      <c r="T54" s="9">
        <f t="shared" si="12"/>
        <v>61.581796874999995</v>
      </c>
      <c r="V54" s="10">
        <v>365.6</v>
      </c>
      <c r="W54" s="1">
        <f t="shared" si="4"/>
        <v>27.488721804511279</v>
      </c>
      <c r="X54" s="1">
        <f t="shared" si="11"/>
        <v>13513.399999999998</v>
      </c>
      <c r="AA54" s="1">
        <v>12.4561059210099</v>
      </c>
    </row>
    <row r="55" spans="1:27" s="1" customFormat="1" x14ac:dyDescent="0.25">
      <c r="A55" s="80"/>
      <c r="B55" s="5"/>
      <c r="C55" s="3">
        <v>41536</v>
      </c>
      <c r="D55" s="1">
        <v>12.8</v>
      </c>
      <c r="E55" s="1">
        <v>8.1999999999999993</v>
      </c>
      <c r="F55" s="1">
        <v>15.9</v>
      </c>
      <c r="G55" s="1">
        <f t="shared" si="8"/>
        <v>229.00000000000003</v>
      </c>
      <c r="J55" s="1">
        <v>0</v>
      </c>
      <c r="K55" s="1">
        <f t="shared" si="9"/>
        <v>68.400000000000006</v>
      </c>
      <c r="L55" s="1">
        <v>1.5</v>
      </c>
      <c r="M55" s="1">
        <f t="shared" si="10"/>
        <v>29.400000000000002</v>
      </c>
      <c r="N55" s="8">
        <f t="shared" si="5"/>
        <v>-1.5</v>
      </c>
      <c r="O55" s="1">
        <f t="shared" si="6"/>
        <v>39</v>
      </c>
      <c r="P55" s="1">
        <v>16</v>
      </c>
      <c r="Q55" s="1">
        <f t="shared" si="13"/>
        <v>0.42109374999999999</v>
      </c>
      <c r="R55" s="9">
        <f t="shared" si="7"/>
        <v>0.63164062499999996</v>
      </c>
      <c r="S55" s="9">
        <f t="shared" si="3"/>
        <v>-0.63164062499999996</v>
      </c>
      <c r="T55" s="9">
        <f t="shared" si="12"/>
        <v>60.950156249999992</v>
      </c>
      <c r="U55" s="9">
        <f>(81.1*100)/189.6</f>
        <v>42.774261603375521</v>
      </c>
      <c r="V55" s="10">
        <v>892.6</v>
      </c>
      <c r="W55" s="1">
        <f t="shared" si="4"/>
        <v>69.734375</v>
      </c>
      <c r="X55" s="1">
        <f t="shared" si="11"/>
        <v>14405.999999999998</v>
      </c>
      <c r="AA55" s="1">
        <v>12.3950289083268</v>
      </c>
    </row>
    <row r="56" spans="1:27" s="1" customFormat="1" x14ac:dyDescent="0.25">
      <c r="A56" s="80"/>
      <c r="B56" s="5"/>
      <c r="C56" s="3">
        <v>41537</v>
      </c>
      <c r="D56" s="1">
        <v>13.3</v>
      </c>
      <c r="E56" s="1">
        <v>12.6</v>
      </c>
      <c r="F56" s="1">
        <v>17.2</v>
      </c>
      <c r="G56" s="1">
        <f t="shared" si="8"/>
        <v>242.30000000000004</v>
      </c>
      <c r="J56" s="1">
        <v>0</v>
      </c>
      <c r="K56" s="1">
        <f t="shared" si="9"/>
        <v>68.400000000000006</v>
      </c>
      <c r="L56" s="1">
        <v>2.2000000000000002</v>
      </c>
      <c r="M56" s="1">
        <f t="shared" si="10"/>
        <v>31.6</v>
      </c>
      <c r="N56" s="8">
        <f t="shared" si="5"/>
        <v>-2.2000000000000002</v>
      </c>
      <c r="O56" s="1">
        <f t="shared" si="6"/>
        <v>36.799999999999997</v>
      </c>
      <c r="P56" s="1">
        <v>17</v>
      </c>
      <c r="Q56" s="1">
        <f t="shared" si="13"/>
        <v>0.43124999999999997</v>
      </c>
      <c r="R56" s="9">
        <f t="shared" si="7"/>
        <v>0.94874999999999998</v>
      </c>
      <c r="S56" s="9">
        <f t="shared" si="3"/>
        <v>-0.94874999999999998</v>
      </c>
      <c r="T56" s="9">
        <f t="shared" si="12"/>
        <v>60.001406249999995</v>
      </c>
      <c r="V56" s="1">
        <v>1026.0999999999999</v>
      </c>
      <c r="W56" s="1">
        <f t="shared" si="4"/>
        <v>77.15037593984961</v>
      </c>
      <c r="X56" s="1">
        <f t="shared" si="11"/>
        <v>15432.099999999999</v>
      </c>
      <c r="AA56" s="1">
        <v>12.3339170667409</v>
      </c>
    </row>
    <row r="57" spans="1:27" s="1" customFormat="1" x14ac:dyDescent="0.25">
      <c r="A57" s="80"/>
      <c r="B57" s="5"/>
      <c r="C57" s="3">
        <v>41538</v>
      </c>
      <c r="D57" s="1">
        <v>13.5</v>
      </c>
      <c r="E57" s="1">
        <v>8</v>
      </c>
      <c r="F57" s="1">
        <v>17</v>
      </c>
      <c r="G57" s="1">
        <f t="shared" si="8"/>
        <v>255.80000000000004</v>
      </c>
      <c r="J57" s="1">
        <v>0.1</v>
      </c>
      <c r="K57" s="1">
        <f t="shared" si="9"/>
        <v>68.5</v>
      </c>
      <c r="L57" s="1">
        <v>1.3</v>
      </c>
      <c r="M57" s="1">
        <f t="shared" si="10"/>
        <v>32.9</v>
      </c>
      <c r="N57" s="8">
        <f t="shared" si="5"/>
        <v>-1.2</v>
      </c>
      <c r="O57" s="1">
        <f t="shared" si="6"/>
        <v>35.599999999999994</v>
      </c>
      <c r="P57" s="1">
        <v>18</v>
      </c>
      <c r="Q57" s="1">
        <f t="shared" si="13"/>
        <v>0.44140625</v>
      </c>
      <c r="R57" s="9">
        <f t="shared" si="7"/>
        <v>0.57382812500000002</v>
      </c>
      <c r="S57" s="9">
        <f t="shared" si="3"/>
        <v>-0.47382812500000004</v>
      </c>
      <c r="T57" s="9">
        <f t="shared" si="12"/>
        <v>59.527578124999998</v>
      </c>
      <c r="V57" s="10">
        <v>757.9</v>
      </c>
      <c r="W57" s="1">
        <f t="shared" si="4"/>
        <v>56.140740740740739</v>
      </c>
      <c r="X57" s="1">
        <f t="shared" si="11"/>
        <v>16189.999999999998</v>
      </c>
      <c r="AA57" s="1">
        <v>12.272775731457299</v>
      </c>
    </row>
    <row r="58" spans="1:27" s="1" customFormat="1" x14ac:dyDescent="0.25">
      <c r="A58" s="80"/>
      <c r="B58" s="5"/>
      <c r="C58" s="3">
        <v>41539</v>
      </c>
      <c r="D58" s="1">
        <v>17</v>
      </c>
      <c r="E58" s="1">
        <v>14.5</v>
      </c>
      <c r="F58" s="1">
        <v>20.3</v>
      </c>
      <c r="G58" s="1">
        <f t="shared" si="8"/>
        <v>272.80000000000007</v>
      </c>
      <c r="J58" s="1">
        <v>0</v>
      </c>
      <c r="K58" s="1">
        <f t="shared" si="9"/>
        <v>68.5</v>
      </c>
      <c r="L58" s="1">
        <v>1.9</v>
      </c>
      <c r="M58" s="1">
        <f t="shared" si="10"/>
        <v>34.799999999999997</v>
      </c>
      <c r="N58" s="8">
        <f t="shared" si="5"/>
        <v>-1.9</v>
      </c>
      <c r="O58" s="1">
        <f t="shared" si="6"/>
        <v>33.699999999999996</v>
      </c>
      <c r="P58" s="1">
        <v>19</v>
      </c>
      <c r="Q58" s="1">
        <f t="shared" si="13"/>
        <v>0.45156249999999998</v>
      </c>
      <c r="R58" s="9">
        <f t="shared" si="7"/>
        <v>0.85796874999999995</v>
      </c>
      <c r="S58" s="9">
        <f t="shared" si="3"/>
        <v>-0.85796874999999995</v>
      </c>
      <c r="T58" s="9">
        <f t="shared" si="12"/>
        <v>58.669609375</v>
      </c>
      <c r="V58" s="10">
        <v>876.7</v>
      </c>
      <c r="W58" s="1">
        <f t="shared" si="4"/>
        <v>51.570588235294117</v>
      </c>
      <c r="X58" s="1">
        <f t="shared" si="11"/>
        <v>17066.699999999997</v>
      </c>
      <c r="AA58" s="1">
        <v>12.2116102162378</v>
      </c>
    </row>
    <row r="59" spans="1:27" s="1" customFormat="1" x14ac:dyDescent="0.25">
      <c r="A59" s="80"/>
      <c r="B59" s="5"/>
      <c r="C59" s="3">
        <v>41540</v>
      </c>
      <c r="D59" s="1">
        <v>15.5</v>
      </c>
      <c r="E59" s="1">
        <v>10.5</v>
      </c>
      <c r="F59" s="1">
        <v>20.8</v>
      </c>
      <c r="G59" s="1">
        <f t="shared" si="8"/>
        <v>288.30000000000007</v>
      </c>
      <c r="J59" s="1">
        <v>0.1</v>
      </c>
      <c r="K59" s="1">
        <f t="shared" si="9"/>
        <v>68.599999999999994</v>
      </c>
      <c r="L59" s="1">
        <v>2.7</v>
      </c>
      <c r="M59" s="1">
        <f t="shared" si="10"/>
        <v>37.5</v>
      </c>
      <c r="N59" s="8">
        <f t="shared" si="5"/>
        <v>-2.6</v>
      </c>
      <c r="O59" s="1">
        <f t="shared" si="6"/>
        <v>31.099999999999994</v>
      </c>
      <c r="P59" s="1">
        <v>20</v>
      </c>
      <c r="Q59" s="1">
        <f t="shared" si="13"/>
        <v>0.46171874999999996</v>
      </c>
      <c r="R59" s="9">
        <f t="shared" si="7"/>
        <v>1.2466406249999999</v>
      </c>
      <c r="S59" s="9">
        <f t="shared" si="3"/>
        <v>-1.1466406249999999</v>
      </c>
      <c r="T59" s="9">
        <f t="shared" si="12"/>
        <v>57.522968750000004</v>
      </c>
      <c r="V59" s="1">
        <v>1456.3</v>
      </c>
      <c r="W59" s="1">
        <f t="shared" si="4"/>
        <v>93.954838709677418</v>
      </c>
      <c r="X59" s="1">
        <f t="shared" si="11"/>
        <v>18522.999999999996</v>
      </c>
      <c r="AA59" s="1">
        <v>12.1504258308271</v>
      </c>
    </row>
    <row r="60" spans="1:27" s="1" customFormat="1" x14ac:dyDescent="0.25">
      <c r="A60" s="80"/>
      <c r="B60" s="5"/>
      <c r="C60" s="3">
        <v>41541</v>
      </c>
      <c r="D60" s="1">
        <v>15.1</v>
      </c>
      <c r="E60" s="1">
        <v>10.6</v>
      </c>
      <c r="F60" s="1">
        <v>21.1</v>
      </c>
      <c r="G60" s="1">
        <f t="shared" si="8"/>
        <v>303.40000000000009</v>
      </c>
      <c r="J60" s="1">
        <v>0.2</v>
      </c>
      <c r="K60" s="1">
        <f t="shared" si="9"/>
        <v>68.8</v>
      </c>
      <c r="L60" s="1">
        <v>2.8</v>
      </c>
      <c r="M60" s="1">
        <f t="shared" si="10"/>
        <v>40.299999999999997</v>
      </c>
      <c r="N60" s="8">
        <f t="shared" si="5"/>
        <v>-2.5999999999999996</v>
      </c>
      <c r="O60" s="1">
        <f t="shared" si="6"/>
        <v>28.499999999999993</v>
      </c>
      <c r="P60" s="1">
        <v>21</v>
      </c>
      <c r="Q60" s="1">
        <f t="shared" si="13"/>
        <v>0.47187499999999999</v>
      </c>
      <c r="R60" s="9">
        <f t="shared" si="7"/>
        <v>1.3212499999999998</v>
      </c>
      <c r="S60" s="9">
        <f t="shared" si="3"/>
        <v>-1.1212499999999999</v>
      </c>
      <c r="T60" s="9">
        <f t="shared" si="12"/>
        <v>56.401718750000001</v>
      </c>
      <c r="V60" s="1">
        <v>1457.4</v>
      </c>
      <c r="W60" s="1">
        <f t="shared" si="4"/>
        <v>96.516556291390742</v>
      </c>
      <c r="X60" s="1">
        <f t="shared" si="11"/>
        <v>19980.399999999998</v>
      </c>
      <c r="AA60" s="1">
        <v>12.0892278984656</v>
      </c>
    </row>
    <row r="61" spans="1:27" s="1" customFormat="1" x14ac:dyDescent="0.25">
      <c r="A61" s="80"/>
      <c r="B61" s="5"/>
      <c r="C61" s="3">
        <v>41542</v>
      </c>
      <c r="D61" s="1">
        <v>15.7</v>
      </c>
      <c r="E61" s="1">
        <v>9.6</v>
      </c>
      <c r="F61" s="1">
        <v>21.5</v>
      </c>
      <c r="G61" s="1">
        <f t="shared" si="8"/>
        <v>319.10000000000008</v>
      </c>
      <c r="J61" s="1">
        <v>1.2</v>
      </c>
      <c r="K61" s="1">
        <f t="shared" si="9"/>
        <v>70</v>
      </c>
      <c r="L61" s="1">
        <v>2.1</v>
      </c>
      <c r="M61" s="1">
        <f t="shared" si="10"/>
        <v>42.4</v>
      </c>
      <c r="N61" s="8">
        <f t="shared" si="5"/>
        <v>-0.90000000000000013</v>
      </c>
      <c r="O61" s="1">
        <f t="shared" si="6"/>
        <v>27.599999999999994</v>
      </c>
      <c r="P61" s="1">
        <v>22</v>
      </c>
      <c r="Q61" s="1">
        <f t="shared" si="13"/>
        <v>0.48203125000000002</v>
      </c>
      <c r="R61" s="9">
        <f t="shared" si="7"/>
        <v>1.0122656250000002</v>
      </c>
      <c r="S61" s="9">
        <f t="shared" si="3"/>
        <v>0.18773437499999979</v>
      </c>
      <c r="T61" s="9">
        <f t="shared" si="12"/>
        <v>56.589453124999999</v>
      </c>
      <c r="V61" s="1">
        <v>1090.3</v>
      </c>
      <c r="W61" s="1">
        <f t="shared" si="4"/>
        <v>69.445859872611464</v>
      </c>
      <c r="X61" s="1">
        <f t="shared" si="11"/>
        <v>21070.699999999997</v>
      </c>
      <c r="AA61" s="1">
        <v>12.028021773495899</v>
      </c>
    </row>
    <row r="62" spans="1:27" s="1" customFormat="1" x14ac:dyDescent="0.25">
      <c r="A62" s="80"/>
      <c r="B62" s="5"/>
      <c r="C62" s="3">
        <v>41543</v>
      </c>
      <c r="D62" s="1">
        <v>15.2</v>
      </c>
      <c r="E62" s="1">
        <v>13.4</v>
      </c>
      <c r="F62" s="1">
        <v>18.8</v>
      </c>
      <c r="G62" s="1">
        <f t="shared" si="8"/>
        <v>334.30000000000007</v>
      </c>
      <c r="J62" s="1">
        <v>0.1</v>
      </c>
      <c r="K62" s="1">
        <f t="shared" si="9"/>
        <v>70.099999999999994</v>
      </c>
      <c r="L62" s="1">
        <v>1.4</v>
      </c>
      <c r="M62" s="1">
        <f t="shared" si="10"/>
        <v>43.8</v>
      </c>
      <c r="N62" s="8">
        <f t="shared" si="5"/>
        <v>-1.2999999999999998</v>
      </c>
      <c r="O62" s="1">
        <f t="shared" si="6"/>
        <v>26.299999999999994</v>
      </c>
      <c r="P62" s="1">
        <v>23</v>
      </c>
      <c r="Q62" s="1">
        <f t="shared" si="13"/>
        <v>0.4921875</v>
      </c>
      <c r="R62" s="9">
        <f t="shared" si="7"/>
        <v>0.68906249999999991</v>
      </c>
      <c r="S62" s="9">
        <f t="shared" si="3"/>
        <v>-0.58906249999999993</v>
      </c>
      <c r="T62" s="9">
        <f t="shared" si="12"/>
        <v>56.000390625000001</v>
      </c>
      <c r="V62" s="10">
        <v>646.79999999999995</v>
      </c>
      <c r="W62" s="1">
        <f t="shared" si="4"/>
        <v>42.55263157894737</v>
      </c>
      <c r="X62" s="1">
        <f t="shared" si="11"/>
        <v>21717.499999999996</v>
      </c>
      <c r="AA62" s="1">
        <v>11.9668128590714</v>
      </c>
    </row>
    <row r="63" spans="1:27" s="1" customFormat="1" x14ac:dyDescent="0.25">
      <c r="A63" s="80"/>
      <c r="B63" s="5"/>
      <c r="C63" s="3">
        <v>41544</v>
      </c>
      <c r="D63" s="1">
        <v>13.4</v>
      </c>
      <c r="E63" s="1">
        <v>9.1999999999999993</v>
      </c>
      <c r="F63" s="1">
        <v>17.2</v>
      </c>
      <c r="G63" s="1">
        <f t="shared" si="8"/>
        <v>347.70000000000005</v>
      </c>
      <c r="J63" s="1">
        <v>0.2</v>
      </c>
      <c r="K63" s="1">
        <f t="shared" si="9"/>
        <v>70.3</v>
      </c>
      <c r="L63" s="1">
        <v>1.8</v>
      </c>
      <c r="M63" s="1">
        <f t="shared" si="10"/>
        <v>45.599999999999994</v>
      </c>
      <c r="N63" s="8">
        <f t="shared" si="5"/>
        <v>-1.6</v>
      </c>
      <c r="O63" s="1">
        <f t="shared" si="6"/>
        <v>24.699999999999992</v>
      </c>
      <c r="P63" s="1">
        <v>24</v>
      </c>
      <c r="Q63" s="1">
        <f t="shared" si="13"/>
        <v>0.50234374999999998</v>
      </c>
      <c r="R63" s="9">
        <f t="shared" si="7"/>
        <v>0.90421874999999996</v>
      </c>
      <c r="S63" s="9">
        <f t="shared" si="3"/>
        <v>-0.70421874999999989</v>
      </c>
      <c r="T63" s="9">
        <f t="shared" si="12"/>
        <v>55.296171874999999</v>
      </c>
      <c r="V63" s="1">
        <v>1179.7</v>
      </c>
      <c r="W63" s="1">
        <f t="shared" si="4"/>
        <v>88.037313432835816</v>
      </c>
      <c r="X63" s="1">
        <f t="shared" si="11"/>
        <v>22897.199999999997</v>
      </c>
      <c r="AA63" s="1">
        <v>11.9056066249754</v>
      </c>
    </row>
    <row r="64" spans="1:27" s="1" customFormat="1" x14ac:dyDescent="0.25">
      <c r="A64" s="80"/>
      <c r="B64" s="5"/>
      <c r="C64" s="3">
        <v>41545</v>
      </c>
      <c r="D64" s="1">
        <v>16</v>
      </c>
      <c r="E64" s="1">
        <v>12.4</v>
      </c>
      <c r="F64" s="1">
        <v>19.7</v>
      </c>
      <c r="G64" s="1">
        <f t="shared" si="8"/>
        <v>363.70000000000005</v>
      </c>
      <c r="J64" s="1">
        <v>0</v>
      </c>
      <c r="K64" s="1">
        <f t="shared" si="9"/>
        <v>70.3</v>
      </c>
      <c r="L64" s="1">
        <v>1.4</v>
      </c>
      <c r="M64" s="1">
        <f t="shared" si="10"/>
        <v>46.999999999999993</v>
      </c>
      <c r="N64" s="8">
        <f t="shared" si="5"/>
        <v>-1.4</v>
      </c>
      <c r="O64" s="1">
        <f t="shared" si="6"/>
        <v>23.299999999999994</v>
      </c>
      <c r="P64" s="1">
        <v>25</v>
      </c>
      <c r="Q64" s="1">
        <f t="shared" si="13"/>
        <v>0.51249999999999996</v>
      </c>
      <c r="R64" s="9">
        <f t="shared" si="7"/>
        <v>0.71749999999999992</v>
      </c>
      <c r="S64" s="9">
        <f t="shared" si="3"/>
        <v>-0.71749999999999992</v>
      </c>
      <c r="T64" s="9">
        <f t="shared" si="12"/>
        <v>54.578671874999998</v>
      </c>
      <c r="V64" s="10">
        <v>543</v>
      </c>
      <c r="W64" s="1">
        <f t="shared" si="4"/>
        <v>33.9375</v>
      </c>
      <c r="X64" s="1">
        <f t="shared" si="11"/>
        <v>23440.199999999997</v>
      </c>
      <c r="AA64" s="1">
        <v>11.8444086255583</v>
      </c>
    </row>
    <row r="65" spans="1:27" s="1" customFormat="1" x14ac:dyDescent="0.25">
      <c r="A65" s="80"/>
      <c r="B65" s="5"/>
      <c r="C65" s="3">
        <v>41546</v>
      </c>
      <c r="D65" s="1">
        <v>16.3</v>
      </c>
      <c r="E65" s="1">
        <v>13.6</v>
      </c>
      <c r="F65" s="1">
        <v>20.100000000000001</v>
      </c>
      <c r="G65" s="1">
        <f t="shared" si="8"/>
        <v>380.00000000000006</v>
      </c>
      <c r="J65" s="1">
        <v>0</v>
      </c>
      <c r="K65" s="1">
        <f t="shared" si="9"/>
        <v>70.3</v>
      </c>
      <c r="L65" s="1">
        <v>2.1</v>
      </c>
      <c r="M65" s="1">
        <f t="shared" si="10"/>
        <v>49.099999999999994</v>
      </c>
      <c r="N65" s="8">
        <f t="shared" si="5"/>
        <v>-2.1</v>
      </c>
      <c r="O65" s="1">
        <f t="shared" si="6"/>
        <v>21.199999999999992</v>
      </c>
      <c r="P65" s="1">
        <v>26</v>
      </c>
      <c r="Q65" s="1">
        <f t="shared" si="13"/>
        <v>0.52265625000000004</v>
      </c>
      <c r="R65" s="9">
        <f t="shared" si="7"/>
        <v>1.0975781250000001</v>
      </c>
      <c r="S65" s="9">
        <f t="shared" si="3"/>
        <v>-1.0975781250000001</v>
      </c>
      <c r="T65" s="9">
        <f t="shared" si="12"/>
        <v>53.481093749999999</v>
      </c>
      <c r="V65" s="1">
        <v>1065.2</v>
      </c>
      <c r="W65" s="1">
        <f t="shared" si="4"/>
        <v>65.349693251533736</v>
      </c>
      <c r="X65" s="1">
        <f t="shared" si="11"/>
        <v>24505.399999999998</v>
      </c>
      <c r="AA65" s="1">
        <v>11.7832245178004</v>
      </c>
    </row>
    <row r="66" spans="1:27" s="1" customFormat="1" x14ac:dyDescent="0.25">
      <c r="A66" s="80"/>
      <c r="B66" s="5"/>
      <c r="C66" s="3">
        <v>41547</v>
      </c>
      <c r="D66" s="1">
        <v>14.2</v>
      </c>
      <c r="E66" s="1">
        <v>10.7</v>
      </c>
      <c r="F66" s="1">
        <v>18.399999999999999</v>
      </c>
      <c r="G66" s="1">
        <f t="shared" si="8"/>
        <v>394.20000000000005</v>
      </c>
      <c r="J66" s="1">
        <v>0</v>
      </c>
      <c r="K66" s="1">
        <f t="shared" si="9"/>
        <v>70.3</v>
      </c>
      <c r="L66" s="1">
        <v>2.2999999999999998</v>
      </c>
      <c r="M66" s="1">
        <f t="shared" si="10"/>
        <v>51.399999999999991</v>
      </c>
      <c r="N66" s="8">
        <f t="shared" si="5"/>
        <v>-2.2999999999999998</v>
      </c>
      <c r="O66" s="1">
        <f t="shared" si="6"/>
        <v>18.899999999999991</v>
      </c>
      <c r="P66" s="1">
        <v>27</v>
      </c>
      <c r="Q66" s="1">
        <f t="shared" si="13"/>
        <v>0.53281250000000002</v>
      </c>
      <c r="R66" s="9">
        <f t="shared" si="7"/>
        <v>1.2254687499999999</v>
      </c>
      <c r="S66" s="9">
        <f t="shared" si="3"/>
        <v>-1.2254687499999999</v>
      </c>
      <c r="T66" s="9">
        <f t="shared" si="12"/>
        <v>52.255625000000002</v>
      </c>
      <c r="V66" s="1">
        <v>1130.5</v>
      </c>
      <c r="W66" s="1">
        <f t="shared" si="4"/>
        <v>79.612676056338032</v>
      </c>
      <c r="X66" s="1">
        <f t="shared" si="11"/>
        <v>25635.899999999998</v>
      </c>
      <c r="AA66" s="1">
        <v>11.7220600795062</v>
      </c>
    </row>
    <row r="67" spans="1:27" s="1" customFormat="1" x14ac:dyDescent="0.25">
      <c r="A67" s="80"/>
      <c r="B67" s="5"/>
      <c r="C67" s="3">
        <v>41548</v>
      </c>
      <c r="D67" s="1">
        <v>13.4</v>
      </c>
      <c r="E67" s="1">
        <v>11.9</v>
      </c>
      <c r="F67" s="1">
        <v>15.8</v>
      </c>
      <c r="G67" s="1">
        <f t="shared" si="8"/>
        <v>407.6</v>
      </c>
      <c r="J67" s="1">
        <v>0</v>
      </c>
      <c r="K67" s="1">
        <f t="shared" si="9"/>
        <v>70.3</v>
      </c>
      <c r="L67" s="1">
        <v>1.9</v>
      </c>
      <c r="M67" s="1">
        <f t="shared" si="10"/>
        <v>53.29999999999999</v>
      </c>
      <c r="N67" s="8">
        <f t="shared" si="5"/>
        <v>-1.9</v>
      </c>
      <c r="O67" s="1">
        <f t="shared" si="6"/>
        <v>16.999999999999993</v>
      </c>
      <c r="P67" s="1">
        <v>28</v>
      </c>
      <c r="Q67" s="1">
        <f t="shared" si="13"/>
        <v>0.54296875</v>
      </c>
      <c r="R67" s="9">
        <f t="shared" si="7"/>
        <v>1.0316406249999999</v>
      </c>
      <c r="S67" s="9">
        <f t="shared" si="3"/>
        <v>-1.0316406249999999</v>
      </c>
      <c r="T67" s="9">
        <f t="shared" si="12"/>
        <v>51.223984375000001</v>
      </c>
      <c r="V67" s="1">
        <v>1008</v>
      </c>
      <c r="W67" s="1">
        <f t="shared" si="4"/>
        <v>75.223880597014926</v>
      </c>
      <c r="X67" s="1">
        <f t="shared" si="11"/>
        <v>26643.899999999998</v>
      </c>
      <c r="AA67" s="1">
        <v>11.6609212276372</v>
      </c>
    </row>
    <row r="68" spans="1:27" s="1" customFormat="1" x14ac:dyDescent="0.25">
      <c r="A68" s="80"/>
      <c r="B68" s="5"/>
      <c r="C68" s="3">
        <v>41549</v>
      </c>
      <c r="D68" s="1">
        <v>14.8</v>
      </c>
      <c r="E68" s="1">
        <v>9.9</v>
      </c>
      <c r="F68" s="1">
        <v>18.8</v>
      </c>
      <c r="G68" s="1">
        <f t="shared" si="8"/>
        <v>422.40000000000003</v>
      </c>
      <c r="J68" s="1">
        <v>0</v>
      </c>
      <c r="K68" s="1">
        <f t="shared" si="9"/>
        <v>70.3</v>
      </c>
      <c r="L68" s="1">
        <v>1.8</v>
      </c>
      <c r="M68" s="1">
        <f t="shared" si="10"/>
        <v>55.099999999999987</v>
      </c>
      <c r="N68" s="8">
        <f t="shared" si="5"/>
        <v>-1.8</v>
      </c>
      <c r="O68" s="1">
        <f t="shared" si="6"/>
        <v>15.199999999999992</v>
      </c>
      <c r="P68" s="1">
        <v>29</v>
      </c>
      <c r="Q68" s="1">
        <f t="shared" si="13"/>
        <v>0.55312499999999998</v>
      </c>
      <c r="R68" s="9">
        <f t="shared" si="7"/>
        <v>0.99562499999999998</v>
      </c>
      <c r="S68" s="9">
        <f t="shared" si="3"/>
        <v>-0.99562499999999998</v>
      </c>
      <c r="T68" s="9">
        <f t="shared" si="12"/>
        <v>50.228359375000004</v>
      </c>
      <c r="V68" s="1">
        <v>1016.1</v>
      </c>
      <c r="W68" s="1">
        <f t="shared" si="4"/>
        <v>68.655405405405403</v>
      </c>
      <c r="X68" s="1">
        <f t="shared" si="11"/>
        <v>27659.999999999996</v>
      </c>
      <c r="AA68" s="1">
        <v>11.599814036787199</v>
      </c>
    </row>
    <row r="69" spans="1:27" s="1" customFormat="1" x14ac:dyDescent="0.25">
      <c r="A69" s="80"/>
      <c r="B69" s="5"/>
      <c r="C69" s="3">
        <v>41550</v>
      </c>
      <c r="D69" s="1">
        <v>15.5</v>
      </c>
      <c r="E69" s="1">
        <v>10.4</v>
      </c>
      <c r="F69" s="1">
        <v>18</v>
      </c>
      <c r="G69" s="1">
        <f t="shared" si="8"/>
        <v>437.90000000000003</v>
      </c>
      <c r="J69" s="1">
        <v>3.8</v>
      </c>
      <c r="K69" s="1">
        <f t="shared" si="9"/>
        <v>74.099999999999994</v>
      </c>
      <c r="L69" s="1">
        <v>1.1000000000000001</v>
      </c>
      <c r="M69" s="1">
        <f t="shared" si="10"/>
        <v>56.199999999999989</v>
      </c>
      <c r="N69" s="1">
        <f t="shared" si="5"/>
        <v>2.6999999999999997</v>
      </c>
      <c r="O69" s="1">
        <f t="shared" si="6"/>
        <v>17.899999999999991</v>
      </c>
      <c r="P69" s="1">
        <v>30</v>
      </c>
      <c r="Q69" s="1">
        <f t="shared" si="13"/>
        <v>0.56328124999999996</v>
      </c>
      <c r="R69" s="9">
        <f t="shared" si="7"/>
        <v>0.61960937500000002</v>
      </c>
      <c r="S69" s="9">
        <f t="shared" si="3"/>
        <v>3.1803906249999998</v>
      </c>
      <c r="T69" s="9">
        <f t="shared" si="12"/>
        <v>53.408750000000005</v>
      </c>
      <c r="V69" s="10">
        <v>669.3</v>
      </c>
      <c r="W69" s="1">
        <f t="shared" si="4"/>
        <v>43.180645161290322</v>
      </c>
      <c r="X69" s="1">
        <f t="shared" si="11"/>
        <v>28329.299999999996</v>
      </c>
      <c r="AA69" s="1">
        <v>11.538744757803499</v>
      </c>
    </row>
    <row r="70" spans="1:27" s="1" customFormat="1" x14ac:dyDescent="0.25">
      <c r="A70" s="80"/>
      <c r="B70" s="5"/>
      <c r="C70" s="3">
        <v>41551</v>
      </c>
      <c r="D70" s="1">
        <v>17.2</v>
      </c>
      <c r="E70" s="1">
        <v>16.7</v>
      </c>
      <c r="F70" s="1">
        <v>19.8</v>
      </c>
      <c r="G70" s="1">
        <f t="shared" si="8"/>
        <v>455.1</v>
      </c>
      <c r="J70" s="1">
        <v>0</v>
      </c>
      <c r="K70" s="1">
        <f t="shared" si="9"/>
        <v>74.099999999999994</v>
      </c>
      <c r="L70" s="1">
        <v>1.8</v>
      </c>
      <c r="M70" s="1">
        <f t="shared" si="10"/>
        <v>57.999999999999986</v>
      </c>
      <c r="N70" s="8">
        <f t="shared" si="5"/>
        <v>-1.8</v>
      </c>
      <c r="O70" s="1">
        <f t="shared" si="6"/>
        <v>16.099999999999991</v>
      </c>
      <c r="P70" s="1">
        <v>31</v>
      </c>
      <c r="Q70" s="1">
        <f t="shared" si="13"/>
        <v>0.57343750000000004</v>
      </c>
      <c r="R70" s="9">
        <f t="shared" si="7"/>
        <v>1.0321875</v>
      </c>
      <c r="S70" s="9">
        <f t="shared" si="3"/>
        <v>-1.0321875</v>
      </c>
      <c r="T70" s="9">
        <f t="shared" si="12"/>
        <v>52.376562500000006</v>
      </c>
      <c r="V70" s="10">
        <v>612.6</v>
      </c>
      <c r="W70" s="1">
        <f t="shared" si="4"/>
        <v>35.616279069767444</v>
      </c>
      <c r="X70" s="1">
        <f t="shared" si="11"/>
        <v>28941.899999999994</v>
      </c>
      <c r="AA70" s="1">
        <v>11.477719836557</v>
      </c>
    </row>
    <row r="71" spans="1:27" s="1" customFormat="1" x14ac:dyDescent="0.25">
      <c r="A71" s="80"/>
      <c r="B71" s="5"/>
      <c r="C71" s="3">
        <v>41552</v>
      </c>
      <c r="D71" s="1">
        <v>15.1</v>
      </c>
      <c r="E71" s="1">
        <v>13.3</v>
      </c>
      <c r="F71" s="1">
        <v>18.399999999999999</v>
      </c>
      <c r="G71" s="1">
        <f t="shared" si="8"/>
        <v>470.20000000000005</v>
      </c>
      <c r="J71" s="1">
        <v>0.3</v>
      </c>
      <c r="K71" s="1">
        <f t="shared" si="9"/>
        <v>74.399999999999991</v>
      </c>
      <c r="L71" s="1">
        <v>1.3</v>
      </c>
      <c r="M71" s="1">
        <f t="shared" si="10"/>
        <v>59.299999999999983</v>
      </c>
      <c r="N71" s="8">
        <f t="shared" si="5"/>
        <v>-1</v>
      </c>
      <c r="O71" s="1">
        <f t="shared" si="6"/>
        <v>15.099999999999991</v>
      </c>
      <c r="P71" s="1">
        <v>32</v>
      </c>
      <c r="Q71" s="1">
        <f t="shared" si="13"/>
        <v>0.58359375000000002</v>
      </c>
      <c r="R71" s="9">
        <f t="shared" si="7"/>
        <v>0.75867187500000011</v>
      </c>
      <c r="S71" s="9">
        <f t="shared" si="3"/>
        <v>-0.45867187500000012</v>
      </c>
      <c r="T71" s="9">
        <f t="shared" si="12"/>
        <v>51.917890625000005</v>
      </c>
      <c r="V71" s="10">
        <v>737.3</v>
      </c>
      <c r="W71" s="1">
        <f t="shared" si="4"/>
        <v>48.827814569536422</v>
      </c>
      <c r="X71" s="1">
        <f t="shared" si="11"/>
        <v>29679.199999999993</v>
      </c>
      <c r="AA71" s="1">
        <v>11.4167459328616</v>
      </c>
    </row>
    <row r="72" spans="1:27" s="1" customFormat="1" x14ac:dyDescent="0.25">
      <c r="A72" s="80"/>
      <c r="B72" s="5"/>
      <c r="C72" s="3">
        <v>41553</v>
      </c>
      <c r="D72" s="1">
        <v>13.9</v>
      </c>
      <c r="E72" s="1">
        <v>11.8</v>
      </c>
      <c r="F72" s="1">
        <v>18.600000000000001</v>
      </c>
      <c r="G72" s="1">
        <f t="shared" si="8"/>
        <v>484.1</v>
      </c>
      <c r="J72" s="1">
        <v>0</v>
      </c>
      <c r="K72" s="1">
        <f t="shared" si="9"/>
        <v>74.399999999999991</v>
      </c>
      <c r="L72" s="1">
        <v>1.8</v>
      </c>
      <c r="M72" s="1">
        <f t="shared" si="10"/>
        <v>61.09999999999998</v>
      </c>
      <c r="N72" s="8">
        <f t="shared" si="5"/>
        <v>-1.8</v>
      </c>
      <c r="O72" s="1">
        <f t="shared" si="6"/>
        <v>13.29999999999999</v>
      </c>
      <c r="P72" s="1">
        <v>33</v>
      </c>
      <c r="Q72" s="1">
        <f t="shared" si="13"/>
        <v>0.59375</v>
      </c>
      <c r="R72" s="9">
        <f t="shared" si="7"/>
        <v>1.0687500000000001</v>
      </c>
      <c r="S72" s="9">
        <f t="shared" si="3"/>
        <v>-1.0687500000000001</v>
      </c>
      <c r="T72" s="9">
        <f t="shared" si="12"/>
        <v>50.849140625000004</v>
      </c>
      <c r="V72" s="10">
        <v>829.3</v>
      </c>
      <c r="W72" s="1">
        <f t="shared" si="4"/>
        <v>59.661870503597115</v>
      </c>
      <c r="X72" s="1">
        <f t="shared" si="11"/>
        <v>30508.499999999993</v>
      </c>
      <c r="AA72" s="1">
        <v>11.355829939541399</v>
      </c>
    </row>
    <row r="73" spans="1:27" s="1" customFormat="1" x14ac:dyDescent="0.25">
      <c r="A73" s="80"/>
      <c r="B73" s="5"/>
      <c r="C73" s="3">
        <v>41554</v>
      </c>
      <c r="D73" s="1">
        <v>12.7</v>
      </c>
      <c r="E73" s="1">
        <v>7.2</v>
      </c>
      <c r="F73" s="1">
        <v>18.5</v>
      </c>
      <c r="G73" s="1">
        <f t="shared" si="8"/>
        <v>496.8</v>
      </c>
      <c r="J73" s="1">
        <v>0</v>
      </c>
      <c r="K73" s="1">
        <f t="shared" si="9"/>
        <v>74.399999999999991</v>
      </c>
      <c r="L73" s="1">
        <v>2.1</v>
      </c>
      <c r="M73" s="1">
        <f t="shared" si="10"/>
        <v>63.199999999999982</v>
      </c>
      <c r="N73" s="8">
        <f t="shared" si="5"/>
        <v>-2.1</v>
      </c>
      <c r="O73" s="1">
        <f t="shared" si="6"/>
        <v>11.19999999999999</v>
      </c>
      <c r="P73" s="1">
        <v>34</v>
      </c>
      <c r="Q73" s="1">
        <f t="shared" si="13"/>
        <v>0.60390624999999998</v>
      </c>
      <c r="R73" s="9">
        <f t="shared" si="7"/>
        <v>1.2682031250000001</v>
      </c>
      <c r="S73" s="9">
        <f t="shared" si="3"/>
        <v>-1.2682031250000001</v>
      </c>
      <c r="T73" s="9">
        <f t="shared" si="12"/>
        <v>49.580937500000005</v>
      </c>
      <c r="V73" s="1">
        <v>1066.7</v>
      </c>
      <c r="W73" s="1">
        <f t="shared" si="4"/>
        <v>83.99212598425197</v>
      </c>
      <c r="X73" s="1">
        <f t="shared" si="11"/>
        <v>31575.199999999993</v>
      </c>
      <c r="AA73" s="1">
        <v>11.2949790016434</v>
      </c>
    </row>
    <row r="74" spans="1:27" s="1" customFormat="1" x14ac:dyDescent="0.25">
      <c r="A74" s="80"/>
      <c r="B74" s="5"/>
      <c r="C74" s="3">
        <v>41555</v>
      </c>
      <c r="D74" s="1">
        <v>13.3</v>
      </c>
      <c r="E74" s="1">
        <v>8.9</v>
      </c>
      <c r="F74" s="1">
        <v>17.3</v>
      </c>
      <c r="G74" s="1">
        <f t="shared" si="8"/>
        <v>510.1</v>
      </c>
      <c r="J74" s="1">
        <v>2.1</v>
      </c>
      <c r="K74" s="1">
        <f t="shared" si="9"/>
        <v>76.499999999999986</v>
      </c>
      <c r="L74" s="1">
        <v>1.2</v>
      </c>
      <c r="M74" s="1">
        <f t="shared" si="10"/>
        <v>64.399999999999977</v>
      </c>
      <c r="N74" s="1">
        <f t="shared" si="5"/>
        <v>0.90000000000000013</v>
      </c>
      <c r="O74" s="1">
        <f t="shared" si="6"/>
        <v>12.099999999999991</v>
      </c>
      <c r="P74" s="1">
        <v>35</v>
      </c>
      <c r="Q74" s="1">
        <f t="shared" si="13"/>
        <v>0.61406249999999996</v>
      </c>
      <c r="R74" s="9">
        <f t="shared" si="7"/>
        <v>0.73687499999999995</v>
      </c>
      <c r="S74" s="9">
        <f t="shared" si="3"/>
        <v>1.3631250000000001</v>
      </c>
      <c r="T74" s="9">
        <f t="shared" si="12"/>
        <v>50.944062500000001</v>
      </c>
      <c r="V74" s="10">
        <v>518.6</v>
      </c>
      <c r="W74" s="1">
        <f t="shared" si="4"/>
        <v>38.992481203007522</v>
      </c>
      <c r="X74" s="1">
        <f t="shared" si="11"/>
        <v>32093.799999999992</v>
      </c>
      <c r="AA74" s="1">
        <v>11.2342005357897</v>
      </c>
    </row>
    <row r="75" spans="1:27" s="1" customFormat="1" x14ac:dyDescent="0.25">
      <c r="A75" s="80"/>
      <c r="B75" s="5"/>
      <c r="C75" s="3">
        <v>41556</v>
      </c>
      <c r="D75" s="1">
        <v>13.5</v>
      </c>
      <c r="E75" s="1">
        <v>11.3</v>
      </c>
      <c r="F75" s="1">
        <v>16</v>
      </c>
      <c r="G75" s="1">
        <f t="shared" si="8"/>
        <v>523.6</v>
      </c>
      <c r="J75" s="1">
        <v>2.1</v>
      </c>
      <c r="K75" s="1">
        <f t="shared" si="9"/>
        <v>78.59999999999998</v>
      </c>
      <c r="L75" s="1">
        <v>0.9</v>
      </c>
      <c r="M75" s="1">
        <f t="shared" si="10"/>
        <v>65.299999999999983</v>
      </c>
      <c r="N75" s="1">
        <f t="shared" si="5"/>
        <v>1.2000000000000002</v>
      </c>
      <c r="O75" s="1">
        <f t="shared" si="6"/>
        <v>13.29999999999999</v>
      </c>
      <c r="P75" s="1">
        <v>36</v>
      </c>
      <c r="Q75" s="1">
        <f t="shared" si="13"/>
        <v>0.62421875000000004</v>
      </c>
      <c r="R75" s="9">
        <f t="shared" si="7"/>
        <v>0.56179687500000008</v>
      </c>
      <c r="S75" s="9">
        <f t="shared" si="3"/>
        <v>1.5382031249999999</v>
      </c>
      <c r="T75" s="9">
        <f t="shared" si="12"/>
        <v>52.482265625000004</v>
      </c>
      <c r="V75" s="10">
        <v>406.2</v>
      </c>
      <c r="W75" s="1">
        <f t="shared" si="4"/>
        <v>30.088888888888889</v>
      </c>
      <c r="X75" s="1">
        <f t="shared" si="11"/>
        <v>32499.999999999993</v>
      </c>
      <c r="AA75" s="1">
        <v>11.173502249662</v>
      </c>
    </row>
    <row r="76" spans="1:27" s="1" customFormat="1" x14ac:dyDescent="0.25">
      <c r="A76" s="80"/>
      <c r="B76" s="5"/>
      <c r="C76" s="3">
        <v>41557</v>
      </c>
      <c r="D76" s="1">
        <v>8.4</v>
      </c>
      <c r="E76" s="1">
        <v>6.1</v>
      </c>
      <c r="F76" s="1">
        <v>9.3000000000000007</v>
      </c>
      <c r="G76" s="1">
        <f t="shared" si="8"/>
        <v>532</v>
      </c>
      <c r="J76" s="1">
        <v>20.5</v>
      </c>
      <c r="K76" s="1">
        <f t="shared" si="9"/>
        <v>99.09999999999998</v>
      </c>
      <c r="L76" s="1">
        <v>0.7</v>
      </c>
      <c r="M76" s="1">
        <f t="shared" si="10"/>
        <v>65.999999999999986</v>
      </c>
      <c r="N76" s="1">
        <f t="shared" si="5"/>
        <v>19.8</v>
      </c>
      <c r="O76" s="1">
        <f t="shared" si="6"/>
        <v>33.099999999999994</v>
      </c>
      <c r="P76" s="1">
        <v>37</v>
      </c>
      <c r="Q76" s="1">
        <f t="shared" si="13"/>
        <v>0.63437499999999991</v>
      </c>
      <c r="R76" s="9">
        <f t="shared" si="7"/>
        <v>0.44406249999999992</v>
      </c>
      <c r="S76" s="9">
        <f t="shared" si="3"/>
        <v>20.055937499999999</v>
      </c>
      <c r="T76" s="9">
        <f t="shared" si="12"/>
        <v>72.538203124999995</v>
      </c>
      <c r="V76" s="10">
        <v>350.2</v>
      </c>
      <c r="W76" s="1">
        <f t="shared" si="4"/>
        <v>41.69047619047619</v>
      </c>
      <c r="X76" s="1">
        <f t="shared" si="11"/>
        <v>32850.19999999999</v>
      </c>
      <c r="AA76" s="1">
        <v>11.112892161608199</v>
      </c>
    </row>
    <row r="77" spans="1:27" s="1" customFormat="1" x14ac:dyDescent="0.25">
      <c r="A77" s="80"/>
      <c r="B77" s="5"/>
      <c r="C77" s="3">
        <v>41558</v>
      </c>
      <c r="D77" s="1">
        <v>8.5</v>
      </c>
      <c r="E77" s="1">
        <v>7.7</v>
      </c>
      <c r="F77" s="1">
        <v>9.5</v>
      </c>
      <c r="G77" s="1">
        <f t="shared" si="8"/>
        <v>540.5</v>
      </c>
      <c r="J77" s="1">
        <v>1.1000000000000001</v>
      </c>
      <c r="K77" s="1">
        <f t="shared" si="9"/>
        <v>100.19999999999997</v>
      </c>
      <c r="L77" s="1">
        <v>1.1000000000000001</v>
      </c>
      <c r="M77" s="1">
        <f t="shared" si="10"/>
        <v>67.09999999999998</v>
      </c>
      <c r="N77" s="1">
        <f t="shared" si="5"/>
        <v>0</v>
      </c>
      <c r="O77" s="1">
        <f t="shared" si="6"/>
        <v>33.099999999999994</v>
      </c>
      <c r="P77" s="1">
        <v>38</v>
      </c>
      <c r="Q77" s="1">
        <f t="shared" si="13"/>
        <v>0.64453125</v>
      </c>
      <c r="R77" s="9">
        <f t="shared" si="7"/>
        <v>0.70898437500000011</v>
      </c>
      <c r="S77" s="9">
        <f t="shared" si="3"/>
        <v>0.39101562499999998</v>
      </c>
      <c r="T77" s="9">
        <f t="shared" si="12"/>
        <v>72.92921874999999</v>
      </c>
      <c r="V77" s="10">
        <v>724.3</v>
      </c>
      <c r="W77" s="1">
        <f t="shared" si="4"/>
        <v>85.211764705882345</v>
      </c>
      <c r="X77" s="1">
        <f t="shared" si="11"/>
        <v>33574.499999999993</v>
      </c>
      <c r="AA77" s="1">
        <v>11.0523786203561</v>
      </c>
    </row>
    <row r="78" spans="1:27" s="1" customFormat="1" x14ac:dyDescent="0.25">
      <c r="A78" s="80"/>
      <c r="B78" s="5"/>
      <c r="C78" s="3">
        <v>41559</v>
      </c>
      <c r="D78" s="1">
        <v>7.5</v>
      </c>
      <c r="E78" s="1">
        <v>6.7</v>
      </c>
      <c r="F78" s="1">
        <v>9.6999999999999993</v>
      </c>
      <c r="G78" s="1">
        <f t="shared" si="8"/>
        <v>548</v>
      </c>
      <c r="J78" s="1">
        <v>0</v>
      </c>
      <c r="K78" s="1">
        <f t="shared" si="9"/>
        <v>100.19999999999997</v>
      </c>
      <c r="L78" s="1">
        <v>0.9</v>
      </c>
      <c r="M78" s="1">
        <f t="shared" si="10"/>
        <v>67.999999999999986</v>
      </c>
      <c r="N78" s="8">
        <f t="shared" si="5"/>
        <v>-0.9</v>
      </c>
      <c r="O78" s="1">
        <f t="shared" si="6"/>
        <v>32.199999999999996</v>
      </c>
      <c r="P78" s="1">
        <v>39</v>
      </c>
      <c r="Q78" s="1">
        <f t="shared" si="13"/>
        <v>0.65468749999999998</v>
      </c>
      <c r="R78" s="9">
        <f t="shared" si="7"/>
        <v>0.58921875000000001</v>
      </c>
      <c r="S78" s="9">
        <f t="shared" si="3"/>
        <v>-0.58921875000000001</v>
      </c>
      <c r="T78" s="9">
        <f t="shared" si="12"/>
        <v>72.339999999999989</v>
      </c>
      <c r="V78" s="10">
        <v>585.20000000000005</v>
      </c>
      <c r="W78" s="1">
        <f t="shared" si="4"/>
        <v>78.026666666666671</v>
      </c>
      <c r="X78" s="1">
        <f t="shared" si="11"/>
        <v>34159.69999999999</v>
      </c>
      <c r="AA78" s="1">
        <v>10.9919703248208</v>
      </c>
    </row>
    <row r="79" spans="1:27" s="1" customFormat="1" x14ac:dyDescent="0.25">
      <c r="A79" s="80"/>
      <c r="B79" s="5"/>
      <c r="C79" s="3">
        <v>41560</v>
      </c>
      <c r="D79" s="1">
        <v>8.4</v>
      </c>
      <c r="E79" s="1">
        <v>5.6</v>
      </c>
      <c r="F79" s="1">
        <v>9.8000000000000007</v>
      </c>
      <c r="G79" s="1">
        <f t="shared" si="8"/>
        <v>556.4</v>
      </c>
      <c r="J79" s="1">
        <v>10.1</v>
      </c>
      <c r="K79" s="1">
        <f t="shared" si="9"/>
        <v>110.29999999999997</v>
      </c>
      <c r="L79" s="1">
        <v>0.7</v>
      </c>
      <c r="M79" s="1">
        <f t="shared" si="10"/>
        <v>68.699999999999989</v>
      </c>
      <c r="N79" s="1">
        <f t="shared" si="5"/>
        <v>9.4</v>
      </c>
      <c r="O79" s="1">
        <f t="shared" si="6"/>
        <v>41.599999999999994</v>
      </c>
      <c r="P79" s="1">
        <v>40</v>
      </c>
      <c r="Q79" s="1">
        <f t="shared" si="13"/>
        <v>0.66484374999999996</v>
      </c>
      <c r="R79" s="9">
        <f t="shared" si="7"/>
        <v>0.46539062499999995</v>
      </c>
      <c r="S79" s="9">
        <f t="shared" si="3"/>
        <v>9.6346093750000001</v>
      </c>
      <c r="T79" s="9">
        <f t="shared" si="12"/>
        <v>81.974609374999986</v>
      </c>
      <c r="V79" s="10">
        <v>450.3</v>
      </c>
      <c r="W79" s="1">
        <f t="shared" si="4"/>
        <v>53.607142857142854</v>
      </c>
      <c r="X79" s="1">
        <f t="shared" si="11"/>
        <v>34609.999999999993</v>
      </c>
      <c r="AA79" s="1">
        <v>10.931676343982099</v>
      </c>
    </row>
    <row r="80" spans="1:27" s="1" customFormat="1" x14ac:dyDescent="0.25">
      <c r="A80" s="80"/>
      <c r="B80" s="5"/>
      <c r="C80" s="3">
        <v>41561</v>
      </c>
      <c r="D80" s="1">
        <v>10.199999999999999</v>
      </c>
      <c r="E80" s="1">
        <v>9.3000000000000007</v>
      </c>
      <c r="F80" s="1">
        <v>11.8</v>
      </c>
      <c r="G80" s="1">
        <f t="shared" si="8"/>
        <v>566.6</v>
      </c>
      <c r="J80" s="1">
        <v>11.1</v>
      </c>
      <c r="K80" s="1">
        <f t="shared" si="9"/>
        <v>121.39999999999996</v>
      </c>
      <c r="L80" s="1">
        <v>0.9</v>
      </c>
      <c r="M80" s="1">
        <f t="shared" si="10"/>
        <v>69.599999999999994</v>
      </c>
      <c r="N80" s="1">
        <f t="shared" si="5"/>
        <v>10.199999999999999</v>
      </c>
      <c r="O80" s="1">
        <f t="shared" si="6"/>
        <v>51.8</v>
      </c>
      <c r="P80" s="1">
        <v>41</v>
      </c>
      <c r="Q80" s="1">
        <f t="shared" si="13"/>
        <v>0.67500000000000004</v>
      </c>
      <c r="R80" s="9">
        <f t="shared" si="7"/>
        <v>0.60750000000000004</v>
      </c>
      <c r="S80" s="9">
        <f t="shared" si="3"/>
        <v>10.4925</v>
      </c>
      <c r="T80" s="9">
        <f t="shared" si="12"/>
        <v>92.467109374999978</v>
      </c>
      <c r="V80" s="10">
        <v>211</v>
      </c>
      <c r="W80" s="1">
        <f t="shared" si="4"/>
        <v>20.686274509803923</v>
      </c>
      <c r="X80" s="1">
        <f t="shared" si="11"/>
        <v>34820.999999999993</v>
      </c>
      <c r="AA80" s="1">
        <v>10.8715061368113</v>
      </c>
    </row>
    <row r="81" spans="1:27" s="1" customFormat="1" x14ac:dyDescent="0.25">
      <c r="A81" s="80"/>
      <c r="B81" s="5"/>
      <c r="C81" s="3">
        <v>41562</v>
      </c>
      <c r="D81" s="1">
        <v>9.6</v>
      </c>
      <c r="E81" s="1">
        <v>8.9</v>
      </c>
      <c r="F81" s="1">
        <v>12.4</v>
      </c>
      <c r="G81" s="1">
        <f t="shared" si="8"/>
        <v>576.20000000000005</v>
      </c>
      <c r="J81" s="1">
        <v>0.2</v>
      </c>
      <c r="K81" s="1">
        <f t="shared" si="9"/>
        <v>121.59999999999997</v>
      </c>
      <c r="L81" s="1">
        <v>1.4</v>
      </c>
      <c r="M81" s="1">
        <f t="shared" si="10"/>
        <v>71</v>
      </c>
      <c r="N81" s="8">
        <f t="shared" si="5"/>
        <v>-1.2</v>
      </c>
      <c r="O81" s="1">
        <f t="shared" si="6"/>
        <v>50.599999999999994</v>
      </c>
      <c r="P81" s="1">
        <v>42</v>
      </c>
      <c r="Q81" s="1">
        <f t="shared" si="13"/>
        <v>0.68515624999999991</v>
      </c>
      <c r="R81" s="9">
        <f t="shared" si="7"/>
        <v>0.95921874999999979</v>
      </c>
      <c r="S81" s="9">
        <f t="shared" si="3"/>
        <v>-0.75921874999999983</v>
      </c>
      <c r="T81" s="9">
        <f t="shared" si="12"/>
        <v>91.707890624999976</v>
      </c>
      <c r="V81" s="10">
        <v>739.3</v>
      </c>
      <c r="W81" s="1">
        <f t="shared" si="4"/>
        <v>77.010416666666671</v>
      </c>
      <c r="X81" s="1">
        <f t="shared" si="11"/>
        <v>35560.299999999996</v>
      </c>
      <c r="AA81" s="1">
        <v>10.811469572217</v>
      </c>
    </row>
    <row r="82" spans="1:27" s="1" customFormat="1" x14ac:dyDescent="0.25">
      <c r="A82" s="80"/>
      <c r="B82" s="5"/>
      <c r="C82" s="3">
        <v>41563</v>
      </c>
      <c r="D82" s="1">
        <v>8.5</v>
      </c>
      <c r="E82" s="12">
        <v>3.8</v>
      </c>
      <c r="F82" s="1">
        <v>11.2</v>
      </c>
      <c r="G82" s="1">
        <f t="shared" si="8"/>
        <v>584.70000000000005</v>
      </c>
      <c r="J82" s="1">
        <v>7.8</v>
      </c>
      <c r="K82" s="1">
        <f t="shared" si="9"/>
        <v>129.39999999999998</v>
      </c>
      <c r="L82" s="1">
        <v>0.4</v>
      </c>
      <c r="M82" s="1">
        <f t="shared" si="10"/>
        <v>71.400000000000006</v>
      </c>
      <c r="N82" s="1">
        <f t="shared" si="5"/>
        <v>7.3999999999999995</v>
      </c>
      <c r="O82" s="1">
        <f t="shared" si="6"/>
        <v>57.999999999999993</v>
      </c>
      <c r="P82" s="1">
        <v>43</v>
      </c>
      <c r="Q82" s="1">
        <f t="shared" si="13"/>
        <v>0.6953125</v>
      </c>
      <c r="R82" s="9">
        <f t="shared" si="7"/>
        <v>0.27812500000000001</v>
      </c>
      <c r="S82" s="9">
        <f t="shared" si="3"/>
        <v>7.5218749999999996</v>
      </c>
      <c r="T82" s="9">
        <f t="shared" si="12"/>
        <v>99.22976562499997</v>
      </c>
      <c r="V82" s="10">
        <v>274.7</v>
      </c>
      <c r="W82" s="1">
        <f t="shared" si="4"/>
        <v>32.317647058823525</v>
      </c>
      <c r="X82" s="1">
        <f t="shared" si="11"/>
        <v>35834.999999999993</v>
      </c>
      <c r="AA82" s="1">
        <v>10.7515769489798</v>
      </c>
    </row>
    <row r="83" spans="1:27" s="1" customFormat="1" x14ac:dyDescent="0.25">
      <c r="A83" s="80"/>
      <c r="B83" s="5"/>
      <c r="C83" s="3">
        <v>41564</v>
      </c>
      <c r="D83" s="1">
        <v>12.5</v>
      </c>
      <c r="E83" s="1">
        <v>10.7</v>
      </c>
      <c r="F83" s="1">
        <v>16.2</v>
      </c>
      <c r="G83" s="1">
        <f t="shared" si="8"/>
        <v>597.20000000000005</v>
      </c>
      <c r="J83" s="1">
        <v>1.5</v>
      </c>
      <c r="K83" s="1">
        <f t="shared" si="9"/>
        <v>130.89999999999998</v>
      </c>
      <c r="L83" s="1">
        <v>1.1000000000000001</v>
      </c>
      <c r="M83" s="1">
        <f t="shared" si="10"/>
        <v>72.5</v>
      </c>
      <c r="N83" s="1">
        <f t="shared" si="5"/>
        <v>0.39999999999999991</v>
      </c>
      <c r="O83" s="1">
        <f t="shared" si="6"/>
        <v>58.399999999999991</v>
      </c>
      <c r="P83" s="1">
        <v>44</v>
      </c>
      <c r="Q83" s="1">
        <f t="shared" si="13"/>
        <v>0.70546874999999998</v>
      </c>
      <c r="R83" s="9">
        <f t="shared" si="7"/>
        <v>0.77601562499999999</v>
      </c>
      <c r="S83" s="9">
        <f t="shared" si="3"/>
        <v>0.72398437500000001</v>
      </c>
      <c r="T83" s="9">
        <f t="shared" si="12"/>
        <v>99.953749999999971</v>
      </c>
      <c r="V83" s="10">
        <v>342</v>
      </c>
      <c r="W83" s="1">
        <f t="shared" si="4"/>
        <v>27.36</v>
      </c>
      <c r="X83" s="1">
        <f t="shared" si="11"/>
        <v>36176.999999999993</v>
      </c>
      <c r="AA83" s="1">
        <v>10.691839015636999</v>
      </c>
    </row>
    <row r="84" spans="1:27" s="1" customFormat="1" x14ac:dyDescent="0.25">
      <c r="A84" s="80"/>
      <c r="B84" s="5"/>
      <c r="C84" s="3">
        <v>41565</v>
      </c>
      <c r="D84" s="1">
        <v>10.1</v>
      </c>
      <c r="E84" s="1">
        <v>8.3000000000000007</v>
      </c>
      <c r="F84" s="1">
        <v>12.4</v>
      </c>
      <c r="G84" s="1">
        <f t="shared" si="8"/>
        <v>607.30000000000007</v>
      </c>
      <c r="J84" s="1">
        <v>0.2</v>
      </c>
      <c r="K84" s="1">
        <f t="shared" si="9"/>
        <v>131.09999999999997</v>
      </c>
      <c r="L84" s="1">
        <v>0.6</v>
      </c>
      <c r="M84" s="1">
        <f t="shared" si="10"/>
        <v>73.099999999999994</v>
      </c>
      <c r="N84" s="8">
        <f t="shared" si="5"/>
        <v>-0.39999999999999997</v>
      </c>
      <c r="O84" s="1">
        <f t="shared" si="6"/>
        <v>57.999999999999993</v>
      </c>
      <c r="P84" s="1">
        <v>45</v>
      </c>
      <c r="Q84" s="1">
        <f t="shared" si="13"/>
        <v>0.71562499999999996</v>
      </c>
      <c r="R84" s="9">
        <f t="shared" si="7"/>
        <v>0.42937499999999995</v>
      </c>
      <c r="S84" s="9">
        <f t="shared" si="3"/>
        <v>-0.22937499999999994</v>
      </c>
      <c r="T84" s="9">
        <f t="shared" si="12"/>
        <v>99.724374999999966</v>
      </c>
      <c r="V84" s="10">
        <v>335</v>
      </c>
      <c r="W84" s="1">
        <f t="shared" si="4"/>
        <v>33.168316831683171</v>
      </c>
      <c r="X84" s="1">
        <f t="shared" si="11"/>
        <v>36511.999999999993</v>
      </c>
      <c r="AA84" s="1">
        <v>10.6322669902773</v>
      </c>
    </row>
    <row r="85" spans="1:27" s="1" customFormat="1" x14ac:dyDescent="0.25">
      <c r="A85" s="80"/>
      <c r="B85" s="5"/>
      <c r="C85" s="3">
        <v>41566</v>
      </c>
      <c r="D85" s="1">
        <v>12.6</v>
      </c>
      <c r="E85" s="1">
        <v>9.1</v>
      </c>
      <c r="F85" s="1">
        <v>14.9</v>
      </c>
      <c r="G85" s="1">
        <f t="shared" si="8"/>
        <v>619.90000000000009</v>
      </c>
      <c r="J85" s="1">
        <v>0.6</v>
      </c>
      <c r="K85" s="1">
        <f t="shared" si="9"/>
        <v>131.69999999999996</v>
      </c>
      <c r="L85" s="1">
        <v>0.4</v>
      </c>
      <c r="M85" s="1">
        <f t="shared" si="10"/>
        <v>73.5</v>
      </c>
      <c r="N85" s="1">
        <f t="shared" si="5"/>
        <v>0.19999999999999996</v>
      </c>
      <c r="O85" s="1">
        <f t="shared" si="6"/>
        <v>58.199999999999996</v>
      </c>
      <c r="P85" s="1">
        <v>46</v>
      </c>
      <c r="Q85" s="1">
        <f t="shared" si="13"/>
        <v>0.72578125000000004</v>
      </c>
      <c r="R85" s="9">
        <f t="shared" si="7"/>
        <v>0.29031250000000003</v>
      </c>
      <c r="S85" s="9">
        <f t="shared" si="3"/>
        <v>0.30968749999999995</v>
      </c>
      <c r="T85" s="9">
        <f t="shared" si="12"/>
        <v>100.03406249999996</v>
      </c>
      <c r="V85" s="10">
        <v>209</v>
      </c>
      <c r="W85" s="1">
        <f t="shared" si="4"/>
        <v>16.587301587301589</v>
      </c>
      <c r="X85" s="1">
        <f t="shared" si="11"/>
        <v>36720.999999999993</v>
      </c>
      <c r="AA85" s="1">
        <v>10.572872580196901</v>
      </c>
    </row>
    <row r="86" spans="1:27" s="1" customFormat="1" x14ac:dyDescent="0.25">
      <c r="A86" s="80"/>
      <c r="B86" s="5"/>
      <c r="C86" s="3">
        <v>41567</v>
      </c>
      <c r="D86" s="1">
        <v>14</v>
      </c>
      <c r="E86" s="1">
        <v>12.7</v>
      </c>
      <c r="F86" s="1">
        <v>16</v>
      </c>
      <c r="G86" s="1">
        <f t="shared" si="8"/>
        <v>633.90000000000009</v>
      </c>
      <c r="J86" s="1">
        <v>3.6</v>
      </c>
      <c r="K86" s="1">
        <f t="shared" si="9"/>
        <v>135.29999999999995</v>
      </c>
      <c r="L86" s="1">
        <v>0.9</v>
      </c>
      <c r="M86" s="1">
        <f t="shared" si="10"/>
        <v>74.400000000000006</v>
      </c>
      <c r="N86" s="1">
        <f t="shared" si="5"/>
        <v>2.7</v>
      </c>
      <c r="O86" s="1">
        <f t="shared" si="6"/>
        <v>60.9</v>
      </c>
      <c r="P86" s="1">
        <v>47</v>
      </c>
      <c r="Q86" s="1">
        <f t="shared" si="13"/>
        <v>0.73593749999999991</v>
      </c>
      <c r="R86" s="9">
        <f t="shared" si="7"/>
        <v>0.6623437499999999</v>
      </c>
      <c r="S86" s="9">
        <f t="shared" si="3"/>
        <v>2.9376562500000003</v>
      </c>
      <c r="T86" s="9">
        <f t="shared" si="12"/>
        <v>102.97171874999997</v>
      </c>
      <c r="V86" s="10">
        <v>364.2</v>
      </c>
      <c r="W86" s="1">
        <f t="shared" si="4"/>
        <v>26.014285714285712</v>
      </c>
      <c r="X86" s="1">
        <f t="shared" si="11"/>
        <v>37085.19999999999</v>
      </c>
      <c r="AA86" s="1">
        <v>10.513668001364699</v>
      </c>
    </row>
    <row r="87" spans="1:27" s="1" customFormat="1" x14ac:dyDescent="0.25">
      <c r="A87" s="80"/>
      <c r="B87" s="5"/>
      <c r="C87" s="3">
        <v>41568</v>
      </c>
      <c r="D87" s="1">
        <v>15.4</v>
      </c>
      <c r="E87" s="1">
        <v>13.4</v>
      </c>
      <c r="F87" s="1">
        <v>18.100000000000001</v>
      </c>
      <c r="G87" s="1">
        <f t="shared" si="8"/>
        <v>649.30000000000007</v>
      </c>
      <c r="J87" s="1">
        <v>0.1</v>
      </c>
      <c r="K87" s="1">
        <f t="shared" si="9"/>
        <v>135.39999999999995</v>
      </c>
      <c r="L87" s="1">
        <v>1.2</v>
      </c>
      <c r="M87" s="1">
        <f t="shared" si="10"/>
        <v>75.600000000000009</v>
      </c>
      <c r="N87" s="8">
        <f t="shared" si="5"/>
        <v>-1.0999999999999999</v>
      </c>
      <c r="O87" s="1">
        <f t="shared" si="6"/>
        <v>59.8</v>
      </c>
      <c r="P87" s="1">
        <v>48</v>
      </c>
      <c r="Q87" s="1">
        <f t="shared" si="13"/>
        <v>0.74609375</v>
      </c>
      <c r="R87" s="9">
        <f t="shared" si="7"/>
        <v>0.89531249999999996</v>
      </c>
      <c r="S87" s="9">
        <f t="shared" si="3"/>
        <v>-0.79531249999999998</v>
      </c>
      <c r="T87" s="9">
        <f t="shared" si="12"/>
        <v>102.17640624999997</v>
      </c>
      <c r="V87" s="10">
        <v>342.9</v>
      </c>
      <c r="W87" s="1">
        <f t="shared" si="4"/>
        <v>22.266233766233764</v>
      </c>
      <c r="X87" s="1">
        <f t="shared" si="11"/>
        <v>37428.099999999991</v>
      </c>
      <c r="AA87" s="1">
        <v>10.4546659976386</v>
      </c>
    </row>
    <row r="88" spans="1:27" s="1" customFormat="1" x14ac:dyDescent="0.25">
      <c r="A88" s="80"/>
      <c r="B88" s="5"/>
      <c r="C88" s="3">
        <v>41569</v>
      </c>
      <c r="D88" s="1">
        <v>16.600000000000001</v>
      </c>
      <c r="E88" s="1">
        <v>14.5</v>
      </c>
      <c r="F88" s="1">
        <v>19.7</v>
      </c>
      <c r="G88" s="1">
        <f t="shared" si="8"/>
        <v>665.90000000000009</v>
      </c>
      <c r="J88" s="1">
        <v>0.1</v>
      </c>
      <c r="K88" s="1">
        <f t="shared" si="9"/>
        <v>135.49999999999994</v>
      </c>
      <c r="L88" s="1">
        <v>1.3</v>
      </c>
      <c r="M88" s="1">
        <f t="shared" si="10"/>
        <v>76.900000000000006</v>
      </c>
      <c r="N88" s="8">
        <f t="shared" si="5"/>
        <v>-1.2</v>
      </c>
      <c r="O88" s="1">
        <f t="shared" si="6"/>
        <v>58.599999999999994</v>
      </c>
      <c r="P88" s="1">
        <v>49</v>
      </c>
      <c r="Q88" s="1">
        <f t="shared" si="13"/>
        <v>0.75624999999999998</v>
      </c>
      <c r="R88" s="9">
        <f t="shared" si="7"/>
        <v>0.98312500000000003</v>
      </c>
      <c r="S88" s="9">
        <f t="shared" si="3"/>
        <v>-0.88312500000000005</v>
      </c>
      <c r="T88" s="9">
        <f t="shared" si="12"/>
        <v>101.29328124999996</v>
      </c>
      <c r="V88" s="10">
        <v>405.2</v>
      </c>
      <c r="W88" s="1">
        <f t="shared" si="4"/>
        <v>24.409638554216865</v>
      </c>
      <c r="X88" s="1">
        <f t="shared" si="11"/>
        <v>37833.299999999988</v>
      </c>
      <c r="AA88" s="1">
        <v>10.3958798596663</v>
      </c>
    </row>
    <row r="89" spans="1:27" s="1" customFormat="1" x14ac:dyDescent="0.25">
      <c r="A89" s="80"/>
      <c r="B89" s="5"/>
      <c r="C89" s="3">
        <v>41570</v>
      </c>
      <c r="D89" s="1">
        <v>15.2</v>
      </c>
      <c r="E89" s="1">
        <v>14</v>
      </c>
      <c r="F89" s="1">
        <v>18.399999999999999</v>
      </c>
      <c r="G89" s="1">
        <f t="shared" si="8"/>
        <v>681.10000000000014</v>
      </c>
      <c r="J89" s="1">
        <v>3.2</v>
      </c>
      <c r="K89" s="1">
        <f t="shared" si="9"/>
        <v>138.69999999999993</v>
      </c>
      <c r="L89" s="1">
        <v>1.9</v>
      </c>
      <c r="M89" s="1">
        <f t="shared" si="10"/>
        <v>78.800000000000011</v>
      </c>
      <c r="N89" s="1">
        <f t="shared" si="5"/>
        <v>1.3000000000000003</v>
      </c>
      <c r="O89" s="1">
        <f t="shared" si="6"/>
        <v>59.899999999999991</v>
      </c>
      <c r="P89" s="1">
        <v>50</v>
      </c>
      <c r="Q89" s="1">
        <f t="shared" si="13"/>
        <v>0.76640624999999996</v>
      </c>
      <c r="R89" s="9">
        <f t="shared" si="7"/>
        <v>1.4561718749999999</v>
      </c>
      <c r="S89" s="9">
        <f t="shared" si="3"/>
        <v>1.7438281250000003</v>
      </c>
      <c r="T89" s="9">
        <f t="shared" si="12"/>
        <v>103.03710937499997</v>
      </c>
      <c r="V89" s="10">
        <v>598.6</v>
      </c>
      <c r="W89" s="1">
        <f t="shared" si="4"/>
        <v>39.381578947368425</v>
      </c>
      <c r="X89" s="1">
        <f t="shared" si="11"/>
        <v>38431.899999999987</v>
      </c>
      <c r="AA89" s="1">
        <v>10.337323443400599</v>
      </c>
    </row>
    <row r="90" spans="1:27" s="1" customFormat="1" x14ac:dyDescent="0.25">
      <c r="A90" s="80"/>
      <c r="B90" s="5"/>
      <c r="C90" s="3">
        <v>41571</v>
      </c>
      <c r="D90" s="1">
        <v>12.2</v>
      </c>
      <c r="E90" s="1">
        <v>11.2</v>
      </c>
      <c r="F90" s="1">
        <v>14</v>
      </c>
      <c r="G90" s="1">
        <f t="shared" si="8"/>
        <v>693.30000000000018</v>
      </c>
      <c r="J90" s="1">
        <v>1.1000000000000001</v>
      </c>
      <c r="K90" s="1">
        <f t="shared" si="9"/>
        <v>139.79999999999993</v>
      </c>
      <c r="L90" s="1">
        <v>0.7</v>
      </c>
      <c r="M90" s="1">
        <f t="shared" si="10"/>
        <v>79.500000000000014</v>
      </c>
      <c r="N90" s="1">
        <f t="shared" si="5"/>
        <v>0.40000000000000013</v>
      </c>
      <c r="O90" s="1">
        <f t="shared" si="6"/>
        <v>60.29999999999999</v>
      </c>
      <c r="P90" s="1">
        <v>51</v>
      </c>
      <c r="Q90" s="1">
        <f t="shared" si="13"/>
        <v>0.77656250000000004</v>
      </c>
      <c r="R90" s="9">
        <f t="shared" si="7"/>
        <v>0.54359374999999999</v>
      </c>
      <c r="S90" s="9">
        <f t="shared" si="3"/>
        <v>0.5564062500000001</v>
      </c>
      <c r="T90" s="9">
        <f t="shared" si="12"/>
        <v>103.59351562499997</v>
      </c>
      <c r="V90" s="10">
        <v>290.8</v>
      </c>
      <c r="W90" s="1">
        <f t="shared" si="4"/>
        <v>23.836065573770494</v>
      </c>
      <c r="X90" s="1">
        <f t="shared" si="11"/>
        <v>38722.69999999999</v>
      </c>
      <c r="AA90" s="1">
        <v>10.2790111881509</v>
      </c>
    </row>
    <row r="91" spans="1:27" s="1" customFormat="1" x14ac:dyDescent="0.25">
      <c r="A91" s="80"/>
      <c r="B91" s="5"/>
      <c r="C91" s="3">
        <v>41572</v>
      </c>
      <c r="D91" s="1">
        <v>15.4</v>
      </c>
      <c r="E91" s="1">
        <v>11.5</v>
      </c>
      <c r="F91" s="1">
        <v>17.7</v>
      </c>
      <c r="G91" s="1">
        <f t="shared" si="8"/>
        <v>708.70000000000016</v>
      </c>
      <c r="J91" s="1">
        <v>1.5</v>
      </c>
      <c r="K91" s="1">
        <f t="shared" si="9"/>
        <v>141.29999999999993</v>
      </c>
      <c r="L91" s="1">
        <v>0.9</v>
      </c>
      <c r="M91" s="1">
        <f t="shared" si="10"/>
        <v>80.40000000000002</v>
      </c>
      <c r="N91" s="1">
        <f t="shared" si="5"/>
        <v>0.6</v>
      </c>
      <c r="O91" s="1">
        <f t="shared" si="6"/>
        <v>60.899999999999991</v>
      </c>
      <c r="P91" s="1">
        <v>52</v>
      </c>
      <c r="Q91" s="1">
        <f t="shared" si="13"/>
        <v>0.78671874999999991</v>
      </c>
      <c r="R91" s="9">
        <f t="shared" si="7"/>
        <v>0.70804687499999996</v>
      </c>
      <c r="S91" s="9">
        <f t="shared" si="3"/>
        <v>0.79195312500000004</v>
      </c>
      <c r="T91" s="9">
        <f t="shared" si="12"/>
        <v>104.38546874999997</v>
      </c>
      <c r="V91" s="10">
        <v>610.4</v>
      </c>
      <c r="W91" s="1">
        <f t="shared" si="4"/>
        <v>39.636363636363633</v>
      </c>
      <c r="X91" s="1">
        <f t="shared" si="11"/>
        <v>39333.099999999991</v>
      </c>
      <c r="AA91" s="1">
        <v>10.2209581340834</v>
      </c>
    </row>
    <row r="92" spans="1:27" s="1" customFormat="1" x14ac:dyDescent="0.25">
      <c r="A92" s="80"/>
      <c r="B92" s="5"/>
      <c r="C92" s="3">
        <v>41573</v>
      </c>
      <c r="D92" s="1">
        <v>15.7</v>
      </c>
      <c r="E92" s="1">
        <v>14.2</v>
      </c>
      <c r="F92" s="1">
        <v>18.8</v>
      </c>
      <c r="G92" s="1">
        <f t="shared" si="8"/>
        <v>724.4000000000002</v>
      </c>
      <c r="J92" s="1">
        <v>0.8</v>
      </c>
      <c r="K92" s="1">
        <f t="shared" si="9"/>
        <v>142.09999999999994</v>
      </c>
      <c r="L92" s="1">
        <v>1.6</v>
      </c>
      <c r="M92" s="1">
        <f t="shared" si="10"/>
        <v>82.000000000000014</v>
      </c>
      <c r="N92" s="8">
        <f t="shared" si="5"/>
        <v>-0.8</v>
      </c>
      <c r="O92" s="1">
        <f t="shared" si="6"/>
        <v>60.099999999999994</v>
      </c>
      <c r="P92" s="1">
        <v>53</v>
      </c>
      <c r="Q92" s="1">
        <f t="shared" si="13"/>
        <v>0.796875</v>
      </c>
      <c r="R92" s="9">
        <f t="shared" si="7"/>
        <v>1.2750000000000001</v>
      </c>
      <c r="S92" s="9">
        <f t="shared" si="3"/>
        <v>-0.47500000000000009</v>
      </c>
      <c r="T92" s="9">
        <f t="shared" si="12"/>
        <v>103.91046874999998</v>
      </c>
      <c r="V92" s="10">
        <v>576.9</v>
      </c>
      <c r="W92" s="1">
        <f t="shared" si="4"/>
        <v>36.745222929936304</v>
      </c>
      <c r="X92" s="1">
        <f t="shared" si="11"/>
        <v>39909.999999999993</v>
      </c>
      <c r="AA92" s="1">
        <v>10.1631799390808</v>
      </c>
    </row>
    <row r="93" spans="1:27" s="1" customFormat="1" x14ac:dyDescent="0.25">
      <c r="A93" s="80"/>
      <c r="B93" s="5"/>
      <c r="C93" s="3">
        <v>41574</v>
      </c>
      <c r="D93" s="1">
        <v>14.7</v>
      </c>
      <c r="E93" s="1">
        <v>14.1</v>
      </c>
      <c r="F93" s="1">
        <v>16.100000000000001</v>
      </c>
      <c r="G93" s="1">
        <f t="shared" si="8"/>
        <v>739.10000000000025</v>
      </c>
      <c r="J93" s="1">
        <v>3.4</v>
      </c>
      <c r="K93" s="1">
        <f t="shared" si="9"/>
        <v>145.49999999999994</v>
      </c>
      <c r="L93" s="1">
        <v>2.2999999999999998</v>
      </c>
      <c r="M93" s="1">
        <f t="shared" si="10"/>
        <v>84.300000000000011</v>
      </c>
      <c r="N93" s="1">
        <f t="shared" si="5"/>
        <v>1.1000000000000001</v>
      </c>
      <c r="O93" s="1">
        <f t="shared" si="6"/>
        <v>61.199999999999996</v>
      </c>
      <c r="P93" s="1">
        <v>54</v>
      </c>
      <c r="Q93" s="1">
        <f t="shared" si="13"/>
        <v>0.80703124999999998</v>
      </c>
      <c r="R93" s="9">
        <f t="shared" si="7"/>
        <v>1.8561718749999998</v>
      </c>
      <c r="S93" s="9">
        <f t="shared" si="3"/>
        <v>1.5438281250000001</v>
      </c>
      <c r="T93" s="9">
        <f t="shared" si="12"/>
        <v>105.45429687499998</v>
      </c>
      <c r="V93" s="10">
        <v>312.5</v>
      </c>
      <c r="W93" s="1">
        <f t="shared" si="4"/>
        <v>21.258503401360546</v>
      </c>
      <c r="X93" s="1">
        <f t="shared" si="11"/>
        <v>40222.499999999993</v>
      </c>
      <c r="AA93" s="1">
        <v>10.105692894858199</v>
      </c>
    </row>
    <row r="94" spans="1:27" s="1" customFormat="1" x14ac:dyDescent="0.25">
      <c r="A94" s="80"/>
      <c r="B94" s="5"/>
      <c r="C94" s="3">
        <v>41575</v>
      </c>
      <c r="D94" s="1">
        <v>12.7</v>
      </c>
      <c r="E94" s="1">
        <v>10.199999999999999</v>
      </c>
      <c r="F94" s="1">
        <v>15.5</v>
      </c>
      <c r="G94" s="1">
        <f t="shared" si="8"/>
        <v>751.8000000000003</v>
      </c>
      <c r="J94" s="1">
        <v>2.2999999999999998</v>
      </c>
      <c r="K94" s="1">
        <f t="shared" si="9"/>
        <v>147.79999999999995</v>
      </c>
      <c r="L94" s="1">
        <v>1.5</v>
      </c>
      <c r="M94" s="1">
        <f t="shared" si="10"/>
        <v>85.800000000000011</v>
      </c>
      <c r="N94" s="1">
        <f t="shared" si="5"/>
        <v>0.79999999999999982</v>
      </c>
      <c r="O94" s="1">
        <f t="shared" si="6"/>
        <v>61.999999999999993</v>
      </c>
      <c r="P94" s="1">
        <v>55</v>
      </c>
      <c r="Q94" s="1">
        <f t="shared" si="13"/>
        <v>0.81718749999999996</v>
      </c>
      <c r="R94" s="9">
        <f t="shared" si="7"/>
        <v>1.2257812499999998</v>
      </c>
      <c r="S94" s="9">
        <f t="shared" si="3"/>
        <v>1.07421875</v>
      </c>
      <c r="T94" s="9">
        <f t="shared" si="12"/>
        <v>106.52851562499998</v>
      </c>
      <c r="V94" s="10">
        <v>345.3</v>
      </c>
      <c r="W94" s="1">
        <f t="shared" si="4"/>
        <v>27.188976377952759</v>
      </c>
      <c r="X94" s="1">
        <f t="shared" si="11"/>
        <v>40567.799999999996</v>
      </c>
      <c r="AA94" s="1">
        <v>10.0485139422284</v>
      </c>
    </row>
    <row r="95" spans="1:27" s="1" customFormat="1" x14ac:dyDescent="0.25">
      <c r="A95" s="80"/>
      <c r="B95" s="5"/>
      <c r="C95" s="3">
        <v>41576</v>
      </c>
      <c r="D95" s="1">
        <v>9.1999999999999993</v>
      </c>
      <c r="E95" s="1">
        <v>8.3000000000000007</v>
      </c>
      <c r="F95" s="1">
        <v>12.5</v>
      </c>
      <c r="G95" s="1">
        <f t="shared" si="8"/>
        <v>761.00000000000034</v>
      </c>
      <c r="J95" s="1">
        <v>0.7</v>
      </c>
      <c r="K95" s="1">
        <f t="shared" si="9"/>
        <v>148.49999999999994</v>
      </c>
      <c r="L95" s="1">
        <v>1.5</v>
      </c>
      <c r="M95" s="1">
        <f t="shared" si="10"/>
        <v>87.300000000000011</v>
      </c>
      <c r="N95" s="8">
        <f t="shared" si="5"/>
        <v>-0.8</v>
      </c>
      <c r="O95" s="1">
        <f t="shared" si="6"/>
        <v>61.199999999999996</v>
      </c>
      <c r="P95" s="1">
        <v>56</v>
      </c>
      <c r="Q95" s="1">
        <f t="shared" si="13"/>
        <v>0.82734375000000004</v>
      </c>
      <c r="R95" s="9">
        <f t="shared" si="7"/>
        <v>1.2410156250000002</v>
      </c>
      <c r="S95" s="9">
        <f t="shared" si="3"/>
        <v>-0.54101562500000022</v>
      </c>
      <c r="T95" s="9">
        <f t="shared" si="12"/>
        <v>105.98749999999998</v>
      </c>
      <c r="V95" s="10">
        <v>562.5</v>
      </c>
      <c r="W95" s="1">
        <f t="shared" si="4"/>
        <v>61.141304347826093</v>
      </c>
      <c r="X95" s="1">
        <f t="shared" si="11"/>
        <v>41130.299999999996</v>
      </c>
      <c r="AA95" s="1">
        <v>9.9916606854013104</v>
      </c>
    </row>
    <row r="96" spans="1:27" s="1" customFormat="1" x14ac:dyDescent="0.25">
      <c r="A96" s="80"/>
      <c r="B96" s="5"/>
      <c r="C96" s="3">
        <v>41577</v>
      </c>
      <c r="D96" s="1">
        <v>7.7</v>
      </c>
      <c r="E96" s="12">
        <v>4.5999999999999996</v>
      </c>
      <c r="F96" s="1">
        <v>13.1</v>
      </c>
      <c r="G96" s="1">
        <f t="shared" si="8"/>
        <v>768.70000000000039</v>
      </c>
      <c r="J96" s="1">
        <v>0</v>
      </c>
      <c r="K96" s="1">
        <f t="shared" si="9"/>
        <v>148.49999999999994</v>
      </c>
      <c r="L96" s="1">
        <v>1.4</v>
      </c>
      <c r="M96" s="1">
        <f t="shared" si="10"/>
        <v>88.700000000000017</v>
      </c>
      <c r="N96" s="8">
        <f t="shared" si="5"/>
        <v>-1.4</v>
      </c>
      <c r="O96" s="1">
        <f t="shared" si="6"/>
        <v>59.8</v>
      </c>
      <c r="P96" s="1">
        <v>57</v>
      </c>
      <c r="Q96" s="1">
        <f t="shared" si="13"/>
        <v>0.83750000000000002</v>
      </c>
      <c r="R96" s="9">
        <f t="shared" si="7"/>
        <v>1.1724999999999999</v>
      </c>
      <c r="S96" s="9">
        <f t="shared" si="3"/>
        <v>-1.1724999999999999</v>
      </c>
      <c r="T96" s="9">
        <f t="shared" si="12"/>
        <v>104.81499999999998</v>
      </c>
      <c r="V96" s="10">
        <v>830.6</v>
      </c>
      <c r="W96" s="1">
        <f t="shared" si="4"/>
        <v>107.87012987012987</v>
      </c>
      <c r="X96" s="1">
        <f t="shared" si="11"/>
        <v>41960.899999999994</v>
      </c>
      <c r="AA96" s="1">
        <v>9.9351514051933396</v>
      </c>
    </row>
    <row r="97" spans="1:27" s="1" customFormat="1" x14ac:dyDescent="0.25">
      <c r="A97" s="80"/>
      <c r="B97" s="5"/>
      <c r="C97" s="3">
        <v>41578</v>
      </c>
      <c r="D97" s="1">
        <v>9.1999999999999993</v>
      </c>
      <c r="E97" s="12">
        <v>4.5999999999999996</v>
      </c>
      <c r="F97" s="1">
        <v>13</v>
      </c>
      <c r="G97" s="1">
        <f t="shared" si="8"/>
        <v>777.90000000000043</v>
      </c>
      <c r="J97" s="1">
        <v>1.1000000000000001</v>
      </c>
      <c r="K97" s="1">
        <f t="shared" si="9"/>
        <v>149.59999999999994</v>
      </c>
      <c r="L97" s="1">
        <v>1</v>
      </c>
      <c r="M97" s="1">
        <f t="shared" si="10"/>
        <v>89.700000000000017</v>
      </c>
      <c r="N97" s="1">
        <f t="shared" si="5"/>
        <v>0.10000000000000009</v>
      </c>
      <c r="O97" s="1">
        <f t="shared" si="6"/>
        <v>59.9</v>
      </c>
      <c r="P97" s="1">
        <v>58</v>
      </c>
      <c r="Q97" s="1">
        <f t="shared" si="13"/>
        <v>0.84765625</v>
      </c>
      <c r="R97" s="9">
        <f t="shared" si="7"/>
        <v>0.84765625</v>
      </c>
      <c r="S97" s="9">
        <f t="shared" si="3"/>
        <v>0.25234375000000009</v>
      </c>
      <c r="T97" s="9">
        <f t="shared" si="12"/>
        <v>105.06734374999998</v>
      </c>
      <c r="V97" s="10">
        <v>639.4</v>
      </c>
      <c r="W97" s="1">
        <f t="shared" si="4"/>
        <v>69.5</v>
      </c>
      <c r="X97" s="1">
        <f t="shared" si="11"/>
        <v>42600.299999999996</v>
      </c>
      <c r="AA97" s="1">
        <v>9.8790050710149195</v>
      </c>
    </row>
    <row r="98" spans="1:27" s="1" customFormat="1" x14ac:dyDescent="0.25">
      <c r="A98" s="80"/>
      <c r="B98" s="5"/>
      <c r="C98" s="3">
        <v>41579</v>
      </c>
      <c r="D98" s="1">
        <v>10</v>
      </c>
      <c r="E98" s="1">
        <v>9.1</v>
      </c>
      <c r="F98" s="1">
        <v>13.1</v>
      </c>
      <c r="G98" s="1">
        <f t="shared" si="8"/>
        <v>787.90000000000043</v>
      </c>
      <c r="J98" s="1">
        <v>12.7</v>
      </c>
      <c r="K98" s="1">
        <f t="shared" si="9"/>
        <v>162.29999999999993</v>
      </c>
      <c r="L98" s="1">
        <v>0.8</v>
      </c>
      <c r="M98" s="1">
        <f t="shared" si="10"/>
        <v>90.500000000000014</v>
      </c>
      <c r="N98" s="1">
        <f t="shared" si="5"/>
        <v>11.899999999999999</v>
      </c>
      <c r="O98" s="1">
        <f t="shared" si="6"/>
        <v>71.8</v>
      </c>
      <c r="P98" s="1">
        <v>59</v>
      </c>
      <c r="Q98" s="1">
        <f t="shared" si="13"/>
        <v>0.85781249999999998</v>
      </c>
      <c r="R98" s="9">
        <f t="shared" si="7"/>
        <v>0.68625000000000003</v>
      </c>
      <c r="S98" s="9">
        <f t="shared" si="3"/>
        <v>12.01375</v>
      </c>
      <c r="T98" s="9">
        <f t="shared" si="12"/>
        <v>117.08109374999998</v>
      </c>
      <c r="V98" s="10">
        <v>102.2</v>
      </c>
      <c r="W98" s="1">
        <f t="shared" si="4"/>
        <v>10.220000000000001</v>
      </c>
      <c r="X98" s="1">
        <f t="shared" si="11"/>
        <v>42702.499999999993</v>
      </c>
      <c r="AA98" s="1">
        <v>9.8232413514974795</v>
      </c>
    </row>
    <row r="99" spans="1:27" s="1" customFormat="1" x14ac:dyDescent="0.25">
      <c r="A99" s="80"/>
      <c r="B99" s="5"/>
      <c r="C99" s="3">
        <v>41580</v>
      </c>
      <c r="D99" s="1">
        <v>12.9</v>
      </c>
      <c r="E99" s="1">
        <v>9.3000000000000007</v>
      </c>
      <c r="F99" s="1">
        <v>14.8</v>
      </c>
      <c r="G99" s="1">
        <f t="shared" si="8"/>
        <v>800.80000000000041</v>
      </c>
      <c r="J99" s="1">
        <v>4.0999999999999996</v>
      </c>
      <c r="K99" s="1">
        <f t="shared" si="9"/>
        <v>166.39999999999992</v>
      </c>
      <c r="L99" s="1">
        <v>0.5</v>
      </c>
      <c r="M99" s="1">
        <f t="shared" si="10"/>
        <v>91.000000000000014</v>
      </c>
      <c r="N99" s="1">
        <f t="shared" si="5"/>
        <v>3.5999999999999996</v>
      </c>
      <c r="O99" s="1">
        <f t="shared" si="6"/>
        <v>75.399999999999991</v>
      </c>
      <c r="P99" s="1">
        <v>60</v>
      </c>
      <c r="Q99" s="1">
        <f t="shared" si="13"/>
        <v>0.86796874999999996</v>
      </c>
      <c r="R99" s="9">
        <f t="shared" si="7"/>
        <v>0.43398437499999998</v>
      </c>
      <c r="S99" s="9">
        <f t="shared" si="3"/>
        <v>3.6660156249999996</v>
      </c>
      <c r="T99" s="9">
        <f t="shared" si="12"/>
        <v>120.74710937499998</v>
      </c>
      <c r="V99" s="10">
        <v>286.39999999999998</v>
      </c>
      <c r="W99" s="1">
        <f t="shared" si="4"/>
        <v>22.201550387596896</v>
      </c>
      <c r="X99" s="1">
        <f t="shared" si="11"/>
        <v>42988.899999999994</v>
      </c>
      <c r="AA99" s="1">
        <v>9.7678806236124096</v>
      </c>
    </row>
    <row r="100" spans="1:27" s="1" customFormat="1" x14ac:dyDescent="0.25">
      <c r="A100" s="80"/>
      <c r="B100" s="5"/>
      <c r="C100" s="3">
        <v>41581</v>
      </c>
      <c r="D100" s="1">
        <v>9.1999999999999993</v>
      </c>
      <c r="E100" s="1">
        <v>7.4</v>
      </c>
      <c r="F100" s="1">
        <v>11.9</v>
      </c>
      <c r="G100" s="1">
        <f t="shared" si="8"/>
        <v>810.00000000000045</v>
      </c>
      <c r="J100" s="1">
        <v>4.7</v>
      </c>
      <c r="K100" s="1">
        <f t="shared" si="9"/>
        <v>171.09999999999991</v>
      </c>
      <c r="L100" s="1">
        <v>1.3</v>
      </c>
      <c r="M100" s="1">
        <f t="shared" si="10"/>
        <v>92.300000000000011</v>
      </c>
      <c r="N100" s="1">
        <f t="shared" si="5"/>
        <v>3.4000000000000004</v>
      </c>
      <c r="O100" s="1">
        <f t="shared" si="6"/>
        <v>78.8</v>
      </c>
      <c r="P100" s="1">
        <v>61</v>
      </c>
      <c r="Q100" s="1">
        <f t="shared" si="13"/>
        <v>0.87812500000000004</v>
      </c>
      <c r="R100" s="9">
        <f t="shared" si="7"/>
        <v>1.1415625</v>
      </c>
      <c r="S100" s="9">
        <f t="shared" si="3"/>
        <v>3.5584375000000001</v>
      </c>
      <c r="T100" s="9">
        <f t="shared" si="12"/>
        <v>124.30554687499998</v>
      </c>
      <c r="V100" s="10">
        <v>262.7</v>
      </c>
      <c r="W100" s="1">
        <f t="shared" si="4"/>
        <v>28.554347826086957</v>
      </c>
      <c r="X100" s="1">
        <f t="shared" si="11"/>
        <v>43251.599999999991</v>
      </c>
      <c r="AA100" s="1">
        <v>9.7129439801277098</v>
      </c>
    </row>
    <row r="101" spans="1:27" s="1" customFormat="1" x14ac:dyDescent="0.25">
      <c r="A101" s="80"/>
      <c r="B101" s="5"/>
      <c r="C101" s="3">
        <v>41582</v>
      </c>
      <c r="D101" s="1">
        <v>8.1999999999999993</v>
      </c>
      <c r="E101" s="12">
        <v>4.8</v>
      </c>
      <c r="F101" s="1">
        <v>11.6</v>
      </c>
      <c r="G101" s="1">
        <f t="shared" si="8"/>
        <v>818.2000000000005</v>
      </c>
      <c r="J101" s="1">
        <v>0.4</v>
      </c>
      <c r="K101" s="1">
        <f t="shared" si="9"/>
        <v>171.49999999999991</v>
      </c>
      <c r="L101" s="1">
        <v>0.5</v>
      </c>
      <c r="M101" s="1">
        <f t="shared" si="10"/>
        <v>92.800000000000011</v>
      </c>
      <c r="N101" s="8">
        <f t="shared" si="5"/>
        <v>-9.9999999999999978E-2</v>
      </c>
      <c r="O101" s="1">
        <f t="shared" si="6"/>
        <v>78.7</v>
      </c>
      <c r="P101" s="1">
        <v>62</v>
      </c>
      <c r="Q101" s="1">
        <f t="shared" si="13"/>
        <v>0.88828125000000002</v>
      </c>
      <c r="R101" s="9">
        <f t="shared" si="7"/>
        <v>0.44414062500000001</v>
      </c>
      <c r="S101" s="9">
        <f t="shared" si="3"/>
        <v>-4.4140624999999989E-2</v>
      </c>
      <c r="T101" s="9">
        <f t="shared" si="12"/>
        <v>124.26140624999998</v>
      </c>
      <c r="V101" s="10">
        <v>233</v>
      </c>
      <c r="W101" s="1">
        <f t="shared" si="4"/>
        <v>28.414634146341466</v>
      </c>
      <c r="X101" s="1">
        <f t="shared" si="11"/>
        <v>43484.599999999991</v>
      </c>
      <c r="AA101" s="1">
        <v>9.6584532352409607</v>
      </c>
    </row>
    <row r="102" spans="1:27" s="1" customFormat="1" x14ac:dyDescent="0.25">
      <c r="A102" s="80"/>
      <c r="B102" s="5"/>
      <c r="C102" s="3">
        <v>41583</v>
      </c>
      <c r="D102" s="1">
        <v>7.6</v>
      </c>
      <c r="E102" s="12">
        <v>4</v>
      </c>
      <c r="F102" s="1">
        <v>10.5</v>
      </c>
      <c r="G102" s="1">
        <f t="shared" si="8"/>
        <v>825.80000000000052</v>
      </c>
      <c r="J102" s="1">
        <v>11.8</v>
      </c>
      <c r="K102" s="1">
        <f t="shared" si="9"/>
        <v>183.29999999999993</v>
      </c>
      <c r="L102" s="1">
        <v>0.5</v>
      </c>
      <c r="M102" s="1">
        <f t="shared" si="10"/>
        <v>93.300000000000011</v>
      </c>
      <c r="N102" s="1">
        <f t="shared" si="5"/>
        <v>11.3</v>
      </c>
      <c r="O102" s="1">
        <f t="shared" si="6"/>
        <v>90</v>
      </c>
      <c r="P102" s="1">
        <v>63</v>
      </c>
      <c r="Q102" s="1">
        <f t="shared" si="13"/>
        <v>0.8984375</v>
      </c>
      <c r="R102" s="9">
        <f t="shared" si="7"/>
        <v>0.44921875</v>
      </c>
      <c r="S102" s="9">
        <f t="shared" si="3"/>
        <v>11.350781250000001</v>
      </c>
      <c r="T102" s="9">
        <f t="shared" si="12"/>
        <v>135.61218749999998</v>
      </c>
      <c r="V102" s="10">
        <v>115</v>
      </c>
      <c r="W102" s="1">
        <f t="shared" si="4"/>
        <v>15.131578947368421</v>
      </c>
      <c r="X102" s="1">
        <f t="shared" si="11"/>
        <v>43599.599999999991</v>
      </c>
      <c r="AA102" s="1">
        <v>9.6044309282204594</v>
      </c>
    </row>
    <row r="103" spans="1:27" s="1" customFormat="1" x14ac:dyDescent="0.25">
      <c r="A103" s="80"/>
      <c r="B103" s="5"/>
      <c r="C103" s="3">
        <v>41584</v>
      </c>
      <c r="D103" s="1">
        <v>12.8</v>
      </c>
      <c r="E103" s="1">
        <v>9.9</v>
      </c>
      <c r="F103" s="1">
        <v>14.3</v>
      </c>
      <c r="G103" s="1">
        <f t="shared" si="8"/>
        <v>838.60000000000048</v>
      </c>
      <c r="J103" s="1">
        <v>2.4</v>
      </c>
      <c r="K103" s="1">
        <f t="shared" si="9"/>
        <v>185.69999999999993</v>
      </c>
      <c r="L103" s="1">
        <v>0.5</v>
      </c>
      <c r="M103" s="1">
        <f t="shared" si="10"/>
        <v>93.800000000000011</v>
      </c>
      <c r="N103" s="1">
        <f t="shared" si="5"/>
        <v>1.9</v>
      </c>
      <c r="O103" s="1">
        <f t="shared" si="6"/>
        <v>91.9</v>
      </c>
      <c r="P103" s="1">
        <v>64</v>
      </c>
      <c r="Q103" s="1">
        <f t="shared" si="13"/>
        <v>0.90859374999999998</v>
      </c>
      <c r="R103" s="9">
        <f t="shared" si="7"/>
        <v>0.45429687499999999</v>
      </c>
      <c r="S103" s="9">
        <f t="shared" si="3"/>
        <v>1.9457031249999999</v>
      </c>
      <c r="T103" s="9">
        <f t="shared" si="12"/>
        <v>137.55789062499997</v>
      </c>
      <c r="V103" s="10">
        <v>145.4</v>
      </c>
      <c r="W103" s="1">
        <f t="shared" si="4"/>
        <v>11.359375</v>
      </c>
      <c r="X103" s="1">
        <f t="shared" si="11"/>
        <v>43744.999999999993</v>
      </c>
      <c r="AA103" s="1">
        <v>9.5509003248806295</v>
      </c>
    </row>
    <row r="104" spans="1:27" s="1" customFormat="1" x14ac:dyDescent="0.25">
      <c r="A104" s="80"/>
      <c r="B104" s="5"/>
      <c r="C104" s="3">
        <v>41585</v>
      </c>
      <c r="D104" s="1">
        <v>12.7</v>
      </c>
      <c r="E104" s="1">
        <v>11.8</v>
      </c>
      <c r="F104" s="1">
        <v>13.6</v>
      </c>
      <c r="G104" s="1">
        <f t="shared" si="8"/>
        <v>851.30000000000052</v>
      </c>
      <c r="J104" s="1">
        <v>18.899999999999999</v>
      </c>
      <c r="K104" s="1">
        <f t="shared" si="9"/>
        <v>204.59999999999994</v>
      </c>
      <c r="L104" s="1">
        <v>0.5</v>
      </c>
      <c r="M104" s="1">
        <f t="shared" si="10"/>
        <v>94.300000000000011</v>
      </c>
      <c r="N104" s="1">
        <f t="shared" si="5"/>
        <v>18.399999999999999</v>
      </c>
      <c r="O104" s="1">
        <f t="shared" si="6"/>
        <v>110.30000000000001</v>
      </c>
      <c r="P104" s="1">
        <v>65</v>
      </c>
      <c r="Q104" s="1">
        <f t="shared" si="13"/>
        <v>0.91874999999999996</v>
      </c>
      <c r="R104" s="9">
        <f t="shared" si="7"/>
        <v>0.45937499999999998</v>
      </c>
      <c r="S104" s="9">
        <f t="shared" ref="S104:S167" si="14">J104-R104</f>
        <v>18.440624999999997</v>
      </c>
      <c r="T104" s="9">
        <f t="shared" si="12"/>
        <v>155.99851562499998</v>
      </c>
      <c r="V104" s="10">
        <v>123.5</v>
      </c>
      <c r="W104" s="1">
        <f t="shared" ref="W104:W167" si="15">V104/D104</f>
        <v>9.7244094488188981</v>
      </c>
      <c r="X104" s="1">
        <f t="shared" si="11"/>
        <v>43868.499999999993</v>
      </c>
      <c r="AA104" s="1">
        <v>9.4978854167126094</v>
      </c>
    </row>
    <row r="105" spans="1:27" s="1" customFormat="1" x14ac:dyDescent="0.25">
      <c r="A105" s="80"/>
      <c r="B105" s="5"/>
      <c r="C105" s="3">
        <v>41586</v>
      </c>
      <c r="D105" s="1">
        <v>9.9</v>
      </c>
      <c r="E105" s="1">
        <v>8.4</v>
      </c>
      <c r="F105" s="1">
        <v>12.3</v>
      </c>
      <c r="G105" s="1">
        <f t="shared" si="8"/>
        <v>861.2000000000005</v>
      </c>
      <c r="J105" s="1">
        <v>5.4</v>
      </c>
      <c r="K105" s="1">
        <f t="shared" si="9"/>
        <v>209.99999999999994</v>
      </c>
      <c r="L105" s="1">
        <v>0.4</v>
      </c>
      <c r="M105" s="1">
        <f t="shared" si="10"/>
        <v>94.700000000000017</v>
      </c>
      <c r="N105" s="1">
        <f t="shared" ref="N105:N168" si="16">J105-L105</f>
        <v>5</v>
      </c>
      <c r="O105" s="1">
        <f t="shared" ref="O105" si="17">O104+N105</f>
        <v>115.30000000000001</v>
      </c>
      <c r="P105" s="1">
        <v>66</v>
      </c>
      <c r="Q105" s="1">
        <f t="shared" si="13"/>
        <v>0.92890625000000004</v>
      </c>
      <c r="R105" s="9">
        <f t="shared" ref="R105:R168" si="18">Q105*L105</f>
        <v>0.37156250000000002</v>
      </c>
      <c r="S105" s="9">
        <f t="shared" si="14"/>
        <v>5.0284375000000008</v>
      </c>
      <c r="T105" s="9">
        <f t="shared" si="12"/>
        <v>161.02695312499998</v>
      </c>
      <c r="V105" s="10">
        <v>118.9</v>
      </c>
      <c r="W105" s="1">
        <f t="shared" si="15"/>
        <v>12.01010101010101</v>
      </c>
      <c r="X105" s="1">
        <f t="shared" si="11"/>
        <v>43987.399999999994</v>
      </c>
      <c r="AA105" s="1">
        <v>9.44541091748669</v>
      </c>
    </row>
    <row r="106" spans="1:27" s="1" customFormat="1" x14ac:dyDescent="0.25">
      <c r="A106" s="80"/>
      <c r="B106" s="5"/>
      <c r="C106" s="3">
        <v>41587</v>
      </c>
      <c r="D106" s="1">
        <v>7.8</v>
      </c>
      <c r="E106" s="1">
        <v>5.5</v>
      </c>
      <c r="F106" s="1">
        <v>9.6</v>
      </c>
      <c r="G106" s="1">
        <f t="shared" ref="G106:G169" si="19">G105+D106</f>
        <v>869.00000000000045</v>
      </c>
      <c r="J106" s="1">
        <v>6</v>
      </c>
      <c r="K106" s="1">
        <f t="shared" ref="K106:K169" si="20">K105+J106</f>
        <v>215.99999999999994</v>
      </c>
      <c r="L106" s="1">
        <v>0.5</v>
      </c>
      <c r="M106" s="1">
        <f t="shared" ref="M106:M169" si="21">M105+L106</f>
        <v>95.200000000000017</v>
      </c>
      <c r="N106" s="1">
        <f t="shared" si="16"/>
        <v>5.5</v>
      </c>
      <c r="O106" s="1">
        <v>189.6</v>
      </c>
      <c r="P106" s="1">
        <v>67</v>
      </c>
      <c r="Q106" s="1">
        <f t="shared" si="13"/>
        <v>0.93906250000000002</v>
      </c>
      <c r="R106" s="9">
        <f t="shared" si="18"/>
        <v>0.46953125000000001</v>
      </c>
      <c r="S106" s="9">
        <f t="shared" si="14"/>
        <v>5.5304687499999998</v>
      </c>
      <c r="T106" s="9">
        <f t="shared" si="12"/>
        <v>166.55742187499999</v>
      </c>
      <c r="V106" s="10">
        <v>198.6</v>
      </c>
      <c r="W106" s="1">
        <f t="shared" si="15"/>
        <v>25.46153846153846</v>
      </c>
      <c r="X106" s="1">
        <f t="shared" ref="X106:X169" si="22">X105+V106</f>
        <v>44185.999999999993</v>
      </c>
      <c r="AA106" s="1">
        <v>9.3935022571399802</v>
      </c>
    </row>
    <row r="107" spans="1:27" s="1" customFormat="1" x14ac:dyDescent="0.25">
      <c r="A107" s="80"/>
      <c r="B107" s="5"/>
      <c r="C107" s="3">
        <v>41588</v>
      </c>
      <c r="D107" s="1">
        <v>6.4</v>
      </c>
      <c r="E107" s="1">
        <v>6.2</v>
      </c>
      <c r="F107" s="1">
        <v>8.6</v>
      </c>
      <c r="G107" s="1">
        <f t="shared" si="19"/>
        <v>875.40000000000043</v>
      </c>
      <c r="J107" s="1">
        <v>1.5</v>
      </c>
      <c r="K107" s="1">
        <f t="shared" si="20"/>
        <v>217.49999999999994</v>
      </c>
      <c r="L107" s="1">
        <v>1</v>
      </c>
      <c r="M107" s="1">
        <f t="shared" si="21"/>
        <v>96.200000000000017</v>
      </c>
      <c r="N107" s="1">
        <f t="shared" si="16"/>
        <v>0.5</v>
      </c>
      <c r="O107" s="1">
        <v>189.6</v>
      </c>
      <c r="P107" s="1">
        <v>68</v>
      </c>
      <c r="Q107" s="1">
        <f t="shared" si="13"/>
        <v>0.94921875</v>
      </c>
      <c r="R107" s="9">
        <f t="shared" si="18"/>
        <v>0.94921875</v>
      </c>
      <c r="S107" s="9">
        <f t="shared" si="14"/>
        <v>0.55078125</v>
      </c>
      <c r="T107" s="9">
        <f t="shared" ref="T107:T170" si="23">MIN(189.6,(T106+S107))</f>
        <v>167.10820312499999</v>
      </c>
      <c r="V107" s="10">
        <v>353.5</v>
      </c>
      <c r="W107" s="1">
        <f t="shared" si="15"/>
        <v>55.234375</v>
      </c>
      <c r="X107" s="1">
        <f t="shared" si="22"/>
        <v>44539.499999999993</v>
      </c>
      <c r="AA107" s="1">
        <v>9.3421855727611405</v>
      </c>
    </row>
    <row r="108" spans="1:27" s="1" customFormat="1" x14ac:dyDescent="0.25">
      <c r="A108" s="80"/>
      <c r="B108" s="5"/>
      <c r="C108" s="3">
        <v>41589</v>
      </c>
      <c r="D108" s="1">
        <v>5.6</v>
      </c>
      <c r="E108" s="13">
        <v>-0.1</v>
      </c>
      <c r="F108" s="1">
        <v>9.4</v>
      </c>
      <c r="G108" s="1">
        <f t="shared" si="19"/>
        <v>881.00000000000045</v>
      </c>
      <c r="J108" s="1">
        <v>0</v>
      </c>
      <c r="K108" s="1">
        <f t="shared" si="20"/>
        <v>217.49999999999994</v>
      </c>
      <c r="L108" s="1">
        <v>0.6</v>
      </c>
      <c r="M108" s="1">
        <f t="shared" si="21"/>
        <v>96.800000000000011</v>
      </c>
      <c r="N108" s="8">
        <f t="shared" si="16"/>
        <v>-0.6</v>
      </c>
      <c r="O108" s="1">
        <f>O107+N108</f>
        <v>189</v>
      </c>
      <c r="P108" s="1">
        <v>69</v>
      </c>
      <c r="Q108" s="1">
        <f t="shared" si="13"/>
        <v>0.95937499999999998</v>
      </c>
      <c r="R108" s="9">
        <f t="shared" si="18"/>
        <v>0.57562499999999994</v>
      </c>
      <c r="S108" s="9">
        <f t="shared" si="14"/>
        <v>-0.57562499999999994</v>
      </c>
      <c r="T108" s="9">
        <f t="shared" si="23"/>
        <v>166.53257812499999</v>
      </c>
      <c r="V108" s="10">
        <v>329.1</v>
      </c>
      <c r="W108" s="1">
        <f t="shared" si="15"/>
        <v>58.767857142857153</v>
      </c>
      <c r="X108" s="1">
        <f t="shared" si="22"/>
        <v>44868.599999999991</v>
      </c>
      <c r="AA108" s="1">
        <v>9.2914876964832498</v>
      </c>
    </row>
    <row r="109" spans="1:27" s="1" customFormat="1" x14ac:dyDescent="0.25">
      <c r="A109" s="80"/>
      <c r="B109" s="5"/>
      <c r="C109" s="3">
        <v>41590</v>
      </c>
      <c r="D109" s="1">
        <v>8.1999999999999993</v>
      </c>
      <c r="E109" s="1">
        <v>7.2</v>
      </c>
      <c r="F109" s="1">
        <v>9.3000000000000007</v>
      </c>
      <c r="G109" s="1">
        <f t="shared" si="19"/>
        <v>889.2000000000005</v>
      </c>
      <c r="J109" s="1">
        <v>3.6</v>
      </c>
      <c r="K109" s="1">
        <f t="shared" si="20"/>
        <v>221.09999999999994</v>
      </c>
      <c r="L109" s="1">
        <v>0.6</v>
      </c>
      <c r="M109" s="1">
        <f t="shared" si="21"/>
        <v>97.4</v>
      </c>
      <c r="N109" s="1">
        <f t="shared" si="16"/>
        <v>3</v>
      </c>
      <c r="O109" s="1">
        <v>189.6</v>
      </c>
      <c r="P109" s="1">
        <v>70</v>
      </c>
      <c r="Q109" s="1">
        <f t="shared" si="13"/>
        <v>0.96953124999999996</v>
      </c>
      <c r="R109" s="9">
        <f t="shared" si="18"/>
        <v>0.58171874999999995</v>
      </c>
      <c r="S109" s="9">
        <f t="shared" si="14"/>
        <v>3.0182812500000002</v>
      </c>
      <c r="T109" s="9">
        <f t="shared" si="23"/>
        <v>169.55085937499999</v>
      </c>
      <c r="V109" s="10">
        <v>201.6</v>
      </c>
      <c r="W109" s="1">
        <f t="shared" si="15"/>
        <v>24.585365853658537</v>
      </c>
      <c r="X109" s="1">
        <f t="shared" si="22"/>
        <v>45070.19999999999</v>
      </c>
      <c r="AA109" s="1">
        <v>9.2414361400975</v>
      </c>
    </row>
    <row r="110" spans="1:27" s="1" customFormat="1" x14ac:dyDescent="0.25">
      <c r="A110" s="80"/>
      <c r="B110" s="5"/>
      <c r="C110" s="3">
        <v>41591</v>
      </c>
      <c r="D110" s="1">
        <v>5.2</v>
      </c>
      <c r="E110" s="12">
        <v>2.2999999999999998</v>
      </c>
      <c r="F110" s="1">
        <v>10.6</v>
      </c>
      <c r="G110" s="1">
        <f t="shared" si="19"/>
        <v>894.40000000000055</v>
      </c>
      <c r="J110" s="1">
        <v>0.7</v>
      </c>
      <c r="K110" s="1">
        <f t="shared" si="20"/>
        <v>221.79999999999993</v>
      </c>
      <c r="L110" s="1">
        <v>1.1000000000000001</v>
      </c>
      <c r="M110" s="1">
        <f t="shared" si="21"/>
        <v>98.5</v>
      </c>
      <c r="N110" s="8">
        <f t="shared" si="16"/>
        <v>-0.40000000000000013</v>
      </c>
      <c r="O110" s="1">
        <f>O109+N110</f>
        <v>189.2</v>
      </c>
      <c r="P110" s="1">
        <v>71</v>
      </c>
      <c r="Q110" s="1">
        <f t="shared" si="13"/>
        <v>0.97968750000000004</v>
      </c>
      <c r="R110" s="9">
        <f t="shared" si="18"/>
        <v>1.0776562500000002</v>
      </c>
      <c r="S110" s="9">
        <f t="shared" si="14"/>
        <v>-0.37765625000000025</v>
      </c>
      <c r="T110" s="9">
        <f t="shared" si="23"/>
        <v>169.17320312499999</v>
      </c>
      <c r="V110" s="10">
        <v>690.1</v>
      </c>
      <c r="W110" s="1">
        <f t="shared" si="15"/>
        <v>132.71153846153845</v>
      </c>
      <c r="X110" s="1">
        <f t="shared" si="22"/>
        <v>45760.299999999988</v>
      </c>
      <c r="AA110" s="1">
        <v>9.1920590762033303</v>
      </c>
    </row>
    <row r="111" spans="1:27" s="1" customFormat="1" x14ac:dyDescent="0.25">
      <c r="A111" s="80"/>
      <c r="B111" s="5"/>
      <c r="C111" s="3">
        <v>41592</v>
      </c>
      <c r="D111" s="1">
        <v>5.8</v>
      </c>
      <c r="E111" s="12">
        <v>0.9</v>
      </c>
      <c r="F111" s="1">
        <v>9.5</v>
      </c>
      <c r="G111" s="1">
        <f t="shared" si="19"/>
        <v>900.2000000000005</v>
      </c>
      <c r="J111" s="1">
        <v>3.5</v>
      </c>
      <c r="K111" s="1">
        <f t="shared" si="20"/>
        <v>225.29999999999993</v>
      </c>
      <c r="L111" s="1">
        <v>0.3</v>
      </c>
      <c r="M111" s="1">
        <f t="shared" si="21"/>
        <v>98.8</v>
      </c>
      <c r="N111" s="1">
        <f t="shared" si="16"/>
        <v>3.2</v>
      </c>
      <c r="O111" s="1">
        <v>189.6</v>
      </c>
      <c r="P111" s="1">
        <v>72</v>
      </c>
      <c r="Q111" s="1">
        <f t="shared" si="13"/>
        <v>0.98984375000000002</v>
      </c>
      <c r="R111" s="9">
        <f t="shared" si="18"/>
        <v>0.29695312499999998</v>
      </c>
      <c r="S111" s="9">
        <f t="shared" si="14"/>
        <v>3.2030468750000001</v>
      </c>
      <c r="T111" s="9">
        <f t="shared" si="23"/>
        <v>172.37625</v>
      </c>
      <c r="V111" s="10">
        <v>245.1</v>
      </c>
      <c r="W111" s="1">
        <f t="shared" si="15"/>
        <v>42.258620689655174</v>
      </c>
      <c r="X111" s="1">
        <f t="shared" si="22"/>
        <v>46005.399999999987</v>
      </c>
      <c r="AA111" s="1">
        <v>9.1433853157159692</v>
      </c>
    </row>
    <row r="112" spans="1:27" s="52" customFormat="1" ht="15" customHeight="1" thickBot="1" x14ac:dyDescent="0.3">
      <c r="A112" s="80"/>
      <c r="B112" s="39"/>
      <c r="C112" s="47">
        <v>41593</v>
      </c>
      <c r="D112" s="52">
        <v>6.5</v>
      </c>
      <c r="E112" s="52">
        <v>5.4</v>
      </c>
      <c r="F112" s="52">
        <v>9</v>
      </c>
      <c r="G112" s="52">
        <f t="shared" si="19"/>
        <v>906.7000000000005</v>
      </c>
      <c r="J112" s="52">
        <v>0</v>
      </c>
      <c r="K112" s="52">
        <f t="shared" si="20"/>
        <v>225.29999999999993</v>
      </c>
      <c r="L112" s="52">
        <v>0.8</v>
      </c>
      <c r="M112" s="52">
        <f t="shared" si="21"/>
        <v>99.6</v>
      </c>
      <c r="N112" s="52">
        <f t="shared" si="16"/>
        <v>-0.8</v>
      </c>
      <c r="O112" s="42">
        <f t="shared" ref="O112:O144" si="24">O111+N112</f>
        <v>188.79999999999998</v>
      </c>
      <c r="P112" s="42">
        <v>73</v>
      </c>
      <c r="Q112" s="42">
        <f t="shared" si="13"/>
        <v>1</v>
      </c>
      <c r="R112" s="44">
        <f t="shared" si="18"/>
        <v>0.8</v>
      </c>
      <c r="S112" s="44">
        <f t="shared" si="14"/>
        <v>-0.8</v>
      </c>
      <c r="T112" s="44">
        <f t="shared" si="23"/>
        <v>171.57624999999999</v>
      </c>
      <c r="V112" s="52">
        <v>230.5</v>
      </c>
      <c r="W112" s="52">
        <f t="shared" si="15"/>
        <v>35.46153846153846</v>
      </c>
      <c r="X112" s="52">
        <f t="shared" si="22"/>
        <v>46235.899999999987</v>
      </c>
      <c r="AA112" s="42">
        <v>9.0954442815598995</v>
      </c>
    </row>
    <row r="113" spans="1:27" s="1" customFormat="1" ht="15" customHeight="1" x14ac:dyDescent="0.25">
      <c r="A113" s="81" t="s">
        <v>19</v>
      </c>
      <c r="B113" s="5"/>
      <c r="C113" s="3">
        <v>41594</v>
      </c>
      <c r="D113" s="12">
        <v>4.2</v>
      </c>
      <c r="E113" s="12">
        <v>3.8</v>
      </c>
      <c r="F113" s="12">
        <v>5</v>
      </c>
      <c r="G113" s="1">
        <f t="shared" si="19"/>
        <v>910.90000000000055</v>
      </c>
      <c r="H113" s="1">
        <f>4.2</f>
        <v>4.2</v>
      </c>
      <c r="I113" s="14" t="s">
        <v>2</v>
      </c>
      <c r="J113" s="1">
        <v>0</v>
      </c>
      <c r="K113" s="1">
        <f t="shared" si="20"/>
        <v>225.29999999999993</v>
      </c>
      <c r="L113" s="1">
        <v>0.6</v>
      </c>
      <c r="M113" s="1">
        <f t="shared" si="21"/>
        <v>100.19999999999999</v>
      </c>
      <c r="N113" s="8">
        <f t="shared" si="16"/>
        <v>-0.6</v>
      </c>
      <c r="O113" s="1">
        <f t="shared" si="24"/>
        <v>188.2</v>
      </c>
      <c r="P113" s="1">
        <v>74</v>
      </c>
      <c r="Q113" s="1">
        <v>1</v>
      </c>
      <c r="R113" s="9">
        <f t="shared" si="18"/>
        <v>0.6</v>
      </c>
      <c r="S113" s="9">
        <f t="shared" si="14"/>
        <v>-0.6</v>
      </c>
      <c r="T113" s="9">
        <f t="shared" si="23"/>
        <v>170.97624999999999</v>
      </c>
      <c r="U113" s="14" t="s">
        <v>3</v>
      </c>
      <c r="V113" s="10">
        <v>441.2</v>
      </c>
      <c r="W113" s="1">
        <f t="shared" si="15"/>
        <v>105.04761904761904</v>
      </c>
      <c r="X113" s="1">
        <f t="shared" si="22"/>
        <v>46677.099999999984</v>
      </c>
      <c r="Y113" s="1">
        <f>V113</f>
        <v>441.2</v>
      </c>
      <c r="Z113" s="14" t="s">
        <v>4</v>
      </c>
      <c r="AA113" s="1">
        <v>9.0482659783868105</v>
      </c>
    </row>
    <row r="114" spans="1:27" s="1" customFormat="1" x14ac:dyDescent="0.25">
      <c r="A114" s="81"/>
      <c r="B114" s="5"/>
      <c r="C114" s="3">
        <v>41595</v>
      </c>
      <c r="D114" s="12">
        <v>5</v>
      </c>
      <c r="E114" s="12">
        <v>4.0999999999999996</v>
      </c>
      <c r="F114" s="1">
        <v>5.8</v>
      </c>
      <c r="G114" s="1">
        <f t="shared" si="19"/>
        <v>915.90000000000055</v>
      </c>
      <c r="H114" s="1">
        <f>H113+D114</f>
        <v>9.1999999999999993</v>
      </c>
      <c r="I114" s="1">
        <v>-2.8</v>
      </c>
      <c r="J114" s="1">
        <v>0</v>
      </c>
      <c r="K114" s="1">
        <f t="shared" si="20"/>
        <v>225.29999999999993</v>
      </c>
      <c r="L114" s="1">
        <v>0.2</v>
      </c>
      <c r="M114" s="1">
        <f t="shared" si="21"/>
        <v>100.39999999999999</v>
      </c>
      <c r="N114" s="8">
        <f t="shared" si="16"/>
        <v>-0.2</v>
      </c>
      <c r="O114" s="1">
        <f t="shared" si="24"/>
        <v>188</v>
      </c>
      <c r="P114" s="1">
        <v>75</v>
      </c>
      <c r="Q114" s="1">
        <v>1</v>
      </c>
      <c r="R114" s="9">
        <f t="shared" si="18"/>
        <v>0.2</v>
      </c>
      <c r="S114" s="9">
        <f t="shared" si="14"/>
        <v>-0.2</v>
      </c>
      <c r="T114" s="9">
        <f t="shared" si="23"/>
        <v>170.77625</v>
      </c>
      <c r="V114" s="10">
        <v>175.5</v>
      </c>
      <c r="W114" s="1">
        <f t="shared" si="15"/>
        <v>35.1</v>
      </c>
      <c r="X114" s="1">
        <f t="shared" si="22"/>
        <v>46852.599999999984</v>
      </c>
      <c r="Y114" s="1">
        <f>Y113+V114</f>
        <v>616.70000000000005</v>
      </c>
      <c r="Z114" s="1">
        <v>8803</v>
      </c>
      <c r="AA114" s="1">
        <v>9.0018809581692096</v>
      </c>
    </row>
    <row r="115" spans="1:27" s="1" customFormat="1" x14ac:dyDescent="0.25">
      <c r="A115" s="81"/>
      <c r="B115" s="15">
        <v>1</v>
      </c>
      <c r="C115" s="3">
        <v>41596</v>
      </c>
      <c r="D115" s="12">
        <v>4.5</v>
      </c>
      <c r="E115" s="12">
        <v>4.0999999999999996</v>
      </c>
      <c r="F115" s="1">
        <v>5.8</v>
      </c>
      <c r="G115" s="1">
        <f t="shared" si="19"/>
        <v>920.40000000000055</v>
      </c>
      <c r="H115" s="1">
        <f t="shared" ref="H115:H143" si="25">H114+D115</f>
        <v>13.7</v>
      </c>
      <c r="I115" s="14" t="s">
        <v>5</v>
      </c>
      <c r="J115" s="1">
        <v>1.2</v>
      </c>
      <c r="K115" s="1">
        <f t="shared" si="20"/>
        <v>226.49999999999991</v>
      </c>
      <c r="L115" s="1">
        <v>0.5</v>
      </c>
      <c r="M115" s="1">
        <f t="shared" si="21"/>
        <v>100.89999999999999</v>
      </c>
      <c r="N115" s="1">
        <f t="shared" si="16"/>
        <v>0.7</v>
      </c>
      <c r="O115" s="1">
        <f t="shared" si="24"/>
        <v>188.7</v>
      </c>
      <c r="P115" s="1">
        <v>76</v>
      </c>
      <c r="Q115" s="1">
        <v>1</v>
      </c>
      <c r="R115" s="9">
        <f t="shared" si="18"/>
        <v>0.5</v>
      </c>
      <c r="S115" s="9">
        <f t="shared" si="14"/>
        <v>0.7</v>
      </c>
      <c r="T115" s="9">
        <f t="shared" si="23"/>
        <v>171.47624999999999</v>
      </c>
      <c r="U115" s="14" t="s">
        <v>6</v>
      </c>
      <c r="V115" s="10">
        <v>157.1</v>
      </c>
      <c r="W115" s="1">
        <f t="shared" si="15"/>
        <v>34.911111111111111</v>
      </c>
      <c r="X115" s="1">
        <f t="shared" si="22"/>
        <v>47009.699999999983</v>
      </c>
      <c r="Y115" s="1">
        <f t="shared" ref="Y115:Y178" si="26">Y114+V115</f>
        <v>773.80000000000007</v>
      </c>
      <c r="Z115" s="14" t="s">
        <v>7</v>
      </c>
      <c r="AA115" s="16">
        <v>8.9563202815366694</v>
      </c>
    </row>
    <row r="116" spans="1:27" s="1" customFormat="1" x14ac:dyDescent="0.25">
      <c r="A116" s="81"/>
      <c r="B116" s="15">
        <v>2</v>
      </c>
      <c r="C116" s="3">
        <v>41597</v>
      </c>
      <c r="D116" s="12">
        <v>4.7</v>
      </c>
      <c r="E116" s="12">
        <v>3</v>
      </c>
      <c r="F116" s="1">
        <v>6.6</v>
      </c>
      <c r="G116" s="1">
        <f t="shared" si="19"/>
        <v>925.10000000000059</v>
      </c>
      <c r="H116" s="1">
        <f t="shared" si="25"/>
        <v>18.399999999999999</v>
      </c>
      <c r="I116" s="1">
        <f>MAX(F113:F143)</f>
        <v>9.6</v>
      </c>
      <c r="J116" s="1">
        <v>0.1</v>
      </c>
      <c r="K116" s="1">
        <f t="shared" si="20"/>
        <v>226.59999999999991</v>
      </c>
      <c r="L116" s="1">
        <v>0.6</v>
      </c>
      <c r="M116" s="1">
        <f t="shared" si="21"/>
        <v>101.49999999999999</v>
      </c>
      <c r="N116" s="8">
        <f t="shared" si="16"/>
        <v>-0.5</v>
      </c>
      <c r="O116" s="1">
        <f t="shared" si="24"/>
        <v>188.2</v>
      </c>
      <c r="P116" s="1">
        <v>77</v>
      </c>
      <c r="Q116" s="1">
        <v>1</v>
      </c>
      <c r="R116" s="9">
        <f t="shared" si="18"/>
        <v>0.6</v>
      </c>
      <c r="S116" s="9">
        <f t="shared" si="14"/>
        <v>-0.5</v>
      </c>
      <c r="T116" s="9">
        <f t="shared" si="23"/>
        <v>170.97624999999999</v>
      </c>
      <c r="V116" s="10">
        <v>446</v>
      </c>
      <c r="W116" s="1">
        <f t="shared" si="15"/>
        <v>94.893617021276597</v>
      </c>
      <c r="X116" s="1">
        <f t="shared" si="22"/>
        <v>47455.699999999983</v>
      </c>
      <c r="Y116" s="1">
        <f t="shared" si="26"/>
        <v>1219.8000000000002</v>
      </c>
      <c r="Z116" s="11"/>
      <c r="AA116" s="16">
        <v>8.9116154747402199</v>
      </c>
    </row>
    <row r="117" spans="1:27" s="1" customFormat="1" x14ac:dyDescent="0.25">
      <c r="A117" s="81"/>
      <c r="B117" s="15">
        <v>3</v>
      </c>
      <c r="C117" s="3">
        <v>41598</v>
      </c>
      <c r="D117" s="12">
        <v>2.1</v>
      </c>
      <c r="E117" s="12">
        <v>0.3</v>
      </c>
      <c r="F117" s="12">
        <v>4.3</v>
      </c>
      <c r="G117" s="1">
        <f t="shared" si="19"/>
        <v>927.20000000000061</v>
      </c>
      <c r="H117" s="1">
        <f t="shared" si="25"/>
        <v>20.5</v>
      </c>
      <c r="I117" s="14" t="s">
        <v>8</v>
      </c>
      <c r="J117" s="1">
        <v>0.7</v>
      </c>
      <c r="K117" s="1">
        <f t="shared" si="20"/>
        <v>227.2999999999999</v>
      </c>
      <c r="L117" s="1">
        <v>0.4</v>
      </c>
      <c r="M117" s="1">
        <f t="shared" si="21"/>
        <v>101.89999999999999</v>
      </c>
      <c r="N117" s="1">
        <f t="shared" si="16"/>
        <v>0.29999999999999993</v>
      </c>
      <c r="O117" s="1">
        <f t="shared" si="24"/>
        <v>188.5</v>
      </c>
      <c r="P117" s="1">
        <v>78</v>
      </c>
      <c r="Q117" s="1">
        <v>1</v>
      </c>
      <c r="R117" s="9">
        <f t="shared" si="18"/>
        <v>0.4</v>
      </c>
      <c r="S117" s="9">
        <f t="shared" si="14"/>
        <v>0.29999999999999993</v>
      </c>
      <c r="T117" s="9">
        <f t="shared" si="23"/>
        <v>171.27625</v>
      </c>
      <c r="U117" s="14" t="s">
        <v>9</v>
      </c>
      <c r="V117" s="10">
        <v>132.1</v>
      </c>
      <c r="W117" s="1">
        <f t="shared" si="15"/>
        <v>62.904761904761898</v>
      </c>
      <c r="X117" s="1">
        <f t="shared" si="22"/>
        <v>47587.799999999981</v>
      </c>
      <c r="Y117" s="1">
        <f t="shared" si="26"/>
        <v>1351.9</v>
      </c>
      <c r="Z117" s="14" t="s">
        <v>10</v>
      </c>
      <c r="AA117" s="16">
        <v>8.8677984821521605</v>
      </c>
    </row>
    <row r="118" spans="1:27" s="1" customFormat="1" x14ac:dyDescent="0.25">
      <c r="A118" s="81"/>
      <c r="B118" s="15">
        <v>4</v>
      </c>
      <c r="C118" s="3">
        <v>41599</v>
      </c>
      <c r="D118" s="12">
        <v>1.8</v>
      </c>
      <c r="E118" s="12">
        <v>0.1</v>
      </c>
      <c r="F118" s="12">
        <v>3.3</v>
      </c>
      <c r="G118" s="1">
        <f t="shared" si="19"/>
        <v>929.00000000000057</v>
      </c>
      <c r="H118" s="1">
        <f t="shared" si="25"/>
        <v>22.3</v>
      </c>
      <c r="I118" s="9">
        <f>AVERAGE(D113:D143)</f>
        <v>4.0935483870967753</v>
      </c>
      <c r="J118" s="1">
        <v>0</v>
      </c>
      <c r="K118" s="1">
        <f t="shared" si="20"/>
        <v>227.2999999999999</v>
      </c>
      <c r="L118" s="1">
        <v>0.2</v>
      </c>
      <c r="M118" s="1">
        <f t="shared" si="21"/>
        <v>102.1</v>
      </c>
      <c r="N118" s="8">
        <f t="shared" si="16"/>
        <v>-0.2</v>
      </c>
      <c r="O118" s="1">
        <f t="shared" si="24"/>
        <v>188.3</v>
      </c>
      <c r="P118" s="1">
        <v>79</v>
      </c>
      <c r="Q118" s="1">
        <v>1</v>
      </c>
      <c r="R118" s="9">
        <f t="shared" si="18"/>
        <v>0.2</v>
      </c>
      <c r="S118" s="9">
        <f t="shared" si="14"/>
        <v>-0.2</v>
      </c>
      <c r="T118" s="9">
        <f t="shared" si="23"/>
        <v>171.07625000000002</v>
      </c>
      <c r="U118" s="1">
        <v>0</v>
      </c>
      <c r="V118" s="10">
        <v>148.80000000000001</v>
      </c>
      <c r="W118" s="1">
        <f t="shared" si="15"/>
        <v>82.666666666666671</v>
      </c>
      <c r="X118" s="1">
        <f t="shared" si="22"/>
        <v>47736.599999999984</v>
      </c>
      <c r="Y118" s="1">
        <f t="shared" si="26"/>
        <v>1500.7</v>
      </c>
      <c r="Z118" s="1">
        <v>31</v>
      </c>
      <c r="AA118" s="16">
        <v>8.8249016142338892</v>
      </c>
    </row>
    <row r="119" spans="1:27" s="1" customFormat="1" x14ac:dyDescent="0.25">
      <c r="A119" s="81"/>
      <c r="B119" s="15">
        <v>5</v>
      </c>
      <c r="C119" s="3">
        <v>41600</v>
      </c>
      <c r="D119" s="12">
        <v>3.4</v>
      </c>
      <c r="E119" s="12">
        <v>0.5</v>
      </c>
      <c r="F119" s="12">
        <v>4.9000000000000004</v>
      </c>
      <c r="G119" s="1">
        <f t="shared" si="19"/>
        <v>932.40000000000055</v>
      </c>
      <c r="H119" s="1">
        <f t="shared" si="25"/>
        <v>25.7</v>
      </c>
      <c r="I119" s="14" t="s">
        <v>11</v>
      </c>
      <c r="J119" s="1">
        <v>0</v>
      </c>
      <c r="K119" s="1">
        <f t="shared" si="20"/>
        <v>227.2999999999999</v>
      </c>
      <c r="L119" s="1">
        <v>0.4</v>
      </c>
      <c r="M119" s="1">
        <f t="shared" si="21"/>
        <v>102.5</v>
      </c>
      <c r="N119" s="8">
        <f t="shared" si="16"/>
        <v>-0.4</v>
      </c>
      <c r="O119" s="1">
        <f t="shared" si="24"/>
        <v>187.9</v>
      </c>
      <c r="P119" s="1">
        <v>80</v>
      </c>
      <c r="Q119" s="1">
        <v>1</v>
      </c>
      <c r="R119" s="9">
        <f t="shared" si="18"/>
        <v>0.4</v>
      </c>
      <c r="S119" s="9">
        <f t="shared" si="14"/>
        <v>-0.4</v>
      </c>
      <c r="T119" s="9">
        <f t="shared" si="23"/>
        <v>170.67625000000001</v>
      </c>
      <c r="U119" s="14" t="s">
        <v>12</v>
      </c>
      <c r="V119" s="10">
        <v>285.8</v>
      </c>
      <c r="W119" s="1">
        <f t="shared" si="15"/>
        <v>84.058823529411768</v>
      </c>
      <c r="X119" s="1">
        <f t="shared" si="22"/>
        <v>48022.399999999987</v>
      </c>
      <c r="Y119" s="1">
        <f t="shared" si="26"/>
        <v>1786.5</v>
      </c>
      <c r="AA119" s="16">
        <v>8.78295749093237</v>
      </c>
    </row>
    <row r="120" spans="1:27" s="1" customFormat="1" x14ac:dyDescent="0.25">
      <c r="A120" s="81"/>
      <c r="B120" s="15">
        <v>6</v>
      </c>
      <c r="C120" s="3">
        <v>41601</v>
      </c>
      <c r="D120" s="12">
        <v>4.5</v>
      </c>
      <c r="E120" s="12">
        <v>3.3</v>
      </c>
      <c r="F120" s="1">
        <v>6.3</v>
      </c>
      <c r="G120" s="1">
        <f t="shared" si="19"/>
        <v>936.90000000000055</v>
      </c>
      <c r="H120" s="1">
        <f t="shared" si="25"/>
        <v>30.2</v>
      </c>
      <c r="I120" s="1">
        <v>7</v>
      </c>
      <c r="J120" s="1">
        <v>0</v>
      </c>
      <c r="K120" s="1">
        <f t="shared" si="20"/>
        <v>227.2999999999999</v>
      </c>
      <c r="L120" s="1">
        <v>0.7</v>
      </c>
      <c r="M120" s="1">
        <f t="shared" si="21"/>
        <v>103.2</v>
      </c>
      <c r="N120" s="8">
        <f t="shared" si="16"/>
        <v>-0.7</v>
      </c>
      <c r="O120" s="1">
        <f t="shared" si="24"/>
        <v>187.20000000000002</v>
      </c>
      <c r="P120" s="1">
        <v>81</v>
      </c>
      <c r="Q120" s="1">
        <v>1</v>
      </c>
      <c r="R120" s="9">
        <f t="shared" si="18"/>
        <v>0.7</v>
      </c>
      <c r="S120" s="9">
        <f t="shared" si="14"/>
        <v>-0.7</v>
      </c>
      <c r="T120" s="9">
        <f t="shared" si="23"/>
        <v>169.97625000000002</v>
      </c>
      <c r="U120" s="1">
        <v>0</v>
      </c>
      <c r="V120" s="10">
        <v>235.9</v>
      </c>
      <c r="W120" s="1">
        <f t="shared" si="15"/>
        <v>52.422222222222224</v>
      </c>
      <c r="X120" s="1">
        <f t="shared" si="22"/>
        <v>48258.299999999988</v>
      </c>
      <c r="Y120" s="1">
        <f t="shared" si="26"/>
        <v>2022.4</v>
      </c>
      <c r="AA120" s="16">
        <v>8.74199898049803</v>
      </c>
    </row>
    <row r="121" spans="1:27" s="1" customFormat="1" x14ac:dyDescent="0.25">
      <c r="A121" s="81"/>
      <c r="B121" s="5"/>
      <c r="C121" s="3">
        <v>41602</v>
      </c>
      <c r="D121" s="1">
        <v>5.3</v>
      </c>
      <c r="E121" s="12">
        <v>2.1</v>
      </c>
      <c r="F121" s="1">
        <v>8</v>
      </c>
      <c r="G121" s="1">
        <f t="shared" si="19"/>
        <v>942.2000000000005</v>
      </c>
      <c r="H121" s="1">
        <f t="shared" si="25"/>
        <v>35.5</v>
      </c>
      <c r="I121" s="14" t="s">
        <v>13</v>
      </c>
      <c r="J121" s="1">
        <v>0</v>
      </c>
      <c r="K121" s="1">
        <f t="shared" si="20"/>
        <v>227.2999999999999</v>
      </c>
      <c r="L121" s="1">
        <v>0.4</v>
      </c>
      <c r="M121" s="1">
        <f t="shared" si="21"/>
        <v>103.60000000000001</v>
      </c>
      <c r="N121" s="8">
        <f t="shared" si="16"/>
        <v>-0.4</v>
      </c>
      <c r="O121" s="1">
        <f t="shared" si="24"/>
        <v>186.8</v>
      </c>
      <c r="P121" s="1">
        <v>82</v>
      </c>
      <c r="Q121" s="1">
        <v>1</v>
      </c>
      <c r="R121" s="9">
        <f t="shared" si="18"/>
        <v>0.4</v>
      </c>
      <c r="S121" s="9">
        <f t="shared" si="14"/>
        <v>-0.4</v>
      </c>
      <c r="T121" s="9">
        <f t="shared" si="23"/>
        <v>169.57625000000002</v>
      </c>
      <c r="U121" s="14" t="s">
        <v>14</v>
      </c>
      <c r="V121" s="10">
        <v>139.1</v>
      </c>
      <c r="W121" s="1">
        <f t="shared" si="15"/>
        <v>26.245283018867923</v>
      </c>
      <c r="X121" s="1">
        <f t="shared" si="22"/>
        <v>48397.399999999987</v>
      </c>
      <c r="Y121" s="1">
        <f t="shared" si="26"/>
        <v>2161.5</v>
      </c>
      <c r="AA121" s="16">
        <v>8.7020591337516908</v>
      </c>
    </row>
    <row r="122" spans="1:27" s="1" customFormat="1" x14ac:dyDescent="0.25">
      <c r="A122" s="81"/>
      <c r="B122" s="5"/>
      <c r="C122" s="3">
        <v>41603</v>
      </c>
      <c r="D122" s="1">
        <v>5.2</v>
      </c>
      <c r="E122" s="12">
        <v>4.2</v>
      </c>
      <c r="F122" s="1">
        <v>6.7</v>
      </c>
      <c r="G122" s="1">
        <f t="shared" si="19"/>
        <v>947.40000000000055</v>
      </c>
      <c r="H122" s="1">
        <f t="shared" si="25"/>
        <v>40.700000000000003</v>
      </c>
      <c r="I122" s="1">
        <v>0</v>
      </c>
      <c r="J122" s="1">
        <v>0</v>
      </c>
      <c r="K122" s="1">
        <f t="shared" si="20"/>
        <v>227.2999999999999</v>
      </c>
      <c r="L122" s="1">
        <v>0.6</v>
      </c>
      <c r="M122" s="1">
        <f t="shared" si="21"/>
        <v>104.2</v>
      </c>
      <c r="N122" s="8">
        <f t="shared" si="16"/>
        <v>-0.6</v>
      </c>
      <c r="O122" s="1">
        <f t="shared" si="24"/>
        <v>186.20000000000002</v>
      </c>
      <c r="P122" s="1">
        <v>83</v>
      </c>
      <c r="Q122" s="1">
        <v>1</v>
      </c>
      <c r="R122" s="9">
        <f t="shared" si="18"/>
        <v>0.6</v>
      </c>
      <c r="S122" s="9">
        <f t="shared" si="14"/>
        <v>-0.6</v>
      </c>
      <c r="T122" s="9">
        <f t="shared" si="23"/>
        <v>168.97625000000002</v>
      </c>
      <c r="U122" s="9">
        <f>MIN(T113:T143)</f>
        <v>164.47625000000002</v>
      </c>
      <c r="V122" s="10">
        <v>233.5</v>
      </c>
      <c r="W122" s="1">
        <f t="shared" si="15"/>
        <v>44.903846153846153</v>
      </c>
      <c r="X122" s="1">
        <f t="shared" si="22"/>
        <v>48630.899999999987</v>
      </c>
      <c r="Y122" s="1">
        <f t="shared" si="26"/>
        <v>2395</v>
      </c>
      <c r="AA122" s="16">
        <v>8.6631711138664507</v>
      </c>
    </row>
    <row r="123" spans="1:27" s="1" customFormat="1" x14ac:dyDescent="0.25">
      <c r="A123" s="81"/>
      <c r="B123" s="15">
        <v>7</v>
      </c>
      <c r="C123" s="3">
        <v>41604</v>
      </c>
      <c r="D123" s="12">
        <v>4.7</v>
      </c>
      <c r="E123" s="12">
        <v>1.5</v>
      </c>
      <c r="F123" s="1">
        <v>7.3</v>
      </c>
      <c r="G123" s="1">
        <f t="shared" si="19"/>
        <v>952.10000000000059</v>
      </c>
      <c r="H123" s="1">
        <f t="shared" si="25"/>
        <v>45.400000000000006</v>
      </c>
      <c r="I123" s="14" t="s">
        <v>15</v>
      </c>
      <c r="J123" s="1">
        <v>0.5</v>
      </c>
      <c r="K123" s="1">
        <f t="shared" si="20"/>
        <v>227.7999999999999</v>
      </c>
      <c r="L123" s="1">
        <v>0.4</v>
      </c>
      <c r="M123" s="1">
        <f t="shared" si="21"/>
        <v>104.60000000000001</v>
      </c>
      <c r="N123" s="1">
        <f t="shared" si="16"/>
        <v>9.9999999999999978E-2</v>
      </c>
      <c r="O123" s="1">
        <f t="shared" si="24"/>
        <v>186.3</v>
      </c>
      <c r="P123" s="1">
        <v>84</v>
      </c>
      <c r="Q123" s="1">
        <v>1</v>
      </c>
      <c r="R123" s="9">
        <f t="shared" si="18"/>
        <v>0.4</v>
      </c>
      <c r="S123" s="9">
        <f t="shared" si="14"/>
        <v>9.9999999999999978E-2</v>
      </c>
      <c r="T123" s="9">
        <f t="shared" si="23"/>
        <v>169.07625000000002</v>
      </c>
      <c r="U123" s="14" t="s">
        <v>16</v>
      </c>
      <c r="V123" s="10">
        <v>276.89999999999998</v>
      </c>
      <c r="W123" s="1">
        <f t="shared" si="15"/>
        <v>58.914893617021271</v>
      </c>
      <c r="X123" s="1">
        <f t="shared" si="22"/>
        <v>48907.799999999988</v>
      </c>
      <c r="Y123" s="1">
        <f t="shared" si="26"/>
        <v>2671.9</v>
      </c>
      <c r="AA123" s="16">
        <v>8.6253681217716895</v>
      </c>
    </row>
    <row r="124" spans="1:27" s="1" customFormat="1" x14ac:dyDescent="0.25">
      <c r="A124" s="81"/>
      <c r="B124" s="15">
        <v>8</v>
      </c>
      <c r="C124" s="3">
        <v>41605</v>
      </c>
      <c r="D124" s="12">
        <v>3.9</v>
      </c>
      <c r="E124" s="12">
        <v>3.1</v>
      </c>
      <c r="F124" s="1">
        <v>5.3</v>
      </c>
      <c r="G124" s="1">
        <f t="shared" si="19"/>
        <v>956.00000000000057</v>
      </c>
      <c r="H124" s="1">
        <f t="shared" si="25"/>
        <v>49.300000000000004</v>
      </c>
      <c r="I124" s="1">
        <v>22</v>
      </c>
      <c r="J124" s="1">
        <v>0</v>
      </c>
      <c r="K124" s="1">
        <f t="shared" si="20"/>
        <v>227.7999999999999</v>
      </c>
      <c r="L124" s="1">
        <v>0.4</v>
      </c>
      <c r="M124" s="1">
        <f t="shared" si="21"/>
        <v>105.00000000000001</v>
      </c>
      <c r="N124" s="8">
        <f t="shared" si="16"/>
        <v>-0.4</v>
      </c>
      <c r="O124" s="1">
        <f t="shared" si="24"/>
        <v>185.9</v>
      </c>
      <c r="P124" s="1">
        <v>85</v>
      </c>
      <c r="Q124" s="1">
        <v>1</v>
      </c>
      <c r="R124" s="9">
        <f t="shared" si="18"/>
        <v>0.4</v>
      </c>
      <c r="S124" s="9">
        <f t="shared" si="14"/>
        <v>-0.4</v>
      </c>
      <c r="T124" s="9">
        <f t="shared" si="23"/>
        <v>168.67625000000001</v>
      </c>
      <c r="U124" s="9">
        <f>MAX(T113:T143)</f>
        <v>171.47624999999999</v>
      </c>
      <c r="V124" s="10">
        <v>175.2</v>
      </c>
      <c r="W124" s="1">
        <f t="shared" si="15"/>
        <v>44.92307692307692</v>
      </c>
      <c r="X124" s="1">
        <f t="shared" si="22"/>
        <v>49082.999999999985</v>
      </c>
      <c r="Y124" s="1">
        <f t="shared" si="26"/>
        <v>2847.1</v>
      </c>
      <c r="AA124" s="16">
        <v>8.5886833173305508</v>
      </c>
    </row>
    <row r="125" spans="1:27" s="1" customFormat="1" x14ac:dyDescent="0.25">
      <c r="A125" s="81"/>
      <c r="B125" s="5"/>
      <c r="C125" s="3">
        <v>41606</v>
      </c>
      <c r="D125" s="1">
        <v>5.3</v>
      </c>
      <c r="E125" s="12">
        <v>2.8</v>
      </c>
      <c r="F125" s="1">
        <v>6.9</v>
      </c>
      <c r="G125" s="1">
        <f t="shared" si="19"/>
        <v>961.30000000000052</v>
      </c>
      <c r="H125" s="1">
        <f t="shared" si="25"/>
        <v>54.6</v>
      </c>
      <c r="I125" s="14" t="s">
        <v>17</v>
      </c>
      <c r="J125" s="1">
        <v>0.2</v>
      </c>
      <c r="K125" s="1">
        <f t="shared" si="20"/>
        <v>227.99999999999989</v>
      </c>
      <c r="L125" s="1">
        <v>0.2</v>
      </c>
      <c r="M125" s="1">
        <f t="shared" si="21"/>
        <v>105.20000000000002</v>
      </c>
      <c r="N125" s="1">
        <f t="shared" si="16"/>
        <v>0</v>
      </c>
      <c r="O125" s="1">
        <f t="shared" si="24"/>
        <v>185.9</v>
      </c>
      <c r="P125" s="1">
        <v>86</v>
      </c>
      <c r="Q125" s="1">
        <v>1</v>
      </c>
      <c r="R125" s="9">
        <f t="shared" si="18"/>
        <v>0.2</v>
      </c>
      <c r="S125" s="9">
        <f t="shared" si="14"/>
        <v>0</v>
      </c>
      <c r="T125" s="9">
        <f t="shared" si="23"/>
        <v>168.67625000000001</v>
      </c>
      <c r="U125" s="14" t="s">
        <v>18</v>
      </c>
      <c r="V125" s="10">
        <v>154.9</v>
      </c>
      <c r="W125" s="1">
        <f t="shared" si="15"/>
        <v>29.226415094339625</v>
      </c>
      <c r="X125" s="1">
        <f t="shared" si="22"/>
        <v>49237.899999999987</v>
      </c>
      <c r="Y125" s="1">
        <f t="shared" si="26"/>
        <v>3002</v>
      </c>
      <c r="AA125" s="16">
        <v>8.5531497364884093</v>
      </c>
    </row>
    <row r="126" spans="1:27" s="1" customFormat="1" x14ac:dyDescent="0.25">
      <c r="A126" s="81"/>
      <c r="B126" s="5"/>
      <c r="C126" s="3">
        <v>41607</v>
      </c>
      <c r="D126" s="1">
        <v>7.2</v>
      </c>
      <c r="E126" s="1">
        <v>6.6</v>
      </c>
      <c r="F126" s="1">
        <v>8.5</v>
      </c>
      <c r="G126" s="1">
        <f t="shared" si="19"/>
        <v>968.50000000000057</v>
      </c>
      <c r="H126" s="1">
        <f t="shared" si="25"/>
        <v>61.800000000000004</v>
      </c>
      <c r="I126" s="1">
        <v>127.8</v>
      </c>
      <c r="J126" s="1">
        <v>0</v>
      </c>
      <c r="K126" s="1">
        <f t="shared" si="20"/>
        <v>227.99999999999989</v>
      </c>
      <c r="L126" s="1">
        <v>0.4</v>
      </c>
      <c r="M126" s="1">
        <f t="shared" si="21"/>
        <v>105.60000000000002</v>
      </c>
      <c r="N126" s="8">
        <f t="shared" si="16"/>
        <v>-0.4</v>
      </c>
      <c r="O126" s="1">
        <f t="shared" si="24"/>
        <v>185.5</v>
      </c>
      <c r="P126" s="1">
        <v>87</v>
      </c>
      <c r="Q126" s="1">
        <v>1</v>
      </c>
      <c r="R126" s="9">
        <f t="shared" si="18"/>
        <v>0.4</v>
      </c>
      <c r="S126" s="9">
        <f t="shared" si="14"/>
        <v>-0.4</v>
      </c>
      <c r="T126" s="9">
        <f t="shared" si="23"/>
        <v>168.27625</v>
      </c>
      <c r="U126" s="11">
        <f>AVERAGE(T113:T143)</f>
        <v>168.04076612903228</v>
      </c>
      <c r="V126" s="10">
        <v>183.9</v>
      </c>
      <c r="W126" s="1">
        <f t="shared" si="15"/>
        <v>25.541666666666668</v>
      </c>
      <c r="X126" s="1">
        <f t="shared" si="22"/>
        <v>49421.799999999988</v>
      </c>
      <c r="Y126" s="1">
        <f t="shared" si="26"/>
        <v>3185.9</v>
      </c>
      <c r="AA126" s="16">
        <v>8.5188002046386906</v>
      </c>
    </row>
    <row r="127" spans="1:27" s="1" customFormat="1" x14ac:dyDescent="0.25">
      <c r="A127" s="81"/>
      <c r="B127" s="5"/>
      <c r="C127" s="3">
        <v>41608</v>
      </c>
      <c r="D127" s="1">
        <v>6.1</v>
      </c>
      <c r="E127" s="12">
        <v>4.8</v>
      </c>
      <c r="F127" s="1">
        <v>8.5</v>
      </c>
      <c r="G127" s="1">
        <f t="shared" si="19"/>
        <v>974.60000000000059</v>
      </c>
      <c r="H127" s="1">
        <f t="shared" si="25"/>
        <v>67.900000000000006</v>
      </c>
      <c r="J127" s="1">
        <v>0</v>
      </c>
      <c r="K127" s="1">
        <f t="shared" si="20"/>
        <v>227.99999999999989</v>
      </c>
      <c r="L127" s="1">
        <v>0.8</v>
      </c>
      <c r="M127" s="1">
        <f t="shared" si="21"/>
        <v>106.40000000000002</v>
      </c>
      <c r="N127" s="8">
        <f t="shared" si="16"/>
        <v>-0.8</v>
      </c>
      <c r="O127" s="1">
        <f t="shared" si="24"/>
        <v>184.7</v>
      </c>
      <c r="P127" s="1">
        <v>88</v>
      </c>
      <c r="Q127" s="1">
        <v>1</v>
      </c>
      <c r="R127" s="9">
        <f t="shared" si="18"/>
        <v>0.8</v>
      </c>
      <c r="S127" s="9">
        <f t="shared" si="14"/>
        <v>-0.8</v>
      </c>
      <c r="T127" s="9">
        <f t="shared" si="23"/>
        <v>167.47624999999999</v>
      </c>
      <c r="U127" s="14" t="s">
        <v>20</v>
      </c>
      <c r="V127" s="10">
        <v>170.9</v>
      </c>
      <c r="W127" s="1">
        <f t="shared" si="15"/>
        <v>28.016393442622952</v>
      </c>
      <c r="X127" s="1">
        <f t="shared" si="22"/>
        <v>49592.69999999999</v>
      </c>
      <c r="Y127" s="1">
        <f t="shared" si="26"/>
        <v>3356.8</v>
      </c>
      <c r="AA127" s="16">
        <v>8.4856672465020804</v>
      </c>
    </row>
    <row r="128" spans="1:27" s="1" customFormat="1" x14ac:dyDescent="0.25">
      <c r="A128" s="81"/>
      <c r="B128" s="5"/>
      <c r="C128" s="3">
        <v>41609</v>
      </c>
      <c r="D128" s="1">
        <v>5.4</v>
      </c>
      <c r="E128" s="12">
        <v>3.6</v>
      </c>
      <c r="F128" s="1">
        <v>8.4</v>
      </c>
      <c r="G128" s="1">
        <f t="shared" si="19"/>
        <v>980.00000000000057</v>
      </c>
      <c r="H128" s="1">
        <f t="shared" si="25"/>
        <v>73.300000000000011</v>
      </c>
      <c r="J128" s="1">
        <v>0</v>
      </c>
      <c r="K128" s="1">
        <f t="shared" si="20"/>
        <v>227.99999999999989</v>
      </c>
      <c r="L128" s="1">
        <v>0.7</v>
      </c>
      <c r="M128" s="1">
        <f t="shared" si="21"/>
        <v>107.10000000000002</v>
      </c>
      <c r="N128" s="8">
        <f t="shared" si="16"/>
        <v>-0.7</v>
      </c>
      <c r="O128" s="1">
        <f t="shared" si="24"/>
        <v>184</v>
      </c>
      <c r="P128" s="1">
        <v>89</v>
      </c>
      <c r="Q128" s="1">
        <v>1</v>
      </c>
      <c r="R128" s="9">
        <f t="shared" si="18"/>
        <v>0.7</v>
      </c>
      <c r="S128" s="9">
        <f t="shared" si="14"/>
        <v>-0.7</v>
      </c>
      <c r="T128" s="9">
        <f t="shared" si="23"/>
        <v>166.77625</v>
      </c>
      <c r="U128" s="1">
        <v>29</v>
      </c>
      <c r="V128" s="10">
        <v>384</v>
      </c>
      <c r="W128" s="1">
        <f t="shared" si="15"/>
        <v>71.1111111111111</v>
      </c>
      <c r="X128" s="1">
        <f t="shared" si="22"/>
        <v>49976.69999999999</v>
      </c>
      <c r="Y128" s="1">
        <f t="shared" si="26"/>
        <v>3740.8</v>
      </c>
      <c r="AA128" s="16">
        <v>8.45378299286625</v>
      </c>
    </row>
    <row r="129" spans="1:27" s="1" customFormat="1" x14ac:dyDescent="0.25">
      <c r="A129" s="81"/>
      <c r="B129" s="5"/>
      <c r="C129" s="3">
        <v>41610</v>
      </c>
      <c r="D129" s="1">
        <v>5.2</v>
      </c>
      <c r="E129" s="12">
        <v>3.9</v>
      </c>
      <c r="F129" s="1">
        <v>7.8</v>
      </c>
      <c r="G129" s="1">
        <f t="shared" si="19"/>
        <v>985.20000000000061</v>
      </c>
      <c r="H129" s="1">
        <f t="shared" si="25"/>
        <v>78.500000000000014</v>
      </c>
      <c r="J129" s="1">
        <v>0</v>
      </c>
      <c r="K129" s="1">
        <f t="shared" si="20"/>
        <v>227.99999999999989</v>
      </c>
      <c r="L129" s="1">
        <v>0.8</v>
      </c>
      <c r="M129" s="1">
        <f t="shared" si="21"/>
        <v>107.90000000000002</v>
      </c>
      <c r="N129" s="8">
        <f t="shared" si="16"/>
        <v>-0.8</v>
      </c>
      <c r="O129" s="1">
        <f t="shared" si="24"/>
        <v>183.2</v>
      </c>
      <c r="P129" s="1">
        <v>90</v>
      </c>
      <c r="Q129" s="1">
        <v>1</v>
      </c>
      <c r="R129" s="9">
        <f t="shared" si="18"/>
        <v>0.8</v>
      </c>
      <c r="S129" s="9">
        <f t="shared" si="14"/>
        <v>-0.8</v>
      </c>
      <c r="T129" s="9">
        <f t="shared" si="23"/>
        <v>165.97624999999999</v>
      </c>
      <c r="V129" s="10">
        <v>337.9</v>
      </c>
      <c r="W129" s="1">
        <f t="shared" si="15"/>
        <v>64.980769230769226</v>
      </c>
      <c r="X129" s="1">
        <f t="shared" si="22"/>
        <v>50314.599999999991</v>
      </c>
      <c r="Y129" s="1">
        <f t="shared" si="26"/>
        <v>4078.7000000000003</v>
      </c>
      <c r="AA129" s="16">
        <v>8.4231790845843495</v>
      </c>
    </row>
    <row r="130" spans="1:27" s="1" customFormat="1" x14ac:dyDescent="0.25">
      <c r="A130" s="81"/>
      <c r="B130" s="15">
        <v>9</v>
      </c>
      <c r="C130" s="3">
        <v>41611</v>
      </c>
      <c r="D130" s="12">
        <v>0.5</v>
      </c>
      <c r="E130" s="13">
        <v>-1.7</v>
      </c>
      <c r="F130" s="12">
        <v>3.9</v>
      </c>
      <c r="G130" s="1">
        <f t="shared" si="19"/>
        <v>985.70000000000061</v>
      </c>
      <c r="H130" s="1">
        <f t="shared" si="25"/>
        <v>79.000000000000014</v>
      </c>
      <c r="J130" s="1">
        <v>0</v>
      </c>
      <c r="K130" s="1">
        <f t="shared" si="20"/>
        <v>227.99999999999989</v>
      </c>
      <c r="L130" s="1">
        <v>0.6</v>
      </c>
      <c r="M130" s="1">
        <f t="shared" si="21"/>
        <v>108.50000000000001</v>
      </c>
      <c r="N130" s="8">
        <f t="shared" si="16"/>
        <v>-0.6</v>
      </c>
      <c r="O130" s="1">
        <f t="shared" si="24"/>
        <v>182.6</v>
      </c>
      <c r="P130" s="1">
        <v>91</v>
      </c>
      <c r="Q130" s="1">
        <v>1</v>
      </c>
      <c r="R130" s="9">
        <f t="shared" si="18"/>
        <v>0.6</v>
      </c>
      <c r="S130" s="9">
        <f t="shared" si="14"/>
        <v>-0.6</v>
      </c>
      <c r="T130" s="9">
        <f t="shared" si="23"/>
        <v>165.37625</v>
      </c>
      <c r="U130" s="9">
        <f>(U126*100)/189.6</f>
        <v>88.629096059616174</v>
      </c>
      <c r="V130" s="10">
        <v>465.1</v>
      </c>
      <c r="W130" s="1">
        <f t="shared" si="15"/>
        <v>930.2</v>
      </c>
      <c r="X130" s="1">
        <f t="shared" si="22"/>
        <v>50779.69999999999</v>
      </c>
      <c r="Y130" s="1">
        <f t="shared" si="26"/>
        <v>4543.8</v>
      </c>
      <c r="AA130" s="16">
        <v>8.3938865742811508</v>
      </c>
    </row>
    <row r="131" spans="1:27" s="1" customFormat="1" x14ac:dyDescent="0.25">
      <c r="A131" s="81"/>
      <c r="B131" s="15">
        <v>10</v>
      </c>
      <c r="C131" s="3">
        <v>41612</v>
      </c>
      <c r="D131" s="12">
        <v>4.9000000000000004</v>
      </c>
      <c r="E131" s="13">
        <v>-0.2</v>
      </c>
      <c r="F131" s="1">
        <v>6.9</v>
      </c>
      <c r="G131" s="1">
        <f t="shared" si="19"/>
        <v>990.60000000000059</v>
      </c>
      <c r="H131" s="1">
        <f t="shared" si="25"/>
        <v>83.90000000000002</v>
      </c>
      <c r="J131" s="1">
        <v>0.4</v>
      </c>
      <c r="K131" s="1">
        <f t="shared" si="20"/>
        <v>228.39999999999989</v>
      </c>
      <c r="L131" s="1">
        <v>0.2</v>
      </c>
      <c r="M131" s="1">
        <f t="shared" si="21"/>
        <v>108.70000000000002</v>
      </c>
      <c r="N131" s="1">
        <f t="shared" si="16"/>
        <v>0.2</v>
      </c>
      <c r="O131" s="1">
        <f t="shared" si="24"/>
        <v>182.79999999999998</v>
      </c>
      <c r="P131" s="1">
        <v>92</v>
      </c>
      <c r="Q131" s="1">
        <v>1</v>
      </c>
      <c r="R131" s="9">
        <f t="shared" si="18"/>
        <v>0.2</v>
      </c>
      <c r="S131" s="9">
        <f t="shared" si="14"/>
        <v>0.2</v>
      </c>
      <c r="T131" s="9">
        <f t="shared" si="23"/>
        <v>165.57624999999999</v>
      </c>
      <c r="V131" s="10">
        <v>177.8</v>
      </c>
      <c r="W131" s="1">
        <f t="shared" si="15"/>
        <v>36.285714285714285</v>
      </c>
      <c r="X131" s="1">
        <f t="shared" si="22"/>
        <v>50957.499999999993</v>
      </c>
      <c r="Y131" s="1">
        <f t="shared" si="26"/>
        <v>4721.6000000000004</v>
      </c>
      <c r="AA131" s="16">
        <v>8.3659358262648702</v>
      </c>
    </row>
    <row r="132" spans="1:27" s="1" customFormat="1" x14ac:dyDescent="0.25">
      <c r="A132" s="81"/>
      <c r="B132" s="15">
        <v>11</v>
      </c>
      <c r="C132" s="3">
        <v>41613</v>
      </c>
      <c r="D132" s="12">
        <v>4.2</v>
      </c>
      <c r="E132" s="13">
        <v>-0.7</v>
      </c>
      <c r="F132" s="1">
        <v>7.9</v>
      </c>
      <c r="G132" s="1">
        <f t="shared" si="19"/>
        <v>994.80000000000064</v>
      </c>
      <c r="H132" s="1">
        <f t="shared" si="25"/>
        <v>88.100000000000023</v>
      </c>
      <c r="J132" s="1">
        <v>1.9</v>
      </c>
      <c r="K132" s="1">
        <f t="shared" si="20"/>
        <v>230.2999999999999</v>
      </c>
      <c r="L132" s="1">
        <v>0.4</v>
      </c>
      <c r="M132" s="1">
        <f t="shared" si="21"/>
        <v>109.10000000000002</v>
      </c>
      <c r="N132" s="1">
        <f t="shared" si="16"/>
        <v>1.5</v>
      </c>
      <c r="O132" s="1">
        <f t="shared" si="24"/>
        <v>184.29999999999998</v>
      </c>
      <c r="P132" s="1">
        <v>93</v>
      </c>
      <c r="Q132" s="1">
        <v>1</v>
      </c>
      <c r="R132" s="9">
        <f t="shared" si="18"/>
        <v>0.4</v>
      </c>
      <c r="S132" s="9">
        <f t="shared" si="14"/>
        <v>1.5</v>
      </c>
      <c r="T132" s="9">
        <f t="shared" si="23"/>
        <v>167.07624999999999</v>
      </c>
      <c r="V132" s="10">
        <v>389.7</v>
      </c>
      <c r="W132" s="1">
        <f t="shared" si="15"/>
        <v>92.785714285714278</v>
      </c>
      <c r="X132" s="1">
        <f t="shared" si="22"/>
        <v>51347.19999999999</v>
      </c>
      <c r="Y132" s="1">
        <f t="shared" si="26"/>
        <v>5111.3</v>
      </c>
      <c r="AA132" s="16">
        <v>8.3393564151903394</v>
      </c>
    </row>
    <row r="133" spans="1:27" s="1" customFormat="1" x14ac:dyDescent="0.25">
      <c r="A133" s="81"/>
      <c r="B133" s="15">
        <v>12</v>
      </c>
      <c r="C133" s="3">
        <v>41614</v>
      </c>
      <c r="D133" s="12">
        <v>4.2</v>
      </c>
      <c r="E133" s="12">
        <v>2.2000000000000002</v>
      </c>
      <c r="F133" s="1">
        <v>6.1</v>
      </c>
      <c r="G133" s="1">
        <f t="shared" si="19"/>
        <v>999.00000000000068</v>
      </c>
      <c r="H133" s="1">
        <f t="shared" si="25"/>
        <v>92.300000000000026</v>
      </c>
      <c r="J133" s="1">
        <v>0.3</v>
      </c>
      <c r="K133" s="1">
        <f t="shared" si="20"/>
        <v>230.59999999999991</v>
      </c>
      <c r="L133" s="1">
        <v>0.8</v>
      </c>
      <c r="M133" s="1">
        <f t="shared" si="21"/>
        <v>109.90000000000002</v>
      </c>
      <c r="N133" s="8">
        <f t="shared" si="16"/>
        <v>-0.5</v>
      </c>
      <c r="O133" s="1">
        <f t="shared" si="24"/>
        <v>183.79999999999998</v>
      </c>
      <c r="P133" s="1">
        <v>94</v>
      </c>
      <c r="Q133" s="1">
        <v>1</v>
      </c>
      <c r="R133" s="9">
        <f t="shared" si="18"/>
        <v>0.8</v>
      </c>
      <c r="S133" s="9">
        <f t="shared" si="14"/>
        <v>-0.5</v>
      </c>
      <c r="T133" s="9">
        <f t="shared" si="23"/>
        <v>166.57624999999999</v>
      </c>
      <c r="V133" s="10">
        <v>367.3</v>
      </c>
      <c r="W133" s="1">
        <f t="shared" si="15"/>
        <v>87.452380952380949</v>
      </c>
      <c r="X133" s="1">
        <f t="shared" si="22"/>
        <v>51714.499999999993</v>
      </c>
      <c r="Y133" s="1">
        <f t="shared" si="26"/>
        <v>5478.6</v>
      </c>
      <c r="AA133" s="16">
        <v>8.3141770240623103</v>
      </c>
    </row>
    <row r="134" spans="1:27" s="1" customFormat="1" x14ac:dyDescent="0.25">
      <c r="A134" s="81"/>
      <c r="B134" s="5"/>
      <c r="C134" s="3">
        <v>41615</v>
      </c>
      <c r="D134" s="1">
        <v>6.2</v>
      </c>
      <c r="E134" s="12">
        <v>4.3</v>
      </c>
      <c r="F134" s="1">
        <v>7.4</v>
      </c>
      <c r="G134" s="1">
        <f t="shared" si="19"/>
        <v>1005.2000000000007</v>
      </c>
      <c r="H134" s="1">
        <f t="shared" si="25"/>
        <v>98.500000000000028</v>
      </c>
      <c r="J134" s="1">
        <v>0.5</v>
      </c>
      <c r="K134" s="1">
        <f t="shared" si="20"/>
        <v>231.09999999999991</v>
      </c>
      <c r="L134" s="1">
        <v>0.2</v>
      </c>
      <c r="M134" s="1">
        <f t="shared" si="21"/>
        <v>110.10000000000002</v>
      </c>
      <c r="N134" s="1">
        <f t="shared" si="16"/>
        <v>0.3</v>
      </c>
      <c r="O134" s="1">
        <f t="shared" si="24"/>
        <v>184.1</v>
      </c>
      <c r="P134" s="1">
        <v>95</v>
      </c>
      <c r="Q134" s="1">
        <v>1</v>
      </c>
      <c r="R134" s="9">
        <f t="shared" si="18"/>
        <v>0.2</v>
      </c>
      <c r="S134" s="9">
        <f t="shared" si="14"/>
        <v>0.3</v>
      </c>
      <c r="T134" s="9">
        <f t="shared" si="23"/>
        <v>166.87625</v>
      </c>
      <c r="V134" s="10">
        <v>133.69999999999999</v>
      </c>
      <c r="W134" s="1">
        <f t="shared" si="15"/>
        <v>21.564516129032256</v>
      </c>
      <c r="X134" s="1">
        <f t="shared" si="22"/>
        <v>51848.19999999999</v>
      </c>
      <c r="Y134" s="1">
        <f t="shared" si="26"/>
        <v>5612.3</v>
      </c>
      <c r="AA134" s="16">
        <v>8.2904253422086001</v>
      </c>
    </row>
    <row r="135" spans="1:27" s="1" customFormat="1" x14ac:dyDescent="0.25">
      <c r="A135" s="81"/>
      <c r="B135" s="5"/>
      <c r="C135" s="3">
        <v>41616</v>
      </c>
      <c r="D135" s="1">
        <v>5.7</v>
      </c>
      <c r="E135" s="12">
        <v>4.4000000000000004</v>
      </c>
      <c r="F135" s="1">
        <v>8.4</v>
      </c>
      <c r="G135" s="1">
        <f t="shared" si="19"/>
        <v>1010.9000000000008</v>
      </c>
      <c r="H135" s="1">
        <f t="shared" si="25"/>
        <v>104.20000000000003</v>
      </c>
      <c r="J135" s="1">
        <v>0.4</v>
      </c>
      <c r="K135" s="1">
        <f t="shared" si="20"/>
        <v>231.49999999999991</v>
      </c>
      <c r="L135" s="1">
        <v>0.6</v>
      </c>
      <c r="M135" s="1">
        <f t="shared" si="21"/>
        <v>110.70000000000002</v>
      </c>
      <c r="N135" s="8">
        <f t="shared" si="16"/>
        <v>-0.19999999999999996</v>
      </c>
      <c r="O135" s="1">
        <f t="shared" si="24"/>
        <v>183.9</v>
      </c>
      <c r="P135" s="1">
        <v>96</v>
      </c>
      <c r="Q135" s="1">
        <v>1</v>
      </c>
      <c r="R135" s="9">
        <f t="shared" si="18"/>
        <v>0.6</v>
      </c>
      <c r="S135" s="9">
        <f t="shared" si="14"/>
        <v>-0.19999999999999996</v>
      </c>
      <c r="T135" s="9">
        <f t="shared" si="23"/>
        <v>166.67625000000001</v>
      </c>
      <c r="V135" s="10">
        <v>262.89999999999998</v>
      </c>
      <c r="W135" s="1">
        <f t="shared" si="15"/>
        <v>46.122807017543856</v>
      </c>
      <c r="X135" s="1">
        <f t="shared" si="22"/>
        <v>52111.099999999991</v>
      </c>
      <c r="Y135" s="1">
        <f t="shared" si="26"/>
        <v>5875.2</v>
      </c>
      <c r="AA135" s="16">
        <v>8.2681279638867906</v>
      </c>
    </row>
    <row r="136" spans="1:27" s="1" customFormat="1" x14ac:dyDescent="0.25">
      <c r="A136" s="81"/>
      <c r="B136" s="15">
        <v>13</v>
      </c>
      <c r="C136" s="3">
        <v>41617</v>
      </c>
      <c r="D136" s="12">
        <v>2.9</v>
      </c>
      <c r="E136" s="12">
        <v>1.1000000000000001</v>
      </c>
      <c r="F136" s="1">
        <v>7.3</v>
      </c>
      <c r="G136" s="1">
        <f t="shared" si="19"/>
        <v>1013.8000000000008</v>
      </c>
      <c r="H136" s="1">
        <f t="shared" si="25"/>
        <v>107.10000000000004</v>
      </c>
      <c r="J136" s="1">
        <v>0</v>
      </c>
      <c r="K136" s="1">
        <f t="shared" si="20"/>
        <v>231.49999999999991</v>
      </c>
      <c r="L136" s="1">
        <v>0.8</v>
      </c>
      <c r="M136" s="1">
        <f t="shared" si="21"/>
        <v>111.50000000000001</v>
      </c>
      <c r="N136" s="8">
        <f t="shared" si="16"/>
        <v>-0.8</v>
      </c>
      <c r="O136" s="1">
        <f t="shared" si="24"/>
        <v>183.1</v>
      </c>
      <c r="P136" s="1">
        <v>97</v>
      </c>
      <c r="Q136" s="1">
        <v>1</v>
      </c>
      <c r="R136" s="9">
        <f t="shared" si="18"/>
        <v>0.8</v>
      </c>
      <c r="S136" s="9">
        <f t="shared" si="14"/>
        <v>-0.8</v>
      </c>
      <c r="T136" s="9">
        <f t="shared" si="23"/>
        <v>165.87625</v>
      </c>
      <c r="V136" s="10">
        <v>423.8</v>
      </c>
      <c r="W136" s="1">
        <f t="shared" si="15"/>
        <v>146.13793103448276</v>
      </c>
      <c r="X136" s="1">
        <f t="shared" si="22"/>
        <v>52534.899999999994</v>
      </c>
      <c r="Y136" s="1">
        <f t="shared" si="26"/>
        <v>6299</v>
      </c>
      <c r="AA136" s="16">
        <v>8.24731028821774</v>
      </c>
    </row>
    <row r="137" spans="1:27" s="1" customFormat="1" x14ac:dyDescent="0.25">
      <c r="A137" s="81"/>
      <c r="B137" s="15">
        <v>14</v>
      </c>
      <c r="C137" s="3">
        <v>41618</v>
      </c>
      <c r="D137" s="12">
        <v>0.6</v>
      </c>
      <c r="E137" s="13">
        <v>-2.2999999999999998</v>
      </c>
      <c r="F137" s="12">
        <v>4.8</v>
      </c>
      <c r="G137" s="1">
        <f t="shared" si="19"/>
        <v>1014.4000000000008</v>
      </c>
      <c r="H137" s="1">
        <f t="shared" si="25"/>
        <v>107.70000000000003</v>
      </c>
      <c r="J137" s="1">
        <v>0.2</v>
      </c>
      <c r="K137" s="1">
        <f t="shared" si="20"/>
        <v>231.6999999999999</v>
      </c>
      <c r="L137" s="1">
        <v>0.7</v>
      </c>
      <c r="M137" s="1">
        <f t="shared" si="21"/>
        <v>112.20000000000002</v>
      </c>
      <c r="N137" s="8">
        <f t="shared" si="16"/>
        <v>-0.49999999999999994</v>
      </c>
      <c r="O137" s="1">
        <f t="shared" si="24"/>
        <v>182.6</v>
      </c>
      <c r="P137" s="1">
        <v>98</v>
      </c>
      <c r="Q137" s="1">
        <v>1</v>
      </c>
      <c r="R137" s="9">
        <f t="shared" si="18"/>
        <v>0.7</v>
      </c>
      <c r="S137" s="9">
        <f t="shared" si="14"/>
        <v>-0.49999999999999994</v>
      </c>
      <c r="T137" s="9">
        <f t="shared" si="23"/>
        <v>165.37625</v>
      </c>
      <c r="V137" s="10">
        <v>452.4</v>
      </c>
      <c r="W137" s="1">
        <f t="shared" si="15"/>
        <v>754</v>
      </c>
      <c r="X137" s="1">
        <f t="shared" si="22"/>
        <v>52987.299999999996</v>
      </c>
      <c r="Y137" s="1">
        <f t="shared" si="26"/>
        <v>6751.4</v>
      </c>
      <c r="AA137" s="16">
        <v>8.2279964211608494</v>
      </c>
    </row>
    <row r="138" spans="1:27" s="1" customFormat="1" x14ac:dyDescent="0.25">
      <c r="A138" s="81"/>
      <c r="B138" s="15">
        <v>15</v>
      </c>
      <c r="C138" s="3">
        <v>41619</v>
      </c>
      <c r="D138" s="12">
        <v>0</v>
      </c>
      <c r="E138" s="13">
        <v>-2.1</v>
      </c>
      <c r="F138" s="12">
        <v>3.7</v>
      </c>
      <c r="G138" s="1">
        <f t="shared" si="19"/>
        <v>1014.4000000000008</v>
      </c>
      <c r="H138" s="1">
        <f t="shared" si="25"/>
        <v>107.70000000000003</v>
      </c>
      <c r="J138" s="1">
        <v>0</v>
      </c>
      <c r="K138" s="1">
        <f t="shared" si="20"/>
        <v>231.6999999999999</v>
      </c>
      <c r="L138" s="1">
        <v>0.7</v>
      </c>
      <c r="M138" s="1">
        <f t="shared" si="21"/>
        <v>112.90000000000002</v>
      </c>
      <c r="N138" s="8">
        <f t="shared" si="16"/>
        <v>-0.7</v>
      </c>
      <c r="O138" s="1">
        <f t="shared" si="24"/>
        <v>181.9</v>
      </c>
      <c r="P138" s="1">
        <v>99</v>
      </c>
      <c r="Q138" s="1">
        <v>1</v>
      </c>
      <c r="R138" s="9">
        <f t="shared" si="18"/>
        <v>0.7</v>
      </c>
      <c r="S138" s="9">
        <f t="shared" si="14"/>
        <v>-0.7</v>
      </c>
      <c r="T138" s="9">
        <f t="shared" si="23"/>
        <v>164.67625000000001</v>
      </c>
      <c r="V138" s="10">
        <v>413.1</v>
      </c>
      <c r="W138" s="1" t="e">
        <f t="shared" si="15"/>
        <v>#DIV/0!</v>
      </c>
      <c r="X138" s="1">
        <f t="shared" si="22"/>
        <v>53400.399999999994</v>
      </c>
      <c r="Y138" s="1">
        <f t="shared" si="26"/>
        <v>7164.5</v>
      </c>
      <c r="AA138" s="16">
        <v>8.2102090802609293</v>
      </c>
    </row>
    <row r="139" spans="1:27" s="1" customFormat="1" x14ac:dyDescent="0.25">
      <c r="A139" s="81"/>
      <c r="B139" s="15">
        <v>16</v>
      </c>
      <c r="C139" s="3">
        <v>41620</v>
      </c>
      <c r="D139" s="13">
        <v>-0.9</v>
      </c>
      <c r="E139" s="13">
        <v>-2.8</v>
      </c>
      <c r="F139" s="12">
        <v>0.9</v>
      </c>
      <c r="G139" s="1">
        <v>1014.4</v>
      </c>
      <c r="H139" s="1">
        <v>107.7</v>
      </c>
      <c r="J139" s="1">
        <v>0.1</v>
      </c>
      <c r="K139" s="1">
        <f t="shared" si="20"/>
        <v>231.7999999999999</v>
      </c>
      <c r="L139" s="1">
        <v>0.3</v>
      </c>
      <c r="M139" s="1">
        <f t="shared" si="21"/>
        <v>113.20000000000002</v>
      </c>
      <c r="N139" s="8">
        <f t="shared" si="16"/>
        <v>-0.19999999999999998</v>
      </c>
      <c r="O139" s="1">
        <f t="shared" si="24"/>
        <v>181.70000000000002</v>
      </c>
      <c r="P139" s="1">
        <v>100</v>
      </c>
      <c r="Q139" s="1">
        <v>1</v>
      </c>
      <c r="R139" s="9">
        <f t="shared" si="18"/>
        <v>0.3</v>
      </c>
      <c r="S139" s="9">
        <f t="shared" si="14"/>
        <v>-0.19999999999999998</v>
      </c>
      <c r="T139" s="9">
        <f t="shared" si="23"/>
        <v>164.47625000000002</v>
      </c>
      <c r="V139" s="10">
        <v>252.9</v>
      </c>
      <c r="W139" s="1">
        <f t="shared" si="15"/>
        <v>-281</v>
      </c>
      <c r="X139" s="1">
        <f t="shared" si="22"/>
        <v>53653.299999999996</v>
      </c>
      <c r="Y139" s="1">
        <f t="shared" si="26"/>
        <v>7417.4</v>
      </c>
      <c r="AA139" s="16">
        <v>8.1939695029020498</v>
      </c>
    </row>
    <row r="140" spans="1:27" s="1" customFormat="1" x14ac:dyDescent="0.25">
      <c r="A140" s="81"/>
      <c r="B140" s="15">
        <v>17</v>
      </c>
      <c r="C140" s="3">
        <v>41621</v>
      </c>
      <c r="D140" s="12">
        <v>1.2</v>
      </c>
      <c r="E140" s="13">
        <v>-2.1</v>
      </c>
      <c r="F140" s="12">
        <v>3.7</v>
      </c>
      <c r="G140" s="1">
        <f t="shared" si="19"/>
        <v>1015.6</v>
      </c>
      <c r="H140" s="1">
        <f t="shared" si="25"/>
        <v>108.9</v>
      </c>
      <c r="J140" s="1">
        <v>4.2</v>
      </c>
      <c r="K140" s="1">
        <f t="shared" si="20"/>
        <v>235.99999999999989</v>
      </c>
      <c r="L140" s="1">
        <v>0.3</v>
      </c>
      <c r="M140" s="1">
        <f t="shared" si="21"/>
        <v>113.50000000000001</v>
      </c>
      <c r="N140" s="1">
        <f t="shared" si="16"/>
        <v>3.9000000000000004</v>
      </c>
      <c r="O140" s="1">
        <f t="shared" si="24"/>
        <v>185.60000000000002</v>
      </c>
      <c r="P140" s="1">
        <v>101</v>
      </c>
      <c r="Q140" s="1">
        <v>1</v>
      </c>
      <c r="R140" s="9">
        <f t="shared" si="18"/>
        <v>0.3</v>
      </c>
      <c r="S140" s="9">
        <f t="shared" si="14"/>
        <v>3.9000000000000004</v>
      </c>
      <c r="T140" s="9">
        <f t="shared" si="23"/>
        <v>168.37625000000003</v>
      </c>
      <c r="V140" s="10">
        <v>275.5</v>
      </c>
      <c r="W140" s="1">
        <f t="shared" si="15"/>
        <v>229.58333333333334</v>
      </c>
      <c r="X140" s="1">
        <f t="shared" si="22"/>
        <v>53928.799999999996</v>
      </c>
      <c r="Y140" s="1">
        <f t="shared" si="26"/>
        <v>7692.9</v>
      </c>
      <c r="AA140" s="16">
        <v>8.1792973588013904</v>
      </c>
    </row>
    <row r="141" spans="1:27" s="1" customFormat="1" x14ac:dyDescent="0.25">
      <c r="A141" s="81"/>
      <c r="B141" s="5"/>
      <c r="C141" s="3">
        <v>41622</v>
      </c>
      <c r="D141" s="1">
        <v>5.7</v>
      </c>
      <c r="E141" s="12">
        <v>2.6</v>
      </c>
      <c r="F141" s="1">
        <v>7.9</v>
      </c>
      <c r="G141" s="1">
        <f t="shared" si="19"/>
        <v>1021.3000000000001</v>
      </c>
      <c r="H141" s="1">
        <f t="shared" si="25"/>
        <v>114.60000000000001</v>
      </c>
      <c r="J141" s="1">
        <v>0.4</v>
      </c>
      <c r="K141" s="1">
        <f t="shared" si="20"/>
        <v>236.39999999999989</v>
      </c>
      <c r="L141" s="1">
        <v>0.4</v>
      </c>
      <c r="M141" s="1">
        <f t="shared" si="21"/>
        <v>113.90000000000002</v>
      </c>
      <c r="N141" s="1">
        <f t="shared" si="16"/>
        <v>0</v>
      </c>
      <c r="O141" s="1">
        <f t="shared" si="24"/>
        <v>185.60000000000002</v>
      </c>
      <c r="P141" s="1">
        <v>102</v>
      </c>
      <c r="Q141" s="1">
        <v>1</v>
      </c>
      <c r="R141" s="9">
        <f t="shared" si="18"/>
        <v>0.4</v>
      </c>
      <c r="S141" s="9">
        <f t="shared" si="14"/>
        <v>0</v>
      </c>
      <c r="T141" s="9">
        <f t="shared" si="23"/>
        <v>168.37625000000003</v>
      </c>
      <c r="V141" s="10">
        <v>360.7</v>
      </c>
      <c r="W141" s="1">
        <f t="shared" si="15"/>
        <v>63.280701754385959</v>
      </c>
      <c r="X141" s="1">
        <f t="shared" si="22"/>
        <v>54289.499999999993</v>
      </c>
      <c r="Y141" s="1">
        <f t="shared" si="26"/>
        <v>8053.5999999999995</v>
      </c>
      <c r="AA141" s="16">
        <v>8.1662106674633801</v>
      </c>
    </row>
    <row r="142" spans="1:27" s="1" customFormat="1" x14ac:dyDescent="0.25">
      <c r="A142" s="81"/>
      <c r="B142" s="5"/>
      <c r="C142" s="3">
        <v>41623</v>
      </c>
      <c r="D142" s="1">
        <v>6.6</v>
      </c>
      <c r="E142" s="1">
        <v>5.9</v>
      </c>
      <c r="F142" s="1">
        <v>7.9</v>
      </c>
      <c r="G142" s="1">
        <f t="shared" si="19"/>
        <v>1027.9000000000001</v>
      </c>
      <c r="H142" s="1">
        <f t="shared" si="25"/>
        <v>121.2</v>
      </c>
      <c r="J142" s="1">
        <v>0</v>
      </c>
      <c r="K142" s="1">
        <f t="shared" si="20"/>
        <v>236.39999999999989</v>
      </c>
      <c r="L142" s="1">
        <v>1.2</v>
      </c>
      <c r="M142" s="1">
        <f t="shared" si="21"/>
        <v>115.10000000000002</v>
      </c>
      <c r="N142" s="8">
        <f t="shared" si="16"/>
        <v>-1.2</v>
      </c>
      <c r="O142" s="1">
        <f t="shared" si="24"/>
        <v>184.40000000000003</v>
      </c>
      <c r="P142" s="1">
        <v>103</v>
      </c>
      <c r="Q142" s="1">
        <v>1</v>
      </c>
      <c r="R142" s="9">
        <f t="shared" si="18"/>
        <v>1.2</v>
      </c>
      <c r="S142" s="9">
        <f t="shared" si="14"/>
        <v>-1.2</v>
      </c>
      <c r="T142" s="9">
        <f t="shared" si="23"/>
        <v>167.17625000000004</v>
      </c>
      <c r="V142" s="10">
        <v>272.3</v>
      </c>
      <c r="W142" s="1">
        <f t="shared" si="15"/>
        <v>41.257575757575765</v>
      </c>
      <c r="X142" s="1">
        <f t="shared" si="22"/>
        <v>54561.799999999996</v>
      </c>
      <c r="Y142" s="1">
        <f t="shared" si="26"/>
        <v>8325.9</v>
      </c>
      <c r="AA142" s="16">
        <v>8.1547257212929107</v>
      </c>
    </row>
    <row r="143" spans="1:27" s="54" customFormat="1" ht="15.75" thickBot="1" x14ac:dyDescent="0.3">
      <c r="A143" s="81"/>
      <c r="B143" s="39"/>
      <c r="C143" s="53">
        <v>41624</v>
      </c>
      <c r="D143" s="54">
        <v>6.6</v>
      </c>
      <c r="E143" s="54">
        <v>4.2</v>
      </c>
      <c r="F143" s="54">
        <v>9.6</v>
      </c>
      <c r="G143" s="54">
        <f t="shared" si="19"/>
        <v>1034.5</v>
      </c>
      <c r="H143" s="48">
        <f t="shared" si="25"/>
        <v>127.8</v>
      </c>
      <c r="I143" s="48"/>
      <c r="J143" s="54">
        <v>0</v>
      </c>
      <c r="K143" s="54">
        <f t="shared" si="20"/>
        <v>236.39999999999989</v>
      </c>
      <c r="L143" s="54">
        <v>1.1000000000000001</v>
      </c>
      <c r="M143" s="54">
        <f t="shared" si="21"/>
        <v>116.20000000000002</v>
      </c>
      <c r="N143" s="54">
        <f t="shared" si="16"/>
        <v>-1.1000000000000001</v>
      </c>
      <c r="O143" s="42">
        <f t="shared" si="24"/>
        <v>183.30000000000004</v>
      </c>
      <c r="P143" s="42">
        <v>104</v>
      </c>
      <c r="Q143" s="42">
        <v>1</v>
      </c>
      <c r="R143" s="44">
        <f t="shared" si="18"/>
        <v>1.1000000000000001</v>
      </c>
      <c r="S143" s="44">
        <f t="shared" si="14"/>
        <v>-1.1000000000000001</v>
      </c>
      <c r="T143" s="44">
        <f t="shared" si="23"/>
        <v>166.07625000000004</v>
      </c>
      <c r="V143" s="45">
        <v>477.1</v>
      </c>
      <c r="W143" s="54">
        <f t="shared" si="15"/>
        <v>72.287878787878796</v>
      </c>
      <c r="X143" s="54">
        <f t="shared" si="22"/>
        <v>55038.899999999994</v>
      </c>
      <c r="Y143" s="48">
        <f t="shared" si="26"/>
        <v>8803</v>
      </c>
      <c r="AA143" s="55">
        <v>8.1448570150340593</v>
      </c>
    </row>
    <row r="144" spans="1:27" s="1" customFormat="1" ht="15" customHeight="1" x14ac:dyDescent="0.25">
      <c r="A144" s="38" t="s">
        <v>21</v>
      </c>
      <c r="B144" s="17"/>
      <c r="C144" s="3">
        <v>41625</v>
      </c>
      <c r="D144" s="1">
        <v>6</v>
      </c>
      <c r="E144" s="12">
        <v>3.7</v>
      </c>
      <c r="F144" s="1">
        <v>7.4</v>
      </c>
      <c r="G144" s="1">
        <f t="shared" si="19"/>
        <v>1040.5</v>
      </c>
      <c r="H144" s="1">
        <f>6</f>
        <v>6</v>
      </c>
      <c r="I144" s="18" t="s">
        <v>2</v>
      </c>
      <c r="J144" s="1">
        <v>0</v>
      </c>
      <c r="K144" s="1">
        <f t="shared" si="20"/>
        <v>236.39999999999989</v>
      </c>
      <c r="L144" s="1">
        <v>0.6</v>
      </c>
      <c r="M144" s="1">
        <f t="shared" si="21"/>
        <v>116.80000000000001</v>
      </c>
      <c r="N144" s="8">
        <f t="shared" si="16"/>
        <v>-0.6</v>
      </c>
      <c r="O144" s="1">
        <f t="shared" si="24"/>
        <v>182.70000000000005</v>
      </c>
      <c r="P144" s="1">
        <v>105</v>
      </c>
      <c r="Q144" s="11">
        <f>1+((P144-104)/110)*(1.15-1)</f>
        <v>1.0013636363636365</v>
      </c>
      <c r="R144" s="9">
        <f t="shared" si="18"/>
        <v>0.60081818181818181</v>
      </c>
      <c r="S144" s="9">
        <f t="shared" si="14"/>
        <v>-0.60081818181818181</v>
      </c>
      <c r="T144" s="9">
        <f t="shared" si="23"/>
        <v>165.47543181818187</v>
      </c>
      <c r="U144" s="18" t="s">
        <v>3</v>
      </c>
      <c r="V144" s="10">
        <v>154.4</v>
      </c>
      <c r="W144" s="1">
        <f t="shared" si="15"/>
        <v>25.733333333333334</v>
      </c>
      <c r="X144" s="1">
        <f t="shared" si="22"/>
        <v>55193.299999999996</v>
      </c>
      <c r="Y144" s="1">
        <v>154.4</v>
      </c>
      <c r="Z144" s="18" t="s">
        <v>4</v>
      </c>
      <c r="AA144" s="16">
        <v>8.1366171821599593</v>
      </c>
    </row>
    <row r="145" spans="1:27" s="1" customFormat="1" x14ac:dyDescent="0.25">
      <c r="A145" s="38"/>
      <c r="B145" s="17"/>
      <c r="C145" s="3">
        <v>41626</v>
      </c>
      <c r="D145" s="1">
        <v>7.6</v>
      </c>
      <c r="E145" s="1">
        <v>5.5</v>
      </c>
      <c r="F145" s="1">
        <v>8.9</v>
      </c>
      <c r="G145" s="1">
        <f t="shared" si="19"/>
        <v>1048.0999999999999</v>
      </c>
      <c r="H145" s="1">
        <f>H144+D145</f>
        <v>13.6</v>
      </c>
      <c r="I145" s="1">
        <f>MIN(E144:E253)</f>
        <v>-1.5</v>
      </c>
      <c r="J145" s="1">
        <v>7.6</v>
      </c>
      <c r="K145" s="1">
        <f t="shared" si="20"/>
        <v>243.99999999999989</v>
      </c>
      <c r="L145" s="1">
        <v>0.6</v>
      </c>
      <c r="M145" s="1">
        <f t="shared" si="21"/>
        <v>117.4</v>
      </c>
      <c r="N145" s="1">
        <f t="shared" si="16"/>
        <v>7</v>
      </c>
      <c r="O145" s="1">
        <v>189.6</v>
      </c>
      <c r="P145" s="1">
        <v>106</v>
      </c>
      <c r="Q145" s="11">
        <f t="shared" ref="Q145:Q208" si="27">1+((P145-104)/110)*(1.15-1)</f>
        <v>1.0027272727272727</v>
      </c>
      <c r="R145" s="9">
        <f t="shared" si="18"/>
        <v>0.60163636363636364</v>
      </c>
      <c r="S145" s="9">
        <f t="shared" si="14"/>
        <v>6.9983636363636359</v>
      </c>
      <c r="T145" s="9">
        <f t="shared" si="23"/>
        <v>172.47379545454552</v>
      </c>
      <c r="V145" s="10">
        <v>369.7</v>
      </c>
      <c r="W145" s="1">
        <f t="shared" si="15"/>
        <v>48.644736842105267</v>
      </c>
      <c r="X145" s="1">
        <f t="shared" si="22"/>
        <v>55562.999999999993</v>
      </c>
      <c r="Y145" s="1">
        <f t="shared" si="26"/>
        <v>524.1</v>
      </c>
      <c r="Z145" s="1">
        <v>60647.8</v>
      </c>
      <c r="AA145" s="16">
        <v>8.1300169387881809</v>
      </c>
    </row>
    <row r="146" spans="1:27" s="1" customFormat="1" x14ac:dyDescent="0.25">
      <c r="A146" s="38"/>
      <c r="B146" s="17"/>
      <c r="C146" s="3">
        <v>41627</v>
      </c>
      <c r="D146" s="1">
        <v>6.9</v>
      </c>
      <c r="E146" s="12">
        <v>4.4000000000000004</v>
      </c>
      <c r="F146" s="1">
        <v>8.6999999999999993</v>
      </c>
      <c r="G146" s="1">
        <f t="shared" si="19"/>
        <v>1055</v>
      </c>
      <c r="H146" s="1">
        <f t="shared" ref="H146:H209" si="28">H145+D146</f>
        <v>20.5</v>
      </c>
      <c r="I146" s="18" t="s">
        <v>5</v>
      </c>
      <c r="J146" s="1">
        <v>1.1000000000000001</v>
      </c>
      <c r="K146" s="1">
        <f t="shared" si="20"/>
        <v>245.09999999999988</v>
      </c>
      <c r="L146" s="1">
        <v>0.5</v>
      </c>
      <c r="M146" s="1">
        <f t="shared" si="21"/>
        <v>117.9</v>
      </c>
      <c r="N146" s="1">
        <f t="shared" si="16"/>
        <v>0.60000000000000009</v>
      </c>
      <c r="O146" s="1">
        <v>189.6</v>
      </c>
      <c r="P146" s="1">
        <v>107</v>
      </c>
      <c r="Q146" s="11">
        <f t="shared" si="27"/>
        <v>1.0040909090909091</v>
      </c>
      <c r="R146" s="9">
        <f t="shared" si="18"/>
        <v>0.50204545454545457</v>
      </c>
      <c r="S146" s="9">
        <f t="shared" si="14"/>
        <v>0.59795454545454552</v>
      </c>
      <c r="T146" s="9">
        <f t="shared" si="23"/>
        <v>173.07175000000007</v>
      </c>
      <c r="U146" s="18" t="s">
        <v>6</v>
      </c>
      <c r="V146" s="10">
        <v>391.8</v>
      </c>
      <c r="W146" s="1">
        <f t="shared" si="15"/>
        <v>56.782608695652172</v>
      </c>
      <c r="X146" s="1">
        <f t="shared" si="22"/>
        <v>55954.799999999996</v>
      </c>
      <c r="Y146" s="1">
        <f t="shared" si="26"/>
        <v>915.90000000000009</v>
      </c>
      <c r="Z146" s="18" t="s">
        <v>7</v>
      </c>
      <c r="AA146" s="16">
        <v>8.1250650356366894</v>
      </c>
    </row>
    <row r="147" spans="1:27" s="1" customFormat="1" x14ac:dyDescent="0.25">
      <c r="A147" s="38"/>
      <c r="B147" s="15">
        <v>18</v>
      </c>
      <c r="C147" s="3">
        <v>41628</v>
      </c>
      <c r="D147" s="12">
        <v>4.5</v>
      </c>
      <c r="E147" s="12">
        <v>1.9</v>
      </c>
      <c r="F147" s="1">
        <v>7.3</v>
      </c>
      <c r="G147" s="1">
        <f t="shared" si="19"/>
        <v>1059.5</v>
      </c>
      <c r="H147" s="1">
        <f t="shared" si="28"/>
        <v>25</v>
      </c>
      <c r="I147" s="1">
        <f>MAX(F144:F253)</f>
        <v>20</v>
      </c>
      <c r="J147" s="1">
        <v>0.2</v>
      </c>
      <c r="K147" s="1">
        <f t="shared" si="20"/>
        <v>245.29999999999987</v>
      </c>
      <c r="L147" s="1">
        <v>0.6</v>
      </c>
      <c r="M147" s="1">
        <f t="shared" si="21"/>
        <v>118.5</v>
      </c>
      <c r="N147" s="8">
        <f t="shared" si="16"/>
        <v>-0.39999999999999997</v>
      </c>
      <c r="O147" s="1">
        <f>O146+N147</f>
        <v>189.2</v>
      </c>
      <c r="P147" s="1">
        <v>108</v>
      </c>
      <c r="Q147" s="11">
        <f t="shared" si="27"/>
        <v>1.0054545454545454</v>
      </c>
      <c r="R147" s="9">
        <f t="shared" si="18"/>
        <v>0.60327272727272718</v>
      </c>
      <c r="S147" s="9">
        <f t="shared" si="14"/>
        <v>-0.40327272727272717</v>
      </c>
      <c r="T147" s="9">
        <f t="shared" si="23"/>
        <v>172.66847727272733</v>
      </c>
      <c r="V147" s="10">
        <v>433.5</v>
      </c>
      <c r="W147" s="1">
        <f t="shared" si="15"/>
        <v>96.333333333333329</v>
      </c>
      <c r="X147" s="1">
        <f t="shared" si="22"/>
        <v>56388.299999999996</v>
      </c>
      <c r="Y147" s="1">
        <f t="shared" si="26"/>
        <v>1349.4</v>
      </c>
      <c r="Z147" s="11">
        <f>(Z145/100)/I157</f>
        <v>0.78204771115409422</v>
      </c>
      <c r="AA147" s="16">
        <v>8.1217682184677304</v>
      </c>
    </row>
    <row r="148" spans="1:27" s="1" customFormat="1" x14ac:dyDescent="0.25">
      <c r="A148" s="38"/>
      <c r="B148" s="17"/>
      <c r="C148" s="3">
        <v>41629</v>
      </c>
      <c r="D148" s="1">
        <v>5.8</v>
      </c>
      <c r="E148" s="12">
        <v>4.4000000000000004</v>
      </c>
      <c r="F148" s="1">
        <v>7.9</v>
      </c>
      <c r="G148" s="1">
        <f t="shared" si="19"/>
        <v>1065.3</v>
      </c>
      <c r="H148" s="1">
        <f t="shared" si="28"/>
        <v>30.8</v>
      </c>
      <c r="I148" s="18" t="s">
        <v>8</v>
      </c>
      <c r="J148" s="1">
        <v>0.4</v>
      </c>
      <c r="K148" s="1">
        <f t="shared" si="20"/>
        <v>245.69999999999987</v>
      </c>
      <c r="L148" s="1">
        <v>1.1000000000000001</v>
      </c>
      <c r="M148" s="1">
        <f t="shared" si="21"/>
        <v>119.6</v>
      </c>
      <c r="N148" s="8">
        <f t="shared" si="16"/>
        <v>-0.70000000000000007</v>
      </c>
      <c r="O148" s="1">
        <f>O147+N148</f>
        <v>188.5</v>
      </c>
      <c r="P148" s="1">
        <v>109</v>
      </c>
      <c r="Q148" s="11">
        <f t="shared" si="27"/>
        <v>1.0068181818181818</v>
      </c>
      <c r="R148" s="9">
        <f t="shared" si="18"/>
        <v>1.1075000000000002</v>
      </c>
      <c r="S148" s="9">
        <f t="shared" si="14"/>
        <v>-0.70750000000000013</v>
      </c>
      <c r="T148" s="9">
        <f t="shared" si="23"/>
        <v>171.96097727272732</v>
      </c>
      <c r="U148" s="18" t="s">
        <v>9</v>
      </c>
      <c r="V148" s="10">
        <v>181.3</v>
      </c>
      <c r="W148" s="1">
        <f t="shared" si="15"/>
        <v>31.258620689655174</v>
      </c>
      <c r="X148" s="1">
        <f t="shared" si="22"/>
        <v>56569.599999999999</v>
      </c>
      <c r="Y148" s="1">
        <f t="shared" si="26"/>
        <v>1530.7</v>
      </c>
      <c r="Z148" s="18" t="s">
        <v>10</v>
      </c>
      <c r="AA148" s="16">
        <v>8.1201311973919896</v>
      </c>
    </row>
    <row r="149" spans="1:27" s="1" customFormat="1" x14ac:dyDescent="0.25">
      <c r="A149" s="38"/>
      <c r="B149" s="17"/>
      <c r="C149" s="3">
        <v>41630</v>
      </c>
      <c r="D149" s="19">
        <v>7.9</v>
      </c>
      <c r="E149" s="19">
        <v>5.9</v>
      </c>
      <c r="F149" s="19">
        <v>9.4</v>
      </c>
      <c r="G149" s="19">
        <f t="shared" si="19"/>
        <v>1073.2</v>
      </c>
      <c r="H149" s="1">
        <f t="shared" si="28"/>
        <v>38.700000000000003</v>
      </c>
      <c r="I149" s="9">
        <f>AVERAGE(D144:D253)</f>
        <v>6.9200000000000017</v>
      </c>
      <c r="J149" s="19">
        <v>2.5</v>
      </c>
      <c r="K149" s="19">
        <f t="shared" si="20"/>
        <v>248.19999999999987</v>
      </c>
      <c r="L149" s="19">
        <v>0.4</v>
      </c>
      <c r="M149" s="19">
        <f t="shared" si="21"/>
        <v>120</v>
      </c>
      <c r="N149" s="19">
        <f t="shared" si="16"/>
        <v>2.1</v>
      </c>
      <c r="O149" s="1">
        <v>189.6</v>
      </c>
      <c r="P149" s="1">
        <v>110</v>
      </c>
      <c r="Q149" s="11">
        <f t="shared" si="27"/>
        <v>1.0081818181818181</v>
      </c>
      <c r="R149" s="9">
        <f t="shared" si="18"/>
        <v>0.40327272727272723</v>
      </c>
      <c r="S149" s="9">
        <f t="shared" si="14"/>
        <v>2.0967272727272728</v>
      </c>
      <c r="T149" s="9">
        <f t="shared" si="23"/>
        <v>174.05770454545458</v>
      </c>
      <c r="U149" s="1">
        <v>0</v>
      </c>
      <c r="V149" s="10">
        <v>191.4</v>
      </c>
      <c r="W149" s="1">
        <f t="shared" si="15"/>
        <v>24.227848101265824</v>
      </c>
      <c r="X149" s="1">
        <f t="shared" si="22"/>
        <v>56761</v>
      </c>
      <c r="Y149" s="1">
        <f t="shared" si="26"/>
        <v>1722.1000000000001</v>
      </c>
      <c r="Z149" s="1">
        <v>84</v>
      </c>
      <c r="AA149" s="16">
        <v>8.1201566253249204</v>
      </c>
    </row>
    <row r="150" spans="1:27" s="1" customFormat="1" x14ac:dyDescent="0.25">
      <c r="A150" s="38"/>
      <c r="B150" s="17"/>
      <c r="C150" s="3">
        <v>41631</v>
      </c>
      <c r="D150" s="1">
        <v>8.6999999999999993</v>
      </c>
      <c r="E150" s="1">
        <v>5.4</v>
      </c>
      <c r="F150" s="1">
        <v>11.1</v>
      </c>
      <c r="G150" s="1">
        <f t="shared" si="19"/>
        <v>1081.9000000000001</v>
      </c>
      <c r="H150" s="1">
        <f t="shared" si="28"/>
        <v>47.400000000000006</v>
      </c>
      <c r="I150" s="18" t="s">
        <v>11</v>
      </c>
      <c r="J150" s="1">
        <v>0.9</v>
      </c>
      <c r="K150" s="1">
        <f t="shared" si="20"/>
        <v>249.09999999999988</v>
      </c>
      <c r="L150" s="1">
        <v>1</v>
      </c>
      <c r="M150" s="1">
        <f t="shared" si="21"/>
        <v>121</v>
      </c>
      <c r="N150" s="8">
        <f t="shared" si="16"/>
        <v>-9.9999999999999978E-2</v>
      </c>
      <c r="O150" s="1">
        <f>O149+N150</f>
        <v>189.5</v>
      </c>
      <c r="P150" s="1">
        <v>111</v>
      </c>
      <c r="Q150" s="11">
        <f t="shared" si="27"/>
        <v>1.0095454545454545</v>
      </c>
      <c r="R150" s="9">
        <f t="shared" si="18"/>
        <v>1.0095454545454545</v>
      </c>
      <c r="S150" s="9">
        <f t="shared" si="14"/>
        <v>-0.1095454545454545</v>
      </c>
      <c r="T150" s="9">
        <f t="shared" si="23"/>
        <v>173.94815909090912</v>
      </c>
      <c r="U150" s="18" t="s">
        <v>12</v>
      </c>
      <c r="V150" s="10">
        <v>74.900000000000006</v>
      </c>
      <c r="W150" s="1">
        <f t="shared" si="15"/>
        <v>8.6091954022988517</v>
      </c>
      <c r="X150" s="1">
        <f t="shared" si="22"/>
        <v>56835.9</v>
      </c>
      <c r="Y150" s="1">
        <f t="shared" si="26"/>
        <v>1797.0000000000002</v>
      </c>
      <c r="AA150" s="16">
        <v>8.1218450858009206</v>
      </c>
    </row>
    <row r="151" spans="1:27" s="1" customFormat="1" x14ac:dyDescent="0.25">
      <c r="A151" s="38"/>
      <c r="B151" s="17"/>
      <c r="C151" s="3">
        <v>41632</v>
      </c>
      <c r="D151" s="1">
        <v>9.6999999999999993</v>
      </c>
      <c r="E151" s="1">
        <v>7.8</v>
      </c>
      <c r="F151" s="1">
        <v>10.6</v>
      </c>
      <c r="G151" s="1">
        <f t="shared" si="19"/>
        <v>1091.6000000000001</v>
      </c>
      <c r="H151" s="1">
        <f t="shared" si="28"/>
        <v>57.100000000000009</v>
      </c>
      <c r="I151" s="1">
        <v>5</v>
      </c>
      <c r="J151" s="1">
        <v>14.6</v>
      </c>
      <c r="K151" s="1">
        <f t="shared" si="20"/>
        <v>263.69999999999987</v>
      </c>
      <c r="L151" s="1">
        <v>1.2</v>
      </c>
      <c r="M151" s="1">
        <f t="shared" si="21"/>
        <v>122.2</v>
      </c>
      <c r="N151" s="1">
        <f t="shared" si="16"/>
        <v>13.4</v>
      </c>
      <c r="O151" s="1">
        <v>189.6</v>
      </c>
      <c r="P151" s="1">
        <v>112</v>
      </c>
      <c r="Q151" s="11">
        <f t="shared" si="27"/>
        <v>1.010909090909091</v>
      </c>
      <c r="R151" s="9">
        <f t="shared" si="18"/>
        <v>1.2130909090909092</v>
      </c>
      <c r="S151" s="9">
        <f t="shared" si="14"/>
        <v>13.386909090909091</v>
      </c>
      <c r="T151" s="9">
        <f t="shared" si="23"/>
        <v>187.3350681818182</v>
      </c>
      <c r="U151" s="1">
        <v>0</v>
      </c>
      <c r="V151" s="10">
        <v>75</v>
      </c>
      <c r="W151" s="1">
        <f t="shared" si="15"/>
        <v>7.7319587628865989</v>
      </c>
      <c r="X151" s="1">
        <f t="shared" si="22"/>
        <v>56910.9</v>
      </c>
      <c r="Y151" s="1">
        <f t="shared" si="26"/>
        <v>1872.0000000000002</v>
      </c>
      <c r="AA151" s="16">
        <v>8.1251950902625492</v>
      </c>
    </row>
    <row r="152" spans="1:27" s="1" customFormat="1" x14ac:dyDescent="0.25">
      <c r="A152" s="38"/>
      <c r="B152" s="17"/>
      <c r="C152" s="3">
        <v>41633</v>
      </c>
      <c r="D152" s="1">
        <v>6.6</v>
      </c>
      <c r="E152" s="1">
        <v>5.9</v>
      </c>
      <c r="F152" s="1">
        <v>8.1</v>
      </c>
      <c r="G152" s="1">
        <f t="shared" si="19"/>
        <v>1098.2</v>
      </c>
      <c r="H152" s="1">
        <f t="shared" si="28"/>
        <v>63.70000000000001</v>
      </c>
      <c r="I152" s="18" t="s">
        <v>13</v>
      </c>
      <c r="J152" s="1">
        <v>3.7</v>
      </c>
      <c r="K152" s="1">
        <f t="shared" si="20"/>
        <v>267.39999999999986</v>
      </c>
      <c r="L152" s="1">
        <v>0.6</v>
      </c>
      <c r="M152" s="1">
        <f t="shared" si="21"/>
        <v>122.8</v>
      </c>
      <c r="N152" s="1">
        <f t="shared" si="16"/>
        <v>3.1</v>
      </c>
      <c r="O152" s="1">
        <v>189.6</v>
      </c>
      <c r="P152" s="1">
        <v>113</v>
      </c>
      <c r="Q152" s="11">
        <f t="shared" si="27"/>
        <v>1.0122727272727272</v>
      </c>
      <c r="R152" s="9">
        <f t="shared" si="18"/>
        <v>0.60736363636363633</v>
      </c>
      <c r="S152" s="9">
        <f t="shared" si="14"/>
        <v>3.0926363636363638</v>
      </c>
      <c r="T152" s="9">
        <f t="shared" si="23"/>
        <v>189.6</v>
      </c>
      <c r="U152" s="18" t="s">
        <v>14</v>
      </c>
      <c r="V152" s="10">
        <v>345.5</v>
      </c>
      <c r="W152" s="1">
        <f t="shared" si="15"/>
        <v>52.348484848484851</v>
      </c>
      <c r="X152" s="1">
        <f t="shared" si="22"/>
        <v>57256.4</v>
      </c>
      <c r="Y152" s="1">
        <f t="shared" si="26"/>
        <v>2217.5</v>
      </c>
      <c r="AA152" s="16">
        <v>8.1302030848504891</v>
      </c>
    </row>
    <row r="153" spans="1:27" s="1" customFormat="1" x14ac:dyDescent="0.25">
      <c r="A153" s="38"/>
      <c r="B153" s="17"/>
      <c r="C153" s="3">
        <v>41634</v>
      </c>
      <c r="D153" s="1">
        <v>5.5</v>
      </c>
      <c r="E153" s="12">
        <v>4.2</v>
      </c>
      <c r="F153" s="1">
        <v>7.7</v>
      </c>
      <c r="G153" s="1">
        <f t="shared" si="19"/>
        <v>1103.7</v>
      </c>
      <c r="H153" s="1">
        <f t="shared" si="28"/>
        <v>69.200000000000017</v>
      </c>
      <c r="I153" s="1">
        <v>0</v>
      </c>
      <c r="J153" s="1">
        <v>1</v>
      </c>
      <c r="K153" s="1">
        <f t="shared" si="20"/>
        <v>268.39999999999986</v>
      </c>
      <c r="L153" s="1">
        <v>0.7</v>
      </c>
      <c r="M153" s="1">
        <f t="shared" si="21"/>
        <v>123.5</v>
      </c>
      <c r="N153" s="1">
        <f t="shared" si="16"/>
        <v>0.30000000000000004</v>
      </c>
      <c r="O153" s="1">
        <v>189.6</v>
      </c>
      <c r="P153" s="1">
        <v>114</v>
      </c>
      <c r="Q153" s="11">
        <f t="shared" si="27"/>
        <v>1.0136363636363637</v>
      </c>
      <c r="R153" s="9">
        <f t="shared" si="18"/>
        <v>0.70954545454545448</v>
      </c>
      <c r="S153" s="9">
        <f t="shared" si="14"/>
        <v>0.29045454545454552</v>
      </c>
      <c r="T153" s="9">
        <f t="shared" si="23"/>
        <v>189.6</v>
      </c>
      <c r="U153" s="9">
        <f>MIN(T144:T253)</f>
        <v>135.00931818181817</v>
      </c>
      <c r="V153" s="10">
        <v>434.8</v>
      </c>
      <c r="W153" s="1">
        <f t="shared" si="15"/>
        <v>79.054545454545462</v>
      </c>
      <c r="X153" s="1">
        <f t="shared" si="22"/>
        <v>57691.200000000004</v>
      </c>
      <c r="Y153" s="1">
        <f t="shared" si="26"/>
        <v>2652.3</v>
      </c>
      <c r="AA153" s="16">
        <v>8.1368634666289203</v>
      </c>
    </row>
    <row r="154" spans="1:27" s="1" customFormat="1" x14ac:dyDescent="0.25">
      <c r="A154" s="38"/>
      <c r="B154" s="17"/>
      <c r="C154" s="3">
        <v>41635</v>
      </c>
      <c r="D154" s="1">
        <v>8.5</v>
      </c>
      <c r="E154" s="12">
        <v>4.5</v>
      </c>
      <c r="F154" s="1">
        <v>10.3</v>
      </c>
      <c r="G154" s="1">
        <f t="shared" si="19"/>
        <v>1112.2</v>
      </c>
      <c r="H154" s="1">
        <f t="shared" si="28"/>
        <v>77.700000000000017</v>
      </c>
      <c r="I154" s="18" t="s">
        <v>15</v>
      </c>
      <c r="J154" s="1">
        <v>24.8</v>
      </c>
      <c r="K154" s="1">
        <f t="shared" si="20"/>
        <v>293.19999999999987</v>
      </c>
      <c r="L154" s="1">
        <v>0.1</v>
      </c>
      <c r="M154" s="1">
        <f t="shared" si="21"/>
        <v>123.6</v>
      </c>
      <c r="N154" s="1">
        <f t="shared" si="16"/>
        <v>24.7</v>
      </c>
      <c r="O154" s="1">
        <v>189.6</v>
      </c>
      <c r="P154" s="1">
        <v>115</v>
      </c>
      <c r="Q154" s="11">
        <f t="shared" si="27"/>
        <v>1.0149999999999999</v>
      </c>
      <c r="R154" s="9">
        <f t="shared" si="18"/>
        <v>0.10149999999999999</v>
      </c>
      <c r="S154" s="9">
        <f t="shared" si="14"/>
        <v>24.698499999999999</v>
      </c>
      <c r="T154" s="9">
        <f t="shared" si="23"/>
        <v>189.6</v>
      </c>
      <c r="U154" s="18" t="s">
        <v>16</v>
      </c>
      <c r="V154" s="10">
        <v>65.900000000000006</v>
      </c>
      <c r="W154" s="1">
        <f t="shared" si="15"/>
        <v>7.7529411764705891</v>
      </c>
      <c r="X154" s="1">
        <f t="shared" si="22"/>
        <v>57757.100000000006</v>
      </c>
      <c r="Y154" s="1">
        <f t="shared" si="26"/>
        <v>2718.2000000000003</v>
      </c>
      <c r="AA154" s="16">
        <v>8.1451686090903195</v>
      </c>
    </row>
    <row r="155" spans="1:27" s="1" customFormat="1" x14ac:dyDescent="0.25">
      <c r="A155" s="38"/>
      <c r="B155" s="17"/>
      <c r="C155" s="3">
        <v>41636</v>
      </c>
      <c r="D155" s="1">
        <v>6.8</v>
      </c>
      <c r="E155" s="1">
        <v>6.1</v>
      </c>
      <c r="F155" s="1">
        <v>8.9</v>
      </c>
      <c r="G155" s="1">
        <f t="shared" si="19"/>
        <v>1119</v>
      </c>
      <c r="H155" s="1">
        <f t="shared" si="28"/>
        <v>84.500000000000014</v>
      </c>
      <c r="I155" s="1">
        <v>65</v>
      </c>
      <c r="J155" s="1">
        <v>0.8</v>
      </c>
      <c r="K155" s="1">
        <f t="shared" si="20"/>
        <v>293.99999999999989</v>
      </c>
      <c r="L155" s="1">
        <v>0.6</v>
      </c>
      <c r="M155" s="1">
        <f t="shared" si="21"/>
        <v>124.19999999999999</v>
      </c>
      <c r="N155" s="1">
        <f t="shared" si="16"/>
        <v>0.20000000000000007</v>
      </c>
      <c r="O155" s="1">
        <v>189.6</v>
      </c>
      <c r="P155" s="1">
        <v>116</v>
      </c>
      <c r="Q155" s="11">
        <f t="shared" si="27"/>
        <v>1.0163636363636364</v>
      </c>
      <c r="R155" s="9">
        <f t="shared" si="18"/>
        <v>0.60981818181818181</v>
      </c>
      <c r="S155" s="9">
        <f t="shared" si="14"/>
        <v>0.19018181818181823</v>
      </c>
      <c r="T155" s="9">
        <f t="shared" si="23"/>
        <v>189.6</v>
      </c>
      <c r="U155" s="9">
        <f>MAX(T144:T253)</f>
        <v>189.6</v>
      </c>
      <c r="V155" s="10">
        <v>243.6</v>
      </c>
      <c r="W155" s="1">
        <f t="shared" si="15"/>
        <v>35.823529411764703</v>
      </c>
      <c r="X155" s="1">
        <f t="shared" si="22"/>
        <v>58000.700000000004</v>
      </c>
      <c r="Y155" s="1">
        <f t="shared" si="26"/>
        <v>2961.8</v>
      </c>
      <c r="AA155" s="16">
        <v>8.1551088966962393</v>
      </c>
    </row>
    <row r="156" spans="1:27" s="1" customFormat="1" x14ac:dyDescent="0.25">
      <c r="A156" s="38"/>
      <c r="B156" s="15">
        <v>19</v>
      </c>
      <c r="C156" s="3">
        <v>41637</v>
      </c>
      <c r="D156" s="12">
        <v>4.5</v>
      </c>
      <c r="E156" s="12">
        <v>3.8</v>
      </c>
      <c r="F156" s="1">
        <v>6.7</v>
      </c>
      <c r="G156" s="1">
        <f t="shared" si="19"/>
        <v>1123.5</v>
      </c>
      <c r="H156" s="1">
        <f t="shared" si="28"/>
        <v>89.000000000000014</v>
      </c>
      <c r="I156" s="18" t="s">
        <v>17</v>
      </c>
      <c r="J156" s="1">
        <v>0.6</v>
      </c>
      <c r="K156" s="1">
        <f t="shared" si="20"/>
        <v>294.59999999999991</v>
      </c>
      <c r="L156" s="1">
        <v>0.7</v>
      </c>
      <c r="M156" s="1">
        <f t="shared" si="21"/>
        <v>124.89999999999999</v>
      </c>
      <c r="N156" s="8">
        <f t="shared" si="16"/>
        <v>-9.9999999999999978E-2</v>
      </c>
      <c r="O156" s="1">
        <f>O155+N156</f>
        <v>189.5</v>
      </c>
      <c r="P156" s="1">
        <v>117</v>
      </c>
      <c r="Q156" s="11">
        <f t="shared" si="27"/>
        <v>1.0177272727272728</v>
      </c>
      <c r="R156" s="9">
        <f t="shared" si="18"/>
        <v>0.71240909090909088</v>
      </c>
      <c r="S156" s="9">
        <f t="shared" si="14"/>
        <v>-0.1124090909090909</v>
      </c>
      <c r="T156" s="9">
        <f t="shared" si="23"/>
        <v>189.4875909090909</v>
      </c>
      <c r="U156" s="18" t="s">
        <v>18</v>
      </c>
      <c r="V156" s="10">
        <v>412.8</v>
      </c>
      <c r="W156" s="1">
        <f t="shared" si="15"/>
        <v>91.733333333333334</v>
      </c>
      <c r="X156" s="1">
        <f t="shared" si="22"/>
        <v>58413.500000000007</v>
      </c>
      <c r="Y156" s="1">
        <f t="shared" si="26"/>
        <v>3374.6000000000004</v>
      </c>
      <c r="AA156" s="16">
        <v>8.1666727681266398</v>
      </c>
    </row>
    <row r="157" spans="1:27" s="1" customFormat="1" x14ac:dyDescent="0.25">
      <c r="A157" s="38"/>
      <c r="B157" s="15">
        <v>20</v>
      </c>
      <c r="C157" s="3">
        <v>41638</v>
      </c>
      <c r="D157" s="12">
        <v>4.8</v>
      </c>
      <c r="E157" s="12">
        <v>2.2999999999999998</v>
      </c>
      <c r="F157" s="1">
        <v>6.2</v>
      </c>
      <c r="G157" s="1">
        <f t="shared" si="19"/>
        <v>1128.3</v>
      </c>
      <c r="H157" s="1">
        <f t="shared" si="28"/>
        <v>93.800000000000011</v>
      </c>
      <c r="I157" s="1">
        <v>775.5</v>
      </c>
      <c r="J157" s="1">
        <v>2.4</v>
      </c>
      <c r="K157" s="1">
        <f t="shared" si="20"/>
        <v>296.99999999999989</v>
      </c>
      <c r="L157" s="1">
        <v>0.3</v>
      </c>
      <c r="M157" s="1">
        <f t="shared" si="21"/>
        <v>125.19999999999999</v>
      </c>
      <c r="N157" s="1">
        <f t="shared" si="16"/>
        <v>2.1</v>
      </c>
      <c r="O157" s="1">
        <v>189.6</v>
      </c>
      <c r="P157" s="1">
        <v>118</v>
      </c>
      <c r="Q157" s="11">
        <f t="shared" si="27"/>
        <v>1.019090909090909</v>
      </c>
      <c r="R157" s="9">
        <f t="shared" si="18"/>
        <v>0.30572727272727268</v>
      </c>
      <c r="S157" s="9">
        <f t="shared" si="14"/>
        <v>2.0942727272727271</v>
      </c>
      <c r="T157" s="9">
        <f t="shared" si="23"/>
        <v>189.6</v>
      </c>
      <c r="U157" s="11">
        <f>AVERAGE(T144:T253)</f>
        <v>180.04549504132243</v>
      </c>
      <c r="V157" s="10">
        <v>135.80000000000001</v>
      </c>
      <c r="W157" s="1">
        <f t="shared" si="15"/>
        <v>28.291666666666671</v>
      </c>
      <c r="X157" s="1">
        <f t="shared" si="22"/>
        <v>58549.30000000001</v>
      </c>
      <c r="Y157" s="1">
        <f t="shared" si="26"/>
        <v>3510.4000000000005</v>
      </c>
      <c r="AA157" s="16">
        <v>8.1798467678323803</v>
      </c>
    </row>
    <row r="158" spans="1:27" s="1" customFormat="1" x14ac:dyDescent="0.25">
      <c r="A158" s="38"/>
      <c r="B158" s="17"/>
      <c r="C158" s="3">
        <v>41639</v>
      </c>
      <c r="D158" s="1">
        <v>6.4</v>
      </c>
      <c r="E158" s="1">
        <v>5.7</v>
      </c>
      <c r="F158" s="1">
        <v>6.9</v>
      </c>
      <c r="G158" s="1">
        <f t="shared" si="19"/>
        <v>1134.7</v>
      </c>
      <c r="H158" s="1">
        <f t="shared" si="28"/>
        <v>100.20000000000002</v>
      </c>
      <c r="J158" s="1">
        <v>2.6</v>
      </c>
      <c r="K158" s="1">
        <f t="shared" si="20"/>
        <v>299.59999999999991</v>
      </c>
      <c r="L158" s="1">
        <v>0.7</v>
      </c>
      <c r="M158" s="1">
        <f t="shared" si="21"/>
        <v>125.89999999999999</v>
      </c>
      <c r="N158" s="1">
        <f t="shared" si="16"/>
        <v>1.9000000000000001</v>
      </c>
      <c r="O158" s="1">
        <v>189.6</v>
      </c>
      <c r="P158" s="1">
        <v>119</v>
      </c>
      <c r="Q158" s="11">
        <f t="shared" si="27"/>
        <v>1.0204545454545455</v>
      </c>
      <c r="R158" s="9">
        <f t="shared" si="18"/>
        <v>0.71431818181818185</v>
      </c>
      <c r="S158" s="9">
        <f t="shared" si="14"/>
        <v>1.8856818181818182</v>
      </c>
      <c r="T158" s="9">
        <f t="shared" si="23"/>
        <v>189.6</v>
      </c>
      <c r="V158" s="10">
        <v>179.4</v>
      </c>
      <c r="W158" s="1">
        <f t="shared" si="15"/>
        <v>28.03125</v>
      </c>
      <c r="X158" s="1">
        <f t="shared" si="22"/>
        <v>58728.700000000012</v>
      </c>
      <c r="Y158" s="1">
        <f t="shared" si="26"/>
        <v>3689.8000000000006</v>
      </c>
      <c r="AA158" s="16">
        <v>8.1993783370637594</v>
      </c>
    </row>
    <row r="159" spans="1:27" s="1" customFormat="1" x14ac:dyDescent="0.25">
      <c r="A159" s="38"/>
      <c r="B159" s="17"/>
      <c r="C159" s="3">
        <v>41640</v>
      </c>
      <c r="D159" s="1">
        <v>7.7</v>
      </c>
      <c r="E159" s="1">
        <v>5.0999999999999996</v>
      </c>
      <c r="F159" s="1">
        <v>9.9</v>
      </c>
      <c r="G159" s="1">
        <f t="shared" si="19"/>
        <v>1142.4000000000001</v>
      </c>
      <c r="H159" s="1">
        <f t="shared" si="28"/>
        <v>107.90000000000002</v>
      </c>
      <c r="J159" s="1">
        <v>7.1</v>
      </c>
      <c r="K159" s="1">
        <f t="shared" si="20"/>
        <v>306.69999999999993</v>
      </c>
      <c r="L159" s="1">
        <v>0.7</v>
      </c>
      <c r="M159" s="1">
        <f t="shared" si="21"/>
        <v>126.6</v>
      </c>
      <c r="N159" s="1">
        <f t="shared" si="16"/>
        <v>6.3999999999999995</v>
      </c>
      <c r="O159" s="1">
        <v>189.6</v>
      </c>
      <c r="P159" s="1">
        <v>120</v>
      </c>
      <c r="Q159" s="11">
        <f t="shared" si="27"/>
        <v>1.0218181818181817</v>
      </c>
      <c r="R159" s="9">
        <f t="shared" si="18"/>
        <v>0.71527272727272717</v>
      </c>
      <c r="S159" s="9">
        <f t="shared" si="14"/>
        <v>6.3847272727272726</v>
      </c>
      <c r="T159" s="9">
        <f t="shared" si="23"/>
        <v>189.6</v>
      </c>
      <c r="U159" s="9">
        <f>(U157*100)/189.6</f>
        <v>94.960704135718586</v>
      </c>
      <c r="V159" s="10">
        <v>103.7</v>
      </c>
      <c r="W159" s="1">
        <f t="shared" si="15"/>
        <v>13.467532467532468</v>
      </c>
      <c r="X159" s="1">
        <f t="shared" si="22"/>
        <v>58832.400000000009</v>
      </c>
      <c r="Y159" s="1">
        <f t="shared" si="26"/>
        <v>3793.5000000000005</v>
      </c>
      <c r="AA159" s="16">
        <v>8.2161970055471301</v>
      </c>
    </row>
    <row r="160" spans="1:27" s="1" customFormat="1" x14ac:dyDescent="0.25">
      <c r="A160" s="38"/>
      <c r="B160" s="17"/>
      <c r="C160" s="3">
        <v>41641</v>
      </c>
      <c r="D160" s="1">
        <v>8.8000000000000007</v>
      </c>
      <c r="E160" s="1">
        <v>7</v>
      </c>
      <c r="F160" s="1">
        <v>10.1</v>
      </c>
      <c r="G160" s="1">
        <f t="shared" si="19"/>
        <v>1151.2</v>
      </c>
      <c r="H160" s="1">
        <f t="shared" si="28"/>
        <v>116.70000000000002</v>
      </c>
      <c r="J160" s="1">
        <v>0</v>
      </c>
      <c r="K160" s="1">
        <f t="shared" si="20"/>
        <v>306.69999999999993</v>
      </c>
      <c r="L160" s="1">
        <v>0.8</v>
      </c>
      <c r="M160" s="1">
        <f t="shared" si="21"/>
        <v>127.39999999999999</v>
      </c>
      <c r="N160" s="8">
        <f t="shared" si="16"/>
        <v>-0.8</v>
      </c>
      <c r="O160" s="1">
        <f>O159+N160</f>
        <v>188.79999999999998</v>
      </c>
      <c r="P160" s="1">
        <v>121</v>
      </c>
      <c r="Q160" s="11">
        <f t="shared" si="27"/>
        <v>1.0231818181818182</v>
      </c>
      <c r="R160" s="9">
        <f t="shared" si="18"/>
        <v>0.81854545454545458</v>
      </c>
      <c r="S160" s="9">
        <f t="shared" si="14"/>
        <v>-0.81854545454545458</v>
      </c>
      <c r="T160" s="9">
        <f t="shared" si="23"/>
        <v>188.78145454545455</v>
      </c>
      <c r="V160" s="10">
        <v>283.7</v>
      </c>
      <c r="W160" s="1">
        <f t="shared" si="15"/>
        <v>32.23863636363636</v>
      </c>
      <c r="X160" s="1">
        <f t="shared" si="22"/>
        <v>59116.100000000006</v>
      </c>
      <c r="Y160" s="1">
        <f t="shared" si="26"/>
        <v>4077.2000000000003</v>
      </c>
      <c r="AA160" s="16">
        <v>8.2345687255759508</v>
      </c>
    </row>
    <row r="161" spans="1:27" s="1" customFormat="1" ht="15" customHeight="1" x14ac:dyDescent="0.25">
      <c r="A161" s="38"/>
      <c r="B161" s="17"/>
      <c r="C161" s="3">
        <v>41642</v>
      </c>
      <c r="D161" s="1">
        <v>9.5</v>
      </c>
      <c r="E161" s="1">
        <v>7.3</v>
      </c>
      <c r="F161" s="1">
        <v>12.3</v>
      </c>
      <c r="G161" s="1">
        <f t="shared" si="19"/>
        <v>1160.7</v>
      </c>
      <c r="H161" s="1">
        <f t="shared" si="28"/>
        <v>126.20000000000002</v>
      </c>
      <c r="J161" s="1">
        <v>1.6</v>
      </c>
      <c r="K161" s="1">
        <f t="shared" si="20"/>
        <v>308.29999999999995</v>
      </c>
      <c r="L161" s="1">
        <v>1.3</v>
      </c>
      <c r="M161" s="1">
        <f t="shared" si="21"/>
        <v>128.69999999999999</v>
      </c>
      <c r="N161" s="1">
        <f t="shared" si="16"/>
        <v>0.30000000000000004</v>
      </c>
      <c r="O161" s="1">
        <f>O160+N161</f>
        <v>189.1</v>
      </c>
      <c r="P161" s="1">
        <v>122</v>
      </c>
      <c r="Q161" s="11">
        <f t="shared" si="27"/>
        <v>1.0245454545454544</v>
      </c>
      <c r="R161" s="9">
        <f t="shared" si="18"/>
        <v>1.3319090909090907</v>
      </c>
      <c r="S161" s="9">
        <f t="shared" si="14"/>
        <v>0.26809090909090938</v>
      </c>
      <c r="T161" s="9">
        <f t="shared" si="23"/>
        <v>189.04954545454547</v>
      </c>
      <c r="V161" s="10">
        <v>230.3</v>
      </c>
      <c r="W161" s="1">
        <f t="shared" si="15"/>
        <v>24.242105263157896</v>
      </c>
      <c r="X161" s="1">
        <f t="shared" si="22"/>
        <v>59346.400000000009</v>
      </c>
      <c r="Y161" s="1">
        <f t="shared" si="26"/>
        <v>4307.5</v>
      </c>
      <c r="AA161" s="16">
        <v>8.2544726576602301</v>
      </c>
    </row>
    <row r="162" spans="1:27" s="1" customFormat="1" x14ac:dyDescent="0.25">
      <c r="A162" s="38"/>
      <c r="B162" s="17"/>
      <c r="C162" s="3">
        <v>41643</v>
      </c>
      <c r="D162" s="1">
        <v>7.9</v>
      </c>
      <c r="E162" s="1">
        <v>6.8</v>
      </c>
      <c r="F162" s="1">
        <v>10.5</v>
      </c>
      <c r="G162" s="1">
        <f t="shared" si="19"/>
        <v>1168.6000000000001</v>
      </c>
      <c r="H162" s="1">
        <f t="shared" si="28"/>
        <v>134.10000000000002</v>
      </c>
      <c r="J162" s="1">
        <v>2.4</v>
      </c>
      <c r="K162" s="1">
        <f t="shared" si="20"/>
        <v>310.69999999999993</v>
      </c>
      <c r="L162" s="1">
        <v>1.1000000000000001</v>
      </c>
      <c r="M162" s="1">
        <f t="shared" si="21"/>
        <v>129.79999999999998</v>
      </c>
      <c r="N162" s="1">
        <f t="shared" si="16"/>
        <v>1.2999999999999998</v>
      </c>
      <c r="O162" s="1">
        <v>189.6</v>
      </c>
      <c r="P162" s="1">
        <v>123</v>
      </c>
      <c r="Q162" s="11">
        <f t="shared" si="27"/>
        <v>1.0259090909090909</v>
      </c>
      <c r="R162" s="9">
        <f t="shared" si="18"/>
        <v>1.1285000000000001</v>
      </c>
      <c r="S162" s="9">
        <f t="shared" si="14"/>
        <v>1.2714999999999999</v>
      </c>
      <c r="T162" s="9">
        <f t="shared" si="23"/>
        <v>189.6</v>
      </c>
      <c r="V162" s="10">
        <v>368.7</v>
      </c>
      <c r="W162" s="1">
        <f t="shared" si="15"/>
        <v>46.670886075949362</v>
      </c>
      <c r="X162" s="1">
        <f t="shared" si="22"/>
        <v>59715.100000000006</v>
      </c>
      <c r="Y162" s="1">
        <f t="shared" si="26"/>
        <v>4676.2</v>
      </c>
      <c r="AA162" s="16">
        <v>8.2758864581092606</v>
      </c>
    </row>
    <row r="163" spans="1:27" s="1" customFormat="1" x14ac:dyDescent="0.25">
      <c r="A163" s="38"/>
      <c r="B163" s="17"/>
      <c r="C163" s="3">
        <v>41644</v>
      </c>
      <c r="D163" s="1">
        <v>6.1</v>
      </c>
      <c r="E163" s="12">
        <v>3.2</v>
      </c>
      <c r="F163" s="1">
        <v>11.7</v>
      </c>
      <c r="G163" s="1">
        <f t="shared" si="19"/>
        <v>1174.7</v>
      </c>
      <c r="H163" s="1">
        <f t="shared" si="28"/>
        <v>140.20000000000002</v>
      </c>
      <c r="J163" s="1">
        <v>0.1</v>
      </c>
      <c r="K163" s="1">
        <f t="shared" si="20"/>
        <v>310.79999999999995</v>
      </c>
      <c r="L163" s="1">
        <v>1.1000000000000001</v>
      </c>
      <c r="M163" s="1">
        <f t="shared" si="21"/>
        <v>130.89999999999998</v>
      </c>
      <c r="N163" s="8">
        <f t="shared" si="16"/>
        <v>-1</v>
      </c>
      <c r="O163" s="1">
        <f t="shared" ref="O163:O170" si="29">O162+N163</f>
        <v>188.6</v>
      </c>
      <c r="P163" s="1">
        <v>124</v>
      </c>
      <c r="Q163" s="11">
        <f t="shared" si="27"/>
        <v>1.0272727272727273</v>
      </c>
      <c r="R163" s="9">
        <f t="shared" si="18"/>
        <v>1.1300000000000001</v>
      </c>
      <c r="S163" s="9">
        <f t="shared" si="14"/>
        <v>-1.03</v>
      </c>
      <c r="T163" s="9">
        <f t="shared" si="23"/>
        <v>188.57</v>
      </c>
      <c r="V163" s="10">
        <v>307</v>
      </c>
      <c r="W163" s="1">
        <f t="shared" si="15"/>
        <v>50.327868852459019</v>
      </c>
      <c r="X163" s="1">
        <f t="shared" si="22"/>
        <v>60022.100000000006</v>
      </c>
      <c r="Y163" s="1">
        <f t="shared" si="26"/>
        <v>4983.2</v>
      </c>
      <c r="AA163" s="16">
        <v>8.2987863696968294</v>
      </c>
    </row>
    <row r="164" spans="1:27" s="1" customFormat="1" x14ac:dyDescent="0.25">
      <c r="A164" s="38"/>
      <c r="B164" s="17"/>
      <c r="C164" s="3">
        <v>41645</v>
      </c>
      <c r="D164" s="1">
        <v>11.4</v>
      </c>
      <c r="E164" s="1">
        <v>7.4</v>
      </c>
      <c r="F164" s="1">
        <v>12.7</v>
      </c>
      <c r="G164" s="1">
        <f t="shared" si="19"/>
        <v>1186.1000000000001</v>
      </c>
      <c r="H164" s="1">
        <f t="shared" si="28"/>
        <v>151.60000000000002</v>
      </c>
      <c r="J164" s="1">
        <v>0.2</v>
      </c>
      <c r="K164" s="1">
        <f t="shared" si="20"/>
        <v>310.99999999999994</v>
      </c>
      <c r="L164" s="1">
        <v>0.6</v>
      </c>
      <c r="M164" s="1">
        <f t="shared" si="21"/>
        <v>131.49999999999997</v>
      </c>
      <c r="N164" s="8">
        <f t="shared" si="16"/>
        <v>-0.39999999999999997</v>
      </c>
      <c r="O164" s="1">
        <f t="shared" si="29"/>
        <v>188.2</v>
      </c>
      <c r="P164" s="1">
        <v>125</v>
      </c>
      <c r="Q164" s="11">
        <f t="shared" si="27"/>
        <v>1.0286363636363636</v>
      </c>
      <c r="R164" s="9">
        <f t="shared" si="18"/>
        <v>0.61718181818181816</v>
      </c>
      <c r="S164" s="9">
        <f t="shared" si="14"/>
        <v>-0.41718181818181815</v>
      </c>
      <c r="T164" s="9">
        <f t="shared" si="23"/>
        <v>188.15281818181816</v>
      </c>
      <c r="V164" s="10">
        <v>239.9</v>
      </c>
      <c r="W164" s="1">
        <f t="shared" si="15"/>
        <v>21.043859649122808</v>
      </c>
      <c r="X164" s="1">
        <f t="shared" si="22"/>
        <v>60262.000000000007</v>
      </c>
      <c r="Y164" s="1">
        <f t="shared" si="26"/>
        <v>5223.0999999999995</v>
      </c>
      <c r="AA164" s="16">
        <v>8.3231473160309903</v>
      </c>
    </row>
    <row r="165" spans="1:27" s="1" customFormat="1" x14ac:dyDescent="0.25">
      <c r="A165" s="38"/>
      <c r="B165" s="17"/>
      <c r="C165" s="3">
        <v>41646</v>
      </c>
      <c r="D165" s="1">
        <v>10</v>
      </c>
      <c r="E165" s="1">
        <v>8.8000000000000007</v>
      </c>
      <c r="F165" s="1">
        <v>11.5</v>
      </c>
      <c r="G165" s="1">
        <f t="shared" si="19"/>
        <v>1196.1000000000001</v>
      </c>
      <c r="H165" s="1">
        <f t="shared" si="28"/>
        <v>161.60000000000002</v>
      </c>
      <c r="J165" s="1">
        <v>0.2</v>
      </c>
      <c r="K165" s="1">
        <f t="shared" si="20"/>
        <v>311.19999999999993</v>
      </c>
      <c r="L165" s="1">
        <v>1.2</v>
      </c>
      <c r="M165" s="1">
        <f t="shared" si="21"/>
        <v>132.69999999999996</v>
      </c>
      <c r="N165" s="8">
        <f t="shared" si="16"/>
        <v>-1</v>
      </c>
      <c r="O165" s="1">
        <f t="shared" si="29"/>
        <v>187.2</v>
      </c>
      <c r="P165" s="1">
        <v>126</v>
      </c>
      <c r="Q165" s="11">
        <f t="shared" si="27"/>
        <v>1.03</v>
      </c>
      <c r="R165" s="9">
        <f t="shared" si="18"/>
        <v>1.236</v>
      </c>
      <c r="S165" s="9">
        <f t="shared" si="14"/>
        <v>-1.036</v>
      </c>
      <c r="T165" s="9">
        <f t="shared" si="23"/>
        <v>187.11681818181816</v>
      </c>
      <c r="V165" s="10">
        <v>422.6</v>
      </c>
      <c r="W165" s="1">
        <f t="shared" si="15"/>
        <v>42.260000000000005</v>
      </c>
      <c r="X165" s="1">
        <f t="shared" si="22"/>
        <v>60684.600000000006</v>
      </c>
      <c r="Y165" s="1">
        <f t="shared" si="26"/>
        <v>5645.7</v>
      </c>
      <c r="AA165" s="16">
        <v>8.3489429988931008</v>
      </c>
    </row>
    <row r="166" spans="1:27" s="1" customFormat="1" x14ac:dyDescent="0.25">
      <c r="A166" s="38"/>
      <c r="B166" s="17"/>
      <c r="C166" s="3">
        <v>41647</v>
      </c>
      <c r="D166" s="1">
        <v>9.1999999999999993</v>
      </c>
      <c r="E166" s="1">
        <v>6.7</v>
      </c>
      <c r="F166" s="1">
        <v>10.7</v>
      </c>
      <c r="G166" s="1">
        <f t="shared" si="19"/>
        <v>1205.3000000000002</v>
      </c>
      <c r="H166" s="1">
        <f t="shared" si="28"/>
        <v>170.8</v>
      </c>
      <c r="J166" s="1">
        <v>2.4</v>
      </c>
      <c r="K166" s="1">
        <f t="shared" si="20"/>
        <v>313.59999999999991</v>
      </c>
      <c r="L166" s="1">
        <v>0.4</v>
      </c>
      <c r="M166" s="1">
        <f t="shared" si="21"/>
        <v>133.09999999999997</v>
      </c>
      <c r="N166" s="1">
        <f t="shared" si="16"/>
        <v>2</v>
      </c>
      <c r="O166" s="1">
        <f t="shared" si="29"/>
        <v>189.2</v>
      </c>
      <c r="P166" s="1">
        <v>127</v>
      </c>
      <c r="Q166" s="11">
        <f t="shared" si="27"/>
        <v>1.0313636363636363</v>
      </c>
      <c r="R166" s="9">
        <f t="shared" si="18"/>
        <v>0.41254545454545455</v>
      </c>
      <c r="S166" s="9">
        <f t="shared" si="14"/>
        <v>1.9874545454545454</v>
      </c>
      <c r="T166" s="9">
        <f t="shared" si="23"/>
        <v>189.1042727272727</v>
      </c>
      <c r="V166" s="10">
        <v>305.5</v>
      </c>
      <c r="W166" s="1">
        <f t="shared" si="15"/>
        <v>33.206521739130437</v>
      </c>
      <c r="X166" s="1">
        <f t="shared" si="22"/>
        <v>60990.100000000006</v>
      </c>
      <c r="Y166" s="1">
        <f t="shared" si="26"/>
        <v>5951.2</v>
      </c>
      <c r="AA166" s="16">
        <v>8.3761459978144099</v>
      </c>
    </row>
    <row r="167" spans="1:27" s="1" customFormat="1" x14ac:dyDescent="0.25">
      <c r="A167" s="38"/>
      <c r="B167" s="17"/>
      <c r="C167" s="3">
        <v>41648</v>
      </c>
      <c r="D167" s="1">
        <v>8.6999999999999993</v>
      </c>
      <c r="E167" s="1">
        <v>6.4</v>
      </c>
      <c r="F167" s="1">
        <v>10.9</v>
      </c>
      <c r="G167" s="1">
        <f t="shared" si="19"/>
        <v>1214.0000000000002</v>
      </c>
      <c r="H167" s="1">
        <f t="shared" si="28"/>
        <v>179.5</v>
      </c>
      <c r="J167" s="1">
        <v>0.4</v>
      </c>
      <c r="K167" s="1">
        <f t="shared" si="20"/>
        <v>313.99999999999989</v>
      </c>
      <c r="L167" s="1">
        <v>0.8</v>
      </c>
      <c r="M167" s="1">
        <f t="shared" si="21"/>
        <v>133.89999999999998</v>
      </c>
      <c r="N167" s="8">
        <f t="shared" si="16"/>
        <v>-0.4</v>
      </c>
      <c r="O167" s="1">
        <f t="shared" si="29"/>
        <v>188.79999999999998</v>
      </c>
      <c r="P167" s="1">
        <v>128</v>
      </c>
      <c r="Q167" s="11">
        <f t="shared" si="27"/>
        <v>1.0327272727272727</v>
      </c>
      <c r="R167" s="9">
        <f t="shared" si="18"/>
        <v>0.82618181818181824</v>
      </c>
      <c r="S167" s="9">
        <f t="shared" si="14"/>
        <v>-0.42618181818181822</v>
      </c>
      <c r="T167" s="9">
        <f t="shared" si="23"/>
        <v>188.67809090909088</v>
      </c>
      <c r="V167" s="10">
        <v>214.7</v>
      </c>
      <c r="W167" s="1">
        <f t="shared" si="15"/>
        <v>24.678160919540229</v>
      </c>
      <c r="X167" s="1">
        <f t="shared" si="22"/>
        <v>61204.800000000003</v>
      </c>
      <c r="Y167" s="1">
        <f t="shared" si="26"/>
        <v>6165.9</v>
      </c>
      <c r="AA167" s="16">
        <v>8.4047278711707794</v>
      </c>
    </row>
    <row r="168" spans="1:27" s="1" customFormat="1" x14ac:dyDescent="0.25">
      <c r="A168" s="38"/>
      <c r="B168" s="15">
        <v>21</v>
      </c>
      <c r="C168" s="3">
        <v>41649</v>
      </c>
      <c r="D168" s="12">
        <v>4.7</v>
      </c>
      <c r="E168" s="12">
        <v>3.8</v>
      </c>
      <c r="F168" s="1">
        <v>5.3</v>
      </c>
      <c r="G168" s="1">
        <f t="shared" si="19"/>
        <v>1218.7000000000003</v>
      </c>
      <c r="H168" s="1">
        <f t="shared" si="28"/>
        <v>184.2</v>
      </c>
      <c r="J168" s="1">
        <v>0.1</v>
      </c>
      <c r="K168" s="1">
        <f t="shared" si="20"/>
        <v>314.09999999999991</v>
      </c>
      <c r="L168" s="1">
        <v>0.2</v>
      </c>
      <c r="M168" s="1">
        <f t="shared" si="21"/>
        <v>134.09999999999997</v>
      </c>
      <c r="N168" s="8">
        <f t="shared" si="16"/>
        <v>-0.1</v>
      </c>
      <c r="O168" s="1">
        <f t="shared" si="29"/>
        <v>188.7</v>
      </c>
      <c r="P168" s="1">
        <v>129</v>
      </c>
      <c r="Q168" s="11">
        <f t="shared" si="27"/>
        <v>1.0340909090909092</v>
      </c>
      <c r="R168" s="9">
        <f t="shared" si="18"/>
        <v>0.20681818181818185</v>
      </c>
      <c r="S168" s="9">
        <f t="shared" ref="S168:S231" si="30">J168-R168</f>
        <v>-0.10681818181818184</v>
      </c>
      <c r="T168" s="9">
        <f t="shared" si="23"/>
        <v>188.57127272727271</v>
      </c>
      <c r="V168" s="10">
        <v>125.5</v>
      </c>
      <c r="W168" s="1">
        <f t="shared" ref="W168:W231" si="31">V168/D168</f>
        <v>26.702127659574469</v>
      </c>
      <c r="X168" s="1">
        <f t="shared" si="22"/>
        <v>61330.3</v>
      </c>
      <c r="Y168" s="1">
        <f t="shared" si="26"/>
        <v>6291.4</v>
      </c>
      <c r="AA168" s="16">
        <v>8.4346592580961808</v>
      </c>
    </row>
    <row r="169" spans="1:27" s="1" customFormat="1" x14ac:dyDescent="0.25">
      <c r="A169" s="38"/>
      <c r="B169" s="15">
        <v>22</v>
      </c>
      <c r="C169" s="3">
        <v>41650</v>
      </c>
      <c r="D169" s="12">
        <v>4.4000000000000004</v>
      </c>
      <c r="E169" s="12">
        <v>3.8</v>
      </c>
      <c r="F169" s="1">
        <v>8.3000000000000007</v>
      </c>
      <c r="G169" s="1">
        <f t="shared" si="19"/>
        <v>1223.1000000000004</v>
      </c>
      <c r="H169" s="1">
        <f t="shared" si="28"/>
        <v>188.6</v>
      </c>
      <c r="J169" s="1">
        <v>0</v>
      </c>
      <c r="K169" s="1">
        <f t="shared" si="20"/>
        <v>314.09999999999991</v>
      </c>
      <c r="L169" s="1">
        <v>0.5</v>
      </c>
      <c r="M169" s="1">
        <f t="shared" si="21"/>
        <v>134.59999999999997</v>
      </c>
      <c r="N169" s="8">
        <f t="shared" ref="N169:N232" si="32">J169-L169</f>
        <v>-0.5</v>
      </c>
      <c r="O169" s="1">
        <f t="shared" si="29"/>
        <v>188.2</v>
      </c>
      <c r="P169" s="1">
        <v>130</v>
      </c>
      <c r="Q169" s="11">
        <f t="shared" si="27"/>
        <v>1.0354545454545454</v>
      </c>
      <c r="R169" s="9">
        <f t="shared" ref="R169:R232" si="33">Q169*L169</f>
        <v>0.5177272727272727</v>
      </c>
      <c r="S169" s="9">
        <f t="shared" si="30"/>
        <v>-0.5177272727272727</v>
      </c>
      <c r="T169" s="9">
        <f t="shared" si="23"/>
        <v>188.05354545454543</v>
      </c>
      <c r="V169" s="10">
        <v>163.19999999999999</v>
      </c>
      <c r="W169" s="1">
        <f t="shared" si="31"/>
        <v>37.090909090909086</v>
      </c>
      <c r="X169" s="1">
        <f t="shared" si="22"/>
        <v>61493.5</v>
      </c>
      <c r="Y169" s="1">
        <f t="shared" si="26"/>
        <v>6454.5999999999995</v>
      </c>
      <c r="AA169" s="16">
        <v>8.4659099805428095</v>
      </c>
    </row>
    <row r="170" spans="1:27" s="1" customFormat="1" x14ac:dyDescent="0.25">
      <c r="A170" s="38"/>
      <c r="B170" s="15">
        <v>23</v>
      </c>
      <c r="C170" s="3">
        <v>41651</v>
      </c>
      <c r="D170" s="12">
        <v>2</v>
      </c>
      <c r="E170" s="13">
        <v>-1.3</v>
      </c>
      <c r="F170" s="1">
        <v>6.3</v>
      </c>
      <c r="G170" s="1">
        <f t="shared" ref="G170:G233" si="34">G169+D170</f>
        <v>1225.1000000000004</v>
      </c>
      <c r="H170" s="1">
        <f t="shared" si="28"/>
        <v>190.6</v>
      </c>
      <c r="J170" s="1">
        <v>0.2</v>
      </c>
      <c r="K170" s="1">
        <f t="shared" ref="K170:K233" si="35">K169+J170</f>
        <v>314.2999999999999</v>
      </c>
      <c r="L170" s="1">
        <v>0.3</v>
      </c>
      <c r="M170" s="1">
        <f t="shared" ref="M170:M233" si="36">M169+L170</f>
        <v>134.89999999999998</v>
      </c>
      <c r="N170" s="8">
        <f t="shared" si="32"/>
        <v>-9.9999999999999978E-2</v>
      </c>
      <c r="O170" s="1">
        <f t="shared" si="29"/>
        <v>188.1</v>
      </c>
      <c r="P170" s="1">
        <v>131</v>
      </c>
      <c r="Q170" s="11">
        <f t="shared" si="27"/>
        <v>1.0368181818181819</v>
      </c>
      <c r="R170" s="9">
        <f t="shared" si="33"/>
        <v>0.31104545454545457</v>
      </c>
      <c r="S170" s="9">
        <f t="shared" si="30"/>
        <v>-0.11104545454545456</v>
      </c>
      <c r="T170" s="9">
        <f t="shared" si="23"/>
        <v>187.94249999999997</v>
      </c>
      <c r="V170" s="10">
        <v>214.5</v>
      </c>
      <c r="W170" s="1">
        <f t="shared" si="31"/>
        <v>107.25</v>
      </c>
      <c r="X170" s="1">
        <f t="shared" ref="X170:X233" si="37">X169+V170</f>
        <v>61708</v>
      </c>
      <c r="Y170" s="1">
        <f t="shared" si="26"/>
        <v>6669.0999999999995</v>
      </c>
      <c r="AA170" s="16">
        <v>8.4984491448488804</v>
      </c>
    </row>
    <row r="171" spans="1:27" s="1" customFormat="1" x14ac:dyDescent="0.25">
      <c r="A171" s="38"/>
      <c r="B171" s="17"/>
      <c r="C171" s="3">
        <v>41652</v>
      </c>
      <c r="D171" s="1">
        <v>6.7</v>
      </c>
      <c r="E171" s="12">
        <v>4.7</v>
      </c>
      <c r="F171" s="1">
        <v>8.9</v>
      </c>
      <c r="G171" s="1">
        <f t="shared" si="34"/>
        <v>1231.8000000000004</v>
      </c>
      <c r="H171" s="1">
        <f t="shared" si="28"/>
        <v>197.29999999999998</v>
      </c>
      <c r="J171" s="1">
        <v>2.4</v>
      </c>
      <c r="K171" s="1">
        <f t="shared" si="35"/>
        <v>316.69999999999987</v>
      </c>
      <c r="L171" s="1">
        <v>0.6</v>
      </c>
      <c r="M171" s="1">
        <f t="shared" si="36"/>
        <v>135.49999999999997</v>
      </c>
      <c r="N171" s="1">
        <f t="shared" si="32"/>
        <v>1.7999999999999998</v>
      </c>
      <c r="O171" s="1">
        <v>189.6</v>
      </c>
      <c r="P171" s="1">
        <v>132</v>
      </c>
      <c r="Q171" s="11">
        <f t="shared" si="27"/>
        <v>1.0381818181818181</v>
      </c>
      <c r="R171" s="9">
        <f t="shared" si="33"/>
        <v>0.62290909090909086</v>
      </c>
      <c r="S171" s="9">
        <f t="shared" si="30"/>
        <v>1.7770909090909091</v>
      </c>
      <c r="T171" s="9">
        <f t="shared" ref="T171:T234" si="38">MIN(189.6,(T170+S171))</f>
        <v>189.6</v>
      </c>
      <c r="V171" s="10">
        <v>439</v>
      </c>
      <c r="W171" s="1">
        <f t="shared" si="31"/>
        <v>65.522388059701484</v>
      </c>
      <c r="X171" s="1">
        <f t="shared" si="37"/>
        <v>62147</v>
      </c>
      <c r="Y171" s="1">
        <f t="shared" si="26"/>
        <v>7108.0999999999995</v>
      </c>
      <c r="AA171" s="16">
        <v>8.5322452422138895</v>
      </c>
    </row>
    <row r="172" spans="1:27" s="1" customFormat="1" x14ac:dyDescent="0.25">
      <c r="A172" s="38"/>
      <c r="B172" s="15">
        <v>24</v>
      </c>
      <c r="C172" s="3">
        <v>41653</v>
      </c>
      <c r="D172" s="12">
        <v>4.5</v>
      </c>
      <c r="E172" s="12">
        <v>2.6</v>
      </c>
      <c r="F172" s="1">
        <v>6.5</v>
      </c>
      <c r="G172" s="1">
        <f t="shared" si="34"/>
        <v>1236.3000000000004</v>
      </c>
      <c r="H172" s="1">
        <f t="shared" si="28"/>
        <v>201.79999999999998</v>
      </c>
      <c r="J172" s="1">
        <v>5.4</v>
      </c>
      <c r="K172" s="1">
        <f t="shared" si="35"/>
        <v>322.09999999999985</v>
      </c>
      <c r="L172" s="1">
        <v>0.4</v>
      </c>
      <c r="M172" s="1">
        <f t="shared" si="36"/>
        <v>135.89999999999998</v>
      </c>
      <c r="N172" s="1">
        <f t="shared" si="32"/>
        <v>5</v>
      </c>
      <c r="O172" s="1">
        <v>189.6</v>
      </c>
      <c r="P172" s="1">
        <v>133</v>
      </c>
      <c r="Q172" s="11">
        <f t="shared" si="27"/>
        <v>1.0395454545454546</v>
      </c>
      <c r="R172" s="9">
        <f t="shared" si="33"/>
        <v>0.41581818181818186</v>
      </c>
      <c r="S172" s="9">
        <f t="shared" si="30"/>
        <v>4.9841818181818187</v>
      </c>
      <c r="T172" s="9">
        <f t="shared" si="38"/>
        <v>189.6</v>
      </c>
      <c r="V172" s="10">
        <v>195.1</v>
      </c>
      <c r="W172" s="1">
        <f t="shared" si="31"/>
        <v>43.355555555555554</v>
      </c>
      <c r="X172" s="1">
        <f t="shared" si="37"/>
        <v>62342.1</v>
      </c>
      <c r="Y172" s="1">
        <f t="shared" si="26"/>
        <v>7303.2</v>
      </c>
      <c r="AA172" s="16">
        <v>8.5672662475236692</v>
      </c>
    </row>
    <row r="173" spans="1:27" s="1" customFormat="1" x14ac:dyDescent="0.25">
      <c r="A173" s="38"/>
      <c r="B173" s="17"/>
      <c r="C173" s="3">
        <v>41654</v>
      </c>
      <c r="D173" s="1">
        <v>5.6</v>
      </c>
      <c r="E173" s="12">
        <v>2</v>
      </c>
      <c r="F173" s="1">
        <v>8.6</v>
      </c>
      <c r="G173" s="1">
        <f t="shared" si="34"/>
        <v>1241.9000000000003</v>
      </c>
      <c r="H173" s="1">
        <f t="shared" si="28"/>
        <v>207.39999999999998</v>
      </c>
      <c r="J173" s="1">
        <v>2</v>
      </c>
      <c r="K173" s="1">
        <f t="shared" si="35"/>
        <v>324.09999999999985</v>
      </c>
      <c r="L173" s="1">
        <v>0.3</v>
      </c>
      <c r="M173" s="1">
        <f t="shared" si="36"/>
        <v>136.19999999999999</v>
      </c>
      <c r="N173" s="1">
        <f t="shared" si="32"/>
        <v>1.7</v>
      </c>
      <c r="O173" s="1">
        <v>189.6</v>
      </c>
      <c r="P173" s="1">
        <v>134</v>
      </c>
      <c r="Q173" s="11">
        <f t="shared" si="27"/>
        <v>1.0409090909090908</v>
      </c>
      <c r="R173" s="9">
        <f t="shared" si="33"/>
        <v>0.3122727272727272</v>
      </c>
      <c r="S173" s="9">
        <f t="shared" si="30"/>
        <v>1.6877272727272727</v>
      </c>
      <c r="T173" s="9">
        <f t="shared" si="38"/>
        <v>189.6</v>
      </c>
      <c r="V173" s="10">
        <v>111.5</v>
      </c>
      <c r="W173" s="1">
        <f t="shared" si="31"/>
        <v>19.910714285714288</v>
      </c>
      <c r="X173" s="1">
        <f t="shared" si="37"/>
        <v>62453.599999999999</v>
      </c>
      <c r="Y173" s="1">
        <f t="shared" si="26"/>
        <v>7414.7</v>
      </c>
      <c r="AA173" s="16">
        <v>8.6034797160143501</v>
      </c>
    </row>
    <row r="174" spans="1:27" s="1" customFormat="1" x14ac:dyDescent="0.25">
      <c r="A174" s="38"/>
      <c r="B174" s="17"/>
      <c r="C174" s="3">
        <v>41655</v>
      </c>
      <c r="D174" s="1">
        <v>7.8</v>
      </c>
      <c r="E174" s="1">
        <v>7</v>
      </c>
      <c r="F174" s="1">
        <v>8.1</v>
      </c>
      <c r="G174" s="1">
        <f t="shared" si="34"/>
        <v>1249.7000000000003</v>
      </c>
      <c r="H174" s="1">
        <f t="shared" si="28"/>
        <v>215.2</v>
      </c>
      <c r="J174" s="1">
        <v>7.7</v>
      </c>
      <c r="K174" s="1">
        <f t="shared" si="35"/>
        <v>331.79999999999984</v>
      </c>
      <c r="L174" s="1">
        <v>0.4</v>
      </c>
      <c r="M174" s="1">
        <f t="shared" si="36"/>
        <v>136.6</v>
      </c>
      <c r="N174" s="1">
        <f t="shared" si="32"/>
        <v>7.3</v>
      </c>
      <c r="O174" s="1">
        <v>189.6</v>
      </c>
      <c r="P174" s="1">
        <v>135</v>
      </c>
      <c r="Q174" s="11">
        <f t="shared" si="27"/>
        <v>1.0422727272727272</v>
      </c>
      <c r="R174" s="9">
        <f t="shared" si="33"/>
        <v>0.4169090909090909</v>
      </c>
      <c r="S174" s="9">
        <f t="shared" si="30"/>
        <v>7.2830909090909088</v>
      </c>
      <c r="T174" s="9">
        <f t="shared" si="38"/>
        <v>189.6</v>
      </c>
      <c r="V174" s="10">
        <v>178.1</v>
      </c>
      <c r="W174" s="1">
        <f t="shared" si="31"/>
        <v>22.833333333333332</v>
      </c>
      <c r="X174" s="1">
        <f t="shared" si="37"/>
        <v>62631.7</v>
      </c>
      <c r="Y174" s="1">
        <f t="shared" si="26"/>
        <v>7592.8</v>
      </c>
      <c r="AA174" s="16">
        <v>8.6408528773124402</v>
      </c>
    </row>
    <row r="175" spans="1:27" s="1" customFormat="1" x14ac:dyDescent="0.25">
      <c r="A175" s="38"/>
      <c r="B175" s="17"/>
      <c r="C175" s="3">
        <v>41656</v>
      </c>
      <c r="D175" s="1">
        <v>7.2</v>
      </c>
      <c r="E175" s="1">
        <v>7.1</v>
      </c>
      <c r="F175" s="1">
        <v>8.1999999999999993</v>
      </c>
      <c r="G175" s="1">
        <f t="shared" si="34"/>
        <v>1256.9000000000003</v>
      </c>
      <c r="H175" s="1">
        <f t="shared" si="28"/>
        <v>222.39999999999998</v>
      </c>
      <c r="J175" s="1">
        <v>3.5</v>
      </c>
      <c r="K175" s="1">
        <f t="shared" si="35"/>
        <v>335.29999999999984</v>
      </c>
      <c r="L175" s="1">
        <v>1</v>
      </c>
      <c r="M175" s="1">
        <f t="shared" si="36"/>
        <v>137.6</v>
      </c>
      <c r="N175" s="1">
        <f t="shared" si="32"/>
        <v>2.5</v>
      </c>
      <c r="O175" s="1">
        <v>189.6</v>
      </c>
      <c r="P175" s="1">
        <v>136</v>
      </c>
      <c r="Q175" s="11">
        <f t="shared" si="27"/>
        <v>1.0436363636363637</v>
      </c>
      <c r="R175" s="9">
        <f t="shared" si="33"/>
        <v>1.0436363636363637</v>
      </c>
      <c r="S175" s="9">
        <f t="shared" si="30"/>
        <v>2.4563636363636361</v>
      </c>
      <c r="T175" s="9">
        <f t="shared" si="38"/>
        <v>189.6</v>
      </c>
      <c r="V175" s="10">
        <v>125.7</v>
      </c>
      <c r="W175" s="1">
        <f t="shared" si="31"/>
        <v>17.458333333333332</v>
      </c>
      <c r="X175" s="1">
        <f t="shared" si="37"/>
        <v>62757.399999999994</v>
      </c>
      <c r="Y175" s="1">
        <f t="shared" si="26"/>
        <v>7718.5</v>
      </c>
      <c r="AA175" s="16">
        <v>8.6793527264390509</v>
      </c>
    </row>
    <row r="176" spans="1:27" s="1" customFormat="1" x14ac:dyDescent="0.25">
      <c r="A176" s="38"/>
      <c r="B176" s="17"/>
      <c r="C176" s="3">
        <v>41657</v>
      </c>
      <c r="D176" s="1">
        <v>5.5</v>
      </c>
      <c r="E176" s="12">
        <v>3.2</v>
      </c>
      <c r="F176" s="1">
        <v>7.5</v>
      </c>
      <c r="G176" s="1">
        <f t="shared" si="34"/>
        <v>1262.4000000000003</v>
      </c>
      <c r="H176" s="1">
        <f t="shared" si="28"/>
        <v>227.89999999999998</v>
      </c>
      <c r="J176" s="1">
        <v>1.2</v>
      </c>
      <c r="K176" s="1">
        <f t="shared" si="35"/>
        <v>336.49999999999983</v>
      </c>
      <c r="L176" s="1">
        <v>0.5</v>
      </c>
      <c r="M176" s="1">
        <f t="shared" si="36"/>
        <v>138.1</v>
      </c>
      <c r="N176" s="1">
        <f t="shared" si="32"/>
        <v>0.7</v>
      </c>
      <c r="O176" s="1">
        <v>189.6</v>
      </c>
      <c r="P176" s="1">
        <v>137</v>
      </c>
      <c r="Q176" s="11">
        <f t="shared" si="27"/>
        <v>1.0449999999999999</v>
      </c>
      <c r="R176" s="9">
        <f t="shared" si="33"/>
        <v>0.52249999999999996</v>
      </c>
      <c r="S176" s="9">
        <f t="shared" si="30"/>
        <v>0.67749999999999999</v>
      </c>
      <c r="T176" s="9">
        <f t="shared" si="38"/>
        <v>189.6</v>
      </c>
      <c r="V176" s="10">
        <v>281.8</v>
      </c>
      <c r="W176" s="1">
        <f t="shared" si="31"/>
        <v>51.236363636363642</v>
      </c>
      <c r="X176" s="1">
        <f t="shared" si="37"/>
        <v>63039.199999999997</v>
      </c>
      <c r="Y176" s="1">
        <f t="shared" si="26"/>
        <v>8000.3</v>
      </c>
      <c r="AA176" s="16">
        <v>8.7189461114168108</v>
      </c>
    </row>
    <row r="177" spans="1:27" s="1" customFormat="1" x14ac:dyDescent="0.25">
      <c r="A177" s="38"/>
      <c r="B177" s="17"/>
      <c r="C177" s="3">
        <v>41658</v>
      </c>
      <c r="D177" s="1">
        <v>6.3</v>
      </c>
      <c r="E177" s="12">
        <v>4.7</v>
      </c>
      <c r="F177" s="1">
        <v>8.3000000000000007</v>
      </c>
      <c r="G177" s="1">
        <f t="shared" si="34"/>
        <v>1268.7000000000003</v>
      </c>
      <c r="H177" s="1">
        <f t="shared" si="28"/>
        <v>234.2</v>
      </c>
      <c r="J177" s="1">
        <v>0</v>
      </c>
      <c r="K177" s="1">
        <f t="shared" si="35"/>
        <v>336.49999999999983</v>
      </c>
      <c r="L177" s="1">
        <v>0.3</v>
      </c>
      <c r="M177" s="1">
        <f t="shared" si="36"/>
        <v>138.4</v>
      </c>
      <c r="N177" s="8">
        <f t="shared" si="32"/>
        <v>-0.3</v>
      </c>
      <c r="O177" s="1">
        <f>O176+N177</f>
        <v>189.29999999999998</v>
      </c>
      <c r="P177" s="1">
        <v>138</v>
      </c>
      <c r="Q177" s="11">
        <f t="shared" si="27"/>
        <v>1.0463636363636364</v>
      </c>
      <c r="R177" s="9">
        <f t="shared" si="33"/>
        <v>0.31390909090909092</v>
      </c>
      <c r="S177" s="9">
        <f t="shared" si="30"/>
        <v>-0.31390909090909092</v>
      </c>
      <c r="T177" s="9">
        <f t="shared" si="38"/>
        <v>189.28609090909092</v>
      </c>
      <c r="V177" s="10">
        <v>152.69999999999999</v>
      </c>
      <c r="W177" s="1">
        <f t="shared" si="31"/>
        <v>24.238095238095237</v>
      </c>
      <c r="X177" s="1">
        <f t="shared" si="37"/>
        <v>63191.899999999994</v>
      </c>
      <c r="Y177" s="1">
        <f t="shared" si="26"/>
        <v>8153</v>
      </c>
      <c r="AA177" s="16">
        <v>8.7595998171692599</v>
      </c>
    </row>
    <row r="178" spans="1:27" s="1" customFormat="1" x14ac:dyDescent="0.25">
      <c r="A178" s="38"/>
      <c r="B178" s="15">
        <v>25</v>
      </c>
      <c r="C178" s="3">
        <v>41659</v>
      </c>
      <c r="D178" s="12">
        <v>4.8</v>
      </c>
      <c r="E178" s="12">
        <v>4.0999999999999996</v>
      </c>
      <c r="F178" s="1">
        <v>6.5</v>
      </c>
      <c r="G178" s="1">
        <f t="shared" si="34"/>
        <v>1273.5000000000002</v>
      </c>
      <c r="H178" s="1">
        <f t="shared" si="28"/>
        <v>239</v>
      </c>
      <c r="J178" s="1">
        <v>0.2</v>
      </c>
      <c r="K178" s="1">
        <f t="shared" si="35"/>
        <v>336.69999999999982</v>
      </c>
      <c r="L178" s="1">
        <v>0.4</v>
      </c>
      <c r="M178" s="1">
        <f t="shared" si="36"/>
        <v>138.80000000000001</v>
      </c>
      <c r="N178" s="8">
        <f t="shared" si="32"/>
        <v>-0.2</v>
      </c>
      <c r="O178" s="1">
        <f>O177+N178</f>
        <v>189.1</v>
      </c>
      <c r="P178" s="1">
        <v>139</v>
      </c>
      <c r="Q178" s="11">
        <f t="shared" si="27"/>
        <v>1.0477272727272726</v>
      </c>
      <c r="R178" s="9">
        <f t="shared" si="33"/>
        <v>0.41909090909090907</v>
      </c>
      <c r="S178" s="9">
        <f t="shared" si="30"/>
        <v>-0.21909090909090906</v>
      </c>
      <c r="T178" s="9">
        <f t="shared" si="38"/>
        <v>189.06700000000001</v>
      </c>
      <c r="V178" s="10">
        <v>164.4</v>
      </c>
      <c r="W178" s="1">
        <f t="shared" si="31"/>
        <v>34.25</v>
      </c>
      <c r="X178" s="1">
        <f t="shared" si="37"/>
        <v>63356.299999999996</v>
      </c>
      <c r="Y178" s="1">
        <f t="shared" si="26"/>
        <v>8317.4</v>
      </c>
      <c r="AA178" s="16">
        <v>8.8012806454525201</v>
      </c>
    </row>
    <row r="179" spans="1:27" s="1" customFormat="1" x14ac:dyDescent="0.25">
      <c r="A179" s="38"/>
      <c r="B179" s="15">
        <v>26</v>
      </c>
      <c r="C179" s="3">
        <v>41660</v>
      </c>
      <c r="D179" s="12">
        <v>3.1</v>
      </c>
      <c r="E179" s="12">
        <v>2.2999999999999998</v>
      </c>
      <c r="F179" s="12">
        <v>3.9</v>
      </c>
      <c r="G179" s="1">
        <f t="shared" si="34"/>
        <v>1276.6000000000001</v>
      </c>
      <c r="H179" s="1">
        <f t="shared" si="28"/>
        <v>242.1</v>
      </c>
      <c r="J179" s="1">
        <v>0</v>
      </c>
      <c r="K179" s="1">
        <f t="shared" si="35"/>
        <v>336.69999999999982</v>
      </c>
      <c r="L179" s="1">
        <v>0.2</v>
      </c>
      <c r="M179" s="1">
        <f t="shared" si="36"/>
        <v>139</v>
      </c>
      <c r="N179" s="8">
        <f t="shared" si="32"/>
        <v>-0.2</v>
      </c>
      <c r="O179" s="1">
        <f>O178+N179</f>
        <v>188.9</v>
      </c>
      <c r="P179" s="1">
        <v>140</v>
      </c>
      <c r="Q179" s="11">
        <f t="shared" si="27"/>
        <v>1.0490909090909091</v>
      </c>
      <c r="R179" s="9">
        <f t="shared" si="33"/>
        <v>0.20981818181818182</v>
      </c>
      <c r="S179" s="9">
        <f t="shared" si="30"/>
        <v>-0.20981818181818182</v>
      </c>
      <c r="T179" s="9">
        <f t="shared" si="38"/>
        <v>188.85718181818183</v>
      </c>
      <c r="V179" s="10">
        <v>107.5</v>
      </c>
      <c r="W179" s="1">
        <f t="shared" si="31"/>
        <v>34.677419354838712</v>
      </c>
      <c r="X179" s="1">
        <f t="shared" si="37"/>
        <v>63463.799999999996</v>
      </c>
      <c r="Y179" s="1">
        <f t="shared" ref="Y179:Y242" si="39">Y178+V179</f>
        <v>8424.9</v>
      </c>
      <c r="AA179" s="16">
        <v>8.8439554906079998</v>
      </c>
    </row>
    <row r="180" spans="1:27" s="1" customFormat="1" x14ac:dyDescent="0.25">
      <c r="A180" s="38"/>
      <c r="B180" s="15">
        <v>27</v>
      </c>
      <c r="C180" s="3">
        <v>41661</v>
      </c>
      <c r="D180" s="12">
        <v>3.2</v>
      </c>
      <c r="E180" s="12">
        <v>2</v>
      </c>
      <c r="F180" s="12">
        <v>4.5</v>
      </c>
      <c r="G180" s="1">
        <f t="shared" si="34"/>
        <v>1279.8000000000002</v>
      </c>
      <c r="H180" s="1">
        <f t="shared" si="28"/>
        <v>245.29999999999998</v>
      </c>
      <c r="J180" s="1">
        <v>3.7</v>
      </c>
      <c r="K180" s="1">
        <f t="shared" si="35"/>
        <v>340.39999999999981</v>
      </c>
      <c r="L180" s="1">
        <v>0.4</v>
      </c>
      <c r="M180" s="1">
        <f t="shared" si="36"/>
        <v>139.4</v>
      </c>
      <c r="N180" s="1">
        <f t="shared" si="32"/>
        <v>3.3000000000000003</v>
      </c>
      <c r="O180" s="1">
        <v>189.6</v>
      </c>
      <c r="P180" s="1">
        <v>141</v>
      </c>
      <c r="Q180" s="11">
        <f t="shared" si="27"/>
        <v>1.0504545454545455</v>
      </c>
      <c r="R180" s="9">
        <f t="shared" si="33"/>
        <v>0.42018181818181821</v>
      </c>
      <c r="S180" s="9">
        <f t="shared" si="30"/>
        <v>3.279818181818182</v>
      </c>
      <c r="T180" s="9">
        <f t="shared" si="38"/>
        <v>189.6</v>
      </c>
      <c r="V180" s="10">
        <v>87.7</v>
      </c>
      <c r="W180" s="1">
        <f t="shared" si="31"/>
        <v>27.40625</v>
      </c>
      <c r="X180" s="1">
        <f t="shared" si="37"/>
        <v>63551.499999999993</v>
      </c>
      <c r="Y180" s="1">
        <f t="shared" si="39"/>
        <v>8512.6</v>
      </c>
      <c r="AA180" s="16">
        <v>8.8875914109718099</v>
      </c>
    </row>
    <row r="181" spans="1:27" s="1" customFormat="1" x14ac:dyDescent="0.25">
      <c r="A181" s="38"/>
      <c r="B181" s="15">
        <v>28</v>
      </c>
      <c r="C181" s="3">
        <v>41662</v>
      </c>
      <c r="D181" s="12">
        <v>5</v>
      </c>
      <c r="E181" s="12">
        <v>3.8</v>
      </c>
      <c r="F181" s="1">
        <v>7.5</v>
      </c>
      <c r="G181" s="1">
        <f t="shared" si="34"/>
        <v>1284.8000000000002</v>
      </c>
      <c r="H181" s="1">
        <f t="shared" si="28"/>
        <v>250.29999999999998</v>
      </c>
      <c r="J181" s="1">
        <v>5.4</v>
      </c>
      <c r="K181" s="1">
        <f t="shared" si="35"/>
        <v>345.79999999999978</v>
      </c>
      <c r="L181" s="1">
        <v>0.5</v>
      </c>
      <c r="M181" s="1">
        <f t="shared" si="36"/>
        <v>139.9</v>
      </c>
      <c r="N181" s="1">
        <f t="shared" si="32"/>
        <v>4.9000000000000004</v>
      </c>
      <c r="O181" s="1">
        <v>189.6</v>
      </c>
      <c r="P181" s="1">
        <v>142</v>
      </c>
      <c r="Q181" s="11">
        <f t="shared" si="27"/>
        <v>1.0518181818181818</v>
      </c>
      <c r="R181" s="9">
        <f t="shared" si="33"/>
        <v>0.52590909090909088</v>
      </c>
      <c r="S181" s="9">
        <f t="shared" si="30"/>
        <v>4.8740909090909099</v>
      </c>
      <c r="T181" s="9">
        <f t="shared" si="38"/>
        <v>189.6</v>
      </c>
      <c r="V181" s="10">
        <v>151.30000000000001</v>
      </c>
      <c r="W181" s="1">
        <f t="shared" si="31"/>
        <v>30.26</v>
      </c>
      <c r="X181" s="1">
        <f t="shared" si="37"/>
        <v>63702.799999999996</v>
      </c>
      <c r="Y181" s="1">
        <f t="shared" si="39"/>
        <v>8663.9</v>
      </c>
      <c r="AA181" s="16">
        <v>8.9321556958211907</v>
      </c>
    </row>
    <row r="182" spans="1:27" s="1" customFormat="1" x14ac:dyDescent="0.25">
      <c r="A182" s="38"/>
      <c r="B182" s="15">
        <v>29</v>
      </c>
      <c r="C182" s="3">
        <v>41663</v>
      </c>
      <c r="D182" s="12">
        <v>2.8</v>
      </c>
      <c r="E182" s="12">
        <v>1.1000000000000001</v>
      </c>
      <c r="F182" s="1">
        <v>5.4</v>
      </c>
      <c r="G182" s="1">
        <f t="shared" si="34"/>
        <v>1287.6000000000001</v>
      </c>
      <c r="H182" s="1">
        <f t="shared" si="28"/>
        <v>253.1</v>
      </c>
      <c r="J182" s="1">
        <v>2.1</v>
      </c>
      <c r="K182" s="1">
        <f t="shared" si="35"/>
        <v>347.89999999999981</v>
      </c>
      <c r="L182" s="1">
        <v>0.5</v>
      </c>
      <c r="M182" s="1">
        <f t="shared" si="36"/>
        <v>140.4</v>
      </c>
      <c r="N182" s="1">
        <f t="shared" si="32"/>
        <v>1.6</v>
      </c>
      <c r="O182" s="1">
        <v>189.6</v>
      </c>
      <c r="P182" s="1">
        <v>143</v>
      </c>
      <c r="Q182" s="11">
        <f t="shared" si="27"/>
        <v>1.0531818181818182</v>
      </c>
      <c r="R182" s="9">
        <f t="shared" si="33"/>
        <v>0.52659090909090911</v>
      </c>
      <c r="S182" s="9">
        <f t="shared" si="30"/>
        <v>1.573409090909091</v>
      </c>
      <c r="T182" s="9">
        <f t="shared" si="38"/>
        <v>189.6</v>
      </c>
      <c r="V182" s="10">
        <v>268.5</v>
      </c>
      <c r="W182" s="1">
        <f t="shared" si="31"/>
        <v>95.892857142857153</v>
      </c>
      <c r="X182" s="1">
        <f t="shared" si="37"/>
        <v>63971.299999999996</v>
      </c>
      <c r="Y182" s="1">
        <f t="shared" si="39"/>
        <v>8932.4</v>
      </c>
      <c r="AA182" s="16">
        <v>8.9776159277803007</v>
      </c>
    </row>
    <row r="183" spans="1:27" s="1" customFormat="1" x14ac:dyDescent="0.25">
      <c r="A183" s="38"/>
      <c r="B183" s="17"/>
      <c r="C183" s="3">
        <v>41664</v>
      </c>
      <c r="D183" s="12">
        <v>4.5999999999999996</v>
      </c>
      <c r="E183" s="12">
        <v>2.2000000000000002</v>
      </c>
      <c r="F183" s="1">
        <v>6.5</v>
      </c>
      <c r="G183" s="1">
        <f t="shared" si="34"/>
        <v>1292.2</v>
      </c>
      <c r="H183" s="1">
        <f t="shared" si="28"/>
        <v>257.7</v>
      </c>
      <c r="J183" s="1">
        <v>0.9</v>
      </c>
      <c r="K183" s="1">
        <f t="shared" si="35"/>
        <v>348.79999999999978</v>
      </c>
      <c r="L183" s="1">
        <v>0.5</v>
      </c>
      <c r="M183" s="1">
        <f t="shared" si="36"/>
        <v>140.9</v>
      </c>
      <c r="N183" s="1">
        <f t="shared" si="32"/>
        <v>0.4</v>
      </c>
      <c r="O183" s="1">
        <v>189.6</v>
      </c>
      <c r="P183" s="1">
        <v>144</v>
      </c>
      <c r="Q183" s="11">
        <f t="shared" si="27"/>
        <v>1.0545454545454545</v>
      </c>
      <c r="R183" s="9">
        <f t="shared" si="33"/>
        <v>0.52727272727272723</v>
      </c>
      <c r="S183" s="9">
        <f t="shared" si="30"/>
        <v>0.3727272727272728</v>
      </c>
      <c r="T183" s="9">
        <f t="shared" si="38"/>
        <v>189.6</v>
      </c>
      <c r="V183" s="10">
        <v>166.3</v>
      </c>
      <c r="W183" s="1">
        <f t="shared" si="31"/>
        <v>36.152173913043484</v>
      </c>
      <c r="X183" s="1">
        <f t="shared" si="37"/>
        <v>64137.599999999999</v>
      </c>
      <c r="Y183" s="1">
        <f t="shared" si="39"/>
        <v>9098.6999999999989</v>
      </c>
      <c r="AA183" s="1">
        <v>9.0239400406467194</v>
      </c>
    </row>
    <row r="184" spans="1:27" s="1" customFormat="1" x14ac:dyDescent="0.25">
      <c r="A184" s="38"/>
      <c r="B184" s="17"/>
      <c r="C184" s="3">
        <v>41665</v>
      </c>
      <c r="D184" s="1">
        <v>5.0999999999999996</v>
      </c>
      <c r="E184" s="12">
        <v>2</v>
      </c>
      <c r="F184" s="1">
        <v>8.1</v>
      </c>
      <c r="G184" s="1">
        <f t="shared" si="34"/>
        <v>1297.3</v>
      </c>
      <c r="H184" s="1">
        <f t="shared" si="28"/>
        <v>262.8</v>
      </c>
      <c r="J184" s="1">
        <v>9.3000000000000007</v>
      </c>
      <c r="K184" s="1">
        <f t="shared" si="35"/>
        <v>358.0999999999998</v>
      </c>
      <c r="L184" s="1">
        <v>0.6</v>
      </c>
      <c r="M184" s="1">
        <f t="shared" si="36"/>
        <v>141.5</v>
      </c>
      <c r="N184" s="1">
        <f t="shared" si="32"/>
        <v>8.7000000000000011</v>
      </c>
      <c r="O184" s="1">
        <v>189.6</v>
      </c>
      <c r="P184" s="1">
        <v>145</v>
      </c>
      <c r="Q184" s="11">
        <f t="shared" si="27"/>
        <v>1.0559090909090909</v>
      </c>
      <c r="R184" s="9">
        <f t="shared" si="33"/>
        <v>0.63354545454545452</v>
      </c>
      <c r="S184" s="9">
        <f t="shared" si="30"/>
        <v>8.6664545454545454</v>
      </c>
      <c r="T184" s="9">
        <f t="shared" si="38"/>
        <v>189.6</v>
      </c>
      <c r="V184" s="10">
        <v>321.60000000000002</v>
      </c>
      <c r="W184" s="1">
        <f t="shared" si="31"/>
        <v>63.058823529411775</v>
      </c>
      <c r="X184" s="1">
        <f t="shared" si="37"/>
        <v>64459.199999999997</v>
      </c>
      <c r="Y184" s="1">
        <f t="shared" si="39"/>
        <v>9420.2999999999993</v>
      </c>
      <c r="AA184" s="1">
        <v>9.0710963726359406</v>
      </c>
    </row>
    <row r="185" spans="1:27" s="1" customFormat="1" x14ac:dyDescent="0.25">
      <c r="A185" s="38"/>
      <c r="B185" s="17"/>
      <c r="C185" s="3">
        <v>41666</v>
      </c>
      <c r="D185" s="12">
        <v>2.9</v>
      </c>
      <c r="E185" s="12">
        <v>2</v>
      </c>
      <c r="F185" s="12">
        <v>4.0999999999999996</v>
      </c>
      <c r="G185" s="1">
        <f t="shared" si="34"/>
        <v>1300.2</v>
      </c>
      <c r="H185" s="1">
        <f t="shared" si="28"/>
        <v>265.7</v>
      </c>
      <c r="J185" s="1">
        <v>4.5</v>
      </c>
      <c r="K185" s="1">
        <f t="shared" si="35"/>
        <v>362.5999999999998</v>
      </c>
      <c r="L185" s="1">
        <v>0.5</v>
      </c>
      <c r="M185" s="1">
        <f t="shared" si="36"/>
        <v>142</v>
      </c>
      <c r="N185" s="1">
        <f t="shared" si="32"/>
        <v>4</v>
      </c>
      <c r="O185" s="1">
        <v>189.6</v>
      </c>
      <c r="P185" s="1">
        <v>146</v>
      </c>
      <c r="Q185" s="11">
        <f t="shared" si="27"/>
        <v>1.0572727272727271</v>
      </c>
      <c r="R185" s="9">
        <f t="shared" si="33"/>
        <v>0.52863636363636357</v>
      </c>
      <c r="S185" s="9">
        <f t="shared" si="30"/>
        <v>3.9713636363636367</v>
      </c>
      <c r="T185" s="9">
        <f t="shared" si="38"/>
        <v>189.6</v>
      </c>
      <c r="V185" s="10">
        <v>146</v>
      </c>
      <c r="W185" s="1">
        <f t="shared" si="31"/>
        <v>50.344827586206897</v>
      </c>
      <c r="X185" s="1">
        <f t="shared" si="37"/>
        <v>64605.2</v>
      </c>
      <c r="Y185" s="1">
        <f t="shared" si="39"/>
        <v>9566.2999999999993</v>
      </c>
      <c r="AA185" s="1">
        <v>9.1190537150738002</v>
      </c>
    </row>
    <row r="186" spans="1:27" s="1" customFormat="1" x14ac:dyDescent="0.25">
      <c r="A186" s="38"/>
      <c r="B186" s="17"/>
      <c r="C186" s="3">
        <v>41667</v>
      </c>
      <c r="D186" s="12">
        <v>4.2</v>
      </c>
      <c r="E186" s="12">
        <v>2.2999999999999998</v>
      </c>
      <c r="F186" s="1">
        <v>5.2</v>
      </c>
      <c r="G186" s="1">
        <f t="shared" si="34"/>
        <v>1304.4000000000001</v>
      </c>
      <c r="H186" s="1">
        <f t="shared" si="28"/>
        <v>269.89999999999998</v>
      </c>
      <c r="J186" s="1">
        <v>2</v>
      </c>
      <c r="K186" s="1">
        <f t="shared" si="35"/>
        <v>364.5999999999998</v>
      </c>
      <c r="L186" s="1">
        <v>0.3</v>
      </c>
      <c r="M186" s="1">
        <f t="shared" si="36"/>
        <v>142.30000000000001</v>
      </c>
      <c r="N186" s="1">
        <f t="shared" si="32"/>
        <v>1.7</v>
      </c>
      <c r="O186" s="1">
        <v>189.6</v>
      </c>
      <c r="P186" s="1">
        <v>147</v>
      </c>
      <c r="Q186" s="11">
        <f t="shared" si="27"/>
        <v>1.0586363636363636</v>
      </c>
      <c r="R186" s="9">
        <f t="shared" si="33"/>
        <v>0.31759090909090909</v>
      </c>
      <c r="S186" s="9">
        <f t="shared" si="30"/>
        <v>1.682409090909091</v>
      </c>
      <c r="T186" s="9">
        <f t="shared" si="38"/>
        <v>189.6</v>
      </c>
      <c r="V186" s="10">
        <v>126.8</v>
      </c>
      <c r="W186" s="1">
        <f t="shared" si="31"/>
        <v>30.19047619047619</v>
      </c>
      <c r="X186" s="1">
        <f t="shared" si="37"/>
        <v>64732</v>
      </c>
      <c r="Y186" s="1">
        <f t="shared" si="39"/>
        <v>9693.0999999999985</v>
      </c>
      <c r="AA186" s="1">
        <v>9.1677813565960093</v>
      </c>
    </row>
    <row r="187" spans="1:27" s="1" customFormat="1" x14ac:dyDescent="0.25">
      <c r="A187" s="38"/>
      <c r="B187" s="17"/>
      <c r="C187" s="3">
        <v>41668</v>
      </c>
      <c r="D187" s="12">
        <v>3.7</v>
      </c>
      <c r="E187" s="12">
        <v>2.8</v>
      </c>
      <c r="F187" s="12">
        <v>4.5</v>
      </c>
      <c r="G187" s="1">
        <f t="shared" si="34"/>
        <v>1308.1000000000001</v>
      </c>
      <c r="H187" s="1">
        <f t="shared" si="28"/>
        <v>273.59999999999997</v>
      </c>
      <c r="J187" s="1">
        <v>3.3</v>
      </c>
      <c r="K187" s="1">
        <f t="shared" si="35"/>
        <v>367.89999999999981</v>
      </c>
      <c r="L187" s="1">
        <v>0.6</v>
      </c>
      <c r="M187" s="1">
        <f t="shared" si="36"/>
        <v>142.9</v>
      </c>
      <c r="N187" s="1">
        <f t="shared" si="32"/>
        <v>2.6999999999999997</v>
      </c>
      <c r="O187" s="1">
        <v>189.6</v>
      </c>
      <c r="P187" s="1">
        <v>148</v>
      </c>
      <c r="Q187" s="11">
        <f t="shared" si="27"/>
        <v>1.06</v>
      </c>
      <c r="R187" s="9">
        <f t="shared" si="33"/>
        <v>0.63600000000000001</v>
      </c>
      <c r="S187" s="9">
        <f t="shared" si="30"/>
        <v>2.6639999999999997</v>
      </c>
      <c r="T187" s="9">
        <f t="shared" si="38"/>
        <v>189.6</v>
      </c>
      <c r="V187" s="10">
        <v>262.8</v>
      </c>
      <c r="W187" s="1">
        <f t="shared" si="31"/>
        <v>71.027027027027032</v>
      </c>
      <c r="X187" s="1">
        <f t="shared" si="37"/>
        <v>64994.8</v>
      </c>
      <c r="Y187" s="1">
        <f t="shared" si="39"/>
        <v>9955.8999999999978</v>
      </c>
      <c r="AA187" s="1">
        <v>9.2172491229400499</v>
      </c>
    </row>
    <row r="188" spans="1:27" s="1" customFormat="1" x14ac:dyDescent="0.25">
      <c r="A188" s="38"/>
      <c r="B188" s="17"/>
      <c r="C188" s="3">
        <v>41669</v>
      </c>
      <c r="D188" s="12">
        <v>4.7</v>
      </c>
      <c r="E188" s="12">
        <v>3.6</v>
      </c>
      <c r="F188" s="1">
        <v>6.3</v>
      </c>
      <c r="G188" s="1">
        <f t="shared" si="34"/>
        <v>1312.8000000000002</v>
      </c>
      <c r="H188" s="1">
        <f t="shared" si="28"/>
        <v>278.29999999999995</v>
      </c>
      <c r="J188" s="1">
        <v>0</v>
      </c>
      <c r="K188" s="1">
        <f t="shared" si="35"/>
        <v>367.89999999999981</v>
      </c>
      <c r="L188" s="1">
        <v>0.3</v>
      </c>
      <c r="M188" s="1">
        <f t="shared" si="36"/>
        <v>143.20000000000002</v>
      </c>
      <c r="N188" s="8">
        <f t="shared" si="32"/>
        <v>-0.3</v>
      </c>
      <c r="O188" s="1">
        <f>O187+N188</f>
        <v>189.29999999999998</v>
      </c>
      <c r="P188" s="1">
        <v>149</v>
      </c>
      <c r="Q188" s="11">
        <f t="shared" si="27"/>
        <v>1.0613636363636363</v>
      </c>
      <c r="R188" s="9">
        <f t="shared" si="33"/>
        <v>0.31840909090909086</v>
      </c>
      <c r="S188" s="9">
        <f t="shared" si="30"/>
        <v>-0.31840909090909086</v>
      </c>
      <c r="T188" s="9">
        <f t="shared" si="38"/>
        <v>189.28159090909091</v>
      </c>
      <c r="V188" s="10">
        <v>125.8</v>
      </c>
      <c r="W188" s="1">
        <f t="shared" si="31"/>
        <v>26.76595744680851</v>
      </c>
      <c r="X188" s="1">
        <f t="shared" si="37"/>
        <v>65120.600000000006</v>
      </c>
      <c r="Y188" s="1">
        <f t="shared" si="39"/>
        <v>10081.699999999997</v>
      </c>
      <c r="AA188" s="1">
        <v>9.2674274124373994</v>
      </c>
    </row>
    <row r="189" spans="1:27" s="1" customFormat="1" x14ac:dyDescent="0.25">
      <c r="A189" s="38"/>
      <c r="B189" s="17"/>
      <c r="C189" s="3">
        <v>41670</v>
      </c>
      <c r="D189" s="12">
        <v>4.4000000000000004</v>
      </c>
      <c r="E189" s="12">
        <v>0.6</v>
      </c>
      <c r="F189" s="1">
        <v>7.3</v>
      </c>
      <c r="G189" s="1">
        <f t="shared" si="34"/>
        <v>1317.2000000000003</v>
      </c>
      <c r="H189" s="1">
        <f t="shared" si="28"/>
        <v>282.69999999999993</v>
      </c>
      <c r="J189" s="1">
        <v>13</v>
      </c>
      <c r="K189" s="1">
        <f t="shared" si="35"/>
        <v>380.89999999999981</v>
      </c>
      <c r="L189" s="1">
        <v>0.3</v>
      </c>
      <c r="M189" s="1">
        <f t="shared" si="36"/>
        <v>143.50000000000003</v>
      </c>
      <c r="N189" s="1">
        <f t="shared" si="32"/>
        <v>12.7</v>
      </c>
      <c r="O189" s="1">
        <v>189.6</v>
      </c>
      <c r="P189" s="1">
        <v>150</v>
      </c>
      <c r="Q189" s="11">
        <f t="shared" si="27"/>
        <v>1.0627272727272727</v>
      </c>
      <c r="R189" s="9">
        <f t="shared" si="33"/>
        <v>0.31881818181818183</v>
      </c>
      <c r="S189" s="9">
        <f t="shared" si="30"/>
        <v>12.681181818181818</v>
      </c>
      <c r="T189" s="9">
        <f t="shared" si="38"/>
        <v>189.6</v>
      </c>
      <c r="V189" s="10">
        <v>218.3</v>
      </c>
      <c r="W189" s="1">
        <f t="shared" si="31"/>
        <v>49.61363636363636</v>
      </c>
      <c r="X189" s="1">
        <f t="shared" si="37"/>
        <v>65338.900000000009</v>
      </c>
      <c r="Y189" s="1">
        <f t="shared" si="39"/>
        <v>10299.999999999996</v>
      </c>
      <c r="AA189" s="1">
        <v>9.31828722733351</v>
      </c>
    </row>
    <row r="190" spans="1:27" s="1" customFormat="1" x14ac:dyDescent="0.25">
      <c r="A190" s="38"/>
      <c r="B190" s="17"/>
      <c r="C190" s="3">
        <v>41671</v>
      </c>
      <c r="D190" s="1">
        <v>5.9</v>
      </c>
      <c r="E190" s="12">
        <v>4.5999999999999996</v>
      </c>
      <c r="F190" s="1">
        <v>7.8</v>
      </c>
      <c r="G190" s="1">
        <f t="shared" si="34"/>
        <v>1323.1000000000004</v>
      </c>
      <c r="H190" s="1">
        <f t="shared" si="28"/>
        <v>288.59999999999991</v>
      </c>
      <c r="J190" s="1">
        <v>0.9</v>
      </c>
      <c r="K190" s="1">
        <f t="shared" si="35"/>
        <v>381.79999999999978</v>
      </c>
      <c r="L190" s="1">
        <v>0.8</v>
      </c>
      <c r="M190" s="1">
        <f t="shared" si="36"/>
        <v>144.30000000000004</v>
      </c>
      <c r="N190" s="1">
        <f t="shared" si="32"/>
        <v>9.9999999999999978E-2</v>
      </c>
      <c r="O190" s="1">
        <v>189.6</v>
      </c>
      <c r="P190" s="1">
        <v>151</v>
      </c>
      <c r="Q190" s="11">
        <f t="shared" si="27"/>
        <v>1.064090909090909</v>
      </c>
      <c r="R190" s="9">
        <f t="shared" si="33"/>
        <v>0.85127272727272718</v>
      </c>
      <c r="S190" s="9">
        <f t="shared" si="30"/>
        <v>4.8727272727272841E-2</v>
      </c>
      <c r="T190" s="9">
        <f t="shared" si="38"/>
        <v>189.6</v>
      </c>
      <c r="V190" s="10">
        <v>272</v>
      </c>
      <c r="W190" s="1">
        <f t="shared" si="31"/>
        <v>46.101694915254235</v>
      </c>
      <c r="X190" s="1">
        <f t="shared" si="37"/>
        <v>65610.900000000009</v>
      </c>
      <c r="Y190" s="1">
        <f t="shared" si="39"/>
        <v>10571.999999999996</v>
      </c>
      <c r="AA190" s="1">
        <v>9.3698002010794905</v>
      </c>
    </row>
    <row r="191" spans="1:27" s="1" customFormat="1" x14ac:dyDescent="0.25">
      <c r="A191" s="38"/>
      <c r="B191" s="17"/>
      <c r="C191" s="3">
        <v>41672</v>
      </c>
      <c r="D191" s="12">
        <v>4.2</v>
      </c>
      <c r="E191" s="12">
        <v>2.1</v>
      </c>
      <c r="F191" s="1">
        <v>7</v>
      </c>
      <c r="G191" s="1">
        <f t="shared" si="34"/>
        <v>1327.3000000000004</v>
      </c>
      <c r="H191" s="1">
        <f t="shared" si="28"/>
        <v>292.7999999999999</v>
      </c>
      <c r="J191" s="1">
        <v>0.1</v>
      </c>
      <c r="K191" s="1">
        <f t="shared" si="35"/>
        <v>381.89999999999981</v>
      </c>
      <c r="L191" s="1">
        <v>1</v>
      </c>
      <c r="M191" s="1">
        <f t="shared" si="36"/>
        <v>145.30000000000004</v>
      </c>
      <c r="N191" s="8">
        <f t="shared" si="32"/>
        <v>-0.9</v>
      </c>
      <c r="O191" s="1">
        <f>O190+N191</f>
        <v>188.7</v>
      </c>
      <c r="P191" s="1">
        <v>152</v>
      </c>
      <c r="Q191" s="11">
        <f t="shared" si="27"/>
        <v>1.0654545454545454</v>
      </c>
      <c r="R191" s="9">
        <f t="shared" si="33"/>
        <v>1.0654545454545454</v>
      </c>
      <c r="S191" s="9">
        <f t="shared" si="30"/>
        <v>-0.96545454545454545</v>
      </c>
      <c r="T191" s="9">
        <f t="shared" si="38"/>
        <v>188.63454545454545</v>
      </c>
      <c r="V191" s="10">
        <v>752.5</v>
      </c>
      <c r="W191" s="1">
        <f t="shared" si="31"/>
        <v>179.16666666666666</v>
      </c>
      <c r="X191" s="1">
        <f t="shared" si="37"/>
        <v>66363.400000000009</v>
      </c>
      <c r="Y191" s="1">
        <f t="shared" si="39"/>
        <v>11324.499999999996</v>
      </c>
      <c r="AA191" s="1">
        <v>9.42193862175289</v>
      </c>
    </row>
    <row r="192" spans="1:27" s="1" customFormat="1" x14ac:dyDescent="0.25">
      <c r="A192" s="38"/>
      <c r="B192" s="17"/>
      <c r="C192" s="3">
        <v>41673</v>
      </c>
      <c r="D192" s="12">
        <v>3.9</v>
      </c>
      <c r="E192" s="12">
        <v>0.9</v>
      </c>
      <c r="F192" s="1">
        <v>6.6</v>
      </c>
      <c r="G192" s="1">
        <f t="shared" si="34"/>
        <v>1331.2000000000005</v>
      </c>
      <c r="H192" s="1">
        <f t="shared" si="28"/>
        <v>296.69999999999987</v>
      </c>
      <c r="J192" s="1">
        <v>0</v>
      </c>
      <c r="K192" s="1">
        <f t="shared" si="35"/>
        <v>381.89999999999981</v>
      </c>
      <c r="L192" s="1">
        <v>0.8</v>
      </c>
      <c r="M192" s="1">
        <f t="shared" si="36"/>
        <v>146.10000000000005</v>
      </c>
      <c r="N192" s="8">
        <f t="shared" si="32"/>
        <v>-0.8</v>
      </c>
      <c r="O192" s="1">
        <f>O191+N192</f>
        <v>187.89999999999998</v>
      </c>
      <c r="P192" s="1">
        <v>153</v>
      </c>
      <c r="Q192" s="11">
        <f t="shared" si="27"/>
        <v>1.0668181818181819</v>
      </c>
      <c r="R192" s="9">
        <f t="shared" si="33"/>
        <v>0.85345454545454558</v>
      </c>
      <c r="S192" s="9">
        <f t="shared" si="30"/>
        <v>-0.85345454545454558</v>
      </c>
      <c r="T192" s="9">
        <f t="shared" si="38"/>
        <v>187.78109090909089</v>
      </c>
      <c r="V192" s="10">
        <v>672.2</v>
      </c>
      <c r="W192" s="1">
        <f t="shared" si="31"/>
        <v>172.35897435897436</v>
      </c>
      <c r="X192" s="1">
        <f t="shared" si="37"/>
        <v>67035.600000000006</v>
      </c>
      <c r="Y192" s="1">
        <f t="shared" si="39"/>
        <v>11996.699999999997</v>
      </c>
      <c r="AA192" s="1">
        <v>9.4746754517760401</v>
      </c>
    </row>
    <row r="193" spans="1:27" s="1" customFormat="1" x14ac:dyDescent="0.25">
      <c r="A193" s="38"/>
      <c r="B193" s="17"/>
      <c r="C193" s="3">
        <v>41674</v>
      </c>
      <c r="D193" s="1">
        <v>5.6</v>
      </c>
      <c r="E193" s="12">
        <v>3.5</v>
      </c>
      <c r="F193" s="1">
        <v>6.9</v>
      </c>
      <c r="G193" s="1">
        <f t="shared" si="34"/>
        <v>1336.8000000000004</v>
      </c>
      <c r="H193" s="1">
        <f t="shared" si="28"/>
        <v>302.2999999999999</v>
      </c>
      <c r="J193" s="1">
        <v>2</v>
      </c>
      <c r="K193" s="1">
        <f t="shared" si="35"/>
        <v>383.89999999999981</v>
      </c>
      <c r="L193" s="1">
        <v>0.9</v>
      </c>
      <c r="M193" s="1">
        <f t="shared" si="36"/>
        <v>147.00000000000006</v>
      </c>
      <c r="N193" s="1">
        <f t="shared" si="32"/>
        <v>1.1000000000000001</v>
      </c>
      <c r="O193" s="1">
        <f>O192+N193</f>
        <v>188.99999999999997</v>
      </c>
      <c r="P193" s="1">
        <v>154</v>
      </c>
      <c r="Q193" s="11">
        <f t="shared" si="27"/>
        <v>1.0681818181818181</v>
      </c>
      <c r="R193" s="9">
        <f t="shared" si="33"/>
        <v>0.96136363636363631</v>
      </c>
      <c r="S193" s="9">
        <f t="shared" si="30"/>
        <v>1.0386363636363636</v>
      </c>
      <c r="T193" s="9">
        <f t="shared" si="38"/>
        <v>188.81972727272725</v>
      </c>
      <c r="V193" s="10">
        <v>321.89999999999998</v>
      </c>
      <c r="W193" s="1">
        <f t="shared" si="31"/>
        <v>57.482142857142854</v>
      </c>
      <c r="X193" s="1">
        <f t="shared" si="37"/>
        <v>67357.5</v>
      </c>
      <c r="Y193" s="1">
        <f t="shared" si="39"/>
        <v>12318.599999999997</v>
      </c>
      <c r="AA193" s="1">
        <v>9.5279843441082193</v>
      </c>
    </row>
    <row r="194" spans="1:27" s="1" customFormat="1" x14ac:dyDescent="0.25">
      <c r="A194" s="38"/>
      <c r="B194" s="17"/>
      <c r="C194" s="3">
        <v>41675</v>
      </c>
      <c r="D194" s="1">
        <v>7.2</v>
      </c>
      <c r="E194" s="1">
        <v>5.8</v>
      </c>
      <c r="F194" s="1">
        <v>8.3000000000000007</v>
      </c>
      <c r="G194" s="1">
        <f t="shared" si="34"/>
        <v>1344.0000000000005</v>
      </c>
      <c r="H194" s="1">
        <f t="shared" si="28"/>
        <v>309.49999999999989</v>
      </c>
      <c r="J194" s="1">
        <v>0.6</v>
      </c>
      <c r="K194" s="1">
        <f t="shared" si="35"/>
        <v>384.49999999999983</v>
      </c>
      <c r="L194" s="1">
        <v>1.3</v>
      </c>
      <c r="M194" s="1">
        <f t="shared" si="36"/>
        <v>148.30000000000007</v>
      </c>
      <c r="N194" s="8">
        <f t="shared" si="32"/>
        <v>-0.70000000000000007</v>
      </c>
      <c r="O194" s="1">
        <f>O193+N194</f>
        <v>188.29999999999998</v>
      </c>
      <c r="P194" s="1">
        <v>155</v>
      </c>
      <c r="Q194" s="11">
        <f t="shared" si="27"/>
        <v>1.0695454545454546</v>
      </c>
      <c r="R194" s="9">
        <f t="shared" si="33"/>
        <v>1.3904090909090909</v>
      </c>
      <c r="S194" s="9">
        <f t="shared" si="30"/>
        <v>-0.79040909090909095</v>
      </c>
      <c r="T194" s="9">
        <f t="shared" si="38"/>
        <v>188.02931818181816</v>
      </c>
      <c r="V194" s="10">
        <v>482.3</v>
      </c>
      <c r="W194" s="1">
        <f t="shared" si="31"/>
        <v>66.986111111111114</v>
      </c>
      <c r="X194" s="1">
        <f t="shared" si="37"/>
        <v>67839.8</v>
      </c>
      <c r="Y194" s="1">
        <f t="shared" si="39"/>
        <v>12800.899999999996</v>
      </c>
      <c r="AA194" s="1">
        <v>9.5818396550943596</v>
      </c>
    </row>
    <row r="195" spans="1:27" s="1" customFormat="1" x14ac:dyDescent="0.25">
      <c r="A195" s="38"/>
      <c r="B195" s="17"/>
      <c r="C195" s="3">
        <v>41676</v>
      </c>
      <c r="D195" s="1">
        <v>7.5</v>
      </c>
      <c r="E195" s="12">
        <v>5</v>
      </c>
      <c r="F195" s="1">
        <v>11.2</v>
      </c>
      <c r="G195" s="1">
        <f t="shared" si="34"/>
        <v>1351.5000000000005</v>
      </c>
      <c r="H195" s="1">
        <f t="shared" si="28"/>
        <v>316.99999999999989</v>
      </c>
      <c r="J195" s="1">
        <v>7.2</v>
      </c>
      <c r="K195" s="1">
        <f t="shared" si="35"/>
        <v>391.69999999999982</v>
      </c>
      <c r="L195" s="1">
        <v>1.5</v>
      </c>
      <c r="M195" s="1">
        <f t="shared" si="36"/>
        <v>149.80000000000007</v>
      </c>
      <c r="N195" s="1">
        <f t="shared" si="32"/>
        <v>5.7</v>
      </c>
      <c r="O195" s="1">
        <v>189.6</v>
      </c>
      <c r="P195" s="1">
        <v>156</v>
      </c>
      <c r="Q195" s="11">
        <f t="shared" si="27"/>
        <v>1.0709090909090908</v>
      </c>
      <c r="R195" s="9">
        <f t="shared" si="33"/>
        <v>1.6063636363636362</v>
      </c>
      <c r="S195" s="9">
        <f t="shared" si="30"/>
        <v>5.5936363636363637</v>
      </c>
      <c r="T195" s="9">
        <f t="shared" si="38"/>
        <v>189.6</v>
      </c>
      <c r="V195" s="10">
        <v>193.9</v>
      </c>
      <c r="W195" s="1">
        <f t="shared" si="31"/>
        <v>25.853333333333335</v>
      </c>
      <c r="X195" s="1">
        <f t="shared" si="37"/>
        <v>68033.7</v>
      </c>
      <c r="Y195" s="1">
        <f t="shared" si="39"/>
        <v>12994.799999999996</v>
      </c>
      <c r="AA195" s="1">
        <v>9.6362164541563295</v>
      </c>
    </row>
    <row r="196" spans="1:27" s="1" customFormat="1" x14ac:dyDescent="0.25">
      <c r="A196" s="38"/>
      <c r="B196" s="17"/>
      <c r="C196" s="3">
        <v>41677</v>
      </c>
      <c r="D196" s="1">
        <v>7.9</v>
      </c>
      <c r="E196" s="1">
        <v>5.3</v>
      </c>
      <c r="F196" s="1">
        <v>9.4</v>
      </c>
      <c r="G196" s="1">
        <f t="shared" si="34"/>
        <v>1359.4000000000005</v>
      </c>
      <c r="H196" s="1">
        <f t="shared" si="28"/>
        <v>324.89999999999986</v>
      </c>
      <c r="J196" s="1">
        <v>5</v>
      </c>
      <c r="K196" s="1">
        <f t="shared" si="35"/>
        <v>396.69999999999982</v>
      </c>
      <c r="L196" s="1">
        <v>0.9</v>
      </c>
      <c r="M196" s="1">
        <f t="shared" si="36"/>
        <v>150.70000000000007</v>
      </c>
      <c r="N196" s="1">
        <f t="shared" si="32"/>
        <v>4.0999999999999996</v>
      </c>
      <c r="O196" s="1">
        <v>189.6</v>
      </c>
      <c r="P196" s="1">
        <v>157</v>
      </c>
      <c r="Q196" s="11">
        <f t="shared" si="27"/>
        <v>1.0722727272727273</v>
      </c>
      <c r="R196" s="9">
        <f t="shared" si="33"/>
        <v>0.96504545454545454</v>
      </c>
      <c r="S196" s="9">
        <f t="shared" si="30"/>
        <v>4.0349545454545455</v>
      </c>
      <c r="T196" s="9">
        <f t="shared" si="38"/>
        <v>189.6</v>
      </c>
      <c r="V196" s="10">
        <v>273.7</v>
      </c>
      <c r="W196" s="1">
        <f t="shared" si="31"/>
        <v>34.645569620253163</v>
      </c>
      <c r="X196" s="1">
        <f t="shared" si="37"/>
        <v>68307.399999999994</v>
      </c>
      <c r="Y196" s="1">
        <f t="shared" si="39"/>
        <v>13268.499999999996</v>
      </c>
      <c r="AA196" s="1">
        <v>9.6910905305149306</v>
      </c>
    </row>
    <row r="197" spans="1:27" s="1" customFormat="1" x14ac:dyDescent="0.25">
      <c r="A197" s="38"/>
      <c r="B197" s="17"/>
      <c r="C197" s="3">
        <v>41678</v>
      </c>
      <c r="D197" s="1">
        <v>7</v>
      </c>
      <c r="E197" s="1">
        <v>5.5</v>
      </c>
      <c r="F197" s="1">
        <v>9</v>
      </c>
      <c r="G197" s="1">
        <f t="shared" si="34"/>
        <v>1366.4000000000005</v>
      </c>
      <c r="H197" s="1">
        <f t="shared" si="28"/>
        <v>331.89999999999986</v>
      </c>
      <c r="J197" s="1">
        <v>1</v>
      </c>
      <c r="K197" s="1">
        <f t="shared" si="35"/>
        <v>397.69999999999982</v>
      </c>
      <c r="L197" s="1">
        <v>1.3</v>
      </c>
      <c r="M197" s="1">
        <f t="shared" si="36"/>
        <v>152.00000000000009</v>
      </c>
      <c r="N197" s="8">
        <f t="shared" si="32"/>
        <v>-0.30000000000000004</v>
      </c>
      <c r="O197" s="1">
        <f>O196+N197</f>
        <v>189.29999999999998</v>
      </c>
      <c r="P197" s="1">
        <v>158</v>
      </c>
      <c r="Q197" s="11">
        <f t="shared" si="27"/>
        <v>1.0736363636363635</v>
      </c>
      <c r="R197" s="9">
        <f t="shared" si="33"/>
        <v>1.3957272727272727</v>
      </c>
      <c r="S197" s="9">
        <f t="shared" si="30"/>
        <v>-0.39572727272727271</v>
      </c>
      <c r="T197" s="9">
        <f t="shared" si="38"/>
        <v>189.20427272727272</v>
      </c>
      <c r="V197" s="10">
        <v>574.29999999999995</v>
      </c>
      <c r="W197" s="1">
        <f t="shared" si="31"/>
        <v>82.04285714285713</v>
      </c>
      <c r="X197" s="1">
        <f t="shared" si="37"/>
        <v>68881.7</v>
      </c>
      <c r="Y197" s="1">
        <f t="shared" si="39"/>
        <v>13842.799999999996</v>
      </c>
      <c r="AA197" s="1">
        <v>9.7464383971307509</v>
      </c>
    </row>
    <row r="198" spans="1:27" s="1" customFormat="1" x14ac:dyDescent="0.25">
      <c r="A198" s="38"/>
      <c r="B198" s="17"/>
      <c r="C198" s="3">
        <v>41679</v>
      </c>
      <c r="D198" s="1">
        <v>5.5</v>
      </c>
      <c r="E198" s="12">
        <v>4.3</v>
      </c>
      <c r="F198" s="1">
        <v>7.5</v>
      </c>
      <c r="G198" s="1">
        <f t="shared" si="34"/>
        <v>1371.9000000000005</v>
      </c>
      <c r="H198" s="1">
        <f t="shared" si="28"/>
        <v>337.39999999999986</v>
      </c>
      <c r="J198" s="1">
        <v>0</v>
      </c>
      <c r="K198" s="1">
        <f t="shared" si="35"/>
        <v>397.69999999999982</v>
      </c>
      <c r="L198" s="1">
        <v>1.6</v>
      </c>
      <c r="M198" s="1">
        <f t="shared" si="36"/>
        <v>153.60000000000008</v>
      </c>
      <c r="N198" s="8">
        <f t="shared" si="32"/>
        <v>-1.6</v>
      </c>
      <c r="O198" s="1">
        <f>O197+N198</f>
        <v>187.7</v>
      </c>
      <c r="P198" s="1">
        <v>159</v>
      </c>
      <c r="Q198" s="11">
        <f t="shared" si="27"/>
        <v>1.075</v>
      </c>
      <c r="R198" s="9">
        <f t="shared" si="33"/>
        <v>1.72</v>
      </c>
      <c r="S198" s="9">
        <f t="shared" si="30"/>
        <v>-1.72</v>
      </c>
      <c r="T198" s="9">
        <f t="shared" si="38"/>
        <v>187.48427272727272</v>
      </c>
      <c r="V198" s="10">
        <v>446.6</v>
      </c>
      <c r="W198" s="1">
        <f t="shared" si="31"/>
        <v>81.2</v>
      </c>
      <c r="X198" s="1">
        <f t="shared" si="37"/>
        <v>69328.3</v>
      </c>
      <c r="Y198" s="1">
        <f t="shared" si="39"/>
        <v>14289.399999999996</v>
      </c>
      <c r="AA198" s="1">
        <v>9.8022372920506502</v>
      </c>
    </row>
    <row r="199" spans="1:27" s="1" customFormat="1" x14ac:dyDescent="0.25">
      <c r="A199" s="38"/>
      <c r="B199" s="17"/>
      <c r="C199" s="3">
        <v>41680</v>
      </c>
      <c r="D199" s="12">
        <v>4.8</v>
      </c>
      <c r="E199" s="12">
        <v>2.9</v>
      </c>
      <c r="F199" s="1">
        <v>5.9</v>
      </c>
      <c r="G199" s="1">
        <f t="shared" si="34"/>
        <v>1376.7000000000005</v>
      </c>
      <c r="H199" s="1">
        <f t="shared" si="28"/>
        <v>342.19999999999987</v>
      </c>
      <c r="J199" s="1">
        <v>0</v>
      </c>
      <c r="K199" s="1">
        <f t="shared" si="35"/>
        <v>397.69999999999982</v>
      </c>
      <c r="L199" s="1">
        <v>0.4</v>
      </c>
      <c r="M199" s="1">
        <f t="shared" si="36"/>
        <v>154.00000000000009</v>
      </c>
      <c r="N199" s="8">
        <f t="shared" si="32"/>
        <v>-0.4</v>
      </c>
      <c r="O199" s="1">
        <f>O198+N199</f>
        <v>187.29999999999998</v>
      </c>
      <c r="P199" s="1">
        <v>160</v>
      </c>
      <c r="Q199" s="11">
        <f t="shared" si="27"/>
        <v>1.0763636363636364</v>
      </c>
      <c r="R199" s="9">
        <f t="shared" si="33"/>
        <v>0.43054545454545456</v>
      </c>
      <c r="S199" s="9">
        <f t="shared" si="30"/>
        <v>-0.43054545454545456</v>
      </c>
      <c r="T199" s="9">
        <f t="shared" si="38"/>
        <v>187.05372727272726</v>
      </c>
      <c r="V199" s="10">
        <v>349.3</v>
      </c>
      <c r="W199" s="1">
        <f t="shared" si="31"/>
        <v>72.770833333333343</v>
      </c>
      <c r="X199" s="1">
        <f t="shared" si="37"/>
        <v>69677.600000000006</v>
      </c>
      <c r="Y199" s="1">
        <f t="shared" si="39"/>
        <v>14638.699999999995</v>
      </c>
      <c r="AA199" s="1">
        <v>9.8584651773438203</v>
      </c>
    </row>
    <row r="200" spans="1:27" s="1" customFormat="1" x14ac:dyDescent="0.25">
      <c r="A200" s="38"/>
      <c r="B200" s="17"/>
      <c r="C200" s="3">
        <v>41681</v>
      </c>
      <c r="D200" s="12">
        <v>4.8</v>
      </c>
      <c r="E200" s="12">
        <v>3.2</v>
      </c>
      <c r="F200" s="1">
        <v>6.9</v>
      </c>
      <c r="G200" s="1">
        <f t="shared" si="34"/>
        <v>1381.5000000000005</v>
      </c>
      <c r="H200" s="1">
        <f t="shared" si="28"/>
        <v>346.99999999999989</v>
      </c>
      <c r="J200" s="1">
        <v>2.5</v>
      </c>
      <c r="K200" s="1">
        <f t="shared" si="35"/>
        <v>400.19999999999982</v>
      </c>
      <c r="L200" s="1">
        <v>0.9</v>
      </c>
      <c r="M200" s="1">
        <f t="shared" si="36"/>
        <v>154.90000000000009</v>
      </c>
      <c r="N200" s="1">
        <f t="shared" si="32"/>
        <v>1.6</v>
      </c>
      <c r="O200" s="1">
        <f>O199+N200</f>
        <v>188.89999999999998</v>
      </c>
      <c r="P200" s="1">
        <v>161</v>
      </c>
      <c r="Q200" s="11">
        <f t="shared" si="27"/>
        <v>1.0777272727272726</v>
      </c>
      <c r="R200" s="9">
        <f t="shared" si="33"/>
        <v>0.9699545454545454</v>
      </c>
      <c r="S200" s="9">
        <f t="shared" si="30"/>
        <v>1.5300454545454545</v>
      </c>
      <c r="T200" s="9">
        <f t="shared" si="38"/>
        <v>188.5837727272727</v>
      </c>
      <c r="V200" s="10">
        <v>420.2</v>
      </c>
      <c r="W200" s="1">
        <f t="shared" si="31"/>
        <v>87.541666666666671</v>
      </c>
      <c r="X200" s="1">
        <f t="shared" si="37"/>
        <v>70097.8</v>
      </c>
      <c r="Y200" s="1">
        <f t="shared" si="39"/>
        <v>15058.899999999996</v>
      </c>
      <c r="AA200" s="1">
        <v>9.9151007358076004</v>
      </c>
    </row>
    <row r="201" spans="1:27" s="1" customFormat="1" x14ac:dyDescent="0.25">
      <c r="A201" s="38"/>
      <c r="B201" s="17"/>
      <c r="C201" s="3">
        <v>41682</v>
      </c>
      <c r="D201" s="1">
        <v>5.0999999999999996</v>
      </c>
      <c r="E201" s="12">
        <v>1.5</v>
      </c>
      <c r="F201" s="1">
        <v>8.1999999999999993</v>
      </c>
      <c r="G201" s="1">
        <f t="shared" si="34"/>
        <v>1386.6000000000004</v>
      </c>
      <c r="H201" s="1">
        <f t="shared" si="28"/>
        <v>352.09999999999991</v>
      </c>
      <c r="J201" s="1">
        <v>6.4</v>
      </c>
      <c r="K201" s="1">
        <f t="shared" si="35"/>
        <v>406.5999999999998</v>
      </c>
      <c r="L201" s="1">
        <v>1.1000000000000001</v>
      </c>
      <c r="M201" s="1">
        <f t="shared" si="36"/>
        <v>156.00000000000009</v>
      </c>
      <c r="N201" s="1">
        <f t="shared" si="32"/>
        <v>5.3000000000000007</v>
      </c>
      <c r="O201" s="1">
        <v>189.6</v>
      </c>
      <c r="P201" s="1">
        <v>162</v>
      </c>
      <c r="Q201" s="11">
        <f t="shared" si="27"/>
        <v>1.0790909090909091</v>
      </c>
      <c r="R201" s="9">
        <f t="shared" si="33"/>
        <v>1.1870000000000001</v>
      </c>
      <c r="S201" s="9">
        <f t="shared" si="30"/>
        <v>5.2130000000000001</v>
      </c>
      <c r="T201" s="9">
        <f t="shared" si="38"/>
        <v>189.6</v>
      </c>
      <c r="V201" s="10">
        <v>672.6</v>
      </c>
      <c r="W201" s="1">
        <f t="shared" si="31"/>
        <v>131.88235294117649</v>
      </c>
      <c r="X201" s="1">
        <f t="shared" si="37"/>
        <v>70770.400000000009</v>
      </c>
      <c r="Y201" s="1">
        <f t="shared" si="39"/>
        <v>15731.499999999996</v>
      </c>
      <c r="AA201" s="1">
        <v>9.9721233656181401</v>
      </c>
    </row>
    <row r="202" spans="1:27" s="1" customFormat="1" x14ac:dyDescent="0.25">
      <c r="A202" s="38"/>
      <c r="B202" s="17"/>
      <c r="C202" s="3">
        <v>41683</v>
      </c>
      <c r="D202" s="1">
        <v>5.3</v>
      </c>
      <c r="E202" s="1">
        <v>5.2</v>
      </c>
      <c r="F202" s="1">
        <v>6.9</v>
      </c>
      <c r="G202" s="1">
        <f t="shared" si="34"/>
        <v>1391.9000000000003</v>
      </c>
      <c r="H202" s="1">
        <f t="shared" si="28"/>
        <v>357.39999999999992</v>
      </c>
      <c r="J202" s="1">
        <v>3.2</v>
      </c>
      <c r="K202" s="1">
        <f t="shared" si="35"/>
        <v>409.79999999999978</v>
      </c>
      <c r="L202" s="1">
        <v>1</v>
      </c>
      <c r="M202" s="1">
        <f t="shared" si="36"/>
        <v>157.00000000000009</v>
      </c>
      <c r="N202" s="1">
        <f t="shared" si="32"/>
        <v>2.2000000000000002</v>
      </c>
      <c r="O202" s="1">
        <v>189.6</v>
      </c>
      <c r="P202" s="1">
        <v>163</v>
      </c>
      <c r="Q202" s="11">
        <f t="shared" si="27"/>
        <v>1.0804545454545453</v>
      </c>
      <c r="R202" s="9">
        <f t="shared" si="33"/>
        <v>1.0804545454545453</v>
      </c>
      <c r="S202" s="9">
        <f t="shared" si="30"/>
        <v>2.1195454545454551</v>
      </c>
      <c r="T202" s="9">
        <f t="shared" si="38"/>
        <v>189.6</v>
      </c>
      <c r="V202" s="10">
        <v>174.7</v>
      </c>
      <c r="W202" s="1">
        <f t="shared" si="31"/>
        <v>32.962264150943398</v>
      </c>
      <c r="X202" s="1">
        <f t="shared" si="37"/>
        <v>70945.100000000006</v>
      </c>
      <c r="Y202" s="1">
        <f t="shared" si="39"/>
        <v>15906.199999999997</v>
      </c>
      <c r="AA202" s="1">
        <v>10.0295131730956</v>
      </c>
    </row>
    <row r="203" spans="1:27" s="1" customFormat="1" x14ac:dyDescent="0.25">
      <c r="A203" s="38"/>
      <c r="B203" s="17"/>
      <c r="C203" s="3">
        <v>41684</v>
      </c>
      <c r="D203" s="1">
        <v>6.2</v>
      </c>
      <c r="E203" s="12">
        <v>2.6</v>
      </c>
      <c r="F203" s="1">
        <v>11.2</v>
      </c>
      <c r="G203" s="1">
        <f t="shared" si="34"/>
        <v>1398.1000000000004</v>
      </c>
      <c r="H203" s="1">
        <f t="shared" si="28"/>
        <v>363.59999999999991</v>
      </c>
      <c r="J203" s="1">
        <v>2.2000000000000002</v>
      </c>
      <c r="K203" s="1">
        <f t="shared" si="35"/>
        <v>411.99999999999977</v>
      </c>
      <c r="L203" s="1">
        <v>1.1000000000000001</v>
      </c>
      <c r="M203" s="1">
        <f t="shared" si="36"/>
        <v>158.10000000000008</v>
      </c>
      <c r="N203" s="1">
        <f t="shared" si="32"/>
        <v>1.1000000000000001</v>
      </c>
      <c r="O203" s="1">
        <v>189.6</v>
      </c>
      <c r="P203" s="1">
        <v>164</v>
      </c>
      <c r="Q203" s="11">
        <f t="shared" si="27"/>
        <v>1.0818181818181818</v>
      </c>
      <c r="R203" s="9">
        <f t="shared" si="33"/>
        <v>1.1900000000000002</v>
      </c>
      <c r="S203" s="9">
        <f t="shared" si="30"/>
        <v>1.01</v>
      </c>
      <c r="T203" s="9">
        <f t="shared" si="38"/>
        <v>189.6</v>
      </c>
      <c r="V203" s="10">
        <v>200.5</v>
      </c>
      <c r="W203" s="1">
        <f t="shared" si="31"/>
        <v>32.338709677419352</v>
      </c>
      <c r="X203" s="1">
        <f t="shared" si="37"/>
        <v>71145.600000000006</v>
      </c>
      <c r="Y203" s="1">
        <f t="shared" si="39"/>
        <v>16106.699999999997</v>
      </c>
      <c r="AA203" s="1">
        <v>10.087250963746801</v>
      </c>
    </row>
    <row r="204" spans="1:27" s="1" customFormat="1" x14ac:dyDescent="0.25">
      <c r="A204" s="38"/>
      <c r="B204" s="17"/>
      <c r="C204" s="3">
        <v>41685</v>
      </c>
      <c r="D204" s="1">
        <v>8.5</v>
      </c>
      <c r="E204" s="1">
        <v>6.2</v>
      </c>
      <c r="F204" s="1">
        <v>10.3</v>
      </c>
      <c r="G204" s="1">
        <f t="shared" si="34"/>
        <v>1406.6000000000004</v>
      </c>
      <c r="H204" s="1">
        <f t="shared" si="28"/>
        <v>372.09999999999991</v>
      </c>
      <c r="J204" s="1">
        <v>0.8</v>
      </c>
      <c r="K204" s="1">
        <f t="shared" si="35"/>
        <v>412.79999999999978</v>
      </c>
      <c r="L204" s="1">
        <v>1.8</v>
      </c>
      <c r="M204" s="1">
        <f t="shared" si="36"/>
        <v>159.90000000000009</v>
      </c>
      <c r="N204" s="8">
        <f t="shared" si="32"/>
        <v>-1</v>
      </c>
      <c r="O204" s="1">
        <f>O203+N204</f>
        <v>188.6</v>
      </c>
      <c r="P204" s="1">
        <v>165</v>
      </c>
      <c r="Q204" s="11">
        <f t="shared" si="27"/>
        <v>1.083181818181818</v>
      </c>
      <c r="R204" s="9">
        <f t="shared" si="33"/>
        <v>1.9497272727272725</v>
      </c>
      <c r="S204" s="9">
        <f t="shared" si="30"/>
        <v>-1.1497272727272725</v>
      </c>
      <c r="T204" s="9">
        <f t="shared" si="38"/>
        <v>188.45027272727273</v>
      </c>
      <c r="V204" s="10">
        <v>443.8</v>
      </c>
      <c r="W204" s="1">
        <f t="shared" si="31"/>
        <v>52.211764705882352</v>
      </c>
      <c r="X204" s="1">
        <f t="shared" si="37"/>
        <v>71589.400000000009</v>
      </c>
      <c r="Y204" s="1">
        <f t="shared" si="39"/>
        <v>16550.499999999996</v>
      </c>
      <c r="AA204" s="1">
        <v>10.145318231742101</v>
      </c>
    </row>
    <row r="205" spans="1:27" s="1" customFormat="1" x14ac:dyDescent="0.25">
      <c r="A205" s="38"/>
      <c r="B205" s="17"/>
      <c r="C205" s="3">
        <v>41686</v>
      </c>
      <c r="D205" s="1">
        <v>6.9</v>
      </c>
      <c r="E205" s="1">
        <v>5.4</v>
      </c>
      <c r="F205" s="1">
        <v>9.4</v>
      </c>
      <c r="G205" s="1">
        <f t="shared" si="34"/>
        <v>1413.5000000000005</v>
      </c>
      <c r="H205" s="1">
        <f t="shared" si="28"/>
        <v>378.99999999999989</v>
      </c>
      <c r="J205" s="1">
        <v>0.2</v>
      </c>
      <c r="K205" s="1">
        <f t="shared" si="35"/>
        <v>412.99999999999977</v>
      </c>
      <c r="L205" s="1">
        <v>1.2</v>
      </c>
      <c r="M205" s="1">
        <f t="shared" si="36"/>
        <v>161.10000000000008</v>
      </c>
      <c r="N205" s="8">
        <f t="shared" si="32"/>
        <v>-1</v>
      </c>
      <c r="O205" s="1">
        <f>O204+N205</f>
        <v>187.6</v>
      </c>
      <c r="P205" s="1">
        <v>166</v>
      </c>
      <c r="Q205" s="11">
        <f t="shared" si="27"/>
        <v>1.0845454545454545</v>
      </c>
      <c r="R205" s="9">
        <f t="shared" si="33"/>
        <v>1.3014545454545454</v>
      </c>
      <c r="S205" s="9">
        <f t="shared" si="30"/>
        <v>-1.1014545454545455</v>
      </c>
      <c r="T205" s="9">
        <f t="shared" si="38"/>
        <v>187.34881818181819</v>
      </c>
      <c r="V205" s="10">
        <v>563.6</v>
      </c>
      <c r="W205" s="1">
        <f t="shared" si="31"/>
        <v>81.681159420289859</v>
      </c>
      <c r="X205" s="1">
        <f t="shared" si="37"/>
        <v>72153.000000000015</v>
      </c>
      <c r="Y205" s="1">
        <f t="shared" si="39"/>
        <v>17114.099999999995</v>
      </c>
      <c r="AA205" s="1">
        <v>10.2036971479745</v>
      </c>
    </row>
    <row r="206" spans="1:27" s="1" customFormat="1" x14ac:dyDescent="0.25">
      <c r="A206" s="38"/>
      <c r="B206" s="17"/>
      <c r="C206" s="3">
        <v>41687</v>
      </c>
      <c r="D206" s="1">
        <v>5.6</v>
      </c>
      <c r="E206" s="12">
        <v>3.8</v>
      </c>
      <c r="F206" s="1">
        <v>7.2</v>
      </c>
      <c r="G206" s="1">
        <f t="shared" si="34"/>
        <v>1419.1000000000004</v>
      </c>
      <c r="H206" s="1">
        <f t="shared" si="28"/>
        <v>384.59999999999991</v>
      </c>
      <c r="J206" s="1">
        <v>0</v>
      </c>
      <c r="K206" s="1">
        <f t="shared" si="35"/>
        <v>412.99999999999977</v>
      </c>
      <c r="L206" s="1">
        <v>0.5</v>
      </c>
      <c r="M206" s="1">
        <f t="shared" si="36"/>
        <v>161.60000000000008</v>
      </c>
      <c r="N206" s="8">
        <f t="shared" si="32"/>
        <v>-0.5</v>
      </c>
      <c r="O206" s="1">
        <f>O205+N206</f>
        <v>187.1</v>
      </c>
      <c r="P206" s="1">
        <v>167</v>
      </c>
      <c r="Q206" s="11">
        <f t="shared" si="27"/>
        <v>1.0859090909090909</v>
      </c>
      <c r="R206" s="9">
        <f t="shared" si="33"/>
        <v>0.54295454545454547</v>
      </c>
      <c r="S206" s="9">
        <f t="shared" si="30"/>
        <v>-0.54295454545454547</v>
      </c>
      <c r="T206" s="9">
        <f t="shared" si="38"/>
        <v>186.80586363636365</v>
      </c>
      <c r="V206" s="10">
        <v>323</v>
      </c>
      <c r="W206" s="1">
        <f t="shared" si="31"/>
        <v>57.678571428571431</v>
      </c>
      <c r="X206" s="1">
        <f t="shared" si="37"/>
        <v>72476.000000000015</v>
      </c>
      <c r="Y206" s="1">
        <f t="shared" si="39"/>
        <v>17437.099999999995</v>
      </c>
      <c r="AA206" s="1">
        <v>10.262370546844201</v>
      </c>
    </row>
    <row r="207" spans="1:27" s="1" customFormat="1" x14ac:dyDescent="0.25">
      <c r="A207" s="38"/>
      <c r="B207" s="17"/>
      <c r="C207" s="3">
        <v>41688</v>
      </c>
      <c r="D207" s="1">
        <v>5.0999999999999996</v>
      </c>
      <c r="E207" s="12">
        <v>3.7</v>
      </c>
      <c r="F207" s="1">
        <v>6.1</v>
      </c>
      <c r="G207" s="1">
        <f t="shared" si="34"/>
        <v>1424.2000000000003</v>
      </c>
      <c r="H207" s="1">
        <f t="shared" si="28"/>
        <v>389.69999999999993</v>
      </c>
      <c r="J207" s="1">
        <v>0.8</v>
      </c>
      <c r="K207" s="1">
        <f t="shared" si="35"/>
        <v>413.79999999999978</v>
      </c>
      <c r="L207" s="1">
        <v>0.4</v>
      </c>
      <c r="M207" s="1">
        <f t="shared" si="36"/>
        <v>162.00000000000009</v>
      </c>
      <c r="N207" s="1">
        <f t="shared" si="32"/>
        <v>0.4</v>
      </c>
      <c r="O207" s="1">
        <f>O206+N207</f>
        <v>187.5</v>
      </c>
      <c r="P207" s="1">
        <v>168</v>
      </c>
      <c r="Q207" s="11">
        <f t="shared" si="27"/>
        <v>1.0872727272727272</v>
      </c>
      <c r="R207" s="9">
        <f t="shared" si="33"/>
        <v>0.43490909090909091</v>
      </c>
      <c r="S207" s="9">
        <f t="shared" si="30"/>
        <v>0.36509090909090913</v>
      </c>
      <c r="T207" s="9">
        <f t="shared" si="38"/>
        <v>187.17095454545455</v>
      </c>
      <c r="V207" s="10">
        <v>266.39999999999998</v>
      </c>
      <c r="W207" s="1">
        <f t="shared" si="31"/>
        <v>52.235294117647058</v>
      </c>
      <c r="X207" s="1">
        <f t="shared" si="37"/>
        <v>72742.400000000009</v>
      </c>
      <c r="Y207" s="1">
        <f t="shared" si="39"/>
        <v>17703.499999999996</v>
      </c>
      <c r="AA207" s="1">
        <v>10.3213219118997</v>
      </c>
    </row>
    <row r="208" spans="1:27" s="1" customFormat="1" x14ac:dyDescent="0.25">
      <c r="A208" s="38"/>
      <c r="B208" s="17"/>
      <c r="C208" s="3">
        <v>41689</v>
      </c>
      <c r="D208" s="1">
        <v>6.5</v>
      </c>
      <c r="E208" s="12">
        <v>3.4</v>
      </c>
      <c r="F208" s="1">
        <v>8.8000000000000007</v>
      </c>
      <c r="G208" s="1">
        <f t="shared" si="34"/>
        <v>1430.7000000000003</v>
      </c>
      <c r="H208" s="1">
        <f t="shared" si="28"/>
        <v>396.19999999999993</v>
      </c>
      <c r="J208" s="1">
        <v>1.8</v>
      </c>
      <c r="K208" s="1">
        <f t="shared" si="35"/>
        <v>415.5999999999998</v>
      </c>
      <c r="L208" s="1">
        <v>0.4</v>
      </c>
      <c r="M208" s="1">
        <f t="shared" si="36"/>
        <v>162.40000000000009</v>
      </c>
      <c r="N208" s="1">
        <f t="shared" si="32"/>
        <v>1.4</v>
      </c>
      <c r="O208" s="1">
        <f>O207+N208</f>
        <v>188.9</v>
      </c>
      <c r="P208" s="1">
        <v>169</v>
      </c>
      <c r="Q208" s="11">
        <f t="shared" si="27"/>
        <v>1.0886363636363636</v>
      </c>
      <c r="R208" s="9">
        <f t="shared" si="33"/>
        <v>0.43545454545454548</v>
      </c>
      <c r="S208" s="9">
        <f t="shared" si="30"/>
        <v>1.3645454545454545</v>
      </c>
      <c r="T208" s="9">
        <f t="shared" si="38"/>
        <v>188.53550000000001</v>
      </c>
      <c r="V208" s="10">
        <v>410.4</v>
      </c>
      <c r="W208" s="1">
        <f t="shared" si="31"/>
        <v>63.138461538461534</v>
      </c>
      <c r="X208" s="1">
        <f t="shared" si="37"/>
        <v>73152.800000000003</v>
      </c>
      <c r="Y208" s="1">
        <f t="shared" si="39"/>
        <v>18113.899999999998</v>
      </c>
      <c r="AA208" s="1">
        <v>10.3805353604641</v>
      </c>
    </row>
    <row r="209" spans="1:28" s="1" customFormat="1" x14ac:dyDescent="0.25">
      <c r="A209" s="38"/>
      <c r="B209" s="17"/>
      <c r="C209" s="3">
        <v>41690</v>
      </c>
      <c r="D209" s="1">
        <v>8.9</v>
      </c>
      <c r="E209" s="1">
        <v>6.4</v>
      </c>
      <c r="F209" s="1">
        <v>10.5</v>
      </c>
      <c r="G209" s="1">
        <f t="shared" si="34"/>
        <v>1439.6000000000004</v>
      </c>
      <c r="H209" s="1">
        <f t="shared" si="28"/>
        <v>405.09999999999991</v>
      </c>
      <c r="J209" s="1">
        <v>5.2</v>
      </c>
      <c r="K209" s="1">
        <f t="shared" si="35"/>
        <v>420.79999999999978</v>
      </c>
      <c r="L209" s="1">
        <v>0.2</v>
      </c>
      <c r="M209" s="1">
        <f t="shared" si="36"/>
        <v>162.60000000000008</v>
      </c>
      <c r="N209" s="1">
        <f t="shared" si="32"/>
        <v>5</v>
      </c>
      <c r="O209" s="1">
        <v>189.6</v>
      </c>
      <c r="P209" s="1">
        <v>170</v>
      </c>
      <c r="Q209" s="11">
        <f t="shared" ref="Q209:Q253" si="40">1+((P209-104)/110)*(1.15-1)</f>
        <v>1.0899999999999999</v>
      </c>
      <c r="R209" s="9">
        <f t="shared" si="33"/>
        <v>0.21799999999999997</v>
      </c>
      <c r="S209" s="9">
        <f t="shared" si="30"/>
        <v>4.9820000000000002</v>
      </c>
      <c r="T209" s="9">
        <f t="shared" si="38"/>
        <v>189.6</v>
      </c>
      <c r="V209" s="10">
        <v>162.5</v>
      </c>
      <c r="W209" s="1">
        <f t="shared" si="31"/>
        <v>18.258426966292134</v>
      </c>
      <c r="X209" s="1">
        <f t="shared" si="37"/>
        <v>73315.3</v>
      </c>
      <c r="Y209" s="1">
        <f t="shared" si="39"/>
        <v>18276.399999999998</v>
      </c>
      <c r="AA209" s="1">
        <v>10.4399956273618</v>
      </c>
    </row>
    <row r="210" spans="1:28" s="1" customFormat="1" x14ac:dyDescent="0.25">
      <c r="A210" s="38"/>
      <c r="B210" s="17"/>
      <c r="C210" s="3">
        <v>41691</v>
      </c>
      <c r="D210" s="1">
        <v>6.5</v>
      </c>
      <c r="E210" s="1">
        <v>5.6</v>
      </c>
      <c r="F210" s="1">
        <v>8.9</v>
      </c>
      <c r="G210" s="1">
        <f t="shared" si="34"/>
        <v>1446.1000000000004</v>
      </c>
      <c r="H210" s="1">
        <f t="shared" ref="H210:H273" si="41">H209+D210</f>
        <v>411.59999999999991</v>
      </c>
      <c r="J210" s="1">
        <v>1.8</v>
      </c>
      <c r="K210" s="1">
        <f t="shared" si="35"/>
        <v>422.5999999999998</v>
      </c>
      <c r="L210" s="1">
        <v>1.2</v>
      </c>
      <c r="M210" s="1">
        <f t="shared" si="36"/>
        <v>163.80000000000007</v>
      </c>
      <c r="N210" s="1">
        <f t="shared" si="32"/>
        <v>0.60000000000000009</v>
      </c>
      <c r="O210" s="1">
        <v>189.6</v>
      </c>
      <c r="P210" s="1">
        <v>171</v>
      </c>
      <c r="Q210" s="11">
        <f t="shared" si="40"/>
        <v>1.0913636363636363</v>
      </c>
      <c r="R210" s="9">
        <f t="shared" si="33"/>
        <v>1.3096363636363635</v>
      </c>
      <c r="S210" s="9">
        <f t="shared" si="30"/>
        <v>0.49036363636363656</v>
      </c>
      <c r="T210" s="9">
        <f t="shared" si="38"/>
        <v>189.6</v>
      </c>
      <c r="V210" s="10">
        <v>508.7</v>
      </c>
      <c r="W210" s="1">
        <f t="shared" si="31"/>
        <v>78.261538461538464</v>
      </c>
      <c r="X210" s="1">
        <f t="shared" si="37"/>
        <v>73824</v>
      </c>
      <c r="Y210" s="1">
        <f t="shared" si="39"/>
        <v>18785.099999999999</v>
      </c>
      <c r="AA210" s="1">
        <v>10.499688047858401</v>
      </c>
    </row>
    <row r="211" spans="1:28" s="1" customFormat="1" x14ac:dyDescent="0.25">
      <c r="A211" s="38"/>
      <c r="B211" s="17"/>
      <c r="C211" s="3">
        <v>41692</v>
      </c>
      <c r="D211" s="1">
        <v>5.8</v>
      </c>
      <c r="E211" s="12">
        <v>3.8</v>
      </c>
      <c r="F211" s="1">
        <v>8.4</v>
      </c>
      <c r="G211" s="1">
        <f t="shared" si="34"/>
        <v>1451.9000000000003</v>
      </c>
      <c r="H211" s="1">
        <f t="shared" si="41"/>
        <v>417.39999999999992</v>
      </c>
      <c r="J211" s="1">
        <v>0.2</v>
      </c>
      <c r="K211" s="1">
        <f t="shared" si="35"/>
        <v>422.79999999999978</v>
      </c>
      <c r="L211" s="1">
        <v>0.9</v>
      </c>
      <c r="M211" s="1">
        <f t="shared" si="36"/>
        <v>164.70000000000007</v>
      </c>
      <c r="N211" s="8">
        <f t="shared" si="32"/>
        <v>-0.7</v>
      </c>
      <c r="O211" s="1">
        <f>O210+N211</f>
        <v>188.9</v>
      </c>
      <c r="P211" s="1">
        <v>172</v>
      </c>
      <c r="Q211" s="11">
        <f t="shared" si="40"/>
        <v>1.0927272727272728</v>
      </c>
      <c r="R211" s="9">
        <f t="shared" si="33"/>
        <v>0.98345454545454547</v>
      </c>
      <c r="S211" s="9">
        <f t="shared" si="30"/>
        <v>-0.7834545454545454</v>
      </c>
      <c r="T211" s="9">
        <f t="shared" si="38"/>
        <v>188.81654545454546</v>
      </c>
      <c r="V211" s="10">
        <v>552</v>
      </c>
      <c r="W211" s="1">
        <f t="shared" si="31"/>
        <v>95.172413793103445</v>
      </c>
      <c r="X211" s="1">
        <f t="shared" si="37"/>
        <v>74376</v>
      </c>
      <c r="Y211" s="1">
        <f t="shared" si="39"/>
        <v>19337.099999999999</v>
      </c>
      <c r="AA211" s="1">
        <v>10.5595985399135</v>
      </c>
    </row>
    <row r="212" spans="1:28" s="1" customFormat="1" x14ac:dyDescent="0.25">
      <c r="A212" s="38"/>
      <c r="B212" s="17"/>
      <c r="C212" s="3">
        <v>41693</v>
      </c>
      <c r="D212" s="1">
        <v>7.4</v>
      </c>
      <c r="E212" s="12">
        <v>4</v>
      </c>
      <c r="F212" s="1">
        <v>11.5</v>
      </c>
      <c r="G212" s="1">
        <f t="shared" si="34"/>
        <v>1459.3000000000004</v>
      </c>
      <c r="H212" s="1">
        <f t="shared" si="41"/>
        <v>424.7999999999999</v>
      </c>
      <c r="J212" s="1">
        <v>0</v>
      </c>
      <c r="K212" s="1">
        <f t="shared" si="35"/>
        <v>422.79999999999978</v>
      </c>
      <c r="L212" s="1">
        <v>1.3</v>
      </c>
      <c r="M212" s="1">
        <f t="shared" si="36"/>
        <v>166.00000000000009</v>
      </c>
      <c r="N212" s="8">
        <f t="shared" si="32"/>
        <v>-1.3</v>
      </c>
      <c r="O212" s="1">
        <f>O211+N212</f>
        <v>187.6</v>
      </c>
      <c r="P212" s="1">
        <v>173</v>
      </c>
      <c r="Q212" s="11">
        <f t="shared" si="40"/>
        <v>1.094090909090909</v>
      </c>
      <c r="R212" s="9">
        <f t="shared" si="33"/>
        <v>1.4223181818181818</v>
      </c>
      <c r="S212" s="9">
        <f t="shared" si="30"/>
        <v>-1.4223181818181818</v>
      </c>
      <c r="T212" s="9">
        <f t="shared" si="38"/>
        <v>187.39422727272728</v>
      </c>
      <c r="V212" s="10">
        <v>886.6</v>
      </c>
      <c r="W212" s="1">
        <f t="shared" si="31"/>
        <v>119.81081081081081</v>
      </c>
      <c r="X212" s="1">
        <f t="shared" si="37"/>
        <v>75262.600000000006</v>
      </c>
      <c r="Y212" s="1">
        <f t="shared" si="39"/>
        <v>20223.699999999997</v>
      </c>
      <c r="AA212" s="1">
        <v>10.6197135858434</v>
      </c>
    </row>
    <row r="213" spans="1:28" s="1" customFormat="1" x14ac:dyDescent="0.25">
      <c r="A213" s="38"/>
      <c r="B213" s="17"/>
      <c r="C213" s="3">
        <v>41694</v>
      </c>
      <c r="D213" s="1">
        <v>8</v>
      </c>
      <c r="E213" s="12">
        <v>3.6</v>
      </c>
      <c r="F213" s="1">
        <v>11.7</v>
      </c>
      <c r="G213" s="1">
        <f t="shared" si="34"/>
        <v>1467.3000000000004</v>
      </c>
      <c r="H213" s="1">
        <f t="shared" si="41"/>
        <v>432.7999999999999</v>
      </c>
      <c r="J213" s="1">
        <v>0.3</v>
      </c>
      <c r="K213" s="1">
        <f t="shared" si="35"/>
        <v>423.0999999999998</v>
      </c>
      <c r="L213" s="1">
        <v>1.5</v>
      </c>
      <c r="M213" s="1">
        <f t="shared" si="36"/>
        <v>167.50000000000009</v>
      </c>
      <c r="N213" s="8">
        <f t="shared" si="32"/>
        <v>-1.2</v>
      </c>
      <c r="O213" s="1">
        <f>O212+N213</f>
        <v>186.4</v>
      </c>
      <c r="P213" s="1">
        <v>174</v>
      </c>
      <c r="Q213" s="11">
        <f t="shared" si="40"/>
        <v>1.0954545454545455</v>
      </c>
      <c r="R213" s="9">
        <f t="shared" si="33"/>
        <v>1.6431818181818181</v>
      </c>
      <c r="S213" s="9">
        <f t="shared" si="30"/>
        <v>-1.343181818181818</v>
      </c>
      <c r="T213" s="9">
        <f t="shared" si="38"/>
        <v>186.05104545454546</v>
      </c>
      <c r="V213" s="1">
        <v>1061.0999999999999</v>
      </c>
      <c r="W213" s="1">
        <f t="shared" si="31"/>
        <v>132.63749999999999</v>
      </c>
      <c r="X213" s="1">
        <f t="shared" si="37"/>
        <v>76323.700000000012</v>
      </c>
      <c r="Y213" s="1">
        <f t="shared" si="39"/>
        <v>21284.799999999996</v>
      </c>
      <c r="AA213" s="1">
        <v>10.6800202134794</v>
      </c>
    </row>
    <row r="214" spans="1:28" s="1" customFormat="1" x14ac:dyDescent="0.25">
      <c r="A214" s="38"/>
      <c r="B214" s="17"/>
      <c r="C214" s="3">
        <v>41695</v>
      </c>
      <c r="D214" s="1">
        <v>8.3000000000000007</v>
      </c>
      <c r="E214" s="1">
        <v>7.5</v>
      </c>
      <c r="F214" s="1">
        <v>11.6</v>
      </c>
      <c r="G214" s="1">
        <f t="shared" si="34"/>
        <v>1475.6000000000004</v>
      </c>
      <c r="H214" s="1">
        <f t="shared" si="41"/>
        <v>441.09999999999991</v>
      </c>
      <c r="J214" s="1">
        <v>2.7</v>
      </c>
      <c r="K214" s="1">
        <f t="shared" si="35"/>
        <v>425.79999999999978</v>
      </c>
      <c r="L214" s="1">
        <v>1.7</v>
      </c>
      <c r="M214" s="1">
        <f t="shared" si="36"/>
        <v>169.20000000000007</v>
      </c>
      <c r="N214" s="1">
        <f t="shared" si="32"/>
        <v>1.0000000000000002</v>
      </c>
      <c r="O214" s="1">
        <f>O213+N214</f>
        <v>187.4</v>
      </c>
      <c r="P214" s="1">
        <v>175</v>
      </c>
      <c r="Q214" s="11">
        <f t="shared" si="40"/>
        <v>1.0968181818181817</v>
      </c>
      <c r="R214" s="9">
        <f t="shared" si="33"/>
        <v>1.8645909090909087</v>
      </c>
      <c r="S214" s="9">
        <f t="shared" si="30"/>
        <v>0.83540909090909143</v>
      </c>
      <c r="T214" s="9">
        <f t="shared" si="38"/>
        <v>186.88645454545454</v>
      </c>
      <c r="V214" s="10">
        <v>329.6</v>
      </c>
      <c r="W214" s="1">
        <f t="shared" si="31"/>
        <v>39.710843373493972</v>
      </c>
      <c r="X214" s="1">
        <f t="shared" si="37"/>
        <v>76653.300000000017</v>
      </c>
      <c r="Y214" s="1">
        <f t="shared" si="39"/>
        <v>21614.399999999994</v>
      </c>
      <c r="AA214" s="1">
        <v>10.7405059769033</v>
      </c>
    </row>
    <row r="215" spans="1:28" s="1" customFormat="1" x14ac:dyDescent="0.25">
      <c r="A215" s="38"/>
      <c r="B215" s="17"/>
      <c r="C215" s="3">
        <v>41696</v>
      </c>
      <c r="D215" s="1">
        <v>5.5</v>
      </c>
      <c r="E215" s="12">
        <v>3.1</v>
      </c>
      <c r="F215" s="1">
        <v>8.3000000000000007</v>
      </c>
      <c r="G215" s="1">
        <f t="shared" si="34"/>
        <v>1481.1000000000004</v>
      </c>
      <c r="H215" s="1">
        <f t="shared" si="41"/>
        <v>446.59999999999991</v>
      </c>
      <c r="J215" s="1">
        <v>0.1</v>
      </c>
      <c r="K215" s="1">
        <f t="shared" si="35"/>
        <v>425.89999999999981</v>
      </c>
      <c r="L215" s="1">
        <v>0.8</v>
      </c>
      <c r="M215" s="1">
        <f t="shared" si="36"/>
        <v>170.00000000000009</v>
      </c>
      <c r="N215" s="8">
        <f t="shared" si="32"/>
        <v>-0.70000000000000007</v>
      </c>
      <c r="O215" s="1">
        <f>O214+N215</f>
        <v>186.70000000000002</v>
      </c>
      <c r="P215" s="1">
        <v>176</v>
      </c>
      <c r="Q215" s="11">
        <f t="shared" si="40"/>
        <v>1.0981818181818181</v>
      </c>
      <c r="R215" s="9">
        <f t="shared" si="33"/>
        <v>0.87854545454545452</v>
      </c>
      <c r="S215" s="9">
        <f t="shared" si="30"/>
        <v>-0.77854545454545454</v>
      </c>
      <c r="T215" s="9">
        <f t="shared" si="38"/>
        <v>186.10790909090909</v>
      </c>
      <c r="V215" s="10">
        <v>678.7</v>
      </c>
      <c r="W215" s="1">
        <f t="shared" si="31"/>
        <v>123.4</v>
      </c>
      <c r="X215" s="1">
        <f t="shared" si="37"/>
        <v>77332.000000000015</v>
      </c>
      <c r="Y215" s="1">
        <f t="shared" si="39"/>
        <v>22293.099999999995</v>
      </c>
      <c r="AA215" s="1">
        <v>10.8011589368326</v>
      </c>
    </row>
    <row r="216" spans="1:28" s="1" customFormat="1" x14ac:dyDescent="0.25">
      <c r="A216" s="38"/>
      <c r="B216" s="17"/>
      <c r="C216" s="3">
        <v>41697</v>
      </c>
      <c r="D216" s="12">
        <v>4.5</v>
      </c>
      <c r="E216" s="12">
        <v>2.9</v>
      </c>
      <c r="F216" s="1">
        <v>5.5</v>
      </c>
      <c r="G216" s="1">
        <f t="shared" si="34"/>
        <v>1485.6000000000004</v>
      </c>
      <c r="H216" s="1">
        <f t="shared" si="41"/>
        <v>451.09999999999991</v>
      </c>
      <c r="J216" s="1">
        <v>5.5</v>
      </c>
      <c r="K216" s="1">
        <f t="shared" si="35"/>
        <v>431.39999999999981</v>
      </c>
      <c r="L216" s="1">
        <v>0.4</v>
      </c>
      <c r="M216" s="1">
        <f t="shared" si="36"/>
        <v>170.40000000000009</v>
      </c>
      <c r="N216" s="1">
        <f t="shared" si="32"/>
        <v>5.0999999999999996</v>
      </c>
      <c r="O216" s="1">
        <v>189.6</v>
      </c>
      <c r="P216" s="1">
        <v>177</v>
      </c>
      <c r="Q216" s="11">
        <f t="shared" si="40"/>
        <v>1.0995454545454546</v>
      </c>
      <c r="R216" s="9">
        <f t="shared" si="33"/>
        <v>0.43981818181818189</v>
      </c>
      <c r="S216" s="9">
        <f t="shared" si="30"/>
        <v>5.0601818181818183</v>
      </c>
      <c r="T216" s="9">
        <f t="shared" si="38"/>
        <v>189.6</v>
      </c>
      <c r="V216" s="10">
        <v>310.89999999999998</v>
      </c>
      <c r="W216" s="1">
        <f t="shared" si="31"/>
        <v>69.088888888888889</v>
      </c>
      <c r="X216" s="1">
        <f t="shared" si="37"/>
        <v>77642.900000000009</v>
      </c>
      <c r="Y216" s="1">
        <f t="shared" si="39"/>
        <v>22603.999999999996</v>
      </c>
      <c r="AA216" s="1">
        <v>10.861967640722799</v>
      </c>
    </row>
    <row r="217" spans="1:28" s="1" customFormat="1" x14ac:dyDescent="0.25">
      <c r="A217" s="38"/>
      <c r="B217" s="17"/>
      <c r="C217" s="3">
        <v>41698</v>
      </c>
      <c r="D217" s="1">
        <v>5.0999999999999996</v>
      </c>
      <c r="E217" s="12">
        <v>4</v>
      </c>
      <c r="F217" s="1">
        <v>6.6</v>
      </c>
      <c r="G217" s="1">
        <f t="shared" si="34"/>
        <v>1490.7000000000003</v>
      </c>
      <c r="H217" s="1">
        <f t="shared" si="41"/>
        <v>456.19999999999993</v>
      </c>
      <c r="J217" s="1">
        <v>4.8</v>
      </c>
      <c r="K217" s="1">
        <f t="shared" si="35"/>
        <v>436.19999999999982</v>
      </c>
      <c r="L217" s="1">
        <v>0.4</v>
      </c>
      <c r="M217" s="1">
        <f t="shared" si="36"/>
        <v>170.8000000000001</v>
      </c>
      <c r="N217" s="1">
        <f t="shared" si="32"/>
        <v>4.3999999999999995</v>
      </c>
      <c r="O217" s="1">
        <v>189.6</v>
      </c>
      <c r="P217" s="1">
        <v>178</v>
      </c>
      <c r="Q217" s="11">
        <f t="shared" si="40"/>
        <v>1.1009090909090908</v>
      </c>
      <c r="R217" s="9">
        <f t="shared" si="33"/>
        <v>0.44036363636363635</v>
      </c>
      <c r="S217" s="9">
        <f t="shared" si="30"/>
        <v>4.3596363636363638</v>
      </c>
      <c r="T217" s="9">
        <f t="shared" si="38"/>
        <v>189.6</v>
      </c>
      <c r="V217" s="10">
        <v>228.2</v>
      </c>
      <c r="W217" s="1">
        <f t="shared" si="31"/>
        <v>44.745098039215684</v>
      </c>
      <c r="X217" s="1">
        <f t="shared" si="37"/>
        <v>77871.100000000006</v>
      </c>
      <c r="Y217" s="1">
        <f t="shared" si="39"/>
        <v>22832.199999999997</v>
      </c>
      <c r="AA217" s="1">
        <v>10.922921102646299</v>
      </c>
    </row>
    <row r="218" spans="1:28" s="1" customFormat="1" x14ac:dyDescent="0.25">
      <c r="A218" s="38"/>
      <c r="B218" s="17"/>
      <c r="C218" s="3">
        <v>41699</v>
      </c>
      <c r="D218" s="12">
        <v>4.0999999999999996</v>
      </c>
      <c r="E218" s="12">
        <v>3.7</v>
      </c>
      <c r="F218" s="1">
        <v>6.2</v>
      </c>
      <c r="G218" s="1">
        <f t="shared" si="34"/>
        <v>1494.8000000000002</v>
      </c>
      <c r="H218" s="1">
        <f t="shared" si="41"/>
        <v>460.29999999999995</v>
      </c>
      <c r="J218" s="1">
        <v>1.2</v>
      </c>
      <c r="K218" s="1">
        <f t="shared" si="35"/>
        <v>437.39999999999981</v>
      </c>
      <c r="L218" s="1">
        <v>0.8</v>
      </c>
      <c r="M218" s="1">
        <f t="shared" si="36"/>
        <v>171.60000000000011</v>
      </c>
      <c r="N218" s="1">
        <f t="shared" si="32"/>
        <v>0.39999999999999991</v>
      </c>
      <c r="O218" s="1">
        <v>189.6</v>
      </c>
      <c r="P218" s="1">
        <v>179</v>
      </c>
      <c r="Q218" s="11">
        <f t="shared" si="40"/>
        <v>1.1022727272727273</v>
      </c>
      <c r="R218" s="9">
        <f t="shared" si="33"/>
        <v>0.88181818181818183</v>
      </c>
      <c r="S218" s="9">
        <f t="shared" si="30"/>
        <v>0.31818181818181812</v>
      </c>
      <c r="T218" s="9">
        <f t="shared" si="38"/>
        <v>189.6</v>
      </c>
      <c r="V218" s="10">
        <v>532.5</v>
      </c>
      <c r="W218" s="1">
        <f t="shared" si="31"/>
        <v>129.8780487804878</v>
      </c>
      <c r="X218" s="1">
        <f t="shared" si="37"/>
        <v>78403.600000000006</v>
      </c>
      <c r="Y218" s="1">
        <f t="shared" si="39"/>
        <v>23364.699999999997</v>
      </c>
      <c r="AA218" s="1">
        <v>10.9840087830034</v>
      </c>
    </row>
    <row r="219" spans="1:28" s="1" customFormat="1" x14ac:dyDescent="0.25">
      <c r="A219" s="38"/>
      <c r="B219" s="17"/>
      <c r="C219" s="3">
        <v>41700</v>
      </c>
      <c r="D219" s="12">
        <v>4.8</v>
      </c>
      <c r="E219" s="13">
        <v>-0.3</v>
      </c>
      <c r="F219" s="1">
        <v>9.1</v>
      </c>
      <c r="G219" s="1">
        <f t="shared" si="34"/>
        <v>1499.6000000000001</v>
      </c>
      <c r="H219" s="1">
        <f t="shared" si="41"/>
        <v>465.09999999999997</v>
      </c>
      <c r="J219" s="1">
        <v>5.8</v>
      </c>
      <c r="K219" s="1">
        <f t="shared" si="35"/>
        <v>443.19999999999982</v>
      </c>
      <c r="L219" s="1">
        <v>1.2</v>
      </c>
      <c r="M219" s="1">
        <f t="shared" si="36"/>
        <v>172.8000000000001</v>
      </c>
      <c r="N219" s="1">
        <f t="shared" si="32"/>
        <v>4.5999999999999996</v>
      </c>
      <c r="O219" s="1">
        <v>189.6</v>
      </c>
      <c r="P219" s="1">
        <v>180</v>
      </c>
      <c r="Q219" s="11">
        <f t="shared" si="40"/>
        <v>1.1036363636363635</v>
      </c>
      <c r="R219" s="9">
        <f t="shared" si="33"/>
        <v>1.3243636363636362</v>
      </c>
      <c r="S219" s="9">
        <f t="shared" si="30"/>
        <v>4.4756363636363634</v>
      </c>
      <c r="T219" s="9">
        <f t="shared" si="38"/>
        <v>189.6</v>
      </c>
      <c r="V219" s="1">
        <v>972.1</v>
      </c>
      <c r="W219" s="1">
        <f t="shared" si="31"/>
        <v>202.52083333333334</v>
      </c>
      <c r="X219" s="1">
        <f t="shared" si="37"/>
        <v>79375.700000000012</v>
      </c>
      <c r="Y219" s="1">
        <f t="shared" si="39"/>
        <v>24336.799999999996</v>
      </c>
      <c r="AA219" s="1">
        <v>11.0452205681135</v>
      </c>
    </row>
    <row r="220" spans="1:28" s="1" customFormat="1" x14ac:dyDescent="0.25">
      <c r="A220" s="38"/>
      <c r="B220" s="17"/>
      <c r="C220" s="3">
        <v>41701</v>
      </c>
      <c r="D220" s="1">
        <v>5.6</v>
      </c>
      <c r="E220" s="1">
        <v>5.2</v>
      </c>
      <c r="F220" s="1">
        <v>8.3000000000000007</v>
      </c>
      <c r="G220" s="1">
        <f t="shared" si="34"/>
        <v>1505.2</v>
      </c>
      <c r="H220" s="1">
        <f t="shared" si="41"/>
        <v>470.7</v>
      </c>
      <c r="J220" s="92">
        <v>3.6</v>
      </c>
      <c r="K220" s="1">
        <f t="shared" si="35"/>
        <v>446.79999999999984</v>
      </c>
      <c r="L220" s="1">
        <v>1.1000000000000001</v>
      </c>
      <c r="M220" s="1">
        <f t="shared" si="36"/>
        <v>173.90000000000009</v>
      </c>
      <c r="N220" s="1">
        <f t="shared" si="32"/>
        <v>2.5</v>
      </c>
      <c r="O220" s="1">
        <v>189.6</v>
      </c>
      <c r="P220" s="1">
        <v>181</v>
      </c>
      <c r="Q220" s="11">
        <f t="shared" si="40"/>
        <v>1.105</v>
      </c>
      <c r="R220" s="9">
        <f t="shared" si="33"/>
        <v>1.2155</v>
      </c>
      <c r="S220" s="9">
        <f t="shared" si="30"/>
        <v>2.3845000000000001</v>
      </c>
      <c r="T220" s="9">
        <f t="shared" si="38"/>
        <v>189.6</v>
      </c>
      <c r="V220" s="10">
        <v>403.5</v>
      </c>
      <c r="W220" s="1">
        <f t="shared" si="31"/>
        <v>72.053571428571431</v>
      </c>
      <c r="X220" s="1">
        <f t="shared" si="37"/>
        <v>79779.200000000012</v>
      </c>
      <c r="Y220" s="1">
        <f t="shared" si="39"/>
        <v>24740.299999999996</v>
      </c>
      <c r="AA220" s="1">
        <v>11.1065467497302</v>
      </c>
      <c r="AB220" s="1" t="s">
        <v>61</v>
      </c>
    </row>
    <row r="221" spans="1:28" s="1" customFormat="1" x14ac:dyDescent="0.25">
      <c r="A221" s="38"/>
      <c r="B221" s="17"/>
      <c r="C221" s="3">
        <v>41702</v>
      </c>
      <c r="D221" s="12">
        <v>5</v>
      </c>
      <c r="E221" s="12">
        <v>2</v>
      </c>
      <c r="F221" s="1">
        <v>7.8</v>
      </c>
      <c r="G221" s="1">
        <f t="shared" si="34"/>
        <v>1510.2</v>
      </c>
      <c r="H221" s="1">
        <f t="shared" si="41"/>
        <v>475.7</v>
      </c>
      <c r="J221" s="92">
        <v>0.1</v>
      </c>
      <c r="K221" s="1">
        <f t="shared" si="35"/>
        <v>446.89999999999986</v>
      </c>
      <c r="L221" s="1">
        <v>0.6</v>
      </c>
      <c r="M221" s="1">
        <f t="shared" si="36"/>
        <v>174.50000000000009</v>
      </c>
      <c r="N221" s="8">
        <f t="shared" si="32"/>
        <v>-0.5</v>
      </c>
      <c r="O221" s="1">
        <f t="shared" ref="O221:O284" si="42">O220+N221</f>
        <v>189.1</v>
      </c>
      <c r="P221" s="1">
        <v>182</v>
      </c>
      <c r="Q221" s="11">
        <f t="shared" si="40"/>
        <v>1.1063636363636362</v>
      </c>
      <c r="R221" s="9">
        <f t="shared" si="33"/>
        <v>0.66381818181818175</v>
      </c>
      <c r="S221" s="9">
        <f t="shared" si="30"/>
        <v>-0.56381818181818177</v>
      </c>
      <c r="T221" s="9">
        <f t="shared" si="38"/>
        <v>189.0361818181818</v>
      </c>
      <c r="V221" s="10">
        <v>596.79999999999995</v>
      </c>
      <c r="W221" s="1">
        <f t="shared" si="31"/>
        <v>119.35999999999999</v>
      </c>
      <c r="X221" s="1">
        <f t="shared" si="37"/>
        <v>80376.000000000015</v>
      </c>
      <c r="Y221" s="1">
        <f t="shared" si="39"/>
        <v>25337.099999999995</v>
      </c>
      <c r="AA221" s="1">
        <v>11.1679780045177</v>
      </c>
      <c r="AB221" s="11">
        <f>AVERAGE(T227:T240)</f>
        <v>166.98184090909086</v>
      </c>
    </row>
    <row r="222" spans="1:28" s="1" customFormat="1" x14ac:dyDescent="0.25">
      <c r="A222" s="38"/>
      <c r="B222" s="17"/>
      <c r="C222" s="3">
        <v>41703</v>
      </c>
      <c r="D222" s="1">
        <v>5.2</v>
      </c>
      <c r="E222" s="13">
        <v>-0.3</v>
      </c>
      <c r="F222" s="1">
        <v>10.8</v>
      </c>
      <c r="G222" s="1">
        <f t="shared" si="34"/>
        <v>1515.4</v>
      </c>
      <c r="H222" s="1">
        <f t="shared" si="41"/>
        <v>480.9</v>
      </c>
      <c r="J222" s="92">
        <v>0</v>
      </c>
      <c r="K222" s="1">
        <f t="shared" si="35"/>
        <v>446.89999999999986</v>
      </c>
      <c r="L222" s="1">
        <v>1.4</v>
      </c>
      <c r="M222" s="1">
        <f t="shared" si="36"/>
        <v>175.90000000000009</v>
      </c>
      <c r="N222" s="8">
        <f t="shared" si="32"/>
        <v>-1.4</v>
      </c>
      <c r="O222" s="1">
        <f t="shared" si="42"/>
        <v>187.7</v>
      </c>
      <c r="P222" s="1">
        <v>183</v>
      </c>
      <c r="Q222" s="11">
        <f t="shared" si="40"/>
        <v>1.1077272727272727</v>
      </c>
      <c r="R222" s="9">
        <f t="shared" si="33"/>
        <v>1.5508181818181817</v>
      </c>
      <c r="S222" s="9">
        <f t="shared" si="30"/>
        <v>-1.5508181818181817</v>
      </c>
      <c r="T222" s="9">
        <f t="shared" si="38"/>
        <v>187.48536363636362</v>
      </c>
      <c r="V222" s="1">
        <v>1143.3</v>
      </c>
      <c r="W222" s="1">
        <f t="shared" si="31"/>
        <v>219.86538461538461</v>
      </c>
      <c r="X222" s="1">
        <f t="shared" si="37"/>
        <v>81519.300000000017</v>
      </c>
      <c r="Y222" s="1">
        <f t="shared" si="39"/>
        <v>26480.399999999994</v>
      </c>
      <c r="AA222" s="1">
        <v>11.2295053735237</v>
      </c>
      <c r="AB222" s="1" t="s">
        <v>62</v>
      </c>
    </row>
    <row r="223" spans="1:28" s="1" customFormat="1" x14ac:dyDescent="0.25">
      <c r="A223" s="38"/>
      <c r="B223" s="17"/>
      <c r="C223" s="3">
        <v>41704</v>
      </c>
      <c r="D223" s="1">
        <v>6.1</v>
      </c>
      <c r="E223" s="12">
        <v>0.3</v>
      </c>
      <c r="F223" s="1">
        <v>11.8</v>
      </c>
      <c r="G223" s="1">
        <f t="shared" si="34"/>
        <v>1521.5</v>
      </c>
      <c r="H223" s="1">
        <f t="shared" si="41"/>
        <v>487</v>
      </c>
      <c r="J223" s="92">
        <v>0</v>
      </c>
      <c r="K223" s="1">
        <f t="shared" si="35"/>
        <v>446.89999999999986</v>
      </c>
      <c r="L223" s="1">
        <v>1.7</v>
      </c>
      <c r="M223" s="1">
        <f t="shared" si="36"/>
        <v>177.60000000000008</v>
      </c>
      <c r="N223" s="8">
        <f t="shared" si="32"/>
        <v>-1.7</v>
      </c>
      <c r="O223" s="1">
        <f t="shared" si="42"/>
        <v>186</v>
      </c>
      <c r="P223" s="1">
        <v>184</v>
      </c>
      <c r="Q223" s="11">
        <f t="shared" si="40"/>
        <v>1.1090909090909091</v>
      </c>
      <c r="R223" s="9">
        <f t="shared" si="33"/>
        <v>1.8854545454545455</v>
      </c>
      <c r="S223" s="9">
        <f t="shared" si="30"/>
        <v>-1.8854545454545455</v>
      </c>
      <c r="T223" s="9">
        <f t="shared" si="38"/>
        <v>185.59990909090908</v>
      </c>
      <c r="V223" s="1">
        <v>1159.5</v>
      </c>
      <c r="W223" s="1">
        <f t="shared" si="31"/>
        <v>190.08196721311475</v>
      </c>
      <c r="X223" s="1">
        <f t="shared" si="37"/>
        <v>82678.800000000017</v>
      </c>
      <c r="Y223" s="1">
        <f t="shared" si="39"/>
        <v>27639.899999999994</v>
      </c>
      <c r="AA223" s="1">
        <v>11.2911202416762</v>
      </c>
      <c r="AB223" s="1">
        <v>6</v>
      </c>
    </row>
    <row r="224" spans="1:28" s="1" customFormat="1" x14ac:dyDescent="0.25">
      <c r="A224" s="38"/>
      <c r="B224" s="17"/>
      <c r="C224" s="3">
        <v>41705</v>
      </c>
      <c r="D224" s="1">
        <v>7.5</v>
      </c>
      <c r="E224" s="12">
        <v>1.5</v>
      </c>
      <c r="F224" s="1">
        <v>12.3</v>
      </c>
      <c r="G224" s="1">
        <f t="shared" si="34"/>
        <v>1529</v>
      </c>
      <c r="H224" s="1">
        <f t="shared" si="41"/>
        <v>494.5</v>
      </c>
      <c r="J224" s="92">
        <v>0</v>
      </c>
      <c r="K224" s="1">
        <f t="shared" si="35"/>
        <v>446.89999999999986</v>
      </c>
      <c r="L224" s="1">
        <v>0.9</v>
      </c>
      <c r="M224" s="1">
        <f t="shared" si="36"/>
        <v>178.50000000000009</v>
      </c>
      <c r="N224" s="8">
        <f t="shared" si="32"/>
        <v>-0.9</v>
      </c>
      <c r="O224" s="1">
        <f t="shared" si="42"/>
        <v>185.1</v>
      </c>
      <c r="P224" s="1">
        <v>185</v>
      </c>
      <c r="Q224" s="11">
        <f t="shared" si="40"/>
        <v>1.1104545454545454</v>
      </c>
      <c r="R224" s="9">
        <f t="shared" si="33"/>
        <v>0.9994090909090908</v>
      </c>
      <c r="S224" s="9">
        <f t="shared" si="30"/>
        <v>-0.9994090909090908</v>
      </c>
      <c r="T224" s="9">
        <f t="shared" si="38"/>
        <v>184.60049999999998</v>
      </c>
      <c r="V224" s="10">
        <v>574.6</v>
      </c>
      <c r="W224" s="1">
        <f t="shared" si="31"/>
        <v>76.61333333333333</v>
      </c>
      <c r="X224" s="1">
        <f t="shared" si="37"/>
        <v>83253.400000000023</v>
      </c>
      <c r="Y224" s="1">
        <f t="shared" si="39"/>
        <v>28214.499999999993</v>
      </c>
      <c r="AA224" s="1">
        <v>11.3528143173298</v>
      </c>
      <c r="AB224" s="1" t="s">
        <v>63</v>
      </c>
    </row>
    <row r="225" spans="1:28" s="1" customFormat="1" x14ac:dyDescent="0.25">
      <c r="A225" s="38"/>
      <c r="B225" s="17"/>
      <c r="C225" s="3">
        <v>41706</v>
      </c>
      <c r="D225" s="1">
        <v>9.1</v>
      </c>
      <c r="E225" s="12">
        <v>2.9</v>
      </c>
      <c r="F225" s="1">
        <v>14.7</v>
      </c>
      <c r="G225" s="1">
        <f t="shared" si="34"/>
        <v>1538.1</v>
      </c>
      <c r="H225" s="1">
        <f t="shared" si="41"/>
        <v>503.6</v>
      </c>
      <c r="J225" s="92">
        <v>0</v>
      </c>
      <c r="K225" s="1">
        <f t="shared" si="35"/>
        <v>446.89999999999986</v>
      </c>
      <c r="L225" s="1">
        <v>2</v>
      </c>
      <c r="M225" s="1">
        <f t="shared" si="36"/>
        <v>180.50000000000009</v>
      </c>
      <c r="N225" s="8">
        <f t="shared" si="32"/>
        <v>-2</v>
      </c>
      <c r="O225" s="1">
        <f t="shared" si="42"/>
        <v>183.1</v>
      </c>
      <c r="P225" s="1">
        <v>186</v>
      </c>
      <c r="Q225" s="11">
        <f t="shared" si="40"/>
        <v>1.1118181818181818</v>
      </c>
      <c r="R225" s="9">
        <f t="shared" si="33"/>
        <v>2.2236363636363636</v>
      </c>
      <c r="S225" s="9">
        <f t="shared" si="30"/>
        <v>-2.2236363636363636</v>
      </c>
      <c r="T225" s="9">
        <f t="shared" si="38"/>
        <v>182.37686363636362</v>
      </c>
      <c r="V225" s="1">
        <v>1235.4000000000001</v>
      </c>
      <c r="W225" s="1">
        <f t="shared" si="31"/>
        <v>135.75824175824178</v>
      </c>
      <c r="X225" s="1">
        <f t="shared" si="37"/>
        <v>84488.800000000017</v>
      </c>
      <c r="Y225" s="1">
        <f t="shared" si="39"/>
        <v>29449.899999999994</v>
      </c>
      <c r="AA225" s="1">
        <v>11.4145796118836</v>
      </c>
      <c r="AB225" s="1">
        <v>3</v>
      </c>
    </row>
    <row r="226" spans="1:28" s="1" customFormat="1" x14ac:dyDescent="0.25">
      <c r="A226" s="38"/>
      <c r="B226" s="17"/>
      <c r="C226" s="3">
        <v>41707</v>
      </c>
      <c r="D226" s="1">
        <v>10.6</v>
      </c>
      <c r="E226" s="12">
        <v>4.3</v>
      </c>
      <c r="F226" s="1">
        <v>17.899999999999999</v>
      </c>
      <c r="G226" s="1">
        <f t="shared" si="34"/>
        <v>1548.6999999999998</v>
      </c>
      <c r="H226" s="1">
        <f t="shared" si="41"/>
        <v>514.20000000000005</v>
      </c>
      <c r="J226" s="92">
        <v>0</v>
      </c>
      <c r="K226" s="1">
        <f t="shared" si="35"/>
        <v>446.89999999999986</v>
      </c>
      <c r="L226" s="1">
        <v>2.8</v>
      </c>
      <c r="M226" s="1">
        <f t="shared" si="36"/>
        <v>183.3000000000001</v>
      </c>
      <c r="N226" s="8">
        <f t="shared" si="32"/>
        <v>-2.8</v>
      </c>
      <c r="O226" s="1">
        <f t="shared" si="42"/>
        <v>180.29999999999998</v>
      </c>
      <c r="P226" s="1">
        <v>187</v>
      </c>
      <c r="Q226" s="11">
        <f t="shared" si="40"/>
        <v>1.1131818181818181</v>
      </c>
      <c r="R226" s="9">
        <f t="shared" si="33"/>
        <v>3.1169090909090902</v>
      </c>
      <c r="S226" s="9">
        <f t="shared" si="30"/>
        <v>-3.1169090909090902</v>
      </c>
      <c r="T226" s="9">
        <f t="shared" si="38"/>
        <v>179.25995454545452</v>
      </c>
      <c r="V226" s="1">
        <v>1379.8</v>
      </c>
      <c r="W226" s="1">
        <f t="shared" si="31"/>
        <v>130.16981132075472</v>
      </c>
      <c r="X226" s="1">
        <f t="shared" si="37"/>
        <v>85868.60000000002</v>
      </c>
      <c r="Y226" s="1">
        <f t="shared" si="39"/>
        <v>30829.699999999993</v>
      </c>
      <c r="AA226" s="1">
        <v>11.4764084194862</v>
      </c>
      <c r="AB226" s="1" t="s">
        <v>64</v>
      </c>
    </row>
    <row r="227" spans="1:28" s="1" customFormat="1" x14ac:dyDescent="0.25">
      <c r="A227" s="38"/>
      <c r="B227" s="17"/>
      <c r="C227" s="3">
        <v>41708</v>
      </c>
      <c r="D227" s="1">
        <v>9.5</v>
      </c>
      <c r="E227" s="12">
        <v>1.9</v>
      </c>
      <c r="F227" s="1">
        <v>16.399999999999999</v>
      </c>
      <c r="G227" s="1">
        <f t="shared" si="34"/>
        <v>1558.1999999999998</v>
      </c>
      <c r="H227" s="1">
        <f t="shared" si="41"/>
        <v>523.70000000000005</v>
      </c>
      <c r="J227" s="92">
        <v>0</v>
      </c>
      <c r="K227" s="1">
        <f t="shared" si="35"/>
        <v>446.89999999999986</v>
      </c>
      <c r="L227" s="1">
        <v>2.2000000000000002</v>
      </c>
      <c r="M227" s="1">
        <f t="shared" si="36"/>
        <v>185.50000000000009</v>
      </c>
      <c r="N227" s="8">
        <f t="shared" si="32"/>
        <v>-2.2000000000000002</v>
      </c>
      <c r="O227" s="1">
        <f t="shared" si="42"/>
        <v>178.1</v>
      </c>
      <c r="P227" s="1">
        <v>188</v>
      </c>
      <c r="Q227" s="11">
        <f t="shared" si="40"/>
        <v>1.1145454545454545</v>
      </c>
      <c r="R227" s="9">
        <f t="shared" si="33"/>
        <v>2.452</v>
      </c>
      <c r="S227" s="9">
        <f t="shared" si="30"/>
        <v>-2.452</v>
      </c>
      <c r="T227" s="91">
        <f t="shared" si="38"/>
        <v>176.80795454545452</v>
      </c>
      <c r="V227" s="1">
        <v>1348.7</v>
      </c>
      <c r="W227" s="1">
        <f t="shared" si="31"/>
        <v>141.96842105263158</v>
      </c>
      <c r="X227" s="1">
        <f t="shared" si="37"/>
        <v>87217.300000000017</v>
      </c>
      <c r="Y227" s="1">
        <f t="shared" si="39"/>
        <v>32178.399999999994</v>
      </c>
      <c r="AA227" s="1">
        <v>11.5382932968443</v>
      </c>
      <c r="AB227" s="1">
        <v>0</v>
      </c>
    </row>
    <row r="228" spans="1:28" s="1" customFormat="1" x14ac:dyDescent="0.25">
      <c r="A228" s="38"/>
      <c r="B228" s="17"/>
      <c r="C228" s="3">
        <v>41709</v>
      </c>
      <c r="D228" s="1">
        <v>9.1</v>
      </c>
      <c r="E228" s="1">
        <v>7.8</v>
      </c>
      <c r="F228" s="1">
        <v>10.9</v>
      </c>
      <c r="G228" s="1">
        <f t="shared" si="34"/>
        <v>1567.2999999999997</v>
      </c>
      <c r="H228" s="1">
        <f t="shared" si="41"/>
        <v>532.80000000000007</v>
      </c>
      <c r="J228" s="92">
        <v>0.1</v>
      </c>
      <c r="K228" s="1">
        <f t="shared" si="35"/>
        <v>446.99999999999989</v>
      </c>
      <c r="L228" s="1">
        <v>1.8</v>
      </c>
      <c r="M228" s="1">
        <f t="shared" si="36"/>
        <v>187.3000000000001</v>
      </c>
      <c r="N228" s="8">
        <f t="shared" si="32"/>
        <v>-1.7</v>
      </c>
      <c r="O228" s="1">
        <f t="shared" si="42"/>
        <v>176.4</v>
      </c>
      <c r="P228" s="1">
        <v>189</v>
      </c>
      <c r="Q228" s="11">
        <f t="shared" si="40"/>
        <v>1.1159090909090907</v>
      </c>
      <c r="R228" s="9">
        <f t="shared" si="33"/>
        <v>2.0086363636363633</v>
      </c>
      <c r="S228" s="9">
        <f t="shared" si="30"/>
        <v>-1.9086363636363632</v>
      </c>
      <c r="T228" s="91">
        <f t="shared" si="38"/>
        <v>174.89931818181816</v>
      </c>
      <c r="V228" s="1">
        <v>1279</v>
      </c>
      <c r="W228" s="1">
        <f t="shared" si="31"/>
        <v>140.54945054945057</v>
      </c>
      <c r="X228" s="1">
        <f t="shared" si="37"/>
        <v>88496.300000000017</v>
      </c>
      <c r="Y228" s="1">
        <f t="shared" si="39"/>
        <v>33457.399999999994</v>
      </c>
      <c r="AA228" s="1">
        <v>11.600227043145299</v>
      </c>
      <c r="AB228" s="1" t="s">
        <v>65</v>
      </c>
    </row>
    <row r="229" spans="1:28" s="1" customFormat="1" x14ac:dyDescent="0.25">
      <c r="A229" s="38"/>
      <c r="B229" s="17"/>
      <c r="C229" s="3">
        <v>41710</v>
      </c>
      <c r="D229" s="1">
        <v>8.8000000000000007</v>
      </c>
      <c r="E229" s="12">
        <v>2.8</v>
      </c>
      <c r="F229" s="1">
        <v>14.5</v>
      </c>
      <c r="G229" s="1">
        <f t="shared" si="34"/>
        <v>1576.0999999999997</v>
      </c>
      <c r="H229" s="1">
        <f t="shared" si="41"/>
        <v>541.6</v>
      </c>
      <c r="J229" s="92">
        <v>0</v>
      </c>
      <c r="K229" s="1">
        <f t="shared" si="35"/>
        <v>446.99999999999989</v>
      </c>
      <c r="L229" s="1">
        <v>2.1</v>
      </c>
      <c r="M229" s="1">
        <f t="shared" si="36"/>
        <v>189.40000000000009</v>
      </c>
      <c r="N229" s="8">
        <f t="shared" si="32"/>
        <v>-2.1</v>
      </c>
      <c r="O229" s="1">
        <f t="shared" si="42"/>
        <v>174.3</v>
      </c>
      <c r="P229" s="1">
        <v>190</v>
      </c>
      <c r="Q229" s="11">
        <f t="shared" si="40"/>
        <v>1.1172727272727272</v>
      </c>
      <c r="R229" s="9">
        <f t="shared" si="33"/>
        <v>2.3462727272727273</v>
      </c>
      <c r="S229" s="9">
        <f t="shared" si="30"/>
        <v>-2.3462727272727273</v>
      </c>
      <c r="T229" s="91">
        <f t="shared" si="38"/>
        <v>172.55304545454544</v>
      </c>
      <c r="V229" s="1">
        <v>1351.4</v>
      </c>
      <c r="W229" s="1">
        <f t="shared" si="31"/>
        <v>153.56818181818181</v>
      </c>
      <c r="X229" s="1">
        <f t="shared" si="37"/>
        <v>89847.700000000012</v>
      </c>
      <c r="Y229" s="1">
        <f t="shared" si="39"/>
        <v>34808.799999999996</v>
      </c>
      <c r="AA229" s="1">
        <v>11.6622026801018</v>
      </c>
      <c r="AB229" s="1">
        <f>SUM(J231:J240)</f>
        <v>8.8000000000000007</v>
      </c>
    </row>
    <row r="230" spans="1:28" s="87" customFormat="1" x14ac:dyDescent="0.25">
      <c r="A230" s="84"/>
      <c r="B230" s="85" t="s">
        <v>60</v>
      </c>
      <c r="C230" s="86">
        <v>41711</v>
      </c>
      <c r="D230" s="87">
        <v>8.6999999999999993</v>
      </c>
      <c r="E230" s="88">
        <v>2.2999999999999998</v>
      </c>
      <c r="F230" s="87">
        <v>15.2</v>
      </c>
      <c r="G230" s="87">
        <f t="shared" si="34"/>
        <v>1584.7999999999997</v>
      </c>
      <c r="H230" s="87">
        <f t="shared" si="41"/>
        <v>550.30000000000007</v>
      </c>
      <c r="J230" s="87">
        <v>0.1</v>
      </c>
      <c r="K230" s="87">
        <f t="shared" si="35"/>
        <v>447.09999999999991</v>
      </c>
      <c r="L230" s="87">
        <v>2.2000000000000002</v>
      </c>
      <c r="M230" s="87">
        <f t="shared" si="36"/>
        <v>191.60000000000008</v>
      </c>
      <c r="N230" s="88">
        <f t="shared" si="32"/>
        <v>-2.1</v>
      </c>
      <c r="O230" s="87">
        <f t="shared" si="42"/>
        <v>172.20000000000002</v>
      </c>
      <c r="P230" s="87">
        <v>191</v>
      </c>
      <c r="Q230" s="89">
        <f t="shared" si="40"/>
        <v>1.1186363636363637</v>
      </c>
      <c r="R230" s="90">
        <f t="shared" si="33"/>
        <v>2.4610000000000003</v>
      </c>
      <c r="S230" s="90">
        <f t="shared" si="30"/>
        <v>-2.3610000000000002</v>
      </c>
      <c r="T230" s="90">
        <f t="shared" si="38"/>
        <v>170.19204545454545</v>
      </c>
      <c r="V230" s="87">
        <v>1468.8</v>
      </c>
      <c r="W230" s="87">
        <f t="shared" si="31"/>
        <v>168.82758620689657</v>
      </c>
      <c r="X230" s="87">
        <f t="shared" si="37"/>
        <v>91316.500000000015</v>
      </c>
      <c r="Y230" s="87">
        <f t="shared" si="39"/>
        <v>36277.599999999999</v>
      </c>
      <c r="AA230" s="87">
        <v>11.724213432125801</v>
      </c>
    </row>
    <row r="231" spans="1:28" s="1" customFormat="1" x14ac:dyDescent="0.25">
      <c r="A231" s="38"/>
      <c r="B231" s="17"/>
      <c r="C231" s="3">
        <v>41712</v>
      </c>
      <c r="D231" s="1">
        <v>7.6</v>
      </c>
      <c r="E231" s="12">
        <v>3</v>
      </c>
      <c r="F231" s="1">
        <v>10.6</v>
      </c>
      <c r="G231" s="1">
        <f t="shared" si="34"/>
        <v>1592.3999999999996</v>
      </c>
      <c r="H231" s="1">
        <f t="shared" si="41"/>
        <v>557.90000000000009</v>
      </c>
      <c r="J231" s="92">
        <v>0.1</v>
      </c>
      <c r="K231" s="1">
        <f t="shared" si="35"/>
        <v>447.19999999999993</v>
      </c>
      <c r="L231" s="1">
        <v>1.2</v>
      </c>
      <c r="M231" s="1">
        <f t="shared" si="36"/>
        <v>192.80000000000007</v>
      </c>
      <c r="N231" s="8">
        <f t="shared" si="32"/>
        <v>-1.0999999999999999</v>
      </c>
      <c r="O231" s="1">
        <f t="shared" si="42"/>
        <v>171.10000000000002</v>
      </c>
      <c r="P231" s="1">
        <v>192</v>
      </c>
      <c r="Q231" s="11">
        <f t="shared" si="40"/>
        <v>1.1199999999999999</v>
      </c>
      <c r="R231" s="9">
        <f t="shared" si="33"/>
        <v>1.3439999999999999</v>
      </c>
      <c r="S231" s="9">
        <f t="shared" si="30"/>
        <v>-1.2439999999999998</v>
      </c>
      <c r="T231" s="91">
        <f t="shared" si="38"/>
        <v>168.94804545454545</v>
      </c>
      <c r="V231" s="1">
        <v>994</v>
      </c>
      <c r="W231" s="1">
        <f t="shared" si="31"/>
        <v>130.78947368421052</v>
      </c>
      <c r="X231" s="1">
        <f t="shared" si="37"/>
        <v>92310.500000000015</v>
      </c>
      <c r="Y231" s="1">
        <f t="shared" si="39"/>
        <v>37271.599999999999</v>
      </c>
      <c r="AA231" s="1">
        <v>11.7862527066358</v>
      </c>
    </row>
    <row r="232" spans="1:28" s="1" customFormat="1" x14ac:dyDescent="0.25">
      <c r="A232" s="38"/>
      <c r="B232" s="17"/>
      <c r="C232" s="3">
        <v>41713</v>
      </c>
      <c r="D232" s="1">
        <v>9.5</v>
      </c>
      <c r="E232" s="1">
        <v>6.9</v>
      </c>
      <c r="F232" s="1">
        <v>11.7</v>
      </c>
      <c r="G232" s="1">
        <f t="shared" si="34"/>
        <v>1601.8999999999996</v>
      </c>
      <c r="H232" s="1">
        <f t="shared" si="41"/>
        <v>567.40000000000009</v>
      </c>
      <c r="J232" s="92">
        <v>0</v>
      </c>
      <c r="K232" s="1">
        <f t="shared" si="35"/>
        <v>447.19999999999993</v>
      </c>
      <c r="L232" s="1">
        <v>1.3</v>
      </c>
      <c r="M232" s="1">
        <f t="shared" si="36"/>
        <v>194.10000000000008</v>
      </c>
      <c r="N232" s="8">
        <f t="shared" si="32"/>
        <v>-1.3</v>
      </c>
      <c r="O232" s="1">
        <f t="shared" si="42"/>
        <v>169.8</v>
      </c>
      <c r="P232" s="1">
        <v>193</v>
      </c>
      <c r="Q232" s="11">
        <f t="shared" si="40"/>
        <v>1.1213636363636363</v>
      </c>
      <c r="R232" s="9">
        <f t="shared" si="33"/>
        <v>1.4577727272727272</v>
      </c>
      <c r="S232" s="9">
        <f t="shared" ref="S232:S295" si="43">J232-R232</f>
        <v>-1.4577727272727272</v>
      </c>
      <c r="T232" s="91">
        <f t="shared" si="38"/>
        <v>167.49027272727272</v>
      </c>
      <c r="V232" s="10">
        <v>749.8</v>
      </c>
      <c r="W232" s="1">
        <f t="shared" ref="W232:W295" si="44">V232/D232</f>
        <v>78.926315789473676</v>
      </c>
      <c r="X232" s="1">
        <f t="shared" si="37"/>
        <v>93060.300000000017</v>
      </c>
      <c r="Y232" s="1">
        <f t="shared" si="39"/>
        <v>38021.4</v>
      </c>
      <c r="AA232" s="1">
        <v>11.8483140744981</v>
      </c>
    </row>
    <row r="233" spans="1:28" s="1" customFormat="1" x14ac:dyDescent="0.25">
      <c r="A233" s="38"/>
      <c r="B233" s="17"/>
      <c r="C233" s="3">
        <v>41714</v>
      </c>
      <c r="D233" s="1">
        <v>9.6999999999999993</v>
      </c>
      <c r="E233" s="1">
        <v>5.9</v>
      </c>
      <c r="F233" s="1">
        <v>14.7</v>
      </c>
      <c r="G233" s="1">
        <f t="shared" si="34"/>
        <v>1611.5999999999997</v>
      </c>
      <c r="H233" s="1">
        <f t="shared" si="41"/>
        <v>577.10000000000014</v>
      </c>
      <c r="J233" s="92">
        <v>0</v>
      </c>
      <c r="K233" s="1">
        <f t="shared" si="35"/>
        <v>447.19999999999993</v>
      </c>
      <c r="L233" s="1">
        <v>1.7</v>
      </c>
      <c r="M233" s="1">
        <f t="shared" si="36"/>
        <v>195.80000000000007</v>
      </c>
      <c r="N233" s="8">
        <f t="shared" ref="N233:N296" si="45">J233-L233</f>
        <v>-1.7</v>
      </c>
      <c r="O233" s="1">
        <f t="shared" si="42"/>
        <v>168.10000000000002</v>
      </c>
      <c r="P233" s="1">
        <v>194</v>
      </c>
      <c r="Q233" s="11">
        <f t="shared" si="40"/>
        <v>1.1227272727272726</v>
      </c>
      <c r="R233" s="9">
        <f t="shared" ref="R233:R296" si="46">Q233*L233</f>
        <v>1.9086363636363632</v>
      </c>
      <c r="S233" s="9">
        <f t="shared" si="43"/>
        <v>-1.9086363636363632</v>
      </c>
      <c r="T233" s="91">
        <f t="shared" si="38"/>
        <v>165.58163636363636</v>
      </c>
      <c r="V233" s="1">
        <v>1047.0999999999999</v>
      </c>
      <c r="W233" s="1">
        <f t="shared" si="44"/>
        <v>107.94845360824742</v>
      </c>
      <c r="X233" s="1">
        <f t="shared" si="37"/>
        <v>94107.400000000023</v>
      </c>
      <c r="Y233" s="1">
        <f t="shared" si="39"/>
        <v>39068.5</v>
      </c>
      <c r="AA233" s="1">
        <v>11.910391250604199</v>
      </c>
    </row>
    <row r="234" spans="1:28" s="1" customFormat="1" x14ac:dyDescent="0.25">
      <c r="A234" s="38"/>
      <c r="B234" s="17"/>
      <c r="C234" s="3">
        <v>41715</v>
      </c>
      <c r="D234" s="1">
        <v>8.6999999999999993</v>
      </c>
      <c r="E234" s="1">
        <v>6.4</v>
      </c>
      <c r="F234" s="1">
        <v>9.6999999999999993</v>
      </c>
      <c r="G234" s="1">
        <f t="shared" ref="G234:G297" si="47">G233+D234</f>
        <v>1620.2999999999997</v>
      </c>
      <c r="H234" s="1">
        <f t="shared" si="41"/>
        <v>585.80000000000018</v>
      </c>
      <c r="J234" s="92">
        <v>0.3</v>
      </c>
      <c r="K234" s="1">
        <f t="shared" ref="K234:K297" si="48">K233+J234</f>
        <v>447.49999999999994</v>
      </c>
      <c r="L234" s="1">
        <v>0.4</v>
      </c>
      <c r="M234" s="1">
        <f t="shared" ref="M234:M297" si="49">M233+L234</f>
        <v>196.20000000000007</v>
      </c>
      <c r="N234" s="8">
        <f t="shared" si="45"/>
        <v>-0.10000000000000003</v>
      </c>
      <c r="O234" s="1">
        <f t="shared" si="42"/>
        <v>168.00000000000003</v>
      </c>
      <c r="P234" s="1">
        <v>195</v>
      </c>
      <c r="Q234" s="11">
        <f t="shared" si="40"/>
        <v>1.124090909090909</v>
      </c>
      <c r="R234" s="9">
        <f t="shared" si="46"/>
        <v>0.44963636363636361</v>
      </c>
      <c r="S234" s="9">
        <f t="shared" si="43"/>
        <v>-0.14963636363636362</v>
      </c>
      <c r="T234" s="91">
        <f t="shared" si="38"/>
        <v>165.43199999999999</v>
      </c>
      <c r="V234" s="10">
        <v>421.9</v>
      </c>
      <c r="W234" s="1">
        <f t="shared" si="44"/>
        <v>48.494252873563219</v>
      </c>
      <c r="X234" s="1">
        <f t="shared" ref="X234:X297" si="50">X233+V234</f>
        <v>94529.300000000017</v>
      </c>
      <c r="Y234" s="1">
        <f t="shared" si="39"/>
        <v>39490.400000000001</v>
      </c>
      <c r="AA234" s="1">
        <v>11.972478074581099</v>
      </c>
    </row>
    <row r="235" spans="1:28" s="1" customFormat="1" x14ac:dyDescent="0.25">
      <c r="A235" s="38"/>
      <c r="B235" s="17"/>
      <c r="C235" s="3">
        <v>41716</v>
      </c>
      <c r="D235" s="1">
        <v>8.9</v>
      </c>
      <c r="E235" s="1">
        <v>7.8</v>
      </c>
      <c r="F235" s="1">
        <v>10.1</v>
      </c>
      <c r="G235" s="1">
        <f t="shared" si="47"/>
        <v>1629.1999999999998</v>
      </c>
      <c r="H235" s="1">
        <f t="shared" si="41"/>
        <v>594.70000000000016</v>
      </c>
      <c r="J235" s="92">
        <v>0.1</v>
      </c>
      <c r="K235" s="1">
        <f t="shared" si="48"/>
        <v>447.59999999999997</v>
      </c>
      <c r="L235" s="1">
        <v>0.9</v>
      </c>
      <c r="M235" s="1">
        <f t="shared" si="49"/>
        <v>197.10000000000008</v>
      </c>
      <c r="N235" s="8">
        <f t="shared" si="45"/>
        <v>-0.8</v>
      </c>
      <c r="O235" s="1">
        <f t="shared" si="42"/>
        <v>167.20000000000002</v>
      </c>
      <c r="P235" s="1">
        <v>196</v>
      </c>
      <c r="Q235" s="11">
        <f t="shared" si="40"/>
        <v>1.1254545454545455</v>
      </c>
      <c r="R235" s="9">
        <f t="shared" si="46"/>
        <v>1.012909090909091</v>
      </c>
      <c r="S235" s="9">
        <f t="shared" si="43"/>
        <v>-0.912909090909091</v>
      </c>
      <c r="T235" s="91">
        <f t="shared" ref="T235:T298" si="51">MIN(189.6,(T234+S235))</f>
        <v>164.51909090909089</v>
      </c>
      <c r="V235" s="10">
        <v>425.4</v>
      </c>
      <c r="W235" s="1">
        <f t="shared" si="44"/>
        <v>47.797752808988761</v>
      </c>
      <c r="X235" s="1">
        <f t="shared" si="50"/>
        <v>94954.700000000012</v>
      </c>
      <c r="Y235" s="1">
        <f t="shared" si="39"/>
        <v>39915.800000000003</v>
      </c>
      <c r="AA235" s="1">
        <v>12.0345684916335</v>
      </c>
    </row>
    <row r="236" spans="1:28" s="1" customFormat="1" x14ac:dyDescent="0.25">
      <c r="A236" s="38"/>
      <c r="B236" s="17"/>
      <c r="C236" s="3">
        <v>41717</v>
      </c>
      <c r="D236" s="1">
        <v>9.1</v>
      </c>
      <c r="E236" s="1">
        <v>5.4</v>
      </c>
      <c r="F236" s="1">
        <v>13.4</v>
      </c>
      <c r="G236" s="1">
        <f t="shared" si="47"/>
        <v>1638.2999999999997</v>
      </c>
      <c r="H236" s="1">
        <f t="shared" si="41"/>
        <v>603.80000000000018</v>
      </c>
      <c r="J236" s="92">
        <v>0</v>
      </c>
      <c r="K236" s="1">
        <f t="shared" si="48"/>
        <v>447.59999999999997</v>
      </c>
      <c r="L236" s="1">
        <v>1.9</v>
      </c>
      <c r="M236" s="1">
        <f t="shared" si="49"/>
        <v>199.00000000000009</v>
      </c>
      <c r="N236" s="8">
        <f t="shared" si="45"/>
        <v>-1.9</v>
      </c>
      <c r="O236" s="1">
        <f t="shared" si="42"/>
        <v>165.3</v>
      </c>
      <c r="P236" s="1">
        <v>197</v>
      </c>
      <c r="Q236" s="11">
        <f t="shared" si="40"/>
        <v>1.1268181818181817</v>
      </c>
      <c r="R236" s="9">
        <f t="shared" si="46"/>
        <v>2.1409545454545453</v>
      </c>
      <c r="S236" s="9">
        <f t="shared" si="43"/>
        <v>-2.1409545454545453</v>
      </c>
      <c r="T236" s="91">
        <f t="shared" si="51"/>
        <v>162.37813636363634</v>
      </c>
      <c r="V236" s="1">
        <v>1305.0999999999999</v>
      </c>
      <c r="W236" s="1">
        <f t="shared" si="44"/>
        <v>143.41758241758242</v>
      </c>
      <c r="X236" s="1">
        <f t="shared" si="50"/>
        <v>96259.800000000017</v>
      </c>
      <c r="Y236" s="1">
        <f t="shared" si="39"/>
        <v>41220.9</v>
      </c>
      <c r="AA236" s="1">
        <v>12.0966565335137</v>
      </c>
    </row>
    <row r="237" spans="1:28" s="1" customFormat="1" x14ac:dyDescent="0.25">
      <c r="A237" s="38"/>
      <c r="B237" s="17"/>
      <c r="C237" s="3">
        <v>41718</v>
      </c>
      <c r="D237" s="1">
        <v>11.6</v>
      </c>
      <c r="E237" s="12">
        <v>4.8</v>
      </c>
      <c r="F237" s="1">
        <v>17.2</v>
      </c>
      <c r="G237" s="1">
        <f t="shared" si="47"/>
        <v>1649.8999999999996</v>
      </c>
      <c r="H237" s="1">
        <f t="shared" si="41"/>
        <v>615.4000000000002</v>
      </c>
      <c r="J237" s="92">
        <v>1.4</v>
      </c>
      <c r="K237" s="1">
        <f t="shared" si="48"/>
        <v>448.99999999999994</v>
      </c>
      <c r="L237" s="1">
        <v>2.6</v>
      </c>
      <c r="M237" s="1">
        <f t="shared" si="49"/>
        <v>201.60000000000008</v>
      </c>
      <c r="N237" s="8">
        <f t="shared" si="45"/>
        <v>-1.2000000000000002</v>
      </c>
      <c r="O237" s="1">
        <f t="shared" si="42"/>
        <v>164.10000000000002</v>
      </c>
      <c r="P237" s="1">
        <v>198</v>
      </c>
      <c r="Q237" s="11">
        <f t="shared" si="40"/>
        <v>1.1281818181818182</v>
      </c>
      <c r="R237" s="9">
        <f t="shared" si="46"/>
        <v>2.9332727272727275</v>
      </c>
      <c r="S237" s="9">
        <f t="shared" si="43"/>
        <v>-1.5332727272727276</v>
      </c>
      <c r="T237" s="91">
        <f t="shared" si="51"/>
        <v>160.84486363636361</v>
      </c>
      <c r="V237" s="1">
        <v>1470.2</v>
      </c>
      <c r="W237" s="1">
        <f t="shared" si="44"/>
        <v>126.74137931034484</v>
      </c>
      <c r="X237" s="1">
        <f t="shared" si="50"/>
        <v>97730.000000000015</v>
      </c>
      <c r="Y237" s="1">
        <f t="shared" si="39"/>
        <v>42691.1</v>
      </c>
      <c r="AA237" s="1">
        <v>12.1587362996137</v>
      </c>
    </row>
    <row r="238" spans="1:28" s="1" customFormat="1" x14ac:dyDescent="0.25">
      <c r="A238" s="38"/>
      <c r="B238" s="17"/>
      <c r="C238" s="3">
        <v>41719</v>
      </c>
      <c r="D238" s="1">
        <v>8.8000000000000007</v>
      </c>
      <c r="E238" s="1">
        <v>7.8</v>
      </c>
      <c r="F238" s="1">
        <v>10.4</v>
      </c>
      <c r="G238" s="1">
        <f t="shared" si="47"/>
        <v>1658.6999999999996</v>
      </c>
      <c r="H238" s="1">
        <f t="shared" si="41"/>
        <v>624.20000000000016</v>
      </c>
      <c r="J238" s="92">
        <v>3.1</v>
      </c>
      <c r="K238" s="1">
        <f t="shared" si="48"/>
        <v>452.09999999999997</v>
      </c>
      <c r="L238" s="1">
        <v>1.4</v>
      </c>
      <c r="M238" s="1">
        <f t="shared" si="49"/>
        <v>203.00000000000009</v>
      </c>
      <c r="N238" s="1">
        <f t="shared" si="45"/>
        <v>1.7000000000000002</v>
      </c>
      <c r="O238" s="1">
        <f t="shared" si="42"/>
        <v>165.8</v>
      </c>
      <c r="P238" s="1">
        <v>199</v>
      </c>
      <c r="Q238" s="11">
        <f t="shared" si="40"/>
        <v>1.1295454545454544</v>
      </c>
      <c r="R238" s="9">
        <f t="shared" si="46"/>
        <v>1.5813636363636361</v>
      </c>
      <c r="S238" s="9">
        <f t="shared" si="43"/>
        <v>1.518636363636364</v>
      </c>
      <c r="T238" s="91">
        <f t="shared" si="51"/>
        <v>162.36349999999999</v>
      </c>
      <c r="V238" s="10">
        <v>751.3</v>
      </c>
      <c r="W238" s="1">
        <f t="shared" si="44"/>
        <v>85.374999999999986</v>
      </c>
      <c r="X238" s="1">
        <f t="shared" si="50"/>
        <v>98481.300000000017</v>
      </c>
      <c r="Y238" s="1">
        <f t="shared" si="39"/>
        <v>43442.400000000001</v>
      </c>
      <c r="AA238" s="1">
        <v>12.220801938175301</v>
      </c>
    </row>
    <row r="239" spans="1:28" s="1" customFormat="1" x14ac:dyDescent="0.25">
      <c r="A239" s="38"/>
      <c r="B239" s="17"/>
      <c r="C239" s="3">
        <v>41720</v>
      </c>
      <c r="D239" s="1">
        <v>6.4</v>
      </c>
      <c r="E239" s="1">
        <v>5.3</v>
      </c>
      <c r="F239" s="1">
        <v>9.6999999999999993</v>
      </c>
      <c r="G239" s="1">
        <f t="shared" si="47"/>
        <v>1665.0999999999997</v>
      </c>
      <c r="H239" s="1">
        <f t="shared" si="41"/>
        <v>630.60000000000014</v>
      </c>
      <c r="J239" s="92">
        <v>2.2999999999999998</v>
      </c>
      <c r="K239" s="1">
        <f t="shared" si="48"/>
        <v>454.4</v>
      </c>
      <c r="L239" s="1">
        <v>1.5</v>
      </c>
      <c r="M239" s="1">
        <f t="shared" si="49"/>
        <v>204.50000000000009</v>
      </c>
      <c r="N239" s="1">
        <f t="shared" si="45"/>
        <v>0.79999999999999982</v>
      </c>
      <c r="O239" s="1">
        <f t="shared" si="42"/>
        <v>166.60000000000002</v>
      </c>
      <c r="P239" s="1">
        <v>200</v>
      </c>
      <c r="Q239" s="11">
        <f t="shared" si="40"/>
        <v>1.1309090909090909</v>
      </c>
      <c r="R239" s="9">
        <f t="shared" si="46"/>
        <v>1.6963636363636363</v>
      </c>
      <c r="S239" s="9">
        <f t="shared" si="43"/>
        <v>0.60363636363636353</v>
      </c>
      <c r="T239" s="91">
        <f t="shared" si="51"/>
        <v>162.96713636363634</v>
      </c>
      <c r="V239" s="10">
        <v>835.9</v>
      </c>
      <c r="W239" s="1">
        <f t="shared" si="44"/>
        <v>130.609375</v>
      </c>
      <c r="X239" s="1">
        <f t="shared" si="50"/>
        <v>99317.200000000012</v>
      </c>
      <c r="Y239" s="1">
        <f t="shared" si="39"/>
        <v>44278.3</v>
      </c>
      <c r="AA239" s="1">
        <v>12.282847627611901</v>
      </c>
    </row>
    <row r="240" spans="1:28" s="1" customFormat="1" x14ac:dyDescent="0.25">
      <c r="A240" s="38"/>
      <c r="B240" s="17"/>
      <c r="C240" s="3">
        <v>41721</v>
      </c>
      <c r="D240" s="1">
        <v>5.0999999999999996</v>
      </c>
      <c r="E240" s="12">
        <v>3.1</v>
      </c>
      <c r="F240" s="1">
        <v>7.8</v>
      </c>
      <c r="G240" s="1">
        <f t="shared" si="47"/>
        <v>1670.1999999999996</v>
      </c>
      <c r="H240" s="1">
        <f t="shared" si="41"/>
        <v>635.70000000000016</v>
      </c>
      <c r="J240" s="92">
        <v>1.5</v>
      </c>
      <c r="K240" s="1">
        <f t="shared" si="48"/>
        <v>455.9</v>
      </c>
      <c r="L240" s="1">
        <v>1.5</v>
      </c>
      <c r="M240" s="1">
        <f t="shared" si="49"/>
        <v>206.00000000000009</v>
      </c>
      <c r="N240" s="1">
        <f t="shared" si="45"/>
        <v>0</v>
      </c>
      <c r="O240" s="1">
        <f t="shared" si="42"/>
        <v>166.60000000000002</v>
      </c>
      <c r="P240" s="1">
        <v>201</v>
      </c>
      <c r="Q240" s="11">
        <f t="shared" si="40"/>
        <v>1.1322727272727273</v>
      </c>
      <c r="R240" s="9">
        <f t="shared" si="46"/>
        <v>1.698409090909091</v>
      </c>
      <c r="S240" s="9">
        <f t="shared" si="43"/>
        <v>-0.19840909090909098</v>
      </c>
      <c r="T240" s="91">
        <f t="shared" si="51"/>
        <v>162.76872727272726</v>
      </c>
      <c r="V240" s="1">
        <v>1165.9000000000001</v>
      </c>
      <c r="W240" s="1">
        <f t="shared" si="44"/>
        <v>228.60784313725495</v>
      </c>
      <c r="X240" s="1">
        <f t="shared" si="50"/>
        <v>100483.1</v>
      </c>
      <c r="Y240" s="1">
        <f t="shared" si="39"/>
        <v>45444.200000000004</v>
      </c>
      <c r="AA240" s="1">
        <v>12.344867557934901</v>
      </c>
    </row>
    <row r="241" spans="1:27" s="1" customFormat="1" x14ac:dyDescent="0.25">
      <c r="A241" s="38"/>
      <c r="B241" s="17"/>
      <c r="C241" s="3">
        <v>41722</v>
      </c>
      <c r="D241" s="1">
        <v>5.5</v>
      </c>
      <c r="E241" s="12">
        <v>0.9</v>
      </c>
      <c r="F241" s="1">
        <v>9.8000000000000007</v>
      </c>
      <c r="G241" s="1">
        <f t="shared" si="47"/>
        <v>1675.6999999999996</v>
      </c>
      <c r="H241" s="1">
        <f t="shared" si="41"/>
        <v>641.20000000000016</v>
      </c>
      <c r="J241" s="1">
        <v>0</v>
      </c>
      <c r="K241" s="1">
        <f t="shared" si="48"/>
        <v>455.9</v>
      </c>
      <c r="L241" s="1">
        <v>1.3</v>
      </c>
      <c r="M241" s="1">
        <f t="shared" si="49"/>
        <v>207.3000000000001</v>
      </c>
      <c r="N241" s="8">
        <f t="shared" si="45"/>
        <v>-1.3</v>
      </c>
      <c r="O241" s="1">
        <f t="shared" si="42"/>
        <v>165.3</v>
      </c>
      <c r="P241" s="1">
        <v>202</v>
      </c>
      <c r="Q241" s="11">
        <f t="shared" si="40"/>
        <v>1.1336363636363636</v>
      </c>
      <c r="R241" s="9">
        <f t="shared" si="46"/>
        <v>1.4737272727272728</v>
      </c>
      <c r="S241" s="9">
        <f t="shared" si="43"/>
        <v>-1.4737272727272728</v>
      </c>
      <c r="T241" s="9">
        <f t="shared" si="51"/>
        <v>161.29499999999999</v>
      </c>
      <c r="V241" s="1">
        <v>1022</v>
      </c>
      <c r="W241" s="1">
        <f t="shared" si="44"/>
        <v>185.81818181818181</v>
      </c>
      <c r="X241" s="1">
        <f t="shared" si="50"/>
        <v>101505.1</v>
      </c>
      <c r="Y241" s="1">
        <f t="shared" si="39"/>
        <v>46466.200000000004</v>
      </c>
      <c r="AA241" s="1">
        <v>12.406855912279701</v>
      </c>
    </row>
    <row r="242" spans="1:27" s="1" customFormat="1" x14ac:dyDescent="0.25">
      <c r="A242" s="38"/>
      <c r="B242" s="17"/>
      <c r="C242" s="3">
        <v>41723</v>
      </c>
      <c r="D242" s="1">
        <v>5.0999999999999996</v>
      </c>
      <c r="E242" s="12">
        <v>2.6</v>
      </c>
      <c r="F242" s="1">
        <v>8</v>
      </c>
      <c r="G242" s="1">
        <f t="shared" si="47"/>
        <v>1680.7999999999995</v>
      </c>
      <c r="H242" s="1">
        <f t="shared" si="41"/>
        <v>646.30000000000018</v>
      </c>
      <c r="J242" s="1">
        <v>0</v>
      </c>
      <c r="K242" s="1">
        <f t="shared" si="48"/>
        <v>455.9</v>
      </c>
      <c r="L242" s="1">
        <v>0.9</v>
      </c>
      <c r="M242" s="1">
        <f t="shared" si="49"/>
        <v>208.2000000000001</v>
      </c>
      <c r="N242" s="8">
        <f t="shared" si="45"/>
        <v>-0.9</v>
      </c>
      <c r="O242" s="1">
        <f t="shared" si="42"/>
        <v>164.4</v>
      </c>
      <c r="P242" s="1">
        <v>203</v>
      </c>
      <c r="Q242" s="11">
        <f t="shared" si="40"/>
        <v>1.135</v>
      </c>
      <c r="R242" s="9">
        <f t="shared" si="46"/>
        <v>1.0215000000000001</v>
      </c>
      <c r="S242" s="9">
        <f t="shared" si="43"/>
        <v>-1.0215000000000001</v>
      </c>
      <c r="T242" s="9">
        <f t="shared" si="51"/>
        <v>160.27349999999998</v>
      </c>
      <c r="V242" s="10">
        <v>671</v>
      </c>
      <c r="W242" s="1">
        <f t="shared" si="44"/>
        <v>131.56862745098042</v>
      </c>
      <c r="X242" s="1">
        <f t="shared" si="50"/>
        <v>102176.1</v>
      </c>
      <c r="Y242" s="1">
        <f t="shared" si="39"/>
        <v>47137.200000000004</v>
      </c>
      <c r="AA242" s="1">
        <v>12.4688068485226</v>
      </c>
    </row>
    <row r="243" spans="1:27" s="1" customFormat="1" x14ac:dyDescent="0.25">
      <c r="A243" s="38"/>
      <c r="B243" s="17"/>
      <c r="C243" s="3">
        <v>41724</v>
      </c>
      <c r="D243" s="12">
        <v>4.7</v>
      </c>
      <c r="E243" s="12">
        <v>1</v>
      </c>
      <c r="F243" s="1">
        <v>9.8000000000000007</v>
      </c>
      <c r="G243" s="1">
        <f t="shared" si="47"/>
        <v>1685.4999999999995</v>
      </c>
      <c r="H243" s="1">
        <f t="shared" si="41"/>
        <v>651.00000000000023</v>
      </c>
      <c r="J243" s="1">
        <v>0</v>
      </c>
      <c r="K243" s="1">
        <f t="shared" si="48"/>
        <v>455.9</v>
      </c>
      <c r="L243" s="1">
        <v>1.8</v>
      </c>
      <c r="M243" s="1">
        <f t="shared" si="49"/>
        <v>210.00000000000011</v>
      </c>
      <c r="N243" s="8">
        <f t="shared" si="45"/>
        <v>-1.8</v>
      </c>
      <c r="O243" s="1">
        <f t="shared" si="42"/>
        <v>162.6</v>
      </c>
      <c r="P243" s="1">
        <v>204</v>
      </c>
      <c r="Q243" s="11">
        <f t="shared" si="40"/>
        <v>1.1363636363636362</v>
      </c>
      <c r="R243" s="9">
        <f t="shared" si="46"/>
        <v>2.0454545454545454</v>
      </c>
      <c r="S243" s="9">
        <f t="shared" si="43"/>
        <v>-2.0454545454545454</v>
      </c>
      <c r="T243" s="9">
        <f t="shared" si="51"/>
        <v>158.22804545454545</v>
      </c>
      <c r="V243" s="1">
        <v>1328.8</v>
      </c>
      <c r="W243" s="1">
        <f t="shared" si="44"/>
        <v>282.72340425531911</v>
      </c>
      <c r="X243" s="1">
        <f t="shared" si="50"/>
        <v>103504.90000000001</v>
      </c>
      <c r="Y243" s="1">
        <f t="shared" ref="Y243:Y306" si="52">Y242+V243</f>
        <v>48466.000000000007</v>
      </c>
      <c r="AA243" s="1">
        <v>12.5307144809848</v>
      </c>
    </row>
    <row r="244" spans="1:27" s="1" customFormat="1" x14ac:dyDescent="0.25">
      <c r="A244" s="38"/>
      <c r="B244" s="17"/>
      <c r="C244" s="3">
        <v>41725</v>
      </c>
      <c r="D244" s="12">
        <v>4.8</v>
      </c>
      <c r="E244" s="13">
        <v>-1.5</v>
      </c>
      <c r="F244" s="1">
        <v>10.6</v>
      </c>
      <c r="G244" s="1">
        <f t="shared" si="47"/>
        <v>1690.2999999999995</v>
      </c>
      <c r="H244" s="1">
        <f t="shared" si="41"/>
        <v>655.80000000000018</v>
      </c>
      <c r="J244" s="1">
        <v>0</v>
      </c>
      <c r="K244" s="1">
        <f t="shared" si="48"/>
        <v>455.9</v>
      </c>
      <c r="L244" s="1">
        <v>1.4</v>
      </c>
      <c r="M244" s="1">
        <f t="shared" si="49"/>
        <v>211.40000000000012</v>
      </c>
      <c r="N244" s="8">
        <f t="shared" si="45"/>
        <v>-1.4</v>
      </c>
      <c r="O244" s="1">
        <f t="shared" si="42"/>
        <v>161.19999999999999</v>
      </c>
      <c r="P244" s="1">
        <v>205</v>
      </c>
      <c r="Q244" s="11">
        <f t="shared" si="40"/>
        <v>1.1377272727272727</v>
      </c>
      <c r="R244" s="9">
        <f t="shared" si="46"/>
        <v>1.5928181818181817</v>
      </c>
      <c r="S244" s="9">
        <f t="shared" si="43"/>
        <v>-1.5928181818181817</v>
      </c>
      <c r="T244" s="9">
        <f t="shared" si="51"/>
        <v>156.63522727272726</v>
      </c>
      <c r="V244" s="1">
        <v>1209.7</v>
      </c>
      <c r="W244" s="1">
        <f t="shared" si="44"/>
        <v>252.02083333333334</v>
      </c>
      <c r="X244" s="1">
        <f t="shared" si="50"/>
        <v>104714.6</v>
      </c>
      <c r="Y244" s="1">
        <f t="shared" si="52"/>
        <v>49675.700000000004</v>
      </c>
      <c r="AA244" s="1">
        <v>12.5925728622148</v>
      </c>
    </row>
    <row r="245" spans="1:27" s="1" customFormat="1" x14ac:dyDescent="0.25">
      <c r="A245" s="38"/>
      <c r="B245" s="17"/>
      <c r="C245" s="3">
        <v>41726</v>
      </c>
      <c r="D245" s="1">
        <v>6.9</v>
      </c>
      <c r="E245" s="13">
        <v>-0.6</v>
      </c>
      <c r="F245" s="1">
        <v>13.7</v>
      </c>
      <c r="G245" s="1">
        <f t="shared" si="47"/>
        <v>1697.1999999999996</v>
      </c>
      <c r="H245" s="1">
        <f t="shared" si="41"/>
        <v>662.70000000000016</v>
      </c>
      <c r="J245" s="1">
        <v>0</v>
      </c>
      <c r="K245" s="1">
        <f t="shared" si="48"/>
        <v>455.9</v>
      </c>
      <c r="L245" s="1">
        <v>1.8</v>
      </c>
      <c r="M245" s="1">
        <f t="shared" si="49"/>
        <v>213.20000000000013</v>
      </c>
      <c r="N245" s="8">
        <f t="shared" si="45"/>
        <v>-1.8</v>
      </c>
      <c r="O245" s="1">
        <f t="shared" si="42"/>
        <v>159.39999999999998</v>
      </c>
      <c r="P245" s="1">
        <v>206</v>
      </c>
      <c r="Q245" s="11">
        <f t="shared" si="40"/>
        <v>1.1390909090909089</v>
      </c>
      <c r="R245" s="9">
        <f t="shared" si="46"/>
        <v>2.0503636363636359</v>
      </c>
      <c r="S245" s="9">
        <f t="shared" si="43"/>
        <v>-2.0503636363636359</v>
      </c>
      <c r="T245" s="9">
        <f t="shared" si="51"/>
        <v>154.58486363636362</v>
      </c>
      <c r="V245" s="1">
        <v>1218.7</v>
      </c>
      <c r="W245" s="1">
        <f t="shared" si="44"/>
        <v>176.62318840579709</v>
      </c>
      <c r="X245" s="1">
        <f t="shared" si="50"/>
        <v>105933.3</v>
      </c>
      <c r="Y245" s="1">
        <f t="shared" si="52"/>
        <v>50894.400000000001</v>
      </c>
      <c r="AA245" s="1">
        <v>12.6543759648451</v>
      </c>
    </row>
    <row r="246" spans="1:27" s="1" customFormat="1" x14ac:dyDescent="0.25">
      <c r="A246" s="38"/>
      <c r="B246" s="17"/>
      <c r="C246" s="3">
        <v>41727</v>
      </c>
      <c r="D246" s="1">
        <v>11</v>
      </c>
      <c r="E246" s="12">
        <v>3.4</v>
      </c>
      <c r="F246" s="1">
        <v>17.899999999999999</v>
      </c>
      <c r="G246" s="1">
        <f t="shared" si="47"/>
        <v>1708.1999999999996</v>
      </c>
      <c r="H246" s="1">
        <f t="shared" si="41"/>
        <v>673.70000000000016</v>
      </c>
      <c r="J246" s="1">
        <v>0</v>
      </c>
      <c r="K246" s="1">
        <f t="shared" si="48"/>
        <v>455.9</v>
      </c>
      <c r="L246" s="1">
        <v>2.9</v>
      </c>
      <c r="M246" s="1">
        <f t="shared" si="49"/>
        <v>216.10000000000014</v>
      </c>
      <c r="N246" s="8">
        <f t="shared" si="45"/>
        <v>-2.9</v>
      </c>
      <c r="O246" s="1">
        <f t="shared" si="42"/>
        <v>156.49999999999997</v>
      </c>
      <c r="P246" s="1">
        <v>207</v>
      </c>
      <c r="Q246" s="11">
        <f t="shared" si="40"/>
        <v>1.1404545454545454</v>
      </c>
      <c r="R246" s="9">
        <f t="shared" si="46"/>
        <v>3.3073181818181814</v>
      </c>
      <c r="S246" s="9">
        <f t="shared" si="43"/>
        <v>-3.3073181818181814</v>
      </c>
      <c r="T246" s="9">
        <f t="shared" si="51"/>
        <v>151.27754545454545</v>
      </c>
      <c r="V246" s="1">
        <v>1417.7</v>
      </c>
      <c r="W246" s="1">
        <f t="shared" si="44"/>
        <v>128.88181818181818</v>
      </c>
      <c r="X246" s="1">
        <f t="shared" si="50"/>
        <v>107351</v>
      </c>
      <c r="Y246" s="1">
        <f t="shared" si="52"/>
        <v>52312.1</v>
      </c>
      <c r="AA246" s="1">
        <v>12.7161176635174</v>
      </c>
    </row>
    <row r="247" spans="1:27" s="1" customFormat="1" x14ac:dyDescent="0.25">
      <c r="A247" s="38"/>
      <c r="B247" s="17"/>
      <c r="C247" s="3">
        <v>41728</v>
      </c>
      <c r="D247" s="1">
        <v>11.8</v>
      </c>
      <c r="E247" s="1">
        <v>5.7</v>
      </c>
      <c r="F247" s="1">
        <v>18.3</v>
      </c>
      <c r="G247" s="1">
        <f t="shared" si="47"/>
        <v>1719.9999999999995</v>
      </c>
      <c r="H247" s="1">
        <f t="shared" si="41"/>
        <v>685.50000000000011</v>
      </c>
      <c r="J247" s="1">
        <v>0</v>
      </c>
      <c r="K247" s="1">
        <f t="shared" si="48"/>
        <v>455.9</v>
      </c>
      <c r="L247" s="1">
        <v>2.2999999999999998</v>
      </c>
      <c r="M247" s="1">
        <f t="shared" si="49"/>
        <v>218.40000000000015</v>
      </c>
      <c r="N247" s="8">
        <f t="shared" si="45"/>
        <v>-2.2999999999999998</v>
      </c>
      <c r="O247" s="1">
        <f t="shared" si="42"/>
        <v>154.19999999999996</v>
      </c>
      <c r="P247" s="1">
        <v>208</v>
      </c>
      <c r="Q247" s="11">
        <f t="shared" si="40"/>
        <v>1.1418181818181816</v>
      </c>
      <c r="R247" s="9">
        <f t="shared" si="46"/>
        <v>2.6261818181818177</v>
      </c>
      <c r="S247" s="9">
        <f t="shared" si="43"/>
        <v>-2.6261818181818177</v>
      </c>
      <c r="T247" s="9">
        <f t="shared" si="51"/>
        <v>148.65136363636364</v>
      </c>
      <c r="V247" s="1">
        <v>1336.7</v>
      </c>
      <c r="W247" s="1">
        <f t="shared" si="44"/>
        <v>113.27966101694915</v>
      </c>
      <c r="X247" s="1">
        <f t="shared" si="50"/>
        <v>108687.7</v>
      </c>
      <c r="Y247" s="1">
        <f t="shared" si="52"/>
        <v>53648.799999999996</v>
      </c>
      <c r="AA247" s="1">
        <v>12.7777917168725</v>
      </c>
    </row>
    <row r="248" spans="1:27" s="1" customFormat="1" x14ac:dyDescent="0.25">
      <c r="A248" s="38"/>
      <c r="B248" s="17"/>
      <c r="C248" s="3">
        <v>41729</v>
      </c>
      <c r="D248" s="1">
        <v>12.2</v>
      </c>
      <c r="E248" s="12">
        <v>5</v>
      </c>
      <c r="F248" s="1">
        <v>19.100000000000001</v>
      </c>
      <c r="G248" s="1">
        <f t="shared" si="47"/>
        <v>1732.1999999999996</v>
      </c>
      <c r="H248" s="1">
        <f t="shared" si="41"/>
        <v>697.70000000000016</v>
      </c>
      <c r="J248" s="1">
        <v>0</v>
      </c>
      <c r="K248" s="1">
        <f t="shared" si="48"/>
        <v>455.9</v>
      </c>
      <c r="L248" s="1">
        <v>2.1</v>
      </c>
      <c r="M248" s="1">
        <f t="shared" si="49"/>
        <v>220.50000000000014</v>
      </c>
      <c r="N248" s="8">
        <f t="shared" si="45"/>
        <v>-2.1</v>
      </c>
      <c r="O248" s="1">
        <f t="shared" si="42"/>
        <v>152.09999999999997</v>
      </c>
      <c r="P248" s="1">
        <v>209</v>
      </c>
      <c r="Q248" s="11">
        <f t="shared" si="40"/>
        <v>1.1431818181818181</v>
      </c>
      <c r="R248" s="9">
        <f t="shared" si="46"/>
        <v>2.4006818181818179</v>
      </c>
      <c r="S248" s="9">
        <f t="shared" si="43"/>
        <v>-2.4006818181818179</v>
      </c>
      <c r="T248" s="9">
        <f t="shared" si="51"/>
        <v>146.25068181818182</v>
      </c>
      <c r="V248" s="1">
        <v>1234.5999999999999</v>
      </c>
      <c r="W248" s="1">
        <f t="shared" si="44"/>
        <v>101.19672131147541</v>
      </c>
      <c r="X248" s="1">
        <f t="shared" si="50"/>
        <v>109922.3</v>
      </c>
      <c r="Y248" s="1">
        <f t="shared" si="52"/>
        <v>54883.399999999994</v>
      </c>
      <c r="AA248" s="1">
        <v>12.839391749601001</v>
      </c>
    </row>
    <row r="249" spans="1:27" s="1" customFormat="1" x14ac:dyDescent="0.25">
      <c r="A249" s="38"/>
      <c r="B249" s="17"/>
      <c r="C249" s="3">
        <v>41730</v>
      </c>
      <c r="D249" s="1">
        <v>13.3</v>
      </c>
      <c r="E249" s="1">
        <v>7.5</v>
      </c>
      <c r="F249" s="1">
        <v>19.600000000000001</v>
      </c>
      <c r="G249" s="1">
        <f t="shared" si="47"/>
        <v>1745.4999999999995</v>
      </c>
      <c r="H249" s="1">
        <f t="shared" si="41"/>
        <v>711.00000000000011</v>
      </c>
      <c r="J249" s="1">
        <v>0</v>
      </c>
      <c r="K249" s="1">
        <f t="shared" si="48"/>
        <v>455.9</v>
      </c>
      <c r="L249" s="1">
        <v>2.5</v>
      </c>
      <c r="M249" s="1">
        <f t="shared" si="49"/>
        <v>223.00000000000014</v>
      </c>
      <c r="N249" s="8">
        <f t="shared" si="45"/>
        <v>-2.5</v>
      </c>
      <c r="O249" s="1">
        <f t="shared" si="42"/>
        <v>149.59999999999997</v>
      </c>
      <c r="P249" s="1">
        <v>210</v>
      </c>
      <c r="Q249" s="11">
        <f t="shared" si="40"/>
        <v>1.1445454545454545</v>
      </c>
      <c r="R249" s="9">
        <f t="shared" si="46"/>
        <v>2.8613636363636363</v>
      </c>
      <c r="S249" s="9">
        <f t="shared" si="43"/>
        <v>-2.8613636363636363</v>
      </c>
      <c r="T249" s="9">
        <f t="shared" si="51"/>
        <v>143.38931818181817</v>
      </c>
      <c r="V249" s="1">
        <v>1503.1</v>
      </c>
      <c r="W249" s="1">
        <f t="shared" si="44"/>
        <v>113.01503759398494</v>
      </c>
      <c r="X249" s="1">
        <f t="shared" si="50"/>
        <v>111425.40000000001</v>
      </c>
      <c r="Y249" s="1">
        <f t="shared" si="52"/>
        <v>56386.499999999993</v>
      </c>
      <c r="AA249" s="1">
        <v>12.9009112345524</v>
      </c>
    </row>
    <row r="250" spans="1:27" s="1" customFormat="1" x14ac:dyDescent="0.25">
      <c r="A250" s="38"/>
      <c r="B250" s="17"/>
      <c r="C250" s="3">
        <v>41731</v>
      </c>
      <c r="D250" s="1">
        <v>14</v>
      </c>
      <c r="E250" s="1">
        <v>7.3</v>
      </c>
      <c r="F250" s="1">
        <v>20</v>
      </c>
      <c r="G250" s="1">
        <f t="shared" si="47"/>
        <v>1759.4999999999995</v>
      </c>
      <c r="H250" s="1">
        <f t="shared" si="41"/>
        <v>725.00000000000011</v>
      </c>
      <c r="J250" s="1">
        <v>0</v>
      </c>
      <c r="K250" s="1">
        <f t="shared" si="48"/>
        <v>455.9</v>
      </c>
      <c r="L250" s="1">
        <v>2.2000000000000002</v>
      </c>
      <c r="M250" s="1">
        <f t="shared" si="49"/>
        <v>225.20000000000013</v>
      </c>
      <c r="N250" s="8">
        <f t="shared" si="45"/>
        <v>-2.2000000000000002</v>
      </c>
      <c r="O250" s="1">
        <f t="shared" si="42"/>
        <v>147.39999999999998</v>
      </c>
      <c r="P250" s="1">
        <v>211</v>
      </c>
      <c r="Q250" s="11">
        <f t="shared" si="40"/>
        <v>1.1459090909090908</v>
      </c>
      <c r="R250" s="9">
        <f t="shared" si="46"/>
        <v>2.5209999999999999</v>
      </c>
      <c r="S250" s="9">
        <f t="shared" si="43"/>
        <v>-2.5209999999999999</v>
      </c>
      <c r="T250" s="9">
        <f t="shared" si="51"/>
        <v>140.86831818181818</v>
      </c>
      <c r="V250" s="1">
        <v>1322.1</v>
      </c>
      <c r="W250" s="1">
        <f t="shared" si="44"/>
        <v>94.435714285714283</v>
      </c>
      <c r="X250" s="1">
        <f t="shared" si="50"/>
        <v>112747.50000000001</v>
      </c>
      <c r="Y250" s="1">
        <f t="shared" si="52"/>
        <v>57708.599999999991</v>
      </c>
      <c r="AA250" s="1">
        <v>12.9623434749028</v>
      </c>
    </row>
    <row r="251" spans="1:27" s="1" customFormat="1" x14ac:dyDescent="0.25">
      <c r="A251" s="38"/>
      <c r="B251" s="17"/>
      <c r="C251" s="3">
        <v>41732</v>
      </c>
      <c r="D251" s="1">
        <v>13.7</v>
      </c>
      <c r="E251" s="1">
        <v>9.6</v>
      </c>
      <c r="F251" s="1">
        <v>18.3</v>
      </c>
      <c r="G251" s="1">
        <f t="shared" si="47"/>
        <v>1773.1999999999996</v>
      </c>
      <c r="H251" s="1">
        <f t="shared" si="41"/>
        <v>738.70000000000016</v>
      </c>
      <c r="J251" s="1">
        <v>0</v>
      </c>
      <c r="K251" s="1">
        <f t="shared" si="48"/>
        <v>455.9</v>
      </c>
      <c r="L251" s="1">
        <v>1.7</v>
      </c>
      <c r="M251" s="1">
        <f t="shared" si="49"/>
        <v>226.90000000000012</v>
      </c>
      <c r="N251" s="8">
        <f t="shared" si="45"/>
        <v>-1.7</v>
      </c>
      <c r="O251" s="1">
        <f t="shared" si="42"/>
        <v>145.69999999999999</v>
      </c>
      <c r="P251" s="1">
        <v>212</v>
      </c>
      <c r="Q251" s="11">
        <f t="shared" si="40"/>
        <v>1.1472727272727272</v>
      </c>
      <c r="R251" s="9">
        <f t="shared" si="46"/>
        <v>1.9503636363636363</v>
      </c>
      <c r="S251" s="9">
        <f t="shared" si="43"/>
        <v>-1.9503636363636363</v>
      </c>
      <c r="T251" s="9">
        <f t="shared" si="51"/>
        <v>138.91795454545453</v>
      </c>
      <c r="V251" s="10">
        <v>672.2</v>
      </c>
      <c r="W251" s="1">
        <f t="shared" si="44"/>
        <v>49.065693430656943</v>
      </c>
      <c r="X251" s="1">
        <f t="shared" si="50"/>
        <v>113419.70000000001</v>
      </c>
      <c r="Y251" s="1">
        <f t="shared" si="52"/>
        <v>58380.799999999988</v>
      </c>
      <c r="AA251" s="1">
        <v>13.0236815863797</v>
      </c>
    </row>
    <row r="252" spans="1:27" s="23" customFormat="1" x14ac:dyDescent="0.25">
      <c r="A252" s="38"/>
      <c r="B252" s="17"/>
      <c r="C252" s="20">
        <v>41733</v>
      </c>
      <c r="D252" s="21">
        <v>11.1</v>
      </c>
      <c r="E252" s="21">
        <v>10.9</v>
      </c>
      <c r="F252" s="21">
        <v>13</v>
      </c>
      <c r="G252" s="21">
        <f t="shared" si="47"/>
        <v>1784.2999999999995</v>
      </c>
      <c r="H252" s="21">
        <f t="shared" si="41"/>
        <v>749.80000000000018</v>
      </c>
      <c r="I252" s="21"/>
      <c r="J252" s="21">
        <v>0</v>
      </c>
      <c r="K252" s="21">
        <f t="shared" si="48"/>
        <v>455.9</v>
      </c>
      <c r="L252" s="21">
        <v>1</v>
      </c>
      <c r="M252" s="21">
        <f t="shared" si="49"/>
        <v>227.90000000000012</v>
      </c>
      <c r="N252" s="21">
        <f t="shared" si="45"/>
        <v>-1</v>
      </c>
      <c r="O252" s="21">
        <f t="shared" si="42"/>
        <v>144.69999999999999</v>
      </c>
      <c r="P252" s="21">
        <v>213</v>
      </c>
      <c r="Q252" s="11">
        <f t="shared" si="40"/>
        <v>1.1486363636363635</v>
      </c>
      <c r="R252" s="22">
        <f t="shared" si="46"/>
        <v>1.1486363636363635</v>
      </c>
      <c r="S252" s="22">
        <f t="shared" si="43"/>
        <v>-1.1486363636363635</v>
      </c>
      <c r="T252" s="9">
        <f t="shared" si="51"/>
        <v>137.76931818181816</v>
      </c>
      <c r="U252" s="21"/>
      <c r="V252" s="21">
        <v>580.4</v>
      </c>
      <c r="W252" s="21">
        <f t="shared" si="44"/>
        <v>52.288288288288285</v>
      </c>
      <c r="X252" s="21">
        <f t="shared" si="50"/>
        <v>114000.1</v>
      </c>
      <c r="Y252" s="1">
        <f t="shared" si="52"/>
        <v>58961.19999999999</v>
      </c>
      <c r="Z252" s="21"/>
      <c r="AA252" s="1">
        <v>13.0849184795475</v>
      </c>
    </row>
    <row r="253" spans="1:27" s="71" customFormat="1" ht="15" customHeight="1" thickBot="1" x14ac:dyDescent="0.3">
      <c r="A253" s="38"/>
      <c r="B253" s="67"/>
      <c r="C253" s="68">
        <v>41734</v>
      </c>
      <c r="D253" s="65">
        <v>11.4</v>
      </c>
      <c r="E253" s="69">
        <v>4.7</v>
      </c>
      <c r="F253" s="65">
        <v>16.899999999999999</v>
      </c>
      <c r="G253" s="65">
        <f t="shared" si="47"/>
        <v>1795.6999999999996</v>
      </c>
      <c r="H253" s="65">
        <f t="shared" si="41"/>
        <v>761.20000000000016</v>
      </c>
      <c r="I253" s="65"/>
      <c r="J253" s="65">
        <v>0</v>
      </c>
      <c r="K253" s="65">
        <f t="shared" si="48"/>
        <v>455.9</v>
      </c>
      <c r="L253" s="65">
        <v>2.4</v>
      </c>
      <c r="M253" s="65">
        <f t="shared" si="49"/>
        <v>230.30000000000013</v>
      </c>
      <c r="N253" s="65">
        <f t="shared" si="45"/>
        <v>-2.4</v>
      </c>
      <c r="O253" s="65">
        <f t="shared" si="42"/>
        <v>142.29999999999998</v>
      </c>
      <c r="P253" s="65">
        <v>214</v>
      </c>
      <c r="Q253" s="43">
        <f t="shared" si="40"/>
        <v>1.1499999999999999</v>
      </c>
      <c r="R253" s="70">
        <f t="shared" si="46"/>
        <v>2.76</v>
      </c>
      <c r="S253" s="70">
        <f t="shared" si="43"/>
        <v>-2.76</v>
      </c>
      <c r="T253" s="44">
        <f t="shared" si="51"/>
        <v>135.00931818181817</v>
      </c>
      <c r="U253" s="65"/>
      <c r="V253" s="65">
        <v>1506.6</v>
      </c>
      <c r="W253" s="65">
        <f t="shared" si="44"/>
        <v>132.15789473684208</v>
      </c>
      <c r="X253" s="65">
        <f t="shared" si="50"/>
        <v>115506.70000000001</v>
      </c>
      <c r="Y253" s="42">
        <f t="shared" si="52"/>
        <v>60467.799999999988</v>
      </c>
      <c r="Z253" s="65"/>
      <c r="AA253" s="42">
        <v>13.146046842156499</v>
      </c>
    </row>
    <row r="254" spans="1:27" s="21" customFormat="1" ht="16.5" customHeight="1" x14ac:dyDescent="0.25">
      <c r="A254" s="83" t="s">
        <v>51</v>
      </c>
      <c r="B254" s="56" t="s">
        <v>22</v>
      </c>
      <c r="C254" s="57">
        <v>41735</v>
      </c>
      <c r="D254" s="21">
        <v>14.3</v>
      </c>
      <c r="E254" s="21">
        <v>11.3</v>
      </c>
      <c r="F254" s="21">
        <v>16.8</v>
      </c>
      <c r="G254" s="21">
        <f t="shared" si="47"/>
        <v>1809.9999999999995</v>
      </c>
      <c r="H254" s="21">
        <f>D254</f>
        <v>14.3</v>
      </c>
      <c r="I254" s="26" t="s">
        <v>2</v>
      </c>
      <c r="J254" s="21">
        <v>1.2</v>
      </c>
      <c r="K254" s="21">
        <f t="shared" si="48"/>
        <v>457.09999999999997</v>
      </c>
      <c r="L254" s="21">
        <v>1</v>
      </c>
      <c r="M254" s="21">
        <f t="shared" si="49"/>
        <v>231.30000000000013</v>
      </c>
      <c r="N254" s="21">
        <f t="shared" si="45"/>
        <v>0.19999999999999996</v>
      </c>
      <c r="O254" s="21">
        <f t="shared" si="42"/>
        <v>142.49999999999997</v>
      </c>
      <c r="P254" s="21">
        <v>215</v>
      </c>
      <c r="Q254" s="58">
        <v>1.1499999999999999</v>
      </c>
      <c r="R254" s="22">
        <f t="shared" si="46"/>
        <v>1.1499999999999999</v>
      </c>
      <c r="S254" s="22">
        <f t="shared" si="43"/>
        <v>5.0000000000000044E-2</v>
      </c>
      <c r="T254" s="22">
        <f t="shared" si="51"/>
        <v>135.05931818181818</v>
      </c>
      <c r="U254" s="28" t="s">
        <v>55</v>
      </c>
      <c r="V254" s="59">
        <v>525.6</v>
      </c>
      <c r="W254" s="21">
        <f t="shared" si="44"/>
        <v>36.755244755244753</v>
      </c>
      <c r="X254" s="21">
        <f t="shared" si="50"/>
        <v>116032.30000000002</v>
      </c>
      <c r="Y254" s="1">
        <f>V254</f>
        <v>525.6</v>
      </c>
      <c r="Z254" s="26" t="s">
        <v>52</v>
      </c>
      <c r="AA254" s="21">
        <v>13.2070591215617</v>
      </c>
    </row>
    <row r="255" spans="1:27" s="1" customFormat="1" ht="15" customHeight="1" x14ac:dyDescent="0.25">
      <c r="A255" s="83"/>
      <c r="C255" s="3">
        <v>41736</v>
      </c>
      <c r="D255" s="1">
        <v>14.7</v>
      </c>
      <c r="E255" s="1">
        <v>12.1</v>
      </c>
      <c r="F255" s="1">
        <v>20.6</v>
      </c>
      <c r="G255" s="1">
        <f t="shared" si="47"/>
        <v>1824.6999999999996</v>
      </c>
      <c r="H255" s="21">
        <f t="shared" si="41"/>
        <v>29</v>
      </c>
      <c r="I255" s="1">
        <f>MIN(E254:E274)</f>
        <v>3.2</v>
      </c>
      <c r="J255" s="1">
        <v>14.2</v>
      </c>
      <c r="K255" s="1">
        <f t="shared" si="48"/>
        <v>471.29999999999995</v>
      </c>
      <c r="L255" s="1">
        <v>2.2000000000000002</v>
      </c>
      <c r="M255" s="1">
        <f t="shared" si="49"/>
        <v>233.50000000000011</v>
      </c>
      <c r="N255" s="1">
        <f t="shared" si="45"/>
        <v>12</v>
      </c>
      <c r="O255" s="1">
        <f t="shared" si="42"/>
        <v>154.49999999999997</v>
      </c>
      <c r="P255" s="1">
        <v>216</v>
      </c>
      <c r="Q255" s="1">
        <v>1.1499999999999999</v>
      </c>
      <c r="R255" s="9">
        <f t="shared" si="46"/>
        <v>2.5299999999999998</v>
      </c>
      <c r="S255" s="9">
        <f t="shared" si="43"/>
        <v>11.67</v>
      </c>
      <c r="T255" s="9">
        <f t="shared" si="51"/>
        <v>146.72931818181817</v>
      </c>
      <c r="U255" s="1">
        <v>0</v>
      </c>
      <c r="V255" s="10">
        <v>707</v>
      </c>
      <c r="W255" s="1">
        <f t="shared" si="44"/>
        <v>48.095238095238095</v>
      </c>
      <c r="X255" s="1">
        <f t="shared" si="50"/>
        <v>116739.30000000002</v>
      </c>
      <c r="Y255" s="1">
        <f t="shared" si="52"/>
        <v>1232.5999999999999</v>
      </c>
      <c r="Z255" s="1">
        <v>27230.7</v>
      </c>
      <c r="AA255" s="1">
        <v>13.2679475072184</v>
      </c>
    </row>
    <row r="256" spans="1:27" s="1" customFormat="1" x14ac:dyDescent="0.25">
      <c r="A256" s="83"/>
      <c r="C256" s="3">
        <v>41737</v>
      </c>
      <c r="D256" s="1">
        <v>8.6</v>
      </c>
      <c r="E256" s="1">
        <v>7.4</v>
      </c>
      <c r="F256" s="1">
        <v>10.9</v>
      </c>
      <c r="G256" s="1">
        <f t="shared" si="47"/>
        <v>1833.2999999999995</v>
      </c>
      <c r="H256" s="21">
        <f t="shared" si="41"/>
        <v>37.6</v>
      </c>
      <c r="I256" s="28" t="s">
        <v>5</v>
      </c>
      <c r="J256" s="1">
        <v>1.1000000000000001</v>
      </c>
      <c r="K256" s="1">
        <f t="shared" si="48"/>
        <v>472.4</v>
      </c>
      <c r="L256" s="1">
        <v>2.4</v>
      </c>
      <c r="M256" s="1">
        <f t="shared" si="49"/>
        <v>235.90000000000012</v>
      </c>
      <c r="N256" s="8">
        <f t="shared" si="45"/>
        <v>-1.2999999999999998</v>
      </c>
      <c r="O256" s="1">
        <f t="shared" si="42"/>
        <v>153.19999999999996</v>
      </c>
      <c r="P256" s="1">
        <v>217</v>
      </c>
      <c r="Q256" s="1">
        <v>1.1499999999999999</v>
      </c>
      <c r="R256" s="9">
        <f t="shared" si="46"/>
        <v>2.76</v>
      </c>
      <c r="S256" s="9">
        <f t="shared" si="43"/>
        <v>-1.6599999999999997</v>
      </c>
      <c r="T256" s="9">
        <f t="shared" si="51"/>
        <v>145.06931818181818</v>
      </c>
      <c r="U256" s="28" t="s">
        <v>56</v>
      </c>
      <c r="V256" s="1">
        <v>1785.5</v>
      </c>
      <c r="W256" s="1">
        <f t="shared" si="44"/>
        <v>207.61627906976744</v>
      </c>
      <c r="X256" s="1">
        <f t="shared" si="50"/>
        <v>118524.80000000002</v>
      </c>
      <c r="Y256" s="1">
        <f t="shared" si="52"/>
        <v>3018.1</v>
      </c>
      <c r="Z256" s="28" t="s">
        <v>53</v>
      </c>
      <c r="AA256" s="1">
        <v>13.328703913265899</v>
      </c>
    </row>
    <row r="257" spans="1:27" s="1" customFormat="1" x14ac:dyDescent="0.25">
      <c r="A257" s="83"/>
      <c r="C257" s="3">
        <v>41738</v>
      </c>
      <c r="D257" s="1">
        <v>8.5</v>
      </c>
      <c r="E257" s="12">
        <v>3.9</v>
      </c>
      <c r="F257" s="1">
        <v>12.9</v>
      </c>
      <c r="G257" s="1">
        <f t="shared" si="47"/>
        <v>1841.7999999999995</v>
      </c>
      <c r="H257" s="21">
        <f t="shared" si="41"/>
        <v>46.1</v>
      </c>
      <c r="I257" s="1">
        <f>MAX(F254:F274)</f>
        <v>20.6</v>
      </c>
      <c r="J257" s="1">
        <v>0</v>
      </c>
      <c r="K257" s="1">
        <f t="shared" si="48"/>
        <v>472.4</v>
      </c>
      <c r="L257" s="1">
        <v>1.9</v>
      </c>
      <c r="M257" s="1">
        <f t="shared" si="49"/>
        <v>237.80000000000013</v>
      </c>
      <c r="N257" s="8">
        <f t="shared" si="45"/>
        <v>-1.9</v>
      </c>
      <c r="O257" s="1">
        <f t="shared" si="42"/>
        <v>151.29999999999995</v>
      </c>
      <c r="P257" s="1">
        <v>218</v>
      </c>
      <c r="Q257" s="1">
        <v>1.1499999999999999</v>
      </c>
      <c r="R257" s="9">
        <f t="shared" si="46"/>
        <v>2.1849999999999996</v>
      </c>
      <c r="S257" s="9">
        <f t="shared" si="43"/>
        <v>-2.1849999999999996</v>
      </c>
      <c r="T257" s="9">
        <f t="shared" si="51"/>
        <v>142.88431818181817</v>
      </c>
      <c r="U257" s="1">
        <v>0</v>
      </c>
      <c r="V257" s="1">
        <v>1278.5</v>
      </c>
      <c r="W257" s="1">
        <f t="shared" si="44"/>
        <v>150.41176470588235</v>
      </c>
      <c r="X257" s="1">
        <f t="shared" si="50"/>
        <v>119803.30000000002</v>
      </c>
      <c r="Y257" s="1">
        <f t="shared" si="52"/>
        <v>4296.6000000000004</v>
      </c>
      <c r="Z257" s="11">
        <f>(Z255/100)/I267</f>
        <v>1.2205602868668759</v>
      </c>
      <c r="AA257" s="1">
        <v>13.389319961210401</v>
      </c>
    </row>
    <row r="258" spans="1:27" s="1" customFormat="1" x14ac:dyDescent="0.25">
      <c r="A258" s="83"/>
      <c r="C258" s="3">
        <v>41739</v>
      </c>
      <c r="D258" s="1">
        <v>9.3000000000000007</v>
      </c>
      <c r="E258" s="12">
        <v>3.4</v>
      </c>
      <c r="F258" s="1">
        <v>14.5</v>
      </c>
      <c r="G258" s="1">
        <f t="shared" si="47"/>
        <v>1851.0999999999995</v>
      </c>
      <c r="H258" s="21">
        <f t="shared" si="41"/>
        <v>55.400000000000006</v>
      </c>
      <c r="I258" s="28" t="s">
        <v>8</v>
      </c>
      <c r="J258" s="1">
        <v>0</v>
      </c>
      <c r="K258" s="1">
        <f t="shared" si="48"/>
        <v>472.4</v>
      </c>
      <c r="L258" s="1">
        <v>2.4</v>
      </c>
      <c r="M258" s="1">
        <f t="shared" si="49"/>
        <v>240.20000000000013</v>
      </c>
      <c r="N258" s="8">
        <f t="shared" si="45"/>
        <v>-2.4</v>
      </c>
      <c r="O258" s="1">
        <f t="shared" si="42"/>
        <v>148.89999999999995</v>
      </c>
      <c r="P258" s="1">
        <v>219</v>
      </c>
      <c r="Q258" s="1">
        <v>1.1499999999999999</v>
      </c>
      <c r="R258" s="9">
        <f t="shared" si="46"/>
        <v>2.76</v>
      </c>
      <c r="S258" s="9">
        <f t="shared" si="43"/>
        <v>-2.76</v>
      </c>
      <c r="T258" s="9">
        <f t="shared" si="51"/>
        <v>140.12431818181818</v>
      </c>
      <c r="U258" s="28" t="s">
        <v>14</v>
      </c>
      <c r="V258" s="1">
        <v>1768.6</v>
      </c>
      <c r="W258" s="1">
        <f t="shared" si="44"/>
        <v>190.17204301075267</v>
      </c>
      <c r="X258" s="1">
        <f t="shared" si="50"/>
        <v>121571.90000000002</v>
      </c>
      <c r="Y258" s="1">
        <f t="shared" si="52"/>
        <v>6065.2000000000007</v>
      </c>
      <c r="Z258" s="28" t="s">
        <v>54</v>
      </c>
      <c r="AA258" s="1">
        <v>13.449786962723399</v>
      </c>
    </row>
    <row r="259" spans="1:27" s="1" customFormat="1" x14ac:dyDescent="0.25">
      <c r="A259" s="83"/>
      <c r="C259" s="3">
        <v>41740</v>
      </c>
      <c r="D259" s="1">
        <v>9.9</v>
      </c>
      <c r="E259" s="1">
        <v>5.5</v>
      </c>
      <c r="F259" s="1">
        <v>14.9</v>
      </c>
      <c r="G259" s="1">
        <f t="shared" si="47"/>
        <v>1860.9999999999995</v>
      </c>
      <c r="H259" s="21">
        <f t="shared" si="41"/>
        <v>65.300000000000011</v>
      </c>
      <c r="I259" s="9">
        <f>AVERAGE(D254:D274)</f>
        <v>10.623809523809525</v>
      </c>
      <c r="J259" s="1">
        <v>0</v>
      </c>
      <c r="K259" s="1">
        <f t="shared" si="48"/>
        <v>472.4</v>
      </c>
      <c r="L259" s="1">
        <v>2.1</v>
      </c>
      <c r="M259" s="1">
        <f t="shared" si="49"/>
        <v>242.30000000000013</v>
      </c>
      <c r="N259" s="8">
        <f t="shared" si="45"/>
        <v>-2.1</v>
      </c>
      <c r="O259" s="1">
        <f t="shared" si="42"/>
        <v>146.79999999999995</v>
      </c>
      <c r="P259" s="1">
        <v>220</v>
      </c>
      <c r="Q259" s="1">
        <v>1.1499999999999999</v>
      </c>
      <c r="R259" s="9">
        <f t="shared" si="46"/>
        <v>2.415</v>
      </c>
      <c r="S259" s="9">
        <f t="shared" si="43"/>
        <v>-2.415</v>
      </c>
      <c r="T259" s="9">
        <f t="shared" si="51"/>
        <v>137.70931818181819</v>
      </c>
      <c r="U259" s="9">
        <f>MIN(T254:T274)</f>
        <v>106.50431818181816</v>
      </c>
      <c r="V259" s="1">
        <v>1431</v>
      </c>
      <c r="W259" s="1">
        <f t="shared" si="44"/>
        <v>144.54545454545453</v>
      </c>
      <c r="X259" s="1">
        <f t="shared" si="50"/>
        <v>123002.90000000002</v>
      </c>
      <c r="Y259" s="1">
        <f t="shared" si="52"/>
        <v>7496.2000000000007</v>
      </c>
      <c r="Z259" s="1">
        <v>5</v>
      </c>
      <c r="AA259" s="1">
        <v>13.5100959025732</v>
      </c>
    </row>
    <row r="260" spans="1:27" s="1" customFormat="1" x14ac:dyDescent="0.25">
      <c r="A260" s="83"/>
      <c r="C260" s="3">
        <v>41741</v>
      </c>
      <c r="D260" s="1">
        <v>10</v>
      </c>
      <c r="E260" s="1">
        <v>6</v>
      </c>
      <c r="F260" s="1">
        <v>14</v>
      </c>
      <c r="G260" s="1">
        <f t="shared" si="47"/>
        <v>1870.9999999999995</v>
      </c>
      <c r="H260" s="21">
        <f t="shared" si="41"/>
        <v>75.300000000000011</v>
      </c>
      <c r="I260" s="28" t="s">
        <v>11</v>
      </c>
      <c r="J260" s="1">
        <v>0</v>
      </c>
      <c r="K260" s="1">
        <f t="shared" si="48"/>
        <v>472.4</v>
      </c>
      <c r="L260" s="1">
        <v>1.4</v>
      </c>
      <c r="M260" s="1">
        <f t="shared" si="49"/>
        <v>243.70000000000013</v>
      </c>
      <c r="N260" s="8">
        <f t="shared" si="45"/>
        <v>-1.4</v>
      </c>
      <c r="O260" s="1">
        <f t="shared" si="42"/>
        <v>145.39999999999995</v>
      </c>
      <c r="P260" s="1">
        <v>221</v>
      </c>
      <c r="Q260" s="1">
        <v>1.1499999999999999</v>
      </c>
      <c r="R260" s="9">
        <f t="shared" si="46"/>
        <v>1.6099999999999999</v>
      </c>
      <c r="S260" s="9">
        <f t="shared" si="43"/>
        <v>-1.6099999999999999</v>
      </c>
      <c r="T260" s="9">
        <f t="shared" si="51"/>
        <v>136.09931818181818</v>
      </c>
      <c r="U260" s="28" t="s">
        <v>16</v>
      </c>
      <c r="V260" s="10">
        <v>797.3</v>
      </c>
      <c r="W260" s="1">
        <f t="shared" si="44"/>
        <v>79.72999999999999</v>
      </c>
      <c r="X260" s="1">
        <f t="shared" si="50"/>
        <v>123800.20000000003</v>
      </c>
      <c r="Y260" s="1">
        <f t="shared" si="52"/>
        <v>8293.5</v>
      </c>
      <c r="AA260" s="1">
        <v>13.5702374217108</v>
      </c>
    </row>
    <row r="261" spans="1:27" s="1" customFormat="1" x14ac:dyDescent="0.25">
      <c r="A261" s="83"/>
      <c r="C261" s="3">
        <v>41742</v>
      </c>
      <c r="D261" s="1">
        <v>10.1</v>
      </c>
      <c r="E261" s="1">
        <v>7.3</v>
      </c>
      <c r="F261" s="1">
        <v>13.9</v>
      </c>
      <c r="G261" s="1">
        <f t="shared" si="47"/>
        <v>1881.0999999999995</v>
      </c>
      <c r="H261" s="21">
        <f t="shared" si="41"/>
        <v>85.4</v>
      </c>
      <c r="I261" s="1">
        <v>0</v>
      </c>
      <c r="J261" s="1">
        <v>0</v>
      </c>
      <c r="K261" s="1">
        <f t="shared" si="48"/>
        <v>472.4</v>
      </c>
      <c r="L261" s="1">
        <v>2.2999999999999998</v>
      </c>
      <c r="M261" s="1">
        <f t="shared" si="49"/>
        <v>246.00000000000014</v>
      </c>
      <c r="N261" s="8">
        <f t="shared" si="45"/>
        <v>-2.2999999999999998</v>
      </c>
      <c r="O261" s="1">
        <f t="shared" si="42"/>
        <v>143.09999999999994</v>
      </c>
      <c r="P261" s="1">
        <v>222</v>
      </c>
      <c r="Q261" s="1">
        <v>1.1499999999999999</v>
      </c>
      <c r="R261" s="9">
        <f t="shared" si="46"/>
        <v>2.6449999999999996</v>
      </c>
      <c r="S261" s="9">
        <f t="shared" si="43"/>
        <v>-2.6449999999999996</v>
      </c>
      <c r="T261" s="9">
        <f t="shared" si="51"/>
        <v>133.45431818181817</v>
      </c>
      <c r="U261" s="9">
        <f>MAX(T254:T274)</f>
        <v>146.72931818181817</v>
      </c>
      <c r="V261" s="1">
        <v>1409.4</v>
      </c>
      <c r="W261" s="1">
        <f t="shared" si="44"/>
        <v>139.54455445544556</v>
      </c>
      <c r="X261" s="1">
        <f t="shared" si="50"/>
        <v>125209.60000000002</v>
      </c>
      <c r="Y261" s="1">
        <f t="shared" si="52"/>
        <v>9702.9</v>
      </c>
      <c r="AA261" s="1">
        <v>13.630201800534</v>
      </c>
    </row>
    <row r="262" spans="1:27" s="1" customFormat="1" x14ac:dyDescent="0.25">
      <c r="A262" s="83"/>
      <c r="C262" s="3">
        <v>41743</v>
      </c>
      <c r="D262" s="1">
        <v>8.9</v>
      </c>
      <c r="E262" s="1">
        <v>5.6</v>
      </c>
      <c r="F262" s="1">
        <v>13.3</v>
      </c>
      <c r="G262" s="1">
        <f t="shared" si="47"/>
        <v>1889.9999999999995</v>
      </c>
      <c r="H262" s="21">
        <f t="shared" si="41"/>
        <v>94.300000000000011</v>
      </c>
      <c r="I262" s="28" t="s">
        <v>13</v>
      </c>
      <c r="J262" s="1">
        <v>0</v>
      </c>
      <c r="K262" s="1">
        <f t="shared" si="48"/>
        <v>472.4</v>
      </c>
      <c r="L262" s="1">
        <v>2.4</v>
      </c>
      <c r="M262" s="1">
        <f t="shared" si="49"/>
        <v>248.40000000000015</v>
      </c>
      <c r="N262" s="8">
        <f t="shared" si="45"/>
        <v>-2.4</v>
      </c>
      <c r="O262" s="1">
        <f t="shared" si="42"/>
        <v>140.69999999999993</v>
      </c>
      <c r="P262" s="1">
        <v>223</v>
      </c>
      <c r="Q262" s="1">
        <v>1.1499999999999999</v>
      </c>
      <c r="R262" s="9">
        <f t="shared" si="46"/>
        <v>2.76</v>
      </c>
      <c r="S262" s="9">
        <f t="shared" si="43"/>
        <v>-2.76</v>
      </c>
      <c r="T262" s="9">
        <f t="shared" si="51"/>
        <v>130.69431818181818</v>
      </c>
      <c r="U262" s="28" t="s">
        <v>18</v>
      </c>
      <c r="V262" s="1">
        <v>1429.3</v>
      </c>
      <c r="W262" s="1">
        <f t="shared" si="44"/>
        <v>160.59550561797752</v>
      </c>
      <c r="X262" s="1">
        <f t="shared" si="50"/>
        <v>126638.90000000002</v>
      </c>
      <c r="Y262" s="1">
        <f t="shared" si="52"/>
        <v>11132.199999999999</v>
      </c>
      <c r="AA262" s="1">
        <v>13.689978942358101</v>
      </c>
    </row>
    <row r="263" spans="1:27" s="1" customFormat="1" x14ac:dyDescent="0.25">
      <c r="A263" s="83"/>
      <c r="C263" s="3">
        <v>41744</v>
      </c>
      <c r="D263" s="1">
        <v>7.4</v>
      </c>
      <c r="E263" s="12">
        <v>3.4</v>
      </c>
      <c r="F263" s="1">
        <v>12.2</v>
      </c>
      <c r="G263" s="1">
        <f t="shared" si="47"/>
        <v>1897.3999999999996</v>
      </c>
      <c r="H263" s="21">
        <f t="shared" si="41"/>
        <v>101.70000000000002</v>
      </c>
      <c r="I263" s="1">
        <v>0</v>
      </c>
      <c r="J263" s="1">
        <v>0</v>
      </c>
      <c r="K263" s="1">
        <f t="shared" si="48"/>
        <v>472.4</v>
      </c>
      <c r="L263" s="1">
        <v>2.2999999999999998</v>
      </c>
      <c r="M263" s="1">
        <f t="shared" si="49"/>
        <v>250.70000000000016</v>
      </c>
      <c r="N263" s="8">
        <f t="shared" si="45"/>
        <v>-2.2999999999999998</v>
      </c>
      <c r="O263" s="1">
        <f t="shared" si="42"/>
        <v>138.39999999999992</v>
      </c>
      <c r="P263" s="1">
        <v>224</v>
      </c>
      <c r="Q263" s="1">
        <v>1.1499999999999999</v>
      </c>
      <c r="R263" s="9">
        <f t="shared" si="46"/>
        <v>2.6449999999999996</v>
      </c>
      <c r="S263" s="9">
        <f t="shared" si="43"/>
        <v>-2.6449999999999996</v>
      </c>
      <c r="T263" s="9">
        <f t="shared" si="51"/>
        <v>128.04931818181817</v>
      </c>
      <c r="U263" s="11">
        <f>AVERAGE(T254:T274)</f>
        <v>124.42408008658008</v>
      </c>
      <c r="V263" s="1">
        <v>1530</v>
      </c>
      <c r="W263" s="1">
        <f t="shared" si="44"/>
        <v>206.75675675675674</v>
      </c>
      <c r="X263" s="1">
        <f t="shared" si="50"/>
        <v>128168.90000000002</v>
      </c>
      <c r="Y263" s="1">
        <f t="shared" si="52"/>
        <v>12662.199999999999</v>
      </c>
      <c r="AA263" s="1">
        <v>13.7495583571237</v>
      </c>
    </row>
    <row r="264" spans="1:27" s="1" customFormat="1" x14ac:dyDescent="0.25">
      <c r="A264" s="83"/>
      <c r="C264" s="3">
        <v>41745</v>
      </c>
      <c r="D264" s="1">
        <v>8.6</v>
      </c>
      <c r="E264" s="12">
        <v>3.2</v>
      </c>
      <c r="F264" s="1">
        <v>13.8</v>
      </c>
      <c r="G264" s="1">
        <f t="shared" si="47"/>
        <v>1905.9999999999995</v>
      </c>
      <c r="H264" s="21">
        <f t="shared" si="41"/>
        <v>110.30000000000001</v>
      </c>
      <c r="I264" s="28" t="s">
        <v>15</v>
      </c>
      <c r="J264" s="1">
        <v>0</v>
      </c>
      <c r="K264" s="1">
        <f t="shared" si="48"/>
        <v>472.4</v>
      </c>
      <c r="L264" s="1">
        <v>3.1</v>
      </c>
      <c r="M264" s="1">
        <f t="shared" si="49"/>
        <v>253.80000000000015</v>
      </c>
      <c r="N264" s="8">
        <f t="shared" si="45"/>
        <v>-3.1</v>
      </c>
      <c r="O264" s="1">
        <f t="shared" si="42"/>
        <v>135.29999999999993</v>
      </c>
      <c r="P264" s="1">
        <v>225</v>
      </c>
      <c r="Q264" s="1">
        <v>1.1499999999999999</v>
      </c>
      <c r="R264" s="9">
        <f t="shared" si="46"/>
        <v>3.5649999999999999</v>
      </c>
      <c r="S264" s="9">
        <f t="shared" si="43"/>
        <v>-3.5649999999999999</v>
      </c>
      <c r="T264" s="9">
        <f t="shared" si="51"/>
        <v>124.48431818181817</v>
      </c>
      <c r="U264" s="9">
        <f>(U263*100)/189.6</f>
        <v>65.624514813597088</v>
      </c>
      <c r="V264" s="1">
        <v>2254.9</v>
      </c>
      <c r="W264" s="1">
        <f t="shared" si="44"/>
        <v>262.19767441860466</v>
      </c>
      <c r="X264" s="1">
        <f t="shared" si="50"/>
        <v>130423.80000000002</v>
      </c>
      <c r="Y264" s="1">
        <f t="shared" si="52"/>
        <v>14917.099999999999</v>
      </c>
      <c r="AA264" s="1">
        <v>13.808929145378301</v>
      </c>
    </row>
    <row r="265" spans="1:27" s="1" customFormat="1" x14ac:dyDescent="0.25">
      <c r="A265" s="83"/>
      <c r="C265" s="3">
        <v>41746</v>
      </c>
      <c r="D265" s="1">
        <v>11.1</v>
      </c>
      <c r="E265" s="12">
        <v>4.0999999999999996</v>
      </c>
      <c r="F265" s="1">
        <v>16.8</v>
      </c>
      <c r="G265" s="1">
        <f t="shared" si="47"/>
        <v>1917.0999999999995</v>
      </c>
      <c r="H265" s="21">
        <f t="shared" si="41"/>
        <v>121.4</v>
      </c>
      <c r="I265" s="1">
        <v>6</v>
      </c>
      <c r="J265" s="1">
        <v>0</v>
      </c>
      <c r="K265" s="1">
        <f t="shared" si="48"/>
        <v>472.4</v>
      </c>
      <c r="L265" s="1">
        <v>2.9</v>
      </c>
      <c r="M265" s="1">
        <f t="shared" si="49"/>
        <v>256.70000000000016</v>
      </c>
      <c r="N265" s="8">
        <f t="shared" si="45"/>
        <v>-2.9</v>
      </c>
      <c r="O265" s="1">
        <f t="shared" si="42"/>
        <v>132.39999999999992</v>
      </c>
      <c r="P265" s="1">
        <v>226</v>
      </c>
      <c r="Q265" s="1">
        <v>1.1499999999999999</v>
      </c>
      <c r="R265" s="9">
        <f t="shared" si="46"/>
        <v>3.3349999999999995</v>
      </c>
      <c r="S265" s="9">
        <f t="shared" si="43"/>
        <v>-3.3349999999999995</v>
      </c>
      <c r="T265" s="9">
        <f t="shared" si="51"/>
        <v>121.14931818181817</v>
      </c>
      <c r="V265" s="1">
        <v>1925.3</v>
      </c>
      <c r="W265" s="1">
        <f t="shared" si="44"/>
        <v>173.45045045045046</v>
      </c>
      <c r="X265" s="1">
        <f t="shared" si="50"/>
        <v>132349.1</v>
      </c>
      <c r="Y265" s="1">
        <f t="shared" si="52"/>
        <v>16842.399999999998</v>
      </c>
      <c r="AA265" s="1">
        <v>13.868079982568</v>
      </c>
    </row>
    <row r="266" spans="1:27" s="1" customFormat="1" x14ac:dyDescent="0.25">
      <c r="A266" s="83"/>
      <c r="C266" s="3">
        <v>41747</v>
      </c>
      <c r="D266" s="1">
        <v>9.3000000000000007</v>
      </c>
      <c r="E266" s="1">
        <v>8.8000000000000007</v>
      </c>
      <c r="F266" s="1">
        <v>11.7</v>
      </c>
      <c r="G266" s="1">
        <f t="shared" si="47"/>
        <v>1926.3999999999994</v>
      </c>
      <c r="H266" s="21">
        <f t="shared" si="41"/>
        <v>130.70000000000002</v>
      </c>
      <c r="I266" s="28" t="s">
        <v>17</v>
      </c>
      <c r="J266" s="1">
        <v>0</v>
      </c>
      <c r="K266" s="1">
        <f t="shared" si="48"/>
        <v>472.4</v>
      </c>
      <c r="L266" s="1">
        <v>3.3</v>
      </c>
      <c r="M266" s="1">
        <f t="shared" si="49"/>
        <v>260.00000000000017</v>
      </c>
      <c r="N266" s="8">
        <f t="shared" si="45"/>
        <v>-3.3</v>
      </c>
      <c r="O266" s="1">
        <f t="shared" si="42"/>
        <v>129.09999999999991</v>
      </c>
      <c r="P266" s="1">
        <v>227</v>
      </c>
      <c r="Q266" s="1">
        <v>1.1499999999999999</v>
      </c>
      <c r="R266" s="9">
        <f t="shared" si="46"/>
        <v>3.7949999999999995</v>
      </c>
      <c r="S266" s="9">
        <f t="shared" si="43"/>
        <v>-3.7949999999999995</v>
      </c>
      <c r="T266" s="9">
        <f t="shared" si="51"/>
        <v>117.35431818181817</v>
      </c>
      <c r="V266" s="1">
        <v>1921.9</v>
      </c>
      <c r="W266" s="1">
        <f t="shared" si="44"/>
        <v>206.65591397849462</v>
      </c>
      <c r="X266" s="1">
        <f t="shared" si="50"/>
        <v>134271</v>
      </c>
      <c r="Y266" s="1">
        <f t="shared" si="52"/>
        <v>18764.3</v>
      </c>
      <c r="AA266" s="1">
        <v>13.9269991036858</v>
      </c>
    </row>
    <row r="267" spans="1:27" s="1" customFormat="1" x14ac:dyDescent="0.25">
      <c r="A267" s="83"/>
      <c r="C267" s="3">
        <v>41748</v>
      </c>
      <c r="D267" s="1">
        <v>9.3000000000000007</v>
      </c>
      <c r="E267" s="12">
        <v>3.7</v>
      </c>
      <c r="F267" s="1">
        <v>12.6</v>
      </c>
      <c r="G267" s="1">
        <f t="shared" si="47"/>
        <v>1935.6999999999994</v>
      </c>
      <c r="H267" s="21">
        <f t="shared" si="41"/>
        <v>140.00000000000003</v>
      </c>
      <c r="I267" s="1">
        <v>223.1</v>
      </c>
      <c r="J267" s="1">
        <v>0</v>
      </c>
      <c r="K267" s="1">
        <f t="shared" si="48"/>
        <v>472.4</v>
      </c>
      <c r="L267" s="1">
        <v>2.5</v>
      </c>
      <c r="M267" s="1">
        <f t="shared" si="49"/>
        <v>262.50000000000017</v>
      </c>
      <c r="N267" s="8">
        <f t="shared" si="45"/>
        <v>-2.5</v>
      </c>
      <c r="O267" s="1">
        <f t="shared" si="42"/>
        <v>126.59999999999991</v>
      </c>
      <c r="P267" s="1">
        <v>228</v>
      </c>
      <c r="Q267" s="1">
        <v>1.1499999999999999</v>
      </c>
      <c r="R267" s="9">
        <f t="shared" si="46"/>
        <v>2.875</v>
      </c>
      <c r="S267" s="9">
        <f t="shared" si="43"/>
        <v>-2.875</v>
      </c>
      <c r="T267" s="9">
        <f t="shared" si="51"/>
        <v>114.47931818181817</v>
      </c>
      <c r="V267" s="1">
        <v>1771.6</v>
      </c>
      <c r="W267" s="1">
        <f t="shared" si="44"/>
        <v>190.49462365591395</v>
      </c>
      <c r="X267" s="1">
        <f t="shared" si="50"/>
        <v>136042.6</v>
      </c>
      <c r="Y267" s="1">
        <f t="shared" si="52"/>
        <v>20535.899999999998</v>
      </c>
      <c r="AA267" s="1">
        <v>13.9856742883214</v>
      </c>
    </row>
    <row r="268" spans="1:27" s="1" customFormat="1" x14ac:dyDescent="0.25">
      <c r="A268" s="83"/>
      <c r="C268" s="3">
        <v>41749</v>
      </c>
      <c r="D268" s="1">
        <v>12.4</v>
      </c>
      <c r="E268" s="1">
        <v>10.7</v>
      </c>
      <c r="F268" s="1">
        <v>15.3</v>
      </c>
      <c r="G268" s="1">
        <f t="shared" si="47"/>
        <v>1948.0999999999995</v>
      </c>
      <c r="H268" s="21">
        <f t="shared" si="41"/>
        <v>152.40000000000003</v>
      </c>
      <c r="J268" s="1">
        <v>0</v>
      </c>
      <c r="K268" s="1">
        <f t="shared" si="48"/>
        <v>472.4</v>
      </c>
      <c r="L268" s="1">
        <v>2.4</v>
      </c>
      <c r="M268" s="1">
        <f t="shared" si="49"/>
        <v>264.90000000000015</v>
      </c>
      <c r="N268" s="8">
        <f t="shared" si="45"/>
        <v>-2.4</v>
      </c>
      <c r="O268" s="1">
        <f t="shared" si="42"/>
        <v>124.1999999999999</v>
      </c>
      <c r="P268" s="1">
        <v>229</v>
      </c>
      <c r="Q268" s="1">
        <v>1.1499999999999999</v>
      </c>
      <c r="R268" s="9">
        <f t="shared" si="46"/>
        <v>2.76</v>
      </c>
      <c r="S268" s="9">
        <f t="shared" si="43"/>
        <v>-2.76</v>
      </c>
      <c r="T268" s="9">
        <f t="shared" si="51"/>
        <v>111.71931818181817</v>
      </c>
      <c r="V268" s="1">
        <v>953.6</v>
      </c>
      <c r="W268" s="1">
        <f t="shared" si="44"/>
        <v>76.903225806451616</v>
      </c>
      <c r="X268" s="1">
        <f t="shared" si="50"/>
        <v>136996.20000000001</v>
      </c>
      <c r="Y268" s="1">
        <f t="shared" si="52"/>
        <v>21489.499999999996</v>
      </c>
      <c r="AA268" s="1">
        <v>14.044092846166601</v>
      </c>
    </row>
    <row r="269" spans="1:27" s="1" customFormat="1" x14ac:dyDescent="0.25">
      <c r="A269" s="83"/>
      <c r="C269" s="3">
        <v>41750</v>
      </c>
      <c r="D269" s="1">
        <v>11.2</v>
      </c>
      <c r="E269" s="1">
        <v>6.1</v>
      </c>
      <c r="F269" s="1">
        <v>16.2</v>
      </c>
      <c r="G269" s="1">
        <f t="shared" si="47"/>
        <v>1959.2999999999995</v>
      </c>
      <c r="H269" s="21">
        <f t="shared" si="41"/>
        <v>163.60000000000002</v>
      </c>
      <c r="J269" s="1">
        <v>0</v>
      </c>
      <c r="K269" s="1">
        <f t="shared" si="48"/>
        <v>472.4</v>
      </c>
      <c r="L269" s="1">
        <v>1.8</v>
      </c>
      <c r="M269" s="1">
        <f t="shared" si="49"/>
        <v>266.70000000000016</v>
      </c>
      <c r="N269" s="8">
        <f t="shared" si="45"/>
        <v>-1.8</v>
      </c>
      <c r="O269" s="1">
        <f t="shared" si="42"/>
        <v>122.39999999999991</v>
      </c>
      <c r="P269" s="1">
        <v>230</v>
      </c>
      <c r="Q269" s="1">
        <v>1.1499999999999999</v>
      </c>
      <c r="R269" s="9">
        <f t="shared" si="46"/>
        <v>2.0699999999999998</v>
      </c>
      <c r="S269" s="9">
        <f t="shared" si="43"/>
        <v>-2.0699999999999998</v>
      </c>
      <c r="T269" s="9">
        <f t="shared" si="51"/>
        <v>109.64931818181817</v>
      </c>
      <c r="V269" s="1">
        <v>1067.0999999999999</v>
      </c>
      <c r="W269" s="1">
        <f t="shared" si="44"/>
        <v>95.276785714285708</v>
      </c>
      <c r="X269" s="1">
        <f t="shared" si="50"/>
        <v>138063.30000000002</v>
      </c>
      <c r="Y269" s="1">
        <f t="shared" si="52"/>
        <v>22556.599999999995</v>
      </c>
      <c r="AA269" s="1">
        <v>14.102241603031301</v>
      </c>
    </row>
    <row r="270" spans="1:27" s="1" customFormat="1" x14ac:dyDescent="0.25">
      <c r="A270" s="83"/>
      <c r="C270" s="3">
        <v>41751</v>
      </c>
      <c r="D270" s="1">
        <v>12</v>
      </c>
      <c r="E270" s="1">
        <v>9.4</v>
      </c>
      <c r="F270" s="1">
        <v>17.600000000000001</v>
      </c>
      <c r="G270" s="1">
        <f t="shared" si="47"/>
        <v>1971.2999999999995</v>
      </c>
      <c r="H270" s="21">
        <f t="shared" si="41"/>
        <v>175.60000000000002</v>
      </c>
      <c r="J270" s="1">
        <v>1.8</v>
      </c>
      <c r="K270" s="1">
        <f t="shared" si="48"/>
        <v>474.2</v>
      </c>
      <c r="L270" s="1">
        <v>2.2000000000000002</v>
      </c>
      <c r="M270" s="1">
        <f t="shared" si="49"/>
        <v>268.90000000000015</v>
      </c>
      <c r="N270" s="8">
        <f t="shared" si="45"/>
        <v>-0.40000000000000013</v>
      </c>
      <c r="O270" s="1">
        <f t="shared" si="42"/>
        <v>121.9999999999999</v>
      </c>
      <c r="P270" s="1">
        <v>231</v>
      </c>
      <c r="Q270" s="1">
        <v>1.1499999999999999</v>
      </c>
      <c r="R270" s="9">
        <f t="shared" si="46"/>
        <v>2.5299999999999998</v>
      </c>
      <c r="S270" s="9">
        <f t="shared" si="43"/>
        <v>-0.72999999999999976</v>
      </c>
      <c r="T270" s="9">
        <f t="shared" si="51"/>
        <v>108.91931818181817</v>
      </c>
      <c r="V270" s="1">
        <v>1164.9000000000001</v>
      </c>
      <c r="W270" s="1">
        <f t="shared" si="44"/>
        <v>97.075000000000003</v>
      </c>
      <c r="X270" s="1">
        <f t="shared" si="50"/>
        <v>139228.20000000001</v>
      </c>
      <c r="Y270" s="1">
        <f t="shared" si="52"/>
        <v>23721.499999999996</v>
      </c>
      <c r="AA270" s="1">
        <v>14.1601068874331</v>
      </c>
    </row>
    <row r="271" spans="1:27" s="1" customFormat="1" x14ac:dyDescent="0.25">
      <c r="A271" s="83"/>
      <c r="C271" s="3">
        <v>41752</v>
      </c>
      <c r="D271" s="1">
        <v>12.4</v>
      </c>
      <c r="E271" s="1">
        <v>6.6</v>
      </c>
      <c r="F271" s="1">
        <v>17.7</v>
      </c>
      <c r="G271" s="1">
        <f t="shared" si="47"/>
        <v>1983.6999999999996</v>
      </c>
      <c r="H271" s="21">
        <f t="shared" si="41"/>
        <v>188.00000000000003</v>
      </c>
      <c r="J271" s="1">
        <v>0</v>
      </c>
      <c r="K271" s="1">
        <f t="shared" si="48"/>
        <v>474.2</v>
      </c>
      <c r="L271" s="1">
        <v>2.1</v>
      </c>
      <c r="M271" s="1">
        <f t="shared" si="49"/>
        <v>271.00000000000017</v>
      </c>
      <c r="N271" s="8">
        <f t="shared" si="45"/>
        <v>-2.1</v>
      </c>
      <c r="O271" s="1">
        <f t="shared" si="42"/>
        <v>119.89999999999991</v>
      </c>
      <c r="P271" s="1">
        <v>232</v>
      </c>
      <c r="Q271" s="1">
        <v>1.1499999999999999</v>
      </c>
      <c r="R271" s="9">
        <f t="shared" si="46"/>
        <v>2.415</v>
      </c>
      <c r="S271" s="9">
        <f t="shared" si="43"/>
        <v>-2.415</v>
      </c>
      <c r="T271" s="9">
        <f t="shared" si="51"/>
        <v>106.50431818181816</v>
      </c>
      <c r="V271" s="1">
        <v>1399.3</v>
      </c>
      <c r="W271" s="1">
        <f t="shared" si="44"/>
        <v>112.84677419354838</v>
      </c>
      <c r="X271" s="1">
        <f t="shared" si="50"/>
        <v>140627.5</v>
      </c>
      <c r="Y271" s="1">
        <f t="shared" si="52"/>
        <v>25120.799999999996</v>
      </c>
      <c r="AA271" s="1">
        <v>14.2176745178259</v>
      </c>
    </row>
    <row r="272" spans="1:27" s="1" customFormat="1" x14ac:dyDescent="0.25">
      <c r="A272" s="83"/>
      <c r="C272" s="3">
        <v>41753</v>
      </c>
      <c r="D272" s="1">
        <v>13.2</v>
      </c>
      <c r="E272" s="1">
        <v>10.1</v>
      </c>
      <c r="F272" s="1">
        <v>16</v>
      </c>
      <c r="G272" s="1">
        <f t="shared" si="47"/>
        <v>1996.8999999999996</v>
      </c>
      <c r="H272" s="21">
        <f t="shared" si="41"/>
        <v>201.20000000000002</v>
      </c>
      <c r="J272" s="1">
        <v>1.4</v>
      </c>
      <c r="K272" s="1">
        <f t="shared" si="48"/>
        <v>475.59999999999997</v>
      </c>
      <c r="L272" s="1">
        <v>1</v>
      </c>
      <c r="M272" s="1">
        <f t="shared" si="49"/>
        <v>272.00000000000017</v>
      </c>
      <c r="N272" s="1">
        <f t="shared" si="45"/>
        <v>0.39999999999999991</v>
      </c>
      <c r="O272" s="1">
        <f t="shared" si="42"/>
        <v>120.29999999999991</v>
      </c>
      <c r="P272" s="1">
        <v>233</v>
      </c>
      <c r="Q272" s="1">
        <v>1.1499999999999999</v>
      </c>
      <c r="R272" s="9">
        <f t="shared" si="46"/>
        <v>1.1499999999999999</v>
      </c>
      <c r="S272" s="9">
        <f t="shared" si="43"/>
        <v>0.25</v>
      </c>
      <c r="T272" s="9">
        <f t="shared" si="51"/>
        <v>106.75431818181816</v>
      </c>
      <c r="V272" s="10">
        <v>535.9</v>
      </c>
      <c r="W272" s="1">
        <f t="shared" si="44"/>
        <v>40.598484848484851</v>
      </c>
      <c r="X272" s="1">
        <f t="shared" si="50"/>
        <v>141163.4</v>
      </c>
      <c r="Y272" s="1">
        <f t="shared" si="52"/>
        <v>25656.699999999997</v>
      </c>
      <c r="AA272" s="1">
        <v>14.274929790539</v>
      </c>
    </row>
    <row r="273" spans="1:27" s="1" customFormat="1" x14ac:dyDescent="0.25">
      <c r="A273" s="83"/>
      <c r="C273" s="3">
        <v>41754</v>
      </c>
      <c r="D273" s="1">
        <v>12.5</v>
      </c>
      <c r="E273" s="1">
        <v>12</v>
      </c>
      <c r="F273" s="1">
        <v>16.2</v>
      </c>
      <c r="G273" s="1">
        <f t="shared" si="47"/>
        <v>2009.3999999999996</v>
      </c>
      <c r="H273" s="21">
        <f t="shared" si="41"/>
        <v>213.70000000000002</v>
      </c>
      <c r="J273" s="1">
        <v>2.2000000000000002</v>
      </c>
      <c r="K273" s="1">
        <f t="shared" si="48"/>
        <v>477.79999999999995</v>
      </c>
      <c r="L273" s="1">
        <v>1.9</v>
      </c>
      <c r="M273" s="1">
        <f t="shared" si="49"/>
        <v>273.90000000000015</v>
      </c>
      <c r="N273" s="1">
        <f t="shared" si="45"/>
        <v>0.30000000000000027</v>
      </c>
      <c r="O273" s="1">
        <f t="shared" si="42"/>
        <v>120.59999999999991</v>
      </c>
      <c r="P273" s="1">
        <v>234</v>
      </c>
      <c r="Q273" s="1">
        <v>1.1499999999999999</v>
      </c>
      <c r="R273" s="9">
        <f t="shared" si="46"/>
        <v>2.1849999999999996</v>
      </c>
      <c r="S273" s="9">
        <f t="shared" si="43"/>
        <v>1.5000000000000568E-2</v>
      </c>
      <c r="T273" s="9">
        <f t="shared" si="51"/>
        <v>106.76931818181816</v>
      </c>
      <c r="V273" s="1">
        <v>950.4</v>
      </c>
      <c r="W273" s="1">
        <f t="shared" si="44"/>
        <v>76.031999999999996</v>
      </c>
      <c r="X273" s="1">
        <f t="shared" si="50"/>
        <v>142113.79999999999</v>
      </c>
      <c r="Y273" s="1">
        <f t="shared" si="52"/>
        <v>26607.1</v>
      </c>
      <c r="AA273" s="1">
        <v>14.3318574685045</v>
      </c>
    </row>
    <row r="274" spans="1:27" s="42" customFormat="1" ht="15.75" thickBot="1" x14ac:dyDescent="0.3">
      <c r="A274" s="83"/>
      <c r="B274" s="46" t="s">
        <v>23</v>
      </c>
      <c r="C274" s="64">
        <v>41755</v>
      </c>
      <c r="D274" s="42">
        <v>9.4</v>
      </c>
      <c r="E274" s="42">
        <v>6.8</v>
      </c>
      <c r="F274" s="42">
        <v>11.6</v>
      </c>
      <c r="G274" s="42">
        <f t="shared" si="47"/>
        <v>2018.7999999999997</v>
      </c>
      <c r="H274" s="65">
        <f t="shared" ref="H274:H337" si="53">H273+D274</f>
        <v>223.10000000000002</v>
      </c>
      <c r="J274" s="42">
        <v>3.4</v>
      </c>
      <c r="K274" s="42">
        <f t="shared" si="48"/>
        <v>481.19999999999993</v>
      </c>
      <c r="L274" s="42">
        <v>0.8</v>
      </c>
      <c r="M274" s="42">
        <f t="shared" si="49"/>
        <v>274.70000000000016</v>
      </c>
      <c r="N274" s="42">
        <f t="shared" si="45"/>
        <v>2.5999999999999996</v>
      </c>
      <c r="O274" s="42">
        <f t="shared" si="42"/>
        <v>123.1999999999999</v>
      </c>
      <c r="P274" s="42">
        <v>235</v>
      </c>
      <c r="Q274" s="42">
        <v>1.1499999999999999</v>
      </c>
      <c r="R274" s="44">
        <f t="shared" si="46"/>
        <v>0.91999999999999993</v>
      </c>
      <c r="S274" s="44">
        <f t="shared" si="43"/>
        <v>2.48</v>
      </c>
      <c r="T274" s="44">
        <f t="shared" si="51"/>
        <v>109.24931818181817</v>
      </c>
      <c r="V274" s="66">
        <v>623.6</v>
      </c>
      <c r="W274" s="42">
        <f t="shared" si="44"/>
        <v>66.340425531914889</v>
      </c>
      <c r="X274" s="42">
        <f t="shared" si="50"/>
        <v>142737.4</v>
      </c>
      <c r="Y274" s="42">
        <f t="shared" si="52"/>
        <v>27230.699999999997</v>
      </c>
      <c r="AA274" s="42">
        <v>14.3884417708522</v>
      </c>
    </row>
    <row r="275" spans="1:27" s="21" customFormat="1" x14ac:dyDescent="0.25">
      <c r="A275" s="72">
        <v>300</v>
      </c>
      <c r="C275" s="57">
        <v>41756</v>
      </c>
      <c r="D275" s="21">
        <v>9.6999999999999993</v>
      </c>
      <c r="E275" s="21">
        <v>7.2</v>
      </c>
      <c r="F275" s="21">
        <v>12.7</v>
      </c>
      <c r="G275" s="21">
        <f t="shared" si="47"/>
        <v>2028.4999999999998</v>
      </c>
      <c r="H275" s="21">
        <f>D275</f>
        <v>9.6999999999999993</v>
      </c>
      <c r="I275" s="31" t="s">
        <v>2</v>
      </c>
      <c r="J275" s="21">
        <v>1</v>
      </c>
      <c r="K275" s="21">
        <f t="shared" si="48"/>
        <v>482.19999999999993</v>
      </c>
      <c r="L275" s="21">
        <v>1.1000000000000001</v>
      </c>
      <c r="M275" s="21">
        <f t="shared" si="49"/>
        <v>275.80000000000018</v>
      </c>
      <c r="N275" s="60">
        <f t="shared" si="45"/>
        <v>-0.10000000000000009</v>
      </c>
      <c r="O275" s="21">
        <f t="shared" si="42"/>
        <v>123.09999999999991</v>
      </c>
      <c r="P275" s="21">
        <v>236</v>
      </c>
      <c r="Q275" s="21">
        <v>1.1499999999999999</v>
      </c>
      <c r="R275" s="22">
        <f t="shared" si="46"/>
        <v>1.2649999999999999</v>
      </c>
      <c r="S275" s="22">
        <f t="shared" si="43"/>
        <v>-0.2649999999999999</v>
      </c>
      <c r="T275" s="22">
        <f t="shared" si="51"/>
        <v>108.98431818181817</v>
      </c>
      <c r="U275" s="31" t="s">
        <v>9</v>
      </c>
      <c r="V275" s="59">
        <v>744.8</v>
      </c>
      <c r="W275" s="21">
        <f t="shared" si="44"/>
        <v>76.783505154639172</v>
      </c>
      <c r="X275" s="21">
        <f t="shared" si="50"/>
        <v>143482.19999999998</v>
      </c>
      <c r="Y275" s="1">
        <f>V275</f>
        <v>744.8</v>
      </c>
      <c r="Z275" s="31" t="s">
        <v>4</v>
      </c>
      <c r="AA275" s="21">
        <v>14.4446663634609</v>
      </c>
    </row>
    <row r="276" spans="1:27" s="30" customFormat="1" ht="15" customHeight="1" x14ac:dyDescent="0.25">
      <c r="A276" s="72"/>
      <c r="B276" s="17"/>
      <c r="C276" s="29">
        <v>41757</v>
      </c>
      <c r="D276" s="21">
        <v>10.7</v>
      </c>
      <c r="E276" s="21">
        <v>7</v>
      </c>
      <c r="F276" s="21">
        <v>13.7</v>
      </c>
      <c r="G276" s="21">
        <f t="shared" si="47"/>
        <v>2039.1999999999998</v>
      </c>
      <c r="H276" s="21">
        <f t="shared" si="53"/>
        <v>20.399999999999999</v>
      </c>
      <c r="I276" s="1">
        <f>MIN(E275:E299)</f>
        <v>4.3</v>
      </c>
      <c r="J276" s="21">
        <v>0</v>
      </c>
      <c r="K276" s="21">
        <f t="shared" si="48"/>
        <v>482.19999999999993</v>
      </c>
      <c r="L276" s="21">
        <v>1.8</v>
      </c>
      <c r="M276" s="21">
        <f t="shared" si="49"/>
        <v>277.60000000000019</v>
      </c>
      <c r="N276" s="21">
        <f t="shared" si="45"/>
        <v>-1.8</v>
      </c>
      <c r="O276" s="21">
        <f t="shared" si="42"/>
        <v>121.29999999999991</v>
      </c>
      <c r="P276" s="21">
        <v>237</v>
      </c>
      <c r="Q276" s="21">
        <v>1.1499999999999999</v>
      </c>
      <c r="R276" s="22">
        <f t="shared" si="46"/>
        <v>2.0699999999999998</v>
      </c>
      <c r="S276" s="22">
        <f t="shared" si="43"/>
        <v>-2.0699999999999998</v>
      </c>
      <c r="T276" s="9">
        <f t="shared" si="51"/>
        <v>106.91431818181817</v>
      </c>
      <c r="U276" s="1">
        <v>0</v>
      </c>
      <c r="V276" s="21">
        <v>1398.1</v>
      </c>
      <c r="W276" s="21">
        <f t="shared" si="44"/>
        <v>130.66355140186917</v>
      </c>
      <c r="X276" s="21">
        <f t="shared" si="50"/>
        <v>144880.29999999999</v>
      </c>
      <c r="Y276" s="1">
        <f t="shared" si="52"/>
        <v>2142.8999999999996</v>
      </c>
      <c r="Z276" s="1">
        <v>37198.9</v>
      </c>
      <c r="AA276" s="1">
        <v>14.5005143505566</v>
      </c>
    </row>
    <row r="277" spans="1:27" s="1" customFormat="1" ht="15" customHeight="1" x14ac:dyDescent="0.25">
      <c r="A277" s="72"/>
      <c r="B277" s="5"/>
      <c r="C277" s="3">
        <v>41758</v>
      </c>
      <c r="D277" s="1">
        <v>11.5</v>
      </c>
      <c r="E277" s="1">
        <v>6.8</v>
      </c>
      <c r="F277" s="1">
        <v>16.7</v>
      </c>
      <c r="G277" s="1">
        <f t="shared" si="47"/>
        <v>2050.6999999999998</v>
      </c>
      <c r="H277" s="21">
        <f t="shared" si="53"/>
        <v>31.9</v>
      </c>
      <c r="I277" s="31" t="s">
        <v>5</v>
      </c>
      <c r="J277" s="1">
        <v>2</v>
      </c>
      <c r="K277" s="1">
        <f t="shared" si="48"/>
        <v>484.19999999999993</v>
      </c>
      <c r="L277" s="1">
        <v>1.8</v>
      </c>
      <c r="M277" s="1">
        <f t="shared" si="49"/>
        <v>279.4000000000002</v>
      </c>
      <c r="N277" s="1">
        <f t="shared" si="45"/>
        <v>0.19999999999999996</v>
      </c>
      <c r="O277" s="1">
        <f t="shared" si="42"/>
        <v>121.49999999999991</v>
      </c>
      <c r="P277" s="1">
        <v>238</v>
      </c>
      <c r="Q277" s="1">
        <v>1.1499999999999999</v>
      </c>
      <c r="R277" s="9">
        <f t="shared" si="46"/>
        <v>2.0699999999999998</v>
      </c>
      <c r="S277" s="9">
        <f t="shared" si="43"/>
        <v>-6.999999999999984E-2</v>
      </c>
      <c r="T277" s="9">
        <f t="shared" si="51"/>
        <v>106.84431818181818</v>
      </c>
      <c r="U277" s="31" t="s">
        <v>12</v>
      </c>
      <c r="V277" s="1">
        <v>1194.4000000000001</v>
      </c>
      <c r="W277" s="1">
        <f t="shared" si="44"/>
        <v>103.8608695652174</v>
      </c>
      <c r="X277" s="1">
        <f t="shared" si="50"/>
        <v>146074.69999999998</v>
      </c>
      <c r="Y277" s="1">
        <f t="shared" si="52"/>
        <v>3337.2999999999997</v>
      </c>
      <c r="Z277" s="31" t="s">
        <v>7</v>
      </c>
      <c r="AA277" s="1">
        <v>14.555968267454601</v>
      </c>
    </row>
    <row r="278" spans="1:27" s="1" customFormat="1" x14ac:dyDescent="0.25">
      <c r="A278" s="72"/>
      <c r="B278" s="5"/>
      <c r="C278" s="3">
        <v>41759</v>
      </c>
      <c r="D278" s="1">
        <v>12.5</v>
      </c>
      <c r="E278" s="1">
        <v>8.6</v>
      </c>
      <c r="F278" s="1">
        <v>16.8</v>
      </c>
      <c r="G278" s="1">
        <f t="shared" si="47"/>
        <v>2063.1999999999998</v>
      </c>
      <c r="H278" s="21">
        <f t="shared" si="53"/>
        <v>44.4</v>
      </c>
      <c r="I278" s="1">
        <f>MAX(F275:F299)</f>
        <v>24.4</v>
      </c>
      <c r="J278" s="1">
        <v>1.8</v>
      </c>
      <c r="K278" s="1">
        <f t="shared" si="48"/>
        <v>485.99999999999994</v>
      </c>
      <c r="L278" s="1">
        <v>3</v>
      </c>
      <c r="M278" s="1">
        <f t="shared" si="49"/>
        <v>282.4000000000002</v>
      </c>
      <c r="N278" s="8">
        <f t="shared" si="45"/>
        <v>-1.2</v>
      </c>
      <c r="O278" s="1">
        <f t="shared" si="42"/>
        <v>120.29999999999991</v>
      </c>
      <c r="P278" s="1">
        <v>239</v>
      </c>
      <c r="Q278" s="1">
        <v>1.1499999999999999</v>
      </c>
      <c r="R278" s="9">
        <f t="shared" si="46"/>
        <v>3.4499999999999997</v>
      </c>
      <c r="S278" s="9">
        <f t="shared" si="43"/>
        <v>-1.6499999999999997</v>
      </c>
      <c r="T278" s="9">
        <f t="shared" si="51"/>
        <v>105.19431818181818</v>
      </c>
      <c r="U278" s="1">
        <v>0</v>
      </c>
      <c r="V278" s="1">
        <v>1825.6</v>
      </c>
      <c r="W278" s="1">
        <f t="shared" si="44"/>
        <v>146.048</v>
      </c>
      <c r="X278" s="1">
        <f t="shared" si="50"/>
        <v>147900.29999999999</v>
      </c>
      <c r="Y278" s="1">
        <f t="shared" si="52"/>
        <v>5162.8999999999996</v>
      </c>
      <c r="Z278" s="11">
        <f>(Z276/100)/I288</f>
        <v>1.2172414921465968</v>
      </c>
      <c r="AA278" s="1">
        <v>14.6110100745474</v>
      </c>
    </row>
    <row r="279" spans="1:27" s="1" customFormat="1" x14ac:dyDescent="0.25">
      <c r="A279" s="72"/>
      <c r="B279" s="5"/>
      <c r="C279" s="3">
        <v>41760</v>
      </c>
      <c r="D279" s="1">
        <v>11.2</v>
      </c>
      <c r="E279" s="1">
        <v>8.4</v>
      </c>
      <c r="F279" s="1">
        <v>12.7</v>
      </c>
      <c r="G279" s="1">
        <f t="shared" si="47"/>
        <v>2074.3999999999996</v>
      </c>
      <c r="H279" s="21">
        <f t="shared" si="53"/>
        <v>55.599999999999994</v>
      </c>
      <c r="I279" s="31" t="s">
        <v>8</v>
      </c>
      <c r="J279" s="1">
        <v>11.2</v>
      </c>
      <c r="K279" s="1">
        <f t="shared" si="48"/>
        <v>497.19999999999993</v>
      </c>
      <c r="L279" s="1">
        <v>1.1000000000000001</v>
      </c>
      <c r="M279" s="1">
        <f t="shared" si="49"/>
        <v>283.50000000000023</v>
      </c>
      <c r="N279" s="1">
        <f t="shared" si="45"/>
        <v>10.1</v>
      </c>
      <c r="O279" s="1">
        <f t="shared" si="42"/>
        <v>130.39999999999992</v>
      </c>
      <c r="P279" s="1">
        <v>240</v>
      </c>
      <c r="Q279" s="1">
        <v>1.1499999999999999</v>
      </c>
      <c r="R279" s="9">
        <f t="shared" si="46"/>
        <v>1.2649999999999999</v>
      </c>
      <c r="S279" s="9">
        <f t="shared" si="43"/>
        <v>9.9349999999999987</v>
      </c>
      <c r="T279" s="9">
        <f t="shared" si="51"/>
        <v>115.12931818181818</v>
      </c>
      <c r="U279" s="31" t="s">
        <v>14</v>
      </c>
      <c r="V279" s="10">
        <v>766</v>
      </c>
      <c r="W279" s="1">
        <f t="shared" si="44"/>
        <v>68.392857142857153</v>
      </c>
      <c r="X279" s="1">
        <f t="shared" si="50"/>
        <v>148666.29999999999</v>
      </c>
      <c r="Y279" s="1">
        <f t="shared" si="52"/>
        <v>5928.9</v>
      </c>
      <c r="Z279" s="31" t="s">
        <v>10</v>
      </c>
      <c r="AA279" s="1">
        <v>14.665621152643499</v>
      </c>
    </row>
    <row r="280" spans="1:27" s="1" customFormat="1" x14ac:dyDescent="0.25">
      <c r="A280" s="72"/>
      <c r="B280" s="5"/>
      <c r="C280" s="3">
        <v>41761</v>
      </c>
      <c r="D280" s="1">
        <v>11</v>
      </c>
      <c r="E280" s="1">
        <v>10.3</v>
      </c>
      <c r="F280" s="1">
        <v>14.4</v>
      </c>
      <c r="G280" s="1">
        <f t="shared" si="47"/>
        <v>2085.3999999999996</v>
      </c>
      <c r="H280" s="21">
        <f t="shared" si="53"/>
        <v>66.599999999999994</v>
      </c>
      <c r="I280" s="9">
        <f>AVERAGE(D275:D299)</f>
        <v>12.223999999999998</v>
      </c>
      <c r="J280" s="1">
        <v>0.3</v>
      </c>
      <c r="K280" s="1">
        <f t="shared" si="48"/>
        <v>497.49999999999994</v>
      </c>
      <c r="L280" s="1">
        <v>2.1</v>
      </c>
      <c r="M280" s="1">
        <f t="shared" si="49"/>
        <v>285.60000000000025</v>
      </c>
      <c r="N280" s="8">
        <f t="shared" si="45"/>
        <v>-1.8</v>
      </c>
      <c r="O280" s="1">
        <f t="shared" si="42"/>
        <v>128.59999999999991</v>
      </c>
      <c r="P280" s="1">
        <v>241</v>
      </c>
      <c r="Q280" s="1">
        <v>1.1499999999999999</v>
      </c>
      <c r="R280" s="9">
        <f t="shared" si="46"/>
        <v>2.415</v>
      </c>
      <c r="S280" s="9">
        <f t="shared" si="43"/>
        <v>-2.1150000000000002</v>
      </c>
      <c r="T280" s="9">
        <f t="shared" si="51"/>
        <v>113.01431818181818</v>
      </c>
      <c r="U280" s="9">
        <f>MIN(T275:T299)</f>
        <v>103.55431818181819</v>
      </c>
      <c r="V280" s="1">
        <v>1060.5</v>
      </c>
      <c r="W280" s="1">
        <f t="shared" si="44"/>
        <v>96.409090909090907</v>
      </c>
      <c r="X280" s="1">
        <f t="shared" si="50"/>
        <v>149726.79999999999</v>
      </c>
      <c r="Y280" s="1">
        <f t="shared" si="52"/>
        <v>6989.4</v>
      </c>
      <c r="Z280" s="1">
        <v>7</v>
      </c>
      <c r="AA280" s="1">
        <v>14.7197822997689</v>
      </c>
    </row>
    <row r="281" spans="1:27" s="1" customFormat="1" x14ac:dyDescent="0.25">
      <c r="A281" s="72"/>
      <c r="B281" s="5"/>
      <c r="C281" s="3">
        <v>41762</v>
      </c>
      <c r="D281" s="1">
        <v>9.1999999999999993</v>
      </c>
      <c r="E281" s="1">
        <v>5.8</v>
      </c>
      <c r="F281" s="1">
        <v>13.2</v>
      </c>
      <c r="G281" s="1">
        <f t="shared" si="47"/>
        <v>2094.5999999999995</v>
      </c>
      <c r="H281" s="21">
        <f t="shared" si="53"/>
        <v>75.8</v>
      </c>
      <c r="I281" s="31" t="s">
        <v>11</v>
      </c>
      <c r="J281" s="1">
        <v>0</v>
      </c>
      <c r="K281" s="1">
        <f t="shared" si="48"/>
        <v>497.49999999999994</v>
      </c>
      <c r="L281" s="1">
        <v>2.9</v>
      </c>
      <c r="M281" s="1">
        <f t="shared" si="49"/>
        <v>288.50000000000023</v>
      </c>
      <c r="N281" s="8">
        <f t="shared" si="45"/>
        <v>-2.9</v>
      </c>
      <c r="O281" s="1">
        <f t="shared" si="42"/>
        <v>125.6999999999999</v>
      </c>
      <c r="P281" s="1">
        <v>242</v>
      </c>
      <c r="Q281" s="1">
        <v>1.1499999999999999</v>
      </c>
      <c r="R281" s="9">
        <f t="shared" si="46"/>
        <v>3.3349999999999995</v>
      </c>
      <c r="S281" s="9">
        <f t="shared" si="43"/>
        <v>-3.3349999999999995</v>
      </c>
      <c r="T281" s="9">
        <f t="shared" si="51"/>
        <v>109.67931818181819</v>
      </c>
      <c r="U281" s="31" t="s">
        <v>16</v>
      </c>
      <c r="V281" s="1">
        <v>2011.6</v>
      </c>
      <c r="W281" s="1">
        <f t="shared" si="44"/>
        <v>218.6521739130435</v>
      </c>
      <c r="X281" s="1">
        <f t="shared" si="50"/>
        <v>151738.4</v>
      </c>
      <c r="Y281" s="1">
        <f t="shared" si="52"/>
        <v>9001</v>
      </c>
      <c r="AA281" s="1">
        <v>14.7734737295446</v>
      </c>
    </row>
    <row r="282" spans="1:27" s="1" customFormat="1" x14ac:dyDescent="0.25">
      <c r="A282" s="72"/>
      <c r="B282" s="5"/>
      <c r="C282" s="3">
        <v>41763</v>
      </c>
      <c r="D282" s="1">
        <v>9.9</v>
      </c>
      <c r="E282" s="12">
        <v>4.3</v>
      </c>
      <c r="F282" s="1">
        <v>14.8</v>
      </c>
      <c r="G282" s="1">
        <f t="shared" si="47"/>
        <v>2104.4999999999995</v>
      </c>
      <c r="H282" s="21">
        <f t="shared" si="53"/>
        <v>85.7</v>
      </c>
      <c r="I282" s="1">
        <v>0</v>
      </c>
      <c r="J282" s="1">
        <v>0</v>
      </c>
      <c r="K282" s="1">
        <f t="shared" si="48"/>
        <v>497.49999999999994</v>
      </c>
      <c r="L282" s="1">
        <v>2.1</v>
      </c>
      <c r="M282" s="1">
        <f t="shared" si="49"/>
        <v>290.60000000000025</v>
      </c>
      <c r="N282" s="8">
        <f t="shared" si="45"/>
        <v>-2.1</v>
      </c>
      <c r="O282" s="1">
        <f t="shared" si="42"/>
        <v>123.59999999999991</v>
      </c>
      <c r="P282" s="1">
        <v>243</v>
      </c>
      <c r="Q282" s="1">
        <v>1.1499999999999999</v>
      </c>
      <c r="R282" s="9">
        <f t="shared" si="46"/>
        <v>2.415</v>
      </c>
      <c r="S282" s="9">
        <f t="shared" si="43"/>
        <v>-2.415</v>
      </c>
      <c r="T282" s="9">
        <f t="shared" si="51"/>
        <v>107.26431818181818</v>
      </c>
      <c r="U282" s="9">
        <f>MAX(T275:T299)</f>
        <v>135.05431818181819</v>
      </c>
      <c r="V282" s="1">
        <v>1522</v>
      </c>
      <c r="W282" s="1">
        <f t="shared" si="44"/>
        <v>153.73737373737373</v>
      </c>
      <c r="X282" s="1">
        <f t="shared" si="50"/>
        <v>153260.4</v>
      </c>
      <c r="Y282" s="1">
        <f t="shared" si="52"/>
        <v>10523</v>
      </c>
      <c r="AA282" s="1">
        <v>14.826675071258901</v>
      </c>
    </row>
    <row r="283" spans="1:27" s="1" customFormat="1" x14ac:dyDescent="0.25">
      <c r="A283" s="72"/>
      <c r="B283" s="5"/>
      <c r="C283" s="3">
        <v>41764</v>
      </c>
      <c r="D283" s="1">
        <v>13.5</v>
      </c>
      <c r="E283" s="1">
        <v>6.6</v>
      </c>
      <c r="F283" s="1">
        <v>19.399999999999999</v>
      </c>
      <c r="G283" s="1">
        <f t="shared" si="47"/>
        <v>2117.9999999999995</v>
      </c>
      <c r="H283" s="21">
        <f t="shared" si="53"/>
        <v>99.2</v>
      </c>
      <c r="I283" s="31" t="s">
        <v>13</v>
      </c>
      <c r="J283" s="1">
        <v>0.2</v>
      </c>
      <c r="K283" s="1">
        <f t="shared" si="48"/>
        <v>497.69999999999993</v>
      </c>
      <c r="L283" s="1">
        <v>3.4</v>
      </c>
      <c r="M283" s="1">
        <f t="shared" si="49"/>
        <v>294.00000000000023</v>
      </c>
      <c r="N283" s="8">
        <f t="shared" si="45"/>
        <v>-3.1999999999999997</v>
      </c>
      <c r="O283" s="1">
        <f t="shared" si="42"/>
        <v>120.39999999999991</v>
      </c>
      <c r="P283" s="1">
        <v>244</v>
      </c>
      <c r="Q283" s="1">
        <v>1.1499999999999999</v>
      </c>
      <c r="R283" s="9">
        <f t="shared" si="46"/>
        <v>3.9099999999999997</v>
      </c>
      <c r="S283" s="9">
        <f t="shared" si="43"/>
        <v>-3.7099999999999995</v>
      </c>
      <c r="T283" s="9">
        <f t="shared" si="51"/>
        <v>103.55431818181819</v>
      </c>
      <c r="U283" s="31" t="s">
        <v>18</v>
      </c>
      <c r="V283" s="1">
        <v>2095.3000000000002</v>
      </c>
      <c r="W283" s="1">
        <f t="shared" si="44"/>
        <v>155.20740740740743</v>
      </c>
      <c r="X283" s="1">
        <f t="shared" si="50"/>
        <v>155355.69999999998</v>
      </c>
      <c r="Y283" s="1">
        <f t="shared" si="52"/>
        <v>12618.3</v>
      </c>
      <c r="AA283" s="1">
        <v>14.8793653717553</v>
      </c>
    </row>
    <row r="284" spans="1:27" s="1" customFormat="1" x14ac:dyDescent="0.25">
      <c r="A284" s="72"/>
      <c r="B284" s="5"/>
      <c r="C284" s="3">
        <v>41765</v>
      </c>
      <c r="D284" s="1">
        <v>13.6</v>
      </c>
      <c r="E284" s="1">
        <v>11.2</v>
      </c>
      <c r="F284" s="1">
        <v>17.8</v>
      </c>
      <c r="G284" s="1">
        <f t="shared" si="47"/>
        <v>2131.5999999999995</v>
      </c>
      <c r="H284" s="21">
        <f t="shared" si="53"/>
        <v>112.8</v>
      </c>
      <c r="I284" s="1">
        <v>0</v>
      </c>
      <c r="J284" s="1">
        <v>18.600000000000001</v>
      </c>
      <c r="K284" s="1">
        <f t="shared" si="48"/>
        <v>516.29999999999995</v>
      </c>
      <c r="L284" s="1">
        <v>1.9</v>
      </c>
      <c r="M284" s="1">
        <f t="shared" si="49"/>
        <v>295.9000000000002</v>
      </c>
      <c r="N284" s="1">
        <f t="shared" si="45"/>
        <v>16.700000000000003</v>
      </c>
      <c r="O284" s="1">
        <f t="shared" si="42"/>
        <v>137.09999999999991</v>
      </c>
      <c r="P284" s="1">
        <v>245</v>
      </c>
      <c r="Q284" s="1">
        <v>1.1499999999999999</v>
      </c>
      <c r="R284" s="9">
        <f t="shared" si="46"/>
        <v>2.1849999999999996</v>
      </c>
      <c r="S284" s="9">
        <f t="shared" si="43"/>
        <v>16.415000000000003</v>
      </c>
      <c r="T284" s="9">
        <f t="shared" si="51"/>
        <v>119.9693181818182</v>
      </c>
      <c r="U284" s="11">
        <f>AVERAGE(T275:T299)</f>
        <v>119.2223181818182</v>
      </c>
      <c r="V284" s="10">
        <v>829.8</v>
      </c>
      <c r="W284" s="1">
        <f t="shared" si="44"/>
        <v>61.014705882352942</v>
      </c>
      <c r="X284" s="1">
        <f t="shared" si="50"/>
        <v>156185.49999999997</v>
      </c>
      <c r="Y284" s="1">
        <f t="shared" si="52"/>
        <v>13448.099999999999</v>
      </c>
      <c r="AA284" s="1">
        <v>14.9315230992589</v>
      </c>
    </row>
    <row r="285" spans="1:27" s="1" customFormat="1" x14ac:dyDescent="0.25">
      <c r="A285" s="72"/>
      <c r="B285" s="5"/>
      <c r="C285" s="3">
        <v>41766</v>
      </c>
      <c r="D285" s="1">
        <v>11.8</v>
      </c>
      <c r="E285" s="1">
        <v>10.9</v>
      </c>
      <c r="F285" s="1">
        <v>13.8</v>
      </c>
      <c r="G285" s="1">
        <f t="shared" si="47"/>
        <v>2143.3999999999996</v>
      </c>
      <c r="H285" s="21">
        <f t="shared" si="53"/>
        <v>124.6</v>
      </c>
      <c r="I285" s="31" t="s">
        <v>15</v>
      </c>
      <c r="J285" s="1">
        <v>0.5</v>
      </c>
      <c r="K285" s="1">
        <f t="shared" si="48"/>
        <v>516.79999999999995</v>
      </c>
      <c r="L285" s="1">
        <v>1.9</v>
      </c>
      <c r="M285" s="1">
        <f t="shared" si="49"/>
        <v>297.80000000000018</v>
      </c>
      <c r="N285" s="8">
        <f t="shared" si="45"/>
        <v>-1.4</v>
      </c>
      <c r="O285" s="1">
        <f t="shared" ref="O285:O348" si="54">O284+N285</f>
        <v>135.6999999999999</v>
      </c>
      <c r="P285" s="1">
        <v>246</v>
      </c>
      <c r="Q285" s="1">
        <v>1.1499999999999999</v>
      </c>
      <c r="R285" s="9">
        <f t="shared" si="46"/>
        <v>2.1849999999999996</v>
      </c>
      <c r="S285" s="9">
        <f t="shared" si="43"/>
        <v>-1.6849999999999996</v>
      </c>
      <c r="T285" s="9">
        <f t="shared" si="51"/>
        <v>118.28431818181819</v>
      </c>
      <c r="V285" s="1">
        <v>1144.7</v>
      </c>
      <c r="W285" s="1">
        <f t="shared" si="44"/>
        <v>97.008474576271183</v>
      </c>
      <c r="X285" s="1">
        <f t="shared" si="50"/>
        <v>157330.19999999998</v>
      </c>
      <c r="Y285" s="1">
        <f t="shared" si="52"/>
        <v>14592.8</v>
      </c>
      <c r="AA285" s="1">
        <v>14.9831261492678</v>
      </c>
    </row>
    <row r="286" spans="1:27" s="1" customFormat="1" x14ac:dyDescent="0.25">
      <c r="A286" s="72"/>
      <c r="B286" s="5"/>
      <c r="C286" s="3">
        <v>41767</v>
      </c>
      <c r="D286" s="1">
        <v>11.9</v>
      </c>
      <c r="E286" s="1">
        <v>8.6</v>
      </c>
      <c r="F286" s="1">
        <v>13.6</v>
      </c>
      <c r="G286" s="1">
        <f t="shared" si="47"/>
        <v>2155.2999999999997</v>
      </c>
      <c r="H286" s="21">
        <f t="shared" si="53"/>
        <v>136.5</v>
      </c>
      <c r="I286" s="1">
        <v>1</v>
      </c>
      <c r="J286" s="1">
        <v>12.7</v>
      </c>
      <c r="K286" s="1">
        <f t="shared" si="48"/>
        <v>529.5</v>
      </c>
      <c r="L286" s="1">
        <v>0.9</v>
      </c>
      <c r="M286" s="1">
        <f t="shared" si="49"/>
        <v>298.70000000000016</v>
      </c>
      <c r="N286" s="1">
        <f t="shared" si="45"/>
        <v>11.799999999999999</v>
      </c>
      <c r="O286" s="1">
        <f t="shared" si="54"/>
        <v>147.49999999999991</v>
      </c>
      <c r="P286" s="1">
        <v>247</v>
      </c>
      <c r="Q286" s="1">
        <v>1.1499999999999999</v>
      </c>
      <c r="R286" s="9">
        <f t="shared" si="46"/>
        <v>1.0349999999999999</v>
      </c>
      <c r="S286" s="9">
        <f t="shared" si="43"/>
        <v>11.664999999999999</v>
      </c>
      <c r="T286" s="9">
        <f t="shared" si="51"/>
        <v>129.9493181818182</v>
      </c>
      <c r="U286" s="9">
        <f>(U284*100)/189.6</f>
        <v>62.880969505178371</v>
      </c>
      <c r="V286" s="10">
        <v>571.70000000000005</v>
      </c>
      <c r="W286" s="1">
        <f t="shared" si="44"/>
        <v>48.042016806722692</v>
      </c>
      <c r="X286" s="1">
        <f t="shared" si="50"/>
        <v>157901.9</v>
      </c>
      <c r="Y286" s="1">
        <f t="shared" si="52"/>
        <v>15164.5</v>
      </c>
      <c r="AA286" s="1">
        <v>15.0341518526344</v>
      </c>
    </row>
    <row r="287" spans="1:27" s="1" customFormat="1" x14ac:dyDescent="0.25">
      <c r="A287" s="72"/>
      <c r="B287" s="5"/>
      <c r="C287" s="3">
        <v>41768</v>
      </c>
      <c r="D287" s="1">
        <v>12.7</v>
      </c>
      <c r="E287" s="1">
        <v>11.2</v>
      </c>
      <c r="F287" s="1">
        <v>15.3</v>
      </c>
      <c r="G287" s="1">
        <f t="shared" si="47"/>
        <v>2167.9999999999995</v>
      </c>
      <c r="H287" s="21">
        <f t="shared" si="53"/>
        <v>149.19999999999999</v>
      </c>
      <c r="I287" s="31" t="s">
        <v>17</v>
      </c>
      <c r="J287" s="1">
        <v>0</v>
      </c>
      <c r="K287" s="1">
        <f t="shared" si="48"/>
        <v>529.5</v>
      </c>
      <c r="L287" s="1">
        <v>2.5</v>
      </c>
      <c r="M287" s="1">
        <f t="shared" si="49"/>
        <v>301.20000000000016</v>
      </c>
      <c r="N287" s="8">
        <f t="shared" si="45"/>
        <v>-2.5</v>
      </c>
      <c r="O287" s="1">
        <f t="shared" si="54"/>
        <v>144.99999999999991</v>
      </c>
      <c r="P287" s="1">
        <v>248</v>
      </c>
      <c r="Q287" s="1">
        <v>1.1499999999999999</v>
      </c>
      <c r="R287" s="9">
        <f t="shared" si="46"/>
        <v>2.875</v>
      </c>
      <c r="S287" s="9">
        <f t="shared" si="43"/>
        <v>-2.875</v>
      </c>
      <c r="T287" s="9">
        <f t="shared" si="51"/>
        <v>127.0743181818182</v>
      </c>
      <c r="V287" s="1">
        <v>1404.3</v>
      </c>
      <c r="W287" s="1">
        <f t="shared" si="44"/>
        <v>110.5748031496063</v>
      </c>
      <c r="X287" s="1">
        <f t="shared" si="50"/>
        <v>159306.19999999998</v>
      </c>
      <c r="Y287" s="1">
        <f t="shared" si="52"/>
        <v>16568.8</v>
      </c>
      <c r="AA287" s="1">
        <v>15.0845769859628</v>
      </c>
    </row>
    <row r="288" spans="1:27" s="1" customFormat="1" x14ac:dyDescent="0.25">
      <c r="A288" s="72"/>
      <c r="B288" s="5"/>
      <c r="C288" s="3">
        <v>41769</v>
      </c>
      <c r="D288" s="1">
        <v>12</v>
      </c>
      <c r="E288" s="1">
        <v>8.6999999999999993</v>
      </c>
      <c r="F288" s="1">
        <v>14.1</v>
      </c>
      <c r="G288" s="1">
        <f t="shared" si="47"/>
        <v>2179.9999999999995</v>
      </c>
      <c r="H288" s="21">
        <f t="shared" si="53"/>
        <v>161.19999999999999</v>
      </c>
      <c r="I288" s="1">
        <v>305.60000000000002</v>
      </c>
      <c r="J288" s="1">
        <v>6.6</v>
      </c>
      <c r="K288" s="1">
        <f t="shared" si="48"/>
        <v>536.1</v>
      </c>
      <c r="L288" s="1">
        <v>1</v>
      </c>
      <c r="M288" s="1">
        <f t="shared" si="49"/>
        <v>302.20000000000016</v>
      </c>
      <c r="N288" s="1">
        <f t="shared" si="45"/>
        <v>5.6</v>
      </c>
      <c r="O288" s="1">
        <f t="shared" si="54"/>
        <v>150.59999999999991</v>
      </c>
      <c r="P288" s="1">
        <v>249</v>
      </c>
      <c r="Q288" s="1">
        <v>1.1499999999999999</v>
      </c>
      <c r="R288" s="9">
        <f t="shared" si="46"/>
        <v>1.1499999999999999</v>
      </c>
      <c r="S288" s="9">
        <f t="shared" si="43"/>
        <v>5.4499999999999993</v>
      </c>
      <c r="T288" s="9">
        <f t="shared" si="51"/>
        <v>132.52431818181819</v>
      </c>
      <c r="V288" s="10">
        <v>584.4</v>
      </c>
      <c r="W288" s="1">
        <f t="shared" si="44"/>
        <v>48.699999999999996</v>
      </c>
      <c r="X288" s="1">
        <f t="shared" si="50"/>
        <v>159890.59999999998</v>
      </c>
      <c r="Y288" s="1">
        <f t="shared" si="52"/>
        <v>17153.2</v>
      </c>
      <c r="AA288" s="1">
        <v>15.1343777844481</v>
      </c>
    </row>
    <row r="289" spans="1:27" s="1" customFormat="1" x14ac:dyDescent="0.25">
      <c r="A289" s="72"/>
      <c r="B289" s="5"/>
      <c r="C289" s="3">
        <v>41770</v>
      </c>
      <c r="D289" s="1">
        <v>10.6</v>
      </c>
      <c r="E289" s="1">
        <v>9</v>
      </c>
      <c r="F289" s="1">
        <v>12.9</v>
      </c>
      <c r="G289" s="1">
        <f t="shared" si="47"/>
        <v>2190.5999999999995</v>
      </c>
      <c r="H289" s="21">
        <f t="shared" si="53"/>
        <v>171.79999999999998</v>
      </c>
      <c r="J289" s="1">
        <v>1.8</v>
      </c>
      <c r="K289" s="1">
        <f t="shared" si="48"/>
        <v>537.9</v>
      </c>
      <c r="L289" s="1">
        <v>2.5</v>
      </c>
      <c r="M289" s="1">
        <f t="shared" si="49"/>
        <v>304.70000000000016</v>
      </c>
      <c r="N289" s="8">
        <f t="shared" si="45"/>
        <v>-0.7</v>
      </c>
      <c r="O289" s="1">
        <f t="shared" si="54"/>
        <v>149.89999999999992</v>
      </c>
      <c r="P289" s="1">
        <v>250</v>
      </c>
      <c r="Q289" s="1">
        <v>1.1499999999999999</v>
      </c>
      <c r="R289" s="9">
        <f t="shared" si="46"/>
        <v>2.875</v>
      </c>
      <c r="S289" s="9">
        <f t="shared" si="43"/>
        <v>-1.075</v>
      </c>
      <c r="T289" s="9">
        <f t="shared" si="51"/>
        <v>131.4493181818182</v>
      </c>
      <c r="V289" s="1">
        <v>1655.6</v>
      </c>
      <c r="W289" s="1">
        <f t="shared" si="44"/>
        <v>156.18867924528303</v>
      </c>
      <c r="X289" s="1">
        <f t="shared" si="50"/>
        <v>161546.19999999998</v>
      </c>
      <c r="Y289" s="1">
        <f t="shared" si="52"/>
        <v>18808.8</v>
      </c>
      <c r="AA289" s="1">
        <v>15.1835299572792</v>
      </c>
    </row>
    <row r="290" spans="1:27" s="1" customFormat="1" x14ac:dyDescent="0.25">
      <c r="A290" s="72"/>
      <c r="B290" s="5"/>
      <c r="C290" s="3">
        <v>41771</v>
      </c>
      <c r="D290" s="1">
        <v>9.6999999999999993</v>
      </c>
      <c r="E290" s="1">
        <v>7.8</v>
      </c>
      <c r="F290" s="1">
        <v>12</v>
      </c>
      <c r="G290" s="1">
        <f t="shared" si="47"/>
        <v>2200.2999999999993</v>
      </c>
      <c r="H290" s="21">
        <f t="shared" si="53"/>
        <v>181.49999999999997</v>
      </c>
      <c r="J290" s="1">
        <v>4</v>
      </c>
      <c r="K290" s="1">
        <f t="shared" si="48"/>
        <v>541.9</v>
      </c>
      <c r="L290" s="1">
        <v>1.6</v>
      </c>
      <c r="M290" s="1">
        <f t="shared" si="49"/>
        <v>306.30000000000018</v>
      </c>
      <c r="N290" s="1">
        <f t="shared" si="45"/>
        <v>2.4</v>
      </c>
      <c r="O290" s="1">
        <f t="shared" si="54"/>
        <v>152.29999999999993</v>
      </c>
      <c r="P290" s="1">
        <v>251</v>
      </c>
      <c r="Q290" s="1">
        <v>1.1499999999999999</v>
      </c>
      <c r="R290" s="9">
        <f t="shared" si="46"/>
        <v>1.8399999999999999</v>
      </c>
      <c r="S290" s="9">
        <f t="shared" si="43"/>
        <v>2.16</v>
      </c>
      <c r="T290" s="9">
        <f t="shared" si="51"/>
        <v>133.6093181818182</v>
      </c>
      <c r="V290" s="1">
        <v>1085.7</v>
      </c>
      <c r="W290" s="1">
        <f t="shared" si="44"/>
        <v>111.92783505154641</v>
      </c>
      <c r="X290" s="1">
        <f t="shared" si="50"/>
        <v>162631.9</v>
      </c>
      <c r="Y290" s="1">
        <f t="shared" si="52"/>
        <v>19894.5</v>
      </c>
      <c r="AA290" s="1">
        <v>15.2320087057244</v>
      </c>
    </row>
    <row r="291" spans="1:27" s="1" customFormat="1" x14ac:dyDescent="0.25">
      <c r="A291" s="72"/>
      <c r="B291" s="5"/>
      <c r="C291" s="3">
        <v>41772</v>
      </c>
      <c r="D291" s="1">
        <v>9.6999999999999993</v>
      </c>
      <c r="E291" s="1">
        <v>6.4</v>
      </c>
      <c r="F291" s="1">
        <v>13</v>
      </c>
      <c r="G291" s="1">
        <f t="shared" si="47"/>
        <v>2209.9999999999991</v>
      </c>
      <c r="H291" s="21">
        <f t="shared" si="53"/>
        <v>191.19999999999996</v>
      </c>
      <c r="J291" s="1">
        <v>3.4</v>
      </c>
      <c r="K291" s="1">
        <f t="shared" si="48"/>
        <v>545.29999999999995</v>
      </c>
      <c r="L291" s="1">
        <v>1.7</v>
      </c>
      <c r="M291" s="1">
        <f t="shared" si="49"/>
        <v>308.00000000000017</v>
      </c>
      <c r="N291" s="1">
        <f t="shared" si="45"/>
        <v>1.7</v>
      </c>
      <c r="O291" s="1">
        <f t="shared" si="54"/>
        <v>153.99999999999991</v>
      </c>
      <c r="P291" s="1">
        <v>252</v>
      </c>
      <c r="Q291" s="1">
        <v>1.1499999999999999</v>
      </c>
      <c r="R291" s="9">
        <f t="shared" si="46"/>
        <v>1.9549999999999998</v>
      </c>
      <c r="S291" s="9">
        <f t="shared" si="43"/>
        <v>1.4450000000000001</v>
      </c>
      <c r="T291" s="9">
        <f t="shared" si="51"/>
        <v>135.05431818181819</v>
      </c>
      <c r="V291" s="1">
        <v>1353.4</v>
      </c>
      <c r="W291" s="1">
        <f t="shared" si="44"/>
        <v>139.5257731958763</v>
      </c>
      <c r="X291" s="1">
        <f t="shared" si="50"/>
        <v>163985.29999999999</v>
      </c>
      <c r="Y291" s="1">
        <f t="shared" si="52"/>
        <v>21247.9</v>
      </c>
      <c r="AA291" s="1">
        <v>15.279788744014599</v>
      </c>
    </row>
    <row r="292" spans="1:27" s="1" customFormat="1" x14ac:dyDescent="0.25">
      <c r="A292" s="72"/>
      <c r="B292" s="5"/>
      <c r="C292" s="3">
        <v>41773</v>
      </c>
      <c r="D292" s="1">
        <v>10.5</v>
      </c>
      <c r="E292" s="1">
        <v>5.8</v>
      </c>
      <c r="F292" s="1">
        <v>15.7</v>
      </c>
      <c r="G292" s="1">
        <f t="shared" si="47"/>
        <v>2220.4999999999991</v>
      </c>
      <c r="H292" s="21">
        <f t="shared" si="53"/>
        <v>201.69999999999996</v>
      </c>
      <c r="J292" s="1">
        <v>0</v>
      </c>
      <c r="K292" s="1">
        <f t="shared" si="48"/>
        <v>545.29999999999995</v>
      </c>
      <c r="L292" s="1">
        <v>2.6</v>
      </c>
      <c r="M292" s="1">
        <f t="shared" si="49"/>
        <v>310.60000000000019</v>
      </c>
      <c r="N292" s="8">
        <f t="shared" si="45"/>
        <v>-2.6</v>
      </c>
      <c r="O292" s="1">
        <f t="shared" si="54"/>
        <v>151.39999999999992</v>
      </c>
      <c r="P292" s="1">
        <v>253</v>
      </c>
      <c r="Q292" s="1">
        <v>1.1499999999999999</v>
      </c>
      <c r="R292" s="9">
        <f t="shared" si="46"/>
        <v>2.9899999999999998</v>
      </c>
      <c r="S292" s="9">
        <f t="shared" si="43"/>
        <v>-2.9899999999999998</v>
      </c>
      <c r="T292" s="9">
        <f t="shared" si="51"/>
        <v>132.06431818181818</v>
      </c>
      <c r="V292" s="1">
        <v>1661.4</v>
      </c>
      <c r="W292" s="1">
        <f t="shared" si="44"/>
        <v>158.22857142857143</v>
      </c>
      <c r="X292" s="1">
        <f t="shared" si="50"/>
        <v>165646.69999999998</v>
      </c>
      <c r="Y292" s="1">
        <f t="shared" si="52"/>
        <v>22909.300000000003</v>
      </c>
      <c r="AA292" s="1">
        <v>15.326844323130199</v>
      </c>
    </row>
    <row r="293" spans="1:27" s="1" customFormat="1" x14ac:dyDescent="0.25">
      <c r="A293" s="72"/>
      <c r="B293" s="5"/>
      <c r="C293" s="3">
        <v>41774</v>
      </c>
      <c r="D293" s="1">
        <v>10.4</v>
      </c>
      <c r="E293" s="1">
        <v>5.5</v>
      </c>
      <c r="F293" s="1">
        <v>14.6</v>
      </c>
      <c r="G293" s="1">
        <f t="shared" si="47"/>
        <v>2230.8999999999992</v>
      </c>
      <c r="H293" s="21">
        <f t="shared" si="53"/>
        <v>212.09999999999997</v>
      </c>
      <c r="J293" s="1">
        <v>0</v>
      </c>
      <c r="K293" s="1">
        <f t="shared" si="48"/>
        <v>545.29999999999995</v>
      </c>
      <c r="L293" s="1">
        <v>3.1</v>
      </c>
      <c r="M293" s="1">
        <f t="shared" si="49"/>
        <v>313.70000000000022</v>
      </c>
      <c r="N293" s="8">
        <f t="shared" si="45"/>
        <v>-3.1</v>
      </c>
      <c r="O293" s="1">
        <f t="shared" si="54"/>
        <v>148.29999999999993</v>
      </c>
      <c r="P293" s="1">
        <v>254</v>
      </c>
      <c r="Q293" s="1">
        <v>1.1499999999999999</v>
      </c>
      <c r="R293" s="9">
        <f t="shared" si="46"/>
        <v>3.5649999999999999</v>
      </c>
      <c r="S293" s="9">
        <f t="shared" si="43"/>
        <v>-3.5649999999999999</v>
      </c>
      <c r="T293" s="9">
        <f t="shared" si="51"/>
        <v>128.49931818181818</v>
      </c>
      <c r="V293" s="1">
        <v>2320.1999999999998</v>
      </c>
      <c r="W293" s="1">
        <f t="shared" si="44"/>
        <v>223.09615384615381</v>
      </c>
      <c r="X293" s="1">
        <f t="shared" si="50"/>
        <v>167966.9</v>
      </c>
      <c r="Y293" s="1">
        <f t="shared" si="52"/>
        <v>25229.500000000004</v>
      </c>
      <c r="AA293" s="1">
        <v>15.373149257592299</v>
      </c>
    </row>
    <row r="294" spans="1:27" s="1" customFormat="1" x14ac:dyDescent="0.25">
      <c r="A294" s="72"/>
      <c r="B294" s="5"/>
      <c r="C294" s="3">
        <v>41775</v>
      </c>
      <c r="D294" s="1">
        <v>12.4</v>
      </c>
      <c r="E294" s="1">
        <v>6.4</v>
      </c>
      <c r="F294" s="1">
        <v>17</v>
      </c>
      <c r="G294" s="1">
        <f t="shared" si="47"/>
        <v>2243.2999999999993</v>
      </c>
      <c r="H294" s="21">
        <f t="shared" si="53"/>
        <v>224.49999999999997</v>
      </c>
      <c r="J294" s="1">
        <v>0</v>
      </c>
      <c r="K294" s="1">
        <f t="shared" si="48"/>
        <v>545.29999999999995</v>
      </c>
      <c r="L294" s="1">
        <v>3.6</v>
      </c>
      <c r="M294" s="1">
        <f t="shared" si="49"/>
        <v>317.30000000000024</v>
      </c>
      <c r="N294" s="8">
        <f t="shared" si="45"/>
        <v>-3.6</v>
      </c>
      <c r="O294" s="1">
        <f t="shared" si="54"/>
        <v>144.69999999999993</v>
      </c>
      <c r="P294" s="1">
        <v>255</v>
      </c>
      <c r="Q294" s="1">
        <v>1.1499999999999999</v>
      </c>
      <c r="R294" s="9">
        <f t="shared" si="46"/>
        <v>4.1399999999999997</v>
      </c>
      <c r="S294" s="9">
        <f t="shared" si="43"/>
        <v>-4.1399999999999997</v>
      </c>
      <c r="T294" s="9">
        <f t="shared" si="51"/>
        <v>124.35931818181818</v>
      </c>
      <c r="V294" s="1">
        <v>2534.9</v>
      </c>
      <c r="W294" s="1">
        <f t="shared" si="44"/>
        <v>204.42741935483872</v>
      </c>
      <c r="X294" s="1">
        <f t="shared" si="50"/>
        <v>170501.8</v>
      </c>
      <c r="Y294" s="1">
        <f t="shared" si="52"/>
        <v>27764.400000000005</v>
      </c>
      <c r="AA294" s="1">
        <v>15.4186769553468</v>
      </c>
    </row>
    <row r="295" spans="1:27" s="1" customFormat="1" x14ac:dyDescent="0.25">
      <c r="A295" s="72"/>
      <c r="B295" s="5"/>
      <c r="C295" s="3">
        <v>41776</v>
      </c>
      <c r="D295" s="1">
        <v>14.5</v>
      </c>
      <c r="E295" s="1">
        <v>8.9</v>
      </c>
      <c r="F295" s="1">
        <v>19.399999999999999</v>
      </c>
      <c r="G295" s="1">
        <f t="shared" si="47"/>
        <v>2257.7999999999993</v>
      </c>
      <c r="H295" s="21">
        <f t="shared" si="53"/>
        <v>238.99999999999997</v>
      </c>
      <c r="J295" s="1">
        <v>0</v>
      </c>
      <c r="K295" s="1">
        <f t="shared" si="48"/>
        <v>545.29999999999995</v>
      </c>
      <c r="L295" s="1">
        <v>4.2</v>
      </c>
      <c r="M295" s="1">
        <f t="shared" si="49"/>
        <v>321.50000000000023</v>
      </c>
      <c r="N295" s="8">
        <f t="shared" si="45"/>
        <v>-4.2</v>
      </c>
      <c r="O295" s="1">
        <f t="shared" si="54"/>
        <v>140.49999999999994</v>
      </c>
      <c r="P295" s="1">
        <v>256</v>
      </c>
      <c r="Q295" s="1">
        <v>1.1499999999999999</v>
      </c>
      <c r="R295" s="9">
        <f t="shared" si="46"/>
        <v>4.83</v>
      </c>
      <c r="S295" s="9">
        <f t="shared" si="43"/>
        <v>-4.83</v>
      </c>
      <c r="T295" s="9">
        <f t="shared" si="51"/>
        <v>119.52931818181818</v>
      </c>
      <c r="V295" s="1">
        <v>2653.9</v>
      </c>
      <c r="W295" s="1">
        <f t="shared" si="44"/>
        <v>183.02758620689656</v>
      </c>
      <c r="X295" s="1">
        <f t="shared" si="50"/>
        <v>173155.69999999998</v>
      </c>
      <c r="Y295" s="1">
        <f t="shared" si="52"/>
        <v>30418.300000000007</v>
      </c>
      <c r="AA295" s="1">
        <v>15.463400450818201</v>
      </c>
    </row>
    <row r="296" spans="1:27" s="1" customFormat="1" x14ac:dyDescent="0.25">
      <c r="A296" s="72"/>
      <c r="B296" s="5"/>
      <c r="C296" s="3">
        <v>41777</v>
      </c>
      <c r="D296" s="1">
        <v>16.8</v>
      </c>
      <c r="E296" s="1">
        <v>10.199999999999999</v>
      </c>
      <c r="F296" s="1">
        <v>21.9</v>
      </c>
      <c r="G296" s="1">
        <f t="shared" si="47"/>
        <v>2274.5999999999995</v>
      </c>
      <c r="H296" s="21">
        <f t="shared" si="53"/>
        <v>255.79999999999998</v>
      </c>
      <c r="J296" s="1">
        <v>0</v>
      </c>
      <c r="K296" s="1">
        <f t="shared" si="48"/>
        <v>545.29999999999995</v>
      </c>
      <c r="L296" s="1">
        <v>4.3</v>
      </c>
      <c r="M296" s="1">
        <f t="shared" si="49"/>
        <v>325.80000000000024</v>
      </c>
      <c r="N296" s="8">
        <f t="shared" si="45"/>
        <v>-4.3</v>
      </c>
      <c r="O296" s="1">
        <f t="shared" si="54"/>
        <v>136.19999999999993</v>
      </c>
      <c r="P296" s="1">
        <v>257</v>
      </c>
      <c r="Q296" s="1">
        <v>1.1499999999999999</v>
      </c>
      <c r="R296" s="9">
        <f t="shared" si="46"/>
        <v>4.9449999999999994</v>
      </c>
      <c r="S296" s="9">
        <f t="shared" ref="S296:S357" si="55">J296-R296</f>
        <v>-4.9449999999999994</v>
      </c>
      <c r="T296" s="9">
        <f t="shared" si="51"/>
        <v>114.58431818181819</v>
      </c>
      <c r="V296" s="1">
        <v>2648</v>
      </c>
      <c r="W296" s="1">
        <f t="shared" ref="W296:W357" si="56">V296/D296</f>
        <v>157.61904761904762</v>
      </c>
      <c r="X296" s="1">
        <f t="shared" si="50"/>
        <v>175803.69999999998</v>
      </c>
      <c r="Y296" s="1">
        <f t="shared" si="52"/>
        <v>33066.300000000003</v>
      </c>
      <c r="AA296" s="1">
        <v>15.507292441198199</v>
      </c>
    </row>
    <row r="297" spans="1:27" s="1" customFormat="1" x14ac:dyDescent="0.25">
      <c r="A297" s="72"/>
      <c r="B297" s="5"/>
      <c r="C297" s="3">
        <v>41778</v>
      </c>
      <c r="D297" s="1">
        <v>18.8</v>
      </c>
      <c r="E297" s="1">
        <v>12.9</v>
      </c>
      <c r="F297" s="1">
        <v>24.4</v>
      </c>
      <c r="G297" s="1">
        <f t="shared" si="47"/>
        <v>2293.3999999999996</v>
      </c>
      <c r="H297" s="21">
        <f t="shared" si="53"/>
        <v>274.59999999999997</v>
      </c>
      <c r="J297" s="1">
        <v>0</v>
      </c>
      <c r="K297" s="1">
        <f t="shared" si="48"/>
        <v>545.29999999999995</v>
      </c>
      <c r="L297" s="1">
        <v>5.2</v>
      </c>
      <c r="M297" s="1">
        <f t="shared" si="49"/>
        <v>331.00000000000023</v>
      </c>
      <c r="N297" s="8">
        <f t="shared" ref="N297:N356" si="57">J297-L297</f>
        <v>-5.2</v>
      </c>
      <c r="O297" s="1">
        <f t="shared" si="54"/>
        <v>130.99999999999994</v>
      </c>
      <c r="P297" s="1">
        <v>258</v>
      </c>
      <c r="Q297" s="1">
        <v>1.1499999999999999</v>
      </c>
      <c r="R297" s="9">
        <f t="shared" ref="R297:R357" si="58">Q297*L297</f>
        <v>5.9799999999999995</v>
      </c>
      <c r="S297" s="9">
        <f t="shared" si="55"/>
        <v>-5.9799999999999995</v>
      </c>
      <c r="T297" s="9">
        <f t="shared" si="51"/>
        <v>108.60431818181819</v>
      </c>
      <c r="V297" s="1">
        <v>2667.8</v>
      </c>
      <c r="W297" s="1">
        <f t="shared" si="56"/>
        <v>141.90425531914894</v>
      </c>
      <c r="X297" s="1">
        <f t="shared" si="50"/>
        <v>178471.49999999997</v>
      </c>
      <c r="Y297" s="1">
        <f t="shared" si="52"/>
        <v>35734.100000000006</v>
      </c>
      <c r="AA297" s="1">
        <v>15.5503253260155</v>
      </c>
    </row>
    <row r="298" spans="1:27" s="1" customFormat="1" x14ac:dyDescent="0.25">
      <c r="A298" s="72"/>
      <c r="B298" s="5"/>
      <c r="C298" s="3">
        <v>41779</v>
      </c>
      <c r="D298" s="1">
        <v>16.2</v>
      </c>
      <c r="E298" s="1">
        <v>13.6</v>
      </c>
      <c r="F298" s="1">
        <v>21.7</v>
      </c>
      <c r="G298" s="1">
        <f t="shared" ref="G298:G357" si="59">G297+D298</f>
        <v>2309.5999999999995</v>
      </c>
      <c r="H298" s="21">
        <f t="shared" si="53"/>
        <v>290.79999999999995</v>
      </c>
      <c r="J298" s="1">
        <v>11.5</v>
      </c>
      <c r="K298" s="1">
        <f t="shared" ref="K298:K357" si="60">K297+J298</f>
        <v>556.79999999999995</v>
      </c>
      <c r="L298" s="1">
        <v>2.2999999999999998</v>
      </c>
      <c r="M298" s="1">
        <f t="shared" ref="M298:M357" si="61">M297+L298</f>
        <v>333.30000000000024</v>
      </c>
      <c r="N298" s="1">
        <f t="shared" si="57"/>
        <v>9.1999999999999993</v>
      </c>
      <c r="O298" s="1">
        <f t="shared" si="54"/>
        <v>140.19999999999993</v>
      </c>
      <c r="P298" s="1">
        <v>259</v>
      </c>
      <c r="Q298" s="1">
        <v>1.1499999999999999</v>
      </c>
      <c r="R298" s="9">
        <f t="shared" si="58"/>
        <v>2.6449999999999996</v>
      </c>
      <c r="S298" s="9">
        <f t="shared" si="55"/>
        <v>8.8550000000000004</v>
      </c>
      <c r="T298" s="9">
        <f t="shared" si="51"/>
        <v>117.45931818181819</v>
      </c>
      <c r="V298" s="10">
        <v>828.6</v>
      </c>
      <c r="W298" s="1">
        <f t="shared" si="56"/>
        <v>51.148148148148152</v>
      </c>
      <c r="X298" s="1">
        <f t="shared" ref="X298:X357" si="62">X297+V298</f>
        <v>179300.09999999998</v>
      </c>
      <c r="Y298" s="1">
        <f t="shared" si="52"/>
        <v>36562.700000000004</v>
      </c>
      <c r="AA298" s="1">
        <v>15.5924712500165</v>
      </c>
    </row>
    <row r="299" spans="1:27" s="42" customFormat="1" ht="15.75" thickBot="1" x14ac:dyDescent="0.3">
      <c r="A299" s="72"/>
      <c r="B299" s="39"/>
      <c r="C299" s="64">
        <v>41780</v>
      </c>
      <c r="D299" s="42">
        <v>14.8</v>
      </c>
      <c r="E299" s="42">
        <v>12.9</v>
      </c>
      <c r="F299" s="42">
        <v>17.7</v>
      </c>
      <c r="G299" s="42">
        <f t="shared" si="59"/>
        <v>2324.3999999999996</v>
      </c>
      <c r="H299" s="65">
        <f t="shared" si="53"/>
        <v>305.59999999999997</v>
      </c>
      <c r="J299" s="42">
        <v>15</v>
      </c>
      <c r="K299" s="42">
        <f t="shared" si="60"/>
        <v>571.79999999999995</v>
      </c>
      <c r="L299" s="42">
        <v>1.3</v>
      </c>
      <c r="M299" s="42">
        <f t="shared" si="61"/>
        <v>334.60000000000025</v>
      </c>
      <c r="N299" s="42">
        <f t="shared" si="57"/>
        <v>13.7</v>
      </c>
      <c r="O299" s="42">
        <f t="shared" si="54"/>
        <v>153.89999999999992</v>
      </c>
      <c r="P299" s="42">
        <v>260</v>
      </c>
      <c r="Q299" s="42">
        <v>1.1499999999999999</v>
      </c>
      <c r="R299" s="44">
        <f t="shared" si="58"/>
        <v>1.4949999999999999</v>
      </c>
      <c r="S299" s="44">
        <f t="shared" si="55"/>
        <v>13.505000000000001</v>
      </c>
      <c r="T299" s="44">
        <f t="shared" ref="T299:T357" si="63">MIN(189.6,(T298+S299))</f>
        <v>130.96431818181819</v>
      </c>
      <c r="V299" s="66">
        <v>636.20000000000005</v>
      </c>
      <c r="W299" s="42">
        <f t="shared" si="56"/>
        <v>42.986486486486484</v>
      </c>
      <c r="X299" s="42">
        <f t="shared" si="62"/>
        <v>179936.3</v>
      </c>
      <c r="Y299" s="42">
        <f t="shared" si="52"/>
        <v>37198.9</v>
      </c>
      <c r="AA299" s="42">
        <v>15.633702149368199</v>
      </c>
    </row>
    <row r="300" spans="1:27" s="63" customFormat="1" x14ac:dyDescent="0.25">
      <c r="A300" s="73">
        <v>600</v>
      </c>
      <c r="B300" s="61"/>
      <c r="C300" s="62">
        <v>41781</v>
      </c>
      <c r="D300" s="63">
        <v>14.9</v>
      </c>
      <c r="E300" s="63">
        <v>12.9</v>
      </c>
      <c r="F300" s="63">
        <v>18.600000000000001</v>
      </c>
      <c r="G300" s="63">
        <f t="shared" si="59"/>
        <v>2339.2999999999997</v>
      </c>
      <c r="H300" s="21">
        <f>D300</f>
        <v>14.9</v>
      </c>
      <c r="I300" s="32" t="s">
        <v>2</v>
      </c>
      <c r="J300" s="63">
        <v>2.2000000000000002</v>
      </c>
      <c r="K300" s="63">
        <f t="shared" si="60"/>
        <v>574</v>
      </c>
      <c r="L300" s="63">
        <v>3</v>
      </c>
      <c r="M300" s="63">
        <f t="shared" si="61"/>
        <v>337.60000000000025</v>
      </c>
      <c r="N300" s="63">
        <f t="shared" si="57"/>
        <v>-0.79999999999999982</v>
      </c>
      <c r="O300" s="21">
        <f t="shared" si="54"/>
        <v>153.09999999999991</v>
      </c>
      <c r="P300" s="21">
        <v>261</v>
      </c>
      <c r="Q300" s="11">
        <f>1.15+((P300-260)/58)*(0.35-1.15)</f>
        <v>1.136206896551724</v>
      </c>
      <c r="R300" s="22">
        <f t="shared" si="58"/>
        <v>3.4086206896551721</v>
      </c>
      <c r="S300" s="22">
        <f t="shared" si="55"/>
        <v>-1.2086206896551719</v>
      </c>
      <c r="T300" s="22">
        <f t="shared" si="63"/>
        <v>129.75569749216302</v>
      </c>
      <c r="U300" s="32" t="s">
        <v>9</v>
      </c>
      <c r="V300" s="63">
        <v>1750.5</v>
      </c>
      <c r="W300" s="63">
        <f t="shared" si="56"/>
        <v>117.48322147651007</v>
      </c>
      <c r="X300" s="63">
        <f t="shared" si="62"/>
        <v>181686.8</v>
      </c>
      <c r="Y300" s="1">
        <f>V300</f>
        <v>1750.5</v>
      </c>
      <c r="Z300" s="32" t="s">
        <v>4</v>
      </c>
      <c r="AA300" s="21">
        <v>15.6739898011683</v>
      </c>
    </row>
    <row r="301" spans="1:27" s="1" customFormat="1" ht="15" customHeight="1" x14ac:dyDescent="0.25">
      <c r="A301" s="73"/>
      <c r="B301" s="5"/>
      <c r="C301" s="3">
        <v>41782</v>
      </c>
      <c r="D301" s="1">
        <v>14.1</v>
      </c>
      <c r="E301" s="1">
        <v>10.5</v>
      </c>
      <c r="F301" s="1">
        <v>17.3</v>
      </c>
      <c r="G301" s="1">
        <f t="shared" si="59"/>
        <v>2353.3999999999996</v>
      </c>
      <c r="H301" s="21">
        <f t="shared" si="53"/>
        <v>29</v>
      </c>
      <c r="I301" s="1">
        <f>MIN(E300:E319)</f>
        <v>7.4</v>
      </c>
      <c r="J301" s="1">
        <v>4</v>
      </c>
      <c r="K301" s="1">
        <f t="shared" si="60"/>
        <v>578</v>
      </c>
      <c r="L301" s="1">
        <v>2.9</v>
      </c>
      <c r="M301" s="1">
        <f t="shared" si="61"/>
        <v>340.50000000000023</v>
      </c>
      <c r="N301" s="1">
        <f t="shared" si="57"/>
        <v>1.1000000000000001</v>
      </c>
      <c r="O301" s="1">
        <f t="shared" si="54"/>
        <v>154.1999999999999</v>
      </c>
      <c r="P301" s="1">
        <v>262</v>
      </c>
      <c r="Q301" s="11">
        <f t="shared" ref="Q301:Q357" si="64">1.15+((P301-260)/58)*(0.35-1.15)</f>
        <v>1.1224137931034481</v>
      </c>
      <c r="R301" s="9">
        <f t="shared" si="58"/>
        <v>3.2549999999999994</v>
      </c>
      <c r="S301" s="9">
        <f t="shared" si="55"/>
        <v>0.74500000000000055</v>
      </c>
      <c r="T301" s="9">
        <f t="shared" si="63"/>
        <v>130.50069749216303</v>
      </c>
      <c r="U301" s="1">
        <v>0</v>
      </c>
      <c r="V301" s="1">
        <v>1875.3</v>
      </c>
      <c r="W301" s="1">
        <f t="shared" si="56"/>
        <v>133</v>
      </c>
      <c r="X301" s="1">
        <f t="shared" si="62"/>
        <v>183562.09999999998</v>
      </c>
      <c r="Y301" s="1">
        <f t="shared" si="52"/>
        <v>3625.8</v>
      </c>
      <c r="Z301" s="1">
        <v>28883.1</v>
      </c>
      <c r="AA301" s="1">
        <v>15.7133058762291</v>
      </c>
    </row>
    <row r="302" spans="1:27" s="1" customFormat="1" x14ac:dyDescent="0.25">
      <c r="A302" s="73"/>
      <c r="B302" s="5"/>
      <c r="C302" s="3">
        <v>41783</v>
      </c>
      <c r="D302" s="1">
        <v>12.7</v>
      </c>
      <c r="E302" s="1">
        <v>10.9</v>
      </c>
      <c r="F302" s="1">
        <v>14.9</v>
      </c>
      <c r="G302" s="1">
        <f t="shared" si="59"/>
        <v>2366.0999999999995</v>
      </c>
      <c r="H302" s="21">
        <f t="shared" si="53"/>
        <v>41.7</v>
      </c>
      <c r="I302" s="32" t="s">
        <v>5</v>
      </c>
      <c r="J302" s="1">
        <v>2.6</v>
      </c>
      <c r="K302" s="1">
        <f t="shared" si="60"/>
        <v>580.6</v>
      </c>
      <c r="L302" s="1">
        <v>2</v>
      </c>
      <c r="M302" s="1">
        <f t="shared" si="61"/>
        <v>342.50000000000023</v>
      </c>
      <c r="N302" s="1">
        <f t="shared" si="57"/>
        <v>0.60000000000000009</v>
      </c>
      <c r="O302" s="1">
        <f t="shared" si="54"/>
        <v>154.7999999999999</v>
      </c>
      <c r="P302" s="1">
        <v>263</v>
      </c>
      <c r="Q302" s="11">
        <f t="shared" si="64"/>
        <v>1.1086206896551722</v>
      </c>
      <c r="R302" s="9">
        <f t="shared" si="58"/>
        <v>2.2172413793103445</v>
      </c>
      <c r="S302" s="9">
        <f t="shared" si="55"/>
        <v>0.3827586206896556</v>
      </c>
      <c r="T302" s="9">
        <f t="shared" si="63"/>
        <v>130.88345611285268</v>
      </c>
      <c r="U302" s="32" t="s">
        <v>12</v>
      </c>
      <c r="V302" s="1">
        <v>1144.5999999999999</v>
      </c>
      <c r="W302" s="1">
        <f t="shared" si="56"/>
        <v>90.125984251968504</v>
      </c>
      <c r="X302" s="1">
        <f t="shared" si="62"/>
        <v>184706.69999999998</v>
      </c>
      <c r="Y302" s="1">
        <f t="shared" si="52"/>
        <v>4770.3999999999996</v>
      </c>
      <c r="Z302" s="32" t="s">
        <v>7</v>
      </c>
      <c r="AA302" s="1">
        <v>15.751621995070099</v>
      </c>
    </row>
    <row r="303" spans="1:27" s="1" customFormat="1" x14ac:dyDescent="0.25">
      <c r="A303" s="73"/>
      <c r="B303" s="5"/>
      <c r="C303" s="3">
        <v>41784</v>
      </c>
      <c r="D303" s="1">
        <v>14.3</v>
      </c>
      <c r="E303" s="1">
        <v>9.3000000000000007</v>
      </c>
      <c r="F303" s="1">
        <v>18.3</v>
      </c>
      <c r="G303" s="1">
        <f t="shared" si="59"/>
        <v>2380.3999999999996</v>
      </c>
      <c r="H303" s="21">
        <f t="shared" si="53"/>
        <v>56</v>
      </c>
      <c r="I303" s="1">
        <f>MAX(F300:F319)</f>
        <v>25.5</v>
      </c>
      <c r="J303" s="1">
        <v>0.9</v>
      </c>
      <c r="K303" s="1">
        <f t="shared" si="60"/>
        <v>581.5</v>
      </c>
      <c r="L303" s="1">
        <v>2.4</v>
      </c>
      <c r="M303" s="1">
        <f t="shared" si="61"/>
        <v>344.9000000000002</v>
      </c>
      <c r="N303" s="8">
        <f t="shared" si="57"/>
        <v>-1.5</v>
      </c>
      <c r="O303" s="1">
        <f t="shared" si="54"/>
        <v>153.2999999999999</v>
      </c>
      <c r="P303" s="1">
        <v>264</v>
      </c>
      <c r="Q303" s="11">
        <f t="shared" si="64"/>
        <v>1.0948275862068966</v>
      </c>
      <c r="R303" s="9">
        <f t="shared" si="58"/>
        <v>2.6275862068965519</v>
      </c>
      <c r="S303" s="9">
        <f t="shared" si="55"/>
        <v>-1.727586206896552</v>
      </c>
      <c r="T303" s="9">
        <f t="shared" si="63"/>
        <v>129.15586990595614</v>
      </c>
      <c r="U303" s="1">
        <v>0</v>
      </c>
      <c r="V303" s="1">
        <v>1625.2</v>
      </c>
      <c r="W303" s="1">
        <f t="shared" si="56"/>
        <v>113.65034965034965</v>
      </c>
      <c r="X303" s="1">
        <f t="shared" si="62"/>
        <v>186331.9</v>
      </c>
      <c r="Y303" s="1">
        <f t="shared" si="52"/>
        <v>6395.5999999999995</v>
      </c>
      <c r="Z303" s="11">
        <f>(Z301/100)/I313</f>
        <v>0.95323762376237609</v>
      </c>
      <c r="AA303" s="1">
        <v>15.7889097870295</v>
      </c>
    </row>
    <row r="304" spans="1:27" s="1" customFormat="1" x14ac:dyDescent="0.25">
      <c r="A304" s="73"/>
      <c r="B304" s="5"/>
      <c r="C304" s="3">
        <v>41785</v>
      </c>
      <c r="D304" s="1">
        <v>12.9</v>
      </c>
      <c r="E304" s="1">
        <v>11.4</v>
      </c>
      <c r="F304" s="1">
        <v>14.2</v>
      </c>
      <c r="G304" s="1">
        <f t="shared" si="59"/>
        <v>2393.2999999999997</v>
      </c>
      <c r="H304" s="21">
        <f t="shared" si="53"/>
        <v>68.900000000000006</v>
      </c>
      <c r="I304" s="32" t="s">
        <v>8</v>
      </c>
      <c r="J304" s="1">
        <v>8.1999999999999993</v>
      </c>
      <c r="K304" s="1">
        <f t="shared" si="60"/>
        <v>589.70000000000005</v>
      </c>
      <c r="L304" s="1">
        <v>1.2</v>
      </c>
      <c r="M304" s="1">
        <f t="shared" si="61"/>
        <v>346.10000000000019</v>
      </c>
      <c r="N304" s="1">
        <f t="shared" si="57"/>
        <v>6.9999999999999991</v>
      </c>
      <c r="O304" s="1">
        <f t="shared" si="54"/>
        <v>160.2999999999999</v>
      </c>
      <c r="P304" s="1">
        <v>265</v>
      </c>
      <c r="Q304" s="11">
        <f t="shared" si="64"/>
        <v>1.0810344827586207</v>
      </c>
      <c r="R304" s="9">
        <f t="shared" si="58"/>
        <v>1.2972413793103448</v>
      </c>
      <c r="S304" s="9">
        <f t="shared" si="55"/>
        <v>6.9027586206896547</v>
      </c>
      <c r="T304" s="9">
        <f t="shared" si="63"/>
        <v>136.0586285266458</v>
      </c>
      <c r="U304" s="32" t="s">
        <v>14</v>
      </c>
      <c r="V304" s="10">
        <v>680.9</v>
      </c>
      <c r="W304" s="1">
        <f t="shared" si="56"/>
        <v>52.782945736434108</v>
      </c>
      <c r="X304" s="1">
        <f t="shared" si="62"/>
        <v>187012.8</v>
      </c>
      <c r="Y304" s="1">
        <f t="shared" si="52"/>
        <v>7076.4999999999991</v>
      </c>
      <c r="Z304" s="32" t="s">
        <v>10</v>
      </c>
      <c r="AA304" s="1">
        <v>15.825140952375</v>
      </c>
    </row>
    <row r="305" spans="1:27" s="1" customFormat="1" x14ac:dyDescent="0.25">
      <c r="A305" s="73"/>
      <c r="B305" s="5"/>
      <c r="C305" s="3">
        <v>41786</v>
      </c>
      <c r="D305" s="1">
        <v>13.5</v>
      </c>
      <c r="E305" s="1">
        <v>12.9</v>
      </c>
      <c r="F305" s="1">
        <v>15.3</v>
      </c>
      <c r="G305" s="1">
        <f t="shared" si="59"/>
        <v>2406.7999999999997</v>
      </c>
      <c r="H305" s="21">
        <f t="shared" si="53"/>
        <v>82.4</v>
      </c>
      <c r="I305" s="9">
        <f>AVERAGE(D300:D319)</f>
        <v>15.15</v>
      </c>
      <c r="J305" s="1">
        <v>0</v>
      </c>
      <c r="K305" s="1">
        <f t="shared" si="60"/>
        <v>589.70000000000005</v>
      </c>
      <c r="L305" s="1">
        <v>1.3</v>
      </c>
      <c r="M305" s="1">
        <f t="shared" si="61"/>
        <v>347.4000000000002</v>
      </c>
      <c r="N305" s="8">
        <f t="shared" si="57"/>
        <v>-1.3</v>
      </c>
      <c r="O305" s="1">
        <f t="shared" si="54"/>
        <v>158.99999999999989</v>
      </c>
      <c r="P305" s="1">
        <v>266</v>
      </c>
      <c r="Q305" s="11">
        <f t="shared" si="64"/>
        <v>1.0672413793103448</v>
      </c>
      <c r="R305" s="9">
        <f t="shared" si="58"/>
        <v>1.3874137931034483</v>
      </c>
      <c r="S305" s="9">
        <f t="shared" si="55"/>
        <v>-1.3874137931034483</v>
      </c>
      <c r="T305" s="9">
        <f t="shared" si="63"/>
        <v>134.67121473354234</v>
      </c>
      <c r="U305" s="9">
        <f>MIN(T300:T319)</f>
        <v>119.923973354232</v>
      </c>
      <c r="V305" s="10">
        <v>580.70000000000005</v>
      </c>
      <c r="W305" s="1">
        <f t="shared" si="56"/>
        <v>43.014814814814819</v>
      </c>
      <c r="X305" s="1">
        <f t="shared" si="62"/>
        <v>187593.5</v>
      </c>
      <c r="Y305" s="1">
        <f t="shared" si="52"/>
        <v>7657.1999999999989</v>
      </c>
      <c r="Z305" s="1">
        <v>5</v>
      </c>
      <c r="AA305" s="1">
        <v>15.8602873272624</v>
      </c>
    </row>
    <row r="306" spans="1:27" s="1" customFormat="1" x14ac:dyDescent="0.25">
      <c r="A306" s="73"/>
      <c r="B306" s="5"/>
      <c r="C306" s="3">
        <v>41787</v>
      </c>
      <c r="D306" s="1">
        <v>12.6</v>
      </c>
      <c r="E306" s="1">
        <v>12.2</v>
      </c>
      <c r="F306" s="1">
        <v>13.3</v>
      </c>
      <c r="G306" s="1">
        <f t="shared" si="59"/>
        <v>2419.3999999999996</v>
      </c>
      <c r="H306" s="21">
        <f t="shared" si="53"/>
        <v>95</v>
      </c>
      <c r="I306" s="32" t="s">
        <v>11</v>
      </c>
      <c r="J306" s="1">
        <v>0.3</v>
      </c>
      <c r="K306" s="1">
        <f t="shared" si="60"/>
        <v>590</v>
      </c>
      <c r="L306" s="1">
        <v>1.4</v>
      </c>
      <c r="M306" s="1">
        <f t="shared" si="61"/>
        <v>348.80000000000018</v>
      </c>
      <c r="N306" s="8">
        <f t="shared" si="57"/>
        <v>-1.0999999999999999</v>
      </c>
      <c r="O306" s="1">
        <f t="shared" si="54"/>
        <v>157.89999999999989</v>
      </c>
      <c r="P306" s="1">
        <v>267</v>
      </c>
      <c r="Q306" s="11">
        <f t="shared" si="64"/>
        <v>1.0534482758620689</v>
      </c>
      <c r="R306" s="9">
        <f t="shared" si="58"/>
        <v>1.4748275862068965</v>
      </c>
      <c r="S306" s="9">
        <f t="shared" si="55"/>
        <v>-1.1748275862068964</v>
      </c>
      <c r="T306" s="9">
        <f t="shared" si="63"/>
        <v>133.49638714733544</v>
      </c>
      <c r="U306" s="32" t="s">
        <v>16</v>
      </c>
      <c r="V306" s="10">
        <v>833.3</v>
      </c>
      <c r="W306" s="1">
        <f t="shared" si="56"/>
        <v>66.134920634920633</v>
      </c>
      <c r="X306" s="1">
        <f t="shared" si="62"/>
        <v>188426.8</v>
      </c>
      <c r="Y306" s="1">
        <f t="shared" si="52"/>
        <v>8490.4999999999982</v>
      </c>
      <c r="AA306" s="1">
        <v>15.894320951357299</v>
      </c>
    </row>
    <row r="307" spans="1:27" s="1" customFormat="1" x14ac:dyDescent="0.25">
      <c r="A307" s="73"/>
      <c r="B307" s="5"/>
      <c r="C307" s="3">
        <v>41788</v>
      </c>
      <c r="D307" s="1">
        <v>14.6</v>
      </c>
      <c r="E307" s="1">
        <v>11.8</v>
      </c>
      <c r="F307" s="1">
        <v>17.899999999999999</v>
      </c>
      <c r="G307" s="1">
        <f t="shared" si="59"/>
        <v>2433.9999999999995</v>
      </c>
      <c r="H307" s="21">
        <f t="shared" si="53"/>
        <v>109.6</v>
      </c>
      <c r="I307" s="1">
        <v>0</v>
      </c>
      <c r="J307" s="1">
        <v>0</v>
      </c>
      <c r="K307" s="1">
        <f t="shared" si="60"/>
        <v>590</v>
      </c>
      <c r="L307" s="1">
        <v>2.2999999999999998</v>
      </c>
      <c r="M307" s="1">
        <f t="shared" si="61"/>
        <v>351.10000000000019</v>
      </c>
      <c r="N307" s="8">
        <f t="shared" si="57"/>
        <v>-2.2999999999999998</v>
      </c>
      <c r="O307" s="1">
        <f t="shared" si="54"/>
        <v>155.59999999999988</v>
      </c>
      <c r="P307" s="1">
        <v>268</v>
      </c>
      <c r="Q307" s="11">
        <f t="shared" si="64"/>
        <v>1.039655172413793</v>
      </c>
      <c r="R307" s="9">
        <f t="shared" si="58"/>
        <v>2.3912068965517239</v>
      </c>
      <c r="S307" s="9">
        <f t="shared" si="55"/>
        <v>-2.3912068965517239</v>
      </c>
      <c r="T307" s="9">
        <f t="shared" si="63"/>
        <v>131.10518025078372</v>
      </c>
      <c r="U307" s="9">
        <f>MAX(T300:T319)</f>
        <v>148.26931818181822</v>
      </c>
      <c r="V307" s="1">
        <v>1279.0999999999999</v>
      </c>
      <c r="W307" s="1">
        <f t="shared" si="56"/>
        <v>87.609589041095887</v>
      </c>
      <c r="X307" s="1">
        <f t="shared" si="62"/>
        <v>189705.9</v>
      </c>
      <c r="Y307" s="1">
        <f t="shared" ref="Y307:Y357" si="65">Y306+V307</f>
        <v>9769.5999999999985</v>
      </c>
      <c r="AA307" s="1">
        <v>15.927214137905599</v>
      </c>
    </row>
    <row r="308" spans="1:27" s="1" customFormat="1" x14ac:dyDescent="0.25">
      <c r="A308" s="73"/>
      <c r="B308" s="5"/>
      <c r="C308" s="3">
        <v>41789</v>
      </c>
      <c r="D308" s="1">
        <v>15</v>
      </c>
      <c r="E308" s="1">
        <v>12.4</v>
      </c>
      <c r="F308" s="1">
        <v>18.3</v>
      </c>
      <c r="G308" s="1">
        <f t="shared" si="59"/>
        <v>2448.9999999999995</v>
      </c>
      <c r="H308" s="21">
        <f t="shared" si="53"/>
        <v>124.6</v>
      </c>
      <c r="I308" s="32" t="s">
        <v>13</v>
      </c>
      <c r="J308" s="1">
        <v>0</v>
      </c>
      <c r="K308" s="1">
        <f t="shared" si="60"/>
        <v>590</v>
      </c>
      <c r="L308" s="1">
        <v>3.4</v>
      </c>
      <c r="M308" s="1">
        <f t="shared" si="61"/>
        <v>354.50000000000017</v>
      </c>
      <c r="N308" s="8">
        <f t="shared" si="57"/>
        <v>-3.4</v>
      </c>
      <c r="O308" s="1">
        <f t="shared" si="54"/>
        <v>152.19999999999987</v>
      </c>
      <c r="P308" s="1">
        <v>269</v>
      </c>
      <c r="Q308" s="11">
        <f t="shared" si="64"/>
        <v>1.0258620689655171</v>
      </c>
      <c r="R308" s="9">
        <f t="shared" si="58"/>
        <v>3.4879310344827581</v>
      </c>
      <c r="S308" s="9">
        <f t="shared" si="55"/>
        <v>-3.4879310344827581</v>
      </c>
      <c r="T308" s="9">
        <f t="shared" si="63"/>
        <v>127.61724921630096</v>
      </c>
      <c r="U308" s="32" t="s">
        <v>18</v>
      </c>
      <c r="V308" s="1">
        <v>2064.3000000000002</v>
      </c>
      <c r="W308" s="1">
        <f t="shared" si="56"/>
        <v>137.62</v>
      </c>
      <c r="X308" s="1">
        <f t="shared" si="62"/>
        <v>191770.19999999998</v>
      </c>
      <c r="Y308" s="1">
        <f t="shared" si="65"/>
        <v>11833.899999999998</v>
      </c>
      <c r="AA308" s="1">
        <v>15.958939545999501</v>
      </c>
    </row>
    <row r="309" spans="1:27" s="1" customFormat="1" x14ac:dyDescent="0.25">
      <c r="A309" s="73"/>
      <c r="B309" s="5"/>
      <c r="C309" s="3">
        <v>41790</v>
      </c>
      <c r="D309" s="1">
        <v>13.4</v>
      </c>
      <c r="E309" s="1">
        <v>10.7</v>
      </c>
      <c r="F309" s="1">
        <v>18</v>
      </c>
      <c r="G309" s="1">
        <f t="shared" si="59"/>
        <v>2462.3999999999996</v>
      </c>
      <c r="H309" s="21">
        <f t="shared" si="53"/>
        <v>138</v>
      </c>
      <c r="I309" s="1">
        <v>2</v>
      </c>
      <c r="J309" s="1">
        <v>0</v>
      </c>
      <c r="K309" s="1">
        <f t="shared" si="60"/>
        <v>590</v>
      </c>
      <c r="L309" s="1">
        <v>3.3</v>
      </c>
      <c r="M309" s="1">
        <f t="shared" si="61"/>
        <v>357.80000000000018</v>
      </c>
      <c r="N309" s="8">
        <f t="shared" si="57"/>
        <v>-3.3</v>
      </c>
      <c r="O309" s="1">
        <f t="shared" si="54"/>
        <v>148.89999999999986</v>
      </c>
      <c r="P309" s="1">
        <v>270</v>
      </c>
      <c r="Q309" s="11">
        <f t="shared" si="64"/>
        <v>1.0120689655172412</v>
      </c>
      <c r="R309" s="9">
        <f t="shared" si="58"/>
        <v>3.339827586206896</v>
      </c>
      <c r="S309" s="9">
        <f t="shared" si="55"/>
        <v>-3.339827586206896</v>
      </c>
      <c r="T309" s="9">
        <f t="shared" si="63"/>
        <v>124.27742163009407</v>
      </c>
      <c r="U309" s="11">
        <f>AVERAGE(T300:T319)</f>
        <v>131.87666300940441</v>
      </c>
      <c r="V309" s="1">
        <v>1917.2</v>
      </c>
      <c r="W309" s="1">
        <f t="shared" si="56"/>
        <v>143.07462686567163</v>
      </c>
      <c r="X309" s="1">
        <f t="shared" si="62"/>
        <v>193687.4</v>
      </c>
      <c r="Y309" s="1">
        <f t="shared" si="65"/>
        <v>13751.099999999999</v>
      </c>
      <c r="AA309" s="1">
        <v>15.989470254758499</v>
      </c>
    </row>
    <row r="310" spans="1:27" s="1" customFormat="1" x14ac:dyDescent="0.25">
      <c r="A310" s="73"/>
      <c r="B310" s="5"/>
      <c r="C310" s="3">
        <v>41791</v>
      </c>
      <c r="D310" s="1">
        <v>12.7</v>
      </c>
      <c r="E310" s="1">
        <v>7.4</v>
      </c>
      <c r="F310" s="1">
        <v>17.399999999999999</v>
      </c>
      <c r="G310" s="1">
        <f t="shared" si="59"/>
        <v>2475.0999999999995</v>
      </c>
      <c r="H310" s="21">
        <f t="shared" si="53"/>
        <v>150.69999999999999</v>
      </c>
      <c r="I310" s="32" t="s">
        <v>15</v>
      </c>
      <c r="J310" s="1">
        <v>0</v>
      </c>
      <c r="K310" s="1">
        <f t="shared" si="60"/>
        <v>590</v>
      </c>
      <c r="L310" s="1">
        <v>1.8</v>
      </c>
      <c r="M310" s="1">
        <f t="shared" si="61"/>
        <v>359.60000000000019</v>
      </c>
      <c r="N310" s="8">
        <f t="shared" si="57"/>
        <v>-1.8</v>
      </c>
      <c r="O310" s="1">
        <f t="shared" si="54"/>
        <v>147.09999999999985</v>
      </c>
      <c r="P310" s="1">
        <v>271</v>
      </c>
      <c r="Q310" s="11">
        <f t="shared" si="64"/>
        <v>0.99827586206896546</v>
      </c>
      <c r="R310" s="9">
        <f t="shared" si="58"/>
        <v>1.7968965517241378</v>
      </c>
      <c r="S310" s="9">
        <f t="shared" si="55"/>
        <v>-1.7968965517241378</v>
      </c>
      <c r="T310" s="9">
        <f t="shared" si="63"/>
        <v>122.48052507836994</v>
      </c>
      <c r="V310" s="1">
        <v>1138.0999999999999</v>
      </c>
      <c r="W310" s="1">
        <f t="shared" si="56"/>
        <v>89.614173228346459</v>
      </c>
      <c r="X310" s="1">
        <f t="shared" si="62"/>
        <v>194825.5</v>
      </c>
      <c r="Y310" s="1">
        <f t="shared" si="65"/>
        <v>14889.199999999999</v>
      </c>
      <c r="AA310" s="1">
        <v>16.018779839104699</v>
      </c>
    </row>
    <row r="311" spans="1:27" s="1" customFormat="1" x14ac:dyDescent="0.25">
      <c r="A311" s="73"/>
      <c r="B311" s="5"/>
      <c r="C311" s="3">
        <v>41792</v>
      </c>
      <c r="D311" s="1">
        <v>14</v>
      </c>
      <c r="E311" s="1">
        <v>9</v>
      </c>
      <c r="F311" s="1">
        <v>18.100000000000001</v>
      </c>
      <c r="G311" s="1">
        <f t="shared" si="59"/>
        <v>2489.0999999999995</v>
      </c>
      <c r="H311" s="21">
        <f t="shared" si="53"/>
        <v>164.7</v>
      </c>
      <c r="I311" s="1">
        <v>0</v>
      </c>
      <c r="J311" s="1">
        <v>0.2</v>
      </c>
      <c r="K311" s="1">
        <f t="shared" si="60"/>
        <v>590.20000000000005</v>
      </c>
      <c r="L311" s="1">
        <v>2.8</v>
      </c>
      <c r="M311" s="1">
        <f t="shared" si="61"/>
        <v>362.4000000000002</v>
      </c>
      <c r="N311" s="8">
        <f t="shared" si="57"/>
        <v>-2.5999999999999996</v>
      </c>
      <c r="O311" s="1">
        <f t="shared" si="54"/>
        <v>144.49999999999986</v>
      </c>
      <c r="P311" s="1">
        <v>272</v>
      </c>
      <c r="Q311" s="11">
        <f t="shared" si="64"/>
        <v>0.98448275862068957</v>
      </c>
      <c r="R311" s="9">
        <f t="shared" si="58"/>
        <v>2.7565517241379305</v>
      </c>
      <c r="S311" s="9">
        <f t="shared" si="55"/>
        <v>-2.5565517241379303</v>
      </c>
      <c r="T311" s="9">
        <f t="shared" si="63"/>
        <v>119.923973354232</v>
      </c>
      <c r="U311" s="9">
        <f>(U309*100)/189.6</f>
        <v>69.555202009179538</v>
      </c>
      <c r="V311" s="1">
        <v>1872.2</v>
      </c>
      <c r="W311" s="1">
        <f t="shared" si="56"/>
        <v>133.72857142857143</v>
      </c>
      <c r="X311" s="1">
        <f t="shared" si="62"/>
        <v>196697.7</v>
      </c>
      <c r="Y311" s="1">
        <f t="shared" si="65"/>
        <v>16761.399999999998</v>
      </c>
      <c r="AA311" s="1">
        <v>16.046842446784598</v>
      </c>
    </row>
    <row r="312" spans="1:27" s="1" customFormat="1" x14ac:dyDescent="0.25">
      <c r="A312" s="73"/>
      <c r="B312" s="5"/>
      <c r="C312" s="3">
        <v>41793</v>
      </c>
      <c r="D312" s="1">
        <v>14.8</v>
      </c>
      <c r="E312" s="1">
        <v>11.9</v>
      </c>
      <c r="F312" s="1">
        <v>16.899999999999999</v>
      </c>
      <c r="G312" s="1">
        <f t="shared" si="59"/>
        <v>2503.8999999999996</v>
      </c>
      <c r="H312" s="21">
        <f t="shared" si="53"/>
        <v>179.5</v>
      </c>
      <c r="I312" s="32" t="s">
        <v>17</v>
      </c>
      <c r="J312" s="1">
        <v>8.8000000000000007</v>
      </c>
      <c r="K312" s="1">
        <f t="shared" si="60"/>
        <v>599</v>
      </c>
      <c r="L312" s="1">
        <v>1.5</v>
      </c>
      <c r="M312" s="1">
        <f t="shared" si="61"/>
        <v>363.9000000000002</v>
      </c>
      <c r="N312" s="1">
        <f t="shared" si="57"/>
        <v>7.3000000000000007</v>
      </c>
      <c r="O312" s="1">
        <f t="shared" si="54"/>
        <v>151.79999999999987</v>
      </c>
      <c r="P312" s="1">
        <v>273</v>
      </c>
      <c r="Q312" s="11">
        <f t="shared" si="64"/>
        <v>0.97068965517241368</v>
      </c>
      <c r="R312" s="9">
        <f t="shared" si="58"/>
        <v>1.4560344827586205</v>
      </c>
      <c r="S312" s="9">
        <f t="shared" si="55"/>
        <v>7.3439655172413802</v>
      </c>
      <c r="T312" s="9">
        <f t="shared" si="63"/>
        <v>127.26793887147339</v>
      </c>
      <c r="V312" s="1">
        <v>1008.1</v>
      </c>
      <c r="W312" s="1">
        <f t="shared" si="56"/>
        <v>68.114864864864856</v>
      </c>
      <c r="X312" s="1">
        <f t="shared" si="62"/>
        <v>197705.80000000002</v>
      </c>
      <c r="Y312" s="1">
        <f t="shared" si="65"/>
        <v>17769.499999999996</v>
      </c>
      <c r="AA312" s="1">
        <v>16.073632876255999</v>
      </c>
    </row>
    <row r="313" spans="1:27" s="1" customFormat="1" x14ac:dyDescent="0.25">
      <c r="A313" s="73"/>
      <c r="B313" s="5"/>
      <c r="C313" s="3">
        <v>41794</v>
      </c>
      <c r="D313" s="1">
        <v>13.1</v>
      </c>
      <c r="E313" s="1">
        <v>12.8</v>
      </c>
      <c r="F313" s="1">
        <v>16.399999999999999</v>
      </c>
      <c r="G313" s="1">
        <f t="shared" si="59"/>
        <v>2516.9999999999995</v>
      </c>
      <c r="H313" s="21">
        <f t="shared" si="53"/>
        <v>192.6</v>
      </c>
      <c r="I313" s="1">
        <v>303</v>
      </c>
      <c r="J313" s="1">
        <v>14.3</v>
      </c>
      <c r="K313" s="1">
        <f t="shared" si="60"/>
        <v>613.29999999999995</v>
      </c>
      <c r="L313" s="1">
        <v>1.9</v>
      </c>
      <c r="M313" s="1">
        <f t="shared" si="61"/>
        <v>365.80000000000018</v>
      </c>
      <c r="N313" s="1">
        <f t="shared" si="57"/>
        <v>12.4</v>
      </c>
      <c r="O313" s="1">
        <f t="shared" si="54"/>
        <v>164.19999999999987</v>
      </c>
      <c r="P313" s="1">
        <v>274</v>
      </c>
      <c r="Q313" s="11">
        <f t="shared" si="64"/>
        <v>0.9568965517241379</v>
      </c>
      <c r="R313" s="9">
        <f t="shared" si="58"/>
        <v>1.818103448275862</v>
      </c>
      <c r="S313" s="9">
        <f t="shared" si="55"/>
        <v>12.481896551724139</v>
      </c>
      <c r="T313" s="9">
        <f t="shared" si="63"/>
        <v>139.74983542319754</v>
      </c>
      <c r="V313" s="10">
        <v>886.7</v>
      </c>
      <c r="W313" s="1">
        <f t="shared" si="56"/>
        <v>67.687022900763367</v>
      </c>
      <c r="X313" s="1">
        <f t="shared" si="62"/>
        <v>198592.50000000003</v>
      </c>
      <c r="Y313" s="1">
        <f t="shared" si="65"/>
        <v>18656.199999999997</v>
      </c>
      <c r="AA313" s="1">
        <v>16.0991266550297</v>
      </c>
    </row>
    <row r="314" spans="1:27" s="1" customFormat="1" x14ac:dyDescent="0.25">
      <c r="A314" s="73"/>
      <c r="B314" s="5"/>
      <c r="C314" s="3">
        <v>41795</v>
      </c>
      <c r="D314" s="1">
        <v>13.3</v>
      </c>
      <c r="E314" s="1">
        <v>7.5</v>
      </c>
      <c r="F314" s="1">
        <v>17.7</v>
      </c>
      <c r="G314" s="1">
        <f t="shared" si="59"/>
        <v>2530.2999999999997</v>
      </c>
      <c r="H314" s="21">
        <f t="shared" si="53"/>
        <v>205.9</v>
      </c>
      <c r="J314" s="1">
        <v>0</v>
      </c>
      <c r="K314" s="1">
        <f t="shared" si="60"/>
        <v>613.29999999999995</v>
      </c>
      <c r="L314" s="1">
        <v>2.8</v>
      </c>
      <c r="M314" s="1">
        <f t="shared" si="61"/>
        <v>368.60000000000019</v>
      </c>
      <c r="N314" s="8">
        <f t="shared" si="57"/>
        <v>-2.8</v>
      </c>
      <c r="O314" s="1">
        <f t="shared" si="54"/>
        <v>161.39999999999986</v>
      </c>
      <c r="P314" s="1">
        <v>275</v>
      </c>
      <c r="Q314" s="11">
        <f t="shared" si="64"/>
        <v>0.94310344827586201</v>
      </c>
      <c r="R314" s="9">
        <f t="shared" si="58"/>
        <v>2.6406896551724133</v>
      </c>
      <c r="S314" s="9">
        <f t="shared" si="55"/>
        <v>-2.6406896551724133</v>
      </c>
      <c r="T314" s="9">
        <f t="shared" si="63"/>
        <v>137.10914576802512</v>
      </c>
      <c r="V314" s="1">
        <v>1859.6</v>
      </c>
      <c r="W314" s="1">
        <f t="shared" si="56"/>
        <v>139.81954887218043</v>
      </c>
      <c r="X314" s="1">
        <f t="shared" si="62"/>
        <v>200452.10000000003</v>
      </c>
      <c r="Y314" s="1">
        <f t="shared" si="65"/>
        <v>20515.799999999996</v>
      </c>
      <c r="AA314" s="1">
        <v>16.1233001180291</v>
      </c>
    </row>
    <row r="315" spans="1:27" s="1" customFormat="1" x14ac:dyDescent="0.25">
      <c r="A315" s="73"/>
      <c r="B315" s="5"/>
      <c r="C315" s="3">
        <v>41796</v>
      </c>
      <c r="D315" s="1">
        <v>18</v>
      </c>
      <c r="E315" s="1">
        <v>9.6</v>
      </c>
      <c r="F315" s="1">
        <v>23.4</v>
      </c>
      <c r="G315" s="1">
        <f t="shared" si="59"/>
        <v>2548.2999999999997</v>
      </c>
      <c r="H315" s="21">
        <f t="shared" si="53"/>
        <v>223.9</v>
      </c>
      <c r="J315" s="1">
        <v>0</v>
      </c>
      <c r="K315" s="1">
        <f t="shared" si="60"/>
        <v>613.29999999999995</v>
      </c>
      <c r="L315" s="1">
        <v>4.4000000000000004</v>
      </c>
      <c r="M315" s="1">
        <f t="shared" si="61"/>
        <v>373.00000000000017</v>
      </c>
      <c r="N315" s="8">
        <f t="shared" si="57"/>
        <v>-4.4000000000000004</v>
      </c>
      <c r="O315" s="1">
        <f t="shared" si="54"/>
        <v>156.99999999999986</v>
      </c>
      <c r="P315" s="1">
        <v>276</v>
      </c>
      <c r="Q315" s="11">
        <f t="shared" si="64"/>
        <v>0.92931034482758612</v>
      </c>
      <c r="R315" s="9">
        <f t="shared" si="58"/>
        <v>4.0889655172413795</v>
      </c>
      <c r="S315" s="9">
        <f t="shared" si="55"/>
        <v>-4.0889655172413795</v>
      </c>
      <c r="T315" s="9">
        <f t="shared" si="63"/>
        <v>133.02018025078374</v>
      </c>
      <c r="V315" s="1">
        <v>2721.1</v>
      </c>
      <c r="W315" s="1">
        <f t="shared" si="56"/>
        <v>151.17222222222222</v>
      </c>
      <c r="X315" s="1">
        <f t="shared" si="62"/>
        <v>203173.20000000004</v>
      </c>
      <c r="Y315" s="1">
        <f t="shared" si="65"/>
        <v>23236.899999999994</v>
      </c>
      <c r="AA315" s="1">
        <v>16.1461304855085</v>
      </c>
    </row>
    <row r="316" spans="1:27" s="1" customFormat="1" x14ac:dyDescent="0.25">
      <c r="A316" s="73"/>
      <c r="B316" s="5"/>
      <c r="C316" s="3">
        <v>41797</v>
      </c>
      <c r="D316" s="1">
        <v>20.7</v>
      </c>
      <c r="E316" s="1">
        <v>15.7</v>
      </c>
      <c r="F316" s="6">
        <v>25.5</v>
      </c>
      <c r="G316" s="1">
        <f t="shared" si="59"/>
        <v>2568.9999999999995</v>
      </c>
      <c r="H316" s="21">
        <f t="shared" si="53"/>
        <v>244.6</v>
      </c>
      <c r="J316" s="1">
        <v>1.7</v>
      </c>
      <c r="K316" s="1">
        <f t="shared" si="60"/>
        <v>615</v>
      </c>
      <c r="L316" s="1">
        <v>3.6</v>
      </c>
      <c r="M316" s="1">
        <f t="shared" si="61"/>
        <v>376.60000000000019</v>
      </c>
      <c r="N316" s="8">
        <f t="shared" si="57"/>
        <v>-1.9000000000000001</v>
      </c>
      <c r="O316" s="1">
        <f t="shared" si="54"/>
        <v>155.09999999999985</v>
      </c>
      <c r="P316" s="1">
        <v>277</v>
      </c>
      <c r="Q316" s="11">
        <f t="shared" si="64"/>
        <v>0.91551724137931023</v>
      </c>
      <c r="R316" s="9">
        <f t="shared" si="58"/>
        <v>3.2958620689655169</v>
      </c>
      <c r="S316" s="9">
        <f t="shared" si="55"/>
        <v>-1.595862068965517</v>
      </c>
      <c r="T316" s="9">
        <f t="shared" si="63"/>
        <v>131.42431818181822</v>
      </c>
      <c r="V316" s="1">
        <v>1911.6</v>
      </c>
      <c r="W316" s="1">
        <f t="shared" si="56"/>
        <v>92.347826086956516</v>
      </c>
      <c r="X316" s="1">
        <f t="shared" si="62"/>
        <v>205084.80000000005</v>
      </c>
      <c r="Y316" s="1">
        <f t="shared" si="65"/>
        <v>25148.499999999993</v>
      </c>
      <c r="AA316" s="1">
        <v>16.167595940049001</v>
      </c>
    </row>
    <row r="317" spans="1:27" s="1" customFormat="1" x14ac:dyDescent="0.25">
      <c r="A317" s="73"/>
      <c r="B317" s="5"/>
      <c r="C317" s="3">
        <v>41798</v>
      </c>
      <c r="D317" s="1">
        <v>19.899999999999999</v>
      </c>
      <c r="E317" s="1">
        <v>14.5</v>
      </c>
      <c r="F317" s="6">
        <v>25.2</v>
      </c>
      <c r="G317" s="1">
        <f t="shared" si="59"/>
        <v>2588.8999999999996</v>
      </c>
      <c r="H317" s="21">
        <f t="shared" si="53"/>
        <v>264.5</v>
      </c>
      <c r="J317" s="1">
        <v>1.5</v>
      </c>
      <c r="K317" s="1">
        <f t="shared" si="60"/>
        <v>616.5</v>
      </c>
      <c r="L317" s="1">
        <v>3.3</v>
      </c>
      <c r="M317" s="1">
        <f t="shared" si="61"/>
        <v>379.9000000000002</v>
      </c>
      <c r="N317" s="8">
        <f t="shared" si="57"/>
        <v>-1.7999999999999998</v>
      </c>
      <c r="O317" s="1">
        <f t="shared" si="54"/>
        <v>153.29999999999984</v>
      </c>
      <c r="P317" s="1">
        <v>278</v>
      </c>
      <c r="Q317" s="11">
        <f t="shared" si="64"/>
        <v>0.90172413793103434</v>
      </c>
      <c r="R317" s="9">
        <f t="shared" si="58"/>
        <v>2.9756896551724132</v>
      </c>
      <c r="S317" s="9">
        <f t="shared" si="55"/>
        <v>-1.4756896551724132</v>
      </c>
      <c r="T317" s="9">
        <f t="shared" si="63"/>
        <v>129.94862852664582</v>
      </c>
      <c r="V317" s="1">
        <v>1692</v>
      </c>
      <c r="W317" s="1">
        <f t="shared" si="56"/>
        <v>85.025125628140714</v>
      </c>
      <c r="X317" s="1">
        <f t="shared" si="62"/>
        <v>206776.80000000005</v>
      </c>
      <c r="Y317" s="1">
        <f t="shared" si="65"/>
        <v>26840.499999999993</v>
      </c>
      <c r="AA317" s="1">
        <v>16.187675702137401</v>
      </c>
    </row>
    <row r="318" spans="1:27" s="1" customFormat="1" x14ac:dyDescent="0.25">
      <c r="A318" s="73"/>
      <c r="B318" s="5"/>
      <c r="C318" s="3">
        <v>41799</v>
      </c>
      <c r="D318" s="1">
        <v>20.7</v>
      </c>
      <c r="E318" s="1">
        <v>17.8</v>
      </c>
      <c r="F318" s="1">
        <v>23.9</v>
      </c>
      <c r="G318" s="1">
        <f t="shared" si="59"/>
        <v>2609.5999999999995</v>
      </c>
      <c r="H318" s="21">
        <f t="shared" si="53"/>
        <v>285.2</v>
      </c>
      <c r="J318" s="1">
        <v>13</v>
      </c>
      <c r="K318" s="1">
        <f t="shared" si="60"/>
        <v>629.5</v>
      </c>
      <c r="L318" s="1">
        <v>2.4</v>
      </c>
      <c r="M318" s="1">
        <f t="shared" si="61"/>
        <v>382.30000000000018</v>
      </c>
      <c r="N318" s="1">
        <f t="shared" si="57"/>
        <v>10.6</v>
      </c>
      <c r="O318" s="1">
        <f t="shared" si="54"/>
        <v>163.89999999999984</v>
      </c>
      <c r="P318" s="1">
        <v>279</v>
      </c>
      <c r="Q318" s="11">
        <f t="shared" si="64"/>
        <v>0.88793103448275856</v>
      </c>
      <c r="R318" s="9">
        <f t="shared" si="58"/>
        <v>2.1310344827586203</v>
      </c>
      <c r="S318" s="9">
        <f t="shared" si="55"/>
        <v>10.86896551724138</v>
      </c>
      <c r="T318" s="9">
        <f t="shared" si="63"/>
        <v>140.8175940438872</v>
      </c>
      <c r="V318" s="1">
        <v>1173.5</v>
      </c>
      <c r="W318" s="1">
        <f t="shared" si="56"/>
        <v>56.690821256038646</v>
      </c>
      <c r="X318" s="1">
        <f t="shared" si="62"/>
        <v>207950.30000000005</v>
      </c>
      <c r="Y318" s="1">
        <f t="shared" si="65"/>
        <v>28013.999999999993</v>
      </c>
      <c r="AA318" s="1">
        <v>16.206350103821901</v>
      </c>
    </row>
    <row r="319" spans="1:27" s="42" customFormat="1" ht="15.75" thickBot="1" x14ac:dyDescent="0.3">
      <c r="A319" s="73"/>
      <c r="B319" s="39"/>
      <c r="C319" s="64">
        <v>41800</v>
      </c>
      <c r="D319" s="42">
        <v>17.8</v>
      </c>
      <c r="E319" s="42">
        <v>17.5</v>
      </c>
      <c r="F319" s="42">
        <v>20.9</v>
      </c>
      <c r="G319" s="42">
        <f t="shared" si="59"/>
        <v>2627.3999999999996</v>
      </c>
      <c r="H319" s="65">
        <f t="shared" si="53"/>
        <v>303</v>
      </c>
      <c r="J319" s="42">
        <v>9.1999999999999993</v>
      </c>
      <c r="K319" s="42">
        <f t="shared" si="60"/>
        <v>638.70000000000005</v>
      </c>
      <c r="L319" s="42">
        <v>2</v>
      </c>
      <c r="M319" s="42">
        <f t="shared" si="61"/>
        <v>384.30000000000018</v>
      </c>
      <c r="N319" s="42">
        <f t="shared" si="57"/>
        <v>7.1999999999999993</v>
      </c>
      <c r="O319" s="42">
        <f t="shared" si="54"/>
        <v>171.09999999999982</v>
      </c>
      <c r="P319" s="42">
        <v>280</v>
      </c>
      <c r="Q319" s="43">
        <f t="shared" si="64"/>
        <v>0.87413793103448267</v>
      </c>
      <c r="R319" s="44">
        <f t="shared" si="58"/>
        <v>1.7482758620689653</v>
      </c>
      <c r="S319" s="44">
        <f t="shared" si="55"/>
        <v>7.4517241379310342</v>
      </c>
      <c r="T319" s="44">
        <f t="shared" si="63"/>
        <v>148.26931818181822</v>
      </c>
      <c r="V319" s="66">
        <v>869.1</v>
      </c>
      <c r="W319" s="42">
        <f t="shared" si="56"/>
        <v>48.825842696629216</v>
      </c>
      <c r="X319" s="42">
        <f t="shared" si="62"/>
        <v>208819.40000000005</v>
      </c>
      <c r="Y319" s="42">
        <f t="shared" si="65"/>
        <v>28883.099999999991</v>
      </c>
      <c r="AA319" s="42">
        <v>16.223600659931702</v>
      </c>
    </row>
    <row r="320" spans="1:27" s="63" customFormat="1" x14ac:dyDescent="0.25">
      <c r="A320" s="74">
        <v>1000</v>
      </c>
      <c r="B320" s="61"/>
      <c r="C320" s="62">
        <v>41801</v>
      </c>
      <c r="D320" s="63">
        <v>17.600000000000001</v>
      </c>
      <c r="E320" s="63">
        <v>13</v>
      </c>
      <c r="F320" s="63">
        <v>22</v>
      </c>
      <c r="G320" s="63">
        <f t="shared" si="59"/>
        <v>2644.9999999999995</v>
      </c>
      <c r="H320" s="21">
        <f>D320</f>
        <v>17.600000000000001</v>
      </c>
      <c r="I320" s="33" t="s">
        <v>2</v>
      </c>
      <c r="J320" s="63">
        <v>0</v>
      </c>
      <c r="K320" s="63">
        <f t="shared" si="60"/>
        <v>638.70000000000005</v>
      </c>
      <c r="L320" s="63">
        <v>3.9</v>
      </c>
      <c r="M320" s="63">
        <f t="shared" si="61"/>
        <v>388.20000000000016</v>
      </c>
      <c r="N320" s="63">
        <f t="shared" si="57"/>
        <v>-3.9</v>
      </c>
      <c r="O320" s="21">
        <f t="shared" si="54"/>
        <v>167.19999999999982</v>
      </c>
      <c r="P320" s="21">
        <v>281</v>
      </c>
      <c r="Q320" s="11">
        <f t="shared" si="64"/>
        <v>0.8603448275862069</v>
      </c>
      <c r="R320" s="22">
        <f t="shared" si="58"/>
        <v>3.3553448275862068</v>
      </c>
      <c r="S320" s="22">
        <f t="shared" si="55"/>
        <v>-3.3553448275862068</v>
      </c>
      <c r="T320" s="22">
        <f t="shared" si="63"/>
        <v>144.91397335423201</v>
      </c>
      <c r="U320" s="33" t="s">
        <v>9</v>
      </c>
      <c r="V320" s="63">
        <v>2204.1999999999998</v>
      </c>
      <c r="W320" s="63">
        <f t="shared" si="56"/>
        <v>125.23863636363635</v>
      </c>
      <c r="X320" s="63">
        <f t="shared" si="62"/>
        <v>211023.60000000006</v>
      </c>
      <c r="Y320" s="1">
        <f>V320</f>
        <v>2204.1999999999998</v>
      </c>
      <c r="Z320" s="33" t="s">
        <v>4</v>
      </c>
      <c r="AA320" s="21">
        <v>16.2394101363499</v>
      </c>
    </row>
    <row r="321" spans="1:27" s="1" customFormat="1" ht="15" customHeight="1" x14ac:dyDescent="0.25">
      <c r="A321" s="74"/>
      <c r="B321" s="5"/>
      <c r="C321" s="3">
        <v>41802</v>
      </c>
      <c r="D321" s="1">
        <v>17.2</v>
      </c>
      <c r="E321" s="1">
        <v>12.1</v>
      </c>
      <c r="F321" s="1">
        <v>21.8</v>
      </c>
      <c r="G321" s="1">
        <f t="shared" si="59"/>
        <v>2662.1999999999994</v>
      </c>
      <c r="H321" s="21">
        <f t="shared" si="53"/>
        <v>34.799999999999997</v>
      </c>
      <c r="I321" s="1">
        <f>MIN(E320:E344)</f>
        <v>8.6</v>
      </c>
      <c r="J321" s="1">
        <v>0</v>
      </c>
      <c r="K321" s="1">
        <f t="shared" si="60"/>
        <v>638.70000000000005</v>
      </c>
      <c r="L321" s="1">
        <v>4.8</v>
      </c>
      <c r="M321" s="1">
        <f t="shared" si="61"/>
        <v>393.00000000000017</v>
      </c>
      <c r="N321" s="8">
        <f t="shared" si="57"/>
        <v>-4.8</v>
      </c>
      <c r="O321" s="1">
        <f t="shared" si="54"/>
        <v>162.39999999999981</v>
      </c>
      <c r="P321" s="1">
        <v>282</v>
      </c>
      <c r="Q321" s="11">
        <f t="shared" si="64"/>
        <v>0.84655172413793101</v>
      </c>
      <c r="R321" s="9">
        <f t="shared" si="58"/>
        <v>4.0634482758620685</v>
      </c>
      <c r="S321" s="9">
        <f t="shared" si="55"/>
        <v>-4.0634482758620685</v>
      </c>
      <c r="T321" s="9">
        <f t="shared" si="63"/>
        <v>140.85052507836994</v>
      </c>
      <c r="U321" s="1">
        <v>0</v>
      </c>
      <c r="V321" s="1">
        <v>2773.3</v>
      </c>
      <c r="W321" s="1">
        <f t="shared" si="56"/>
        <v>161.23837209302329</v>
      </c>
      <c r="X321" s="1">
        <f t="shared" si="62"/>
        <v>213796.90000000005</v>
      </c>
      <c r="Y321" s="1">
        <f t="shared" si="65"/>
        <v>4977.5</v>
      </c>
      <c r="Z321" s="1">
        <v>42337.2</v>
      </c>
      <c r="AA321" s="1">
        <v>16.253762614833501</v>
      </c>
    </row>
    <row r="322" spans="1:27" s="1" customFormat="1" x14ac:dyDescent="0.25">
      <c r="A322" s="74"/>
      <c r="B322" s="5"/>
      <c r="C322" s="3">
        <v>41803</v>
      </c>
      <c r="D322" s="1">
        <v>17.3</v>
      </c>
      <c r="E322" s="1">
        <v>12.1</v>
      </c>
      <c r="F322" s="1">
        <v>21.9</v>
      </c>
      <c r="G322" s="1">
        <f t="shared" si="59"/>
        <v>2679.4999999999995</v>
      </c>
      <c r="H322" s="21">
        <f t="shared" si="53"/>
        <v>52.099999999999994</v>
      </c>
      <c r="I322" s="33" t="s">
        <v>5</v>
      </c>
      <c r="J322" s="1">
        <v>0.1</v>
      </c>
      <c r="K322" s="1">
        <f t="shared" si="60"/>
        <v>638.80000000000007</v>
      </c>
      <c r="L322" s="1">
        <v>4.5</v>
      </c>
      <c r="M322" s="1">
        <f t="shared" si="61"/>
        <v>397.50000000000017</v>
      </c>
      <c r="N322" s="8">
        <f t="shared" si="57"/>
        <v>-4.4000000000000004</v>
      </c>
      <c r="O322" s="1">
        <f t="shared" si="54"/>
        <v>157.9999999999998</v>
      </c>
      <c r="P322" s="1">
        <v>283</v>
      </c>
      <c r="Q322" s="11">
        <f t="shared" si="64"/>
        <v>0.83275862068965512</v>
      </c>
      <c r="R322" s="9">
        <f t="shared" si="58"/>
        <v>3.7474137931034481</v>
      </c>
      <c r="S322" s="9">
        <f t="shared" si="55"/>
        <v>-3.647413793103448</v>
      </c>
      <c r="T322" s="9">
        <f t="shared" si="63"/>
        <v>137.20311128526649</v>
      </c>
      <c r="U322" s="33" t="s">
        <v>12</v>
      </c>
      <c r="V322" s="1">
        <v>2694.6</v>
      </c>
      <c r="W322" s="1">
        <f t="shared" si="56"/>
        <v>155.757225433526</v>
      </c>
      <c r="X322" s="1">
        <f t="shared" si="62"/>
        <v>216491.50000000006</v>
      </c>
      <c r="Y322" s="1">
        <f t="shared" si="65"/>
        <v>7672.1</v>
      </c>
      <c r="Z322" s="33" t="s">
        <v>7</v>
      </c>
      <c r="AA322" s="1">
        <v>16.266643553885899</v>
      </c>
    </row>
    <row r="323" spans="1:27" s="1" customFormat="1" x14ac:dyDescent="0.25">
      <c r="A323" s="74"/>
      <c r="B323" s="5"/>
      <c r="C323" s="3">
        <v>41804</v>
      </c>
      <c r="D323" s="1">
        <v>15.6</v>
      </c>
      <c r="E323" s="1">
        <v>12</v>
      </c>
      <c r="F323" s="1">
        <v>19.600000000000001</v>
      </c>
      <c r="G323" s="1">
        <f t="shared" si="59"/>
        <v>2695.0999999999995</v>
      </c>
      <c r="H323" s="21">
        <f t="shared" si="53"/>
        <v>67.699999999999989</v>
      </c>
      <c r="I323" s="1">
        <v>25.9</v>
      </c>
      <c r="J323" s="1">
        <v>0</v>
      </c>
      <c r="K323" s="1">
        <f t="shared" si="60"/>
        <v>638.80000000000007</v>
      </c>
      <c r="L323" s="1">
        <v>3.1</v>
      </c>
      <c r="M323" s="1">
        <f t="shared" si="61"/>
        <v>400.60000000000019</v>
      </c>
      <c r="N323" s="8">
        <f t="shared" si="57"/>
        <v>-3.1</v>
      </c>
      <c r="O323" s="1">
        <f t="shared" si="54"/>
        <v>154.89999999999981</v>
      </c>
      <c r="P323" s="1">
        <v>284</v>
      </c>
      <c r="Q323" s="11">
        <f t="shared" si="64"/>
        <v>0.81896551724137923</v>
      </c>
      <c r="R323" s="9">
        <f t="shared" si="58"/>
        <v>2.5387931034482758</v>
      </c>
      <c r="S323" s="9">
        <f t="shared" si="55"/>
        <v>-2.5387931034482758</v>
      </c>
      <c r="T323" s="9">
        <f t="shared" si="63"/>
        <v>134.6643181818182</v>
      </c>
      <c r="U323" s="1">
        <v>0</v>
      </c>
      <c r="V323" s="1">
        <v>1622.6</v>
      </c>
      <c r="W323" s="1">
        <f t="shared" si="56"/>
        <v>104.01282051282051</v>
      </c>
      <c r="X323" s="1">
        <f t="shared" si="62"/>
        <v>218114.10000000006</v>
      </c>
      <c r="Y323" s="1">
        <f t="shared" si="65"/>
        <v>9294.7000000000007</v>
      </c>
      <c r="Z323" s="11">
        <f>(Z321/100)/I333</f>
        <v>1.0318596149159152</v>
      </c>
      <c r="AA323" s="1">
        <v>16.2780398452072</v>
      </c>
    </row>
    <row r="324" spans="1:27" s="1" customFormat="1" x14ac:dyDescent="0.25">
      <c r="A324" s="74"/>
      <c r="B324" s="5"/>
      <c r="C324" s="3">
        <v>41805</v>
      </c>
      <c r="D324" s="1">
        <v>14.5</v>
      </c>
      <c r="E324" s="1">
        <v>10.8</v>
      </c>
      <c r="F324" s="1">
        <v>17.8</v>
      </c>
      <c r="G324" s="1">
        <f t="shared" si="59"/>
        <v>2709.5999999999995</v>
      </c>
      <c r="H324" s="21">
        <f t="shared" si="53"/>
        <v>82.199999999999989</v>
      </c>
      <c r="I324" s="33" t="s">
        <v>8</v>
      </c>
      <c r="J324" s="1">
        <v>0</v>
      </c>
      <c r="K324" s="1">
        <f t="shared" si="60"/>
        <v>638.80000000000007</v>
      </c>
      <c r="L324" s="1">
        <v>2.7</v>
      </c>
      <c r="M324" s="1">
        <f t="shared" si="61"/>
        <v>403.30000000000018</v>
      </c>
      <c r="N324" s="8">
        <f t="shared" si="57"/>
        <v>-2.7</v>
      </c>
      <c r="O324" s="1">
        <f t="shared" si="54"/>
        <v>152.19999999999982</v>
      </c>
      <c r="P324" s="1">
        <v>285</v>
      </c>
      <c r="Q324" s="11">
        <f t="shared" si="64"/>
        <v>0.80517241379310334</v>
      </c>
      <c r="R324" s="9">
        <f t="shared" si="58"/>
        <v>2.173965517241379</v>
      </c>
      <c r="S324" s="9">
        <f t="shared" si="55"/>
        <v>-2.173965517241379</v>
      </c>
      <c r="T324" s="9">
        <f t="shared" si="63"/>
        <v>132.49035266457682</v>
      </c>
      <c r="U324" s="33" t="s">
        <v>14</v>
      </c>
      <c r="V324" s="1">
        <v>1629.8</v>
      </c>
      <c r="W324" s="1">
        <f t="shared" si="56"/>
        <v>112.39999999999999</v>
      </c>
      <c r="X324" s="1">
        <f t="shared" si="62"/>
        <v>219743.90000000005</v>
      </c>
      <c r="Y324" s="1">
        <f t="shared" si="65"/>
        <v>10924.5</v>
      </c>
      <c r="Z324" s="33" t="s">
        <v>10</v>
      </c>
      <c r="AA324" s="1">
        <v>16.287939865271198</v>
      </c>
    </row>
    <row r="325" spans="1:27" s="1" customFormat="1" x14ac:dyDescent="0.25">
      <c r="A325" s="74"/>
      <c r="B325" s="5"/>
      <c r="C325" s="3">
        <v>41806</v>
      </c>
      <c r="D325" s="1">
        <v>13.9</v>
      </c>
      <c r="E325" s="1">
        <v>10.1</v>
      </c>
      <c r="F325" s="1">
        <v>16.600000000000001</v>
      </c>
      <c r="G325" s="1">
        <f t="shared" si="59"/>
        <v>2723.4999999999995</v>
      </c>
      <c r="H325" s="21">
        <f t="shared" si="53"/>
        <v>96.1</v>
      </c>
      <c r="I325" s="9">
        <f>AVERAGE(D320:D344)</f>
        <v>16.411999999999995</v>
      </c>
      <c r="J325" s="1">
        <v>0</v>
      </c>
      <c r="K325" s="1">
        <f t="shared" si="60"/>
        <v>638.80000000000007</v>
      </c>
      <c r="L325" s="1">
        <v>2.5</v>
      </c>
      <c r="M325" s="1">
        <f t="shared" si="61"/>
        <v>405.80000000000018</v>
      </c>
      <c r="N325" s="8">
        <f t="shared" si="57"/>
        <v>-2.5</v>
      </c>
      <c r="O325" s="1">
        <f t="shared" si="54"/>
        <v>149.69999999999982</v>
      </c>
      <c r="P325" s="1">
        <v>286</v>
      </c>
      <c r="Q325" s="11">
        <f t="shared" si="64"/>
        <v>0.79137931034482745</v>
      </c>
      <c r="R325" s="9">
        <f t="shared" si="58"/>
        <v>1.9784482758620685</v>
      </c>
      <c r="S325" s="9">
        <f t="shared" si="55"/>
        <v>-1.9784482758620685</v>
      </c>
      <c r="T325" s="9">
        <f t="shared" si="63"/>
        <v>130.51190438871475</v>
      </c>
      <c r="U325" s="9">
        <f>MIN(T320:T344)</f>
        <v>107.25276645768027</v>
      </c>
      <c r="V325" s="1">
        <v>1597.1</v>
      </c>
      <c r="W325" s="1">
        <f t="shared" si="56"/>
        <v>114.89928057553956</v>
      </c>
      <c r="X325" s="1">
        <f t="shared" si="62"/>
        <v>221341.00000000006</v>
      </c>
      <c r="Y325" s="1">
        <f t="shared" si="65"/>
        <v>12521.6</v>
      </c>
      <c r="Z325" s="1">
        <v>3</v>
      </c>
      <c r="AA325" s="1">
        <v>16.2963335216077</v>
      </c>
    </row>
    <row r="326" spans="1:27" s="1" customFormat="1" x14ac:dyDescent="0.25">
      <c r="A326" s="74"/>
      <c r="B326" s="5"/>
      <c r="C326" s="3">
        <v>41807</v>
      </c>
      <c r="D326" s="1">
        <v>14.3</v>
      </c>
      <c r="E326" s="1">
        <v>11.7</v>
      </c>
      <c r="F326" s="1">
        <v>16.899999999999999</v>
      </c>
      <c r="G326" s="1">
        <f t="shared" si="59"/>
        <v>2737.7999999999997</v>
      </c>
      <c r="H326" s="21">
        <f t="shared" si="53"/>
        <v>110.39999999999999</v>
      </c>
      <c r="I326" s="33" t="s">
        <v>57</v>
      </c>
      <c r="J326" s="1">
        <v>0</v>
      </c>
      <c r="K326" s="1">
        <f t="shared" si="60"/>
        <v>638.80000000000007</v>
      </c>
      <c r="L326" s="1">
        <v>2.1</v>
      </c>
      <c r="M326" s="1">
        <f t="shared" si="61"/>
        <v>407.9000000000002</v>
      </c>
      <c r="N326" s="8">
        <f t="shared" si="57"/>
        <v>-2.1</v>
      </c>
      <c r="O326" s="1">
        <f t="shared" si="54"/>
        <v>147.59999999999982</v>
      </c>
      <c r="P326" s="1">
        <v>287</v>
      </c>
      <c r="Q326" s="11">
        <f t="shared" si="64"/>
        <v>0.77758620689655167</v>
      </c>
      <c r="R326" s="9">
        <f t="shared" si="58"/>
        <v>1.6329310344827586</v>
      </c>
      <c r="S326" s="9">
        <f t="shared" si="55"/>
        <v>-1.6329310344827586</v>
      </c>
      <c r="T326" s="9">
        <f t="shared" si="63"/>
        <v>128.87897335423199</v>
      </c>
      <c r="U326" s="33" t="s">
        <v>16</v>
      </c>
      <c r="V326" s="1">
        <v>936</v>
      </c>
      <c r="W326" s="1">
        <f t="shared" si="56"/>
        <v>65.454545454545453</v>
      </c>
      <c r="X326" s="1">
        <f t="shared" si="62"/>
        <v>222277.00000000006</v>
      </c>
      <c r="Y326" s="1">
        <f t="shared" si="65"/>
        <v>13457.6</v>
      </c>
      <c r="AA326" s="1">
        <v>16.303212293407299</v>
      </c>
    </row>
    <row r="327" spans="1:27" s="1" customFormat="1" x14ac:dyDescent="0.25">
      <c r="A327" s="74"/>
      <c r="B327" s="5"/>
      <c r="C327" s="3">
        <v>41808</v>
      </c>
      <c r="D327" s="1">
        <v>15.6</v>
      </c>
      <c r="E327" s="1">
        <v>11.2</v>
      </c>
      <c r="F327" s="1">
        <v>19.8</v>
      </c>
      <c r="G327" s="1">
        <f t="shared" si="59"/>
        <v>2753.3999999999996</v>
      </c>
      <c r="H327" s="21">
        <f t="shared" si="53"/>
        <v>125.99999999999999</v>
      </c>
      <c r="I327" s="1">
        <v>0</v>
      </c>
      <c r="J327" s="1">
        <v>0</v>
      </c>
      <c r="K327" s="1">
        <f t="shared" si="60"/>
        <v>638.80000000000007</v>
      </c>
      <c r="L327" s="1">
        <v>3.5</v>
      </c>
      <c r="M327" s="1">
        <f t="shared" si="61"/>
        <v>411.4000000000002</v>
      </c>
      <c r="N327" s="8">
        <f t="shared" si="57"/>
        <v>-3.5</v>
      </c>
      <c r="O327" s="1">
        <f t="shared" si="54"/>
        <v>144.09999999999982</v>
      </c>
      <c r="P327" s="1">
        <v>288</v>
      </c>
      <c r="Q327" s="11">
        <f t="shared" si="64"/>
        <v>0.76379310344827578</v>
      </c>
      <c r="R327" s="9">
        <f t="shared" si="58"/>
        <v>2.6732758620689654</v>
      </c>
      <c r="S327" s="9">
        <f t="shared" si="55"/>
        <v>-2.6732758620689654</v>
      </c>
      <c r="T327" s="9">
        <f t="shared" si="63"/>
        <v>126.20569749216303</v>
      </c>
      <c r="U327" s="9">
        <f>MAX(T320:T344)</f>
        <v>144.91397335423201</v>
      </c>
      <c r="V327" s="1">
        <v>2125.3000000000002</v>
      </c>
      <c r="W327" s="1">
        <f t="shared" si="56"/>
        <v>136.2371794871795</v>
      </c>
      <c r="X327" s="1">
        <f t="shared" si="62"/>
        <v>224402.30000000005</v>
      </c>
      <c r="Y327" s="1">
        <f t="shared" si="65"/>
        <v>15582.900000000001</v>
      </c>
      <c r="AA327" s="1">
        <v>16.308569266106399</v>
      </c>
    </row>
    <row r="328" spans="1:27" s="1" customFormat="1" x14ac:dyDescent="0.25">
      <c r="A328" s="74"/>
      <c r="B328" s="5"/>
      <c r="C328" s="3">
        <v>41809</v>
      </c>
      <c r="D328" s="1">
        <v>15.7</v>
      </c>
      <c r="E328" s="1">
        <v>11</v>
      </c>
      <c r="F328" s="1">
        <v>19.8</v>
      </c>
      <c r="G328" s="1">
        <f t="shared" si="59"/>
        <v>2769.0999999999995</v>
      </c>
      <c r="H328" s="21">
        <f t="shared" si="53"/>
        <v>141.69999999999999</v>
      </c>
      <c r="I328" s="33" t="s">
        <v>58</v>
      </c>
      <c r="J328" s="1">
        <v>0</v>
      </c>
      <c r="K328" s="1">
        <f t="shared" si="60"/>
        <v>638.80000000000007</v>
      </c>
      <c r="L328" s="1">
        <v>2.2000000000000002</v>
      </c>
      <c r="M328" s="1">
        <f t="shared" si="61"/>
        <v>413.60000000000019</v>
      </c>
      <c r="N328" s="8">
        <f t="shared" si="57"/>
        <v>-2.2000000000000002</v>
      </c>
      <c r="O328" s="1">
        <f t="shared" si="54"/>
        <v>141.89999999999984</v>
      </c>
      <c r="P328" s="1">
        <v>289</v>
      </c>
      <c r="Q328" s="11">
        <f t="shared" si="64"/>
        <v>0.75</v>
      </c>
      <c r="R328" s="9">
        <f t="shared" si="58"/>
        <v>1.6500000000000001</v>
      </c>
      <c r="S328" s="9">
        <f t="shared" si="55"/>
        <v>-1.6500000000000001</v>
      </c>
      <c r="T328" s="9">
        <f t="shared" si="63"/>
        <v>124.55569749216302</v>
      </c>
      <c r="U328" s="33" t="s">
        <v>18</v>
      </c>
      <c r="V328" s="1">
        <v>1238.8</v>
      </c>
      <c r="W328" s="1">
        <f t="shared" si="56"/>
        <v>78.904458598726109</v>
      </c>
      <c r="X328" s="1">
        <f t="shared" si="62"/>
        <v>225641.10000000003</v>
      </c>
      <c r="Y328" s="1">
        <f t="shared" si="65"/>
        <v>16821.7</v>
      </c>
      <c r="AA328" s="1">
        <v>16.312399159655801</v>
      </c>
    </row>
    <row r="329" spans="1:27" s="1" customFormat="1" x14ac:dyDescent="0.25">
      <c r="A329" s="74"/>
      <c r="B329" s="5"/>
      <c r="C329" s="3">
        <v>41810</v>
      </c>
      <c r="D329" s="1">
        <v>14.5</v>
      </c>
      <c r="E329" s="1">
        <v>12.8</v>
      </c>
      <c r="F329" s="1">
        <v>17.899999999999999</v>
      </c>
      <c r="G329" s="1">
        <f t="shared" si="59"/>
        <v>2783.5999999999995</v>
      </c>
      <c r="H329" s="21">
        <f t="shared" si="53"/>
        <v>156.19999999999999</v>
      </c>
      <c r="I329" s="1">
        <v>1</v>
      </c>
      <c r="J329" s="1">
        <v>0</v>
      </c>
      <c r="K329" s="1">
        <f t="shared" si="60"/>
        <v>638.80000000000007</v>
      </c>
      <c r="L329" s="1">
        <v>2.2000000000000002</v>
      </c>
      <c r="M329" s="1">
        <f t="shared" si="61"/>
        <v>415.80000000000018</v>
      </c>
      <c r="N329" s="8">
        <f t="shared" si="57"/>
        <v>-2.2000000000000002</v>
      </c>
      <c r="O329" s="1">
        <f t="shared" si="54"/>
        <v>139.69999999999985</v>
      </c>
      <c r="P329" s="1">
        <v>290</v>
      </c>
      <c r="Q329" s="11">
        <f t="shared" si="64"/>
        <v>0.73620689655172411</v>
      </c>
      <c r="R329" s="9">
        <f t="shared" si="58"/>
        <v>1.6196551724137931</v>
      </c>
      <c r="S329" s="9">
        <f t="shared" si="55"/>
        <v>-1.6196551724137931</v>
      </c>
      <c r="T329" s="9">
        <f t="shared" si="63"/>
        <v>122.93604231974923</v>
      </c>
      <c r="U329" s="11">
        <f>AVERAGE(T320:T344)</f>
        <v>124.15044921630097</v>
      </c>
      <c r="V329" s="1">
        <v>1109.5999999999999</v>
      </c>
      <c r="W329" s="1">
        <f t="shared" si="56"/>
        <v>76.524137931034474</v>
      </c>
      <c r="X329" s="1">
        <f t="shared" si="62"/>
        <v>226750.70000000004</v>
      </c>
      <c r="Y329" s="1">
        <f t="shared" si="65"/>
        <v>17931.3</v>
      </c>
      <c r="AA329" s="1">
        <v>16.3146983502313</v>
      </c>
    </row>
    <row r="330" spans="1:27" s="1" customFormat="1" x14ac:dyDescent="0.25">
      <c r="A330" s="74"/>
      <c r="B330" s="5"/>
      <c r="C330" s="3">
        <v>41811</v>
      </c>
      <c r="D330" s="1">
        <v>16</v>
      </c>
      <c r="E330" s="1">
        <v>8.6</v>
      </c>
      <c r="F330" s="1">
        <v>21.1</v>
      </c>
      <c r="G330" s="1">
        <f t="shared" si="59"/>
        <v>2799.5999999999995</v>
      </c>
      <c r="H330" s="21">
        <f t="shared" si="53"/>
        <v>172.2</v>
      </c>
      <c r="I330" s="33" t="s">
        <v>59</v>
      </c>
      <c r="J330" s="1">
        <v>0</v>
      </c>
      <c r="K330" s="1">
        <f t="shared" si="60"/>
        <v>638.80000000000007</v>
      </c>
      <c r="L330" s="1">
        <v>3.6</v>
      </c>
      <c r="M330" s="1">
        <f t="shared" si="61"/>
        <v>419.4000000000002</v>
      </c>
      <c r="N330" s="8">
        <f t="shared" si="57"/>
        <v>-3.6</v>
      </c>
      <c r="O330" s="1">
        <f t="shared" si="54"/>
        <v>136.09999999999985</v>
      </c>
      <c r="P330" s="1">
        <v>291</v>
      </c>
      <c r="Q330" s="11">
        <f t="shared" si="64"/>
        <v>0.72241379310344822</v>
      </c>
      <c r="R330" s="9">
        <f t="shared" si="58"/>
        <v>2.6006896551724137</v>
      </c>
      <c r="S330" s="9">
        <f t="shared" si="55"/>
        <v>-2.6006896551724137</v>
      </c>
      <c r="T330" s="9">
        <f t="shared" si="63"/>
        <v>120.33535266457682</v>
      </c>
      <c r="V330" s="1">
        <v>2130.1</v>
      </c>
      <c r="W330" s="1">
        <f t="shared" si="56"/>
        <v>133.13124999999999</v>
      </c>
      <c r="X330" s="1">
        <f t="shared" si="62"/>
        <v>228880.80000000005</v>
      </c>
      <c r="Y330" s="1">
        <f t="shared" si="65"/>
        <v>20061.399999999998</v>
      </c>
      <c r="AA330" s="1">
        <v>16.315464885196</v>
      </c>
    </row>
    <row r="331" spans="1:27" s="1" customFormat="1" x14ac:dyDescent="0.25">
      <c r="A331" s="74"/>
      <c r="B331" s="5"/>
      <c r="C331" s="3">
        <v>41812</v>
      </c>
      <c r="D331" s="1">
        <v>17.899999999999999</v>
      </c>
      <c r="E331" s="1">
        <v>10.7</v>
      </c>
      <c r="F331" s="1">
        <v>22.9</v>
      </c>
      <c r="G331" s="1">
        <f t="shared" si="59"/>
        <v>2817.4999999999995</v>
      </c>
      <c r="H331" s="21">
        <f t="shared" si="53"/>
        <v>190.1</v>
      </c>
      <c r="I331" s="1">
        <v>0</v>
      </c>
      <c r="J331" s="1">
        <v>0</v>
      </c>
      <c r="K331" s="1">
        <f t="shared" si="60"/>
        <v>638.80000000000007</v>
      </c>
      <c r="L331" s="1">
        <v>4</v>
      </c>
      <c r="M331" s="1">
        <f t="shared" si="61"/>
        <v>423.4000000000002</v>
      </c>
      <c r="N331" s="8">
        <f t="shared" si="57"/>
        <v>-4</v>
      </c>
      <c r="O331" s="1">
        <f t="shared" si="54"/>
        <v>132.09999999999985</v>
      </c>
      <c r="P331" s="1">
        <v>292</v>
      </c>
      <c r="Q331" s="11">
        <f t="shared" si="64"/>
        <v>0.70862068965517233</v>
      </c>
      <c r="R331" s="9">
        <f t="shared" si="58"/>
        <v>2.8344827586206893</v>
      </c>
      <c r="S331" s="9">
        <f t="shared" si="55"/>
        <v>-2.8344827586206893</v>
      </c>
      <c r="T331" s="9">
        <f t="shared" si="63"/>
        <v>117.50086990595612</v>
      </c>
      <c r="U331" s="9">
        <f>(U329*100)/189.6</f>
        <v>65.480194734335953</v>
      </c>
      <c r="V331" s="1">
        <v>2409.9</v>
      </c>
      <c r="W331" s="1">
        <f t="shared" si="56"/>
        <v>134.63128491620114</v>
      </c>
      <c r="X331" s="1">
        <f t="shared" si="62"/>
        <v>231290.70000000004</v>
      </c>
      <c r="Y331" s="1">
        <f t="shared" si="65"/>
        <v>22471.3</v>
      </c>
      <c r="AA331" s="1">
        <v>16.314698491182799</v>
      </c>
    </row>
    <row r="332" spans="1:27" s="1" customFormat="1" x14ac:dyDescent="0.25">
      <c r="A332" s="74"/>
      <c r="B332" s="5"/>
      <c r="C332" s="3">
        <v>41813</v>
      </c>
      <c r="D332" s="1">
        <v>17.399999999999999</v>
      </c>
      <c r="E332" s="1">
        <v>13.7</v>
      </c>
      <c r="F332" s="1">
        <v>22.1</v>
      </c>
      <c r="G332" s="1">
        <f t="shared" si="59"/>
        <v>2834.8999999999996</v>
      </c>
      <c r="H332" s="21">
        <f t="shared" si="53"/>
        <v>207.5</v>
      </c>
      <c r="I332" s="33" t="s">
        <v>17</v>
      </c>
      <c r="J332" s="1">
        <v>0</v>
      </c>
      <c r="K332" s="1">
        <f t="shared" si="60"/>
        <v>638.80000000000007</v>
      </c>
      <c r="L332" s="1">
        <v>4.7</v>
      </c>
      <c r="M332" s="1">
        <f t="shared" si="61"/>
        <v>428.10000000000019</v>
      </c>
      <c r="N332" s="8">
        <f t="shared" si="57"/>
        <v>-4.7</v>
      </c>
      <c r="O332" s="1">
        <f t="shared" si="54"/>
        <v>127.39999999999985</v>
      </c>
      <c r="P332" s="1">
        <v>293</v>
      </c>
      <c r="Q332" s="11">
        <f t="shared" si="64"/>
        <v>0.69482758620689644</v>
      </c>
      <c r="R332" s="9">
        <f t="shared" si="58"/>
        <v>3.2656896551724133</v>
      </c>
      <c r="S332" s="9">
        <f t="shared" si="55"/>
        <v>-3.2656896551724133</v>
      </c>
      <c r="T332" s="9">
        <f t="shared" si="63"/>
        <v>114.23518025078371</v>
      </c>
      <c r="V332" s="1">
        <v>2359.9</v>
      </c>
      <c r="W332" s="1">
        <f t="shared" si="56"/>
        <v>135.62643678160921</v>
      </c>
      <c r="X332" s="1">
        <f t="shared" si="62"/>
        <v>233650.60000000003</v>
      </c>
      <c r="Y332" s="1">
        <f t="shared" si="65"/>
        <v>24831.200000000001</v>
      </c>
      <c r="AA332" s="1">
        <v>16.312400575227699</v>
      </c>
    </row>
    <row r="333" spans="1:27" s="1" customFormat="1" x14ac:dyDescent="0.25">
      <c r="A333" s="74"/>
      <c r="B333" s="5"/>
      <c r="C333" s="3">
        <v>41814</v>
      </c>
      <c r="D333" s="1">
        <v>17.899999999999999</v>
      </c>
      <c r="E333" s="1">
        <v>11.2</v>
      </c>
      <c r="F333" s="1">
        <v>23.7</v>
      </c>
      <c r="G333" s="1">
        <f t="shared" si="59"/>
        <v>2852.7999999999997</v>
      </c>
      <c r="H333" s="21">
        <f t="shared" si="53"/>
        <v>225.4</v>
      </c>
      <c r="I333" s="1">
        <v>410.3</v>
      </c>
      <c r="J333" s="1">
        <v>0.1</v>
      </c>
      <c r="K333" s="1">
        <f t="shared" si="60"/>
        <v>638.90000000000009</v>
      </c>
      <c r="L333" s="1">
        <v>3.7</v>
      </c>
      <c r="M333" s="1">
        <f t="shared" si="61"/>
        <v>431.80000000000018</v>
      </c>
      <c r="N333" s="8">
        <f t="shared" si="57"/>
        <v>-3.6</v>
      </c>
      <c r="O333" s="1">
        <f t="shared" si="54"/>
        <v>123.79999999999986</v>
      </c>
      <c r="P333" s="1">
        <v>294</v>
      </c>
      <c r="Q333" s="11">
        <f t="shared" si="64"/>
        <v>0.68103448275862066</v>
      </c>
      <c r="R333" s="9">
        <f t="shared" si="58"/>
        <v>2.5198275862068966</v>
      </c>
      <c r="S333" s="9">
        <f t="shared" si="55"/>
        <v>-2.4198275862068965</v>
      </c>
      <c r="T333" s="9">
        <f t="shared" si="63"/>
        <v>111.81535266457682</v>
      </c>
      <c r="V333" s="1">
        <v>1980.4</v>
      </c>
      <c r="W333" s="1">
        <f t="shared" si="56"/>
        <v>110.6368715083799</v>
      </c>
      <c r="X333" s="1">
        <f t="shared" si="62"/>
        <v>235631.00000000003</v>
      </c>
      <c r="Y333" s="1">
        <f t="shared" si="65"/>
        <v>26811.600000000002</v>
      </c>
      <c r="AA333" s="1">
        <v>16.308574218940901</v>
      </c>
    </row>
    <row r="334" spans="1:27" s="1" customFormat="1" x14ac:dyDescent="0.25">
      <c r="A334" s="74"/>
      <c r="B334" s="5"/>
      <c r="C334" s="3">
        <v>41815</v>
      </c>
      <c r="D334" s="1">
        <v>15.9</v>
      </c>
      <c r="E334" s="1">
        <v>14.2</v>
      </c>
      <c r="F334" s="1">
        <v>19.2</v>
      </c>
      <c r="G334" s="1">
        <f t="shared" si="59"/>
        <v>2868.7</v>
      </c>
      <c r="H334" s="21">
        <f t="shared" si="53"/>
        <v>241.3</v>
      </c>
      <c r="J334" s="1">
        <v>0</v>
      </c>
      <c r="K334" s="1">
        <f t="shared" si="60"/>
        <v>638.90000000000009</v>
      </c>
      <c r="L334" s="1">
        <v>3.9</v>
      </c>
      <c r="M334" s="1">
        <f t="shared" si="61"/>
        <v>435.70000000000016</v>
      </c>
      <c r="N334" s="8">
        <f t="shared" si="57"/>
        <v>-3.9</v>
      </c>
      <c r="O334" s="1">
        <f t="shared" si="54"/>
        <v>119.89999999999985</v>
      </c>
      <c r="P334" s="1">
        <v>295</v>
      </c>
      <c r="Q334" s="11">
        <f t="shared" si="64"/>
        <v>0.66724137931034477</v>
      </c>
      <c r="R334" s="9">
        <f t="shared" si="58"/>
        <v>2.6022413793103447</v>
      </c>
      <c r="S334" s="9">
        <f t="shared" si="55"/>
        <v>-2.6022413793103447</v>
      </c>
      <c r="T334" s="9">
        <f t="shared" si="63"/>
        <v>109.21311128526648</v>
      </c>
      <c r="V334" s="1">
        <v>1873.7</v>
      </c>
      <c r="W334" s="1">
        <f t="shared" si="56"/>
        <v>117.84276729559748</v>
      </c>
      <c r="X334" s="1">
        <f t="shared" si="62"/>
        <v>237504.70000000004</v>
      </c>
      <c r="Y334" s="1">
        <f t="shared" si="65"/>
        <v>28685.300000000003</v>
      </c>
      <c r="AA334" s="1">
        <v>16.303224165769201</v>
      </c>
    </row>
    <row r="335" spans="1:27" s="1" customFormat="1" x14ac:dyDescent="0.25">
      <c r="A335" s="74"/>
      <c r="B335" s="5"/>
      <c r="C335" s="3">
        <v>41816</v>
      </c>
      <c r="D335" s="1">
        <v>17.100000000000001</v>
      </c>
      <c r="E335" s="1">
        <v>9.5</v>
      </c>
      <c r="F335" s="1">
        <v>22.5</v>
      </c>
      <c r="G335" s="1">
        <f t="shared" si="59"/>
        <v>2885.7999999999997</v>
      </c>
      <c r="H335" s="21">
        <f t="shared" si="53"/>
        <v>258.40000000000003</v>
      </c>
      <c r="J335" s="1">
        <v>0</v>
      </c>
      <c r="K335" s="1">
        <f t="shared" si="60"/>
        <v>638.90000000000009</v>
      </c>
      <c r="L335" s="1">
        <v>3</v>
      </c>
      <c r="M335" s="1">
        <f t="shared" si="61"/>
        <v>438.70000000000016</v>
      </c>
      <c r="N335" s="8">
        <f t="shared" si="57"/>
        <v>-3</v>
      </c>
      <c r="O335" s="1">
        <f t="shared" si="54"/>
        <v>116.89999999999985</v>
      </c>
      <c r="P335" s="1">
        <v>296</v>
      </c>
      <c r="Q335" s="11">
        <f t="shared" si="64"/>
        <v>0.65344827586206888</v>
      </c>
      <c r="R335" s="9">
        <f t="shared" si="58"/>
        <v>1.9603448275862068</v>
      </c>
      <c r="S335" s="9">
        <f t="shared" si="55"/>
        <v>-1.9603448275862068</v>
      </c>
      <c r="T335" s="9">
        <f t="shared" si="63"/>
        <v>107.25276645768027</v>
      </c>
      <c r="V335" s="1">
        <v>1705.8</v>
      </c>
      <c r="W335" s="1">
        <f t="shared" si="56"/>
        <v>99.754385964912274</v>
      </c>
      <c r="X335" s="1">
        <f t="shared" si="62"/>
        <v>239210.50000000003</v>
      </c>
      <c r="Y335" s="1">
        <f t="shared" si="65"/>
        <v>30391.100000000002</v>
      </c>
      <c r="AA335" s="1">
        <v>16.296356801458401</v>
      </c>
    </row>
    <row r="336" spans="1:27" s="1" customFormat="1" x14ac:dyDescent="0.25">
      <c r="A336" s="74"/>
      <c r="B336" s="5"/>
      <c r="C336" s="3">
        <v>41817</v>
      </c>
      <c r="D336" s="1">
        <v>17.5</v>
      </c>
      <c r="E336" s="1">
        <v>15.1</v>
      </c>
      <c r="F336" s="1">
        <v>21.9</v>
      </c>
      <c r="G336" s="1">
        <f t="shared" si="59"/>
        <v>2903.2999999999997</v>
      </c>
      <c r="H336" s="21">
        <f t="shared" si="53"/>
        <v>275.90000000000003</v>
      </c>
      <c r="J336" s="1">
        <v>4.0999999999999996</v>
      </c>
      <c r="K336" s="1">
        <f t="shared" si="60"/>
        <v>643.00000000000011</v>
      </c>
      <c r="L336" s="1">
        <v>2.6</v>
      </c>
      <c r="M336" s="1">
        <f t="shared" si="61"/>
        <v>441.30000000000018</v>
      </c>
      <c r="N336" s="1">
        <f t="shared" si="57"/>
        <v>1.4999999999999996</v>
      </c>
      <c r="O336" s="1">
        <f t="shared" si="54"/>
        <v>118.39999999999985</v>
      </c>
      <c r="P336" s="1">
        <v>297</v>
      </c>
      <c r="Q336" s="11">
        <f t="shared" si="64"/>
        <v>0.63965517241379299</v>
      </c>
      <c r="R336" s="9">
        <f t="shared" si="58"/>
        <v>1.6631034482758618</v>
      </c>
      <c r="S336" s="9">
        <f t="shared" si="55"/>
        <v>2.4368965517241379</v>
      </c>
      <c r="T336" s="9">
        <f t="shared" si="63"/>
        <v>109.6896630094044</v>
      </c>
      <c r="V336" s="1">
        <v>1297.5999999999999</v>
      </c>
      <c r="W336" s="1">
        <f t="shared" si="56"/>
        <v>74.148571428571429</v>
      </c>
      <c r="X336" s="1">
        <f t="shared" si="62"/>
        <v>240508.10000000003</v>
      </c>
      <c r="Y336" s="1">
        <f t="shared" si="65"/>
        <v>31688.7</v>
      </c>
      <c r="AA336" s="1">
        <v>16.2879801278877</v>
      </c>
    </row>
    <row r="337" spans="1:27" s="1" customFormat="1" x14ac:dyDescent="0.25">
      <c r="A337" s="74"/>
      <c r="B337" s="5"/>
      <c r="C337" s="3">
        <v>41818</v>
      </c>
      <c r="D337" s="1">
        <v>14.9</v>
      </c>
      <c r="E337" s="1">
        <v>14.1</v>
      </c>
      <c r="F337" s="1">
        <v>15.9</v>
      </c>
      <c r="G337" s="1">
        <f t="shared" si="59"/>
        <v>2918.2</v>
      </c>
      <c r="H337" s="21">
        <f t="shared" si="53"/>
        <v>290.8</v>
      </c>
      <c r="J337" s="1">
        <v>10.5</v>
      </c>
      <c r="K337" s="1">
        <f t="shared" si="60"/>
        <v>653.50000000000011</v>
      </c>
      <c r="L337" s="1">
        <v>1.4</v>
      </c>
      <c r="M337" s="1">
        <f t="shared" si="61"/>
        <v>442.70000000000016</v>
      </c>
      <c r="N337" s="1">
        <f t="shared" si="57"/>
        <v>9.1</v>
      </c>
      <c r="O337" s="1">
        <f t="shared" si="54"/>
        <v>127.49999999999984</v>
      </c>
      <c r="P337" s="1">
        <v>298</v>
      </c>
      <c r="Q337" s="11">
        <f t="shared" si="64"/>
        <v>0.62586206896551722</v>
      </c>
      <c r="R337" s="9">
        <f t="shared" si="58"/>
        <v>0.87620689655172401</v>
      </c>
      <c r="S337" s="9">
        <f t="shared" si="55"/>
        <v>9.6237931034482767</v>
      </c>
      <c r="T337" s="9">
        <f t="shared" si="63"/>
        <v>119.31345611285268</v>
      </c>
      <c r="V337" s="1">
        <v>946.4</v>
      </c>
      <c r="W337" s="1">
        <f t="shared" si="56"/>
        <v>63.516778523489933</v>
      </c>
      <c r="X337" s="1">
        <f t="shared" si="62"/>
        <v>241454.50000000003</v>
      </c>
      <c r="Y337" s="1">
        <f t="shared" si="65"/>
        <v>32635.100000000002</v>
      </c>
      <c r="AA337" s="1">
        <v>16.278103730499399</v>
      </c>
    </row>
    <row r="338" spans="1:27" s="1" customFormat="1" x14ac:dyDescent="0.25">
      <c r="A338" s="74"/>
      <c r="B338" s="5"/>
      <c r="C338" s="3">
        <v>41819</v>
      </c>
      <c r="D338" s="1">
        <v>14</v>
      </c>
      <c r="E338" s="1">
        <v>13</v>
      </c>
      <c r="F338" s="1">
        <v>16</v>
      </c>
      <c r="G338" s="1">
        <f t="shared" si="59"/>
        <v>2932.2</v>
      </c>
      <c r="H338" s="21">
        <f t="shared" ref="H338:H357" si="66">H337+D338</f>
        <v>304.8</v>
      </c>
      <c r="J338" s="1">
        <v>6.6</v>
      </c>
      <c r="K338" s="1">
        <f t="shared" si="60"/>
        <v>660.10000000000014</v>
      </c>
      <c r="L338" s="1">
        <v>1.6</v>
      </c>
      <c r="M338" s="1">
        <f t="shared" si="61"/>
        <v>444.30000000000018</v>
      </c>
      <c r="N338" s="1">
        <f t="shared" si="57"/>
        <v>5</v>
      </c>
      <c r="O338" s="1">
        <f t="shared" si="54"/>
        <v>132.49999999999983</v>
      </c>
      <c r="P338" s="1">
        <v>299</v>
      </c>
      <c r="Q338" s="11">
        <f t="shared" si="64"/>
        <v>0.61206896551724133</v>
      </c>
      <c r="R338" s="9">
        <f t="shared" si="58"/>
        <v>0.97931034482758617</v>
      </c>
      <c r="S338" s="9">
        <f t="shared" si="55"/>
        <v>5.6206896551724137</v>
      </c>
      <c r="T338" s="9">
        <f t="shared" si="63"/>
        <v>124.93414576802509</v>
      </c>
      <c r="V338" s="10">
        <v>848.4</v>
      </c>
      <c r="W338" s="1">
        <f t="shared" si="56"/>
        <v>60.6</v>
      </c>
      <c r="X338" s="1">
        <f t="shared" si="62"/>
        <v>242302.90000000002</v>
      </c>
      <c r="Y338" s="1">
        <f t="shared" si="65"/>
        <v>33483.5</v>
      </c>
      <c r="AA338" s="1">
        <v>16.266738739605</v>
      </c>
    </row>
    <row r="339" spans="1:27" s="1" customFormat="1" x14ac:dyDescent="0.25">
      <c r="A339" s="74"/>
      <c r="B339" s="5"/>
      <c r="C339" s="3">
        <v>41820</v>
      </c>
      <c r="D339" s="1">
        <v>14.9</v>
      </c>
      <c r="E339" s="1">
        <v>10.6</v>
      </c>
      <c r="F339" s="1">
        <v>19.600000000000001</v>
      </c>
      <c r="G339" s="1">
        <f t="shared" si="59"/>
        <v>2947.1</v>
      </c>
      <c r="H339" s="21">
        <f t="shared" si="66"/>
        <v>319.7</v>
      </c>
      <c r="J339" s="1">
        <v>3.2</v>
      </c>
      <c r="K339" s="1">
        <f t="shared" si="60"/>
        <v>663.30000000000018</v>
      </c>
      <c r="L339" s="1">
        <v>1.3</v>
      </c>
      <c r="M339" s="1">
        <f t="shared" si="61"/>
        <v>445.60000000000019</v>
      </c>
      <c r="N339" s="1">
        <f t="shared" si="57"/>
        <v>1.9000000000000001</v>
      </c>
      <c r="O339" s="1">
        <f t="shared" si="54"/>
        <v>134.39999999999984</v>
      </c>
      <c r="P339" s="1">
        <v>300</v>
      </c>
      <c r="Q339" s="11">
        <f t="shared" si="64"/>
        <v>0.59827586206896544</v>
      </c>
      <c r="R339" s="9">
        <f t="shared" si="58"/>
        <v>0.77775862068965507</v>
      </c>
      <c r="S339" s="9">
        <f t="shared" si="55"/>
        <v>2.422241379310345</v>
      </c>
      <c r="T339" s="9">
        <f t="shared" si="63"/>
        <v>127.35638714733544</v>
      </c>
      <c r="V339" s="10">
        <v>692.1</v>
      </c>
      <c r="W339" s="1">
        <f t="shared" si="56"/>
        <v>46.449664429530202</v>
      </c>
      <c r="X339" s="1">
        <f t="shared" si="62"/>
        <v>242995.00000000003</v>
      </c>
      <c r="Y339" s="1">
        <f t="shared" si="65"/>
        <v>34175.599999999999</v>
      </c>
      <c r="AA339" s="1">
        <v>16.2538977858922</v>
      </c>
    </row>
    <row r="340" spans="1:27" s="1" customFormat="1" x14ac:dyDescent="0.25">
      <c r="A340" s="74"/>
      <c r="B340" s="5"/>
      <c r="C340" s="3">
        <v>41821</v>
      </c>
      <c r="D340" s="1">
        <v>16.399999999999999</v>
      </c>
      <c r="E340" s="1">
        <v>12.6</v>
      </c>
      <c r="F340" s="1">
        <v>20</v>
      </c>
      <c r="G340" s="1">
        <f t="shared" si="59"/>
        <v>2963.5</v>
      </c>
      <c r="H340" s="21">
        <f t="shared" si="66"/>
        <v>336.09999999999997</v>
      </c>
      <c r="J340" s="1">
        <v>0</v>
      </c>
      <c r="K340" s="1">
        <f t="shared" si="60"/>
        <v>663.30000000000018</v>
      </c>
      <c r="L340" s="1">
        <v>2.4</v>
      </c>
      <c r="M340" s="1">
        <f t="shared" si="61"/>
        <v>448.00000000000017</v>
      </c>
      <c r="N340" s="8">
        <f t="shared" si="57"/>
        <v>-2.4</v>
      </c>
      <c r="O340" s="1">
        <f t="shared" si="54"/>
        <v>131.99999999999983</v>
      </c>
      <c r="P340" s="1">
        <v>301</v>
      </c>
      <c r="Q340" s="11">
        <f t="shared" si="64"/>
        <v>0.58448275862068966</v>
      </c>
      <c r="R340" s="9">
        <f t="shared" si="58"/>
        <v>1.4027586206896552</v>
      </c>
      <c r="S340" s="9">
        <f t="shared" si="55"/>
        <v>-1.4027586206896552</v>
      </c>
      <c r="T340" s="9">
        <f t="shared" si="63"/>
        <v>125.95362852664579</v>
      </c>
      <c r="V340" s="1">
        <v>1033.3</v>
      </c>
      <c r="W340" s="1">
        <f t="shared" si="56"/>
        <v>63.006097560975611</v>
      </c>
      <c r="X340" s="1">
        <f t="shared" si="62"/>
        <v>244028.30000000002</v>
      </c>
      <c r="Y340" s="1">
        <f t="shared" si="65"/>
        <v>35208.9</v>
      </c>
      <c r="AA340" s="1">
        <v>16.239594950505701</v>
      </c>
    </row>
    <row r="341" spans="1:27" s="1" customFormat="1" x14ac:dyDescent="0.25">
      <c r="A341" s="74"/>
      <c r="B341" s="5"/>
      <c r="C341" s="3">
        <v>41822</v>
      </c>
      <c r="D341" s="1">
        <v>16.7</v>
      </c>
      <c r="E341" s="1">
        <v>11.8</v>
      </c>
      <c r="F341" s="1">
        <v>21.5</v>
      </c>
      <c r="G341" s="1">
        <f t="shared" si="59"/>
        <v>2980.2</v>
      </c>
      <c r="H341" s="21">
        <f t="shared" si="66"/>
        <v>352.79999999999995</v>
      </c>
      <c r="J341" s="1">
        <v>0</v>
      </c>
      <c r="K341" s="1">
        <f t="shared" si="60"/>
        <v>663.30000000000018</v>
      </c>
      <c r="L341" s="1">
        <v>4.8</v>
      </c>
      <c r="M341" s="1">
        <f t="shared" si="61"/>
        <v>452.80000000000018</v>
      </c>
      <c r="N341" s="8">
        <f t="shared" si="57"/>
        <v>-4.8</v>
      </c>
      <c r="O341" s="1">
        <f t="shared" si="54"/>
        <v>127.19999999999983</v>
      </c>
      <c r="P341" s="1">
        <v>302</v>
      </c>
      <c r="Q341" s="11">
        <f t="shared" si="64"/>
        <v>0.57068965517241377</v>
      </c>
      <c r="R341" s="9">
        <f t="shared" si="58"/>
        <v>2.7393103448275862</v>
      </c>
      <c r="S341" s="9">
        <f t="shared" si="55"/>
        <v>-2.7393103448275862</v>
      </c>
      <c r="T341" s="9">
        <f t="shared" si="63"/>
        <v>123.2143181818182</v>
      </c>
      <c r="V341" s="1">
        <v>2733.3</v>
      </c>
      <c r="W341" s="1">
        <f t="shared" si="56"/>
        <v>163.67065868263475</v>
      </c>
      <c r="X341" s="1">
        <f t="shared" si="62"/>
        <v>246761.60000000001</v>
      </c>
      <c r="Y341" s="1">
        <f t="shared" si="65"/>
        <v>37942.200000000004</v>
      </c>
      <c r="AA341" s="1">
        <v>16.2238457101089</v>
      </c>
    </row>
    <row r="342" spans="1:27" s="1" customFormat="1" x14ac:dyDescent="0.25">
      <c r="A342" s="74"/>
      <c r="B342" s="5"/>
      <c r="C342" s="3">
        <v>41823</v>
      </c>
      <c r="D342" s="1">
        <v>19.899999999999999</v>
      </c>
      <c r="E342" s="1">
        <v>12.7</v>
      </c>
      <c r="F342" s="6">
        <v>25.9</v>
      </c>
      <c r="G342" s="1">
        <f t="shared" si="59"/>
        <v>3000.1</v>
      </c>
      <c r="H342" s="21">
        <f t="shared" si="66"/>
        <v>372.69999999999993</v>
      </c>
      <c r="J342" s="1">
        <v>0</v>
      </c>
      <c r="K342" s="1">
        <f t="shared" si="60"/>
        <v>663.30000000000018</v>
      </c>
      <c r="L342" s="1">
        <v>5.3</v>
      </c>
      <c r="M342" s="1">
        <f t="shared" si="61"/>
        <v>458.10000000000019</v>
      </c>
      <c r="N342" s="8">
        <f t="shared" si="57"/>
        <v>-5.3</v>
      </c>
      <c r="O342" s="1">
        <f t="shared" si="54"/>
        <v>121.89999999999984</v>
      </c>
      <c r="P342" s="1">
        <v>303</v>
      </c>
      <c r="Q342" s="11">
        <f t="shared" si="64"/>
        <v>0.55689655172413788</v>
      </c>
      <c r="R342" s="9">
        <f t="shared" si="58"/>
        <v>2.9515517241379308</v>
      </c>
      <c r="S342" s="9">
        <f t="shared" si="55"/>
        <v>-2.9515517241379308</v>
      </c>
      <c r="T342" s="9">
        <f t="shared" si="63"/>
        <v>120.26276645768027</v>
      </c>
      <c r="V342" s="1">
        <v>2724.4</v>
      </c>
      <c r="W342" s="1">
        <f t="shared" si="56"/>
        <v>136.90452261306535</v>
      </c>
      <c r="X342" s="1">
        <f t="shared" si="62"/>
        <v>249486</v>
      </c>
      <c r="Y342" s="1">
        <f t="shared" si="65"/>
        <v>40666.600000000006</v>
      </c>
      <c r="AA342" s="1">
        <v>16.206666877370399</v>
      </c>
    </row>
    <row r="343" spans="1:27" s="1" customFormat="1" x14ac:dyDescent="0.25">
      <c r="A343" s="74"/>
      <c r="B343" s="5"/>
      <c r="C343" s="3">
        <v>41824</v>
      </c>
      <c r="D343" s="1">
        <v>18.899999999999999</v>
      </c>
      <c r="E343" s="1">
        <v>13.6</v>
      </c>
      <c r="F343" s="1">
        <v>21.8</v>
      </c>
      <c r="G343" s="1">
        <f t="shared" si="59"/>
        <v>3019</v>
      </c>
      <c r="H343" s="21">
        <f t="shared" si="66"/>
        <v>391.59999999999991</v>
      </c>
      <c r="J343" s="1">
        <v>4.5</v>
      </c>
      <c r="K343" s="1">
        <f t="shared" si="60"/>
        <v>667.80000000000018</v>
      </c>
      <c r="L343" s="1">
        <v>1.9</v>
      </c>
      <c r="M343" s="1">
        <f t="shared" si="61"/>
        <v>460.00000000000017</v>
      </c>
      <c r="N343" s="1">
        <f t="shared" si="57"/>
        <v>2.6</v>
      </c>
      <c r="O343" s="1">
        <f t="shared" si="54"/>
        <v>124.49999999999983</v>
      </c>
      <c r="P343" s="1">
        <v>304</v>
      </c>
      <c r="Q343" s="11">
        <f t="shared" si="64"/>
        <v>0.5431034482758621</v>
      </c>
      <c r="R343" s="9">
        <f t="shared" si="58"/>
        <v>1.0318965517241379</v>
      </c>
      <c r="S343" s="9">
        <f t="shared" si="55"/>
        <v>3.4681034482758619</v>
      </c>
      <c r="T343" s="9">
        <f t="shared" si="63"/>
        <v>123.73086990595613</v>
      </c>
      <c r="V343" s="1">
        <v>1131.0999999999999</v>
      </c>
      <c r="W343" s="1">
        <f t="shared" si="56"/>
        <v>59.846560846560848</v>
      </c>
      <c r="X343" s="1">
        <f t="shared" si="62"/>
        <v>250617.1</v>
      </c>
      <c r="Y343" s="1">
        <f t="shared" si="65"/>
        <v>41797.700000000004</v>
      </c>
      <c r="AA343" s="1">
        <v>16.188076537341999</v>
      </c>
    </row>
    <row r="344" spans="1:27" s="42" customFormat="1" ht="15.75" thickBot="1" x14ac:dyDescent="0.3">
      <c r="A344" s="74"/>
      <c r="B344" s="39"/>
      <c r="C344" s="64">
        <v>41825</v>
      </c>
      <c r="D344" s="42">
        <v>18.7</v>
      </c>
      <c r="E344" s="42">
        <v>16.7</v>
      </c>
      <c r="F344" s="42">
        <v>20.399999999999999</v>
      </c>
      <c r="G344" s="42">
        <f t="shared" si="59"/>
        <v>3037.7</v>
      </c>
      <c r="H344" s="65">
        <f t="shared" si="66"/>
        <v>410.2999999999999</v>
      </c>
      <c r="J344" s="42">
        <v>2.7</v>
      </c>
      <c r="K344" s="42">
        <f t="shared" si="60"/>
        <v>670.50000000000023</v>
      </c>
      <c r="L344" s="42">
        <v>1.3</v>
      </c>
      <c r="M344" s="42">
        <f t="shared" si="61"/>
        <v>461.30000000000018</v>
      </c>
      <c r="N344" s="42">
        <f t="shared" si="57"/>
        <v>1.4000000000000001</v>
      </c>
      <c r="O344" s="42">
        <f t="shared" si="54"/>
        <v>125.89999999999984</v>
      </c>
      <c r="P344" s="42">
        <v>305</v>
      </c>
      <c r="Q344" s="43">
        <f t="shared" si="64"/>
        <v>0.52931034482758621</v>
      </c>
      <c r="R344" s="44">
        <f t="shared" si="58"/>
        <v>0.68810344827586212</v>
      </c>
      <c r="S344" s="44">
        <f t="shared" si="55"/>
        <v>2.0118965517241381</v>
      </c>
      <c r="T344" s="44">
        <f t="shared" si="63"/>
        <v>125.74276645768026</v>
      </c>
      <c r="V344" s="66">
        <v>539.5</v>
      </c>
      <c r="W344" s="42">
        <f t="shared" si="56"/>
        <v>28.850267379679146</v>
      </c>
      <c r="X344" s="42">
        <f t="shared" si="62"/>
        <v>251156.6</v>
      </c>
      <c r="Y344" s="42">
        <f t="shared" si="65"/>
        <v>42337.200000000004</v>
      </c>
      <c r="AA344" s="42">
        <v>16.168093980218099</v>
      </c>
    </row>
    <row r="345" spans="1:27" s="63" customFormat="1" x14ac:dyDescent="0.25">
      <c r="B345" s="61"/>
      <c r="C345" s="62">
        <v>41826</v>
      </c>
      <c r="D345" s="63">
        <v>15.9</v>
      </c>
      <c r="E345" s="63">
        <v>14.8</v>
      </c>
      <c r="F345" s="63">
        <v>18.2</v>
      </c>
      <c r="G345" s="63">
        <f t="shared" si="59"/>
        <v>3053.6</v>
      </c>
      <c r="H345" s="21">
        <f t="shared" si="66"/>
        <v>426.19999999999987</v>
      </c>
      <c r="J345" s="63">
        <v>16</v>
      </c>
      <c r="K345" s="63">
        <f t="shared" si="60"/>
        <v>686.50000000000023</v>
      </c>
      <c r="L345" s="63">
        <v>1.7</v>
      </c>
      <c r="M345" s="63">
        <f t="shared" si="61"/>
        <v>463.00000000000017</v>
      </c>
      <c r="N345" s="63">
        <f t="shared" si="57"/>
        <v>14.3</v>
      </c>
      <c r="O345" s="21">
        <f t="shared" si="54"/>
        <v>140.19999999999985</v>
      </c>
      <c r="P345" s="21">
        <v>306</v>
      </c>
      <c r="Q345" s="11">
        <f t="shared" si="64"/>
        <v>0.51551724137931032</v>
      </c>
      <c r="R345" s="22">
        <f t="shared" si="58"/>
        <v>0.87637931034482752</v>
      </c>
      <c r="S345" s="22">
        <f t="shared" si="55"/>
        <v>15.123620689655173</v>
      </c>
      <c r="T345" s="22">
        <f t="shared" si="63"/>
        <v>140.86638714733544</v>
      </c>
      <c r="V345" s="59">
        <v>889.1</v>
      </c>
      <c r="W345" s="63">
        <f t="shared" si="56"/>
        <v>55.918238993710695</v>
      </c>
      <c r="X345" s="63">
        <f t="shared" si="62"/>
        <v>252045.7</v>
      </c>
      <c r="Y345" s="1">
        <f t="shared" si="65"/>
        <v>43226.3</v>
      </c>
      <c r="AA345" s="21">
        <v>16.1467396309795</v>
      </c>
    </row>
    <row r="346" spans="1:27" s="1" customFormat="1" x14ac:dyDescent="0.25">
      <c r="A346" s="75" t="s">
        <v>24</v>
      </c>
      <c r="B346" s="34"/>
      <c r="C346" s="3">
        <v>41827</v>
      </c>
      <c r="D346" s="1">
        <v>15.6</v>
      </c>
      <c r="E346" s="1">
        <v>10.1</v>
      </c>
      <c r="F346" s="1">
        <v>19.600000000000001</v>
      </c>
      <c r="G346" s="1">
        <f t="shared" si="59"/>
        <v>3069.2</v>
      </c>
      <c r="H346" s="21">
        <f t="shared" si="66"/>
        <v>441.7999999999999</v>
      </c>
      <c r="J346" s="1">
        <v>7.1</v>
      </c>
      <c r="K346" s="1">
        <f t="shared" si="60"/>
        <v>693.60000000000025</v>
      </c>
      <c r="L346" s="1">
        <v>2.5</v>
      </c>
      <c r="M346" s="1">
        <f t="shared" si="61"/>
        <v>465.50000000000017</v>
      </c>
      <c r="N346" s="1">
        <f t="shared" si="57"/>
        <v>4.5999999999999996</v>
      </c>
      <c r="O346" s="1">
        <f t="shared" si="54"/>
        <v>144.79999999999984</v>
      </c>
      <c r="P346" s="1">
        <v>307</v>
      </c>
      <c r="Q346" s="11">
        <f t="shared" si="64"/>
        <v>0.50172413793103443</v>
      </c>
      <c r="R346" s="9">
        <f t="shared" si="58"/>
        <v>1.2543103448275861</v>
      </c>
      <c r="S346" s="9">
        <f t="shared" si="55"/>
        <v>5.8456896551724133</v>
      </c>
      <c r="T346" s="9">
        <f t="shared" si="63"/>
        <v>146.71207680250785</v>
      </c>
      <c r="V346" s="1">
        <v>1718.6</v>
      </c>
      <c r="W346" s="1">
        <f t="shared" si="56"/>
        <v>110.16666666666666</v>
      </c>
      <c r="X346" s="1">
        <f t="shared" si="62"/>
        <v>253764.30000000002</v>
      </c>
      <c r="Y346" s="1">
        <f t="shared" si="65"/>
        <v>44944.9</v>
      </c>
      <c r="AA346" s="1">
        <v>16.124034976432402</v>
      </c>
    </row>
    <row r="347" spans="1:27" s="1" customFormat="1" x14ac:dyDescent="0.25">
      <c r="A347" s="75"/>
      <c r="B347" s="34"/>
      <c r="C347" s="3">
        <v>41828</v>
      </c>
      <c r="D347" s="1">
        <v>14.4</v>
      </c>
      <c r="E347" s="1">
        <v>13.2</v>
      </c>
      <c r="F347" s="1">
        <v>16.7</v>
      </c>
      <c r="G347" s="1">
        <f t="shared" si="59"/>
        <v>3083.6</v>
      </c>
      <c r="H347" s="21">
        <f t="shared" si="66"/>
        <v>456.19999999999987</v>
      </c>
      <c r="J347" s="1">
        <v>2.4</v>
      </c>
      <c r="K347" s="1">
        <f t="shared" si="60"/>
        <v>696.00000000000023</v>
      </c>
      <c r="L347" s="1">
        <v>1.4</v>
      </c>
      <c r="M347" s="1">
        <f t="shared" si="61"/>
        <v>466.90000000000015</v>
      </c>
      <c r="N347" s="1">
        <f t="shared" si="57"/>
        <v>1</v>
      </c>
      <c r="O347" s="1">
        <f t="shared" si="54"/>
        <v>145.79999999999984</v>
      </c>
      <c r="P347" s="1">
        <v>308</v>
      </c>
      <c r="Q347" s="11">
        <f t="shared" si="64"/>
        <v>0.48793103448275854</v>
      </c>
      <c r="R347" s="9">
        <f t="shared" si="58"/>
        <v>0.68310344827586189</v>
      </c>
      <c r="S347" s="9">
        <f t="shared" si="55"/>
        <v>1.7168965517241381</v>
      </c>
      <c r="T347" s="9">
        <f t="shared" si="63"/>
        <v>148.428973354232</v>
      </c>
      <c r="V347" s="10">
        <v>794.8</v>
      </c>
      <c r="W347" s="1">
        <f t="shared" si="56"/>
        <v>55.194444444444443</v>
      </c>
      <c r="X347" s="1">
        <f t="shared" si="62"/>
        <v>254559.1</v>
      </c>
      <c r="Y347" s="1">
        <f t="shared" si="65"/>
        <v>45739.700000000004</v>
      </c>
      <c r="AA347" s="1">
        <v>16.100002490156001</v>
      </c>
    </row>
    <row r="348" spans="1:27" s="1" customFormat="1" x14ac:dyDescent="0.25">
      <c r="A348" s="75"/>
      <c r="B348" s="34"/>
      <c r="C348" s="3">
        <v>41829</v>
      </c>
      <c r="D348" s="1">
        <v>13.9</v>
      </c>
      <c r="E348" s="1">
        <v>11.8</v>
      </c>
      <c r="F348" s="1">
        <v>14.8</v>
      </c>
      <c r="G348" s="1">
        <f t="shared" si="59"/>
        <v>3097.5</v>
      </c>
      <c r="H348" s="21">
        <f t="shared" si="66"/>
        <v>470.09999999999985</v>
      </c>
      <c r="J348" s="1">
        <v>20.7</v>
      </c>
      <c r="K348" s="1">
        <f t="shared" si="60"/>
        <v>716.70000000000027</v>
      </c>
      <c r="L348" s="1">
        <v>0.8</v>
      </c>
      <c r="M348" s="1">
        <f t="shared" si="61"/>
        <v>467.70000000000016</v>
      </c>
      <c r="N348" s="1">
        <f t="shared" si="57"/>
        <v>19.899999999999999</v>
      </c>
      <c r="O348" s="1">
        <f t="shared" si="54"/>
        <v>165.69999999999985</v>
      </c>
      <c r="P348" s="1">
        <v>309</v>
      </c>
      <c r="Q348" s="11">
        <f t="shared" si="64"/>
        <v>0.47413793103448276</v>
      </c>
      <c r="R348" s="9">
        <f t="shared" si="58"/>
        <v>0.37931034482758624</v>
      </c>
      <c r="S348" s="9">
        <f t="shared" si="55"/>
        <v>20.320689655172412</v>
      </c>
      <c r="T348" s="9">
        <f t="shared" si="63"/>
        <v>168.7496630094044</v>
      </c>
      <c r="V348" s="10">
        <v>557.6</v>
      </c>
      <c r="W348" s="1">
        <f t="shared" si="56"/>
        <v>40.115107913669064</v>
      </c>
      <c r="X348" s="1">
        <f t="shared" si="62"/>
        <v>255116.7</v>
      </c>
      <c r="Y348" s="1">
        <f t="shared" si="65"/>
        <v>46297.3</v>
      </c>
      <c r="AA348" s="1">
        <v>16.074665555867501</v>
      </c>
    </row>
    <row r="349" spans="1:27" s="1" customFormat="1" x14ac:dyDescent="0.25">
      <c r="A349" s="75"/>
      <c r="B349" s="34"/>
      <c r="C349" s="3">
        <v>41830</v>
      </c>
      <c r="D349" s="1">
        <v>15.4</v>
      </c>
      <c r="E349" s="1">
        <v>14.1</v>
      </c>
      <c r="F349" s="1">
        <v>16.5</v>
      </c>
      <c r="G349" s="1">
        <f t="shared" si="59"/>
        <v>3112.9</v>
      </c>
      <c r="H349" s="21">
        <f t="shared" si="66"/>
        <v>485.49999999999983</v>
      </c>
      <c r="J349" s="1">
        <v>18.899999999999999</v>
      </c>
      <c r="K349" s="1">
        <f t="shared" si="60"/>
        <v>735.60000000000025</v>
      </c>
      <c r="L349" s="1">
        <v>1</v>
      </c>
      <c r="M349" s="1">
        <f t="shared" si="61"/>
        <v>468.70000000000016</v>
      </c>
      <c r="N349" s="1">
        <f t="shared" si="57"/>
        <v>17.899999999999999</v>
      </c>
      <c r="O349" s="1">
        <f t="shared" ref="O349" si="67">O348+N349</f>
        <v>183.59999999999985</v>
      </c>
      <c r="P349" s="1">
        <v>310</v>
      </c>
      <c r="Q349" s="11">
        <f t="shared" si="64"/>
        <v>0.46034482758620687</v>
      </c>
      <c r="R349" s="9">
        <f t="shared" si="58"/>
        <v>0.46034482758620687</v>
      </c>
      <c r="S349" s="9">
        <f t="shared" si="55"/>
        <v>18.43965517241379</v>
      </c>
      <c r="T349" s="9">
        <f t="shared" si="63"/>
        <v>187.18931818181818</v>
      </c>
      <c r="V349" s="10">
        <v>516.70000000000005</v>
      </c>
      <c r="W349" s="1">
        <f t="shared" si="56"/>
        <v>33.551948051948052</v>
      </c>
      <c r="X349" s="1">
        <f t="shared" si="62"/>
        <v>255633.40000000002</v>
      </c>
      <c r="Y349" s="1">
        <f t="shared" si="65"/>
        <v>46814</v>
      </c>
      <c r="AA349" s="1">
        <v>16.0480483897061</v>
      </c>
    </row>
    <row r="350" spans="1:27" s="1" customFormat="1" x14ac:dyDescent="0.25">
      <c r="A350" s="75"/>
      <c r="B350" s="34"/>
      <c r="C350" s="3">
        <v>41831</v>
      </c>
      <c r="D350" s="1">
        <v>15.2</v>
      </c>
      <c r="E350" s="1">
        <v>14.5</v>
      </c>
      <c r="F350" s="1">
        <v>15.8</v>
      </c>
      <c r="G350" s="1">
        <f t="shared" si="59"/>
        <v>3128.1</v>
      </c>
      <c r="H350" s="21">
        <f t="shared" si="66"/>
        <v>500.69999999999982</v>
      </c>
      <c r="J350" s="1">
        <v>8</v>
      </c>
      <c r="K350" s="1">
        <f t="shared" si="60"/>
        <v>743.60000000000025</v>
      </c>
      <c r="L350" s="1">
        <v>0.8</v>
      </c>
      <c r="M350" s="1">
        <f t="shared" si="61"/>
        <v>469.50000000000017</v>
      </c>
      <c r="N350" s="1">
        <f t="shared" si="57"/>
        <v>7.2</v>
      </c>
      <c r="O350" s="1">
        <v>189.6</v>
      </c>
      <c r="P350" s="1">
        <v>311</v>
      </c>
      <c r="Q350" s="11">
        <f t="shared" si="64"/>
        <v>0.44655172413793098</v>
      </c>
      <c r="R350" s="9">
        <f t="shared" si="58"/>
        <v>0.35724137931034483</v>
      </c>
      <c r="S350" s="9">
        <f t="shared" si="55"/>
        <v>7.6427586206896549</v>
      </c>
      <c r="T350" s="9">
        <f t="shared" si="63"/>
        <v>189.6</v>
      </c>
      <c r="V350" s="10">
        <v>400.5</v>
      </c>
      <c r="W350" s="1">
        <f t="shared" si="56"/>
        <v>26.348684210526319</v>
      </c>
      <c r="X350" s="1">
        <f t="shared" si="62"/>
        <v>256033.90000000002</v>
      </c>
      <c r="Y350" s="1">
        <f t="shared" si="65"/>
        <v>47214.5</v>
      </c>
      <c r="AA350" s="1">
        <v>16.020175961919801</v>
      </c>
    </row>
    <row r="351" spans="1:27" s="1" customFormat="1" x14ac:dyDescent="0.25">
      <c r="A351" s="75"/>
      <c r="B351" s="34"/>
      <c r="C351" s="3">
        <v>41832</v>
      </c>
      <c r="D351" s="1">
        <v>16.7</v>
      </c>
      <c r="E351" s="1">
        <v>14.3</v>
      </c>
      <c r="F351" s="1">
        <v>20.8</v>
      </c>
      <c r="G351" s="1">
        <f t="shared" si="59"/>
        <v>3144.7999999999997</v>
      </c>
      <c r="H351" s="21">
        <f t="shared" si="66"/>
        <v>517.39999999999986</v>
      </c>
      <c r="J351" s="1">
        <v>1.2</v>
      </c>
      <c r="K351" s="1">
        <f t="shared" si="60"/>
        <v>744.8000000000003</v>
      </c>
      <c r="L351" s="1">
        <v>1.4</v>
      </c>
      <c r="M351" s="1">
        <f t="shared" si="61"/>
        <v>470.90000000000015</v>
      </c>
      <c r="N351" s="8">
        <f t="shared" si="57"/>
        <v>-0.19999999999999996</v>
      </c>
      <c r="O351" s="1">
        <f>O350+N351</f>
        <v>189.4</v>
      </c>
      <c r="P351" s="1">
        <v>312</v>
      </c>
      <c r="Q351" s="11">
        <f t="shared" si="64"/>
        <v>0.43275862068965509</v>
      </c>
      <c r="R351" s="9">
        <f t="shared" si="58"/>
        <v>0.60586206896551709</v>
      </c>
      <c r="S351" s="9">
        <f t="shared" si="55"/>
        <v>0.59413793103448287</v>
      </c>
      <c r="T351" s="9">
        <f t="shared" si="63"/>
        <v>189.6</v>
      </c>
      <c r="V351" s="10">
        <v>631.5</v>
      </c>
      <c r="W351" s="1">
        <f t="shared" si="56"/>
        <v>37.814371257485028</v>
      </c>
      <c r="X351" s="1">
        <f t="shared" si="62"/>
        <v>256665.40000000002</v>
      </c>
      <c r="Y351" s="1">
        <f t="shared" si="65"/>
        <v>47846</v>
      </c>
      <c r="AA351" s="1">
        <v>15.991073918425201</v>
      </c>
    </row>
    <row r="352" spans="1:27" s="1" customFormat="1" x14ac:dyDescent="0.25">
      <c r="A352" s="75"/>
      <c r="B352" s="34"/>
      <c r="C352" s="3">
        <v>41833</v>
      </c>
      <c r="D352" s="1">
        <v>17.5</v>
      </c>
      <c r="E352" s="1">
        <v>13.7</v>
      </c>
      <c r="F352" s="1">
        <v>20.9</v>
      </c>
      <c r="G352" s="1">
        <f t="shared" si="59"/>
        <v>3162.2999999999997</v>
      </c>
      <c r="H352" s="21">
        <f t="shared" si="66"/>
        <v>534.89999999999986</v>
      </c>
      <c r="J352" s="1">
        <v>4.2</v>
      </c>
      <c r="K352" s="1">
        <f t="shared" si="60"/>
        <v>749.00000000000034</v>
      </c>
      <c r="L352" s="1">
        <v>1.7</v>
      </c>
      <c r="M352" s="1">
        <f t="shared" si="61"/>
        <v>472.60000000000014</v>
      </c>
      <c r="N352" s="1">
        <f t="shared" si="57"/>
        <v>2.5</v>
      </c>
      <c r="O352" s="1">
        <v>189.6</v>
      </c>
      <c r="P352" s="1">
        <v>313</v>
      </c>
      <c r="Q352" s="11">
        <f t="shared" si="64"/>
        <v>0.4189655172413792</v>
      </c>
      <c r="R352" s="9">
        <f t="shared" si="58"/>
        <v>0.71224137931034459</v>
      </c>
      <c r="S352" s="9">
        <f t="shared" si="55"/>
        <v>3.4877586206896556</v>
      </c>
      <c r="T352" s="9">
        <f t="shared" si="63"/>
        <v>189.6</v>
      </c>
      <c r="V352" s="10">
        <v>811.8</v>
      </c>
      <c r="W352" s="1">
        <f t="shared" si="56"/>
        <v>46.388571428571424</v>
      </c>
      <c r="X352" s="1">
        <f t="shared" si="62"/>
        <v>257477.2</v>
      </c>
      <c r="Y352" s="1">
        <f t="shared" si="65"/>
        <v>48657.8</v>
      </c>
      <c r="AA352" s="1">
        <v>15.960768502683999</v>
      </c>
    </row>
    <row r="353" spans="1:27" s="1" customFormat="1" x14ac:dyDescent="0.25">
      <c r="A353" s="75"/>
      <c r="B353" s="34"/>
      <c r="C353" s="3">
        <v>41834</v>
      </c>
      <c r="D353" s="1">
        <v>17.2</v>
      </c>
      <c r="E353" s="1">
        <v>13.2</v>
      </c>
      <c r="F353" s="1">
        <v>20.8</v>
      </c>
      <c r="G353" s="1">
        <f t="shared" si="59"/>
        <v>3179.4999999999995</v>
      </c>
      <c r="H353" s="21">
        <f t="shared" si="66"/>
        <v>552.09999999999991</v>
      </c>
      <c r="J353" s="1">
        <v>0</v>
      </c>
      <c r="K353" s="1">
        <f t="shared" si="60"/>
        <v>749.00000000000034</v>
      </c>
      <c r="L353" s="1">
        <v>4.3</v>
      </c>
      <c r="M353" s="1">
        <f t="shared" si="61"/>
        <v>476.90000000000015</v>
      </c>
      <c r="N353" s="8">
        <f t="shared" si="57"/>
        <v>-4.3</v>
      </c>
      <c r="O353" s="1">
        <f>O352+N353</f>
        <v>185.29999999999998</v>
      </c>
      <c r="P353" s="1">
        <v>314</v>
      </c>
      <c r="Q353" s="11">
        <f t="shared" si="64"/>
        <v>0.40517241379310343</v>
      </c>
      <c r="R353" s="9">
        <f t="shared" si="58"/>
        <v>1.7422413793103446</v>
      </c>
      <c r="S353" s="9">
        <f t="shared" si="55"/>
        <v>-1.7422413793103446</v>
      </c>
      <c r="T353" s="9">
        <f t="shared" si="63"/>
        <v>187.85775862068965</v>
      </c>
      <c r="V353" s="1">
        <v>2351.1999999999998</v>
      </c>
      <c r="W353" s="1">
        <f t="shared" si="56"/>
        <v>136.69767441860463</v>
      </c>
      <c r="X353" s="1">
        <f t="shared" si="62"/>
        <v>259828.40000000002</v>
      </c>
      <c r="Y353" s="1">
        <f t="shared" si="65"/>
        <v>51009</v>
      </c>
      <c r="AA353" s="1">
        <v>15.9292864783163</v>
      </c>
    </row>
    <row r="354" spans="1:27" s="1" customFormat="1" x14ac:dyDescent="0.25">
      <c r="A354" s="75"/>
      <c r="B354" s="34"/>
      <c r="C354" s="3">
        <v>41835</v>
      </c>
      <c r="D354" s="1">
        <v>17.399999999999999</v>
      </c>
      <c r="E354" s="1">
        <v>11.4</v>
      </c>
      <c r="F354" s="1">
        <v>21.1</v>
      </c>
      <c r="G354" s="1">
        <f t="shared" si="59"/>
        <v>3196.8999999999996</v>
      </c>
      <c r="H354" s="21">
        <f t="shared" si="66"/>
        <v>569.49999999999989</v>
      </c>
      <c r="J354" s="1">
        <v>0</v>
      </c>
      <c r="K354" s="1">
        <f t="shared" si="60"/>
        <v>749.00000000000034</v>
      </c>
      <c r="L354" s="1">
        <v>1.2</v>
      </c>
      <c r="M354" s="1">
        <f t="shared" si="61"/>
        <v>478.10000000000014</v>
      </c>
      <c r="N354" s="8">
        <f t="shared" si="57"/>
        <v>-1.2</v>
      </c>
      <c r="O354" s="1">
        <f>O353+N354</f>
        <v>184.1</v>
      </c>
      <c r="P354" s="1">
        <v>315</v>
      </c>
      <c r="Q354" s="11">
        <f t="shared" si="64"/>
        <v>0.39137931034482754</v>
      </c>
      <c r="R354" s="9">
        <f t="shared" si="58"/>
        <v>0.46965517241379301</v>
      </c>
      <c r="S354" s="9">
        <f t="shared" si="55"/>
        <v>-0.46965517241379301</v>
      </c>
      <c r="T354" s="9">
        <f t="shared" si="63"/>
        <v>187.38810344827587</v>
      </c>
      <c r="V354" s="10">
        <v>834.4</v>
      </c>
      <c r="W354" s="1">
        <f t="shared" si="56"/>
        <v>47.954022988505749</v>
      </c>
      <c r="X354" s="1">
        <f t="shared" si="62"/>
        <v>260662.80000000002</v>
      </c>
      <c r="Y354" s="1">
        <f t="shared" si="65"/>
        <v>51843.4</v>
      </c>
      <c r="AA354" s="1">
        <v>15.896655052842201</v>
      </c>
    </row>
    <row r="355" spans="1:27" s="1" customFormat="1" x14ac:dyDescent="0.25">
      <c r="A355" s="75"/>
      <c r="B355" s="34"/>
      <c r="C355" s="3">
        <v>41836</v>
      </c>
      <c r="D355" s="1">
        <v>21</v>
      </c>
      <c r="E355" s="1">
        <v>14.2</v>
      </c>
      <c r="F355" s="1">
        <v>27.1</v>
      </c>
      <c r="G355" s="1">
        <f t="shared" si="59"/>
        <v>3217.8999999999996</v>
      </c>
      <c r="H355" s="21">
        <f t="shared" si="66"/>
        <v>590.49999999999989</v>
      </c>
      <c r="J355" s="1">
        <v>0</v>
      </c>
      <c r="K355" s="1">
        <f t="shared" si="60"/>
        <v>749.00000000000034</v>
      </c>
      <c r="L355" s="1">
        <v>3.2</v>
      </c>
      <c r="M355" s="1">
        <f t="shared" si="61"/>
        <v>481.30000000000013</v>
      </c>
      <c r="N355" s="8">
        <f t="shared" si="57"/>
        <v>-3.2</v>
      </c>
      <c r="O355" s="1">
        <f>O354+N355</f>
        <v>180.9</v>
      </c>
      <c r="P355" s="1">
        <v>316</v>
      </c>
      <c r="Q355" s="11">
        <f t="shared" si="64"/>
        <v>0.37758620689655165</v>
      </c>
      <c r="R355" s="9">
        <f t="shared" si="58"/>
        <v>1.2082758620689653</v>
      </c>
      <c r="S355" s="9">
        <f t="shared" si="55"/>
        <v>-1.2082758620689653</v>
      </c>
      <c r="T355" s="9">
        <f t="shared" si="63"/>
        <v>186.1798275862069</v>
      </c>
      <c r="V355" s="1">
        <v>1639.5</v>
      </c>
      <c r="W355" s="1">
        <f t="shared" si="56"/>
        <v>78.071428571428569</v>
      </c>
      <c r="X355" s="1">
        <f t="shared" si="62"/>
        <v>262302.30000000005</v>
      </c>
      <c r="Y355" s="1">
        <f t="shared" si="65"/>
        <v>53482.9</v>
      </c>
      <c r="AA355" s="1">
        <v>15.8629018029114</v>
      </c>
    </row>
    <row r="356" spans="1:27" s="1" customFormat="1" x14ac:dyDescent="0.25">
      <c r="A356" s="75"/>
      <c r="B356" s="34"/>
      <c r="C356" s="3">
        <v>41837</v>
      </c>
      <c r="D356" s="1">
        <v>22.7</v>
      </c>
      <c r="E356" s="1">
        <v>15.4</v>
      </c>
      <c r="F356" s="1">
        <v>28.3</v>
      </c>
      <c r="G356" s="1">
        <f t="shared" si="59"/>
        <v>3240.5999999999995</v>
      </c>
      <c r="H356" s="21">
        <f t="shared" si="66"/>
        <v>613.19999999999993</v>
      </c>
      <c r="J356" s="1">
        <v>0</v>
      </c>
      <c r="K356" s="1">
        <f t="shared" si="60"/>
        <v>749.00000000000034</v>
      </c>
      <c r="L356" s="1">
        <v>4.0999999999999996</v>
      </c>
      <c r="M356" s="1">
        <f t="shared" si="61"/>
        <v>485.40000000000015</v>
      </c>
      <c r="N356" s="8">
        <f t="shared" si="57"/>
        <v>-4.0999999999999996</v>
      </c>
      <c r="O356" s="1">
        <f>O355+N356</f>
        <v>176.8</v>
      </c>
      <c r="P356" s="1">
        <v>317</v>
      </c>
      <c r="Q356" s="11">
        <f t="shared" si="64"/>
        <v>0.36379310344827587</v>
      </c>
      <c r="R356" s="9">
        <f t="shared" si="58"/>
        <v>1.491551724137931</v>
      </c>
      <c r="S356" s="9">
        <f t="shared" si="55"/>
        <v>-1.491551724137931</v>
      </c>
      <c r="T356" s="9">
        <f t="shared" si="63"/>
        <v>184.68827586206896</v>
      </c>
      <c r="V356" s="1">
        <v>1915.9</v>
      </c>
      <c r="W356" s="1">
        <f t="shared" si="56"/>
        <v>84.400881057268734</v>
      </c>
      <c r="X356" s="1">
        <f t="shared" si="62"/>
        <v>264218.20000000007</v>
      </c>
      <c r="Y356" s="1">
        <f t="shared" si="65"/>
        <v>55398.8</v>
      </c>
      <c r="AA356" s="1">
        <v>15.8280546013505</v>
      </c>
    </row>
    <row r="357" spans="1:27" s="1" customFormat="1" x14ac:dyDescent="0.25">
      <c r="A357" s="75"/>
      <c r="B357" s="34"/>
      <c r="C357" s="3">
        <v>41838</v>
      </c>
      <c r="D357" s="1">
        <v>25.6</v>
      </c>
      <c r="E357" s="1">
        <v>19.2</v>
      </c>
      <c r="F357" s="1">
        <v>31.7</v>
      </c>
      <c r="G357" s="1">
        <f t="shared" si="59"/>
        <v>3266.1999999999994</v>
      </c>
      <c r="H357" s="21">
        <f t="shared" si="66"/>
        <v>638.79999999999995</v>
      </c>
      <c r="J357" s="1">
        <v>0</v>
      </c>
      <c r="K357" s="1">
        <f t="shared" si="60"/>
        <v>749.00000000000034</v>
      </c>
      <c r="L357" s="1">
        <v>5.9</v>
      </c>
      <c r="M357" s="1">
        <f t="shared" si="61"/>
        <v>491.30000000000013</v>
      </c>
      <c r="N357" s="8">
        <f>J357-L357</f>
        <v>-5.9</v>
      </c>
      <c r="O357" s="1">
        <f>O356+N357</f>
        <v>170.9</v>
      </c>
      <c r="P357" s="1">
        <v>318</v>
      </c>
      <c r="Q357" s="11">
        <f t="shared" si="64"/>
        <v>0.35</v>
      </c>
      <c r="R357" s="9">
        <f t="shared" si="58"/>
        <v>2.0649999999999999</v>
      </c>
      <c r="S357" s="9">
        <f t="shared" si="55"/>
        <v>-2.0649999999999999</v>
      </c>
      <c r="T357" s="9">
        <f t="shared" si="63"/>
        <v>182.62327586206897</v>
      </c>
      <c r="V357" s="1">
        <v>2512.4</v>
      </c>
      <c r="W357" s="1">
        <f t="shared" si="56"/>
        <v>98.140625</v>
      </c>
      <c r="X357" s="1">
        <f t="shared" si="62"/>
        <v>266730.60000000009</v>
      </c>
      <c r="Y357" s="1">
        <f t="shared" si="65"/>
        <v>57911.200000000004</v>
      </c>
      <c r="AA357" s="1">
        <v>15.7921415463214</v>
      </c>
    </row>
    <row r="358" spans="1:27" s="1" customFormat="1" x14ac:dyDescent="0.25">
      <c r="A358" s="76" t="s">
        <v>25</v>
      </c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</sheetData>
  <mergeCells count="15">
    <mergeCell ref="A39:Z39"/>
    <mergeCell ref="A40:A112"/>
    <mergeCell ref="A113:A143"/>
    <mergeCell ref="D1:I2"/>
    <mergeCell ref="J1:U2"/>
    <mergeCell ref="V1:Z2"/>
    <mergeCell ref="P3:T3"/>
    <mergeCell ref="G4:H4"/>
    <mergeCell ref="X4:Y4"/>
    <mergeCell ref="A346:A357"/>
    <mergeCell ref="A358:Z358"/>
    <mergeCell ref="A254:A274"/>
    <mergeCell ref="A275:A299"/>
    <mergeCell ref="A300:A319"/>
    <mergeCell ref="A320:A344"/>
  </mergeCells>
  <conditionalFormatting sqref="N5:N38">
    <cfRule type="cellIs" dxfId="5" priority="6" operator="lessThanOrEqual">
      <formula>0</formula>
    </cfRule>
    <cfRule type="cellIs" priority="7" operator="lessThanOrEqual">
      <formula>0</formula>
    </cfRule>
  </conditionalFormatting>
  <conditionalFormatting sqref="S40:S357">
    <cfRule type="cellIs" dxfId="4" priority="5" operator="lessThanOrEqual">
      <formula>0</formula>
    </cfRule>
  </conditionalFormatting>
  <conditionalFormatting sqref="T5:T358">
    <cfRule type="cellIs" dxfId="3" priority="3" operator="equal">
      <formula>0</formula>
    </cfRule>
    <cfRule type="cellIs" dxfId="2" priority="4" operator="lessThanOrEqual">
      <formula>63.2</formula>
    </cfRule>
  </conditionalFormatting>
  <conditionalFormatting sqref="T1:T4">
    <cfRule type="cellIs" dxfId="1" priority="1" operator="equal">
      <formula>0</formula>
    </cfRule>
    <cfRule type="cellIs" dxfId="0" priority="2" operator="lessThanOrEqual">
      <formula>63.2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2019-11-06T13:52:25Z</dcterms:created>
  <dcterms:modified xsi:type="dcterms:W3CDTF">2019-11-26T15:52:33Z</dcterms:modified>
</cp:coreProperties>
</file>