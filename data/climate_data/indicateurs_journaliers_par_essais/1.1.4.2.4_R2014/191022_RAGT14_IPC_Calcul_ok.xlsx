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4\"/>
    </mc:Choice>
  </mc:AlternateContent>
  <bookViews>
    <workbookView xWindow="0" yWindow="0" windowWidth="28800" windowHeight="11700" activeTab="1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08" i="1" l="1"/>
  <c r="AD206" i="1"/>
  <c r="AD204" i="1"/>
  <c r="AD202" i="1"/>
  <c r="AD200" i="1"/>
  <c r="AB212" i="1"/>
  <c r="AD206" i="2"/>
  <c r="AD204" i="2"/>
  <c r="AD202" i="2"/>
  <c r="AD200" i="2"/>
  <c r="AB204" i="1"/>
  <c r="AB196" i="1"/>
  <c r="AB188" i="1"/>
  <c r="AB212" i="2"/>
  <c r="AB204" i="2"/>
  <c r="AB194" i="2"/>
  <c r="AB186" i="2"/>
  <c r="AD198" i="2" l="1"/>
  <c r="T287" i="2"/>
  <c r="T288" i="2" s="1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260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107" i="2"/>
  <c r="U293" i="1" l="1"/>
  <c r="U273" i="1"/>
  <c r="U249" i="1"/>
  <c r="U228" i="1"/>
  <c r="U120" i="1"/>
  <c r="U97" i="1"/>
  <c r="U19" i="1"/>
  <c r="U19" i="2"/>
  <c r="U97" i="2"/>
  <c r="Y281" i="2"/>
  <c r="Y280" i="2"/>
  <c r="I286" i="2"/>
  <c r="I284" i="2"/>
  <c r="I282" i="2"/>
  <c r="H281" i="2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280" i="2"/>
  <c r="Y261" i="2"/>
  <c r="Y260" i="2"/>
  <c r="I266" i="2"/>
  <c r="I264" i="2"/>
  <c r="I262" i="2"/>
  <c r="H261" i="2"/>
  <c r="H260" i="2"/>
  <c r="Y236" i="2"/>
  <c r="Y235" i="2"/>
  <c r="I241" i="2"/>
  <c r="I239" i="2"/>
  <c r="I237" i="2"/>
  <c r="H236" i="2"/>
  <c r="H235" i="2"/>
  <c r="H215" i="2"/>
  <c r="H214" i="2"/>
  <c r="I220" i="2"/>
  <c r="I218" i="2"/>
  <c r="I216" i="2"/>
  <c r="Y216" i="2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15" i="2"/>
  <c r="Y214" i="2"/>
  <c r="I112" i="2"/>
  <c r="I110" i="2"/>
  <c r="I108" i="2"/>
  <c r="W336" i="2"/>
  <c r="R336" i="2"/>
  <c r="S336" i="2" s="1"/>
  <c r="N336" i="2"/>
  <c r="W335" i="2"/>
  <c r="R335" i="2"/>
  <c r="S335" i="2" s="1"/>
  <c r="N335" i="2"/>
  <c r="W334" i="2"/>
  <c r="R334" i="2"/>
  <c r="S334" i="2" s="1"/>
  <c r="N334" i="2"/>
  <c r="W333" i="2"/>
  <c r="R333" i="2"/>
  <c r="S333" i="2" s="1"/>
  <c r="N333" i="2"/>
  <c r="W332" i="2"/>
  <c r="R332" i="2"/>
  <c r="S332" i="2" s="1"/>
  <c r="N332" i="2"/>
  <c r="W331" i="2"/>
  <c r="R331" i="2"/>
  <c r="S331" i="2" s="1"/>
  <c r="N331" i="2"/>
  <c r="W330" i="2"/>
  <c r="R330" i="2"/>
  <c r="S330" i="2" s="1"/>
  <c r="N330" i="2"/>
  <c r="W329" i="2"/>
  <c r="R329" i="2"/>
  <c r="S329" i="2" s="1"/>
  <c r="N329" i="2"/>
  <c r="W328" i="2"/>
  <c r="R328" i="2"/>
  <c r="S328" i="2" s="1"/>
  <c r="N328" i="2"/>
  <c r="W327" i="2"/>
  <c r="R327" i="2"/>
  <c r="S327" i="2" s="1"/>
  <c r="N327" i="2"/>
  <c r="W326" i="2"/>
  <c r="R326" i="2"/>
  <c r="S326" i="2" s="1"/>
  <c r="N326" i="2"/>
  <c r="W325" i="2"/>
  <c r="R325" i="2"/>
  <c r="S325" i="2" s="1"/>
  <c r="N325" i="2"/>
  <c r="W324" i="2"/>
  <c r="R324" i="2"/>
  <c r="S324" i="2" s="1"/>
  <c r="N324" i="2"/>
  <c r="W323" i="2"/>
  <c r="R323" i="2"/>
  <c r="S323" i="2" s="1"/>
  <c r="N323" i="2"/>
  <c r="W322" i="2"/>
  <c r="R322" i="2"/>
  <c r="S322" i="2" s="1"/>
  <c r="N322" i="2"/>
  <c r="W321" i="2"/>
  <c r="R321" i="2"/>
  <c r="S321" i="2" s="1"/>
  <c r="N321" i="2"/>
  <c r="W320" i="2"/>
  <c r="R320" i="2"/>
  <c r="S320" i="2" s="1"/>
  <c r="N320" i="2"/>
  <c r="W319" i="2"/>
  <c r="R319" i="2"/>
  <c r="S319" i="2" s="1"/>
  <c r="N319" i="2"/>
  <c r="W318" i="2"/>
  <c r="R318" i="2"/>
  <c r="S318" i="2" s="1"/>
  <c r="N318" i="2"/>
  <c r="W317" i="2"/>
  <c r="R317" i="2"/>
  <c r="S317" i="2" s="1"/>
  <c r="N317" i="2"/>
  <c r="W316" i="2"/>
  <c r="R316" i="2"/>
  <c r="S316" i="2" s="1"/>
  <c r="N316" i="2"/>
  <c r="W315" i="2"/>
  <c r="R315" i="2"/>
  <c r="S315" i="2" s="1"/>
  <c r="N315" i="2"/>
  <c r="W314" i="2"/>
  <c r="R314" i="2"/>
  <c r="S314" i="2" s="1"/>
  <c r="N314" i="2"/>
  <c r="W313" i="2"/>
  <c r="R313" i="2"/>
  <c r="S313" i="2" s="1"/>
  <c r="N313" i="2"/>
  <c r="W312" i="2"/>
  <c r="R312" i="2"/>
  <c r="S312" i="2" s="1"/>
  <c r="N312" i="2"/>
  <c r="W311" i="2"/>
  <c r="R311" i="2"/>
  <c r="S311" i="2" s="1"/>
  <c r="N311" i="2"/>
  <c r="W310" i="2"/>
  <c r="R310" i="2"/>
  <c r="S310" i="2" s="1"/>
  <c r="N310" i="2"/>
  <c r="W309" i="2"/>
  <c r="R309" i="2"/>
  <c r="S309" i="2" s="1"/>
  <c r="N309" i="2"/>
  <c r="W308" i="2"/>
  <c r="R308" i="2"/>
  <c r="S308" i="2" s="1"/>
  <c r="N308" i="2"/>
  <c r="W307" i="2"/>
  <c r="R307" i="2"/>
  <c r="S307" i="2" s="1"/>
  <c r="N307" i="2"/>
  <c r="W306" i="2"/>
  <c r="R306" i="2"/>
  <c r="S306" i="2" s="1"/>
  <c r="N306" i="2"/>
  <c r="W305" i="2"/>
  <c r="R305" i="2"/>
  <c r="S305" i="2" s="1"/>
  <c r="N305" i="2"/>
  <c r="W304" i="2"/>
  <c r="R304" i="2"/>
  <c r="S304" i="2" s="1"/>
  <c r="N304" i="2"/>
  <c r="W303" i="2"/>
  <c r="R303" i="2"/>
  <c r="S303" i="2" s="1"/>
  <c r="N303" i="2"/>
  <c r="W302" i="2"/>
  <c r="R302" i="2"/>
  <c r="S302" i="2" s="1"/>
  <c r="N302" i="2"/>
  <c r="W301" i="2"/>
  <c r="R301" i="2"/>
  <c r="S301" i="2" s="1"/>
  <c r="N301" i="2"/>
  <c r="W300" i="2"/>
  <c r="R300" i="2"/>
  <c r="S300" i="2" s="1"/>
  <c r="N300" i="2"/>
  <c r="W299" i="2"/>
  <c r="R299" i="2"/>
  <c r="S299" i="2" s="1"/>
  <c r="N299" i="2"/>
  <c r="W298" i="2"/>
  <c r="R298" i="2"/>
  <c r="S298" i="2" s="1"/>
  <c r="N298" i="2"/>
  <c r="W297" i="2"/>
  <c r="R297" i="2"/>
  <c r="S297" i="2" s="1"/>
  <c r="N297" i="2"/>
  <c r="W296" i="2"/>
  <c r="R296" i="2"/>
  <c r="S296" i="2" s="1"/>
  <c r="N296" i="2"/>
  <c r="W295" i="2"/>
  <c r="S295" i="2"/>
  <c r="R295" i="2"/>
  <c r="N295" i="2"/>
  <c r="W294" i="2"/>
  <c r="R294" i="2"/>
  <c r="S294" i="2" s="1"/>
  <c r="N294" i="2"/>
  <c r="W293" i="2"/>
  <c r="R293" i="2"/>
  <c r="S293" i="2" s="1"/>
  <c r="N293" i="2"/>
  <c r="W292" i="2"/>
  <c r="R292" i="2"/>
  <c r="S292" i="2" s="1"/>
  <c r="N292" i="2"/>
  <c r="W291" i="2"/>
  <c r="R291" i="2"/>
  <c r="S291" i="2" s="1"/>
  <c r="N291" i="2"/>
  <c r="W290" i="2"/>
  <c r="R290" i="2"/>
  <c r="S290" i="2" s="1"/>
  <c r="N290" i="2"/>
  <c r="W289" i="2"/>
  <c r="R289" i="2"/>
  <c r="S289" i="2" s="1"/>
  <c r="N289" i="2"/>
  <c r="W288" i="2"/>
  <c r="R288" i="2"/>
  <c r="S288" i="2" s="1"/>
  <c r="N288" i="2"/>
  <c r="W287" i="2"/>
  <c r="R287" i="2"/>
  <c r="S287" i="2" s="1"/>
  <c r="N287" i="2"/>
  <c r="W286" i="2"/>
  <c r="R286" i="2"/>
  <c r="S286" i="2" s="1"/>
  <c r="N286" i="2"/>
  <c r="W285" i="2"/>
  <c r="R285" i="2"/>
  <c r="S285" i="2" s="1"/>
  <c r="N285" i="2"/>
  <c r="Z284" i="2"/>
  <c r="W284" i="2"/>
  <c r="R284" i="2"/>
  <c r="S284" i="2" s="1"/>
  <c r="N284" i="2"/>
  <c r="W283" i="2"/>
  <c r="R283" i="2"/>
  <c r="S283" i="2" s="1"/>
  <c r="N283" i="2"/>
  <c r="Y282" i="2"/>
  <c r="Y283" i="2" s="1"/>
  <c r="Y284" i="2" s="1"/>
  <c r="Y285" i="2" s="1"/>
  <c r="Y286" i="2" s="1"/>
  <c r="Y287" i="2" s="1"/>
  <c r="Y288" i="2" s="1"/>
  <c r="Y289" i="2" s="1"/>
  <c r="Y290" i="2" s="1"/>
  <c r="Y291" i="2" s="1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Y327" i="2" s="1"/>
  <c r="Y328" i="2" s="1"/>
  <c r="Y329" i="2" s="1"/>
  <c r="Y330" i="2" s="1"/>
  <c r="Y331" i="2" s="1"/>
  <c r="Y332" i="2" s="1"/>
  <c r="Y333" i="2" s="1"/>
  <c r="Y334" i="2" s="1"/>
  <c r="Y335" i="2" s="1"/>
  <c r="Y336" i="2" s="1"/>
  <c r="W282" i="2"/>
  <c r="R282" i="2"/>
  <c r="S282" i="2" s="1"/>
  <c r="N282" i="2"/>
  <c r="W281" i="2"/>
  <c r="R281" i="2"/>
  <c r="S281" i="2" s="1"/>
  <c r="N281" i="2"/>
  <c r="W280" i="2"/>
  <c r="R280" i="2"/>
  <c r="S280" i="2" s="1"/>
  <c r="N280" i="2"/>
  <c r="W279" i="2"/>
  <c r="R279" i="2"/>
  <c r="S279" i="2" s="1"/>
  <c r="N279" i="2"/>
  <c r="W278" i="2"/>
  <c r="R278" i="2"/>
  <c r="S278" i="2" s="1"/>
  <c r="N278" i="2"/>
  <c r="W277" i="2"/>
  <c r="R277" i="2"/>
  <c r="S277" i="2" s="1"/>
  <c r="N277" i="2"/>
  <c r="W276" i="2"/>
  <c r="R276" i="2"/>
  <c r="S276" i="2" s="1"/>
  <c r="N276" i="2"/>
  <c r="W275" i="2"/>
  <c r="R275" i="2"/>
  <c r="S275" i="2" s="1"/>
  <c r="N275" i="2"/>
  <c r="W274" i="2"/>
  <c r="R274" i="2"/>
  <c r="S274" i="2" s="1"/>
  <c r="N274" i="2"/>
  <c r="W273" i="2"/>
  <c r="R273" i="2"/>
  <c r="S273" i="2" s="1"/>
  <c r="N273" i="2"/>
  <c r="W272" i="2"/>
  <c r="R272" i="2"/>
  <c r="S272" i="2" s="1"/>
  <c r="N272" i="2"/>
  <c r="W271" i="2"/>
  <c r="R271" i="2"/>
  <c r="S271" i="2" s="1"/>
  <c r="N271" i="2"/>
  <c r="W270" i="2"/>
  <c r="R270" i="2"/>
  <c r="S270" i="2" s="1"/>
  <c r="N270" i="2"/>
  <c r="W269" i="2"/>
  <c r="R269" i="2"/>
  <c r="S269" i="2" s="1"/>
  <c r="N269" i="2"/>
  <c r="W268" i="2"/>
  <c r="R268" i="2"/>
  <c r="S268" i="2" s="1"/>
  <c r="N268" i="2"/>
  <c r="W267" i="2"/>
  <c r="R267" i="2"/>
  <c r="S267" i="2" s="1"/>
  <c r="N267" i="2"/>
  <c r="W266" i="2"/>
  <c r="R266" i="2"/>
  <c r="S266" i="2" s="1"/>
  <c r="N266" i="2"/>
  <c r="W265" i="2"/>
  <c r="S265" i="2"/>
  <c r="R265" i="2"/>
  <c r="N265" i="2"/>
  <c r="Z264" i="2"/>
  <c r="W264" i="2"/>
  <c r="R264" i="2"/>
  <c r="S264" i="2" s="1"/>
  <c r="N264" i="2"/>
  <c r="Y263" i="2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W263" i="2"/>
  <c r="R263" i="2"/>
  <c r="S263" i="2" s="1"/>
  <c r="N263" i="2"/>
  <c r="H263" i="2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Y262" i="2"/>
  <c r="W262" i="2"/>
  <c r="R262" i="2"/>
  <c r="S262" i="2" s="1"/>
  <c r="N262" i="2"/>
  <c r="H262" i="2"/>
  <c r="W261" i="2"/>
  <c r="R261" i="2"/>
  <c r="S261" i="2" s="1"/>
  <c r="N261" i="2"/>
  <c r="W260" i="2"/>
  <c r="R260" i="2"/>
  <c r="S260" i="2" s="1"/>
  <c r="N260" i="2"/>
  <c r="W259" i="2"/>
  <c r="S259" i="2"/>
  <c r="R259" i="2"/>
  <c r="N259" i="2"/>
  <c r="W258" i="2"/>
  <c r="R258" i="2"/>
  <c r="S258" i="2" s="1"/>
  <c r="N258" i="2"/>
  <c r="W257" i="2"/>
  <c r="S257" i="2"/>
  <c r="R257" i="2"/>
  <c r="N257" i="2"/>
  <c r="W256" i="2"/>
  <c r="R256" i="2"/>
  <c r="S256" i="2" s="1"/>
  <c r="N256" i="2"/>
  <c r="W255" i="2"/>
  <c r="S255" i="2"/>
  <c r="R255" i="2"/>
  <c r="N255" i="2"/>
  <c r="W254" i="2"/>
  <c r="R254" i="2"/>
  <c r="S254" i="2" s="1"/>
  <c r="N254" i="2"/>
  <c r="W253" i="2"/>
  <c r="R253" i="2"/>
  <c r="S253" i="2" s="1"/>
  <c r="N253" i="2"/>
  <c r="W252" i="2"/>
  <c r="R252" i="2"/>
  <c r="S252" i="2" s="1"/>
  <c r="N252" i="2"/>
  <c r="W251" i="2"/>
  <c r="S251" i="2"/>
  <c r="R251" i="2"/>
  <c r="N251" i="2"/>
  <c r="W250" i="2"/>
  <c r="R250" i="2"/>
  <c r="S250" i="2" s="1"/>
  <c r="N250" i="2"/>
  <c r="W249" i="2"/>
  <c r="S249" i="2"/>
  <c r="R249" i="2"/>
  <c r="N249" i="2"/>
  <c r="W248" i="2"/>
  <c r="R248" i="2"/>
  <c r="S248" i="2" s="1"/>
  <c r="N248" i="2"/>
  <c r="W247" i="2"/>
  <c r="R247" i="2"/>
  <c r="S247" i="2" s="1"/>
  <c r="N247" i="2"/>
  <c r="W246" i="2"/>
  <c r="S246" i="2"/>
  <c r="R246" i="2"/>
  <c r="N246" i="2"/>
  <c r="W245" i="2"/>
  <c r="S245" i="2"/>
  <c r="R245" i="2"/>
  <c r="N245" i="2"/>
  <c r="W244" i="2"/>
  <c r="R244" i="2"/>
  <c r="S244" i="2" s="1"/>
  <c r="N244" i="2"/>
  <c r="W243" i="2"/>
  <c r="R243" i="2"/>
  <c r="S243" i="2" s="1"/>
  <c r="N243" i="2"/>
  <c r="W242" i="2"/>
  <c r="S242" i="2"/>
  <c r="R242" i="2"/>
  <c r="N242" i="2"/>
  <c r="W241" i="2"/>
  <c r="R241" i="2"/>
  <c r="S241" i="2" s="1"/>
  <c r="N241" i="2"/>
  <c r="W240" i="2"/>
  <c r="R240" i="2"/>
  <c r="S240" i="2" s="1"/>
  <c r="N240" i="2"/>
  <c r="Z239" i="2"/>
  <c r="W239" i="2"/>
  <c r="R239" i="2"/>
  <c r="S239" i="2" s="1"/>
  <c r="N239" i="2"/>
  <c r="W238" i="2"/>
  <c r="R238" i="2"/>
  <c r="S238" i="2" s="1"/>
  <c r="N238" i="2"/>
  <c r="Y237" i="2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W237" i="2"/>
  <c r="S237" i="2"/>
  <c r="R237" i="2"/>
  <c r="N237" i="2"/>
  <c r="H237" i="2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W236" i="2"/>
  <c r="R236" i="2"/>
  <c r="S236" i="2" s="1"/>
  <c r="N236" i="2"/>
  <c r="W235" i="2"/>
  <c r="R235" i="2"/>
  <c r="S235" i="2" s="1"/>
  <c r="N235" i="2"/>
  <c r="W234" i="2"/>
  <c r="S234" i="2"/>
  <c r="R234" i="2"/>
  <c r="N234" i="2"/>
  <c r="W233" i="2"/>
  <c r="R233" i="2"/>
  <c r="S233" i="2" s="1"/>
  <c r="N233" i="2"/>
  <c r="W232" i="2"/>
  <c r="S232" i="2"/>
  <c r="R232" i="2"/>
  <c r="N232" i="2"/>
  <c r="W231" i="2"/>
  <c r="R231" i="2"/>
  <c r="S231" i="2" s="1"/>
  <c r="N231" i="2"/>
  <c r="W230" i="2"/>
  <c r="S230" i="2"/>
  <c r="R230" i="2"/>
  <c r="N230" i="2"/>
  <c r="W229" i="2"/>
  <c r="R229" i="2"/>
  <c r="S229" i="2" s="1"/>
  <c r="N229" i="2"/>
  <c r="W228" i="2"/>
  <c r="S228" i="2"/>
  <c r="R228" i="2"/>
  <c r="N228" i="2"/>
  <c r="W227" i="2"/>
  <c r="R227" i="2"/>
  <c r="S227" i="2" s="1"/>
  <c r="N227" i="2"/>
  <c r="W226" i="2"/>
  <c r="R226" i="2"/>
  <c r="S226" i="2" s="1"/>
  <c r="N226" i="2"/>
  <c r="W225" i="2"/>
  <c r="S225" i="2"/>
  <c r="R225" i="2"/>
  <c r="N225" i="2"/>
  <c r="W224" i="2"/>
  <c r="S224" i="2"/>
  <c r="R224" i="2"/>
  <c r="N224" i="2"/>
  <c r="W223" i="2"/>
  <c r="R223" i="2"/>
  <c r="S223" i="2" s="1"/>
  <c r="N223" i="2"/>
  <c r="W222" i="2"/>
  <c r="R222" i="2"/>
  <c r="S222" i="2" s="1"/>
  <c r="N222" i="2"/>
  <c r="W221" i="2"/>
  <c r="S221" i="2"/>
  <c r="R221" i="2"/>
  <c r="N221" i="2"/>
  <c r="W220" i="2"/>
  <c r="R220" i="2"/>
  <c r="S220" i="2" s="1"/>
  <c r="N220" i="2"/>
  <c r="W219" i="2"/>
  <c r="R219" i="2"/>
  <c r="S219" i="2" s="1"/>
  <c r="N219" i="2"/>
  <c r="Z218" i="2"/>
  <c r="W218" i="2"/>
  <c r="R218" i="2"/>
  <c r="S218" i="2" s="1"/>
  <c r="N218" i="2"/>
  <c r="W217" i="2"/>
  <c r="R217" i="2"/>
  <c r="S217" i="2" s="1"/>
  <c r="N217" i="2"/>
  <c r="W216" i="2"/>
  <c r="S216" i="2"/>
  <c r="R216" i="2"/>
  <c r="N216" i="2"/>
  <c r="H216" i="2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W215" i="2"/>
  <c r="R215" i="2"/>
  <c r="S215" i="2" s="1"/>
  <c r="N215" i="2"/>
  <c r="W214" i="2"/>
  <c r="R214" i="2"/>
  <c r="S214" i="2" s="1"/>
  <c r="N214" i="2"/>
  <c r="W213" i="2"/>
  <c r="R213" i="2"/>
  <c r="S213" i="2" s="1"/>
  <c r="N213" i="2"/>
  <c r="W212" i="2"/>
  <c r="R212" i="2"/>
  <c r="S212" i="2" s="1"/>
  <c r="N212" i="2"/>
  <c r="W211" i="2"/>
  <c r="R211" i="2"/>
  <c r="S211" i="2" s="1"/>
  <c r="N211" i="2"/>
  <c r="W210" i="2"/>
  <c r="R210" i="2"/>
  <c r="S210" i="2" s="1"/>
  <c r="N210" i="2"/>
  <c r="W209" i="2"/>
  <c r="R209" i="2"/>
  <c r="S209" i="2" s="1"/>
  <c r="N209" i="2"/>
  <c r="W208" i="2"/>
  <c r="S208" i="2"/>
  <c r="R208" i="2"/>
  <c r="N208" i="2"/>
  <c r="W207" i="2"/>
  <c r="R207" i="2"/>
  <c r="S207" i="2" s="1"/>
  <c r="N207" i="2"/>
  <c r="W206" i="2"/>
  <c r="R206" i="2"/>
  <c r="S206" i="2" s="1"/>
  <c r="N206" i="2"/>
  <c r="W205" i="2"/>
  <c r="R205" i="2"/>
  <c r="S205" i="2" s="1"/>
  <c r="N205" i="2"/>
  <c r="W204" i="2"/>
  <c r="R204" i="2"/>
  <c r="S204" i="2" s="1"/>
  <c r="N204" i="2"/>
  <c r="W203" i="2"/>
  <c r="R203" i="2"/>
  <c r="S203" i="2" s="1"/>
  <c r="N203" i="2"/>
  <c r="W202" i="2"/>
  <c r="R202" i="2"/>
  <c r="S202" i="2" s="1"/>
  <c r="N202" i="2"/>
  <c r="W201" i="2"/>
  <c r="R201" i="2"/>
  <c r="S201" i="2" s="1"/>
  <c r="N201" i="2"/>
  <c r="W200" i="2"/>
  <c r="R200" i="2"/>
  <c r="S200" i="2" s="1"/>
  <c r="N200" i="2"/>
  <c r="W199" i="2"/>
  <c r="R199" i="2"/>
  <c r="S199" i="2" s="1"/>
  <c r="N199" i="2"/>
  <c r="W198" i="2"/>
  <c r="R198" i="2"/>
  <c r="S198" i="2" s="1"/>
  <c r="N198" i="2"/>
  <c r="W197" i="2"/>
  <c r="R197" i="2"/>
  <c r="S197" i="2" s="1"/>
  <c r="N197" i="2"/>
  <c r="W196" i="2"/>
  <c r="R196" i="2"/>
  <c r="S196" i="2" s="1"/>
  <c r="N196" i="2"/>
  <c r="W195" i="2"/>
  <c r="R195" i="2"/>
  <c r="S195" i="2" s="1"/>
  <c r="N195" i="2"/>
  <c r="W194" i="2"/>
  <c r="R194" i="2"/>
  <c r="S194" i="2" s="1"/>
  <c r="N194" i="2"/>
  <c r="W193" i="2"/>
  <c r="R193" i="2"/>
  <c r="S193" i="2" s="1"/>
  <c r="N193" i="2"/>
  <c r="W192" i="2"/>
  <c r="R192" i="2"/>
  <c r="S192" i="2" s="1"/>
  <c r="N192" i="2"/>
  <c r="W191" i="2"/>
  <c r="R191" i="2"/>
  <c r="S191" i="2" s="1"/>
  <c r="N191" i="2"/>
  <c r="W190" i="2"/>
  <c r="S190" i="2"/>
  <c r="R190" i="2"/>
  <c r="N190" i="2"/>
  <c r="W189" i="2"/>
  <c r="R189" i="2"/>
  <c r="S189" i="2" s="1"/>
  <c r="N189" i="2"/>
  <c r="W188" i="2"/>
  <c r="R188" i="2"/>
  <c r="S188" i="2" s="1"/>
  <c r="N188" i="2"/>
  <c r="W187" i="2"/>
  <c r="R187" i="2"/>
  <c r="S187" i="2" s="1"/>
  <c r="N187" i="2"/>
  <c r="W186" i="2"/>
  <c r="S186" i="2"/>
  <c r="R186" i="2"/>
  <c r="N186" i="2"/>
  <c r="W185" i="2"/>
  <c r="R185" i="2"/>
  <c r="S185" i="2" s="1"/>
  <c r="N185" i="2"/>
  <c r="W184" i="2"/>
  <c r="R184" i="2"/>
  <c r="S184" i="2" s="1"/>
  <c r="N184" i="2"/>
  <c r="W183" i="2"/>
  <c r="R183" i="2"/>
  <c r="S183" i="2" s="1"/>
  <c r="N183" i="2"/>
  <c r="W182" i="2"/>
  <c r="S182" i="2"/>
  <c r="R182" i="2"/>
  <c r="N182" i="2"/>
  <c r="W181" i="2"/>
  <c r="R181" i="2"/>
  <c r="S181" i="2" s="1"/>
  <c r="N181" i="2"/>
  <c r="W180" i="2"/>
  <c r="R180" i="2"/>
  <c r="S180" i="2" s="1"/>
  <c r="N180" i="2"/>
  <c r="W179" i="2"/>
  <c r="R179" i="2"/>
  <c r="S179" i="2" s="1"/>
  <c r="N179" i="2"/>
  <c r="W178" i="2"/>
  <c r="R178" i="2"/>
  <c r="S178" i="2" s="1"/>
  <c r="N178" i="2"/>
  <c r="W177" i="2"/>
  <c r="R177" i="2"/>
  <c r="S177" i="2" s="1"/>
  <c r="N177" i="2"/>
  <c r="W176" i="2"/>
  <c r="R176" i="2"/>
  <c r="S176" i="2" s="1"/>
  <c r="N176" i="2"/>
  <c r="W175" i="2"/>
  <c r="R175" i="2"/>
  <c r="S175" i="2" s="1"/>
  <c r="N175" i="2"/>
  <c r="W174" i="2"/>
  <c r="S174" i="2"/>
  <c r="R174" i="2"/>
  <c r="N174" i="2"/>
  <c r="W173" i="2"/>
  <c r="R173" i="2"/>
  <c r="S173" i="2" s="1"/>
  <c r="N173" i="2"/>
  <c r="W172" i="2"/>
  <c r="R172" i="2"/>
  <c r="S172" i="2" s="1"/>
  <c r="N172" i="2"/>
  <c r="W171" i="2"/>
  <c r="R171" i="2"/>
  <c r="S171" i="2" s="1"/>
  <c r="N171" i="2"/>
  <c r="W170" i="2"/>
  <c r="S170" i="2"/>
  <c r="R170" i="2"/>
  <c r="N170" i="2"/>
  <c r="W169" i="2"/>
  <c r="R169" i="2"/>
  <c r="S169" i="2" s="1"/>
  <c r="N169" i="2"/>
  <c r="W168" i="2"/>
  <c r="R168" i="2"/>
  <c r="S168" i="2" s="1"/>
  <c r="N168" i="2"/>
  <c r="W167" i="2"/>
  <c r="R167" i="2"/>
  <c r="S167" i="2" s="1"/>
  <c r="N167" i="2"/>
  <c r="W166" i="2"/>
  <c r="S166" i="2"/>
  <c r="R166" i="2"/>
  <c r="N166" i="2"/>
  <c r="W165" i="2"/>
  <c r="R165" i="2"/>
  <c r="S165" i="2" s="1"/>
  <c r="N165" i="2"/>
  <c r="W164" i="2"/>
  <c r="R164" i="2"/>
  <c r="S164" i="2" s="1"/>
  <c r="N164" i="2"/>
  <c r="W163" i="2"/>
  <c r="R163" i="2"/>
  <c r="S163" i="2" s="1"/>
  <c r="N163" i="2"/>
  <c r="W162" i="2"/>
  <c r="R162" i="2"/>
  <c r="S162" i="2" s="1"/>
  <c r="N162" i="2"/>
  <c r="W161" i="2"/>
  <c r="R161" i="2"/>
  <c r="S161" i="2" s="1"/>
  <c r="N161" i="2"/>
  <c r="W160" i="2"/>
  <c r="R160" i="2"/>
  <c r="S160" i="2" s="1"/>
  <c r="N160" i="2"/>
  <c r="W159" i="2"/>
  <c r="R159" i="2"/>
  <c r="S159" i="2" s="1"/>
  <c r="N159" i="2"/>
  <c r="W158" i="2"/>
  <c r="R158" i="2"/>
  <c r="S158" i="2" s="1"/>
  <c r="N158" i="2"/>
  <c r="W157" i="2"/>
  <c r="R157" i="2"/>
  <c r="S157" i="2" s="1"/>
  <c r="N157" i="2"/>
  <c r="W156" i="2"/>
  <c r="R156" i="2"/>
  <c r="S156" i="2" s="1"/>
  <c r="N156" i="2"/>
  <c r="W155" i="2"/>
  <c r="R155" i="2"/>
  <c r="S155" i="2" s="1"/>
  <c r="N155" i="2"/>
  <c r="W154" i="2"/>
  <c r="R154" i="2"/>
  <c r="S154" i="2" s="1"/>
  <c r="N154" i="2"/>
  <c r="W153" i="2"/>
  <c r="R153" i="2"/>
  <c r="S153" i="2" s="1"/>
  <c r="N153" i="2"/>
  <c r="W152" i="2"/>
  <c r="R152" i="2"/>
  <c r="S152" i="2" s="1"/>
  <c r="N152" i="2"/>
  <c r="W151" i="2"/>
  <c r="R151" i="2"/>
  <c r="S151" i="2" s="1"/>
  <c r="N151" i="2"/>
  <c r="W150" i="2"/>
  <c r="R150" i="2"/>
  <c r="S150" i="2" s="1"/>
  <c r="N150" i="2"/>
  <c r="W149" i="2"/>
  <c r="R149" i="2"/>
  <c r="S149" i="2" s="1"/>
  <c r="N149" i="2"/>
  <c r="W148" i="2"/>
  <c r="R148" i="2"/>
  <c r="S148" i="2" s="1"/>
  <c r="N148" i="2"/>
  <c r="W147" i="2"/>
  <c r="R147" i="2"/>
  <c r="S147" i="2" s="1"/>
  <c r="N147" i="2"/>
  <c r="W146" i="2"/>
  <c r="R146" i="2"/>
  <c r="S146" i="2" s="1"/>
  <c r="N146" i="2"/>
  <c r="W145" i="2"/>
  <c r="R145" i="2"/>
  <c r="S145" i="2" s="1"/>
  <c r="N145" i="2"/>
  <c r="W144" i="2"/>
  <c r="R144" i="2"/>
  <c r="S144" i="2" s="1"/>
  <c r="N144" i="2"/>
  <c r="W143" i="2"/>
  <c r="R143" i="2"/>
  <c r="S143" i="2" s="1"/>
  <c r="N143" i="2"/>
  <c r="W142" i="2"/>
  <c r="R142" i="2"/>
  <c r="S142" i="2" s="1"/>
  <c r="N142" i="2"/>
  <c r="W141" i="2"/>
  <c r="R141" i="2"/>
  <c r="S141" i="2" s="1"/>
  <c r="N141" i="2"/>
  <c r="W140" i="2"/>
  <c r="R140" i="2"/>
  <c r="S140" i="2" s="1"/>
  <c r="N140" i="2"/>
  <c r="W139" i="2"/>
  <c r="R139" i="2"/>
  <c r="S139" i="2" s="1"/>
  <c r="N139" i="2"/>
  <c r="W138" i="2"/>
  <c r="R138" i="2"/>
  <c r="S138" i="2" s="1"/>
  <c r="N138" i="2"/>
  <c r="W137" i="2"/>
  <c r="R137" i="2"/>
  <c r="S137" i="2" s="1"/>
  <c r="N137" i="2"/>
  <c r="W136" i="2"/>
  <c r="R136" i="2"/>
  <c r="S136" i="2" s="1"/>
  <c r="N136" i="2"/>
  <c r="W135" i="2"/>
  <c r="R135" i="2"/>
  <c r="S135" i="2" s="1"/>
  <c r="N135" i="2"/>
  <c r="W134" i="2"/>
  <c r="R134" i="2"/>
  <c r="S134" i="2" s="1"/>
  <c r="N134" i="2"/>
  <c r="W133" i="2"/>
  <c r="R133" i="2"/>
  <c r="S133" i="2" s="1"/>
  <c r="N133" i="2"/>
  <c r="W132" i="2"/>
  <c r="R132" i="2"/>
  <c r="S132" i="2" s="1"/>
  <c r="N132" i="2"/>
  <c r="W131" i="2"/>
  <c r="R131" i="2"/>
  <c r="S131" i="2" s="1"/>
  <c r="N131" i="2"/>
  <c r="W130" i="2"/>
  <c r="R130" i="2"/>
  <c r="S130" i="2" s="1"/>
  <c r="N130" i="2"/>
  <c r="W129" i="2"/>
  <c r="R129" i="2"/>
  <c r="S129" i="2" s="1"/>
  <c r="N129" i="2"/>
  <c r="W128" i="2"/>
  <c r="R128" i="2"/>
  <c r="S128" i="2" s="1"/>
  <c r="N128" i="2"/>
  <c r="W127" i="2"/>
  <c r="R127" i="2"/>
  <c r="S127" i="2" s="1"/>
  <c r="N127" i="2"/>
  <c r="W126" i="2"/>
  <c r="R126" i="2"/>
  <c r="S126" i="2" s="1"/>
  <c r="N126" i="2"/>
  <c r="W125" i="2"/>
  <c r="R125" i="2"/>
  <c r="S125" i="2" s="1"/>
  <c r="N125" i="2"/>
  <c r="W124" i="2"/>
  <c r="R124" i="2"/>
  <c r="S124" i="2" s="1"/>
  <c r="N124" i="2"/>
  <c r="W123" i="2"/>
  <c r="R123" i="2"/>
  <c r="S123" i="2" s="1"/>
  <c r="N123" i="2"/>
  <c r="W122" i="2"/>
  <c r="R122" i="2"/>
  <c r="S122" i="2" s="1"/>
  <c r="N122" i="2"/>
  <c r="W121" i="2"/>
  <c r="R121" i="2"/>
  <c r="S121" i="2" s="1"/>
  <c r="N121" i="2"/>
  <c r="W120" i="2"/>
  <c r="R120" i="2"/>
  <c r="S120" i="2" s="1"/>
  <c r="N120" i="2"/>
  <c r="W119" i="2"/>
  <c r="R119" i="2"/>
  <c r="S119" i="2" s="1"/>
  <c r="N119" i="2"/>
  <c r="W118" i="2"/>
  <c r="R118" i="2"/>
  <c r="S118" i="2" s="1"/>
  <c r="N118" i="2"/>
  <c r="W117" i="2"/>
  <c r="S117" i="2"/>
  <c r="R117" i="2"/>
  <c r="N117" i="2"/>
  <c r="W116" i="2"/>
  <c r="S116" i="2"/>
  <c r="R116" i="2"/>
  <c r="N116" i="2"/>
  <c r="W115" i="2"/>
  <c r="R115" i="2"/>
  <c r="S115" i="2" s="1"/>
  <c r="N115" i="2"/>
  <c r="W114" i="2"/>
  <c r="R114" i="2"/>
  <c r="S114" i="2" s="1"/>
  <c r="N114" i="2"/>
  <c r="W113" i="2"/>
  <c r="S113" i="2"/>
  <c r="R113" i="2"/>
  <c r="N113" i="2"/>
  <c r="W112" i="2"/>
  <c r="R112" i="2"/>
  <c r="S112" i="2" s="1"/>
  <c r="N112" i="2"/>
  <c r="W111" i="2"/>
  <c r="R111" i="2"/>
  <c r="S111" i="2" s="1"/>
  <c r="N111" i="2"/>
  <c r="Z110" i="2"/>
  <c r="W110" i="2"/>
  <c r="R110" i="2"/>
  <c r="S110" i="2" s="1"/>
  <c r="N110" i="2"/>
  <c r="W109" i="2"/>
  <c r="S109" i="2"/>
  <c r="R109" i="2"/>
  <c r="N109" i="2"/>
  <c r="Y108" i="2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W108" i="2"/>
  <c r="R108" i="2"/>
  <c r="S108" i="2" s="1"/>
  <c r="N108" i="2"/>
  <c r="H108" i="2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W107" i="2"/>
  <c r="R107" i="2"/>
  <c r="S107" i="2" s="1"/>
  <c r="N107" i="2"/>
  <c r="W106" i="2"/>
  <c r="S106" i="2"/>
  <c r="R106" i="2"/>
  <c r="N106" i="2"/>
  <c r="W105" i="2"/>
  <c r="R105" i="2"/>
  <c r="S105" i="2" s="1"/>
  <c r="N105" i="2"/>
  <c r="W104" i="2"/>
  <c r="S104" i="2"/>
  <c r="R104" i="2"/>
  <c r="N104" i="2"/>
  <c r="W103" i="2"/>
  <c r="R103" i="2"/>
  <c r="S103" i="2" s="1"/>
  <c r="N103" i="2"/>
  <c r="W102" i="2"/>
  <c r="S102" i="2"/>
  <c r="R102" i="2"/>
  <c r="N102" i="2"/>
  <c r="W101" i="2"/>
  <c r="R101" i="2"/>
  <c r="S101" i="2" s="1"/>
  <c r="N101" i="2"/>
  <c r="W100" i="2"/>
  <c r="S100" i="2"/>
  <c r="R100" i="2"/>
  <c r="N100" i="2"/>
  <c r="W99" i="2"/>
  <c r="S99" i="2"/>
  <c r="R99" i="2"/>
  <c r="N99" i="2"/>
  <c r="W98" i="2"/>
  <c r="S98" i="2"/>
  <c r="R98" i="2"/>
  <c r="N98" i="2"/>
  <c r="W97" i="2"/>
  <c r="R97" i="2"/>
  <c r="S97" i="2" s="1"/>
  <c r="N97" i="2"/>
  <c r="W96" i="2"/>
  <c r="R96" i="2"/>
  <c r="S96" i="2" s="1"/>
  <c r="N96" i="2"/>
  <c r="W95" i="2"/>
  <c r="S95" i="2"/>
  <c r="R95" i="2"/>
  <c r="N95" i="2"/>
  <c r="W94" i="2"/>
  <c r="S94" i="2"/>
  <c r="R94" i="2"/>
  <c r="N94" i="2"/>
  <c r="W93" i="2"/>
  <c r="S93" i="2"/>
  <c r="R93" i="2"/>
  <c r="N93" i="2"/>
  <c r="W92" i="2"/>
  <c r="R92" i="2"/>
  <c r="S92" i="2" s="1"/>
  <c r="N92" i="2"/>
  <c r="W91" i="2"/>
  <c r="S91" i="2"/>
  <c r="R91" i="2"/>
  <c r="N91" i="2"/>
  <c r="W90" i="2"/>
  <c r="R90" i="2"/>
  <c r="S90" i="2" s="1"/>
  <c r="N90" i="2"/>
  <c r="W89" i="2"/>
  <c r="R89" i="2"/>
  <c r="S89" i="2" s="1"/>
  <c r="N89" i="2"/>
  <c r="W88" i="2"/>
  <c r="S88" i="2"/>
  <c r="R88" i="2"/>
  <c r="N88" i="2"/>
  <c r="W87" i="2"/>
  <c r="S87" i="2"/>
  <c r="R87" i="2"/>
  <c r="N87" i="2"/>
  <c r="I87" i="2"/>
  <c r="W86" i="2"/>
  <c r="S86" i="2"/>
  <c r="R86" i="2"/>
  <c r="N86" i="2"/>
  <c r="Z85" i="2"/>
  <c r="W85" i="2"/>
  <c r="S85" i="2"/>
  <c r="R85" i="2"/>
  <c r="N85" i="2"/>
  <c r="I85" i="2"/>
  <c r="Y84" i="2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W84" i="2"/>
  <c r="S84" i="2"/>
  <c r="R84" i="2"/>
  <c r="N84" i="2"/>
  <c r="Y83" i="2"/>
  <c r="W83" i="2"/>
  <c r="R83" i="2"/>
  <c r="S83" i="2" s="1"/>
  <c r="N83" i="2"/>
  <c r="I83" i="2"/>
  <c r="Y82" i="2"/>
  <c r="W82" i="2"/>
  <c r="R82" i="2"/>
  <c r="S82" i="2" s="1"/>
  <c r="N82" i="2"/>
  <c r="H82" i="2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W81" i="2"/>
  <c r="S81" i="2"/>
  <c r="Q81" i="2"/>
  <c r="R81" i="2" s="1"/>
  <c r="N81" i="2"/>
  <c r="W80" i="2"/>
  <c r="Q80" i="2"/>
  <c r="R80" i="2" s="1"/>
  <c r="S80" i="2" s="1"/>
  <c r="N80" i="2"/>
  <c r="W79" i="2"/>
  <c r="Q79" i="2"/>
  <c r="R79" i="2" s="1"/>
  <c r="S79" i="2" s="1"/>
  <c r="N79" i="2"/>
  <c r="W78" i="2"/>
  <c r="Q78" i="2"/>
  <c r="R78" i="2" s="1"/>
  <c r="S78" i="2" s="1"/>
  <c r="N78" i="2"/>
  <c r="W77" i="2"/>
  <c r="Q77" i="2"/>
  <c r="R77" i="2" s="1"/>
  <c r="S77" i="2" s="1"/>
  <c r="N77" i="2"/>
  <c r="W76" i="2"/>
  <c r="R76" i="2"/>
  <c r="S76" i="2" s="1"/>
  <c r="Q76" i="2"/>
  <c r="N76" i="2"/>
  <c r="W75" i="2"/>
  <c r="S75" i="2"/>
  <c r="Q75" i="2"/>
  <c r="R75" i="2" s="1"/>
  <c r="N75" i="2"/>
  <c r="W74" i="2"/>
  <c r="Q74" i="2"/>
  <c r="R74" i="2" s="1"/>
  <c r="S74" i="2" s="1"/>
  <c r="N74" i="2"/>
  <c r="W73" i="2"/>
  <c r="S73" i="2"/>
  <c r="Q73" i="2"/>
  <c r="R73" i="2" s="1"/>
  <c r="N73" i="2"/>
  <c r="W72" i="2"/>
  <c r="Q72" i="2"/>
  <c r="R72" i="2" s="1"/>
  <c r="S72" i="2" s="1"/>
  <c r="N72" i="2"/>
  <c r="W71" i="2"/>
  <c r="Q71" i="2"/>
  <c r="R71" i="2" s="1"/>
  <c r="S71" i="2" s="1"/>
  <c r="N71" i="2"/>
  <c r="W70" i="2"/>
  <c r="R70" i="2"/>
  <c r="S70" i="2" s="1"/>
  <c r="Q70" i="2"/>
  <c r="N70" i="2"/>
  <c r="W69" i="2"/>
  <c r="Q69" i="2"/>
  <c r="R69" i="2" s="1"/>
  <c r="S69" i="2" s="1"/>
  <c r="N69" i="2"/>
  <c r="W68" i="2"/>
  <c r="Q68" i="2"/>
  <c r="R68" i="2" s="1"/>
  <c r="S68" i="2" s="1"/>
  <c r="N68" i="2"/>
  <c r="W67" i="2"/>
  <c r="Q67" i="2"/>
  <c r="R67" i="2" s="1"/>
  <c r="S67" i="2" s="1"/>
  <c r="N67" i="2"/>
  <c r="W66" i="2"/>
  <c r="Q66" i="2"/>
  <c r="R66" i="2" s="1"/>
  <c r="S66" i="2" s="1"/>
  <c r="N66" i="2"/>
  <c r="W65" i="2"/>
  <c r="S65" i="2"/>
  <c r="Q65" i="2"/>
  <c r="R65" i="2" s="1"/>
  <c r="N65" i="2"/>
  <c r="W64" i="2"/>
  <c r="Q64" i="2"/>
  <c r="R64" i="2" s="1"/>
  <c r="S64" i="2" s="1"/>
  <c r="N64" i="2"/>
  <c r="W63" i="2"/>
  <c r="Q63" i="2"/>
  <c r="R63" i="2" s="1"/>
  <c r="S63" i="2" s="1"/>
  <c r="N63" i="2"/>
  <c r="W62" i="2"/>
  <c r="R62" i="2"/>
  <c r="S62" i="2" s="1"/>
  <c r="Q62" i="2"/>
  <c r="N62" i="2"/>
  <c r="W61" i="2"/>
  <c r="Q61" i="2"/>
  <c r="R61" i="2" s="1"/>
  <c r="S61" i="2" s="1"/>
  <c r="N61" i="2"/>
  <c r="W60" i="2"/>
  <c r="R60" i="2"/>
  <c r="S60" i="2" s="1"/>
  <c r="Q60" i="2"/>
  <c r="N60" i="2"/>
  <c r="W59" i="2"/>
  <c r="S59" i="2"/>
  <c r="Q59" i="2"/>
  <c r="R59" i="2" s="1"/>
  <c r="N59" i="2"/>
  <c r="W58" i="2"/>
  <c r="Q58" i="2"/>
  <c r="R58" i="2" s="1"/>
  <c r="S58" i="2" s="1"/>
  <c r="N58" i="2"/>
  <c r="W57" i="2"/>
  <c r="Q57" i="2"/>
  <c r="R57" i="2" s="1"/>
  <c r="S57" i="2" s="1"/>
  <c r="N57" i="2"/>
  <c r="W56" i="2"/>
  <c r="Q56" i="2"/>
  <c r="R56" i="2" s="1"/>
  <c r="S56" i="2" s="1"/>
  <c r="N56" i="2"/>
  <c r="W55" i="2"/>
  <c r="Q55" i="2"/>
  <c r="R55" i="2" s="1"/>
  <c r="S55" i="2" s="1"/>
  <c r="N55" i="2"/>
  <c r="W54" i="2"/>
  <c r="R54" i="2"/>
  <c r="S54" i="2" s="1"/>
  <c r="Q54" i="2"/>
  <c r="N54" i="2"/>
  <c r="W53" i="2"/>
  <c r="Q53" i="2"/>
  <c r="R53" i="2" s="1"/>
  <c r="S53" i="2" s="1"/>
  <c r="N53" i="2"/>
  <c r="W52" i="2"/>
  <c r="R52" i="2"/>
  <c r="S52" i="2" s="1"/>
  <c r="Q52" i="2"/>
  <c r="N52" i="2"/>
  <c r="W51" i="2"/>
  <c r="S51" i="2"/>
  <c r="Q51" i="2"/>
  <c r="R51" i="2" s="1"/>
  <c r="N51" i="2"/>
  <c r="W50" i="2"/>
  <c r="Q50" i="2"/>
  <c r="R50" i="2" s="1"/>
  <c r="S50" i="2" s="1"/>
  <c r="N50" i="2"/>
  <c r="W49" i="2"/>
  <c r="S49" i="2"/>
  <c r="Q49" i="2"/>
  <c r="R49" i="2" s="1"/>
  <c r="N49" i="2"/>
  <c r="W48" i="2"/>
  <c r="Q48" i="2"/>
  <c r="R48" i="2" s="1"/>
  <c r="S48" i="2" s="1"/>
  <c r="N48" i="2"/>
  <c r="W47" i="2"/>
  <c r="Q47" i="2"/>
  <c r="R47" i="2" s="1"/>
  <c r="S47" i="2" s="1"/>
  <c r="N47" i="2"/>
  <c r="W46" i="2"/>
  <c r="Q46" i="2"/>
  <c r="R46" i="2" s="1"/>
  <c r="S46" i="2" s="1"/>
  <c r="N46" i="2"/>
  <c r="W45" i="2"/>
  <c r="Q45" i="2"/>
  <c r="R45" i="2" s="1"/>
  <c r="S45" i="2" s="1"/>
  <c r="N45" i="2"/>
  <c r="W44" i="2"/>
  <c r="R44" i="2"/>
  <c r="S44" i="2" s="1"/>
  <c r="Q44" i="2"/>
  <c r="N44" i="2"/>
  <c r="W43" i="2"/>
  <c r="S43" i="2"/>
  <c r="Q43" i="2"/>
  <c r="R43" i="2" s="1"/>
  <c r="N43" i="2"/>
  <c r="W42" i="2"/>
  <c r="Q42" i="2"/>
  <c r="R42" i="2" s="1"/>
  <c r="S42" i="2" s="1"/>
  <c r="N42" i="2"/>
  <c r="W41" i="2"/>
  <c r="S41" i="2"/>
  <c r="Q41" i="2"/>
  <c r="R41" i="2" s="1"/>
  <c r="N41" i="2"/>
  <c r="W40" i="2"/>
  <c r="Q40" i="2"/>
  <c r="R40" i="2" s="1"/>
  <c r="S40" i="2" s="1"/>
  <c r="N40" i="2"/>
  <c r="W39" i="2"/>
  <c r="Q39" i="2"/>
  <c r="R39" i="2" s="1"/>
  <c r="S39" i="2" s="1"/>
  <c r="N39" i="2"/>
  <c r="W38" i="2"/>
  <c r="R38" i="2"/>
  <c r="S38" i="2" s="1"/>
  <c r="Q38" i="2"/>
  <c r="N38" i="2"/>
  <c r="W37" i="2"/>
  <c r="Q37" i="2"/>
  <c r="R37" i="2" s="1"/>
  <c r="S37" i="2" s="1"/>
  <c r="N37" i="2"/>
  <c r="W36" i="2"/>
  <c r="Q36" i="2"/>
  <c r="R36" i="2" s="1"/>
  <c r="S36" i="2" s="1"/>
  <c r="N36" i="2"/>
  <c r="W35" i="2"/>
  <c r="Q35" i="2"/>
  <c r="R35" i="2" s="1"/>
  <c r="S35" i="2" s="1"/>
  <c r="N35" i="2"/>
  <c r="W34" i="2"/>
  <c r="Q34" i="2"/>
  <c r="R34" i="2" s="1"/>
  <c r="S34" i="2" s="1"/>
  <c r="N34" i="2"/>
  <c r="W33" i="2"/>
  <c r="Q33" i="2"/>
  <c r="R33" i="2" s="1"/>
  <c r="S33" i="2" s="1"/>
  <c r="N33" i="2"/>
  <c r="W32" i="2"/>
  <c r="Q32" i="2"/>
  <c r="R32" i="2" s="1"/>
  <c r="S32" i="2" s="1"/>
  <c r="N32" i="2"/>
  <c r="W31" i="2"/>
  <c r="Q31" i="2"/>
  <c r="R31" i="2" s="1"/>
  <c r="S31" i="2" s="1"/>
  <c r="N31" i="2"/>
  <c r="W30" i="2"/>
  <c r="Q30" i="2"/>
  <c r="R30" i="2" s="1"/>
  <c r="S30" i="2" s="1"/>
  <c r="N30" i="2"/>
  <c r="W29" i="2"/>
  <c r="Q29" i="2"/>
  <c r="R29" i="2" s="1"/>
  <c r="S29" i="2" s="1"/>
  <c r="N29" i="2"/>
  <c r="W28" i="2"/>
  <c r="R28" i="2"/>
  <c r="S28" i="2" s="1"/>
  <c r="Q28" i="2"/>
  <c r="N28" i="2"/>
  <c r="W27" i="2"/>
  <c r="R27" i="2"/>
  <c r="S27" i="2" s="1"/>
  <c r="Q27" i="2"/>
  <c r="N27" i="2"/>
  <c r="W26" i="2"/>
  <c r="R26" i="2"/>
  <c r="S26" i="2" s="1"/>
  <c r="Q26" i="2"/>
  <c r="N26" i="2"/>
  <c r="W25" i="2"/>
  <c r="Q25" i="2"/>
  <c r="R25" i="2" s="1"/>
  <c r="S25" i="2" s="1"/>
  <c r="N25" i="2"/>
  <c r="W24" i="2"/>
  <c r="R24" i="2"/>
  <c r="S24" i="2" s="1"/>
  <c r="Q24" i="2"/>
  <c r="N24" i="2"/>
  <c r="W23" i="2"/>
  <c r="R23" i="2"/>
  <c r="S23" i="2" s="1"/>
  <c r="Q23" i="2"/>
  <c r="N23" i="2"/>
  <c r="W22" i="2"/>
  <c r="R22" i="2"/>
  <c r="S22" i="2" s="1"/>
  <c r="Q22" i="2"/>
  <c r="N22" i="2"/>
  <c r="W21" i="2"/>
  <c r="Q21" i="2"/>
  <c r="R21" i="2" s="1"/>
  <c r="S21" i="2" s="1"/>
  <c r="N21" i="2"/>
  <c r="W20" i="2"/>
  <c r="R20" i="2"/>
  <c r="S20" i="2" s="1"/>
  <c r="Q20" i="2"/>
  <c r="N20" i="2"/>
  <c r="W19" i="2"/>
  <c r="R19" i="2"/>
  <c r="S19" i="2" s="1"/>
  <c r="Q19" i="2"/>
  <c r="N19" i="2"/>
  <c r="W18" i="2"/>
  <c r="R18" i="2"/>
  <c r="S18" i="2" s="1"/>
  <c r="Q18" i="2"/>
  <c r="N18" i="2"/>
  <c r="W17" i="2"/>
  <c r="Q17" i="2"/>
  <c r="R17" i="2" s="1"/>
  <c r="S17" i="2" s="1"/>
  <c r="N17" i="2"/>
  <c r="W16" i="2"/>
  <c r="Q16" i="2"/>
  <c r="R16" i="2" s="1"/>
  <c r="S16" i="2" s="1"/>
  <c r="N16" i="2"/>
  <c r="W15" i="2"/>
  <c r="R15" i="2"/>
  <c r="S15" i="2" s="1"/>
  <c r="Q15" i="2"/>
  <c r="N15" i="2"/>
  <c r="W14" i="2"/>
  <c r="R14" i="2"/>
  <c r="S14" i="2" s="1"/>
  <c r="N14" i="2"/>
  <c r="W13" i="2"/>
  <c r="R13" i="2"/>
  <c r="S13" i="2" s="1"/>
  <c r="N13" i="2"/>
  <c r="W12" i="2"/>
  <c r="R12" i="2"/>
  <c r="S12" i="2" s="1"/>
  <c r="N12" i="2"/>
  <c r="W11" i="2"/>
  <c r="S11" i="2"/>
  <c r="R11" i="2"/>
  <c r="N11" i="2"/>
  <c r="I11" i="2"/>
  <c r="W10" i="2"/>
  <c r="S10" i="2"/>
  <c r="R10" i="2"/>
  <c r="N10" i="2"/>
  <c r="Z9" i="2"/>
  <c r="W9" i="2"/>
  <c r="S9" i="2"/>
  <c r="R9" i="2"/>
  <c r="N9" i="2"/>
  <c r="I9" i="2"/>
  <c r="W8" i="2"/>
  <c r="R8" i="2"/>
  <c r="S8" i="2" s="1"/>
  <c r="N8" i="2"/>
  <c r="X7" i="2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W7" i="2"/>
  <c r="R7" i="2"/>
  <c r="S7" i="2" s="1"/>
  <c r="T7" i="2" s="1"/>
  <c r="N7" i="2"/>
  <c r="M7" i="2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I7" i="2"/>
  <c r="X6" i="2"/>
  <c r="W6" i="2"/>
  <c r="S6" i="2"/>
  <c r="R6" i="2"/>
  <c r="N6" i="2"/>
  <c r="M6" i="2"/>
  <c r="K6" i="2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W336" i="1"/>
  <c r="Q336" i="1"/>
  <c r="R336" i="1" s="1"/>
  <c r="S336" i="1" s="1"/>
  <c r="N336" i="1"/>
  <c r="W335" i="1"/>
  <c r="Q335" i="1"/>
  <c r="R335" i="1" s="1"/>
  <c r="S335" i="1" s="1"/>
  <c r="N335" i="1"/>
  <c r="W334" i="1"/>
  <c r="Q334" i="1"/>
  <c r="R334" i="1" s="1"/>
  <c r="S334" i="1" s="1"/>
  <c r="N334" i="1"/>
  <c r="W333" i="1"/>
  <c r="Q333" i="1"/>
  <c r="R333" i="1" s="1"/>
  <c r="S333" i="1" s="1"/>
  <c r="N333" i="1"/>
  <c r="W332" i="1"/>
  <c r="Q332" i="1"/>
  <c r="R332" i="1" s="1"/>
  <c r="S332" i="1" s="1"/>
  <c r="N332" i="1"/>
  <c r="W331" i="1"/>
  <c r="Q331" i="1"/>
  <c r="R331" i="1" s="1"/>
  <c r="S331" i="1" s="1"/>
  <c r="N331" i="1"/>
  <c r="W330" i="1"/>
  <c r="Q330" i="1"/>
  <c r="R330" i="1" s="1"/>
  <c r="S330" i="1" s="1"/>
  <c r="N330" i="1"/>
  <c r="W329" i="1"/>
  <c r="Q329" i="1"/>
  <c r="R329" i="1" s="1"/>
  <c r="S329" i="1" s="1"/>
  <c r="N329" i="1"/>
  <c r="W328" i="1"/>
  <c r="Q328" i="1"/>
  <c r="R328" i="1" s="1"/>
  <c r="S328" i="1" s="1"/>
  <c r="N328" i="1"/>
  <c r="W327" i="1"/>
  <c r="Q327" i="1"/>
  <c r="R327" i="1" s="1"/>
  <c r="S327" i="1" s="1"/>
  <c r="N327" i="1"/>
  <c r="W326" i="1"/>
  <c r="Q326" i="1"/>
  <c r="R326" i="1" s="1"/>
  <c r="S326" i="1" s="1"/>
  <c r="N326" i="1"/>
  <c r="W325" i="1"/>
  <c r="Q325" i="1"/>
  <c r="R325" i="1" s="1"/>
  <c r="S325" i="1" s="1"/>
  <c r="N325" i="1"/>
  <c r="W324" i="1"/>
  <c r="Q324" i="1"/>
  <c r="R324" i="1" s="1"/>
  <c r="S324" i="1" s="1"/>
  <c r="N324" i="1"/>
  <c r="W323" i="1"/>
  <c r="Q323" i="1"/>
  <c r="R323" i="1" s="1"/>
  <c r="S323" i="1" s="1"/>
  <c r="N323" i="1"/>
  <c r="W322" i="1"/>
  <c r="Q322" i="1"/>
  <c r="R322" i="1" s="1"/>
  <c r="S322" i="1" s="1"/>
  <c r="N322" i="1"/>
  <c r="W321" i="1"/>
  <c r="Q321" i="1"/>
  <c r="R321" i="1" s="1"/>
  <c r="S321" i="1" s="1"/>
  <c r="N321" i="1"/>
  <c r="W320" i="1"/>
  <c r="Q320" i="1"/>
  <c r="R320" i="1" s="1"/>
  <c r="S320" i="1" s="1"/>
  <c r="N320" i="1"/>
  <c r="W319" i="1"/>
  <c r="Q319" i="1"/>
  <c r="R319" i="1" s="1"/>
  <c r="S319" i="1" s="1"/>
  <c r="N319" i="1"/>
  <c r="W318" i="1"/>
  <c r="Q318" i="1"/>
  <c r="R318" i="1" s="1"/>
  <c r="S318" i="1" s="1"/>
  <c r="N318" i="1"/>
  <c r="W317" i="1"/>
  <c r="Q317" i="1"/>
  <c r="R317" i="1" s="1"/>
  <c r="S317" i="1" s="1"/>
  <c r="N317" i="1"/>
  <c r="W316" i="1"/>
  <c r="Q316" i="1"/>
  <c r="R316" i="1" s="1"/>
  <c r="S316" i="1" s="1"/>
  <c r="N316" i="1"/>
  <c r="W315" i="1"/>
  <c r="Q315" i="1"/>
  <c r="R315" i="1" s="1"/>
  <c r="S315" i="1" s="1"/>
  <c r="N315" i="1"/>
  <c r="W314" i="1"/>
  <c r="Q314" i="1"/>
  <c r="R314" i="1" s="1"/>
  <c r="S314" i="1" s="1"/>
  <c r="N314" i="1"/>
  <c r="W313" i="1"/>
  <c r="Q313" i="1"/>
  <c r="R313" i="1" s="1"/>
  <c r="S313" i="1" s="1"/>
  <c r="N313" i="1"/>
  <c r="W312" i="1"/>
  <c r="R312" i="1"/>
  <c r="S312" i="1" s="1"/>
  <c r="Q312" i="1"/>
  <c r="N312" i="1"/>
  <c r="W311" i="1"/>
  <c r="Q311" i="1"/>
  <c r="R311" i="1" s="1"/>
  <c r="S311" i="1" s="1"/>
  <c r="N311" i="1"/>
  <c r="W310" i="1"/>
  <c r="Q310" i="1"/>
  <c r="R310" i="1" s="1"/>
  <c r="S310" i="1" s="1"/>
  <c r="N310" i="1"/>
  <c r="W309" i="1"/>
  <c r="Q309" i="1"/>
  <c r="R309" i="1" s="1"/>
  <c r="S309" i="1" s="1"/>
  <c r="N309" i="1"/>
  <c r="W308" i="1"/>
  <c r="R308" i="1"/>
  <c r="S308" i="1" s="1"/>
  <c r="Q308" i="1"/>
  <c r="N308" i="1"/>
  <c r="W307" i="1"/>
  <c r="Q307" i="1"/>
  <c r="R307" i="1" s="1"/>
  <c r="S307" i="1" s="1"/>
  <c r="N307" i="1"/>
  <c r="W306" i="1"/>
  <c r="Q306" i="1"/>
  <c r="R306" i="1" s="1"/>
  <c r="S306" i="1" s="1"/>
  <c r="N306" i="1"/>
  <c r="W305" i="1"/>
  <c r="Q305" i="1"/>
  <c r="R305" i="1" s="1"/>
  <c r="S305" i="1" s="1"/>
  <c r="N305" i="1"/>
  <c r="W304" i="1"/>
  <c r="R304" i="1"/>
  <c r="S304" i="1" s="1"/>
  <c r="Q304" i="1"/>
  <c r="N304" i="1"/>
  <c r="W303" i="1"/>
  <c r="Q303" i="1"/>
  <c r="R303" i="1" s="1"/>
  <c r="S303" i="1" s="1"/>
  <c r="N303" i="1"/>
  <c r="W302" i="1"/>
  <c r="Q302" i="1"/>
  <c r="R302" i="1" s="1"/>
  <c r="S302" i="1" s="1"/>
  <c r="N302" i="1"/>
  <c r="W301" i="1"/>
  <c r="T301" i="1"/>
  <c r="Q301" i="1"/>
  <c r="R301" i="1" s="1"/>
  <c r="S301" i="1" s="1"/>
  <c r="N301" i="1"/>
  <c r="W300" i="1"/>
  <c r="Q300" i="1"/>
  <c r="R300" i="1" s="1"/>
  <c r="S300" i="1" s="1"/>
  <c r="N300" i="1"/>
  <c r="W299" i="1"/>
  <c r="S299" i="1"/>
  <c r="R299" i="1"/>
  <c r="Q299" i="1"/>
  <c r="N299" i="1"/>
  <c r="W298" i="1"/>
  <c r="Q298" i="1"/>
  <c r="R298" i="1" s="1"/>
  <c r="S298" i="1" s="1"/>
  <c r="N298" i="1"/>
  <c r="W297" i="1"/>
  <c r="S297" i="1"/>
  <c r="R297" i="1"/>
  <c r="Q297" i="1"/>
  <c r="N297" i="1"/>
  <c r="Y296" i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0" i="1" s="1"/>
  <c r="Y311" i="1" s="1"/>
  <c r="Y312" i="1" s="1"/>
  <c r="Y313" i="1" s="1"/>
  <c r="Y314" i="1" s="1"/>
  <c r="Y315" i="1" s="1"/>
  <c r="Y316" i="1" s="1"/>
  <c r="Y317" i="1" s="1"/>
  <c r="Y318" i="1" s="1"/>
  <c r="Y319" i="1" s="1"/>
  <c r="Y320" i="1" s="1"/>
  <c r="Y321" i="1" s="1"/>
  <c r="Y322" i="1" s="1"/>
  <c r="Y323" i="1" s="1"/>
  <c r="Y324" i="1" s="1"/>
  <c r="Y325" i="1" s="1"/>
  <c r="Y326" i="1" s="1"/>
  <c r="Y327" i="1" s="1"/>
  <c r="Y328" i="1" s="1"/>
  <c r="Y329" i="1" s="1"/>
  <c r="Y330" i="1" s="1"/>
  <c r="Y331" i="1" s="1"/>
  <c r="Y332" i="1" s="1"/>
  <c r="Y333" i="1" s="1"/>
  <c r="Y334" i="1" s="1"/>
  <c r="Y335" i="1" s="1"/>
  <c r="Y336" i="1" s="1"/>
  <c r="W296" i="1"/>
  <c r="Q296" i="1"/>
  <c r="R296" i="1" s="1"/>
  <c r="S296" i="1" s="1"/>
  <c r="N296" i="1"/>
  <c r="W295" i="1"/>
  <c r="S295" i="1"/>
  <c r="R295" i="1"/>
  <c r="Q295" i="1"/>
  <c r="N295" i="1"/>
  <c r="W294" i="1"/>
  <c r="Q294" i="1"/>
  <c r="R294" i="1" s="1"/>
  <c r="S294" i="1" s="1"/>
  <c r="N294" i="1"/>
  <c r="W293" i="1"/>
  <c r="S293" i="1"/>
  <c r="R293" i="1"/>
  <c r="Q293" i="1"/>
  <c r="N293" i="1"/>
  <c r="W292" i="1"/>
  <c r="Q292" i="1"/>
  <c r="R292" i="1" s="1"/>
  <c r="S292" i="1" s="1"/>
  <c r="N292" i="1"/>
  <c r="W291" i="1"/>
  <c r="Q291" i="1"/>
  <c r="R291" i="1" s="1"/>
  <c r="S291" i="1" s="1"/>
  <c r="N291" i="1"/>
  <c r="W290" i="1"/>
  <c r="S290" i="1"/>
  <c r="R290" i="1"/>
  <c r="Q290" i="1"/>
  <c r="N290" i="1"/>
  <c r="W289" i="1"/>
  <c r="Q289" i="1"/>
  <c r="R289" i="1" s="1"/>
  <c r="S289" i="1" s="1"/>
  <c r="N289" i="1"/>
  <c r="W288" i="1"/>
  <c r="S288" i="1"/>
  <c r="R288" i="1"/>
  <c r="Q288" i="1"/>
  <c r="N288" i="1"/>
  <c r="W287" i="1"/>
  <c r="Q287" i="1"/>
  <c r="R287" i="1" s="1"/>
  <c r="S287" i="1" s="1"/>
  <c r="N287" i="1"/>
  <c r="W286" i="1"/>
  <c r="Q286" i="1"/>
  <c r="R286" i="1" s="1"/>
  <c r="S286" i="1" s="1"/>
  <c r="N286" i="1"/>
  <c r="I286" i="1"/>
  <c r="Y285" i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W285" i="1"/>
  <c r="R285" i="1"/>
  <c r="S285" i="1" s="1"/>
  <c r="Q285" i="1"/>
  <c r="N285" i="1"/>
  <c r="Z284" i="1"/>
  <c r="Y284" i="1"/>
  <c r="W284" i="1"/>
  <c r="S284" i="1"/>
  <c r="R284" i="1"/>
  <c r="Q284" i="1"/>
  <c r="N284" i="1"/>
  <c r="I284" i="1"/>
  <c r="Y283" i="1"/>
  <c r="W283" i="1"/>
  <c r="Q283" i="1"/>
  <c r="R283" i="1" s="1"/>
  <c r="S283" i="1" s="1"/>
  <c r="N283" i="1"/>
  <c r="Y282" i="1"/>
  <c r="W282" i="1"/>
  <c r="Q282" i="1"/>
  <c r="R282" i="1" s="1"/>
  <c r="S282" i="1" s="1"/>
  <c r="N282" i="1"/>
  <c r="I282" i="1"/>
  <c r="H282" i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W281" i="1"/>
  <c r="Q281" i="1"/>
  <c r="R281" i="1" s="1"/>
  <c r="S281" i="1" s="1"/>
  <c r="N281" i="1"/>
  <c r="W280" i="1"/>
  <c r="S280" i="1"/>
  <c r="R280" i="1"/>
  <c r="Q280" i="1"/>
  <c r="N280" i="1"/>
  <c r="W279" i="1"/>
  <c r="S279" i="1"/>
  <c r="Q279" i="1"/>
  <c r="R279" i="1" s="1"/>
  <c r="N279" i="1"/>
  <c r="W278" i="1"/>
  <c r="S278" i="1"/>
  <c r="R278" i="1"/>
  <c r="Q278" i="1"/>
  <c r="N278" i="1"/>
  <c r="W277" i="1"/>
  <c r="S277" i="1"/>
  <c r="R277" i="1"/>
  <c r="Q277" i="1"/>
  <c r="N277" i="1"/>
  <c r="W276" i="1"/>
  <c r="Q276" i="1"/>
  <c r="R276" i="1" s="1"/>
  <c r="S276" i="1" s="1"/>
  <c r="N276" i="1"/>
  <c r="W275" i="1"/>
  <c r="S275" i="1"/>
  <c r="R275" i="1"/>
  <c r="Q275" i="1"/>
  <c r="N275" i="1"/>
  <c r="W274" i="1"/>
  <c r="Q274" i="1"/>
  <c r="R274" i="1" s="1"/>
  <c r="S274" i="1" s="1"/>
  <c r="N274" i="1"/>
  <c r="W273" i="1"/>
  <c r="S273" i="1"/>
  <c r="R273" i="1"/>
  <c r="Q273" i="1"/>
  <c r="N273" i="1"/>
  <c r="W272" i="1"/>
  <c r="Q272" i="1"/>
  <c r="R272" i="1" s="1"/>
  <c r="S272" i="1" s="1"/>
  <c r="N272" i="1"/>
  <c r="H272" i="1"/>
  <c r="H273" i="1" s="1"/>
  <c r="H274" i="1" s="1"/>
  <c r="H275" i="1" s="1"/>
  <c r="H276" i="1" s="1"/>
  <c r="H277" i="1" s="1"/>
  <c r="H278" i="1" s="1"/>
  <c r="H279" i="1" s="1"/>
  <c r="H280" i="1" s="1"/>
  <c r="W271" i="1"/>
  <c r="Q271" i="1"/>
  <c r="R271" i="1" s="1"/>
  <c r="S271" i="1" s="1"/>
  <c r="N271" i="1"/>
  <c r="W270" i="1"/>
  <c r="Q270" i="1"/>
  <c r="R270" i="1" s="1"/>
  <c r="S270" i="1" s="1"/>
  <c r="N270" i="1"/>
  <c r="W269" i="1"/>
  <c r="R269" i="1"/>
  <c r="S269" i="1" s="1"/>
  <c r="Q269" i="1"/>
  <c r="N269" i="1"/>
  <c r="W268" i="1"/>
  <c r="R268" i="1"/>
  <c r="S268" i="1" s="1"/>
  <c r="Q268" i="1"/>
  <c r="N268" i="1"/>
  <c r="W267" i="1"/>
  <c r="S267" i="1"/>
  <c r="R267" i="1"/>
  <c r="Q267" i="1"/>
  <c r="N267" i="1"/>
  <c r="Y266" i="1"/>
  <c r="Y267" i="1" s="1"/>
  <c r="Y268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Y279" i="1" s="1"/>
  <c r="Y280" i="1" s="1"/>
  <c r="W266" i="1"/>
  <c r="R266" i="1"/>
  <c r="S266" i="1" s="1"/>
  <c r="Q266" i="1"/>
  <c r="N266" i="1"/>
  <c r="I266" i="1"/>
  <c r="Y265" i="1"/>
  <c r="W265" i="1"/>
  <c r="S265" i="1"/>
  <c r="R265" i="1"/>
  <c r="Q265" i="1"/>
  <c r="N265" i="1"/>
  <c r="Z264" i="1"/>
  <c r="Y264" i="1"/>
  <c r="W264" i="1"/>
  <c r="Q264" i="1"/>
  <c r="R264" i="1" s="1"/>
  <c r="S264" i="1" s="1"/>
  <c r="N264" i="1"/>
  <c r="I264" i="1"/>
  <c r="Y263" i="1"/>
  <c r="W263" i="1"/>
  <c r="Q263" i="1"/>
  <c r="R263" i="1" s="1"/>
  <c r="S263" i="1" s="1"/>
  <c r="N263" i="1"/>
  <c r="H263" i="1"/>
  <c r="H264" i="1" s="1"/>
  <c r="H265" i="1" s="1"/>
  <c r="H266" i="1" s="1"/>
  <c r="H267" i="1" s="1"/>
  <c r="H268" i="1" s="1"/>
  <c r="H269" i="1" s="1"/>
  <c r="H270" i="1" s="1"/>
  <c r="H271" i="1" s="1"/>
  <c r="Y262" i="1"/>
  <c r="W262" i="1"/>
  <c r="R262" i="1"/>
  <c r="S262" i="1" s="1"/>
  <c r="Q262" i="1"/>
  <c r="N262" i="1"/>
  <c r="I262" i="1"/>
  <c r="H262" i="1"/>
  <c r="W261" i="1"/>
  <c r="Q261" i="1"/>
  <c r="R261" i="1" s="1"/>
  <c r="S261" i="1" s="1"/>
  <c r="N261" i="1"/>
  <c r="W260" i="1"/>
  <c r="S260" i="1"/>
  <c r="R260" i="1"/>
  <c r="N260" i="1"/>
  <c r="W259" i="1"/>
  <c r="S259" i="1"/>
  <c r="R259" i="1"/>
  <c r="N259" i="1"/>
  <c r="W258" i="1"/>
  <c r="R258" i="1"/>
  <c r="S258" i="1" s="1"/>
  <c r="N258" i="1"/>
  <c r="W257" i="1"/>
  <c r="R257" i="1"/>
  <c r="S257" i="1" s="1"/>
  <c r="N257" i="1"/>
  <c r="W256" i="1"/>
  <c r="R256" i="1"/>
  <c r="S256" i="1" s="1"/>
  <c r="N256" i="1"/>
  <c r="W255" i="1"/>
  <c r="S255" i="1"/>
  <c r="R255" i="1"/>
  <c r="N255" i="1"/>
  <c r="W254" i="1"/>
  <c r="S254" i="1"/>
  <c r="R254" i="1"/>
  <c r="N254" i="1"/>
  <c r="W253" i="1"/>
  <c r="R253" i="1"/>
  <c r="S253" i="1" s="1"/>
  <c r="N253" i="1"/>
  <c r="W252" i="1"/>
  <c r="S252" i="1"/>
  <c r="R252" i="1"/>
  <c r="N252" i="1"/>
  <c r="W251" i="1"/>
  <c r="S251" i="1"/>
  <c r="R251" i="1"/>
  <c r="N251" i="1"/>
  <c r="W250" i="1"/>
  <c r="R250" i="1"/>
  <c r="S250" i="1" s="1"/>
  <c r="N250" i="1"/>
  <c r="W249" i="1"/>
  <c r="R249" i="1"/>
  <c r="S249" i="1" s="1"/>
  <c r="N249" i="1"/>
  <c r="W248" i="1"/>
  <c r="R248" i="1"/>
  <c r="S248" i="1" s="1"/>
  <c r="N248" i="1"/>
  <c r="W247" i="1"/>
  <c r="S247" i="1"/>
  <c r="R247" i="1"/>
  <c r="N247" i="1"/>
  <c r="W246" i="1"/>
  <c r="S246" i="1"/>
  <c r="R246" i="1"/>
  <c r="N246" i="1"/>
  <c r="Y245" i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W245" i="1"/>
  <c r="S245" i="1"/>
  <c r="R245" i="1"/>
  <c r="N245" i="1"/>
  <c r="W244" i="1"/>
  <c r="S244" i="1"/>
  <c r="R244" i="1"/>
  <c r="N244" i="1"/>
  <c r="W243" i="1"/>
  <c r="R243" i="1"/>
  <c r="S243" i="1" s="1"/>
  <c r="N243" i="1"/>
  <c r="W242" i="1"/>
  <c r="R242" i="1"/>
  <c r="S242" i="1" s="1"/>
  <c r="N242" i="1"/>
  <c r="W241" i="1"/>
  <c r="R241" i="1"/>
  <c r="S241" i="1" s="1"/>
  <c r="N241" i="1"/>
  <c r="I241" i="1"/>
  <c r="W240" i="1"/>
  <c r="S240" i="1"/>
  <c r="R240" i="1"/>
  <c r="N240" i="1"/>
  <c r="Z239" i="1"/>
  <c r="W239" i="1"/>
  <c r="R239" i="1"/>
  <c r="S239" i="1" s="1"/>
  <c r="N239" i="1"/>
  <c r="I239" i="1"/>
  <c r="W238" i="1"/>
  <c r="S238" i="1"/>
  <c r="R238" i="1"/>
  <c r="N238" i="1"/>
  <c r="Y237" i="1"/>
  <c r="Y238" i="1" s="1"/>
  <c r="Y239" i="1" s="1"/>
  <c r="Y240" i="1" s="1"/>
  <c r="Y241" i="1" s="1"/>
  <c r="Y242" i="1" s="1"/>
  <c r="Y243" i="1" s="1"/>
  <c r="Y244" i="1" s="1"/>
  <c r="W237" i="1"/>
  <c r="S237" i="1"/>
  <c r="R237" i="1"/>
  <c r="N237" i="1"/>
  <c r="I237" i="1"/>
  <c r="H237" i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W236" i="1"/>
  <c r="R236" i="1"/>
  <c r="S236" i="1" s="1"/>
  <c r="N236" i="1"/>
  <c r="W235" i="1"/>
  <c r="S235" i="1"/>
  <c r="R235" i="1"/>
  <c r="N235" i="1"/>
  <c r="W234" i="1"/>
  <c r="S234" i="1"/>
  <c r="R234" i="1"/>
  <c r="N234" i="1"/>
  <c r="W233" i="1"/>
  <c r="R233" i="1"/>
  <c r="S233" i="1" s="1"/>
  <c r="N233" i="1"/>
  <c r="W232" i="1"/>
  <c r="R232" i="1"/>
  <c r="S232" i="1" s="1"/>
  <c r="N232" i="1"/>
  <c r="W231" i="1"/>
  <c r="R231" i="1"/>
  <c r="S231" i="1" s="1"/>
  <c r="N231" i="1"/>
  <c r="W230" i="1"/>
  <c r="S230" i="1"/>
  <c r="R230" i="1"/>
  <c r="N230" i="1"/>
  <c r="W229" i="1"/>
  <c r="S229" i="1"/>
  <c r="R229" i="1"/>
  <c r="N229" i="1"/>
  <c r="W228" i="1"/>
  <c r="S228" i="1"/>
  <c r="R228" i="1"/>
  <c r="N228" i="1"/>
  <c r="H228" i="1"/>
  <c r="H229" i="1" s="1"/>
  <c r="H230" i="1" s="1"/>
  <c r="H231" i="1" s="1"/>
  <c r="H232" i="1" s="1"/>
  <c r="H233" i="1" s="1"/>
  <c r="H234" i="1" s="1"/>
  <c r="H235" i="1" s="1"/>
  <c r="W227" i="1"/>
  <c r="S227" i="1"/>
  <c r="R227" i="1"/>
  <c r="N227" i="1"/>
  <c r="W226" i="1"/>
  <c r="R226" i="1"/>
  <c r="S226" i="1" s="1"/>
  <c r="N226" i="1"/>
  <c r="W225" i="1"/>
  <c r="R225" i="1"/>
  <c r="S225" i="1" s="1"/>
  <c r="N225" i="1"/>
  <c r="W224" i="1"/>
  <c r="S224" i="1"/>
  <c r="R224" i="1"/>
  <c r="N224" i="1"/>
  <c r="W223" i="1"/>
  <c r="R223" i="1"/>
  <c r="S223" i="1" s="1"/>
  <c r="N223" i="1"/>
  <c r="W222" i="1"/>
  <c r="S222" i="1"/>
  <c r="R222" i="1"/>
  <c r="N222" i="1"/>
  <c r="W221" i="1"/>
  <c r="R221" i="1"/>
  <c r="S221" i="1" s="1"/>
  <c r="N221" i="1"/>
  <c r="W220" i="1"/>
  <c r="S220" i="1"/>
  <c r="R220" i="1"/>
  <c r="N220" i="1"/>
  <c r="I220" i="1"/>
  <c r="W219" i="1"/>
  <c r="R219" i="1"/>
  <c r="S219" i="1" s="1"/>
  <c r="N219" i="1"/>
  <c r="Z218" i="1"/>
  <c r="W218" i="1"/>
  <c r="S218" i="1"/>
  <c r="R218" i="1"/>
  <c r="N218" i="1"/>
  <c r="I218" i="1"/>
  <c r="Y217" i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W217" i="1"/>
  <c r="R217" i="1"/>
  <c r="S217" i="1" s="1"/>
  <c r="N217" i="1"/>
  <c r="Y216" i="1"/>
  <c r="W216" i="1"/>
  <c r="S216" i="1"/>
  <c r="R216" i="1"/>
  <c r="N216" i="1"/>
  <c r="I216" i="1"/>
  <c r="H216" i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W215" i="1"/>
  <c r="S215" i="1"/>
  <c r="R215" i="1"/>
  <c r="N215" i="1"/>
  <c r="W214" i="1"/>
  <c r="Q214" i="1"/>
  <c r="R214" i="1" s="1"/>
  <c r="S214" i="1" s="1"/>
  <c r="N214" i="1"/>
  <c r="W213" i="1"/>
  <c r="S213" i="1"/>
  <c r="Q213" i="1"/>
  <c r="R213" i="1" s="1"/>
  <c r="N213" i="1"/>
  <c r="W212" i="1"/>
  <c r="Q212" i="1"/>
  <c r="R212" i="1" s="1"/>
  <c r="S212" i="1" s="1"/>
  <c r="N212" i="1"/>
  <c r="W211" i="1"/>
  <c r="Q211" i="1"/>
  <c r="R211" i="1" s="1"/>
  <c r="S211" i="1" s="1"/>
  <c r="N211" i="1"/>
  <c r="W210" i="1"/>
  <c r="Q210" i="1"/>
  <c r="R210" i="1" s="1"/>
  <c r="S210" i="1" s="1"/>
  <c r="N210" i="1"/>
  <c r="W209" i="1"/>
  <c r="S209" i="1"/>
  <c r="Q209" i="1"/>
  <c r="R209" i="1" s="1"/>
  <c r="N209" i="1"/>
  <c r="W208" i="1"/>
  <c r="Q208" i="1"/>
  <c r="R208" i="1" s="1"/>
  <c r="S208" i="1" s="1"/>
  <c r="N208" i="1"/>
  <c r="W207" i="1"/>
  <c r="S207" i="1"/>
  <c r="Q207" i="1"/>
  <c r="R207" i="1" s="1"/>
  <c r="N207" i="1"/>
  <c r="W206" i="1"/>
  <c r="Q206" i="1"/>
  <c r="R206" i="1" s="1"/>
  <c r="S206" i="1" s="1"/>
  <c r="N206" i="1"/>
  <c r="W205" i="1"/>
  <c r="S205" i="1"/>
  <c r="Q205" i="1"/>
  <c r="R205" i="1" s="1"/>
  <c r="N205" i="1"/>
  <c r="W204" i="1"/>
  <c r="Q204" i="1"/>
  <c r="R204" i="1" s="1"/>
  <c r="S204" i="1" s="1"/>
  <c r="N204" i="1"/>
  <c r="W203" i="1"/>
  <c r="Q203" i="1"/>
  <c r="R203" i="1" s="1"/>
  <c r="S203" i="1" s="1"/>
  <c r="N203" i="1"/>
  <c r="W202" i="1"/>
  <c r="Q202" i="1"/>
  <c r="R202" i="1" s="1"/>
  <c r="S202" i="1" s="1"/>
  <c r="N202" i="1"/>
  <c r="W201" i="1"/>
  <c r="S201" i="1"/>
  <c r="Q201" i="1"/>
  <c r="R201" i="1" s="1"/>
  <c r="N201" i="1"/>
  <c r="W200" i="1"/>
  <c r="Q200" i="1"/>
  <c r="R200" i="1" s="1"/>
  <c r="S200" i="1" s="1"/>
  <c r="N200" i="1"/>
  <c r="W199" i="1"/>
  <c r="S199" i="1"/>
  <c r="Q199" i="1"/>
  <c r="R199" i="1" s="1"/>
  <c r="N199" i="1"/>
  <c r="W198" i="1"/>
  <c r="Q198" i="1"/>
  <c r="R198" i="1" s="1"/>
  <c r="S198" i="1" s="1"/>
  <c r="N198" i="1"/>
  <c r="W197" i="1"/>
  <c r="S197" i="1"/>
  <c r="Q197" i="1"/>
  <c r="R197" i="1" s="1"/>
  <c r="N197" i="1"/>
  <c r="W196" i="1"/>
  <c r="Q196" i="1"/>
  <c r="R196" i="1" s="1"/>
  <c r="S196" i="1" s="1"/>
  <c r="N196" i="1"/>
  <c r="W195" i="1"/>
  <c r="Q195" i="1"/>
  <c r="R195" i="1" s="1"/>
  <c r="S195" i="1" s="1"/>
  <c r="N195" i="1"/>
  <c r="W194" i="1"/>
  <c r="Q194" i="1"/>
  <c r="R194" i="1" s="1"/>
  <c r="S194" i="1" s="1"/>
  <c r="N194" i="1"/>
  <c r="W193" i="1"/>
  <c r="S193" i="1"/>
  <c r="Q193" i="1"/>
  <c r="R193" i="1" s="1"/>
  <c r="N193" i="1"/>
  <c r="W192" i="1"/>
  <c r="Q192" i="1"/>
  <c r="R192" i="1" s="1"/>
  <c r="S192" i="1" s="1"/>
  <c r="N192" i="1"/>
  <c r="W191" i="1"/>
  <c r="S191" i="1"/>
  <c r="Q191" i="1"/>
  <c r="R191" i="1" s="1"/>
  <c r="N191" i="1"/>
  <c r="W190" i="1"/>
  <c r="Q190" i="1"/>
  <c r="R190" i="1" s="1"/>
  <c r="S190" i="1" s="1"/>
  <c r="N190" i="1"/>
  <c r="W189" i="1"/>
  <c r="S189" i="1"/>
  <c r="Q189" i="1"/>
  <c r="R189" i="1" s="1"/>
  <c r="N189" i="1"/>
  <c r="W188" i="1"/>
  <c r="Q188" i="1"/>
  <c r="R188" i="1" s="1"/>
  <c r="S188" i="1" s="1"/>
  <c r="N188" i="1"/>
  <c r="W187" i="1"/>
  <c r="Q187" i="1"/>
  <c r="R187" i="1" s="1"/>
  <c r="S187" i="1" s="1"/>
  <c r="N187" i="1"/>
  <c r="W186" i="1"/>
  <c r="Q186" i="1"/>
  <c r="R186" i="1" s="1"/>
  <c r="S186" i="1" s="1"/>
  <c r="N186" i="1"/>
  <c r="W185" i="1"/>
  <c r="S185" i="1"/>
  <c r="Q185" i="1"/>
  <c r="R185" i="1" s="1"/>
  <c r="N185" i="1"/>
  <c r="W184" i="1"/>
  <c r="Q184" i="1"/>
  <c r="R184" i="1" s="1"/>
  <c r="S184" i="1" s="1"/>
  <c r="N184" i="1"/>
  <c r="W183" i="1"/>
  <c r="S183" i="1"/>
  <c r="Q183" i="1"/>
  <c r="R183" i="1" s="1"/>
  <c r="N183" i="1"/>
  <c r="W182" i="1"/>
  <c r="Q182" i="1"/>
  <c r="R182" i="1" s="1"/>
  <c r="S182" i="1" s="1"/>
  <c r="N182" i="1"/>
  <c r="W181" i="1"/>
  <c r="Q181" i="1"/>
  <c r="R181" i="1" s="1"/>
  <c r="S181" i="1" s="1"/>
  <c r="N181" i="1"/>
  <c r="W180" i="1"/>
  <c r="Q180" i="1"/>
  <c r="R180" i="1" s="1"/>
  <c r="S180" i="1" s="1"/>
  <c r="N180" i="1"/>
  <c r="W179" i="1"/>
  <c r="Q179" i="1"/>
  <c r="R179" i="1" s="1"/>
  <c r="S179" i="1" s="1"/>
  <c r="N179" i="1"/>
  <c r="W178" i="1"/>
  <c r="Q178" i="1"/>
  <c r="R178" i="1" s="1"/>
  <c r="S178" i="1" s="1"/>
  <c r="N178" i="1"/>
  <c r="W177" i="1"/>
  <c r="S177" i="1"/>
  <c r="Q177" i="1"/>
  <c r="R177" i="1" s="1"/>
  <c r="N177" i="1"/>
  <c r="W176" i="1"/>
  <c r="Q176" i="1"/>
  <c r="R176" i="1" s="1"/>
  <c r="S176" i="1" s="1"/>
  <c r="N176" i="1"/>
  <c r="W175" i="1"/>
  <c r="S175" i="1"/>
  <c r="Q175" i="1"/>
  <c r="R175" i="1" s="1"/>
  <c r="N175" i="1"/>
  <c r="W174" i="1"/>
  <c r="Q174" i="1"/>
  <c r="R174" i="1" s="1"/>
  <c r="S174" i="1" s="1"/>
  <c r="N174" i="1"/>
  <c r="W173" i="1"/>
  <c r="S173" i="1"/>
  <c r="Q173" i="1"/>
  <c r="R173" i="1" s="1"/>
  <c r="N173" i="1"/>
  <c r="W172" i="1"/>
  <c r="S172" i="1"/>
  <c r="Q172" i="1"/>
  <c r="R172" i="1" s="1"/>
  <c r="N172" i="1"/>
  <c r="W171" i="1"/>
  <c r="S171" i="1"/>
  <c r="Q171" i="1"/>
  <c r="R171" i="1" s="1"/>
  <c r="N171" i="1"/>
  <c r="W170" i="1"/>
  <c r="Q170" i="1"/>
  <c r="R170" i="1" s="1"/>
  <c r="S170" i="1" s="1"/>
  <c r="N170" i="1"/>
  <c r="W169" i="1"/>
  <c r="S169" i="1"/>
  <c r="Q169" i="1"/>
  <c r="R169" i="1" s="1"/>
  <c r="N169" i="1"/>
  <c r="W168" i="1"/>
  <c r="S168" i="1"/>
  <c r="Q168" i="1"/>
  <c r="R168" i="1" s="1"/>
  <c r="N168" i="1"/>
  <c r="W167" i="1"/>
  <c r="S167" i="1"/>
  <c r="Q167" i="1"/>
  <c r="R167" i="1" s="1"/>
  <c r="N167" i="1"/>
  <c r="W166" i="1"/>
  <c r="Q166" i="1"/>
  <c r="R166" i="1" s="1"/>
  <c r="S166" i="1" s="1"/>
  <c r="N166" i="1"/>
  <c r="W165" i="1"/>
  <c r="S165" i="1"/>
  <c r="Q165" i="1"/>
  <c r="R165" i="1" s="1"/>
  <c r="N165" i="1"/>
  <c r="W164" i="1"/>
  <c r="Q164" i="1"/>
  <c r="R164" i="1" s="1"/>
  <c r="S164" i="1" s="1"/>
  <c r="N164" i="1"/>
  <c r="W163" i="1"/>
  <c r="Q163" i="1"/>
  <c r="R163" i="1" s="1"/>
  <c r="S163" i="1" s="1"/>
  <c r="N163" i="1"/>
  <c r="W162" i="1"/>
  <c r="Q162" i="1"/>
  <c r="R162" i="1" s="1"/>
  <c r="S162" i="1" s="1"/>
  <c r="N162" i="1"/>
  <c r="W161" i="1"/>
  <c r="Q161" i="1"/>
  <c r="R161" i="1" s="1"/>
  <c r="S161" i="1" s="1"/>
  <c r="N161" i="1"/>
  <c r="W160" i="1"/>
  <c r="Q160" i="1"/>
  <c r="R160" i="1" s="1"/>
  <c r="S160" i="1" s="1"/>
  <c r="N160" i="1"/>
  <c r="W159" i="1"/>
  <c r="S159" i="1"/>
  <c r="Q159" i="1"/>
  <c r="R159" i="1" s="1"/>
  <c r="N159" i="1"/>
  <c r="W158" i="1"/>
  <c r="Q158" i="1"/>
  <c r="R158" i="1" s="1"/>
  <c r="S158" i="1" s="1"/>
  <c r="N158" i="1"/>
  <c r="W157" i="1"/>
  <c r="Q157" i="1"/>
  <c r="R157" i="1" s="1"/>
  <c r="S157" i="1" s="1"/>
  <c r="N157" i="1"/>
  <c r="W156" i="1"/>
  <c r="Q156" i="1"/>
  <c r="R156" i="1" s="1"/>
  <c r="S156" i="1" s="1"/>
  <c r="N156" i="1"/>
  <c r="W155" i="1"/>
  <c r="S155" i="1"/>
  <c r="Q155" i="1"/>
  <c r="R155" i="1" s="1"/>
  <c r="N155" i="1"/>
  <c r="W154" i="1"/>
  <c r="Q154" i="1"/>
  <c r="R154" i="1" s="1"/>
  <c r="S154" i="1" s="1"/>
  <c r="N154" i="1"/>
  <c r="W153" i="1"/>
  <c r="S153" i="1"/>
  <c r="Q153" i="1"/>
  <c r="R153" i="1" s="1"/>
  <c r="N153" i="1"/>
  <c r="W152" i="1"/>
  <c r="Q152" i="1"/>
  <c r="R152" i="1" s="1"/>
  <c r="S152" i="1" s="1"/>
  <c r="N152" i="1"/>
  <c r="W151" i="1"/>
  <c r="Q151" i="1"/>
  <c r="R151" i="1" s="1"/>
  <c r="S151" i="1" s="1"/>
  <c r="N151" i="1"/>
  <c r="W150" i="1"/>
  <c r="Q150" i="1"/>
  <c r="R150" i="1" s="1"/>
  <c r="S150" i="1" s="1"/>
  <c r="N150" i="1"/>
  <c r="W149" i="1"/>
  <c r="Q149" i="1"/>
  <c r="R149" i="1" s="1"/>
  <c r="S149" i="1" s="1"/>
  <c r="N149" i="1"/>
  <c r="W148" i="1"/>
  <c r="Q148" i="1"/>
  <c r="R148" i="1" s="1"/>
  <c r="S148" i="1" s="1"/>
  <c r="N148" i="1"/>
  <c r="W147" i="1"/>
  <c r="Q147" i="1"/>
  <c r="R147" i="1" s="1"/>
  <c r="S147" i="1" s="1"/>
  <c r="N147" i="1"/>
  <c r="W146" i="1"/>
  <c r="Q146" i="1"/>
  <c r="R146" i="1" s="1"/>
  <c r="S146" i="1" s="1"/>
  <c r="N146" i="1"/>
  <c r="W145" i="1"/>
  <c r="S145" i="1"/>
  <c r="Q145" i="1"/>
  <c r="R145" i="1" s="1"/>
  <c r="N145" i="1"/>
  <c r="W144" i="1"/>
  <c r="Q144" i="1"/>
  <c r="R144" i="1" s="1"/>
  <c r="S144" i="1" s="1"/>
  <c r="N144" i="1"/>
  <c r="W143" i="1"/>
  <c r="S143" i="1"/>
  <c r="Q143" i="1"/>
  <c r="R143" i="1" s="1"/>
  <c r="N143" i="1"/>
  <c r="W142" i="1"/>
  <c r="Q142" i="1"/>
  <c r="R142" i="1" s="1"/>
  <c r="S142" i="1" s="1"/>
  <c r="N142" i="1"/>
  <c r="W141" i="1"/>
  <c r="Q141" i="1"/>
  <c r="R141" i="1" s="1"/>
  <c r="S141" i="1" s="1"/>
  <c r="N141" i="1"/>
  <c r="W140" i="1"/>
  <c r="Q140" i="1"/>
  <c r="R140" i="1" s="1"/>
  <c r="S140" i="1" s="1"/>
  <c r="N140" i="1"/>
  <c r="W139" i="1"/>
  <c r="S139" i="1"/>
  <c r="Q139" i="1"/>
  <c r="R139" i="1" s="1"/>
  <c r="N139" i="1"/>
  <c r="W138" i="1"/>
  <c r="Q138" i="1"/>
  <c r="R138" i="1" s="1"/>
  <c r="S138" i="1" s="1"/>
  <c r="N138" i="1"/>
  <c r="W137" i="1"/>
  <c r="S137" i="1"/>
  <c r="Q137" i="1"/>
  <c r="R137" i="1" s="1"/>
  <c r="N137" i="1"/>
  <c r="W136" i="1"/>
  <c r="Q136" i="1"/>
  <c r="R136" i="1" s="1"/>
  <c r="S136" i="1" s="1"/>
  <c r="N136" i="1"/>
  <c r="W135" i="1"/>
  <c r="Q135" i="1"/>
  <c r="R135" i="1" s="1"/>
  <c r="S135" i="1" s="1"/>
  <c r="N135" i="1"/>
  <c r="W134" i="1"/>
  <c r="Q134" i="1"/>
  <c r="R134" i="1" s="1"/>
  <c r="S134" i="1" s="1"/>
  <c r="N134" i="1"/>
  <c r="W133" i="1"/>
  <c r="Q133" i="1"/>
  <c r="R133" i="1" s="1"/>
  <c r="S133" i="1" s="1"/>
  <c r="N133" i="1"/>
  <c r="W132" i="1"/>
  <c r="Q132" i="1"/>
  <c r="R132" i="1" s="1"/>
  <c r="S132" i="1" s="1"/>
  <c r="N132" i="1"/>
  <c r="W131" i="1"/>
  <c r="Q131" i="1"/>
  <c r="R131" i="1" s="1"/>
  <c r="S131" i="1" s="1"/>
  <c r="N131" i="1"/>
  <c r="W130" i="1"/>
  <c r="Q130" i="1"/>
  <c r="R130" i="1" s="1"/>
  <c r="S130" i="1" s="1"/>
  <c r="N130" i="1"/>
  <c r="W129" i="1"/>
  <c r="Q129" i="1"/>
  <c r="R129" i="1" s="1"/>
  <c r="S129" i="1" s="1"/>
  <c r="N129" i="1"/>
  <c r="W128" i="1"/>
  <c r="Q128" i="1"/>
  <c r="R128" i="1" s="1"/>
  <c r="S128" i="1" s="1"/>
  <c r="N128" i="1"/>
  <c r="W127" i="1"/>
  <c r="Q127" i="1"/>
  <c r="R127" i="1" s="1"/>
  <c r="S127" i="1" s="1"/>
  <c r="N127" i="1"/>
  <c r="W126" i="1"/>
  <c r="Q126" i="1"/>
  <c r="R126" i="1" s="1"/>
  <c r="S126" i="1" s="1"/>
  <c r="N126" i="1"/>
  <c r="W125" i="1"/>
  <c r="Q125" i="1"/>
  <c r="R125" i="1" s="1"/>
  <c r="S125" i="1" s="1"/>
  <c r="N125" i="1"/>
  <c r="W124" i="1"/>
  <c r="Q124" i="1"/>
  <c r="R124" i="1" s="1"/>
  <c r="S124" i="1" s="1"/>
  <c r="N124" i="1"/>
  <c r="W123" i="1"/>
  <c r="Q123" i="1"/>
  <c r="R123" i="1" s="1"/>
  <c r="S123" i="1" s="1"/>
  <c r="N123" i="1"/>
  <c r="W122" i="1"/>
  <c r="Q122" i="1"/>
  <c r="R122" i="1" s="1"/>
  <c r="S122" i="1" s="1"/>
  <c r="N122" i="1"/>
  <c r="W121" i="1"/>
  <c r="Q121" i="1"/>
  <c r="R121" i="1" s="1"/>
  <c r="S121" i="1" s="1"/>
  <c r="N121" i="1"/>
  <c r="W120" i="1"/>
  <c r="Q120" i="1"/>
  <c r="R120" i="1" s="1"/>
  <c r="S120" i="1" s="1"/>
  <c r="N120" i="1"/>
  <c r="W119" i="1"/>
  <c r="Q119" i="1"/>
  <c r="R119" i="1" s="1"/>
  <c r="S119" i="1" s="1"/>
  <c r="N119" i="1"/>
  <c r="W118" i="1"/>
  <c r="R118" i="1"/>
  <c r="S118" i="1" s="1"/>
  <c r="Q118" i="1"/>
  <c r="N118" i="1"/>
  <c r="W117" i="1"/>
  <c r="Q117" i="1"/>
  <c r="R117" i="1" s="1"/>
  <c r="S117" i="1" s="1"/>
  <c r="N117" i="1"/>
  <c r="W116" i="1"/>
  <c r="S116" i="1"/>
  <c r="R116" i="1"/>
  <c r="Q116" i="1"/>
  <c r="N116" i="1"/>
  <c r="W115" i="1"/>
  <c r="R115" i="1"/>
  <c r="S115" i="1" s="1"/>
  <c r="Q115" i="1"/>
  <c r="N115" i="1"/>
  <c r="W114" i="1"/>
  <c r="S114" i="1"/>
  <c r="Q114" i="1"/>
  <c r="R114" i="1" s="1"/>
  <c r="N114" i="1"/>
  <c r="W113" i="1"/>
  <c r="S113" i="1"/>
  <c r="R113" i="1"/>
  <c r="Q113" i="1"/>
  <c r="N113" i="1"/>
  <c r="Y112" i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W112" i="1"/>
  <c r="S112" i="1"/>
  <c r="Q112" i="1"/>
  <c r="R112" i="1" s="1"/>
  <c r="N112" i="1"/>
  <c r="I112" i="1"/>
  <c r="H112" i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W111" i="1"/>
  <c r="Q111" i="1"/>
  <c r="R111" i="1" s="1"/>
  <c r="S111" i="1" s="1"/>
  <c r="N111" i="1"/>
  <c r="Z110" i="1"/>
  <c r="W110" i="1"/>
  <c r="Q110" i="1"/>
  <c r="R110" i="1" s="1"/>
  <c r="S110" i="1" s="1"/>
  <c r="N110" i="1"/>
  <c r="I110" i="1"/>
  <c r="W109" i="1"/>
  <c r="S109" i="1"/>
  <c r="R109" i="1"/>
  <c r="Q109" i="1"/>
  <c r="N109" i="1"/>
  <c r="H109" i="1"/>
  <c r="H110" i="1" s="1"/>
  <c r="H111" i="1" s="1"/>
  <c r="Y108" i="1"/>
  <c r="Y109" i="1" s="1"/>
  <c r="Y110" i="1" s="1"/>
  <c r="Y111" i="1" s="1"/>
  <c r="W108" i="1"/>
  <c r="R108" i="1"/>
  <c r="S108" i="1" s="1"/>
  <c r="Q108" i="1"/>
  <c r="N108" i="1"/>
  <c r="I108" i="1"/>
  <c r="H108" i="1"/>
  <c r="W107" i="1"/>
  <c r="R107" i="1"/>
  <c r="S107" i="1" s="1"/>
  <c r="Q107" i="1"/>
  <c r="N107" i="1"/>
  <c r="W106" i="1"/>
  <c r="R106" i="1"/>
  <c r="S106" i="1" s="1"/>
  <c r="N106" i="1"/>
  <c r="W105" i="1"/>
  <c r="R105" i="1"/>
  <c r="S105" i="1" s="1"/>
  <c r="N105" i="1"/>
  <c r="W104" i="1"/>
  <c r="S104" i="1"/>
  <c r="R104" i="1"/>
  <c r="N104" i="1"/>
  <c r="W103" i="1"/>
  <c r="R103" i="1"/>
  <c r="S103" i="1" s="1"/>
  <c r="N103" i="1"/>
  <c r="W102" i="1"/>
  <c r="R102" i="1"/>
  <c r="S102" i="1" s="1"/>
  <c r="N102" i="1"/>
  <c r="W101" i="1"/>
  <c r="S101" i="1"/>
  <c r="R101" i="1"/>
  <c r="N101" i="1"/>
  <c r="W100" i="1"/>
  <c r="S100" i="1"/>
  <c r="R100" i="1"/>
  <c r="N100" i="1"/>
  <c r="W99" i="1"/>
  <c r="S99" i="1"/>
  <c r="R99" i="1"/>
  <c r="N99" i="1"/>
  <c r="W98" i="1"/>
  <c r="R98" i="1"/>
  <c r="S98" i="1" s="1"/>
  <c r="N98" i="1"/>
  <c r="W97" i="1"/>
  <c r="R97" i="1"/>
  <c r="S97" i="1" s="1"/>
  <c r="N97" i="1"/>
  <c r="W96" i="1"/>
  <c r="S96" i="1"/>
  <c r="R96" i="1"/>
  <c r="N96" i="1"/>
  <c r="W95" i="1"/>
  <c r="R95" i="1"/>
  <c r="S95" i="1" s="1"/>
  <c r="N95" i="1"/>
  <c r="W94" i="1"/>
  <c r="R94" i="1"/>
  <c r="S94" i="1" s="1"/>
  <c r="N94" i="1"/>
  <c r="W93" i="1"/>
  <c r="R93" i="1"/>
  <c r="S93" i="1" s="1"/>
  <c r="N93" i="1"/>
  <c r="W92" i="1"/>
  <c r="R92" i="1"/>
  <c r="S92" i="1" s="1"/>
  <c r="N92" i="1"/>
  <c r="W91" i="1"/>
  <c r="S91" i="1"/>
  <c r="R91" i="1"/>
  <c r="N91" i="1"/>
  <c r="W90" i="1"/>
  <c r="S90" i="1"/>
  <c r="R90" i="1"/>
  <c r="N90" i="1"/>
  <c r="W89" i="1"/>
  <c r="S89" i="1"/>
  <c r="R89" i="1"/>
  <c r="N89" i="1"/>
  <c r="Y88" i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W88" i="1"/>
  <c r="S88" i="1"/>
  <c r="R88" i="1"/>
  <c r="N88" i="1"/>
  <c r="W87" i="1"/>
  <c r="R87" i="1"/>
  <c r="S87" i="1" s="1"/>
  <c r="N87" i="1"/>
  <c r="I87" i="1"/>
  <c r="W86" i="1"/>
  <c r="R86" i="1"/>
  <c r="S86" i="1" s="1"/>
  <c r="N86" i="1"/>
  <c r="Z85" i="1"/>
  <c r="W85" i="1"/>
  <c r="R85" i="1"/>
  <c r="S85" i="1" s="1"/>
  <c r="N85" i="1"/>
  <c r="I85" i="1"/>
  <c r="W84" i="1"/>
  <c r="R84" i="1"/>
  <c r="S84" i="1" s="1"/>
  <c r="N84" i="1"/>
  <c r="H84" i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W83" i="1"/>
  <c r="S83" i="1"/>
  <c r="R83" i="1"/>
  <c r="N83" i="1"/>
  <c r="I83" i="1"/>
  <c r="H83" i="1"/>
  <c r="Y82" i="1"/>
  <c r="Y83" i="1" s="1"/>
  <c r="Y84" i="1" s="1"/>
  <c r="Y85" i="1" s="1"/>
  <c r="Y86" i="1" s="1"/>
  <c r="Y87" i="1" s="1"/>
  <c r="W82" i="1"/>
  <c r="R82" i="1"/>
  <c r="S82" i="1" s="1"/>
  <c r="N82" i="1"/>
  <c r="H82" i="1"/>
  <c r="W81" i="1"/>
  <c r="S81" i="1"/>
  <c r="R81" i="1"/>
  <c r="Q81" i="1"/>
  <c r="N81" i="1"/>
  <c r="W80" i="1"/>
  <c r="Q80" i="1"/>
  <c r="R80" i="1" s="1"/>
  <c r="S80" i="1" s="1"/>
  <c r="N80" i="1"/>
  <c r="W79" i="1"/>
  <c r="S79" i="1"/>
  <c r="R79" i="1"/>
  <c r="Q79" i="1"/>
  <c r="N79" i="1"/>
  <c r="W78" i="1"/>
  <c r="Q78" i="1"/>
  <c r="R78" i="1" s="1"/>
  <c r="S78" i="1" s="1"/>
  <c r="N78" i="1"/>
  <c r="W77" i="1"/>
  <c r="R77" i="1"/>
  <c r="S77" i="1" s="1"/>
  <c r="Q77" i="1"/>
  <c r="N77" i="1"/>
  <c r="W76" i="1"/>
  <c r="Q76" i="1"/>
  <c r="R76" i="1" s="1"/>
  <c r="S76" i="1" s="1"/>
  <c r="N76" i="1"/>
  <c r="W75" i="1"/>
  <c r="S75" i="1"/>
  <c r="R75" i="1"/>
  <c r="Q75" i="1"/>
  <c r="N75" i="1"/>
  <c r="W74" i="1"/>
  <c r="S74" i="1"/>
  <c r="R74" i="1"/>
  <c r="Q74" i="1"/>
  <c r="N74" i="1"/>
  <c r="W73" i="1"/>
  <c r="R73" i="1"/>
  <c r="S73" i="1" s="1"/>
  <c r="Q73" i="1"/>
  <c r="N73" i="1"/>
  <c r="W72" i="1"/>
  <c r="S72" i="1"/>
  <c r="R72" i="1"/>
  <c r="Q72" i="1"/>
  <c r="N72" i="1"/>
  <c r="W71" i="1"/>
  <c r="R71" i="1"/>
  <c r="S71" i="1" s="1"/>
  <c r="Q71" i="1"/>
  <c r="N71" i="1"/>
  <c r="W70" i="1"/>
  <c r="S70" i="1"/>
  <c r="R70" i="1"/>
  <c r="Q70" i="1"/>
  <c r="N70" i="1"/>
  <c r="W69" i="1"/>
  <c r="R69" i="1"/>
  <c r="S69" i="1" s="1"/>
  <c r="Q69" i="1"/>
  <c r="N69" i="1"/>
  <c r="W68" i="1"/>
  <c r="S68" i="1"/>
  <c r="R68" i="1"/>
  <c r="Q68" i="1"/>
  <c r="N68" i="1"/>
  <c r="W67" i="1"/>
  <c r="R67" i="1"/>
  <c r="S67" i="1" s="1"/>
  <c r="Q67" i="1"/>
  <c r="N67" i="1"/>
  <c r="W66" i="1"/>
  <c r="S66" i="1"/>
  <c r="R66" i="1"/>
  <c r="Q66" i="1"/>
  <c r="N66" i="1"/>
  <c r="W65" i="1"/>
  <c r="R65" i="1"/>
  <c r="S65" i="1" s="1"/>
  <c r="Q65" i="1"/>
  <c r="N65" i="1"/>
  <c r="W64" i="1"/>
  <c r="S64" i="1"/>
  <c r="R64" i="1"/>
  <c r="Q64" i="1"/>
  <c r="N64" i="1"/>
  <c r="W63" i="1"/>
  <c r="R63" i="1"/>
  <c r="S63" i="1" s="1"/>
  <c r="Q63" i="1"/>
  <c r="N63" i="1"/>
  <c r="W62" i="1"/>
  <c r="S62" i="1"/>
  <c r="R62" i="1"/>
  <c r="Q62" i="1"/>
  <c r="N62" i="1"/>
  <c r="W61" i="1"/>
  <c r="R61" i="1"/>
  <c r="S61" i="1" s="1"/>
  <c r="Q61" i="1"/>
  <c r="N61" i="1"/>
  <c r="W60" i="1"/>
  <c r="S60" i="1"/>
  <c r="R60" i="1"/>
  <c r="Q60" i="1"/>
  <c r="N60" i="1"/>
  <c r="W59" i="1"/>
  <c r="R59" i="1"/>
  <c r="S59" i="1" s="1"/>
  <c r="Q59" i="1"/>
  <c r="N59" i="1"/>
  <c r="W58" i="1"/>
  <c r="S58" i="1"/>
  <c r="R58" i="1"/>
  <c r="Q58" i="1"/>
  <c r="N58" i="1"/>
  <c r="W57" i="1"/>
  <c r="R57" i="1"/>
  <c r="S57" i="1" s="1"/>
  <c r="Q57" i="1"/>
  <c r="N57" i="1"/>
  <c r="W56" i="1"/>
  <c r="S56" i="1"/>
  <c r="R56" i="1"/>
  <c r="Q56" i="1"/>
  <c r="N56" i="1"/>
  <c r="W55" i="1"/>
  <c r="R55" i="1"/>
  <c r="S55" i="1" s="1"/>
  <c r="Q55" i="1"/>
  <c r="N55" i="1"/>
  <c r="W54" i="1"/>
  <c r="S54" i="1"/>
  <c r="R54" i="1"/>
  <c r="Q54" i="1"/>
  <c r="N54" i="1"/>
  <c r="W53" i="1"/>
  <c r="R53" i="1"/>
  <c r="S53" i="1" s="1"/>
  <c r="Q53" i="1"/>
  <c r="N53" i="1"/>
  <c r="W52" i="1"/>
  <c r="S52" i="1"/>
  <c r="R52" i="1"/>
  <c r="Q52" i="1"/>
  <c r="N52" i="1"/>
  <c r="W51" i="1"/>
  <c r="R51" i="1"/>
  <c r="S51" i="1" s="1"/>
  <c r="Q51" i="1"/>
  <c r="N51" i="1"/>
  <c r="W50" i="1"/>
  <c r="S50" i="1"/>
  <c r="R50" i="1"/>
  <c r="Q50" i="1"/>
  <c r="N50" i="1"/>
  <c r="W49" i="1"/>
  <c r="Q49" i="1"/>
  <c r="R49" i="1" s="1"/>
  <c r="S49" i="1" s="1"/>
  <c r="N49" i="1"/>
  <c r="W48" i="1"/>
  <c r="S48" i="1"/>
  <c r="R48" i="1"/>
  <c r="Q48" i="1"/>
  <c r="N48" i="1"/>
  <c r="W47" i="1"/>
  <c r="R47" i="1"/>
  <c r="S47" i="1" s="1"/>
  <c r="Q47" i="1"/>
  <c r="N47" i="1"/>
  <c r="W46" i="1"/>
  <c r="S46" i="1"/>
  <c r="R46" i="1"/>
  <c r="Q46" i="1"/>
  <c r="N46" i="1"/>
  <c r="W45" i="1"/>
  <c r="Q45" i="1"/>
  <c r="R45" i="1" s="1"/>
  <c r="S45" i="1" s="1"/>
  <c r="N45" i="1"/>
  <c r="W44" i="1"/>
  <c r="S44" i="1"/>
  <c r="R44" i="1"/>
  <c r="Q44" i="1"/>
  <c r="N44" i="1"/>
  <c r="W43" i="1"/>
  <c r="R43" i="1"/>
  <c r="S43" i="1" s="1"/>
  <c r="Q43" i="1"/>
  <c r="N43" i="1"/>
  <c r="W42" i="1"/>
  <c r="S42" i="1"/>
  <c r="R42" i="1"/>
  <c r="Q42" i="1"/>
  <c r="N42" i="1"/>
  <c r="W41" i="1"/>
  <c r="Q41" i="1"/>
  <c r="R41" i="1" s="1"/>
  <c r="S41" i="1" s="1"/>
  <c r="N41" i="1"/>
  <c r="W40" i="1"/>
  <c r="S40" i="1"/>
  <c r="R40" i="1"/>
  <c r="Q40" i="1"/>
  <c r="N40" i="1"/>
  <c r="W39" i="1"/>
  <c r="R39" i="1"/>
  <c r="S39" i="1" s="1"/>
  <c r="Q39" i="1"/>
  <c r="N39" i="1"/>
  <c r="W38" i="1"/>
  <c r="S38" i="1"/>
  <c r="R38" i="1"/>
  <c r="Q38" i="1"/>
  <c r="N38" i="1"/>
  <c r="W37" i="1"/>
  <c r="Q37" i="1"/>
  <c r="R37" i="1" s="1"/>
  <c r="S37" i="1" s="1"/>
  <c r="N37" i="1"/>
  <c r="W36" i="1"/>
  <c r="S36" i="1"/>
  <c r="R36" i="1"/>
  <c r="Q36" i="1"/>
  <c r="N36" i="1"/>
  <c r="W35" i="1"/>
  <c r="R35" i="1"/>
  <c r="S35" i="1" s="1"/>
  <c r="Q35" i="1"/>
  <c r="N35" i="1"/>
  <c r="W34" i="1"/>
  <c r="S34" i="1"/>
  <c r="R34" i="1"/>
  <c r="Q34" i="1"/>
  <c r="N34" i="1"/>
  <c r="W33" i="1"/>
  <c r="Q33" i="1"/>
  <c r="R33" i="1" s="1"/>
  <c r="S33" i="1" s="1"/>
  <c r="N33" i="1"/>
  <c r="W32" i="1"/>
  <c r="S32" i="1"/>
  <c r="R32" i="1"/>
  <c r="Q32" i="1"/>
  <c r="N32" i="1"/>
  <c r="W31" i="1"/>
  <c r="R31" i="1"/>
  <c r="S31" i="1" s="1"/>
  <c r="Q31" i="1"/>
  <c r="N31" i="1"/>
  <c r="W30" i="1"/>
  <c r="S30" i="1"/>
  <c r="R30" i="1"/>
  <c r="Q30" i="1"/>
  <c r="N30" i="1"/>
  <c r="W29" i="1"/>
  <c r="Q29" i="1"/>
  <c r="R29" i="1" s="1"/>
  <c r="S29" i="1" s="1"/>
  <c r="N29" i="1"/>
  <c r="W28" i="1"/>
  <c r="S28" i="1"/>
  <c r="R28" i="1"/>
  <c r="Q28" i="1"/>
  <c r="N28" i="1"/>
  <c r="W27" i="1"/>
  <c r="R27" i="1"/>
  <c r="S27" i="1" s="1"/>
  <c r="Q27" i="1"/>
  <c r="N27" i="1"/>
  <c r="W26" i="1"/>
  <c r="S26" i="1"/>
  <c r="R26" i="1"/>
  <c r="Q26" i="1"/>
  <c r="N26" i="1"/>
  <c r="W25" i="1"/>
  <c r="Q25" i="1"/>
  <c r="R25" i="1" s="1"/>
  <c r="S25" i="1" s="1"/>
  <c r="N25" i="1"/>
  <c r="W24" i="1"/>
  <c r="S24" i="1"/>
  <c r="R24" i="1"/>
  <c r="Q24" i="1"/>
  <c r="N24" i="1"/>
  <c r="W23" i="1"/>
  <c r="R23" i="1"/>
  <c r="S23" i="1" s="1"/>
  <c r="Q23" i="1"/>
  <c r="N23" i="1"/>
  <c r="W22" i="1"/>
  <c r="S22" i="1"/>
  <c r="R22" i="1"/>
  <c r="Q22" i="1"/>
  <c r="N22" i="1"/>
  <c r="W21" i="1"/>
  <c r="Q21" i="1"/>
  <c r="R21" i="1" s="1"/>
  <c r="S21" i="1" s="1"/>
  <c r="N21" i="1"/>
  <c r="W20" i="1"/>
  <c r="S20" i="1"/>
  <c r="R20" i="1"/>
  <c r="Q20" i="1"/>
  <c r="N20" i="1"/>
  <c r="W19" i="1"/>
  <c r="R19" i="1"/>
  <c r="S19" i="1" s="1"/>
  <c r="Q19" i="1"/>
  <c r="N19" i="1"/>
  <c r="W18" i="1"/>
  <c r="S18" i="1"/>
  <c r="R18" i="1"/>
  <c r="Q18" i="1"/>
  <c r="N18" i="1"/>
  <c r="W17" i="1"/>
  <c r="R17" i="1"/>
  <c r="S17" i="1" s="1"/>
  <c r="Q17" i="1"/>
  <c r="N17" i="1"/>
  <c r="W16" i="1"/>
  <c r="Q16" i="1"/>
  <c r="R16" i="1" s="1"/>
  <c r="S16" i="1" s="1"/>
  <c r="N16" i="1"/>
  <c r="W15" i="1"/>
  <c r="S15" i="1"/>
  <c r="R15" i="1"/>
  <c r="Q15" i="1"/>
  <c r="N15" i="1"/>
  <c r="W14" i="1"/>
  <c r="R14" i="1"/>
  <c r="S14" i="1" s="1"/>
  <c r="N14" i="1"/>
  <c r="W13" i="1"/>
  <c r="R13" i="1"/>
  <c r="S13" i="1" s="1"/>
  <c r="N13" i="1"/>
  <c r="W12" i="1"/>
  <c r="S12" i="1"/>
  <c r="R12" i="1"/>
  <c r="N12" i="1"/>
  <c r="W11" i="1"/>
  <c r="S11" i="1"/>
  <c r="R11" i="1"/>
  <c r="N11" i="1"/>
  <c r="I11" i="1"/>
  <c r="W10" i="1"/>
  <c r="S10" i="1"/>
  <c r="R10" i="1"/>
  <c r="N10" i="1"/>
  <c r="Z9" i="1"/>
  <c r="W9" i="1"/>
  <c r="S9" i="1"/>
  <c r="R9" i="1"/>
  <c r="N9" i="1"/>
  <c r="I9" i="1"/>
  <c r="W8" i="1"/>
  <c r="R8" i="1"/>
  <c r="S8" i="1" s="1"/>
  <c r="N8" i="1"/>
  <c r="K8" i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W7" i="1"/>
  <c r="S7" i="1"/>
  <c r="T7" i="1" s="1"/>
  <c r="R7" i="1"/>
  <c r="N7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K7" i="1"/>
  <c r="I7" i="1"/>
  <c r="X6" i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W6" i="1"/>
  <c r="S6" i="1"/>
  <c r="R6" i="1"/>
  <c r="N6" i="1"/>
  <c r="M6" i="1"/>
  <c r="K6" i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T303" i="2" l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19" i="2" s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34" i="2" s="1"/>
  <c r="T335" i="2" s="1"/>
  <c r="T336" i="2" s="1"/>
  <c r="T8" i="2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U15" i="1"/>
  <c r="U17" i="1"/>
  <c r="T8" i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302" i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1" s="1"/>
  <c r="T320" i="1" s="1"/>
  <c r="T321" i="1" s="1"/>
  <c r="T322" i="1" s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T336" i="1" s="1"/>
  <c r="U15" i="2" l="1"/>
  <c r="T83" i="2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U17" i="2"/>
  <c r="U91" i="1"/>
  <c r="T83" i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U89" i="2" l="1"/>
  <c r="U93" i="2"/>
  <c r="U91" i="2"/>
  <c r="T108" i="2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U93" i="1"/>
  <c r="T108" i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U89" i="1"/>
  <c r="U114" i="2" l="1"/>
  <c r="U116" i="2"/>
  <c r="U118" i="2"/>
  <c r="U120" i="2" s="1"/>
  <c r="T215" i="2"/>
  <c r="U118" i="1"/>
  <c r="U114" i="1"/>
  <c r="U116" i="1"/>
  <c r="T216" i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16" i="2" l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U226" i="1"/>
  <c r="U222" i="1"/>
  <c r="T237" i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U224" i="1"/>
  <c r="U226" i="2" l="1"/>
  <c r="U228" i="2" s="1"/>
  <c r="T236" i="2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U224" i="2"/>
  <c r="U222" i="2"/>
  <c r="T262" i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U247" i="1"/>
  <c r="U245" i="1"/>
  <c r="U243" i="1"/>
  <c r="U247" i="2" l="1"/>
  <c r="U249" i="2" s="1"/>
  <c r="U245" i="2"/>
  <c r="U243" i="2"/>
  <c r="T261" i="2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2" i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U268" i="1"/>
  <c r="U272" i="1"/>
  <c r="U270" i="1"/>
  <c r="T281" i="2" l="1"/>
  <c r="T282" i="2" s="1"/>
  <c r="T283" i="2" s="1"/>
  <c r="T284" i="2" s="1"/>
  <c r="T285" i="2" s="1"/>
  <c r="T286" i="2" s="1"/>
  <c r="U268" i="2"/>
  <c r="U270" i="2"/>
  <c r="U272" i="2"/>
  <c r="U274" i="2" s="1"/>
  <c r="U290" i="1"/>
  <c r="U292" i="1"/>
  <c r="U290" i="2" l="1"/>
  <c r="U292" i="2"/>
  <c r="U294" i="2" s="1"/>
</calcChain>
</file>

<file path=xl/sharedStrings.xml><?xml version="1.0" encoding="utf-8"?>
<sst xmlns="http://schemas.openxmlformats.org/spreadsheetml/2006/main" count="328" uniqueCount="58">
  <si>
    <t>TEMPERATURE</t>
  </si>
  <si>
    <t>ETAT HYDRIQUE</t>
  </si>
  <si>
    <t>RAYONNEMENT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</si>
  <si>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</si>
  <si>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</si>
  <si>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</si>
  <si>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</si>
  <si>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</si>
  <si>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</si>
  <si>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</si>
  <si>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</si>
  <si>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</si>
  <si>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 (mm)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</si>
  <si>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</si>
  <si>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</si>
  <si>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</si>
  <si>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</si>
  <si>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</si>
  <si>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</si>
  <si>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</si>
  <si>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</si>
  <si>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</si>
  <si>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</si>
  <si>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</si>
  <si>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SEMIS RAGT14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</si>
  <si>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</si>
  <si>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</si>
  <si>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</si>
  <si>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</si>
  <si>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</si>
  <si>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</si>
  <si>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</si>
  <si>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</si>
  <si>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</si>
  <si>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</si>
  <si>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</si>
  <si>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</si>
  <si>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</si>
  <si>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</si>
  <si>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</si>
  <si>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</si>
  <si>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</si>
  <si>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</si>
  <si>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</si>
  <si>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</si>
  <si>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</si>
  <si>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</si>
  <si>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</si>
  <si>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RECOLTE</t>
  </si>
  <si>
    <t>N30</t>
  </si>
  <si>
    <t>N20</t>
  </si>
  <si>
    <t>N120</t>
  </si>
  <si>
    <t>N50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</si>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</sst>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color rgb="FFFFFF00"/>
      <name val="Calibri"/>
      <family val="2"/>
    </font>
    <font>
      <b/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DAEEF3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EEECE1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7964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applyFill="1" applyAlignme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center" vertical="center"/>
    </xf>
    <xf numFmtId="14" fontId="4" fillId="4" borderId="0" xfId="0" applyNumberFormat="1" applyFont="1" applyFill="1" applyBorder="1"/>
    <xf numFmtId="0" fontId="4" fillId="5" borderId="0" xfId="0" applyFont="1" applyFill="1" applyBorder="1"/>
    <xf numFmtId="0" fontId="5" fillId="3" borderId="0" xfId="0" applyFont="1" applyFill="1" applyBorder="1"/>
    <xf numFmtId="0" fontId="4" fillId="6" borderId="0" xfId="0" applyFont="1" applyFill="1" applyBorder="1"/>
    <xf numFmtId="164" fontId="4" fillId="0" borderId="0" xfId="0" applyNumberFormat="1" applyFont="1" applyFill="1" applyBorder="1"/>
    <xf numFmtId="0" fontId="4" fillId="7" borderId="0" xfId="0" applyFont="1" applyFill="1" applyBorder="1"/>
    <xf numFmtId="2" fontId="4" fillId="0" borderId="0" xfId="0" applyNumberFormat="1" applyFont="1" applyFill="1" applyBorder="1"/>
    <xf numFmtId="0" fontId="4" fillId="8" borderId="0" xfId="0" applyFont="1" applyFill="1" applyBorder="1"/>
    <xf numFmtId="0" fontId="5" fillId="9" borderId="0" xfId="0" applyFont="1" applyFill="1" applyBorder="1" applyAlignment="1">
      <alignment horizontal="center" vertical="center"/>
    </xf>
    <xf numFmtId="0" fontId="4" fillId="10" borderId="0" xfId="0" applyFont="1" applyFill="1" applyBorder="1"/>
    <xf numFmtId="0" fontId="5" fillId="11" borderId="0" xfId="0" applyFont="1" applyFill="1" applyBorder="1"/>
    <xf numFmtId="0" fontId="4" fillId="12" borderId="0" xfId="0" applyFont="1" applyFill="1" applyBorder="1"/>
    <xf numFmtId="0" fontId="5" fillId="13" borderId="0" xfId="0" applyFont="1" applyFill="1" applyBorder="1"/>
    <xf numFmtId="14" fontId="4" fillId="14" borderId="0" xfId="0" applyNumberFormat="1" applyFont="1" applyFill="1" applyBorder="1"/>
    <xf numFmtId="0" fontId="4" fillId="14" borderId="0" xfId="0" applyFont="1" applyFill="1" applyBorder="1"/>
    <xf numFmtId="0" fontId="7" fillId="0" borderId="0" xfId="0" applyFont="1" applyFill="1" applyBorder="1" applyAlignment="1">
      <alignment horizontal="center" vertical="center"/>
    </xf>
    <xf numFmtId="14" fontId="8" fillId="4" borderId="0" xfId="0" applyNumberFormat="1" applyFont="1" applyFill="1" applyBorder="1"/>
    <xf numFmtId="0" fontId="8" fillId="0" borderId="0" xfId="0" applyFont="1" applyFill="1" applyBorder="1"/>
    <xf numFmtId="0" fontId="8" fillId="8" borderId="0" xfId="0" applyFont="1" applyFill="1" applyBorder="1"/>
    <xf numFmtId="164" fontId="8" fillId="0" borderId="0" xfId="0" applyNumberFormat="1" applyFont="1" applyFill="1" applyBorder="1"/>
    <xf numFmtId="0" fontId="8" fillId="7" borderId="0" xfId="0" applyFont="1" applyFill="1" applyBorder="1"/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/>
    <xf numFmtId="0" fontId="4" fillId="15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/>
    <xf numFmtId="0" fontId="9" fillId="0" borderId="0" xfId="0" applyFont="1" applyFill="1" applyBorder="1"/>
    <xf numFmtId="0" fontId="5" fillId="15" borderId="0" xfId="0" applyFont="1" applyFill="1" applyBorder="1"/>
    <xf numFmtId="0" fontId="5" fillId="5" borderId="0" xfId="0" applyFont="1" applyFill="1" applyBorder="1"/>
    <xf numFmtId="0" fontId="8" fillId="0" borderId="0" xfId="0" applyFont="1" applyFill="1" applyBorder="1" applyAlignment="1">
      <alignment horizontal="center" vertical="center"/>
    </xf>
    <xf numFmtId="0" fontId="5" fillId="16" borderId="0" xfId="0" applyFont="1" applyFill="1" applyBorder="1"/>
    <xf numFmtId="0" fontId="5" fillId="17" borderId="0" xfId="0" applyFont="1" applyFill="1" applyBorder="1"/>
    <xf numFmtId="0" fontId="4" fillId="3" borderId="0" xfId="0" applyFont="1" applyFill="1" applyBorder="1"/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 wrapText="1"/>
    </xf>
    <xf numFmtId="0" fontId="8" fillId="0" borderId="0" xfId="0" applyFont="1" applyFill="1" applyBorder="1" applyAlignment="1"/>
    <xf numFmtId="0" fontId="8" fillId="15" borderId="0" xfId="0" applyFont="1" applyFill="1" applyBorder="1" applyAlignment="1">
      <alignment horizontal="center" vertical="center"/>
    </xf>
    <xf numFmtId="2" fontId="8" fillId="0" borderId="0" xfId="0" applyNumberFormat="1" applyFont="1" applyFill="1" applyBorder="1"/>
    <xf numFmtId="0" fontId="8" fillId="6" borderId="0" xfId="0" applyFont="1" applyFill="1" applyBorder="1"/>
    <xf numFmtId="0" fontId="8" fillId="0" borderId="0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164" fontId="11" fillId="0" borderId="0" xfId="0" applyNumberFormat="1" applyFont="1" applyFill="1" applyBorder="1"/>
    <xf numFmtId="0" fontId="6" fillId="0" borderId="1" xfId="0" applyFont="1" applyFill="1" applyBorder="1" applyAlignment="1">
      <alignment horizontal="center" vertical="center" wrapText="1"/>
    </xf>
    <xf numFmtId="14" fontId="6" fillId="4" borderId="1" xfId="0" applyNumberFormat="1" applyFont="1" applyFill="1" applyBorder="1"/>
    <xf numFmtId="0" fontId="6" fillId="0" borderId="1" xfId="0" applyFont="1" applyFill="1" applyBorder="1"/>
    <xf numFmtId="0" fontId="6" fillId="3" borderId="1" xfId="0" applyFont="1" applyFill="1" applyBorder="1"/>
    <xf numFmtId="2" fontId="11" fillId="0" borderId="1" xfId="0" applyNumberFormat="1" applyFont="1" applyFill="1" applyBorder="1"/>
    <xf numFmtId="164" fontId="6" fillId="0" borderId="1" xfId="0" applyNumberFormat="1" applyFont="1" applyFill="1" applyBorder="1"/>
    <xf numFmtId="164" fontId="11" fillId="0" borderId="1" xfId="0" applyNumberFormat="1" applyFont="1" applyFill="1" applyBorder="1"/>
    <xf numFmtId="0" fontId="11" fillId="0" borderId="1" xfId="0" applyFont="1" applyFill="1" applyBorder="1"/>
    <xf numFmtId="0" fontId="6" fillId="0" borderId="1" xfId="0" applyFont="1" applyFill="1" applyBorder="1" applyAlignment="1">
      <alignment horizontal="center" vertical="center"/>
    </xf>
    <xf numFmtId="0" fontId="6" fillId="6" borderId="1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/>
    <xf numFmtId="0" fontId="5" fillId="9" borderId="1" xfId="0" applyFont="1" applyFill="1" applyBorder="1" applyAlignment="1">
      <alignment horizontal="center" vertical="center"/>
    </xf>
    <xf numFmtId="14" fontId="6" fillId="8" borderId="1" xfId="0" applyNumberFormat="1" applyFont="1" applyFill="1" applyBorder="1"/>
    <xf numFmtId="0" fontId="6" fillId="8" borderId="1" xfId="0" applyFont="1" applyFill="1" applyBorder="1"/>
    <xf numFmtId="0" fontId="6" fillId="7" borderId="1" xfId="0" applyFont="1" applyFill="1" applyBorder="1"/>
    <xf numFmtId="0" fontId="11" fillId="10" borderId="1" xfId="0" applyFont="1" applyFill="1" applyBorder="1"/>
    <xf numFmtId="0" fontId="5" fillId="0" borderId="1" xfId="0" applyFont="1" applyFill="1" applyBorder="1" applyAlignment="1">
      <alignment horizontal="center" vertical="center"/>
    </xf>
    <xf numFmtId="14" fontId="6" fillId="0" borderId="1" xfId="0" applyNumberFormat="1" applyFont="1" applyFill="1" applyBorder="1"/>
    <xf numFmtId="0" fontId="3" fillId="2" borderId="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0" fillId="18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 vertical="center" textRotation="255"/>
    </xf>
    <xf numFmtId="0" fontId="5" fillId="11" borderId="0" xfId="0" applyFont="1" applyFill="1" applyBorder="1" applyAlignment="1">
      <alignment horizontal="center" vertical="center" textRotation="255"/>
    </xf>
    <xf numFmtId="0" fontId="5" fillId="13" borderId="0" xfId="0" applyFont="1" applyFill="1" applyBorder="1" applyAlignment="1">
      <alignment horizontal="center" vertical="center" textRotation="255"/>
    </xf>
    <xf numFmtId="0" fontId="5" fillId="5" borderId="0" xfId="0" applyFont="1" applyFill="1" applyBorder="1" applyAlignment="1">
      <alignment horizontal="center" vertical="center" textRotation="255"/>
    </xf>
    <xf numFmtId="0" fontId="5" fillId="16" borderId="0" xfId="0" applyFont="1" applyFill="1" applyBorder="1" applyAlignment="1">
      <alignment horizontal="center" vertical="center" textRotation="255"/>
    </xf>
    <xf numFmtId="0" fontId="5" fillId="17" borderId="0" xfId="0" applyFont="1" applyFill="1" applyBorder="1" applyAlignment="1">
      <alignment horizontal="center" vertical="center" textRotation="255"/>
    </xf>
    <xf numFmtId="0" fontId="5" fillId="19" borderId="0" xfId="0" applyFont="1" applyFill="1" applyBorder="1" applyAlignment="1">
      <alignment horizontal="center" vertical="center"/>
    </xf>
    <xf numFmtId="14" fontId="4" fillId="20" borderId="0" xfId="0" applyNumberFormat="1" applyFont="1" applyFill="1" applyBorder="1"/>
    <xf numFmtId="0" fontId="4" fillId="19" borderId="0" xfId="0" applyFont="1" applyFill="1" applyBorder="1"/>
    <xf numFmtId="0" fontId="4" fillId="20" borderId="0" xfId="0" applyFont="1" applyFill="1" applyBorder="1"/>
    <xf numFmtId="2" fontId="4" fillId="19" borderId="0" xfId="0" applyNumberFormat="1" applyFont="1" applyFill="1" applyBorder="1"/>
    <xf numFmtId="164" fontId="4" fillId="19" borderId="0" xfId="0" applyNumberFormat="1" applyFont="1" applyFill="1" applyBorder="1"/>
    <xf numFmtId="0" fontId="6" fillId="19" borderId="1" xfId="0" applyFont="1" applyFill="1" applyBorder="1" applyAlignment="1">
      <alignment horizontal="center" vertical="center"/>
    </xf>
    <xf numFmtId="14" fontId="6" fillId="20" borderId="1" xfId="0" applyNumberFormat="1" applyFont="1" applyFill="1" applyBorder="1"/>
    <xf numFmtId="0" fontId="6" fillId="19" borderId="1" xfId="0" applyFont="1" applyFill="1" applyBorder="1"/>
    <xf numFmtId="0" fontId="6" fillId="20" borderId="1" xfId="0" applyFont="1" applyFill="1" applyBorder="1"/>
    <xf numFmtId="2" fontId="11" fillId="19" borderId="1" xfId="0" applyNumberFormat="1" applyFont="1" applyFill="1" applyBorder="1"/>
    <xf numFmtId="164" fontId="6" fillId="19" borderId="1" xfId="0" applyNumberFormat="1" applyFont="1" applyFill="1" applyBorder="1"/>
    <xf numFmtId="0" fontId="4" fillId="19" borderId="0" xfId="0" applyFont="1" applyFill="1" applyBorder="1" applyAlignment="1">
      <alignment horizontal="center" vertical="center"/>
    </xf>
    <xf numFmtId="0" fontId="11" fillId="0" borderId="0" xfId="0" applyFont="1" applyFill="1" applyBorder="1"/>
    <xf numFmtId="0" fontId="4" fillId="21" borderId="0" xfId="0" applyFont="1" applyFill="1" applyBorder="1"/>
    <xf numFmtId="0" fontId="8" fillId="21" borderId="0" xfId="0" applyFont="1" applyFill="1" applyBorder="1"/>
    <xf numFmtId="164" fontId="4" fillId="21" borderId="0" xfId="0" applyNumberFormat="1" applyFont="1" applyFill="1" applyBorder="1"/>
    <xf numFmtId="164" fontId="8" fillId="21" borderId="0" xfId="0" applyNumberFormat="1" applyFont="1" applyFill="1" applyBorder="1"/>
    <xf numFmtId="0" fontId="6" fillId="21" borderId="1" xfId="0" applyFont="1" applyFill="1" applyBorder="1"/>
    <xf numFmtId="164" fontId="11" fillId="21" borderId="1" xfId="0" applyNumberFormat="1" applyFont="1" applyFill="1" applyBorder="1"/>
  </cellXfs>
  <cellStyles count="1">
    <cellStyle name="Normal" xfId="0" builtinId="0"/>
  </cellStyles>
  <dxfs count="10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M337"/>
  <sheetViews>
    <sheetView topLeftCell="F183" zoomScale="80" zoomScaleNormal="80" workbookViewId="0">
      <selection activeCell="AD204" sqref="AD204"/>
    </sheetView>
  </sheetViews>
  <sheetFormatPr baseColWidth="10" defaultRowHeight="15" x14ac:dyDescent="0.25"/>
  <sheetData>
    <row r="1" spans="1:27" x14ac:dyDescent="0.25">
      <c r="B1" s="1"/>
      <c r="D1" s="67" t="s">
        <v>0</v>
      </c>
      <c r="E1" s="67"/>
      <c r="F1" s="67"/>
      <c r="G1" s="67"/>
      <c r="H1" s="67"/>
      <c r="I1" s="67"/>
      <c r="J1" s="67" t="s">
        <v>1</v>
      </c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 t="s">
        <v>2</v>
      </c>
      <c r="W1" s="67"/>
      <c r="X1" s="67"/>
      <c r="Y1" s="67"/>
      <c r="Z1" s="67"/>
    </row>
    <row r="2" spans="1:27" x14ac:dyDescent="0.25">
      <c r="B2" s="1"/>
      <c r="C2" s="2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7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7" x14ac:dyDescent="0.25">
      <c r="A4" t="s">
        <v>3</v>
      </c>
      <c r="B4" s="1">
        <v>5</v>
      </c>
      <c r="C4" t="s">
        <v>4</v>
      </c>
      <c r="D4" t="s">
        <v>5</v>
      </c>
      <c r="E4" t="s">
        <v>6</v>
      </c>
      <c r="F4" t="s">
        <v>7</v>
      </c>
      <c r="G4" s="68" t="s">
        <v>8</v>
      </c>
      <c r="H4" s="68"/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9</v>
      </c>
      <c r="V4" t="s">
        <v>21</v>
      </c>
      <c r="W4" t="s">
        <v>22</v>
      </c>
      <c r="X4" s="68" t="s">
        <v>23</v>
      </c>
      <c r="Y4" s="68"/>
      <c r="Z4" t="s">
        <v>9</v>
      </c>
    </row>
    <row r="5" spans="1:27" s="4" customFormat="1" x14ac:dyDescent="0.25">
      <c r="A5" s="66" t="s">
        <v>24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7" s="4" customFormat="1" ht="15" customHeight="1" x14ac:dyDescent="0.25">
      <c r="A6" s="70" t="s">
        <v>25</v>
      </c>
      <c r="B6" s="5"/>
      <c r="C6" s="6">
        <v>41522</v>
      </c>
      <c r="D6" s="4">
        <v>23.7</v>
      </c>
      <c r="E6" s="4">
        <v>17</v>
      </c>
      <c r="F6" s="7">
        <v>31.2</v>
      </c>
      <c r="G6" s="4">
        <f>D6</f>
        <v>23.7</v>
      </c>
      <c r="I6" s="8" t="s">
        <v>26</v>
      </c>
      <c r="J6" s="4">
        <v>0</v>
      </c>
      <c r="K6" s="4">
        <f>J6</f>
        <v>0</v>
      </c>
      <c r="L6" s="4">
        <v>5.5</v>
      </c>
      <c r="M6" s="4">
        <f>L6</f>
        <v>5.5</v>
      </c>
      <c r="N6" s="9">
        <f>J6-L6</f>
        <v>-5.5</v>
      </c>
      <c r="O6" s="4">
        <v>0</v>
      </c>
      <c r="P6" s="4">
        <v>1</v>
      </c>
      <c r="Q6" s="4">
        <v>0.35</v>
      </c>
      <c r="R6" s="10">
        <f t="shared" ref="R6:R69" si="0">Q6*L6</f>
        <v>1.9249999999999998</v>
      </c>
      <c r="S6" s="10">
        <f t="shared" ref="S6:S69" si="1">J6-R6</f>
        <v>-1.9249999999999998</v>
      </c>
      <c r="T6" s="4">
        <v>0</v>
      </c>
      <c r="U6" s="8" t="s">
        <v>27</v>
      </c>
      <c r="V6" s="4">
        <v>2221.9</v>
      </c>
      <c r="W6" s="4">
        <f t="shared" ref="W6:W69" si="2">V6/D6</f>
        <v>93.751054852320678</v>
      </c>
      <c r="X6" s="4">
        <f>V6</f>
        <v>2221.9</v>
      </c>
      <c r="Z6" s="8" t="s">
        <v>28</v>
      </c>
      <c r="AA6" s="4">
        <v>13.349400769242999</v>
      </c>
    </row>
    <row r="7" spans="1:27" s="4" customFormat="1" x14ac:dyDescent="0.25">
      <c r="A7" s="70"/>
      <c r="B7" s="5"/>
      <c r="C7" s="6">
        <v>41523</v>
      </c>
      <c r="D7" s="4">
        <v>17.399999999999999</v>
      </c>
      <c r="E7" s="4">
        <v>15.3</v>
      </c>
      <c r="F7" s="4">
        <v>20</v>
      </c>
      <c r="G7" s="4">
        <f>G6+D7</f>
        <v>41.099999999999994</v>
      </c>
      <c r="I7" s="4">
        <f>MIN(E6:E81)</f>
        <v>0.5</v>
      </c>
      <c r="J7" s="4">
        <v>2.2000000000000002</v>
      </c>
      <c r="K7" s="4">
        <f>K6+J7</f>
        <v>2.2000000000000002</v>
      </c>
      <c r="L7" s="4">
        <v>1.7</v>
      </c>
      <c r="M7" s="4">
        <f>M6+L7</f>
        <v>7.2</v>
      </c>
      <c r="N7" s="4">
        <f t="shared" ref="N7:N70" si="3">J7-L7</f>
        <v>0.50000000000000022</v>
      </c>
      <c r="O7" s="4">
        <v>0.50000000000000022</v>
      </c>
      <c r="P7" s="4">
        <v>2</v>
      </c>
      <c r="Q7" s="4">
        <v>0.35</v>
      </c>
      <c r="R7" s="10">
        <f t="shared" si="0"/>
        <v>0.59499999999999997</v>
      </c>
      <c r="S7" s="10">
        <f t="shared" si="1"/>
        <v>1.6050000000000002</v>
      </c>
      <c r="T7" s="10">
        <f>MIN(153.6,(T6+S7))</f>
        <v>1.6050000000000002</v>
      </c>
      <c r="U7" s="4">
        <v>37</v>
      </c>
      <c r="V7" s="11">
        <v>723.7</v>
      </c>
      <c r="W7" s="4">
        <f t="shared" si="2"/>
        <v>41.59195402298851</v>
      </c>
      <c r="X7" s="4">
        <f>X6+V7</f>
        <v>2945.6000000000004</v>
      </c>
      <c r="Z7" s="4">
        <v>49166.80000000001</v>
      </c>
      <c r="AA7" s="4">
        <v>13.2871946120391</v>
      </c>
    </row>
    <row r="8" spans="1:27" s="4" customFormat="1" x14ac:dyDescent="0.25">
      <c r="A8" s="70"/>
      <c r="B8" s="5"/>
      <c r="C8" s="6">
        <v>41524</v>
      </c>
      <c r="D8" s="4">
        <v>16.399999999999999</v>
      </c>
      <c r="E8" s="4">
        <v>13.9</v>
      </c>
      <c r="F8" s="4">
        <v>19.8</v>
      </c>
      <c r="G8" s="4">
        <f t="shared" ref="G8:G71" si="4">G7+D8</f>
        <v>57.499999999999993</v>
      </c>
      <c r="I8" s="8" t="s">
        <v>29</v>
      </c>
      <c r="J8" s="4">
        <v>0.4</v>
      </c>
      <c r="K8" s="4">
        <f t="shared" ref="K8:K71" si="5">K7+J8</f>
        <v>2.6</v>
      </c>
      <c r="L8" s="4">
        <v>3.2</v>
      </c>
      <c r="M8" s="4">
        <f t="shared" ref="M8:M71" si="6">M7+L8</f>
        <v>10.4</v>
      </c>
      <c r="N8" s="9">
        <f t="shared" si="3"/>
        <v>-2.8000000000000003</v>
      </c>
      <c r="O8" s="4">
        <v>0</v>
      </c>
      <c r="P8" s="4">
        <v>3</v>
      </c>
      <c r="Q8" s="4">
        <v>0.35</v>
      </c>
      <c r="R8" s="10">
        <f t="shared" si="0"/>
        <v>1.1199999999999999</v>
      </c>
      <c r="S8" s="10">
        <f t="shared" si="1"/>
        <v>-0.71999999999999986</v>
      </c>
      <c r="T8" s="10">
        <f t="shared" ref="T8:T71" si="7">MIN(153.6,(T7+S8))</f>
        <v>0.88500000000000034</v>
      </c>
      <c r="U8" s="8" t="s">
        <v>30</v>
      </c>
      <c r="V8" s="4">
        <v>1425.8</v>
      </c>
      <c r="W8" s="4">
        <f t="shared" si="2"/>
        <v>86.939024390243901</v>
      </c>
      <c r="X8" s="4">
        <f t="shared" ref="X8:X71" si="8">X7+V8</f>
        <v>4371.4000000000005</v>
      </c>
      <c r="Z8" s="8" t="s">
        <v>31</v>
      </c>
      <c r="AA8" s="4">
        <v>13.2248683582546</v>
      </c>
    </row>
    <row r="9" spans="1:27" s="4" customFormat="1" x14ac:dyDescent="0.25">
      <c r="A9" s="70"/>
      <c r="B9" s="5"/>
      <c r="C9" s="6">
        <v>41525</v>
      </c>
      <c r="D9" s="4">
        <v>14.4</v>
      </c>
      <c r="E9" s="4">
        <v>11.8</v>
      </c>
      <c r="F9" s="4">
        <v>20.2</v>
      </c>
      <c r="G9" s="4">
        <f t="shared" si="4"/>
        <v>71.899999999999991</v>
      </c>
      <c r="I9" s="4">
        <f>MAX(F6:F81)</f>
        <v>31.2</v>
      </c>
      <c r="J9" s="4">
        <v>5.9</v>
      </c>
      <c r="K9" s="4">
        <f t="shared" si="5"/>
        <v>8.5</v>
      </c>
      <c r="L9" s="4">
        <v>3.1</v>
      </c>
      <c r="M9" s="4">
        <f t="shared" si="6"/>
        <v>13.5</v>
      </c>
      <c r="N9" s="4">
        <f t="shared" si="3"/>
        <v>2.8000000000000003</v>
      </c>
      <c r="O9" s="4">
        <v>2.8000000000000003</v>
      </c>
      <c r="P9" s="4">
        <v>4</v>
      </c>
      <c r="Q9" s="4">
        <v>0.35</v>
      </c>
      <c r="R9" s="10">
        <f t="shared" si="0"/>
        <v>1.085</v>
      </c>
      <c r="S9" s="10">
        <f t="shared" si="1"/>
        <v>4.8150000000000004</v>
      </c>
      <c r="T9" s="10">
        <f t="shared" si="7"/>
        <v>5.7000000000000011</v>
      </c>
      <c r="U9" s="4">
        <v>1</v>
      </c>
      <c r="V9" s="4">
        <v>1435</v>
      </c>
      <c r="W9" s="4">
        <f t="shared" si="2"/>
        <v>99.652777777777771</v>
      </c>
      <c r="X9" s="4">
        <f t="shared" si="8"/>
        <v>5806.4000000000005</v>
      </c>
      <c r="Z9" s="12">
        <f>(Z7/100)/I19</f>
        <v>0.52618578767123303</v>
      </c>
      <c r="AA9" s="4">
        <v>13.162429435301499</v>
      </c>
    </row>
    <row r="10" spans="1:27" s="4" customFormat="1" x14ac:dyDescent="0.25">
      <c r="A10" s="70"/>
      <c r="B10" s="5"/>
      <c r="C10" s="6">
        <v>41526</v>
      </c>
      <c r="D10" s="4">
        <v>12.3</v>
      </c>
      <c r="E10" s="4">
        <v>10</v>
      </c>
      <c r="F10" s="4">
        <v>16.100000000000001</v>
      </c>
      <c r="G10" s="4">
        <f t="shared" si="4"/>
        <v>84.199999999999989</v>
      </c>
      <c r="I10" s="8" t="s">
        <v>32</v>
      </c>
      <c r="J10" s="4">
        <v>7.4</v>
      </c>
      <c r="K10" s="4">
        <f t="shared" si="5"/>
        <v>15.9</v>
      </c>
      <c r="L10" s="4">
        <v>1.4</v>
      </c>
      <c r="M10" s="4">
        <f t="shared" si="6"/>
        <v>14.9</v>
      </c>
      <c r="N10" s="4">
        <f t="shared" si="3"/>
        <v>6</v>
      </c>
      <c r="O10" s="4">
        <v>8.8000000000000007</v>
      </c>
      <c r="P10" s="4">
        <v>5</v>
      </c>
      <c r="Q10" s="4">
        <v>0.35</v>
      </c>
      <c r="R10" s="10">
        <f t="shared" si="0"/>
        <v>0.48999999999999994</v>
      </c>
      <c r="S10" s="10">
        <f t="shared" si="1"/>
        <v>6.91</v>
      </c>
      <c r="T10" s="10">
        <f t="shared" si="7"/>
        <v>12.610000000000001</v>
      </c>
      <c r="U10" s="8" t="s">
        <v>33</v>
      </c>
      <c r="V10" s="11">
        <v>405.6</v>
      </c>
      <c r="W10" s="4">
        <f t="shared" si="2"/>
        <v>32.975609756097562</v>
      </c>
      <c r="X10" s="4">
        <f t="shared" si="8"/>
        <v>6212.0000000000009</v>
      </c>
      <c r="Z10" s="8" t="s">
        <v>34</v>
      </c>
      <c r="AA10" s="4">
        <v>13.099884997988401</v>
      </c>
    </row>
    <row r="11" spans="1:27" s="4" customFormat="1" x14ac:dyDescent="0.25">
      <c r="A11" s="70"/>
      <c r="B11" s="5"/>
      <c r="C11" s="6">
        <v>41527</v>
      </c>
      <c r="D11" s="4">
        <v>11.6</v>
      </c>
      <c r="E11" s="4">
        <v>8.9</v>
      </c>
      <c r="F11" s="4">
        <v>14.1</v>
      </c>
      <c r="G11" s="4">
        <f t="shared" si="4"/>
        <v>95.799999999999983</v>
      </c>
      <c r="I11" s="10">
        <f>AVERAGE(D6:D81)</f>
        <v>12.294736842105266</v>
      </c>
      <c r="J11" s="4">
        <v>12.3</v>
      </c>
      <c r="K11" s="4">
        <f t="shared" si="5"/>
        <v>28.200000000000003</v>
      </c>
      <c r="L11" s="4">
        <v>0.9</v>
      </c>
      <c r="M11" s="4">
        <f t="shared" si="6"/>
        <v>15.8</v>
      </c>
      <c r="N11" s="4">
        <f t="shared" si="3"/>
        <v>11.4</v>
      </c>
      <c r="O11" s="4">
        <v>20.200000000000003</v>
      </c>
      <c r="P11" s="4">
        <v>6</v>
      </c>
      <c r="Q11" s="4">
        <v>0.35</v>
      </c>
      <c r="R11" s="10">
        <f t="shared" si="0"/>
        <v>0.315</v>
      </c>
      <c r="S11" s="10">
        <f t="shared" si="1"/>
        <v>11.985000000000001</v>
      </c>
      <c r="T11" s="10">
        <f t="shared" si="7"/>
        <v>24.595000000000002</v>
      </c>
      <c r="U11" s="4">
        <v>20</v>
      </c>
      <c r="V11" s="11">
        <v>398.7</v>
      </c>
      <c r="W11" s="4">
        <f t="shared" si="2"/>
        <v>34.370689655172413</v>
      </c>
      <c r="X11" s="4">
        <f t="shared" si="8"/>
        <v>6610.7000000000007</v>
      </c>
      <c r="Z11" s="4">
        <v>56</v>
      </c>
      <c r="AA11" s="4">
        <v>13.0372419462499</v>
      </c>
    </row>
    <row r="12" spans="1:27" s="4" customFormat="1" x14ac:dyDescent="0.25">
      <c r="A12" s="70"/>
      <c r="B12" s="5"/>
      <c r="C12" s="6">
        <v>41528</v>
      </c>
      <c r="D12" s="4">
        <v>13.3</v>
      </c>
      <c r="E12" s="4">
        <v>11.6</v>
      </c>
      <c r="F12" s="4">
        <v>14.3</v>
      </c>
      <c r="G12" s="4">
        <f t="shared" si="4"/>
        <v>109.09999999999998</v>
      </c>
      <c r="I12" s="8" t="s">
        <v>35</v>
      </c>
      <c r="J12" s="4">
        <v>5.8</v>
      </c>
      <c r="K12" s="4">
        <f t="shared" si="5"/>
        <v>34</v>
      </c>
      <c r="L12" s="4">
        <v>0.9</v>
      </c>
      <c r="M12" s="4">
        <f t="shared" si="6"/>
        <v>16.7</v>
      </c>
      <c r="N12" s="4">
        <f t="shared" si="3"/>
        <v>4.8999999999999995</v>
      </c>
      <c r="O12" s="4">
        <v>25.1</v>
      </c>
      <c r="P12" s="4">
        <v>7</v>
      </c>
      <c r="Q12" s="4">
        <v>0.35</v>
      </c>
      <c r="R12" s="10">
        <f t="shared" si="0"/>
        <v>0.315</v>
      </c>
      <c r="S12" s="10">
        <f t="shared" si="1"/>
        <v>5.4849999999999994</v>
      </c>
      <c r="T12" s="10">
        <f t="shared" si="7"/>
        <v>30.080000000000002</v>
      </c>
      <c r="U12" s="8" t="s">
        <v>36</v>
      </c>
      <c r="V12" s="11">
        <v>317.60000000000002</v>
      </c>
      <c r="W12" s="4">
        <f t="shared" si="2"/>
        <v>23.8796992481203</v>
      </c>
      <c r="X12" s="4">
        <f t="shared" si="8"/>
        <v>6928.3000000000011</v>
      </c>
      <c r="AA12" s="4">
        <v>12.974506942894701</v>
      </c>
    </row>
    <row r="13" spans="1:27" s="4" customFormat="1" x14ac:dyDescent="0.25">
      <c r="A13" s="70"/>
      <c r="B13" s="5"/>
      <c r="C13" s="6">
        <v>41529</v>
      </c>
      <c r="D13" s="4">
        <v>13.4</v>
      </c>
      <c r="E13" s="4">
        <v>9.6</v>
      </c>
      <c r="F13" s="4">
        <v>18.2</v>
      </c>
      <c r="G13" s="4">
        <f t="shared" si="4"/>
        <v>122.49999999999999</v>
      </c>
      <c r="I13" s="4">
        <v>0</v>
      </c>
      <c r="J13" s="4">
        <v>0.4</v>
      </c>
      <c r="K13" s="4">
        <f t="shared" si="5"/>
        <v>34.4</v>
      </c>
      <c r="L13" s="4">
        <v>2.6</v>
      </c>
      <c r="M13" s="4">
        <f t="shared" si="6"/>
        <v>19.3</v>
      </c>
      <c r="N13" s="9">
        <f t="shared" si="3"/>
        <v>-2.2000000000000002</v>
      </c>
      <c r="O13" s="4">
        <v>22.900000000000002</v>
      </c>
      <c r="P13" s="4">
        <v>8</v>
      </c>
      <c r="Q13" s="4">
        <v>0.35</v>
      </c>
      <c r="R13" s="10">
        <f t="shared" si="0"/>
        <v>0.90999999999999992</v>
      </c>
      <c r="S13" s="10">
        <f t="shared" si="1"/>
        <v>-0.5099999999999999</v>
      </c>
      <c r="T13" s="10">
        <f t="shared" si="7"/>
        <v>29.57</v>
      </c>
      <c r="U13" s="4">
        <v>0</v>
      </c>
      <c r="V13" s="4">
        <v>1333.7</v>
      </c>
      <c r="W13" s="4">
        <f t="shared" si="2"/>
        <v>99.529850746268664</v>
      </c>
      <c r="X13" s="4">
        <f t="shared" si="8"/>
        <v>8262.0000000000018</v>
      </c>
      <c r="AA13" s="4">
        <v>12.911686431365</v>
      </c>
    </row>
    <row r="14" spans="1:27" s="4" customFormat="1" x14ac:dyDescent="0.25">
      <c r="A14" s="70"/>
      <c r="B14" s="5"/>
      <c r="C14" s="6">
        <v>41530</v>
      </c>
      <c r="D14" s="4">
        <v>14.2</v>
      </c>
      <c r="E14" s="4">
        <v>9.3000000000000007</v>
      </c>
      <c r="F14" s="4">
        <v>18</v>
      </c>
      <c r="G14" s="4">
        <f t="shared" si="4"/>
        <v>136.69999999999999</v>
      </c>
      <c r="I14" s="8" t="s">
        <v>37</v>
      </c>
      <c r="J14" s="4">
        <v>11.7</v>
      </c>
      <c r="K14" s="4">
        <f t="shared" si="5"/>
        <v>46.099999999999994</v>
      </c>
      <c r="L14" s="4">
        <v>0.8</v>
      </c>
      <c r="M14" s="4">
        <f t="shared" si="6"/>
        <v>20.100000000000001</v>
      </c>
      <c r="N14" s="4">
        <f t="shared" si="3"/>
        <v>10.899999999999999</v>
      </c>
      <c r="O14" s="4">
        <v>33.799999999999997</v>
      </c>
      <c r="P14" s="4">
        <v>9</v>
      </c>
      <c r="Q14" s="4">
        <v>0.35</v>
      </c>
      <c r="R14" s="10">
        <f t="shared" si="0"/>
        <v>0.27999999999999997</v>
      </c>
      <c r="S14" s="10">
        <f t="shared" si="1"/>
        <v>11.42</v>
      </c>
      <c r="T14" s="10">
        <f t="shared" si="7"/>
        <v>40.99</v>
      </c>
      <c r="U14" s="8" t="s">
        <v>38</v>
      </c>
      <c r="V14" s="11">
        <v>393.4</v>
      </c>
      <c r="W14" s="4">
        <f t="shared" si="2"/>
        <v>27.704225352112676</v>
      </c>
      <c r="X14" s="4">
        <f t="shared" si="8"/>
        <v>8655.4000000000015</v>
      </c>
      <c r="AA14" s="4">
        <v>12.8487866535064</v>
      </c>
    </row>
    <row r="15" spans="1:27" s="4" customFormat="1" x14ac:dyDescent="0.25">
      <c r="A15" s="70"/>
      <c r="B15" s="5"/>
      <c r="C15" s="6">
        <v>41531</v>
      </c>
      <c r="D15" s="4">
        <v>14.7</v>
      </c>
      <c r="E15" s="4">
        <v>13.7</v>
      </c>
      <c r="F15" s="4">
        <v>15.7</v>
      </c>
      <c r="G15" s="4">
        <f t="shared" si="4"/>
        <v>151.39999999999998</v>
      </c>
      <c r="I15" s="4">
        <v>1</v>
      </c>
      <c r="J15" s="4">
        <v>2.9</v>
      </c>
      <c r="K15" s="4">
        <f t="shared" si="5"/>
        <v>48.999999999999993</v>
      </c>
      <c r="L15" s="4">
        <v>1.2</v>
      </c>
      <c r="M15" s="4">
        <f t="shared" si="6"/>
        <v>21.3</v>
      </c>
      <c r="N15" s="4">
        <f t="shared" si="3"/>
        <v>1.7</v>
      </c>
      <c r="O15" s="4">
        <v>35.5</v>
      </c>
      <c r="P15" s="4">
        <v>10</v>
      </c>
      <c r="Q15" s="4">
        <f>0.35+((P15-9)/67)*(1-0.35)</f>
        <v>0.35970149253731343</v>
      </c>
      <c r="R15" s="10">
        <f t="shared" si="0"/>
        <v>0.43164179104477612</v>
      </c>
      <c r="S15" s="10">
        <f t="shared" si="1"/>
        <v>2.4683582089552236</v>
      </c>
      <c r="T15" s="10">
        <f t="shared" si="7"/>
        <v>43.458358208955225</v>
      </c>
      <c r="U15" s="4">
        <f>MAX(T6:T81)</f>
        <v>153.6</v>
      </c>
      <c r="V15" s="11">
        <v>378.7</v>
      </c>
      <c r="W15" s="4">
        <f t="shared" si="2"/>
        <v>25.761904761904763</v>
      </c>
      <c r="X15" s="4">
        <f t="shared" si="8"/>
        <v>9034.1000000000022</v>
      </c>
      <c r="AA15" s="4">
        <v>12.785813667348</v>
      </c>
    </row>
    <row r="16" spans="1:27" s="4" customFormat="1" x14ac:dyDescent="0.25">
      <c r="A16" s="70"/>
      <c r="B16" s="5"/>
      <c r="C16" s="6">
        <v>41532</v>
      </c>
      <c r="D16" s="4">
        <v>13.9</v>
      </c>
      <c r="E16" s="4">
        <v>10.4</v>
      </c>
      <c r="F16" s="4">
        <v>17.3</v>
      </c>
      <c r="G16" s="4">
        <f t="shared" si="4"/>
        <v>165.29999999999998</v>
      </c>
      <c r="I16" s="8" t="s">
        <v>39</v>
      </c>
      <c r="J16" s="4">
        <v>5.4</v>
      </c>
      <c r="K16" s="4">
        <f t="shared" si="5"/>
        <v>54.399999999999991</v>
      </c>
      <c r="L16" s="4">
        <v>3</v>
      </c>
      <c r="M16" s="4">
        <f t="shared" si="6"/>
        <v>24.3</v>
      </c>
      <c r="N16" s="4">
        <f t="shared" si="3"/>
        <v>2.4000000000000004</v>
      </c>
      <c r="O16" s="4">
        <v>37.9</v>
      </c>
      <c r="P16" s="4">
        <v>11</v>
      </c>
      <c r="Q16" s="4">
        <f t="shared" ref="Q16:Q79" si="9">0.35+((P16-9)/67)*(1-0.35)</f>
        <v>0.36940298507462682</v>
      </c>
      <c r="R16" s="10">
        <f t="shared" si="0"/>
        <v>1.1082089552238805</v>
      </c>
      <c r="S16" s="10">
        <f t="shared" si="1"/>
        <v>4.2917910447761196</v>
      </c>
      <c r="T16" s="10">
        <f t="shared" si="7"/>
        <v>47.750149253731344</v>
      </c>
      <c r="U16" s="8" t="s">
        <v>40</v>
      </c>
      <c r="V16" s="4">
        <v>1202.0999999999999</v>
      </c>
      <c r="W16" s="4">
        <f t="shared" si="2"/>
        <v>86.482014388489205</v>
      </c>
      <c r="X16" s="4">
        <f t="shared" si="8"/>
        <v>10236.200000000003</v>
      </c>
      <c r="AA16" s="4">
        <v>12.7227733648918</v>
      </c>
    </row>
    <row r="17" spans="1:27" s="4" customFormat="1" x14ac:dyDescent="0.25">
      <c r="A17" s="70"/>
      <c r="B17" s="5"/>
      <c r="C17" s="6">
        <v>41533</v>
      </c>
      <c r="D17" s="4">
        <v>12</v>
      </c>
      <c r="E17" s="4">
        <v>10.199999999999999</v>
      </c>
      <c r="F17" s="4">
        <v>16.100000000000001</v>
      </c>
      <c r="G17" s="4">
        <f t="shared" si="4"/>
        <v>177.29999999999998</v>
      </c>
      <c r="I17" s="4">
        <v>10</v>
      </c>
      <c r="J17" s="4">
        <v>1</v>
      </c>
      <c r="K17" s="4">
        <f t="shared" si="5"/>
        <v>55.399999999999991</v>
      </c>
      <c r="L17" s="4">
        <v>3.6</v>
      </c>
      <c r="M17" s="4">
        <f t="shared" si="6"/>
        <v>27.900000000000002</v>
      </c>
      <c r="N17" s="9">
        <f t="shared" si="3"/>
        <v>-2.6</v>
      </c>
      <c r="O17" s="4">
        <v>35.299999999999997</v>
      </c>
      <c r="P17" s="4">
        <v>12</v>
      </c>
      <c r="Q17" s="4">
        <f t="shared" si="9"/>
        <v>0.37910447761194027</v>
      </c>
      <c r="R17" s="10">
        <f t="shared" si="0"/>
        <v>1.364776119402985</v>
      </c>
      <c r="S17" s="10">
        <f t="shared" si="1"/>
        <v>-0.36477611940298504</v>
      </c>
      <c r="T17" s="10">
        <f t="shared" si="7"/>
        <v>47.385373134328361</v>
      </c>
      <c r="U17" s="12">
        <f>AVERAGE(T6:T81)</f>
        <v>96.074825216025189</v>
      </c>
      <c r="V17" s="4">
        <v>1666.8</v>
      </c>
      <c r="W17" s="4">
        <f t="shared" si="2"/>
        <v>138.9</v>
      </c>
      <c r="X17" s="4">
        <f t="shared" si="8"/>
        <v>11903.000000000002</v>
      </c>
      <c r="AA17" s="4">
        <v>12.659671489917001</v>
      </c>
    </row>
    <row r="18" spans="1:27" s="4" customFormat="1" x14ac:dyDescent="0.25">
      <c r="A18" s="70"/>
      <c r="B18" s="5"/>
      <c r="C18" s="6">
        <v>41534</v>
      </c>
      <c r="D18" s="4">
        <v>11.9</v>
      </c>
      <c r="E18" s="4">
        <v>7.7</v>
      </c>
      <c r="F18" s="4">
        <v>15.4</v>
      </c>
      <c r="G18" s="4">
        <f t="shared" si="4"/>
        <v>189.2</v>
      </c>
      <c r="I18" s="8" t="s">
        <v>41</v>
      </c>
      <c r="J18" s="4">
        <v>14.3</v>
      </c>
      <c r="K18" s="4">
        <f t="shared" si="5"/>
        <v>69.699999999999989</v>
      </c>
      <c r="L18" s="4">
        <v>1.5</v>
      </c>
      <c r="M18" s="4">
        <f t="shared" si="6"/>
        <v>29.400000000000002</v>
      </c>
      <c r="N18" s="4">
        <f t="shared" si="3"/>
        <v>12.8</v>
      </c>
      <c r="O18" s="4">
        <v>48.099999999999994</v>
      </c>
      <c r="P18" s="4">
        <v>13</v>
      </c>
      <c r="Q18" s="4">
        <f t="shared" si="9"/>
        <v>0.38880597014925372</v>
      </c>
      <c r="R18" s="10">
        <f t="shared" si="0"/>
        <v>0.58320895522388061</v>
      </c>
      <c r="S18" s="10">
        <f t="shared" si="1"/>
        <v>13.716791044776119</v>
      </c>
      <c r="T18" s="10">
        <f t="shared" si="7"/>
        <v>61.102164179104477</v>
      </c>
      <c r="V18" s="11">
        <v>398</v>
      </c>
      <c r="W18" s="4">
        <f t="shared" si="2"/>
        <v>33.445378151260506</v>
      </c>
      <c r="X18" s="4">
        <f t="shared" si="8"/>
        <v>12301.000000000002</v>
      </c>
      <c r="AA18" s="4">
        <v>12.596513655801299</v>
      </c>
    </row>
    <row r="19" spans="1:27" s="4" customFormat="1" x14ac:dyDescent="0.25">
      <c r="A19" s="70"/>
      <c r="B19" s="5"/>
      <c r="C19" s="6">
        <v>41535</v>
      </c>
      <c r="D19" s="4">
        <v>13.1</v>
      </c>
      <c r="E19" s="4">
        <v>12.7</v>
      </c>
      <c r="F19" s="4">
        <v>14.6</v>
      </c>
      <c r="G19" s="4">
        <f t="shared" si="4"/>
        <v>202.29999999999998</v>
      </c>
      <c r="I19" s="4">
        <v>934.4</v>
      </c>
      <c r="J19" s="4">
        <v>0.3</v>
      </c>
      <c r="K19" s="4">
        <f t="shared" si="5"/>
        <v>69.999999999999986</v>
      </c>
      <c r="L19" s="4">
        <v>1.7</v>
      </c>
      <c r="M19" s="4">
        <f t="shared" si="6"/>
        <v>31.1</v>
      </c>
      <c r="N19" s="9">
        <f t="shared" si="3"/>
        <v>-1.4</v>
      </c>
      <c r="O19" s="4">
        <v>46.699999999999996</v>
      </c>
      <c r="P19" s="4">
        <v>14</v>
      </c>
      <c r="Q19" s="4">
        <f t="shared" si="9"/>
        <v>0.39850746268656712</v>
      </c>
      <c r="R19" s="10">
        <f t="shared" si="0"/>
        <v>0.67746268656716413</v>
      </c>
      <c r="S19" s="10">
        <f t="shared" si="1"/>
        <v>-0.37746268656716414</v>
      </c>
      <c r="T19" s="10">
        <f t="shared" si="7"/>
        <v>60.724701492537314</v>
      </c>
      <c r="U19" s="4">
        <f>(U17*100)/153.6</f>
        <v>62.548714333349729</v>
      </c>
      <c r="V19" s="11">
        <v>414.9</v>
      </c>
      <c r="W19" s="4">
        <f t="shared" si="2"/>
        <v>31.671755725190838</v>
      </c>
      <c r="X19" s="4">
        <f t="shared" si="8"/>
        <v>12715.900000000001</v>
      </c>
      <c r="AA19" s="4">
        <v>12.533305363366001</v>
      </c>
    </row>
    <row r="20" spans="1:27" s="4" customFormat="1" x14ac:dyDescent="0.25">
      <c r="A20" s="70"/>
      <c r="B20" s="5"/>
      <c r="C20" s="6">
        <v>41536</v>
      </c>
      <c r="D20" s="4">
        <v>12.2</v>
      </c>
      <c r="E20" s="4">
        <v>7.8</v>
      </c>
      <c r="F20" s="4">
        <v>15.1</v>
      </c>
      <c r="G20" s="4">
        <f t="shared" si="4"/>
        <v>214.49999999999997</v>
      </c>
      <c r="J20" s="4">
        <v>1.2</v>
      </c>
      <c r="K20" s="4">
        <f t="shared" si="5"/>
        <v>71.199999999999989</v>
      </c>
      <c r="L20" s="4">
        <v>1.4</v>
      </c>
      <c r="M20" s="4">
        <f t="shared" si="6"/>
        <v>32.5</v>
      </c>
      <c r="N20" s="9">
        <f t="shared" si="3"/>
        <v>-0.19999999999999996</v>
      </c>
      <c r="O20" s="4">
        <v>46.499999999999993</v>
      </c>
      <c r="P20" s="4">
        <v>15</v>
      </c>
      <c r="Q20" s="4">
        <f t="shared" si="9"/>
        <v>0.40820895522388057</v>
      </c>
      <c r="R20" s="10">
        <f t="shared" si="0"/>
        <v>0.57149253731343275</v>
      </c>
      <c r="S20" s="10">
        <f t="shared" si="1"/>
        <v>0.62850746268656721</v>
      </c>
      <c r="T20" s="10">
        <f t="shared" si="7"/>
        <v>61.353208955223877</v>
      </c>
      <c r="V20" s="11">
        <v>602.4</v>
      </c>
      <c r="W20" s="4">
        <f t="shared" si="2"/>
        <v>49.377049180327873</v>
      </c>
      <c r="X20" s="4">
        <f t="shared" si="8"/>
        <v>13318.300000000001</v>
      </c>
      <c r="AA20" s="4">
        <v>12.470052018750801</v>
      </c>
    </row>
    <row r="21" spans="1:27" s="4" customFormat="1" x14ac:dyDescent="0.25">
      <c r="A21" s="70"/>
      <c r="B21" s="5"/>
      <c r="C21" s="6">
        <v>41537</v>
      </c>
      <c r="D21" s="4">
        <v>13.6</v>
      </c>
      <c r="E21" s="4">
        <v>12</v>
      </c>
      <c r="F21" s="4">
        <v>16.600000000000001</v>
      </c>
      <c r="G21" s="4">
        <f t="shared" si="4"/>
        <v>228.09999999999997</v>
      </c>
      <c r="J21" s="4">
        <v>0</v>
      </c>
      <c r="K21" s="4">
        <f t="shared" si="5"/>
        <v>71.199999999999989</v>
      </c>
      <c r="L21" s="4">
        <v>2</v>
      </c>
      <c r="M21" s="4">
        <f t="shared" si="6"/>
        <v>34.5</v>
      </c>
      <c r="N21" s="9">
        <f t="shared" si="3"/>
        <v>-2</v>
      </c>
      <c r="O21" s="4">
        <v>44.499999999999993</v>
      </c>
      <c r="P21" s="4">
        <v>16</v>
      </c>
      <c r="Q21" s="4">
        <f t="shared" si="9"/>
        <v>0.41791044776119401</v>
      </c>
      <c r="R21" s="10">
        <f t="shared" si="0"/>
        <v>0.83582089552238803</v>
      </c>
      <c r="S21" s="10">
        <f t="shared" si="1"/>
        <v>-0.83582089552238803</v>
      </c>
      <c r="T21" s="10">
        <f t="shared" si="7"/>
        <v>60.517388059701489</v>
      </c>
      <c r="V21" s="11">
        <v>616.29999999999995</v>
      </c>
      <c r="W21" s="4">
        <f t="shared" si="2"/>
        <v>45.316176470588232</v>
      </c>
      <c r="X21" s="4">
        <f t="shared" si="8"/>
        <v>13934.6</v>
      </c>
      <c r="AA21" s="4">
        <v>12.4067589513265</v>
      </c>
    </row>
    <row r="22" spans="1:27" s="4" customFormat="1" x14ac:dyDescent="0.25">
      <c r="A22" s="70"/>
      <c r="B22" s="5"/>
      <c r="C22" s="6">
        <v>41538</v>
      </c>
      <c r="D22" s="4">
        <v>14.3</v>
      </c>
      <c r="E22" s="4">
        <v>8.9</v>
      </c>
      <c r="F22" s="4">
        <v>17.5</v>
      </c>
      <c r="G22" s="4">
        <f t="shared" si="4"/>
        <v>242.39999999999998</v>
      </c>
      <c r="J22" s="4">
        <v>0</v>
      </c>
      <c r="K22" s="4">
        <f t="shared" si="5"/>
        <v>71.199999999999989</v>
      </c>
      <c r="L22" s="4">
        <v>1.7</v>
      </c>
      <c r="M22" s="4">
        <f t="shared" si="6"/>
        <v>36.200000000000003</v>
      </c>
      <c r="N22" s="9">
        <f t="shared" si="3"/>
        <v>-1.7</v>
      </c>
      <c r="O22" s="4">
        <v>42.79999999999999</v>
      </c>
      <c r="P22" s="4">
        <v>17</v>
      </c>
      <c r="Q22" s="4">
        <f t="shared" si="9"/>
        <v>0.42761194029850746</v>
      </c>
      <c r="R22" s="10">
        <f t="shared" si="0"/>
        <v>0.72694029850746267</v>
      </c>
      <c r="S22" s="10">
        <f t="shared" si="1"/>
        <v>-0.72694029850746267</v>
      </c>
      <c r="T22" s="10">
        <f t="shared" si="7"/>
        <v>59.790447761194024</v>
      </c>
      <c r="V22" s="11">
        <v>567.5</v>
      </c>
      <c r="W22" s="4">
        <f t="shared" si="2"/>
        <v>39.685314685314687</v>
      </c>
      <c r="X22" s="4">
        <f t="shared" si="8"/>
        <v>14502.1</v>
      </c>
      <c r="AA22" s="4">
        <v>12.343431431654199</v>
      </c>
    </row>
    <row r="23" spans="1:27" s="4" customFormat="1" x14ac:dyDescent="0.25">
      <c r="A23" s="70"/>
      <c r="B23" s="5"/>
      <c r="C23" s="6">
        <v>41539</v>
      </c>
      <c r="D23" s="4">
        <v>17.5</v>
      </c>
      <c r="E23" s="4">
        <v>15.4</v>
      </c>
      <c r="F23" s="4">
        <v>19.7</v>
      </c>
      <c r="G23" s="4">
        <f t="shared" si="4"/>
        <v>259.89999999999998</v>
      </c>
      <c r="J23" s="4">
        <v>0</v>
      </c>
      <c r="K23" s="4">
        <f t="shared" si="5"/>
        <v>71.199999999999989</v>
      </c>
      <c r="L23" s="4">
        <v>1.3</v>
      </c>
      <c r="M23" s="4">
        <f t="shared" si="6"/>
        <v>37.5</v>
      </c>
      <c r="N23" s="9">
        <f t="shared" si="3"/>
        <v>-1.3</v>
      </c>
      <c r="O23" s="4">
        <v>41.499999999999993</v>
      </c>
      <c r="P23" s="4">
        <v>18</v>
      </c>
      <c r="Q23" s="4">
        <f t="shared" si="9"/>
        <v>0.43731343283582086</v>
      </c>
      <c r="R23" s="10">
        <f t="shared" si="0"/>
        <v>0.56850746268656716</v>
      </c>
      <c r="S23" s="10">
        <f t="shared" si="1"/>
        <v>-0.56850746268656716</v>
      </c>
      <c r="T23" s="10">
        <f t="shared" si="7"/>
        <v>59.221940298507455</v>
      </c>
      <c r="V23" s="11">
        <v>305.60000000000002</v>
      </c>
      <c r="W23" s="4">
        <f t="shared" si="2"/>
        <v>17.462857142857143</v>
      </c>
      <c r="X23" s="4">
        <f t="shared" si="8"/>
        <v>14807.7</v>
      </c>
      <c r="AA23" s="4">
        <v>12.2800746894998</v>
      </c>
    </row>
    <row r="24" spans="1:27" s="4" customFormat="1" x14ac:dyDescent="0.25">
      <c r="A24" s="70"/>
      <c r="B24" s="5"/>
      <c r="C24" s="6">
        <v>41540</v>
      </c>
      <c r="D24" s="4">
        <v>17.2</v>
      </c>
      <c r="E24" s="4">
        <v>16</v>
      </c>
      <c r="F24" s="4">
        <v>20.6</v>
      </c>
      <c r="G24" s="4">
        <f t="shared" si="4"/>
        <v>277.09999999999997</v>
      </c>
      <c r="J24" s="4">
        <v>0.1</v>
      </c>
      <c r="K24" s="4">
        <f t="shared" si="5"/>
        <v>71.299999999999983</v>
      </c>
      <c r="L24" s="4">
        <v>2</v>
      </c>
      <c r="M24" s="4">
        <f t="shared" si="6"/>
        <v>39.5</v>
      </c>
      <c r="N24" s="9">
        <f t="shared" si="3"/>
        <v>-1.9</v>
      </c>
      <c r="O24" s="4">
        <v>39.599999999999994</v>
      </c>
      <c r="P24" s="4">
        <v>19</v>
      </c>
      <c r="Q24" s="4">
        <f t="shared" si="9"/>
        <v>0.44701492537313431</v>
      </c>
      <c r="R24" s="10">
        <f t="shared" si="0"/>
        <v>0.89402985074626862</v>
      </c>
      <c r="S24" s="10">
        <f t="shared" si="1"/>
        <v>-0.79402985074626864</v>
      </c>
      <c r="T24" s="10">
        <f t="shared" si="7"/>
        <v>58.427910447761185</v>
      </c>
      <c r="V24" s="11">
        <v>616.4</v>
      </c>
      <c r="W24" s="4">
        <f t="shared" si="2"/>
        <v>35.837209302325583</v>
      </c>
      <c r="X24" s="4">
        <f t="shared" si="8"/>
        <v>15424.1</v>
      </c>
      <c r="AA24" s="4">
        <v>12.216693931913801</v>
      </c>
    </row>
    <row r="25" spans="1:27" s="4" customFormat="1" x14ac:dyDescent="0.25">
      <c r="A25" s="70"/>
      <c r="B25" s="5"/>
      <c r="C25" s="6">
        <v>41541</v>
      </c>
      <c r="D25" s="4">
        <v>16.2</v>
      </c>
      <c r="E25" s="4">
        <v>10.1</v>
      </c>
      <c r="F25" s="4">
        <v>21.7</v>
      </c>
      <c r="G25" s="4">
        <f t="shared" si="4"/>
        <v>293.29999999999995</v>
      </c>
      <c r="J25" s="4">
        <v>0.2</v>
      </c>
      <c r="K25" s="4">
        <f t="shared" si="5"/>
        <v>71.499999999999986</v>
      </c>
      <c r="L25" s="4">
        <v>2.6</v>
      </c>
      <c r="M25" s="4">
        <f t="shared" si="6"/>
        <v>42.1</v>
      </c>
      <c r="N25" s="9">
        <f t="shared" si="3"/>
        <v>-2.4</v>
      </c>
      <c r="O25" s="4">
        <v>37.199999999999996</v>
      </c>
      <c r="P25" s="4">
        <v>20</v>
      </c>
      <c r="Q25" s="4">
        <f t="shared" si="9"/>
        <v>0.45671641791044776</v>
      </c>
      <c r="R25" s="10">
        <f t="shared" si="0"/>
        <v>1.1874626865671642</v>
      </c>
      <c r="S25" s="10">
        <f t="shared" si="1"/>
        <v>-0.98746268656716429</v>
      </c>
      <c r="T25" s="10">
        <f t="shared" si="7"/>
        <v>57.440447761194022</v>
      </c>
      <c r="V25" s="4">
        <v>1780.7</v>
      </c>
      <c r="W25" s="4">
        <f t="shared" si="2"/>
        <v>109.91975308641976</v>
      </c>
      <c r="X25" s="4">
        <f t="shared" si="8"/>
        <v>17204.8</v>
      </c>
      <c r="AA25" s="4">
        <v>12.1532943613865</v>
      </c>
    </row>
    <row r="26" spans="1:27" s="4" customFormat="1" x14ac:dyDescent="0.25">
      <c r="A26" s="70"/>
      <c r="B26" s="5"/>
      <c r="C26" s="6">
        <v>41542</v>
      </c>
      <c r="D26" s="4">
        <v>16.7</v>
      </c>
      <c r="E26" s="4">
        <v>10.9</v>
      </c>
      <c r="F26" s="4">
        <v>20.8</v>
      </c>
      <c r="G26" s="4">
        <f t="shared" si="4"/>
        <v>309.99999999999994</v>
      </c>
      <c r="J26" s="4">
        <v>0.1</v>
      </c>
      <c r="K26" s="4">
        <f t="shared" si="5"/>
        <v>71.59999999999998</v>
      </c>
      <c r="L26" s="4">
        <v>1.8</v>
      </c>
      <c r="M26" s="4">
        <f t="shared" si="6"/>
        <v>43.9</v>
      </c>
      <c r="N26" s="9">
        <f t="shared" si="3"/>
        <v>-1.7</v>
      </c>
      <c r="O26" s="4">
        <v>35.499999999999993</v>
      </c>
      <c r="P26" s="4">
        <v>21</v>
      </c>
      <c r="Q26" s="4">
        <f t="shared" si="9"/>
        <v>0.46641791044776115</v>
      </c>
      <c r="R26" s="10">
        <f t="shared" si="0"/>
        <v>0.83955223880597007</v>
      </c>
      <c r="S26" s="10">
        <f t="shared" si="1"/>
        <v>-0.7395522388059701</v>
      </c>
      <c r="T26" s="10">
        <f t="shared" si="7"/>
        <v>56.700895522388052</v>
      </c>
      <c r="V26" s="4">
        <v>916.5</v>
      </c>
      <c r="W26" s="4">
        <f t="shared" si="2"/>
        <v>54.880239520958085</v>
      </c>
      <c r="X26" s="4">
        <f t="shared" si="8"/>
        <v>18121.3</v>
      </c>
      <c r="AA26" s="4">
        <v>12.089881194089701</v>
      </c>
    </row>
    <row r="27" spans="1:27" s="4" customFormat="1" x14ac:dyDescent="0.25">
      <c r="A27" s="70"/>
      <c r="B27" s="5"/>
      <c r="C27" s="6">
        <v>41543</v>
      </c>
      <c r="D27" s="4">
        <v>15.7</v>
      </c>
      <c r="E27" s="4">
        <v>15.4</v>
      </c>
      <c r="F27" s="4">
        <v>18.100000000000001</v>
      </c>
      <c r="G27" s="4">
        <f t="shared" si="4"/>
        <v>325.69999999999993</v>
      </c>
      <c r="J27" s="4">
        <v>0.1</v>
      </c>
      <c r="K27" s="4">
        <f t="shared" si="5"/>
        <v>71.699999999999974</v>
      </c>
      <c r="L27" s="4">
        <v>2.1</v>
      </c>
      <c r="M27" s="4">
        <f t="shared" si="6"/>
        <v>46</v>
      </c>
      <c r="N27" s="9">
        <f t="shared" si="3"/>
        <v>-2</v>
      </c>
      <c r="O27" s="4">
        <v>33.499999999999993</v>
      </c>
      <c r="P27" s="4">
        <v>22</v>
      </c>
      <c r="Q27" s="4">
        <f t="shared" si="9"/>
        <v>0.4761194029850746</v>
      </c>
      <c r="R27" s="10">
        <f t="shared" si="0"/>
        <v>0.99985074626865666</v>
      </c>
      <c r="S27" s="10">
        <f t="shared" si="1"/>
        <v>-0.89985074626865669</v>
      </c>
      <c r="T27" s="10">
        <f t="shared" si="7"/>
        <v>55.801044776119397</v>
      </c>
      <c r="V27" s="4">
        <v>935</v>
      </c>
      <c r="W27" s="4">
        <f t="shared" si="2"/>
        <v>59.554140127388536</v>
      </c>
      <c r="X27" s="4">
        <f t="shared" si="8"/>
        <v>19056.3</v>
      </c>
      <c r="AA27" s="4">
        <v>12.0264596782143</v>
      </c>
    </row>
    <row r="28" spans="1:27" s="4" customFormat="1" x14ac:dyDescent="0.25">
      <c r="A28" s="70"/>
      <c r="B28" s="5"/>
      <c r="C28" s="6">
        <v>41544</v>
      </c>
      <c r="D28" s="4">
        <v>12.7</v>
      </c>
      <c r="E28" s="4">
        <v>8.8000000000000007</v>
      </c>
      <c r="F28" s="4">
        <v>15.4</v>
      </c>
      <c r="G28" s="4">
        <f t="shared" si="4"/>
        <v>338.39999999999992</v>
      </c>
      <c r="J28" s="4">
        <v>0</v>
      </c>
      <c r="K28" s="4">
        <f t="shared" si="5"/>
        <v>71.699999999999974</v>
      </c>
      <c r="L28" s="4">
        <v>1.3</v>
      </c>
      <c r="M28" s="4">
        <f t="shared" si="6"/>
        <v>47.3</v>
      </c>
      <c r="N28" s="9">
        <f t="shared" si="3"/>
        <v>-1.3</v>
      </c>
      <c r="O28" s="4">
        <v>32.199999999999996</v>
      </c>
      <c r="P28" s="4">
        <v>23</v>
      </c>
      <c r="Q28" s="4">
        <f t="shared" si="9"/>
        <v>0.48582089552238805</v>
      </c>
      <c r="R28" s="10">
        <f t="shared" si="0"/>
        <v>0.63156716417910452</v>
      </c>
      <c r="S28" s="10">
        <f t="shared" si="1"/>
        <v>-0.63156716417910452</v>
      </c>
      <c r="T28" s="10">
        <f t="shared" si="7"/>
        <v>55.169477611940295</v>
      </c>
      <c r="V28" s="4">
        <v>1323</v>
      </c>
      <c r="W28" s="4">
        <f t="shared" si="2"/>
        <v>104.1732283464567</v>
      </c>
      <c r="X28" s="4">
        <f t="shared" si="8"/>
        <v>20379.3</v>
      </c>
      <c r="AA28" s="4">
        <v>11.9630351124153</v>
      </c>
    </row>
    <row r="29" spans="1:27" s="4" customFormat="1" x14ac:dyDescent="0.25">
      <c r="A29" s="70"/>
      <c r="B29" s="5"/>
      <c r="C29" s="6">
        <v>41545</v>
      </c>
      <c r="D29" s="4">
        <v>14.8</v>
      </c>
      <c r="E29" s="4">
        <v>10.6</v>
      </c>
      <c r="F29" s="4">
        <v>18.899999999999999</v>
      </c>
      <c r="G29" s="4">
        <f t="shared" si="4"/>
        <v>353.19999999999993</v>
      </c>
      <c r="J29" s="4">
        <v>0</v>
      </c>
      <c r="K29" s="4">
        <f t="shared" si="5"/>
        <v>71.699999999999974</v>
      </c>
      <c r="L29" s="4">
        <v>2.2999999999999998</v>
      </c>
      <c r="M29" s="4">
        <f t="shared" si="6"/>
        <v>49.599999999999994</v>
      </c>
      <c r="N29" s="9">
        <f t="shared" si="3"/>
        <v>-2.2999999999999998</v>
      </c>
      <c r="O29" s="4">
        <v>29.899999999999995</v>
      </c>
      <c r="P29" s="4">
        <v>24</v>
      </c>
      <c r="Q29" s="4">
        <f t="shared" si="9"/>
        <v>0.4955223880597015</v>
      </c>
      <c r="R29" s="10">
        <f t="shared" si="0"/>
        <v>1.1397014925373135</v>
      </c>
      <c r="S29" s="10">
        <f t="shared" si="1"/>
        <v>-1.1397014925373135</v>
      </c>
      <c r="T29" s="10">
        <f t="shared" si="7"/>
        <v>54.029776119402982</v>
      </c>
      <c r="V29" s="4">
        <v>1312.5</v>
      </c>
      <c r="W29" s="4">
        <f t="shared" si="2"/>
        <v>88.682432432432435</v>
      </c>
      <c r="X29" s="4">
        <f t="shared" si="8"/>
        <v>21691.8</v>
      </c>
      <c r="AA29" s="4">
        <v>11.8996128643743</v>
      </c>
    </row>
    <row r="30" spans="1:27" s="4" customFormat="1" x14ac:dyDescent="0.25">
      <c r="A30" s="70"/>
      <c r="B30" s="5"/>
      <c r="C30" s="6">
        <v>41546</v>
      </c>
      <c r="D30" s="4">
        <v>14.5</v>
      </c>
      <c r="E30" s="4">
        <v>10.6</v>
      </c>
      <c r="F30" s="4">
        <v>17.2</v>
      </c>
      <c r="G30" s="4">
        <f t="shared" si="4"/>
        <v>367.69999999999993</v>
      </c>
      <c r="J30" s="4">
        <v>0</v>
      </c>
      <c r="K30" s="4">
        <f t="shared" si="5"/>
        <v>71.699999999999974</v>
      </c>
      <c r="L30" s="4">
        <v>1.8</v>
      </c>
      <c r="M30" s="4">
        <f t="shared" si="6"/>
        <v>51.399999999999991</v>
      </c>
      <c r="N30" s="9">
        <f t="shared" si="3"/>
        <v>-1.8</v>
      </c>
      <c r="O30" s="4">
        <v>28.099999999999994</v>
      </c>
      <c r="P30" s="4">
        <v>25</v>
      </c>
      <c r="Q30" s="4">
        <f t="shared" si="9"/>
        <v>0.50522388059701484</v>
      </c>
      <c r="R30" s="10">
        <f t="shared" si="0"/>
        <v>0.90940298507462669</v>
      </c>
      <c r="S30" s="10">
        <f t="shared" si="1"/>
        <v>-0.90940298507462669</v>
      </c>
      <c r="T30" s="10">
        <f t="shared" si="7"/>
        <v>53.120373134328354</v>
      </c>
      <c r="V30" s="4">
        <v>949.5</v>
      </c>
      <c r="W30" s="4">
        <f t="shared" si="2"/>
        <v>65.482758620689651</v>
      </c>
      <c r="X30" s="4">
        <f t="shared" si="8"/>
        <v>22641.3</v>
      </c>
      <c r="AA30" s="4">
        <v>11.8361983894897</v>
      </c>
    </row>
    <row r="31" spans="1:27" s="4" customFormat="1" x14ac:dyDescent="0.25">
      <c r="A31" s="70"/>
      <c r="B31" s="5"/>
      <c r="C31" s="6">
        <v>41547</v>
      </c>
      <c r="D31" s="4">
        <v>13.8</v>
      </c>
      <c r="E31" s="4">
        <v>10.5</v>
      </c>
      <c r="F31" s="4">
        <v>18.3</v>
      </c>
      <c r="G31" s="4">
        <f t="shared" si="4"/>
        <v>381.49999999999994</v>
      </c>
      <c r="J31" s="4">
        <v>0</v>
      </c>
      <c r="K31" s="4">
        <f t="shared" si="5"/>
        <v>71.699999999999974</v>
      </c>
      <c r="L31" s="4">
        <v>2.6</v>
      </c>
      <c r="M31" s="4">
        <f t="shared" si="6"/>
        <v>53.999999999999993</v>
      </c>
      <c r="N31" s="9">
        <f t="shared" si="3"/>
        <v>-2.6</v>
      </c>
      <c r="O31" s="4">
        <v>25.499999999999993</v>
      </c>
      <c r="P31" s="4">
        <v>26</v>
      </c>
      <c r="Q31" s="4">
        <f t="shared" si="9"/>
        <v>0.5149253731343284</v>
      </c>
      <c r="R31" s="10">
        <f t="shared" si="0"/>
        <v>1.3388059701492538</v>
      </c>
      <c r="S31" s="10">
        <f t="shared" si="1"/>
        <v>-1.3388059701492538</v>
      </c>
      <c r="T31" s="10">
        <f t="shared" si="7"/>
        <v>51.781567164179101</v>
      </c>
      <c r="V31" s="4">
        <v>1513.8</v>
      </c>
      <c r="W31" s="4">
        <f t="shared" si="2"/>
        <v>109.69565217391303</v>
      </c>
      <c r="X31" s="4">
        <f t="shared" si="8"/>
        <v>24155.1</v>
      </c>
      <c r="AA31" s="4">
        <v>11.772797249703199</v>
      </c>
    </row>
    <row r="32" spans="1:27" s="4" customFormat="1" x14ac:dyDescent="0.25">
      <c r="A32" s="70"/>
      <c r="B32" s="5"/>
      <c r="C32" s="6">
        <v>41548</v>
      </c>
      <c r="D32" s="4">
        <v>12.8</v>
      </c>
      <c r="E32" s="4">
        <v>8.8000000000000007</v>
      </c>
      <c r="F32" s="4">
        <v>18.100000000000001</v>
      </c>
      <c r="G32" s="4">
        <f t="shared" si="4"/>
        <v>394.29999999999995</v>
      </c>
      <c r="J32" s="4">
        <v>0</v>
      </c>
      <c r="K32" s="4">
        <f t="shared" si="5"/>
        <v>71.699999999999974</v>
      </c>
      <c r="L32" s="4">
        <v>2.4</v>
      </c>
      <c r="M32" s="4">
        <f t="shared" si="6"/>
        <v>56.399999999999991</v>
      </c>
      <c r="N32" s="9">
        <f t="shared" si="3"/>
        <v>-2.4</v>
      </c>
      <c r="O32" s="4">
        <v>23.099999999999994</v>
      </c>
      <c r="P32" s="4">
        <v>27</v>
      </c>
      <c r="Q32" s="4">
        <f t="shared" si="9"/>
        <v>0.52462686567164174</v>
      </c>
      <c r="R32" s="10">
        <f t="shared" si="0"/>
        <v>1.2591044776119402</v>
      </c>
      <c r="S32" s="10">
        <f t="shared" si="1"/>
        <v>-1.2591044776119402</v>
      </c>
      <c r="T32" s="10">
        <f t="shared" si="7"/>
        <v>50.52246268656716</v>
      </c>
      <c r="V32" s="4">
        <v>1375.6</v>
      </c>
      <c r="W32" s="4">
        <f t="shared" si="2"/>
        <v>107.46874999999999</v>
      </c>
      <c r="X32" s="4">
        <f t="shared" si="8"/>
        <v>25530.699999999997</v>
      </c>
      <c r="AA32" s="4">
        <v>11.709415132473501</v>
      </c>
    </row>
    <row r="33" spans="1:27" s="4" customFormat="1" x14ac:dyDescent="0.25">
      <c r="A33" s="70"/>
      <c r="B33" s="5"/>
      <c r="C33" s="6">
        <v>41549</v>
      </c>
      <c r="D33" s="4">
        <v>14.8</v>
      </c>
      <c r="E33" s="4">
        <v>10</v>
      </c>
      <c r="F33" s="4">
        <v>20</v>
      </c>
      <c r="G33" s="4">
        <f t="shared" si="4"/>
        <v>409.09999999999997</v>
      </c>
      <c r="J33" s="4">
        <v>0</v>
      </c>
      <c r="K33" s="4">
        <f t="shared" si="5"/>
        <v>71.699999999999974</v>
      </c>
      <c r="L33" s="4">
        <v>2.4</v>
      </c>
      <c r="M33" s="4">
        <f t="shared" si="6"/>
        <v>58.79999999999999</v>
      </c>
      <c r="N33" s="9">
        <f t="shared" si="3"/>
        <v>-2.4</v>
      </c>
      <c r="O33" s="4">
        <v>20.699999999999996</v>
      </c>
      <c r="P33" s="4">
        <v>28</v>
      </c>
      <c r="Q33" s="4">
        <f t="shared" si="9"/>
        <v>0.53432835820895519</v>
      </c>
      <c r="R33" s="10">
        <f t="shared" si="0"/>
        <v>1.2823880597014925</v>
      </c>
      <c r="S33" s="10">
        <f t="shared" si="1"/>
        <v>-1.2823880597014925</v>
      </c>
      <c r="T33" s="10">
        <f t="shared" si="7"/>
        <v>49.24007462686567</v>
      </c>
      <c r="V33" s="4">
        <v>1092.7</v>
      </c>
      <c r="W33" s="4">
        <f t="shared" si="2"/>
        <v>73.831081081081081</v>
      </c>
      <c r="X33" s="4">
        <f t="shared" si="8"/>
        <v>26623.399999999998</v>
      </c>
      <c r="AA33" s="4">
        <v>11.646057869903</v>
      </c>
    </row>
    <row r="34" spans="1:27" s="4" customFormat="1" x14ac:dyDescent="0.25">
      <c r="A34" s="70"/>
      <c r="B34" s="5"/>
      <c r="C34" s="6">
        <v>41550</v>
      </c>
      <c r="D34" s="4">
        <v>16.399999999999999</v>
      </c>
      <c r="E34" s="4">
        <v>11</v>
      </c>
      <c r="F34" s="4">
        <v>21.1</v>
      </c>
      <c r="G34" s="4">
        <f t="shared" si="4"/>
        <v>425.49999999999994</v>
      </c>
      <c r="J34" s="4">
        <v>3.2</v>
      </c>
      <c r="K34" s="4">
        <f t="shared" si="5"/>
        <v>74.899999999999977</v>
      </c>
      <c r="L34" s="4">
        <v>2.4</v>
      </c>
      <c r="M34" s="4">
        <f t="shared" si="6"/>
        <v>61.199999999999989</v>
      </c>
      <c r="N34" s="4">
        <f t="shared" si="3"/>
        <v>0.80000000000000027</v>
      </c>
      <c r="O34" s="4">
        <v>21.499999999999996</v>
      </c>
      <c r="P34" s="4">
        <v>29</v>
      </c>
      <c r="Q34" s="4">
        <f t="shared" si="9"/>
        <v>0.54402985074626864</v>
      </c>
      <c r="R34" s="10">
        <f t="shared" si="0"/>
        <v>1.3056716417910448</v>
      </c>
      <c r="S34" s="10">
        <f t="shared" si="1"/>
        <v>1.8943283582089554</v>
      </c>
      <c r="T34" s="10">
        <f t="shared" si="7"/>
        <v>51.134402985074622</v>
      </c>
      <c r="V34" s="4">
        <v>1201.8</v>
      </c>
      <c r="W34" s="4">
        <f t="shared" si="2"/>
        <v>73.280487804878049</v>
      </c>
      <c r="X34" s="4">
        <f t="shared" si="8"/>
        <v>27825.199999999997</v>
      </c>
      <c r="AA34" s="4">
        <v>11.582731458026</v>
      </c>
    </row>
    <row r="35" spans="1:27" s="4" customFormat="1" x14ac:dyDescent="0.25">
      <c r="A35" s="70"/>
      <c r="B35" s="5"/>
      <c r="C35" s="6">
        <v>41551</v>
      </c>
      <c r="D35" s="4">
        <v>18</v>
      </c>
      <c r="E35" s="4">
        <v>17.3</v>
      </c>
      <c r="F35" s="4">
        <v>20.7</v>
      </c>
      <c r="G35" s="4">
        <f t="shared" si="4"/>
        <v>443.49999999999994</v>
      </c>
      <c r="J35" s="4">
        <v>0.8</v>
      </c>
      <c r="K35" s="4">
        <f t="shared" si="5"/>
        <v>75.699999999999974</v>
      </c>
      <c r="L35" s="4">
        <v>2.5</v>
      </c>
      <c r="M35" s="4">
        <f t="shared" si="6"/>
        <v>63.699999999999989</v>
      </c>
      <c r="N35" s="9">
        <f t="shared" si="3"/>
        <v>-1.7</v>
      </c>
      <c r="O35" s="4">
        <v>19.799999999999997</v>
      </c>
      <c r="P35" s="4">
        <v>30</v>
      </c>
      <c r="Q35" s="4">
        <f t="shared" si="9"/>
        <v>0.55373134328358209</v>
      </c>
      <c r="R35" s="10">
        <f t="shared" si="0"/>
        <v>1.3843283582089552</v>
      </c>
      <c r="S35" s="10">
        <f t="shared" si="1"/>
        <v>-0.58432835820895512</v>
      </c>
      <c r="T35" s="10">
        <f t="shared" si="7"/>
        <v>50.550074626865666</v>
      </c>
      <c r="V35" s="11">
        <v>744.5</v>
      </c>
      <c r="W35" s="4">
        <f t="shared" si="2"/>
        <v>41.361111111111114</v>
      </c>
      <c r="X35" s="4">
        <f t="shared" si="8"/>
        <v>28569.699999999997</v>
      </c>
      <c r="AA35" s="4">
        <v>11.5194420762639</v>
      </c>
    </row>
    <row r="36" spans="1:27" s="4" customFormat="1" x14ac:dyDescent="0.25">
      <c r="A36" s="70"/>
      <c r="B36" s="5"/>
      <c r="C36" s="6">
        <v>41552</v>
      </c>
      <c r="D36" s="4">
        <v>15.3</v>
      </c>
      <c r="E36" s="4">
        <v>13.1</v>
      </c>
      <c r="F36" s="4">
        <v>19.2</v>
      </c>
      <c r="G36" s="4">
        <f t="shared" si="4"/>
        <v>458.79999999999995</v>
      </c>
      <c r="J36" s="4">
        <v>0</v>
      </c>
      <c r="K36" s="4">
        <f t="shared" si="5"/>
        <v>75.699999999999974</v>
      </c>
      <c r="L36" s="4">
        <v>1.4</v>
      </c>
      <c r="M36" s="4">
        <f t="shared" si="6"/>
        <v>65.099999999999994</v>
      </c>
      <c r="N36" s="9">
        <f t="shared" si="3"/>
        <v>-1.4</v>
      </c>
      <c r="O36" s="4">
        <v>18.399999999999999</v>
      </c>
      <c r="P36" s="4">
        <v>31</v>
      </c>
      <c r="Q36" s="4">
        <f t="shared" si="9"/>
        <v>0.56343283582089554</v>
      </c>
      <c r="R36" s="10">
        <f t="shared" si="0"/>
        <v>0.78880597014925369</v>
      </c>
      <c r="S36" s="10">
        <f t="shared" si="1"/>
        <v>-0.78880597014925369</v>
      </c>
      <c r="T36" s="10">
        <f t="shared" si="7"/>
        <v>49.76126865671641</v>
      </c>
      <c r="V36" s="11">
        <v>414.7</v>
      </c>
      <c r="W36" s="4">
        <f t="shared" si="2"/>
        <v>27.104575163398692</v>
      </c>
      <c r="X36" s="4">
        <f t="shared" si="8"/>
        <v>28984.399999999998</v>
      </c>
      <c r="AA36" s="4">
        <v>11.4561961070522</v>
      </c>
    </row>
    <row r="37" spans="1:27" s="4" customFormat="1" x14ac:dyDescent="0.25">
      <c r="A37" s="70"/>
      <c r="B37" s="5"/>
      <c r="C37" s="6">
        <v>41553</v>
      </c>
      <c r="D37" s="4">
        <v>14.7</v>
      </c>
      <c r="E37" s="4">
        <v>12.8</v>
      </c>
      <c r="F37" s="4">
        <v>18.7</v>
      </c>
      <c r="G37" s="4">
        <f t="shared" si="4"/>
        <v>473.49999999999994</v>
      </c>
      <c r="J37" s="4">
        <v>0</v>
      </c>
      <c r="K37" s="4">
        <f t="shared" si="5"/>
        <v>75.699999999999974</v>
      </c>
      <c r="L37" s="4">
        <v>2.4</v>
      </c>
      <c r="M37" s="4">
        <f t="shared" si="6"/>
        <v>67.5</v>
      </c>
      <c r="N37" s="9">
        <f t="shared" si="3"/>
        <v>-2.4</v>
      </c>
      <c r="O37" s="4">
        <v>15.999999999999998</v>
      </c>
      <c r="P37" s="4">
        <v>32</v>
      </c>
      <c r="Q37" s="4">
        <f t="shared" si="9"/>
        <v>0.57313432835820888</v>
      </c>
      <c r="R37" s="10">
        <f t="shared" si="0"/>
        <v>1.3755223880597012</v>
      </c>
      <c r="S37" s="10">
        <f t="shared" si="1"/>
        <v>-1.3755223880597012</v>
      </c>
      <c r="T37" s="10">
        <f t="shared" si="7"/>
        <v>48.38574626865671</v>
      </c>
      <c r="V37" s="4">
        <v>1022.1</v>
      </c>
      <c r="W37" s="4">
        <f t="shared" si="2"/>
        <v>69.530612244897966</v>
      </c>
      <c r="X37" s="4">
        <f t="shared" si="8"/>
        <v>30006.499999999996</v>
      </c>
      <c r="AA37" s="4">
        <v>11.393000155641101</v>
      </c>
    </row>
    <row r="38" spans="1:27" s="4" customFormat="1" x14ac:dyDescent="0.25">
      <c r="A38" s="70"/>
      <c r="B38" s="5"/>
      <c r="C38" s="6">
        <v>41554</v>
      </c>
      <c r="D38" s="4">
        <v>12.6</v>
      </c>
      <c r="E38" s="4">
        <v>7.6</v>
      </c>
      <c r="F38" s="4">
        <v>18</v>
      </c>
      <c r="G38" s="4">
        <f t="shared" si="4"/>
        <v>486.09999999999997</v>
      </c>
      <c r="J38" s="4">
        <v>0.2</v>
      </c>
      <c r="K38" s="4">
        <f t="shared" si="5"/>
        <v>75.899999999999977</v>
      </c>
      <c r="L38" s="4">
        <v>2.2999999999999998</v>
      </c>
      <c r="M38" s="4">
        <f t="shared" si="6"/>
        <v>69.8</v>
      </c>
      <c r="N38" s="9">
        <f t="shared" si="3"/>
        <v>-2.0999999999999996</v>
      </c>
      <c r="O38" s="4">
        <v>13.899999999999999</v>
      </c>
      <c r="P38" s="4">
        <v>33</v>
      </c>
      <c r="Q38" s="4">
        <f t="shared" si="9"/>
        <v>0.58283582089552233</v>
      </c>
      <c r="R38" s="10">
        <f t="shared" si="0"/>
        <v>1.3405223880597013</v>
      </c>
      <c r="S38" s="10">
        <f t="shared" si="1"/>
        <v>-1.1405223880597013</v>
      </c>
      <c r="T38" s="10">
        <f t="shared" si="7"/>
        <v>47.24522388059701</v>
      </c>
      <c r="V38" s="4">
        <v>1070.3</v>
      </c>
      <c r="W38" s="4">
        <f t="shared" si="2"/>
        <v>84.944444444444443</v>
      </c>
      <c r="X38" s="4">
        <f t="shared" si="8"/>
        <v>31076.799999999996</v>
      </c>
      <c r="AA38" s="4">
        <v>11.329861070072299</v>
      </c>
    </row>
    <row r="39" spans="1:27" s="4" customFormat="1" x14ac:dyDescent="0.25">
      <c r="A39" s="70"/>
      <c r="B39" s="5"/>
      <c r="C39" s="6">
        <v>41555</v>
      </c>
      <c r="D39" s="4">
        <v>13.7</v>
      </c>
      <c r="E39" s="4">
        <v>7.7</v>
      </c>
      <c r="F39" s="4">
        <v>18.899999999999999</v>
      </c>
      <c r="G39" s="4">
        <f t="shared" si="4"/>
        <v>499.79999999999995</v>
      </c>
      <c r="J39" s="4">
        <v>1.8</v>
      </c>
      <c r="K39" s="4">
        <f t="shared" si="5"/>
        <v>77.699999999999974</v>
      </c>
      <c r="L39" s="4">
        <v>2.2000000000000002</v>
      </c>
      <c r="M39" s="4">
        <f t="shared" si="6"/>
        <v>72</v>
      </c>
      <c r="N39" s="9">
        <f t="shared" si="3"/>
        <v>-0.40000000000000013</v>
      </c>
      <c r="O39" s="4">
        <v>13.499999999999998</v>
      </c>
      <c r="P39" s="4">
        <v>34</v>
      </c>
      <c r="Q39" s="4">
        <f t="shared" si="9"/>
        <v>0.59253731343283578</v>
      </c>
      <c r="R39" s="10">
        <f t="shared" si="0"/>
        <v>1.3035820895522388</v>
      </c>
      <c r="S39" s="10">
        <f t="shared" si="1"/>
        <v>0.49641791044776129</v>
      </c>
      <c r="T39" s="10">
        <f t="shared" si="7"/>
        <v>47.741641791044771</v>
      </c>
      <c r="V39" s="4">
        <v>1085.3</v>
      </c>
      <c r="W39" s="4">
        <f t="shared" si="2"/>
        <v>79.21897810218978</v>
      </c>
      <c r="X39" s="4">
        <f t="shared" si="8"/>
        <v>32162.099999999995</v>
      </c>
      <c r="AA39" s="4">
        <v>11.2667859613301</v>
      </c>
    </row>
    <row r="40" spans="1:27" s="4" customFormat="1" x14ac:dyDescent="0.25">
      <c r="A40" s="70"/>
      <c r="B40" s="5"/>
      <c r="C40" s="6">
        <v>41556</v>
      </c>
      <c r="D40" s="4">
        <v>14.2</v>
      </c>
      <c r="E40" s="4">
        <v>13.3</v>
      </c>
      <c r="F40" s="4">
        <v>16.2</v>
      </c>
      <c r="G40" s="4">
        <f t="shared" si="4"/>
        <v>514</v>
      </c>
      <c r="J40" s="4">
        <v>1.1000000000000001</v>
      </c>
      <c r="K40" s="4">
        <f t="shared" si="5"/>
        <v>78.799999999999969</v>
      </c>
      <c r="L40" s="4">
        <v>1.6</v>
      </c>
      <c r="M40" s="4">
        <f t="shared" si="6"/>
        <v>73.599999999999994</v>
      </c>
      <c r="N40" s="9">
        <f t="shared" si="3"/>
        <v>-0.5</v>
      </c>
      <c r="O40" s="4">
        <v>12.999999999999998</v>
      </c>
      <c r="P40" s="4">
        <v>35</v>
      </c>
      <c r="Q40" s="4">
        <f t="shared" si="9"/>
        <v>0.60223880597014923</v>
      </c>
      <c r="R40" s="10">
        <f t="shared" si="0"/>
        <v>0.96358208955223879</v>
      </c>
      <c r="S40" s="10">
        <f t="shared" si="1"/>
        <v>0.1364179104477613</v>
      </c>
      <c r="T40" s="10">
        <f t="shared" si="7"/>
        <v>47.878059701492532</v>
      </c>
      <c r="V40" s="11">
        <v>423.7</v>
      </c>
      <c r="W40" s="4">
        <f t="shared" si="2"/>
        <v>29.838028169014084</v>
      </c>
      <c r="X40" s="4">
        <f t="shared" si="8"/>
        <v>32585.799999999996</v>
      </c>
      <c r="AA40" s="4">
        <v>11.2037822236643</v>
      </c>
    </row>
    <row r="41" spans="1:27" s="4" customFormat="1" x14ac:dyDescent="0.25">
      <c r="A41" s="70"/>
      <c r="B41" s="5"/>
      <c r="C41" s="6">
        <v>41557</v>
      </c>
      <c r="D41" s="4">
        <v>9</v>
      </c>
      <c r="E41" s="4">
        <v>8.4</v>
      </c>
      <c r="F41" s="4">
        <v>9.3000000000000007</v>
      </c>
      <c r="G41" s="4">
        <f t="shared" si="4"/>
        <v>523</v>
      </c>
      <c r="J41" s="4">
        <v>52.2</v>
      </c>
      <c r="K41" s="4">
        <f t="shared" si="5"/>
        <v>130.99999999999997</v>
      </c>
      <c r="L41" s="4">
        <v>1.1000000000000001</v>
      </c>
      <c r="M41" s="4">
        <f t="shared" si="6"/>
        <v>74.699999999999989</v>
      </c>
      <c r="N41" s="4">
        <f t="shared" si="3"/>
        <v>51.1</v>
      </c>
      <c r="O41" s="4">
        <v>64.099999999999994</v>
      </c>
      <c r="P41" s="4">
        <v>36</v>
      </c>
      <c r="Q41" s="4">
        <f t="shared" si="9"/>
        <v>0.61194029850746268</v>
      </c>
      <c r="R41" s="10">
        <f t="shared" si="0"/>
        <v>0.67313432835820897</v>
      </c>
      <c r="S41" s="10">
        <f t="shared" si="1"/>
        <v>51.526865671641794</v>
      </c>
      <c r="T41" s="10">
        <f t="shared" si="7"/>
        <v>99.404925373134319</v>
      </c>
      <c r="V41" s="11">
        <v>255.4</v>
      </c>
      <c r="W41" s="4">
        <f t="shared" si="2"/>
        <v>28.37777777777778</v>
      </c>
      <c r="X41" s="4">
        <f t="shared" si="8"/>
        <v>32841.199999999997</v>
      </c>
      <c r="AA41" s="4">
        <v>11.140857555077901</v>
      </c>
    </row>
    <row r="42" spans="1:27" s="4" customFormat="1" x14ac:dyDescent="0.25">
      <c r="A42" s="70"/>
      <c r="B42" s="5"/>
      <c r="C42" s="6">
        <v>41558</v>
      </c>
      <c r="D42" s="4">
        <v>8.6</v>
      </c>
      <c r="E42" s="4">
        <v>7.4</v>
      </c>
      <c r="F42" s="4">
        <v>9.6999999999999993</v>
      </c>
      <c r="G42" s="4">
        <f t="shared" si="4"/>
        <v>531.6</v>
      </c>
      <c r="J42" s="4">
        <v>3.2</v>
      </c>
      <c r="K42" s="4">
        <f t="shared" si="5"/>
        <v>134.19999999999996</v>
      </c>
      <c r="L42" s="4">
        <v>0.7</v>
      </c>
      <c r="M42" s="4">
        <f t="shared" si="6"/>
        <v>75.399999999999991</v>
      </c>
      <c r="N42" s="4">
        <f t="shared" si="3"/>
        <v>2.5</v>
      </c>
      <c r="O42" s="4">
        <v>66.599999999999994</v>
      </c>
      <c r="P42" s="4">
        <v>37</v>
      </c>
      <c r="Q42" s="4">
        <f t="shared" si="9"/>
        <v>0.62164179104477602</v>
      </c>
      <c r="R42" s="10">
        <f t="shared" si="0"/>
        <v>0.43514925373134317</v>
      </c>
      <c r="S42" s="10">
        <f t="shared" si="1"/>
        <v>2.7648507462686571</v>
      </c>
      <c r="T42" s="10">
        <f t="shared" si="7"/>
        <v>102.16977611940298</v>
      </c>
      <c r="V42" s="11">
        <v>371.9</v>
      </c>
      <c r="W42" s="4">
        <f t="shared" si="2"/>
        <v>43.244186046511629</v>
      </c>
      <c r="X42" s="4">
        <f t="shared" si="8"/>
        <v>33213.1</v>
      </c>
      <c r="AA42" s="4">
        <v>11.0780199779733</v>
      </c>
    </row>
    <row r="43" spans="1:27" s="4" customFormat="1" x14ac:dyDescent="0.25">
      <c r="A43" s="70"/>
      <c r="B43" s="5"/>
      <c r="C43" s="6">
        <v>41559</v>
      </c>
      <c r="D43" s="4">
        <v>8.3000000000000007</v>
      </c>
      <c r="E43" s="13">
        <v>4.3</v>
      </c>
      <c r="F43" s="4">
        <v>11.3</v>
      </c>
      <c r="G43" s="4">
        <f t="shared" si="4"/>
        <v>539.9</v>
      </c>
      <c r="J43" s="4">
        <v>0.6</v>
      </c>
      <c r="K43" s="4">
        <f t="shared" si="5"/>
        <v>134.79999999999995</v>
      </c>
      <c r="L43" s="4">
        <v>1</v>
      </c>
      <c r="M43" s="4">
        <f t="shared" si="6"/>
        <v>76.399999999999991</v>
      </c>
      <c r="N43" s="9">
        <f t="shared" si="3"/>
        <v>-0.4</v>
      </c>
      <c r="O43" s="4">
        <v>66.199999999999989</v>
      </c>
      <c r="P43" s="4">
        <v>38</v>
      </c>
      <c r="Q43" s="4">
        <f t="shared" si="9"/>
        <v>0.63134328358208958</v>
      </c>
      <c r="R43" s="10">
        <f t="shared" si="0"/>
        <v>0.63134328358208958</v>
      </c>
      <c r="S43" s="10">
        <f t="shared" si="1"/>
        <v>-3.1343283582089598E-2</v>
      </c>
      <c r="T43" s="10">
        <f t="shared" si="7"/>
        <v>102.13843283582089</v>
      </c>
      <c r="V43" s="11">
        <v>764.3</v>
      </c>
      <c r="W43" s="4">
        <f t="shared" si="2"/>
        <v>92.084337349397572</v>
      </c>
      <c r="X43" s="4">
        <f t="shared" si="8"/>
        <v>33977.4</v>
      </c>
      <c r="AA43" s="4">
        <v>11.0152778599436</v>
      </c>
    </row>
    <row r="44" spans="1:27" s="4" customFormat="1" x14ac:dyDescent="0.25">
      <c r="A44" s="70"/>
      <c r="B44" s="5"/>
      <c r="C44" s="6">
        <v>41560</v>
      </c>
      <c r="D44" s="4">
        <v>8.6999999999999993</v>
      </c>
      <c r="E44" s="4">
        <v>8.1</v>
      </c>
      <c r="F44" s="4">
        <v>9.8000000000000007</v>
      </c>
      <c r="G44" s="4">
        <f t="shared" si="4"/>
        <v>548.6</v>
      </c>
      <c r="J44" s="4">
        <v>16.5</v>
      </c>
      <c r="K44" s="4">
        <f t="shared" si="5"/>
        <v>151.29999999999995</v>
      </c>
      <c r="L44" s="4">
        <v>0.9</v>
      </c>
      <c r="M44" s="4">
        <f t="shared" si="6"/>
        <v>77.3</v>
      </c>
      <c r="N44" s="4">
        <f t="shared" si="3"/>
        <v>15.6</v>
      </c>
      <c r="O44" s="4">
        <v>81.799999999999983</v>
      </c>
      <c r="P44" s="4">
        <v>39</v>
      </c>
      <c r="Q44" s="4">
        <f t="shared" si="9"/>
        <v>0.64104477611940291</v>
      </c>
      <c r="R44" s="10">
        <f t="shared" si="0"/>
        <v>0.57694029850746265</v>
      </c>
      <c r="S44" s="10">
        <f t="shared" si="1"/>
        <v>15.923059701492537</v>
      </c>
      <c r="T44" s="10">
        <f t="shared" si="7"/>
        <v>118.06149253731343</v>
      </c>
      <c r="V44" s="11">
        <v>149.4</v>
      </c>
      <c r="W44" s="4">
        <f t="shared" si="2"/>
        <v>17.172413793103452</v>
      </c>
      <c r="X44" s="4">
        <f t="shared" si="8"/>
        <v>34126.800000000003</v>
      </c>
      <c r="AA44" s="4">
        <v>10.9526399346951</v>
      </c>
    </row>
    <row r="45" spans="1:27" s="4" customFormat="1" x14ac:dyDescent="0.25">
      <c r="A45" s="70"/>
      <c r="B45" s="5"/>
      <c r="C45" s="6">
        <v>41561</v>
      </c>
      <c r="D45" s="4">
        <v>10.4</v>
      </c>
      <c r="E45" s="4">
        <v>9.6</v>
      </c>
      <c r="F45" s="4">
        <v>11.1</v>
      </c>
      <c r="G45" s="4">
        <f t="shared" si="4"/>
        <v>559</v>
      </c>
      <c r="J45" s="4">
        <v>11.8</v>
      </c>
      <c r="K45" s="4">
        <f t="shared" si="5"/>
        <v>163.09999999999997</v>
      </c>
      <c r="L45" s="4">
        <v>0.6</v>
      </c>
      <c r="M45" s="4">
        <f t="shared" si="6"/>
        <v>77.899999999999991</v>
      </c>
      <c r="N45" s="4">
        <f t="shared" si="3"/>
        <v>11.200000000000001</v>
      </c>
      <c r="O45" s="4">
        <v>92.999999999999986</v>
      </c>
      <c r="P45" s="4">
        <v>40</v>
      </c>
      <c r="Q45" s="4">
        <f t="shared" si="9"/>
        <v>0.65074626865671648</v>
      </c>
      <c r="R45" s="10">
        <f t="shared" si="0"/>
        <v>0.39044776119402985</v>
      </c>
      <c r="S45" s="10">
        <f t="shared" si="1"/>
        <v>11.40955223880597</v>
      </c>
      <c r="T45" s="10">
        <f t="shared" si="7"/>
        <v>129.47104477611938</v>
      </c>
      <c r="V45" s="11">
        <v>151.1</v>
      </c>
      <c r="W45" s="4">
        <f t="shared" si="2"/>
        <v>14.528846153846153</v>
      </c>
      <c r="X45" s="4">
        <f t="shared" si="8"/>
        <v>34277.9</v>
      </c>
      <c r="AA45" s="4">
        <v>10.8901153230823</v>
      </c>
    </row>
    <row r="46" spans="1:27" s="4" customFormat="1" x14ac:dyDescent="0.25">
      <c r="A46" s="70"/>
      <c r="B46" s="5"/>
      <c r="C46" s="6">
        <v>41562</v>
      </c>
      <c r="D46" s="4">
        <v>10.3</v>
      </c>
      <c r="E46" s="4">
        <v>8.1999999999999993</v>
      </c>
      <c r="F46" s="4">
        <v>12.6</v>
      </c>
      <c r="G46" s="4">
        <f t="shared" si="4"/>
        <v>569.29999999999995</v>
      </c>
      <c r="J46" s="4">
        <v>0.2</v>
      </c>
      <c r="K46" s="4">
        <f t="shared" si="5"/>
        <v>163.29999999999995</v>
      </c>
      <c r="L46" s="4">
        <v>1.7</v>
      </c>
      <c r="M46" s="4">
        <f t="shared" si="6"/>
        <v>79.599999999999994</v>
      </c>
      <c r="N46" s="9">
        <f t="shared" si="3"/>
        <v>-1.5</v>
      </c>
      <c r="O46" s="4">
        <v>91.499999999999986</v>
      </c>
      <c r="P46" s="4">
        <v>41</v>
      </c>
      <c r="Q46" s="4">
        <f t="shared" si="9"/>
        <v>0.66044776119402981</v>
      </c>
      <c r="R46" s="10">
        <f t="shared" si="0"/>
        <v>1.1227611940298508</v>
      </c>
      <c r="S46" s="10">
        <f t="shared" si="1"/>
        <v>-0.9227611940298508</v>
      </c>
      <c r="T46" s="10">
        <f t="shared" si="7"/>
        <v>128.54828358208954</v>
      </c>
      <c r="V46" s="11">
        <v>861.3</v>
      </c>
      <c r="W46" s="4">
        <f t="shared" si="2"/>
        <v>83.621359223300956</v>
      </c>
      <c r="X46" s="4">
        <f t="shared" si="8"/>
        <v>35139.200000000004</v>
      </c>
      <c r="AA46" s="4">
        <v>10.827713554233901</v>
      </c>
    </row>
    <row r="47" spans="1:27" s="4" customFormat="1" x14ac:dyDescent="0.25">
      <c r="A47" s="70"/>
      <c r="B47" s="5"/>
      <c r="C47" s="6">
        <v>41563</v>
      </c>
      <c r="D47" s="4">
        <v>10.199999999999999</v>
      </c>
      <c r="E47" s="4">
        <v>7.6</v>
      </c>
      <c r="F47" s="4">
        <v>12.5</v>
      </c>
      <c r="G47" s="4">
        <f t="shared" si="4"/>
        <v>579.5</v>
      </c>
      <c r="J47" s="4">
        <v>3.6</v>
      </c>
      <c r="K47" s="4">
        <f t="shared" si="5"/>
        <v>166.89999999999995</v>
      </c>
      <c r="L47" s="4">
        <v>0.5</v>
      </c>
      <c r="M47" s="4">
        <f t="shared" si="6"/>
        <v>80.099999999999994</v>
      </c>
      <c r="N47" s="4">
        <f t="shared" si="3"/>
        <v>3.1</v>
      </c>
      <c r="O47" s="4">
        <v>94.59999999999998</v>
      </c>
      <c r="P47" s="4">
        <v>42</v>
      </c>
      <c r="Q47" s="4">
        <f t="shared" si="9"/>
        <v>0.67014925373134326</v>
      </c>
      <c r="R47" s="10">
        <f t="shared" si="0"/>
        <v>0.33507462686567163</v>
      </c>
      <c r="S47" s="10">
        <f t="shared" si="1"/>
        <v>3.2649253731343286</v>
      </c>
      <c r="T47" s="10">
        <f t="shared" si="7"/>
        <v>131.81320895522387</v>
      </c>
      <c r="V47" s="11">
        <v>239.4</v>
      </c>
      <c r="W47" s="4">
        <f t="shared" si="2"/>
        <v>23.47058823529412</v>
      </c>
      <c r="X47" s="4">
        <f t="shared" si="8"/>
        <v>35378.600000000006</v>
      </c>
      <c r="AA47" s="4">
        <v>10.7654445867412</v>
      </c>
    </row>
    <row r="48" spans="1:27" s="4" customFormat="1" x14ac:dyDescent="0.25">
      <c r="A48" s="70"/>
      <c r="B48" s="5"/>
      <c r="C48" s="6">
        <v>41564</v>
      </c>
      <c r="D48" s="4">
        <v>13.2</v>
      </c>
      <c r="E48" s="4">
        <v>11.5</v>
      </c>
      <c r="F48" s="4">
        <v>15</v>
      </c>
      <c r="G48" s="4">
        <f t="shared" si="4"/>
        <v>592.70000000000005</v>
      </c>
      <c r="J48" s="4">
        <v>5.2</v>
      </c>
      <c r="K48" s="4">
        <f t="shared" si="5"/>
        <v>172.09999999999994</v>
      </c>
      <c r="L48" s="4">
        <v>1</v>
      </c>
      <c r="M48" s="4">
        <f t="shared" si="6"/>
        <v>81.099999999999994</v>
      </c>
      <c r="N48" s="4">
        <f t="shared" si="3"/>
        <v>4.2</v>
      </c>
      <c r="O48" s="4">
        <v>98.799999999999983</v>
      </c>
      <c r="P48" s="4">
        <v>43</v>
      </c>
      <c r="Q48" s="4">
        <f t="shared" si="9"/>
        <v>0.67985074626865671</v>
      </c>
      <c r="R48" s="10">
        <f t="shared" si="0"/>
        <v>0.67985074626865671</v>
      </c>
      <c r="S48" s="10">
        <f t="shared" si="1"/>
        <v>4.5201492537313435</v>
      </c>
      <c r="T48" s="10">
        <f t="shared" si="7"/>
        <v>136.33335820895522</v>
      </c>
      <c r="V48" s="11">
        <v>381.4</v>
      </c>
      <c r="W48" s="4">
        <f t="shared" si="2"/>
        <v>28.893939393939394</v>
      </c>
      <c r="X48" s="4">
        <f t="shared" si="8"/>
        <v>35760.000000000007</v>
      </c>
      <c r="AA48" s="4">
        <v>10.7033188298807</v>
      </c>
    </row>
    <row r="49" spans="1:27" s="4" customFormat="1" x14ac:dyDescent="0.25">
      <c r="A49" s="70"/>
      <c r="B49" s="5"/>
      <c r="C49" s="6">
        <v>41565</v>
      </c>
      <c r="D49" s="4">
        <v>11.7</v>
      </c>
      <c r="E49" s="4">
        <v>10.5</v>
      </c>
      <c r="F49" s="4">
        <v>12.8</v>
      </c>
      <c r="G49" s="4">
        <f t="shared" si="4"/>
        <v>604.40000000000009</v>
      </c>
      <c r="J49" s="4">
        <v>0</v>
      </c>
      <c r="K49" s="4">
        <f t="shared" si="5"/>
        <v>172.09999999999994</v>
      </c>
      <c r="L49" s="4">
        <v>0.7</v>
      </c>
      <c r="M49" s="4">
        <f t="shared" si="6"/>
        <v>81.8</v>
      </c>
      <c r="N49" s="9">
        <f t="shared" si="3"/>
        <v>-0.7</v>
      </c>
      <c r="O49" s="4">
        <v>98.09999999999998</v>
      </c>
      <c r="P49" s="4">
        <v>44</v>
      </c>
      <c r="Q49" s="4">
        <f t="shared" si="9"/>
        <v>0.68955223880597005</v>
      </c>
      <c r="R49" s="10">
        <f t="shared" si="0"/>
        <v>0.48268656716417901</v>
      </c>
      <c r="S49" s="10">
        <f t="shared" si="1"/>
        <v>-0.48268656716417901</v>
      </c>
      <c r="T49" s="10">
        <f t="shared" si="7"/>
        <v>135.85067164179105</v>
      </c>
      <c r="V49" s="11">
        <v>468.5</v>
      </c>
      <c r="W49" s="4">
        <f t="shared" si="2"/>
        <v>40.042735042735046</v>
      </c>
      <c r="X49" s="4">
        <f t="shared" si="8"/>
        <v>36228.500000000007</v>
      </c>
      <c r="AA49" s="4">
        <v>10.6413471648317</v>
      </c>
    </row>
    <row r="50" spans="1:27" s="4" customFormat="1" x14ac:dyDescent="0.25">
      <c r="A50" s="70"/>
      <c r="B50" s="5"/>
      <c r="C50" s="6">
        <v>41566</v>
      </c>
      <c r="D50" s="4">
        <v>13.4</v>
      </c>
      <c r="E50" s="4">
        <v>10.3</v>
      </c>
      <c r="F50" s="4">
        <v>15.7</v>
      </c>
      <c r="G50" s="4">
        <f t="shared" si="4"/>
        <v>617.80000000000007</v>
      </c>
      <c r="J50" s="4">
        <v>1.1000000000000001</v>
      </c>
      <c r="K50" s="4">
        <f t="shared" si="5"/>
        <v>173.19999999999993</v>
      </c>
      <c r="L50" s="4">
        <v>0.4</v>
      </c>
      <c r="M50" s="4">
        <f t="shared" si="6"/>
        <v>82.2</v>
      </c>
      <c r="N50" s="4">
        <f t="shared" si="3"/>
        <v>0.70000000000000007</v>
      </c>
      <c r="O50" s="4">
        <v>98.799999999999983</v>
      </c>
      <c r="P50" s="4">
        <v>45</v>
      </c>
      <c r="Q50" s="4">
        <f t="shared" si="9"/>
        <v>0.69925373134328361</v>
      </c>
      <c r="R50" s="10">
        <f t="shared" si="0"/>
        <v>0.27970149253731347</v>
      </c>
      <c r="S50" s="10">
        <f t="shared" si="1"/>
        <v>0.82029850746268662</v>
      </c>
      <c r="T50" s="10">
        <f t="shared" si="7"/>
        <v>136.67097014925375</v>
      </c>
      <c r="V50" s="11">
        <v>358.4</v>
      </c>
      <c r="W50" s="4">
        <f t="shared" si="2"/>
        <v>26.746268656716417</v>
      </c>
      <c r="X50" s="4">
        <f t="shared" si="8"/>
        <v>36586.900000000009</v>
      </c>
      <c r="AA50" s="4">
        <v>10.5795409658507</v>
      </c>
    </row>
    <row r="51" spans="1:27" s="4" customFormat="1" x14ac:dyDescent="0.25">
      <c r="A51" s="70"/>
      <c r="B51" s="5"/>
      <c r="C51" s="6">
        <v>41567</v>
      </c>
      <c r="D51" s="4">
        <v>14.8</v>
      </c>
      <c r="E51" s="4">
        <v>13.1</v>
      </c>
      <c r="F51" s="4">
        <v>17.3</v>
      </c>
      <c r="G51" s="4">
        <f t="shared" si="4"/>
        <v>632.6</v>
      </c>
      <c r="J51" s="4">
        <v>1.1000000000000001</v>
      </c>
      <c r="K51" s="4">
        <f t="shared" si="5"/>
        <v>174.29999999999993</v>
      </c>
      <c r="L51" s="4">
        <v>1.3</v>
      </c>
      <c r="M51" s="4">
        <f t="shared" si="6"/>
        <v>83.5</v>
      </c>
      <c r="N51" s="9">
        <f t="shared" si="3"/>
        <v>-0.19999999999999996</v>
      </c>
      <c r="O51" s="4">
        <v>98.59999999999998</v>
      </c>
      <c r="P51" s="4">
        <v>46</v>
      </c>
      <c r="Q51" s="4">
        <f t="shared" si="9"/>
        <v>0.70895522388059695</v>
      </c>
      <c r="R51" s="10">
        <f t="shared" si="0"/>
        <v>0.92164179104477606</v>
      </c>
      <c r="S51" s="10">
        <f t="shared" si="1"/>
        <v>0.17835820895522403</v>
      </c>
      <c r="T51" s="10">
        <f t="shared" si="7"/>
        <v>136.84932835820896</v>
      </c>
      <c r="V51" s="11">
        <v>679.5</v>
      </c>
      <c r="W51" s="4">
        <f t="shared" si="2"/>
        <v>45.912162162162161</v>
      </c>
      <c r="X51" s="4">
        <f t="shared" si="8"/>
        <v>37266.400000000009</v>
      </c>
      <c r="AA51" s="4">
        <v>10.517912121352399</v>
      </c>
    </row>
    <row r="52" spans="1:27" s="4" customFormat="1" x14ac:dyDescent="0.25">
      <c r="A52" s="70"/>
      <c r="B52" s="5"/>
      <c r="C52" s="6">
        <v>41568</v>
      </c>
      <c r="D52" s="4">
        <v>15.4</v>
      </c>
      <c r="E52" s="4">
        <v>13</v>
      </c>
      <c r="F52" s="4">
        <v>17.399999999999999</v>
      </c>
      <c r="G52" s="4">
        <f t="shared" si="4"/>
        <v>648</v>
      </c>
      <c r="J52" s="4">
        <v>0.2</v>
      </c>
      <c r="K52" s="4">
        <f t="shared" si="5"/>
        <v>174.49999999999991</v>
      </c>
      <c r="L52" s="4">
        <v>1.1000000000000001</v>
      </c>
      <c r="M52" s="4">
        <f t="shared" si="6"/>
        <v>84.6</v>
      </c>
      <c r="N52" s="9">
        <f t="shared" si="3"/>
        <v>-0.90000000000000013</v>
      </c>
      <c r="O52" s="4">
        <v>97.699999999999974</v>
      </c>
      <c r="P52" s="4">
        <v>47</v>
      </c>
      <c r="Q52" s="4">
        <f t="shared" si="9"/>
        <v>0.7186567164179104</v>
      </c>
      <c r="R52" s="10">
        <f t="shared" si="0"/>
        <v>0.79052238805970154</v>
      </c>
      <c r="S52" s="10">
        <f t="shared" si="1"/>
        <v>-0.59052238805970148</v>
      </c>
      <c r="T52" s="10">
        <f t="shared" si="7"/>
        <v>136.25880597014927</v>
      </c>
      <c r="V52" s="11">
        <v>572.20000000000005</v>
      </c>
      <c r="W52" s="4">
        <f t="shared" si="2"/>
        <v>37.155844155844157</v>
      </c>
      <c r="X52" s="4">
        <f t="shared" si="8"/>
        <v>37838.600000000006</v>
      </c>
      <c r="AA52" s="4">
        <v>10.456473054847701</v>
      </c>
    </row>
    <row r="53" spans="1:27" s="4" customFormat="1" x14ac:dyDescent="0.25">
      <c r="A53" s="70"/>
      <c r="B53" s="5"/>
      <c r="C53" s="6">
        <v>41569</v>
      </c>
      <c r="D53" s="4">
        <v>17.3</v>
      </c>
      <c r="E53" s="4">
        <v>15</v>
      </c>
      <c r="F53" s="4">
        <v>20.8</v>
      </c>
      <c r="G53" s="4">
        <f t="shared" si="4"/>
        <v>665.3</v>
      </c>
      <c r="J53" s="4">
        <v>0.2</v>
      </c>
      <c r="K53" s="4">
        <f t="shared" si="5"/>
        <v>174.6999999999999</v>
      </c>
      <c r="L53" s="4">
        <v>2.2000000000000002</v>
      </c>
      <c r="M53" s="4">
        <f t="shared" si="6"/>
        <v>86.8</v>
      </c>
      <c r="N53" s="9">
        <f t="shared" si="3"/>
        <v>-2</v>
      </c>
      <c r="O53" s="4">
        <v>95.699999999999974</v>
      </c>
      <c r="P53" s="4">
        <v>48</v>
      </c>
      <c r="Q53" s="4">
        <f t="shared" si="9"/>
        <v>0.72835820895522385</v>
      </c>
      <c r="R53" s="10">
        <f t="shared" si="0"/>
        <v>1.6023880597014926</v>
      </c>
      <c r="S53" s="10">
        <f t="shared" si="1"/>
        <v>-1.4023880597014926</v>
      </c>
      <c r="T53" s="10">
        <f t="shared" si="7"/>
        <v>134.85641791044779</v>
      </c>
      <c r="V53" s="11">
        <v>851.4</v>
      </c>
      <c r="W53" s="4">
        <f t="shared" si="2"/>
        <v>49.213872832369937</v>
      </c>
      <c r="X53" s="4">
        <f t="shared" si="8"/>
        <v>38690.000000000007</v>
      </c>
      <c r="AA53" s="4">
        <v>10.3952367456766</v>
      </c>
    </row>
    <row r="54" spans="1:27" s="4" customFormat="1" x14ac:dyDescent="0.25">
      <c r="A54" s="70"/>
      <c r="B54" s="5"/>
      <c r="C54" s="6">
        <v>41570</v>
      </c>
      <c r="D54" s="4">
        <v>15.6</v>
      </c>
      <c r="E54" s="4">
        <v>14.2</v>
      </c>
      <c r="F54" s="4">
        <v>19.2</v>
      </c>
      <c r="G54" s="4">
        <f t="shared" si="4"/>
        <v>680.9</v>
      </c>
      <c r="J54" s="4">
        <v>2.9</v>
      </c>
      <c r="K54" s="4">
        <f t="shared" si="5"/>
        <v>177.59999999999991</v>
      </c>
      <c r="L54" s="4">
        <v>2.5</v>
      </c>
      <c r="M54" s="4">
        <f t="shared" si="6"/>
        <v>89.3</v>
      </c>
      <c r="N54" s="4">
        <f t="shared" si="3"/>
        <v>0.39999999999999991</v>
      </c>
      <c r="O54" s="4">
        <v>96.09999999999998</v>
      </c>
      <c r="P54" s="4">
        <v>49</v>
      </c>
      <c r="Q54" s="4">
        <f t="shared" si="9"/>
        <v>0.73805970149253719</v>
      </c>
      <c r="R54" s="10">
        <f t="shared" si="0"/>
        <v>1.845149253731343</v>
      </c>
      <c r="S54" s="10">
        <f t="shared" si="1"/>
        <v>1.0548507462686569</v>
      </c>
      <c r="T54" s="10">
        <f t="shared" si="7"/>
        <v>135.91126865671646</v>
      </c>
      <c r="V54" s="11">
        <v>669.1</v>
      </c>
      <c r="W54" s="4">
        <f t="shared" si="2"/>
        <v>42.891025641025642</v>
      </c>
      <c r="X54" s="4">
        <f t="shared" si="8"/>
        <v>39359.100000000006</v>
      </c>
      <c r="AA54" s="4">
        <v>10.3342167494721</v>
      </c>
    </row>
    <row r="55" spans="1:27" s="4" customFormat="1" x14ac:dyDescent="0.25">
      <c r="A55" s="70"/>
      <c r="B55" s="5"/>
      <c r="C55" s="6">
        <v>41571</v>
      </c>
      <c r="D55" s="4">
        <v>11.6</v>
      </c>
      <c r="E55" s="4">
        <v>8.9</v>
      </c>
      <c r="F55" s="4">
        <v>14.5</v>
      </c>
      <c r="G55" s="4">
        <f t="shared" si="4"/>
        <v>692.5</v>
      </c>
      <c r="J55" s="4">
        <v>0.5</v>
      </c>
      <c r="K55" s="4">
        <f t="shared" si="5"/>
        <v>178.09999999999991</v>
      </c>
      <c r="L55" s="4">
        <v>0.9</v>
      </c>
      <c r="M55" s="4">
        <f t="shared" si="6"/>
        <v>90.2</v>
      </c>
      <c r="N55" s="9">
        <f t="shared" si="3"/>
        <v>-0.4</v>
      </c>
      <c r="O55" s="4">
        <v>95.699999999999974</v>
      </c>
      <c r="P55" s="4">
        <v>50</v>
      </c>
      <c r="Q55" s="4">
        <f t="shared" si="9"/>
        <v>0.74776119402985075</v>
      </c>
      <c r="R55" s="10">
        <f t="shared" si="0"/>
        <v>0.67298507462686574</v>
      </c>
      <c r="S55" s="10">
        <f t="shared" si="1"/>
        <v>-0.17298507462686574</v>
      </c>
      <c r="T55" s="10">
        <f t="shared" si="7"/>
        <v>135.73828358208959</v>
      </c>
      <c r="V55" s="11">
        <v>755.3</v>
      </c>
      <c r="W55" s="4">
        <f t="shared" si="2"/>
        <v>65.112068965517238</v>
      </c>
      <c r="X55" s="4">
        <f t="shared" si="8"/>
        <v>40114.400000000009</v>
      </c>
      <c r="AA55" s="4">
        <v>10.273427218281</v>
      </c>
    </row>
    <row r="56" spans="1:27" s="4" customFormat="1" x14ac:dyDescent="0.25">
      <c r="A56" s="70"/>
      <c r="B56" s="5"/>
      <c r="C56" s="6">
        <v>41572</v>
      </c>
      <c r="D56" s="4">
        <v>15.9</v>
      </c>
      <c r="E56" s="4">
        <v>12.6</v>
      </c>
      <c r="F56" s="4">
        <v>18.5</v>
      </c>
      <c r="G56" s="4">
        <f t="shared" si="4"/>
        <v>708.4</v>
      </c>
      <c r="J56" s="4">
        <v>0.5</v>
      </c>
      <c r="K56" s="4">
        <f t="shared" si="5"/>
        <v>178.59999999999991</v>
      </c>
      <c r="L56" s="4">
        <v>1.4</v>
      </c>
      <c r="M56" s="4">
        <f t="shared" si="6"/>
        <v>91.600000000000009</v>
      </c>
      <c r="N56" s="9">
        <f t="shared" si="3"/>
        <v>-0.89999999999999991</v>
      </c>
      <c r="O56" s="4">
        <v>94.799999999999969</v>
      </c>
      <c r="P56" s="4">
        <v>51</v>
      </c>
      <c r="Q56" s="4">
        <f t="shared" si="9"/>
        <v>0.7574626865671642</v>
      </c>
      <c r="R56" s="10">
        <f t="shared" si="0"/>
        <v>1.0604477611940297</v>
      </c>
      <c r="S56" s="10">
        <f t="shared" si="1"/>
        <v>-0.56044776119402973</v>
      </c>
      <c r="T56" s="10">
        <f t="shared" si="7"/>
        <v>135.17783582089555</v>
      </c>
      <c r="V56" s="11">
        <v>522.79999999999995</v>
      </c>
      <c r="W56" s="4">
        <f t="shared" si="2"/>
        <v>32.880503144654085</v>
      </c>
      <c r="X56" s="4">
        <f t="shared" si="8"/>
        <v>40637.200000000012</v>
      </c>
      <c r="AA56" s="4">
        <v>10.2128829202618</v>
      </c>
    </row>
    <row r="57" spans="1:27" s="4" customFormat="1" x14ac:dyDescent="0.25">
      <c r="A57" s="70"/>
      <c r="B57" s="5"/>
      <c r="C57" s="6">
        <v>41573</v>
      </c>
      <c r="D57" s="4">
        <v>16.3</v>
      </c>
      <c r="E57" s="4">
        <v>15.2</v>
      </c>
      <c r="F57" s="4">
        <v>18.2</v>
      </c>
      <c r="G57" s="4">
        <f t="shared" si="4"/>
        <v>724.69999999999993</v>
      </c>
      <c r="J57" s="4">
        <v>0.4</v>
      </c>
      <c r="K57" s="4">
        <f t="shared" si="5"/>
        <v>178.99999999999991</v>
      </c>
      <c r="L57" s="4">
        <v>1.9</v>
      </c>
      <c r="M57" s="4">
        <f t="shared" si="6"/>
        <v>93.500000000000014</v>
      </c>
      <c r="N57" s="9">
        <f t="shared" si="3"/>
        <v>-1.5</v>
      </c>
      <c r="O57" s="4">
        <v>93.299999999999969</v>
      </c>
      <c r="P57" s="4">
        <v>52</v>
      </c>
      <c r="Q57" s="4">
        <f t="shared" si="9"/>
        <v>0.76716417910447765</v>
      </c>
      <c r="R57" s="10">
        <f t="shared" si="0"/>
        <v>1.4576119402985075</v>
      </c>
      <c r="S57" s="10">
        <f t="shared" si="1"/>
        <v>-1.0576119402985076</v>
      </c>
      <c r="T57" s="10">
        <f t="shared" si="7"/>
        <v>134.12022388059705</v>
      </c>
      <c r="V57" s="11">
        <v>731.9</v>
      </c>
      <c r="W57" s="4">
        <f t="shared" si="2"/>
        <v>44.901840490797539</v>
      </c>
      <c r="X57" s="4">
        <f t="shared" si="8"/>
        <v>41369.100000000013</v>
      </c>
      <c r="AA57" s="4">
        <v>10.152599258871</v>
      </c>
    </row>
    <row r="58" spans="1:27" s="4" customFormat="1" x14ac:dyDescent="0.25">
      <c r="A58" s="70"/>
      <c r="B58" s="5"/>
      <c r="C58" s="6">
        <v>41574</v>
      </c>
      <c r="D58" s="4">
        <v>15.2</v>
      </c>
      <c r="E58" s="4">
        <v>14.7</v>
      </c>
      <c r="F58" s="4">
        <v>16.5</v>
      </c>
      <c r="G58" s="4">
        <f t="shared" si="4"/>
        <v>739.9</v>
      </c>
      <c r="J58" s="4">
        <v>2.7</v>
      </c>
      <c r="K58" s="4">
        <f t="shared" si="5"/>
        <v>181.6999999999999</v>
      </c>
      <c r="L58" s="4">
        <v>2.8</v>
      </c>
      <c r="M58" s="4">
        <f t="shared" si="6"/>
        <v>96.300000000000011</v>
      </c>
      <c r="N58" s="9">
        <f t="shared" si="3"/>
        <v>-9.9999999999999645E-2</v>
      </c>
      <c r="O58" s="4">
        <v>93.199999999999974</v>
      </c>
      <c r="P58" s="4">
        <v>53</v>
      </c>
      <c r="Q58" s="4">
        <f t="shared" si="9"/>
        <v>0.77686567164179099</v>
      </c>
      <c r="R58" s="10">
        <f t="shared" si="0"/>
        <v>2.1752238805970148</v>
      </c>
      <c r="S58" s="10">
        <f t="shared" si="1"/>
        <v>0.52477611940298541</v>
      </c>
      <c r="T58" s="10">
        <f t="shared" si="7"/>
        <v>134.64500000000004</v>
      </c>
      <c r="V58" s="11">
        <v>456.3</v>
      </c>
      <c r="W58" s="4">
        <f t="shared" si="2"/>
        <v>30.019736842105264</v>
      </c>
      <c r="X58" s="4">
        <f t="shared" si="8"/>
        <v>41825.400000000016</v>
      </c>
      <c r="AA58" s="4">
        <v>10.0925922914425</v>
      </c>
    </row>
    <row r="59" spans="1:27" s="4" customFormat="1" x14ac:dyDescent="0.25">
      <c r="A59" s="70"/>
      <c r="B59" s="5"/>
      <c r="C59" s="6">
        <v>41575</v>
      </c>
      <c r="D59" s="4">
        <v>13.5</v>
      </c>
      <c r="E59" s="4">
        <v>11.5</v>
      </c>
      <c r="F59" s="4">
        <v>15.8</v>
      </c>
      <c r="G59" s="4">
        <f t="shared" si="4"/>
        <v>753.4</v>
      </c>
      <c r="J59" s="4">
        <v>4.3</v>
      </c>
      <c r="K59" s="4">
        <f t="shared" si="5"/>
        <v>185.99999999999991</v>
      </c>
      <c r="L59" s="4">
        <v>2.5</v>
      </c>
      <c r="M59" s="4">
        <f t="shared" si="6"/>
        <v>98.800000000000011</v>
      </c>
      <c r="N59" s="4">
        <f t="shared" si="3"/>
        <v>1.7999999999999998</v>
      </c>
      <c r="O59" s="4">
        <v>94.999999999999972</v>
      </c>
      <c r="P59" s="4">
        <v>54</v>
      </c>
      <c r="Q59" s="4">
        <f t="shared" si="9"/>
        <v>0.78656716417910455</v>
      </c>
      <c r="R59" s="10">
        <f t="shared" si="0"/>
        <v>1.9664179104477615</v>
      </c>
      <c r="S59" s="10">
        <f t="shared" si="1"/>
        <v>2.3335820895522383</v>
      </c>
      <c r="T59" s="10">
        <f t="shared" si="7"/>
        <v>136.97858208955228</v>
      </c>
      <c r="V59" s="11">
        <v>432.8</v>
      </c>
      <c r="W59" s="4">
        <f t="shared" si="2"/>
        <v>32.059259259259257</v>
      </c>
      <c r="X59" s="4">
        <f t="shared" si="8"/>
        <v>42258.200000000019</v>
      </c>
      <c r="AA59" s="4">
        <v>10.032878747055101</v>
      </c>
    </row>
    <row r="60" spans="1:27" s="4" customFormat="1" x14ac:dyDescent="0.25">
      <c r="A60" s="70"/>
      <c r="B60" s="5"/>
      <c r="C60" s="6">
        <v>41576</v>
      </c>
      <c r="D60" s="4">
        <v>9.3000000000000007</v>
      </c>
      <c r="E60" s="4">
        <v>8.6</v>
      </c>
      <c r="F60" s="4">
        <v>11.8</v>
      </c>
      <c r="G60" s="4">
        <f t="shared" si="4"/>
        <v>762.69999999999993</v>
      </c>
      <c r="J60" s="4">
        <v>4.3</v>
      </c>
      <c r="K60" s="4">
        <f t="shared" si="5"/>
        <v>190.29999999999993</v>
      </c>
      <c r="L60" s="4">
        <v>1.4</v>
      </c>
      <c r="M60" s="4">
        <f t="shared" si="6"/>
        <v>100.20000000000002</v>
      </c>
      <c r="N60" s="4">
        <f t="shared" si="3"/>
        <v>2.9</v>
      </c>
      <c r="O60" s="4">
        <v>97.899999999999977</v>
      </c>
      <c r="P60" s="4">
        <v>55</v>
      </c>
      <c r="Q60" s="4">
        <f t="shared" si="9"/>
        <v>0.79626865671641789</v>
      </c>
      <c r="R60" s="10">
        <f t="shared" si="0"/>
        <v>1.114776119402985</v>
      </c>
      <c r="S60" s="10">
        <f t="shared" si="1"/>
        <v>3.1852238805970146</v>
      </c>
      <c r="T60" s="10">
        <f t="shared" si="7"/>
        <v>140.1638059701493</v>
      </c>
      <c r="V60" s="11">
        <v>274.8</v>
      </c>
      <c r="W60" s="4">
        <f t="shared" si="2"/>
        <v>29.548387096774192</v>
      </c>
      <c r="X60" s="4">
        <f t="shared" si="8"/>
        <v>42533.000000000022</v>
      </c>
      <c r="AA60" s="4">
        <v>9.9734760435752197</v>
      </c>
    </row>
    <row r="61" spans="1:27" s="4" customFormat="1" x14ac:dyDescent="0.25">
      <c r="A61" s="70"/>
      <c r="B61" s="5"/>
      <c r="C61" s="6">
        <v>41577</v>
      </c>
      <c r="D61" s="4">
        <v>8.8000000000000007</v>
      </c>
      <c r="E61" s="13">
        <v>3.7</v>
      </c>
      <c r="F61" s="4">
        <v>13.3</v>
      </c>
      <c r="G61" s="4">
        <f t="shared" si="4"/>
        <v>771.49999999999989</v>
      </c>
      <c r="J61" s="4">
        <v>0.3</v>
      </c>
      <c r="K61" s="4">
        <f t="shared" si="5"/>
        <v>190.59999999999994</v>
      </c>
      <c r="L61" s="4">
        <v>1.5</v>
      </c>
      <c r="M61" s="4">
        <f t="shared" si="6"/>
        <v>101.70000000000002</v>
      </c>
      <c r="N61" s="9">
        <f t="shared" si="3"/>
        <v>-1.2</v>
      </c>
      <c r="O61" s="4">
        <v>96.699999999999974</v>
      </c>
      <c r="P61" s="4">
        <v>56</v>
      </c>
      <c r="Q61" s="4">
        <f t="shared" si="9"/>
        <v>0.80597014925373134</v>
      </c>
      <c r="R61" s="10">
        <f t="shared" si="0"/>
        <v>1.208955223880597</v>
      </c>
      <c r="S61" s="10">
        <f t="shared" si="1"/>
        <v>-0.90895522388059691</v>
      </c>
      <c r="T61" s="10">
        <f t="shared" si="7"/>
        <v>139.25485074626869</v>
      </c>
      <c r="V61" s="4">
        <v>905.6</v>
      </c>
      <c r="W61" s="4">
        <f t="shared" si="2"/>
        <v>102.90909090909091</v>
      </c>
      <c r="X61" s="4">
        <f t="shared" si="8"/>
        <v>43438.60000000002</v>
      </c>
      <c r="AA61" s="4">
        <v>9.9144023037533593</v>
      </c>
    </row>
    <row r="62" spans="1:27" s="4" customFormat="1" x14ac:dyDescent="0.25">
      <c r="A62" s="70"/>
      <c r="B62" s="5"/>
      <c r="C62" s="6">
        <v>41578</v>
      </c>
      <c r="D62" s="4">
        <v>10.5</v>
      </c>
      <c r="E62" s="4">
        <v>6.5</v>
      </c>
      <c r="F62" s="4">
        <v>13.5</v>
      </c>
      <c r="G62" s="4">
        <f t="shared" si="4"/>
        <v>781.99999999999989</v>
      </c>
      <c r="J62" s="4">
        <v>0</v>
      </c>
      <c r="K62" s="4">
        <f t="shared" si="5"/>
        <v>190.59999999999994</v>
      </c>
      <c r="L62" s="4">
        <v>1.6</v>
      </c>
      <c r="M62" s="4">
        <f t="shared" si="6"/>
        <v>103.30000000000001</v>
      </c>
      <c r="N62" s="9">
        <f t="shared" si="3"/>
        <v>-1.6</v>
      </c>
      <c r="O62" s="4">
        <v>95.09999999999998</v>
      </c>
      <c r="P62" s="4">
        <v>57</v>
      </c>
      <c r="Q62" s="4">
        <f t="shared" si="9"/>
        <v>0.81567164179104479</v>
      </c>
      <c r="R62" s="10">
        <f t="shared" si="0"/>
        <v>1.3050746268656717</v>
      </c>
      <c r="S62" s="10">
        <f t="shared" si="1"/>
        <v>-1.3050746268656717</v>
      </c>
      <c r="T62" s="10">
        <f t="shared" si="7"/>
        <v>137.94977611940303</v>
      </c>
      <c r="V62" s="11">
        <v>766.9</v>
      </c>
      <c r="W62" s="4">
        <f t="shared" si="2"/>
        <v>73.038095238095238</v>
      </c>
      <c r="X62" s="4">
        <f t="shared" si="8"/>
        <v>44205.500000000022</v>
      </c>
      <c r="AA62" s="4">
        <v>9.8556763702435806</v>
      </c>
    </row>
    <row r="63" spans="1:27" s="4" customFormat="1" x14ac:dyDescent="0.25">
      <c r="A63" s="70"/>
      <c r="B63" s="5"/>
      <c r="C63" s="6">
        <v>41579</v>
      </c>
      <c r="D63" s="4">
        <v>11.2</v>
      </c>
      <c r="E63" s="4">
        <v>10.199999999999999</v>
      </c>
      <c r="F63" s="4">
        <v>13.2</v>
      </c>
      <c r="G63" s="4">
        <f t="shared" si="4"/>
        <v>793.19999999999993</v>
      </c>
      <c r="J63" s="4">
        <v>19.899999999999999</v>
      </c>
      <c r="K63" s="4">
        <f t="shared" si="5"/>
        <v>210.49999999999994</v>
      </c>
      <c r="L63" s="4">
        <v>1.1000000000000001</v>
      </c>
      <c r="M63" s="4">
        <f t="shared" si="6"/>
        <v>104.4</v>
      </c>
      <c r="N63" s="4">
        <f t="shared" si="3"/>
        <v>18.799999999999997</v>
      </c>
      <c r="O63" s="4">
        <v>113.89999999999998</v>
      </c>
      <c r="P63" s="4">
        <v>58</v>
      </c>
      <c r="Q63" s="4">
        <f t="shared" si="9"/>
        <v>0.82537313432835813</v>
      </c>
      <c r="R63" s="10">
        <f t="shared" si="0"/>
        <v>0.90791044776119401</v>
      </c>
      <c r="S63" s="10">
        <f t="shared" si="1"/>
        <v>18.992089552238806</v>
      </c>
      <c r="T63" s="10">
        <f t="shared" si="7"/>
        <v>153.6</v>
      </c>
      <c r="V63" s="11">
        <v>253.5</v>
      </c>
      <c r="W63" s="4">
        <f t="shared" si="2"/>
        <v>22.633928571428573</v>
      </c>
      <c r="X63" s="4">
        <f t="shared" si="8"/>
        <v>44459.000000000022</v>
      </c>
      <c r="AA63" s="4">
        <v>9.7973178194064694</v>
      </c>
    </row>
    <row r="64" spans="1:27" s="4" customFormat="1" x14ac:dyDescent="0.25">
      <c r="A64" s="70"/>
      <c r="B64" s="5"/>
      <c r="C64" s="6">
        <v>41580</v>
      </c>
      <c r="D64" s="4">
        <v>12.3</v>
      </c>
      <c r="E64" s="4">
        <v>9.6999999999999993</v>
      </c>
      <c r="F64" s="4">
        <v>14.2</v>
      </c>
      <c r="G64" s="4">
        <f t="shared" si="4"/>
        <v>805.49999999999989</v>
      </c>
      <c r="J64" s="4">
        <v>6.9</v>
      </c>
      <c r="K64" s="4">
        <f t="shared" si="5"/>
        <v>217.39999999999995</v>
      </c>
      <c r="L64" s="4">
        <v>0.9</v>
      </c>
      <c r="M64" s="4">
        <f t="shared" si="6"/>
        <v>105.30000000000001</v>
      </c>
      <c r="N64" s="4">
        <f t="shared" si="3"/>
        <v>6</v>
      </c>
      <c r="O64" s="4">
        <v>119.89999999999998</v>
      </c>
      <c r="P64" s="4">
        <v>59</v>
      </c>
      <c r="Q64" s="4">
        <f t="shared" si="9"/>
        <v>0.83507462686567169</v>
      </c>
      <c r="R64" s="10">
        <f t="shared" si="0"/>
        <v>0.75156716417910452</v>
      </c>
      <c r="S64" s="10">
        <f t="shared" si="1"/>
        <v>6.1484328358208957</v>
      </c>
      <c r="T64" s="10">
        <f t="shared" si="7"/>
        <v>153.6</v>
      </c>
      <c r="V64" s="11">
        <v>256.60000000000002</v>
      </c>
      <c r="W64" s="4">
        <f t="shared" si="2"/>
        <v>20.86178861788618</v>
      </c>
      <c r="X64" s="4">
        <f t="shared" si="8"/>
        <v>44715.60000000002</v>
      </c>
      <c r="AA64" s="4">
        <v>9.7393469737470699</v>
      </c>
    </row>
    <row r="65" spans="1:27" s="4" customFormat="1" x14ac:dyDescent="0.25">
      <c r="A65" s="70"/>
      <c r="B65" s="5"/>
      <c r="C65" s="6">
        <v>41581</v>
      </c>
      <c r="D65" s="4">
        <v>8.6999999999999993</v>
      </c>
      <c r="E65" s="4">
        <v>7.7</v>
      </c>
      <c r="F65" s="4">
        <v>12.5</v>
      </c>
      <c r="G65" s="4">
        <f t="shared" si="4"/>
        <v>814.19999999999993</v>
      </c>
      <c r="J65" s="4">
        <v>11.9</v>
      </c>
      <c r="K65" s="4">
        <f t="shared" si="5"/>
        <v>229.29999999999995</v>
      </c>
      <c r="L65" s="4">
        <v>1.5</v>
      </c>
      <c r="M65" s="4">
        <f t="shared" si="6"/>
        <v>106.80000000000001</v>
      </c>
      <c r="N65" s="4">
        <f t="shared" si="3"/>
        <v>10.4</v>
      </c>
      <c r="O65" s="4">
        <v>130.29999999999998</v>
      </c>
      <c r="P65" s="4">
        <v>60</v>
      </c>
      <c r="Q65" s="4">
        <f t="shared" si="9"/>
        <v>0.84477611940298503</v>
      </c>
      <c r="R65" s="10">
        <f t="shared" si="0"/>
        <v>1.2671641791044777</v>
      </c>
      <c r="S65" s="10">
        <f t="shared" si="1"/>
        <v>10.632835820895522</v>
      </c>
      <c r="T65" s="10">
        <f t="shared" si="7"/>
        <v>153.6</v>
      </c>
      <c r="V65" s="11">
        <v>134.6</v>
      </c>
      <c r="W65" s="4">
        <f t="shared" si="2"/>
        <v>15.471264367816092</v>
      </c>
      <c r="X65" s="4">
        <f t="shared" si="8"/>
        <v>44850.200000000019</v>
      </c>
      <c r="AA65" s="4">
        <v>9.6817849128304392</v>
      </c>
    </row>
    <row r="66" spans="1:27" s="4" customFormat="1" x14ac:dyDescent="0.25">
      <c r="A66" s="70"/>
      <c r="B66" s="5"/>
      <c r="C66" s="6">
        <v>41582</v>
      </c>
      <c r="D66" s="4">
        <v>8.6</v>
      </c>
      <c r="E66" s="4">
        <v>6.4</v>
      </c>
      <c r="F66" s="4">
        <v>11.9</v>
      </c>
      <c r="G66" s="4">
        <f t="shared" si="4"/>
        <v>822.8</v>
      </c>
      <c r="J66" s="4">
        <v>2.1</v>
      </c>
      <c r="K66" s="4">
        <f t="shared" si="5"/>
        <v>231.39999999999995</v>
      </c>
      <c r="L66" s="4">
        <v>1</v>
      </c>
      <c r="M66" s="4">
        <f t="shared" si="6"/>
        <v>107.80000000000001</v>
      </c>
      <c r="N66" s="4">
        <f t="shared" si="3"/>
        <v>1.1000000000000001</v>
      </c>
      <c r="O66" s="4">
        <v>131.39999999999998</v>
      </c>
      <c r="P66" s="4">
        <v>61</v>
      </c>
      <c r="Q66" s="4">
        <f t="shared" si="9"/>
        <v>0.85447761194029848</v>
      </c>
      <c r="R66" s="10">
        <f t="shared" si="0"/>
        <v>0.85447761194029848</v>
      </c>
      <c r="S66" s="10">
        <f t="shared" si="1"/>
        <v>1.2455223880597015</v>
      </c>
      <c r="T66" s="10">
        <f t="shared" si="7"/>
        <v>153.6</v>
      </c>
      <c r="V66" s="11">
        <v>365.7</v>
      </c>
      <c r="W66" s="4">
        <f t="shared" si="2"/>
        <v>42.52325581395349</v>
      </c>
      <c r="X66" s="4">
        <f t="shared" si="8"/>
        <v>45215.900000000016</v>
      </c>
      <c r="AA66" s="4">
        <v>9.6246534825086503</v>
      </c>
    </row>
    <row r="67" spans="1:27" s="4" customFormat="1" x14ac:dyDescent="0.25">
      <c r="A67" s="70"/>
      <c r="B67" s="5"/>
      <c r="C67" s="6">
        <v>41583</v>
      </c>
      <c r="D67" s="4">
        <v>7.7</v>
      </c>
      <c r="E67" s="13">
        <v>4.0999999999999996</v>
      </c>
      <c r="F67" s="4">
        <v>10.6</v>
      </c>
      <c r="G67" s="4">
        <f t="shared" si="4"/>
        <v>830.5</v>
      </c>
      <c r="J67" s="4">
        <v>12.3</v>
      </c>
      <c r="K67" s="4">
        <f t="shared" si="5"/>
        <v>243.69999999999996</v>
      </c>
      <c r="L67" s="4">
        <v>0.7</v>
      </c>
      <c r="M67" s="4">
        <f t="shared" si="6"/>
        <v>108.50000000000001</v>
      </c>
      <c r="N67" s="4">
        <f t="shared" si="3"/>
        <v>11.600000000000001</v>
      </c>
      <c r="O67" s="4">
        <v>142.99999999999997</v>
      </c>
      <c r="P67" s="4">
        <v>62</v>
      </c>
      <c r="Q67" s="4">
        <f t="shared" si="9"/>
        <v>0.86417910447761193</v>
      </c>
      <c r="R67" s="10">
        <f t="shared" si="0"/>
        <v>0.60492537313432826</v>
      </c>
      <c r="S67" s="10">
        <f t="shared" si="1"/>
        <v>11.695074626865672</v>
      </c>
      <c r="T67" s="10">
        <f t="shared" si="7"/>
        <v>153.6</v>
      </c>
      <c r="V67" s="11">
        <v>96.6</v>
      </c>
      <c r="W67" s="4">
        <f t="shared" si="2"/>
        <v>12.545454545454545</v>
      </c>
      <c r="X67" s="4">
        <f t="shared" si="8"/>
        <v>45312.500000000015</v>
      </c>
      <c r="AA67" s="4">
        <v>9.5679753022847507</v>
      </c>
    </row>
    <row r="68" spans="1:27" s="4" customFormat="1" x14ac:dyDescent="0.25">
      <c r="A68" s="70"/>
      <c r="B68" s="5"/>
      <c r="C68" s="6">
        <v>41584</v>
      </c>
      <c r="D68" s="4">
        <v>12.3</v>
      </c>
      <c r="E68" s="4">
        <v>9.8000000000000007</v>
      </c>
      <c r="F68" s="4">
        <v>14.7</v>
      </c>
      <c r="G68" s="4">
        <f t="shared" si="4"/>
        <v>842.8</v>
      </c>
      <c r="J68" s="4">
        <v>7.3</v>
      </c>
      <c r="K68" s="4">
        <f t="shared" si="5"/>
        <v>250.99999999999997</v>
      </c>
      <c r="L68" s="4">
        <v>0.8</v>
      </c>
      <c r="M68" s="4">
        <f t="shared" si="6"/>
        <v>109.30000000000001</v>
      </c>
      <c r="N68" s="4">
        <f t="shared" si="3"/>
        <v>6.5</v>
      </c>
      <c r="O68" s="4">
        <v>149.49999999999997</v>
      </c>
      <c r="P68" s="4">
        <v>63</v>
      </c>
      <c r="Q68" s="4">
        <f t="shared" si="9"/>
        <v>0.87388059701492538</v>
      </c>
      <c r="R68" s="10">
        <f t="shared" si="0"/>
        <v>0.69910447761194039</v>
      </c>
      <c r="S68" s="10">
        <f t="shared" si="1"/>
        <v>6.6008955223880594</v>
      </c>
      <c r="T68" s="10">
        <f t="shared" si="7"/>
        <v>153.6</v>
      </c>
      <c r="V68" s="11">
        <v>112.8</v>
      </c>
      <c r="W68" s="4">
        <f t="shared" si="2"/>
        <v>9.1707317073170724</v>
      </c>
      <c r="X68" s="4">
        <f t="shared" si="8"/>
        <v>45425.300000000017</v>
      </c>
      <c r="AA68" s="4">
        <v>9.5117737706313008</v>
      </c>
    </row>
    <row r="69" spans="1:27" s="4" customFormat="1" x14ac:dyDescent="0.25">
      <c r="A69" s="70"/>
      <c r="B69" s="5"/>
      <c r="C69" s="6">
        <v>41585</v>
      </c>
      <c r="D69" s="4">
        <v>12</v>
      </c>
      <c r="E69" s="4">
        <v>11.2</v>
      </c>
      <c r="F69" s="4">
        <v>13.4</v>
      </c>
      <c r="G69" s="4">
        <f t="shared" si="4"/>
        <v>854.8</v>
      </c>
      <c r="J69" s="4">
        <v>13.7</v>
      </c>
      <c r="K69" s="4">
        <f t="shared" si="5"/>
        <v>264.7</v>
      </c>
      <c r="L69" s="4">
        <v>0.5</v>
      </c>
      <c r="M69" s="4">
        <f t="shared" si="6"/>
        <v>109.80000000000001</v>
      </c>
      <c r="N69" s="4">
        <f t="shared" si="3"/>
        <v>13.2</v>
      </c>
      <c r="O69" s="4">
        <v>153.6</v>
      </c>
      <c r="P69" s="4">
        <v>64</v>
      </c>
      <c r="Q69" s="4">
        <f t="shared" si="9"/>
        <v>0.88358208955223883</v>
      </c>
      <c r="R69" s="10">
        <f t="shared" si="0"/>
        <v>0.44179104477611941</v>
      </c>
      <c r="S69" s="10">
        <f t="shared" si="1"/>
        <v>13.25820895522388</v>
      </c>
      <c r="T69" s="10">
        <f t="shared" si="7"/>
        <v>153.6</v>
      </c>
      <c r="V69" s="11">
        <v>95.3</v>
      </c>
      <c r="W69" s="4">
        <f t="shared" si="2"/>
        <v>7.9416666666666664</v>
      </c>
      <c r="X69" s="4">
        <f t="shared" si="8"/>
        <v>45520.60000000002</v>
      </c>
      <c r="AA69" s="4">
        <v>9.4560730680733904</v>
      </c>
    </row>
    <row r="70" spans="1:27" s="4" customFormat="1" x14ac:dyDescent="0.25">
      <c r="A70" s="70"/>
      <c r="B70" s="5"/>
      <c r="C70" s="6">
        <v>41586</v>
      </c>
      <c r="D70" s="4">
        <v>9.1</v>
      </c>
      <c r="E70" s="4">
        <v>7.7</v>
      </c>
      <c r="F70" s="4">
        <v>11.5</v>
      </c>
      <c r="G70" s="4">
        <f t="shared" si="4"/>
        <v>863.9</v>
      </c>
      <c r="J70" s="4">
        <v>13.9</v>
      </c>
      <c r="K70" s="4">
        <f t="shared" si="5"/>
        <v>278.59999999999997</v>
      </c>
      <c r="L70" s="4">
        <v>0.8</v>
      </c>
      <c r="M70" s="4">
        <f t="shared" si="6"/>
        <v>110.60000000000001</v>
      </c>
      <c r="N70" s="4">
        <f t="shared" si="3"/>
        <v>13.1</v>
      </c>
      <c r="O70" s="4">
        <v>153.6</v>
      </c>
      <c r="P70" s="4">
        <v>65</v>
      </c>
      <c r="Q70" s="4">
        <f t="shared" si="9"/>
        <v>0.89328358208955216</v>
      </c>
      <c r="R70" s="10">
        <f t="shared" ref="R70:R133" si="10">Q70*L70</f>
        <v>0.7146268656716418</v>
      </c>
      <c r="S70" s="10">
        <f t="shared" ref="S70:S133" si="11">J70-R70</f>
        <v>13.185373134328358</v>
      </c>
      <c r="T70" s="10">
        <f t="shared" si="7"/>
        <v>153.6</v>
      </c>
      <c r="V70" s="11">
        <v>289.10000000000002</v>
      </c>
      <c r="W70" s="4">
        <f t="shared" ref="W70:W133" si="12">V70/D70</f>
        <v>31.769230769230774</v>
      </c>
      <c r="X70" s="4">
        <f t="shared" si="8"/>
        <v>45809.700000000019</v>
      </c>
      <c r="AA70" s="4">
        <v>9.4008981578398192</v>
      </c>
    </row>
    <row r="71" spans="1:27" s="4" customFormat="1" x14ac:dyDescent="0.25">
      <c r="A71" s="70"/>
      <c r="B71" s="5"/>
      <c r="C71" s="6">
        <v>41587</v>
      </c>
      <c r="D71" s="4">
        <v>8.1</v>
      </c>
      <c r="E71" s="4">
        <v>7.1</v>
      </c>
      <c r="F71" s="4">
        <v>9.5</v>
      </c>
      <c r="G71" s="4">
        <f t="shared" si="4"/>
        <v>872</v>
      </c>
      <c r="J71" s="4">
        <v>3.3</v>
      </c>
      <c r="K71" s="4">
        <f t="shared" si="5"/>
        <v>281.89999999999998</v>
      </c>
      <c r="L71" s="4">
        <v>1.1000000000000001</v>
      </c>
      <c r="M71" s="4">
        <f t="shared" si="6"/>
        <v>111.7</v>
      </c>
      <c r="N71" s="4">
        <f t="shared" ref="N71:N134" si="13">J71-L71</f>
        <v>2.1999999999999997</v>
      </c>
      <c r="O71" s="4">
        <v>153.6</v>
      </c>
      <c r="P71" s="4">
        <v>66</v>
      </c>
      <c r="Q71" s="4">
        <f t="shared" si="9"/>
        <v>0.90298507462686572</v>
      </c>
      <c r="R71" s="10">
        <f t="shared" si="10"/>
        <v>0.99328358208955236</v>
      </c>
      <c r="S71" s="10">
        <f t="shared" si="11"/>
        <v>2.3067164179104473</v>
      </c>
      <c r="T71" s="10">
        <f t="shared" si="7"/>
        <v>153.6</v>
      </c>
      <c r="V71" s="11">
        <v>421.5</v>
      </c>
      <c r="W71" s="4">
        <f t="shared" si="12"/>
        <v>52.037037037037038</v>
      </c>
      <c r="X71" s="4">
        <f t="shared" si="8"/>
        <v>46231.200000000019</v>
      </c>
      <c r="AA71" s="4">
        <v>9.3462747838799203</v>
      </c>
    </row>
    <row r="72" spans="1:27" s="4" customFormat="1" x14ac:dyDescent="0.25">
      <c r="A72" s="70"/>
      <c r="B72" s="5"/>
      <c r="C72" s="6">
        <v>41588</v>
      </c>
      <c r="D72" s="4">
        <v>6.2</v>
      </c>
      <c r="E72" s="4">
        <v>5.9</v>
      </c>
      <c r="F72" s="4">
        <v>8.6</v>
      </c>
      <c r="G72" s="4">
        <f t="shared" ref="G72:G135" si="14">G71+D72</f>
        <v>878.2</v>
      </c>
      <c r="J72" s="4">
        <v>3.8</v>
      </c>
      <c r="K72" s="4">
        <f t="shared" ref="K72:K135" si="15">K71+J72</f>
        <v>285.7</v>
      </c>
      <c r="L72" s="4">
        <v>1</v>
      </c>
      <c r="M72" s="4">
        <f t="shared" ref="M72:M135" si="16">M71+L72</f>
        <v>112.7</v>
      </c>
      <c r="N72" s="4">
        <f t="shared" si="13"/>
        <v>2.8</v>
      </c>
      <c r="O72" s="4">
        <v>153.6</v>
      </c>
      <c r="P72" s="4">
        <v>67</v>
      </c>
      <c r="Q72" s="4">
        <f t="shared" si="9"/>
        <v>0.91268656716417906</v>
      </c>
      <c r="R72" s="10">
        <f t="shared" si="10"/>
        <v>0.91268656716417906</v>
      </c>
      <c r="S72" s="10">
        <f t="shared" si="11"/>
        <v>2.8873134328358208</v>
      </c>
      <c r="T72" s="10">
        <f t="shared" ref="T72:T135" si="17">MIN(153.6,(T71+S72))</f>
        <v>153.6</v>
      </c>
      <c r="V72" s="11">
        <v>205.8</v>
      </c>
      <c r="W72" s="4">
        <f t="shared" si="12"/>
        <v>33.193548387096776</v>
      </c>
      <c r="X72" s="4">
        <f t="shared" ref="X72:X135" si="18">X71+V72</f>
        <v>46437.000000000022</v>
      </c>
      <c r="AA72" s="4">
        <v>9.2922294660391405</v>
      </c>
    </row>
    <row r="73" spans="1:27" s="4" customFormat="1" x14ac:dyDescent="0.25">
      <c r="A73" s="70"/>
      <c r="B73" s="5"/>
      <c r="C73" s="6">
        <v>41589</v>
      </c>
      <c r="D73" s="4">
        <v>5.5</v>
      </c>
      <c r="E73" s="13">
        <v>0.5</v>
      </c>
      <c r="F73" s="4">
        <v>8.6999999999999993</v>
      </c>
      <c r="G73" s="4">
        <f t="shared" si="14"/>
        <v>883.7</v>
      </c>
      <c r="J73" s="4">
        <v>0</v>
      </c>
      <c r="K73" s="4">
        <f t="shared" si="15"/>
        <v>285.7</v>
      </c>
      <c r="L73" s="4">
        <v>0.6</v>
      </c>
      <c r="M73" s="4">
        <f t="shared" si="16"/>
        <v>113.3</v>
      </c>
      <c r="N73" s="9">
        <f t="shared" si="13"/>
        <v>-0.6</v>
      </c>
      <c r="O73" s="4">
        <v>153</v>
      </c>
      <c r="P73" s="4">
        <v>68</v>
      </c>
      <c r="Q73" s="4">
        <f t="shared" si="9"/>
        <v>0.92238805970149251</v>
      </c>
      <c r="R73" s="10">
        <f t="shared" si="10"/>
        <v>0.55343283582089553</v>
      </c>
      <c r="S73" s="10">
        <f t="shared" si="11"/>
        <v>-0.55343283582089553</v>
      </c>
      <c r="T73" s="10">
        <f t="shared" si="17"/>
        <v>153.04656716417909</v>
      </c>
      <c r="V73" s="11">
        <v>352</v>
      </c>
      <c r="W73" s="4">
        <f t="shared" si="12"/>
        <v>64</v>
      </c>
      <c r="X73" s="4">
        <f t="shared" si="18"/>
        <v>46789.000000000022</v>
      </c>
      <c r="AA73" s="4">
        <v>9.2387894921829208</v>
      </c>
    </row>
    <row r="74" spans="1:27" s="4" customFormat="1" x14ac:dyDescent="0.25">
      <c r="A74" s="70"/>
      <c r="B74" s="5"/>
      <c r="C74" s="6">
        <v>41590</v>
      </c>
      <c r="D74" s="4">
        <v>8.1999999999999993</v>
      </c>
      <c r="E74" s="4">
        <v>7.2</v>
      </c>
      <c r="F74" s="4">
        <v>9.6999999999999993</v>
      </c>
      <c r="G74" s="4">
        <f t="shared" si="14"/>
        <v>891.90000000000009</v>
      </c>
      <c r="J74" s="4">
        <v>2</v>
      </c>
      <c r="K74" s="4">
        <f t="shared" si="15"/>
        <v>287.7</v>
      </c>
      <c r="L74" s="4">
        <v>0.5</v>
      </c>
      <c r="M74" s="4">
        <f t="shared" si="16"/>
        <v>113.8</v>
      </c>
      <c r="N74" s="4">
        <f t="shared" si="13"/>
        <v>1.5</v>
      </c>
      <c r="O74" s="4">
        <v>153.6</v>
      </c>
      <c r="P74" s="4">
        <v>69</v>
      </c>
      <c r="Q74" s="4">
        <f t="shared" si="9"/>
        <v>0.93208955223880596</v>
      </c>
      <c r="R74" s="10">
        <f t="shared" si="10"/>
        <v>0.46604477611940298</v>
      </c>
      <c r="S74" s="10">
        <f t="shared" si="11"/>
        <v>1.5339552238805969</v>
      </c>
      <c r="T74" s="10">
        <f t="shared" si="17"/>
        <v>153.6</v>
      </c>
      <c r="V74" s="11">
        <v>138.30000000000001</v>
      </c>
      <c r="W74" s="4">
        <f t="shared" si="12"/>
        <v>16.865853658536587</v>
      </c>
      <c r="X74" s="4">
        <f t="shared" si="18"/>
        <v>46927.300000000025</v>
      </c>
      <c r="AA74" s="4">
        <v>9.1859829070567294</v>
      </c>
    </row>
    <row r="75" spans="1:27" s="4" customFormat="1" x14ac:dyDescent="0.25">
      <c r="A75" s="70"/>
      <c r="B75" s="5"/>
      <c r="C75" s="6">
        <v>41591</v>
      </c>
      <c r="D75" s="4">
        <v>6.2</v>
      </c>
      <c r="E75" s="13">
        <v>3.4</v>
      </c>
      <c r="F75" s="4">
        <v>11.9</v>
      </c>
      <c r="G75" s="4">
        <f t="shared" si="14"/>
        <v>898.10000000000014</v>
      </c>
      <c r="J75" s="4">
        <v>1</v>
      </c>
      <c r="K75" s="4">
        <f t="shared" si="15"/>
        <v>288.7</v>
      </c>
      <c r="L75" s="4">
        <v>0.9</v>
      </c>
      <c r="M75" s="4">
        <f t="shared" si="16"/>
        <v>114.7</v>
      </c>
      <c r="N75" s="4">
        <f t="shared" si="13"/>
        <v>9.9999999999999978E-2</v>
      </c>
      <c r="O75" s="4">
        <v>153.6</v>
      </c>
      <c r="P75" s="4">
        <v>70</v>
      </c>
      <c r="Q75" s="4">
        <f t="shared" si="9"/>
        <v>0.94179104477611941</v>
      </c>
      <c r="R75" s="10">
        <f t="shared" si="10"/>
        <v>0.8476119402985075</v>
      </c>
      <c r="S75" s="10">
        <f t="shared" si="11"/>
        <v>0.1523880597014925</v>
      </c>
      <c r="T75" s="10">
        <f t="shared" si="17"/>
        <v>153.6</v>
      </c>
      <c r="V75" s="11">
        <v>630.6</v>
      </c>
      <c r="W75" s="4">
        <f t="shared" si="12"/>
        <v>101.70967741935483</v>
      </c>
      <c r="X75" s="4">
        <f t="shared" si="18"/>
        <v>47557.900000000023</v>
      </c>
      <c r="AA75" s="4">
        <v>9.1338384976699007</v>
      </c>
    </row>
    <row r="76" spans="1:27" s="4" customFormat="1" x14ac:dyDescent="0.25">
      <c r="A76" s="70"/>
      <c r="B76" s="5"/>
      <c r="C76" s="6">
        <v>41592</v>
      </c>
      <c r="D76" s="4">
        <v>7</v>
      </c>
      <c r="E76" s="13">
        <v>3.1</v>
      </c>
      <c r="F76" s="4">
        <v>9.6999999999999993</v>
      </c>
      <c r="G76" s="4">
        <f t="shared" si="14"/>
        <v>905.10000000000014</v>
      </c>
      <c r="J76" s="4">
        <v>7.8</v>
      </c>
      <c r="K76" s="4">
        <f t="shared" si="15"/>
        <v>296.5</v>
      </c>
      <c r="L76" s="4">
        <v>0.6</v>
      </c>
      <c r="M76" s="4">
        <f t="shared" si="16"/>
        <v>115.3</v>
      </c>
      <c r="N76" s="4">
        <f t="shared" si="13"/>
        <v>7.2</v>
      </c>
      <c r="O76" s="4">
        <v>153.6</v>
      </c>
      <c r="P76" s="4">
        <v>71</v>
      </c>
      <c r="Q76" s="4">
        <f t="shared" si="9"/>
        <v>0.95149253731343286</v>
      </c>
      <c r="R76" s="10">
        <f t="shared" si="10"/>
        <v>0.57089552238805974</v>
      </c>
      <c r="S76" s="10">
        <f t="shared" si="11"/>
        <v>7.2291044776119397</v>
      </c>
      <c r="T76" s="10">
        <f t="shared" si="17"/>
        <v>153.6</v>
      </c>
      <c r="V76" s="11">
        <v>84.7</v>
      </c>
      <c r="W76" s="4">
        <f t="shared" si="12"/>
        <v>12.1</v>
      </c>
      <c r="X76" s="4">
        <f t="shared" si="18"/>
        <v>47642.60000000002</v>
      </c>
      <c r="AA76" s="4">
        <v>9.0823857749927601</v>
      </c>
    </row>
    <row r="77" spans="1:27" s="4" customFormat="1" x14ac:dyDescent="0.25">
      <c r="A77" s="70"/>
      <c r="B77" s="5"/>
      <c r="C77" s="6">
        <v>41593</v>
      </c>
      <c r="D77" s="4">
        <v>7.5</v>
      </c>
      <c r="E77" s="4">
        <v>6</v>
      </c>
      <c r="F77" s="4">
        <v>10.5</v>
      </c>
      <c r="G77" s="4">
        <f t="shared" si="14"/>
        <v>912.60000000000014</v>
      </c>
      <c r="J77" s="4">
        <v>0.2</v>
      </c>
      <c r="K77" s="4">
        <f t="shared" si="15"/>
        <v>296.7</v>
      </c>
      <c r="L77" s="4">
        <v>1.2</v>
      </c>
      <c r="M77" s="4">
        <f t="shared" si="16"/>
        <v>116.5</v>
      </c>
      <c r="N77" s="9">
        <f t="shared" si="13"/>
        <v>-1</v>
      </c>
      <c r="O77" s="4">
        <v>152.6</v>
      </c>
      <c r="P77" s="4">
        <v>72</v>
      </c>
      <c r="Q77" s="4">
        <f t="shared" si="9"/>
        <v>0.96119402985074631</v>
      </c>
      <c r="R77" s="10">
        <f t="shared" si="10"/>
        <v>1.1534328358208956</v>
      </c>
      <c r="S77" s="10">
        <f t="shared" si="11"/>
        <v>-0.95343283582089566</v>
      </c>
      <c r="T77" s="10">
        <f t="shared" si="17"/>
        <v>152.64656716417909</v>
      </c>
      <c r="V77" s="11">
        <v>615.6</v>
      </c>
      <c r="W77" s="4">
        <f t="shared" si="12"/>
        <v>82.08</v>
      </c>
      <c r="X77" s="4">
        <f t="shared" si="18"/>
        <v>48258.200000000019</v>
      </c>
      <c r="AA77" s="4">
        <v>9.0316549517607907</v>
      </c>
    </row>
    <row r="78" spans="1:27" s="4" customFormat="1" x14ac:dyDescent="0.25">
      <c r="A78" s="70"/>
      <c r="B78" s="14"/>
      <c r="C78" s="6">
        <v>41594</v>
      </c>
      <c r="D78" s="13">
        <v>4.7</v>
      </c>
      <c r="E78" s="13">
        <v>4</v>
      </c>
      <c r="F78" s="4">
        <v>5.3</v>
      </c>
      <c r="G78" s="4">
        <f t="shared" si="14"/>
        <v>917.30000000000018</v>
      </c>
      <c r="J78" s="4">
        <v>0</v>
      </c>
      <c r="K78" s="4">
        <f t="shared" si="15"/>
        <v>296.7</v>
      </c>
      <c r="L78" s="4">
        <v>0.4</v>
      </c>
      <c r="M78" s="4">
        <f t="shared" si="16"/>
        <v>116.9</v>
      </c>
      <c r="N78" s="9">
        <f t="shared" si="13"/>
        <v>-0.4</v>
      </c>
      <c r="O78" s="4">
        <v>152.19999999999999</v>
      </c>
      <c r="P78" s="4">
        <v>73</v>
      </c>
      <c r="Q78" s="4">
        <f t="shared" si="9"/>
        <v>0.97089552238805965</v>
      </c>
      <c r="R78" s="10">
        <f t="shared" si="10"/>
        <v>0.38835820895522388</v>
      </c>
      <c r="S78" s="10">
        <f t="shared" si="11"/>
        <v>-0.38835820895522388</v>
      </c>
      <c r="T78" s="10">
        <f t="shared" si="17"/>
        <v>152.25820895522386</v>
      </c>
      <c r="V78" s="11">
        <v>273.10000000000002</v>
      </c>
      <c r="W78" s="4">
        <f t="shared" si="12"/>
        <v>58.10638297872341</v>
      </c>
      <c r="X78" s="4">
        <f t="shared" si="18"/>
        <v>48531.300000000017</v>
      </c>
      <c r="AA78" s="15">
        <v>8.9816769161861192</v>
      </c>
    </row>
    <row r="79" spans="1:27" s="4" customFormat="1" x14ac:dyDescent="0.25">
      <c r="A79" s="70"/>
      <c r="B79" s="5"/>
      <c r="C79" s="6">
        <v>41595</v>
      </c>
      <c r="D79" s="4">
        <v>5.7</v>
      </c>
      <c r="E79" s="13">
        <v>3.3</v>
      </c>
      <c r="F79" s="4">
        <v>7</v>
      </c>
      <c r="G79" s="4">
        <f t="shared" si="14"/>
        <v>923.00000000000023</v>
      </c>
      <c r="J79" s="4">
        <v>0.1</v>
      </c>
      <c r="K79" s="4">
        <f t="shared" si="15"/>
        <v>296.8</v>
      </c>
      <c r="L79" s="4">
        <v>0.2</v>
      </c>
      <c r="M79" s="4">
        <f t="shared" si="16"/>
        <v>117.10000000000001</v>
      </c>
      <c r="N79" s="9">
        <f t="shared" si="13"/>
        <v>-0.1</v>
      </c>
      <c r="O79" s="4">
        <v>152.1</v>
      </c>
      <c r="P79" s="4">
        <v>74</v>
      </c>
      <c r="Q79" s="4">
        <f t="shared" si="9"/>
        <v>0.9805970149253731</v>
      </c>
      <c r="R79" s="10">
        <f t="shared" si="10"/>
        <v>0.19611940298507463</v>
      </c>
      <c r="S79" s="10">
        <f t="shared" si="11"/>
        <v>-9.6119402985074626E-2</v>
      </c>
      <c r="T79" s="10">
        <f t="shared" si="17"/>
        <v>152.1620895522388</v>
      </c>
      <c r="V79" s="11">
        <v>156.69999999999999</v>
      </c>
      <c r="W79" s="4">
        <f t="shared" si="12"/>
        <v>27.491228070175435</v>
      </c>
      <c r="X79" s="4">
        <f t="shared" si="18"/>
        <v>48688.000000000015</v>
      </c>
      <c r="AA79" s="15">
        <v>8.9324832013857893</v>
      </c>
    </row>
    <row r="80" spans="1:27" s="4" customFormat="1" x14ac:dyDescent="0.25">
      <c r="A80" s="70"/>
      <c r="B80" s="5"/>
      <c r="C80" s="6">
        <v>41596</v>
      </c>
      <c r="D80" s="4">
        <v>5.3</v>
      </c>
      <c r="E80" s="13">
        <v>4.8</v>
      </c>
      <c r="F80" s="4">
        <v>7.3</v>
      </c>
      <c r="G80" s="4">
        <f t="shared" si="14"/>
        <v>928.30000000000018</v>
      </c>
      <c r="J80" s="4">
        <v>0.8</v>
      </c>
      <c r="K80" s="4">
        <f t="shared" si="15"/>
        <v>297.60000000000002</v>
      </c>
      <c r="L80" s="4">
        <v>0.7</v>
      </c>
      <c r="M80" s="4">
        <f t="shared" si="16"/>
        <v>117.80000000000001</v>
      </c>
      <c r="N80" s="4">
        <f t="shared" si="13"/>
        <v>0.10000000000000009</v>
      </c>
      <c r="O80" s="4">
        <v>152.19999999999999</v>
      </c>
      <c r="P80" s="4">
        <v>75</v>
      </c>
      <c r="Q80" s="4">
        <f t="shared" ref="Q80:Q81" si="19">0.35+((P80-9)/67)*(1-0.35)</f>
        <v>0.99029850746268655</v>
      </c>
      <c r="R80" s="10">
        <f t="shared" si="10"/>
        <v>0.6932089552238806</v>
      </c>
      <c r="S80" s="10">
        <f t="shared" si="11"/>
        <v>0.10679104477611945</v>
      </c>
      <c r="T80" s="10">
        <f t="shared" si="17"/>
        <v>152.26888059701491</v>
      </c>
      <c r="V80" s="11">
        <v>117.6</v>
      </c>
      <c r="W80" s="4">
        <f t="shared" si="12"/>
        <v>22.188679245283019</v>
      </c>
      <c r="X80" s="4">
        <f t="shared" si="18"/>
        <v>48805.600000000013</v>
      </c>
      <c r="AA80" s="15">
        <v>8.8841059503489408</v>
      </c>
    </row>
    <row r="81" spans="1:27" s="49" customFormat="1" ht="15.75" thickBot="1" x14ac:dyDescent="0.3">
      <c r="A81" s="70"/>
      <c r="B81" s="64"/>
      <c r="C81" s="65">
        <v>41597</v>
      </c>
      <c r="D81" s="49">
        <v>6.1</v>
      </c>
      <c r="E81" s="49">
        <v>4.8</v>
      </c>
      <c r="F81" s="49">
        <v>7.6</v>
      </c>
      <c r="G81" s="49">
        <f t="shared" si="14"/>
        <v>934.4000000000002</v>
      </c>
      <c r="J81" s="49">
        <v>0.7</v>
      </c>
      <c r="K81" s="49">
        <f t="shared" si="15"/>
        <v>298.3</v>
      </c>
      <c r="L81" s="49">
        <v>1.1000000000000001</v>
      </c>
      <c r="M81" s="49">
        <f t="shared" si="16"/>
        <v>118.9</v>
      </c>
      <c r="N81" s="49">
        <f t="shared" si="13"/>
        <v>-0.40000000000000013</v>
      </c>
      <c r="O81" s="49">
        <v>151.79999999999998</v>
      </c>
      <c r="P81" s="49">
        <v>76</v>
      </c>
      <c r="Q81" s="54">
        <f t="shared" si="19"/>
        <v>1</v>
      </c>
      <c r="R81" s="52">
        <f t="shared" si="10"/>
        <v>1.1000000000000001</v>
      </c>
      <c r="S81" s="52">
        <f t="shared" si="11"/>
        <v>-0.40000000000000013</v>
      </c>
      <c r="T81" s="53">
        <f t="shared" si="17"/>
        <v>151.86888059701491</v>
      </c>
      <c r="V81" s="49">
        <v>361.2</v>
      </c>
      <c r="W81" s="49">
        <f t="shared" si="12"/>
        <v>59.213114754098363</v>
      </c>
      <c r="X81" s="49">
        <f t="shared" si="18"/>
        <v>49166.80000000001</v>
      </c>
      <c r="AA81" s="63">
        <v>8.8365778762801703</v>
      </c>
    </row>
    <row r="82" spans="1:27" s="4" customFormat="1" x14ac:dyDescent="0.25">
      <c r="A82" s="71" t="s">
        <v>42</v>
      </c>
      <c r="B82" s="14"/>
      <c r="C82" s="6">
        <v>41598</v>
      </c>
      <c r="D82" s="13">
        <v>2.2000000000000002</v>
      </c>
      <c r="E82" s="13">
        <v>1.4</v>
      </c>
      <c r="F82" s="13">
        <v>4.5</v>
      </c>
      <c r="G82" s="4">
        <f t="shared" si="14"/>
        <v>936.60000000000025</v>
      </c>
      <c r="H82" s="4">
        <f>D82</f>
        <v>2.2000000000000002</v>
      </c>
      <c r="I82" s="16" t="s">
        <v>26</v>
      </c>
      <c r="J82" s="4">
        <v>0</v>
      </c>
      <c r="K82" s="4">
        <f t="shared" si="15"/>
        <v>298.3</v>
      </c>
      <c r="L82" s="4">
        <v>0.7</v>
      </c>
      <c r="M82" s="4">
        <f t="shared" si="16"/>
        <v>119.60000000000001</v>
      </c>
      <c r="N82" s="9">
        <f t="shared" si="13"/>
        <v>-0.7</v>
      </c>
      <c r="O82" s="4">
        <v>151.1</v>
      </c>
      <c r="P82" s="4">
        <v>77</v>
      </c>
      <c r="Q82" s="4">
        <v>1</v>
      </c>
      <c r="R82" s="10">
        <f t="shared" si="10"/>
        <v>0.7</v>
      </c>
      <c r="S82" s="10">
        <f t="shared" si="11"/>
        <v>-0.7</v>
      </c>
      <c r="T82" s="10">
        <f t="shared" si="17"/>
        <v>151.16888059701492</v>
      </c>
      <c r="U82" s="16" t="s">
        <v>27</v>
      </c>
      <c r="V82" s="11">
        <v>292.5</v>
      </c>
      <c r="W82" s="4">
        <f t="shared" si="12"/>
        <v>132.95454545454544</v>
      </c>
      <c r="X82" s="4">
        <f t="shared" si="18"/>
        <v>49459.30000000001</v>
      </c>
      <c r="Y82" s="4">
        <f>V82</f>
        <v>292.5</v>
      </c>
      <c r="Z82" s="16" t="s">
        <v>28</v>
      </c>
      <c r="AA82" s="15">
        <v>8.7899322181754904</v>
      </c>
    </row>
    <row r="83" spans="1:27" s="4" customFormat="1" x14ac:dyDescent="0.25">
      <c r="A83" s="71"/>
      <c r="B83" s="14"/>
      <c r="C83" s="6">
        <v>41599</v>
      </c>
      <c r="D83" s="13">
        <v>2.1</v>
      </c>
      <c r="E83" s="17">
        <v>-0.4</v>
      </c>
      <c r="F83" s="13">
        <v>4.2</v>
      </c>
      <c r="G83" s="4">
        <f t="shared" si="14"/>
        <v>938.70000000000027</v>
      </c>
      <c r="H83" s="4">
        <f>H82+D83</f>
        <v>4.3000000000000007</v>
      </c>
      <c r="I83" s="4">
        <f>MIN(E82:E106)</f>
        <v>-2.5</v>
      </c>
      <c r="J83" s="4">
        <v>0.2</v>
      </c>
      <c r="K83" s="4">
        <f t="shared" si="15"/>
        <v>298.5</v>
      </c>
      <c r="L83" s="4">
        <v>0.2</v>
      </c>
      <c r="M83" s="4">
        <f t="shared" si="16"/>
        <v>119.80000000000001</v>
      </c>
      <c r="N83" s="4">
        <f t="shared" si="13"/>
        <v>0</v>
      </c>
      <c r="O83" s="4">
        <v>151.1</v>
      </c>
      <c r="P83" s="4">
        <v>78</v>
      </c>
      <c r="Q83" s="4">
        <v>1</v>
      </c>
      <c r="R83" s="10">
        <f t="shared" si="10"/>
        <v>0.2</v>
      </c>
      <c r="S83" s="10">
        <f t="shared" si="11"/>
        <v>0</v>
      </c>
      <c r="T83" s="10">
        <f t="shared" si="17"/>
        <v>151.16888059701492</v>
      </c>
      <c r="U83" s="4">
        <v>21</v>
      </c>
      <c r="V83" s="11">
        <v>99</v>
      </c>
      <c r="W83" s="4">
        <f t="shared" si="12"/>
        <v>47.142857142857139</v>
      </c>
      <c r="X83" s="4">
        <f t="shared" si="18"/>
        <v>49558.30000000001</v>
      </c>
      <c r="Y83" s="4">
        <f>Y82+V83</f>
        <v>391.5</v>
      </c>
      <c r="Z83" s="4">
        <v>7216.4999999999991</v>
      </c>
      <c r="AA83" s="15">
        <v>8.7442026915098996</v>
      </c>
    </row>
    <row r="84" spans="1:27" s="4" customFormat="1" x14ac:dyDescent="0.25">
      <c r="A84" s="71"/>
      <c r="B84" s="14"/>
      <c r="C84" s="6">
        <v>41600</v>
      </c>
      <c r="D84" s="13">
        <v>4.3</v>
      </c>
      <c r="E84" s="13">
        <v>1.6</v>
      </c>
      <c r="F84" s="4">
        <v>5.9</v>
      </c>
      <c r="G84" s="4">
        <f t="shared" si="14"/>
        <v>943.00000000000023</v>
      </c>
      <c r="H84" s="4">
        <f t="shared" ref="H84:H147" si="20">H83+D84</f>
        <v>8.6000000000000014</v>
      </c>
      <c r="I84" s="16" t="s">
        <v>29</v>
      </c>
      <c r="J84" s="4">
        <v>0</v>
      </c>
      <c r="K84" s="4">
        <f t="shared" si="15"/>
        <v>298.5</v>
      </c>
      <c r="L84" s="4">
        <v>0.9</v>
      </c>
      <c r="M84" s="4">
        <f t="shared" si="16"/>
        <v>120.70000000000002</v>
      </c>
      <c r="N84" s="9">
        <f t="shared" si="13"/>
        <v>-0.9</v>
      </c>
      <c r="O84" s="4">
        <v>150.19999999999999</v>
      </c>
      <c r="P84" s="4">
        <v>79</v>
      </c>
      <c r="Q84" s="4">
        <v>1</v>
      </c>
      <c r="R84" s="10">
        <f t="shared" si="10"/>
        <v>0.9</v>
      </c>
      <c r="S84" s="10">
        <f t="shared" si="11"/>
        <v>-0.9</v>
      </c>
      <c r="T84" s="10">
        <f t="shared" si="17"/>
        <v>150.26888059701491</v>
      </c>
      <c r="U84" s="16" t="s">
        <v>30</v>
      </c>
      <c r="V84" s="11">
        <v>129.5</v>
      </c>
      <c r="W84" s="4">
        <f t="shared" si="12"/>
        <v>30.116279069767444</v>
      </c>
      <c r="X84" s="4">
        <f t="shared" si="18"/>
        <v>49687.80000000001</v>
      </c>
      <c r="Y84" s="4">
        <f t="shared" ref="Y84:Y147" si="21">Y83+V84</f>
        <v>521</v>
      </c>
      <c r="Z84" s="16" t="s">
        <v>31</v>
      </c>
      <c r="AA84" s="15">
        <v>8.6994234339416092</v>
      </c>
    </row>
    <row r="85" spans="1:27" s="4" customFormat="1" x14ac:dyDescent="0.25">
      <c r="A85" s="71"/>
      <c r="B85" s="5"/>
      <c r="C85" s="6">
        <v>41601</v>
      </c>
      <c r="D85" s="4">
        <v>5.0999999999999996</v>
      </c>
      <c r="E85" s="13">
        <v>4.0999999999999996</v>
      </c>
      <c r="F85" s="4">
        <v>7.2</v>
      </c>
      <c r="G85" s="4">
        <f t="shared" si="14"/>
        <v>948.10000000000025</v>
      </c>
      <c r="H85" s="4">
        <f t="shared" si="20"/>
        <v>13.700000000000001</v>
      </c>
      <c r="I85" s="4">
        <f>MAX(F82:F106)</f>
        <v>9.9</v>
      </c>
      <c r="J85" s="4">
        <v>0</v>
      </c>
      <c r="K85" s="4">
        <f t="shared" si="15"/>
        <v>298.5</v>
      </c>
      <c r="L85" s="4">
        <v>1</v>
      </c>
      <c r="M85" s="4">
        <f t="shared" si="16"/>
        <v>121.70000000000002</v>
      </c>
      <c r="N85" s="9">
        <f t="shared" si="13"/>
        <v>-1</v>
      </c>
      <c r="O85" s="4">
        <v>149.19999999999999</v>
      </c>
      <c r="P85" s="4">
        <v>80</v>
      </c>
      <c r="Q85" s="4">
        <v>1</v>
      </c>
      <c r="R85" s="10">
        <f t="shared" si="10"/>
        <v>1</v>
      </c>
      <c r="S85" s="10">
        <f t="shared" si="11"/>
        <v>-1</v>
      </c>
      <c r="T85" s="10">
        <f t="shared" si="17"/>
        <v>149.26888059701491</v>
      </c>
      <c r="U85" s="4">
        <v>0</v>
      </c>
      <c r="V85" s="11">
        <v>212.5</v>
      </c>
      <c r="W85" s="4">
        <f t="shared" si="12"/>
        <v>41.666666666666671</v>
      </c>
      <c r="X85" s="4">
        <f t="shared" si="18"/>
        <v>49900.30000000001</v>
      </c>
      <c r="Y85" s="4">
        <f t="shared" si="21"/>
        <v>733.5</v>
      </c>
      <c r="Z85" s="12">
        <f>(Z83/100)/I95</f>
        <v>0.58910204081632644</v>
      </c>
      <c r="AA85" s="15">
        <v>8.6556289459685303</v>
      </c>
    </row>
    <row r="86" spans="1:27" s="4" customFormat="1" x14ac:dyDescent="0.25">
      <c r="A86" s="71"/>
      <c r="B86" s="5"/>
      <c r="C86" s="6">
        <v>41602</v>
      </c>
      <c r="D86" s="4">
        <v>6.3</v>
      </c>
      <c r="E86" s="13">
        <v>2</v>
      </c>
      <c r="F86" s="4">
        <v>8.9</v>
      </c>
      <c r="G86" s="4">
        <f t="shared" si="14"/>
        <v>954.4000000000002</v>
      </c>
      <c r="H86" s="4">
        <f t="shared" si="20"/>
        <v>20</v>
      </c>
      <c r="I86" s="16" t="s">
        <v>32</v>
      </c>
      <c r="J86" s="4">
        <v>0.6</v>
      </c>
      <c r="K86" s="4">
        <f t="shared" si="15"/>
        <v>299.10000000000002</v>
      </c>
      <c r="L86" s="4">
        <v>0.6</v>
      </c>
      <c r="M86" s="4">
        <f t="shared" si="16"/>
        <v>122.30000000000001</v>
      </c>
      <c r="N86" s="4">
        <f t="shared" si="13"/>
        <v>0</v>
      </c>
      <c r="O86" s="4">
        <v>149.19999999999999</v>
      </c>
      <c r="P86" s="4">
        <v>81</v>
      </c>
      <c r="Q86" s="4">
        <v>1</v>
      </c>
      <c r="R86" s="10">
        <f t="shared" si="10"/>
        <v>0.6</v>
      </c>
      <c r="S86" s="10">
        <f t="shared" si="11"/>
        <v>0</v>
      </c>
      <c r="T86" s="10">
        <f t="shared" si="17"/>
        <v>149.26888059701491</v>
      </c>
      <c r="U86" s="16" t="s">
        <v>33</v>
      </c>
      <c r="V86" s="11">
        <v>166.6</v>
      </c>
      <c r="W86" s="4">
        <f t="shared" si="12"/>
        <v>26.444444444444443</v>
      </c>
      <c r="X86" s="4">
        <f t="shared" si="18"/>
        <v>50066.900000000009</v>
      </c>
      <c r="Y86" s="4">
        <f t="shared" si="21"/>
        <v>900.1</v>
      </c>
      <c r="Z86" s="16" t="s">
        <v>34</v>
      </c>
      <c r="AA86" s="15">
        <v>8.6128540265064295</v>
      </c>
    </row>
    <row r="87" spans="1:27" s="4" customFormat="1" x14ac:dyDescent="0.25">
      <c r="A87" s="71"/>
      <c r="B87" s="5"/>
      <c r="C87" s="6">
        <v>41603</v>
      </c>
      <c r="D87" s="4">
        <v>5.9</v>
      </c>
      <c r="E87" s="13">
        <v>4.7</v>
      </c>
      <c r="F87" s="4">
        <v>7.4</v>
      </c>
      <c r="G87" s="4">
        <f t="shared" si="14"/>
        <v>960.30000000000018</v>
      </c>
      <c r="H87" s="4">
        <f t="shared" si="20"/>
        <v>25.9</v>
      </c>
      <c r="I87" s="4">
        <f>AVERAGE(D82:D106)</f>
        <v>4.8999999999999986</v>
      </c>
      <c r="J87" s="4">
        <v>0.6</v>
      </c>
      <c r="K87" s="4">
        <f t="shared" si="15"/>
        <v>299.70000000000005</v>
      </c>
      <c r="L87" s="4">
        <v>1.1000000000000001</v>
      </c>
      <c r="M87" s="4">
        <f t="shared" si="16"/>
        <v>123.4</v>
      </c>
      <c r="N87" s="9">
        <f t="shared" si="13"/>
        <v>-0.50000000000000011</v>
      </c>
      <c r="O87" s="4">
        <v>148.69999999999999</v>
      </c>
      <c r="P87" s="4">
        <v>82</v>
      </c>
      <c r="Q87" s="4">
        <v>1</v>
      </c>
      <c r="R87" s="10">
        <f t="shared" si="10"/>
        <v>1.1000000000000001</v>
      </c>
      <c r="S87" s="10">
        <f t="shared" si="11"/>
        <v>-0.50000000000000011</v>
      </c>
      <c r="T87" s="10">
        <f t="shared" si="17"/>
        <v>148.76888059701491</v>
      </c>
      <c r="U87" s="4">
        <v>0</v>
      </c>
      <c r="V87" s="11">
        <v>252.6</v>
      </c>
      <c r="W87" s="4">
        <f t="shared" si="12"/>
        <v>42.813559322033896</v>
      </c>
      <c r="X87" s="4">
        <f t="shared" si="18"/>
        <v>50319.500000000007</v>
      </c>
      <c r="Y87" s="4">
        <f t="shared" si="21"/>
        <v>1152.7</v>
      </c>
      <c r="Z87" s="4">
        <v>25</v>
      </c>
      <c r="AA87" s="15">
        <v>8.5711337033963506</v>
      </c>
    </row>
    <row r="88" spans="1:27" s="4" customFormat="1" x14ac:dyDescent="0.25">
      <c r="A88" s="71"/>
      <c r="B88" s="5"/>
      <c r="C88" s="6">
        <v>41604</v>
      </c>
      <c r="D88" s="4">
        <v>6.1</v>
      </c>
      <c r="E88" s="13">
        <v>4.5</v>
      </c>
      <c r="F88" s="4">
        <v>8.1</v>
      </c>
      <c r="G88" s="4">
        <f t="shared" si="14"/>
        <v>966.4000000000002</v>
      </c>
      <c r="H88" s="4">
        <f t="shared" si="20"/>
        <v>32</v>
      </c>
      <c r="I88" s="16" t="s">
        <v>35</v>
      </c>
      <c r="J88" s="4">
        <v>0.7</v>
      </c>
      <c r="K88" s="4">
        <f t="shared" si="15"/>
        <v>300.40000000000003</v>
      </c>
      <c r="L88" s="4">
        <v>0.9</v>
      </c>
      <c r="M88" s="4">
        <f t="shared" si="16"/>
        <v>124.30000000000001</v>
      </c>
      <c r="N88" s="9">
        <f t="shared" si="13"/>
        <v>-0.20000000000000007</v>
      </c>
      <c r="O88" s="4">
        <v>148.5</v>
      </c>
      <c r="P88" s="4">
        <v>83</v>
      </c>
      <c r="Q88" s="4">
        <v>1</v>
      </c>
      <c r="R88" s="10">
        <f t="shared" si="10"/>
        <v>0.9</v>
      </c>
      <c r="S88" s="10">
        <f t="shared" si="11"/>
        <v>-0.20000000000000007</v>
      </c>
      <c r="T88" s="10">
        <f t="shared" si="17"/>
        <v>148.56888059701492</v>
      </c>
      <c r="U88" s="16" t="s">
        <v>36</v>
      </c>
      <c r="V88" s="11">
        <v>315.3</v>
      </c>
      <c r="W88" s="4">
        <f t="shared" si="12"/>
        <v>51.688524590163937</v>
      </c>
      <c r="X88" s="4">
        <f t="shared" si="18"/>
        <v>50634.80000000001</v>
      </c>
      <c r="Y88" s="4">
        <f t="shared" si="21"/>
        <v>1468</v>
      </c>
      <c r="AA88" s="15">
        <v>8.5305031588907401</v>
      </c>
    </row>
    <row r="89" spans="1:27" s="4" customFormat="1" x14ac:dyDescent="0.25">
      <c r="A89" s="71"/>
      <c r="B89" s="5"/>
      <c r="C89" s="6">
        <v>41605</v>
      </c>
      <c r="D89" s="4">
        <v>5.4</v>
      </c>
      <c r="E89" s="13">
        <v>3.8</v>
      </c>
      <c r="F89" s="4">
        <v>7.5</v>
      </c>
      <c r="G89" s="4">
        <f t="shared" si="14"/>
        <v>971.80000000000018</v>
      </c>
      <c r="H89" s="4">
        <f t="shared" si="20"/>
        <v>37.4</v>
      </c>
      <c r="I89" s="4">
        <v>6</v>
      </c>
      <c r="J89" s="4">
        <v>0.3</v>
      </c>
      <c r="K89" s="4">
        <f t="shared" si="15"/>
        <v>300.70000000000005</v>
      </c>
      <c r="L89" s="4">
        <v>0.5</v>
      </c>
      <c r="M89" s="4">
        <f t="shared" si="16"/>
        <v>124.80000000000001</v>
      </c>
      <c r="N89" s="9">
        <f t="shared" si="13"/>
        <v>-0.2</v>
      </c>
      <c r="O89" s="4">
        <v>148.30000000000001</v>
      </c>
      <c r="P89" s="4">
        <v>84</v>
      </c>
      <c r="Q89" s="4">
        <v>1</v>
      </c>
      <c r="R89" s="10">
        <f t="shared" si="10"/>
        <v>0.5</v>
      </c>
      <c r="S89" s="10">
        <f t="shared" si="11"/>
        <v>-0.2</v>
      </c>
      <c r="T89" s="10">
        <f t="shared" si="17"/>
        <v>148.36888059701494</v>
      </c>
      <c r="U89" s="10">
        <f>MIN(T82:T106)</f>
        <v>142.16888059701495</v>
      </c>
      <c r="V89" s="11">
        <v>225.4</v>
      </c>
      <c r="W89" s="4">
        <f t="shared" si="12"/>
        <v>41.74074074074074</v>
      </c>
      <c r="X89" s="4">
        <f t="shared" si="18"/>
        <v>50860.200000000012</v>
      </c>
      <c r="Y89" s="4">
        <f t="shared" si="21"/>
        <v>1693.4</v>
      </c>
      <c r="AA89" s="15">
        <v>8.4909976502132896</v>
      </c>
    </row>
    <row r="90" spans="1:27" s="4" customFormat="1" x14ac:dyDescent="0.25">
      <c r="A90" s="71"/>
      <c r="B90" s="5"/>
      <c r="C90" s="6">
        <v>41606</v>
      </c>
      <c r="D90" s="4">
        <v>7.5</v>
      </c>
      <c r="E90" s="13">
        <v>5</v>
      </c>
      <c r="F90" s="4">
        <v>9.4</v>
      </c>
      <c r="G90" s="4">
        <f t="shared" si="14"/>
        <v>979.30000000000018</v>
      </c>
      <c r="H90" s="4">
        <f t="shared" si="20"/>
        <v>44.9</v>
      </c>
      <c r="I90" s="16" t="s">
        <v>37</v>
      </c>
      <c r="J90" s="4">
        <v>0.2</v>
      </c>
      <c r="K90" s="4">
        <f t="shared" si="15"/>
        <v>300.90000000000003</v>
      </c>
      <c r="L90" s="4">
        <v>0.3</v>
      </c>
      <c r="M90" s="4">
        <f t="shared" si="16"/>
        <v>125.10000000000001</v>
      </c>
      <c r="N90" s="9">
        <f t="shared" si="13"/>
        <v>-9.9999999999999978E-2</v>
      </c>
      <c r="O90" s="4">
        <v>148.20000000000002</v>
      </c>
      <c r="P90" s="4">
        <v>85</v>
      </c>
      <c r="Q90" s="4">
        <v>1</v>
      </c>
      <c r="R90" s="10">
        <f t="shared" si="10"/>
        <v>0.3</v>
      </c>
      <c r="S90" s="10">
        <f t="shared" si="11"/>
        <v>-9.9999999999999978E-2</v>
      </c>
      <c r="T90" s="10">
        <f t="shared" si="17"/>
        <v>148.26888059701494</v>
      </c>
      <c r="U90" s="16" t="s">
        <v>38</v>
      </c>
      <c r="V90" s="11">
        <v>83.8</v>
      </c>
      <c r="W90" s="4">
        <f t="shared" si="12"/>
        <v>11.173333333333334</v>
      </c>
      <c r="X90" s="4">
        <f t="shared" si="18"/>
        <v>50944.000000000015</v>
      </c>
      <c r="Y90" s="4">
        <f t="shared" si="21"/>
        <v>1777.2</v>
      </c>
      <c r="AA90" s="15">
        <v>8.4526524253366109</v>
      </c>
    </row>
    <row r="91" spans="1:27" s="4" customFormat="1" x14ac:dyDescent="0.25">
      <c r="A91" s="71"/>
      <c r="B91" s="5"/>
      <c r="C91" s="6">
        <v>41607</v>
      </c>
      <c r="D91" s="4">
        <v>7.7</v>
      </c>
      <c r="E91" s="4">
        <v>7</v>
      </c>
      <c r="F91" s="4">
        <v>9.1999999999999993</v>
      </c>
      <c r="G91" s="4">
        <f t="shared" si="14"/>
        <v>987.00000000000023</v>
      </c>
      <c r="H91" s="4">
        <f t="shared" si="20"/>
        <v>52.6</v>
      </c>
      <c r="I91" s="4">
        <v>0</v>
      </c>
      <c r="J91" s="4">
        <v>1.8</v>
      </c>
      <c r="K91" s="4">
        <f t="shared" si="15"/>
        <v>302.70000000000005</v>
      </c>
      <c r="L91" s="4">
        <v>0.9</v>
      </c>
      <c r="M91" s="4">
        <f t="shared" si="16"/>
        <v>126.00000000000001</v>
      </c>
      <c r="N91" s="4">
        <f t="shared" si="13"/>
        <v>0.9</v>
      </c>
      <c r="O91" s="4">
        <v>149.10000000000002</v>
      </c>
      <c r="P91" s="4">
        <v>86</v>
      </c>
      <c r="Q91" s="4">
        <v>1</v>
      </c>
      <c r="R91" s="10">
        <f t="shared" si="10"/>
        <v>0.9</v>
      </c>
      <c r="S91" s="10">
        <f t="shared" si="11"/>
        <v>0.9</v>
      </c>
      <c r="T91" s="10">
        <f t="shared" si="17"/>
        <v>149.16888059701495</v>
      </c>
      <c r="U91" s="10">
        <f>MAX(T82:T106)</f>
        <v>151.16888059701492</v>
      </c>
      <c r="V91" s="11">
        <v>141.5</v>
      </c>
      <c r="W91" s="4">
        <f t="shared" si="12"/>
        <v>18.376623376623375</v>
      </c>
      <c r="X91" s="4">
        <f t="shared" si="18"/>
        <v>51085.500000000015</v>
      </c>
      <c r="Y91" s="4">
        <f t="shared" si="21"/>
        <v>1918.7</v>
      </c>
      <c r="AA91" s="15">
        <v>8.4155026341738406</v>
      </c>
    </row>
    <row r="92" spans="1:27" s="4" customFormat="1" x14ac:dyDescent="0.25">
      <c r="A92" s="71"/>
      <c r="B92" s="5"/>
      <c r="C92" s="6">
        <v>41608</v>
      </c>
      <c r="D92" s="4">
        <v>6.8</v>
      </c>
      <c r="E92" s="4">
        <v>5.3</v>
      </c>
      <c r="F92" s="4">
        <v>9.9</v>
      </c>
      <c r="G92" s="4">
        <f t="shared" si="14"/>
        <v>993.80000000000018</v>
      </c>
      <c r="H92" s="4">
        <f t="shared" si="20"/>
        <v>59.4</v>
      </c>
      <c r="I92" s="16" t="s">
        <v>39</v>
      </c>
      <c r="J92" s="4">
        <v>0.3</v>
      </c>
      <c r="K92" s="4">
        <f t="shared" si="15"/>
        <v>303.00000000000006</v>
      </c>
      <c r="L92" s="4">
        <v>1</v>
      </c>
      <c r="M92" s="4">
        <f t="shared" si="16"/>
        <v>127.00000000000001</v>
      </c>
      <c r="N92" s="9">
        <f t="shared" si="13"/>
        <v>-0.7</v>
      </c>
      <c r="O92" s="4">
        <v>148.40000000000003</v>
      </c>
      <c r="P92" s="4">
        <v>87</v>
      </c>
      <c r="Q92" s="4">
        <v>1</v>
      </c>
      <c r="R92" s="10">
        <f t="shared" si="10"/>
        <v>1</v>
      </c>
      <c r="S92" s="10">
        <f t="shared" si="11"/>
        <v>-0.7</v>
      </c>
      <c r="T92" s="10">
        <f t="shared" si="17"/>
        <v>148.46888059701496</v>
      </c>
      <c r="U92" s="16" t="s">
        <v>40</v>
      </c>
      <c r="V92" s="11">
        <v>136.1</v>
      </c>
      <c r="W92" s="4">
        <f t="shared" si="12"/>
        <v>20.014705882352942</v>
      </c>
      <c r="X92" s="4">
        <f t="shared" si="18"/>
        <v>51221.600000000013</v>
      </c>
      <c r="Y92" s="4">
        <f t="shared" si="21"/>
        <v>2054.8000000000002</v>
      </c>
      <c r="AA92" s="15">
        <v>8.3795832354353994</v>
      </c>
    </row>
    <row r="93" spans="1:27" s="4" customFormat="1" x14ac:dyDescent="0.25">
      <c r="A93" s="71"/>
      <c r="B93" s="5"/>
      <c r="C93" s="6">
        <v>41609</v>
      </c>
      <c r="D93" s="4">
        <v>7.1</v>
      </c>
      <c r="E93" s="13">
        <v>5</v>
      </c>
      <c r="F93" s="4">
        <v>9</v>
      </c>
      <c r="G93" s="4">
        <f t="shared" si="14"/>
        <v>1000.9000000000002</v>
      </c>
      <c r="H93" s="4">
        <f t="shared" si="20"/>
        <v>66.5</v>
      </c>
      <c r="I93" s="4">
        <v>15</v>
      </c>
      <c r="J93" s="4">
        <v>0</v>
      </c>
      <c r="K93" s="4">
        <f t="shared" si="15"/>
        <v>303.00000000000006</v>
      </c>
      <c r="L93" s="4">
        <v>0.9</v>
      </c>
      <c r="M93" s="4">
        <f t="shared" si="16"/>
        <v>127.90000000000002</v>
      </c>
      <c r="N93" s="9">
        <f t="shared" si="13"/>
        <v>-0.9</v>
      </c>
      <c r="O93" s="4">
        <v>147.50000000000003</v>
      </c>
      <c r="P93" s="4">
        <v>88</v>
      </c>
      <c r="Q93" s="4">
        <v>1</v>
      </c>
      <c r="R93" s="10">
        <f t="shared" si="10"/>
        <v>0.9</v>
      </c>
      <c r="S93" s="10">
        <f t="shared" si="11"/>
        <v>-0.9</v>
      </c>
      <c r="T93" s="10">
        <f t="shared" si="17"/>
        <v>147.56888059701495</v>
      </c>
      <c r="U93" s="12">
        <f>AVERAGE(T82:T106)</f>
        <v>147.00088059701494</v>
      </c>
      <c r="V93" s="11">
        <v>503.8</v>
      </c>
      <c r="W93" s="4">
        <f t="shared" si="12"/>
        <v>70.957746478873247</v>
      </c>
      <c r="X93" s="4">
        <f t="shared" si="18"/>
        <v>51725.400000000016</v>
      </c>
      <c r="Y93" s="4">
        <f t="shared" si="21"/>
        <v>2558.6000000000004</v>
      </c>
      <c r="AA93" s="15">
        <v>8.3449288994587008</v>
      </c>
    </row>
    <row r="94" spans="1:27" s="4" customFormat="1" x14ac:dyDescent="0.25">
      <c r="A94" s="71"/>
      <c r="B94" s="5"/>
      <c r="C94" s="6">
        <v>41610</v>
      </c>
      <c r="D94" s="4">
        <v>6.5</v>
      </c>
      <c r="E94" s="4">
        <v>5.3</v>
      </c>
      <c r="F94" s="4">
        <v>8.6999999999999993</v>
      </c>
      <c r="G94" s="4">
        <f t="shared" si="14"/>
        <v>1007.4000000000002</v>
      </c>
      <c r="H94" s="4">
        <f t="shared" si="20"/>
        <v>73</v>
      </c>
      <c r="I94" s="16" t="s">
        <v>41</v>
      </c>
      <c r="J94" s="4">
        <v>0</v>
      </c>
      <c r="K94" s="4">
        <f t="shared" si="15"/>
        <v>303.00000000000006</v>
      </c>
      <c r="L94" s="4">
        <v>1</v>
      </c>
      <c r="M94" s="4">
        <f t="shared" si="16"/>
        <v>128.90000000000003</v>
      </c>
      <c r="N94" s="9">
        <f t="shared" si="13"/>
        <v>-1</v>
      </c>
      <c r="O94" s="4">
        <v>146.50000000000003</v>
      </c>
      <c r="P94" s="4">
        <v>89</v>
      </c>
      <c r="Q94" s="4">
        <v>1</v>
      </c>
      <c r="R94" s="10">
        <f t="shared" si="10"/>
        <v>1</v>
      </c>
      <c r="S94" s="10">
        <f t="shared" si="11"/>
        <v>-1</v>
      </c>
      <c r="T94" s="10">
        <f t="shared" si="17"/>
        <v>146.56888059701495</v>
      </c>
      <c r="U94" s="16" t="s">
        <v>43</v>
      </c>
      <c r="V94" s="11">
        <v>477.6</v>
      </c>
      <c r="W94" s="4">
        <f t="shared" si="12"/>
        <v>73.476923076923086</v>
      </c>
      <c r="X94" s="4">
        <f t="shared" si="18"/>
        <v>52203.000000000015</v>
      </c>
      <c r="Y94" s="4">
        <f t="shared" si="21"/>
        <v>3036.2000000000003</v>
      </c>
      <c r="AA94" s="15">
        <v>8.3115739073772108</v>
      </c>
    </row>
    <row r="95" spans="1:27" s="4" customFormat="1" x14ac:dyDescent="0.25">
      <c r="A95" s="71"/>
      <c r="B95" s="14"/>
      <c r="C95" s="6">
        <v>41611</v>
      </c>
      <c r="D95" s="13">
        <v>1.1000000000000001</v>
      </c>
      <c r="E95" s="17">
        <v>-2.5</v>
      </c>
      <c r="F95" s="13">
        <v>4.5999999999999996</v>
      </c>
      <c r="G95" s="4">
        <f t="shared" si="14"/>
        <v>1008.5000000000002</v>
      </c>
      <c r="H95" s="4">
        <f t="shared" si="20"/>
        <v>74.099999999999994</v>
      </c>
      <c r="I95" s="4">
        <v>122.5</v>
      </c>
      <c r="J95" s="4">
        <v>0.1</v>
      </c>
      <c r="K95" s="4">
        <f t="shared" si="15"/>
        <v>303.10000000000008</v>
      </c>
      <c r="L95" s="4">
        <v>0.2</v>
      </c>
      <c r="M95" s="4">
        <f t="shared" si="16"/>
        <v>129.10000000000002</v>
      </c>
      <c r="N95" s="9">
        <f t="shared" si="13"/>
        <v>-0.1</v>
      </c>
      <c r="O95" s="4">
        <v>146.40000000000003</v>
      </c>
      <c r="P95" s="4">
        <v>90</v>
      </c>
      <c r="Q95" s="4">
        <v>1</v>
      </c>
      <c r="R95" s="10">
        <f t="shared" si="10"/>
        <v>0.2</v>
      </c>
      <c r="S95" s="10">
        <f t="shared" si="11"/>
        <v>-0.1</v>
      </c>
      <c r="T95" s="10">
        <f t="shared" si="17"/>
        <v>146.46888059701496</v>
      </c>
      <c r="U95" s="4">
        <v>12</v>
      </c>
      <c r="V95" s="11">
        <v>420</v>
      </c>
      <c r="W95" s="4">
        <f t="shared" si="12"/>
        <v>381.81818181818181</v>
      </c>
      <c r="X95" s="4">
        <f t="shared" si="18"/>
        <v>52623.000000000015</v>
      </c>
      <c r="Y95" s="4">
        <f t="shared" si="21"/>
        <v>3456.2000000000003</v>
      </c>
      <c r="AA95" s="15">
        <v>8.2795520470546098</v>
      </c>
    </row>
    <row r="96" spans="1:27" s="4" customFormat="1" x14ac:dyDescent="0.25">
      <c r="A96" s="71"/>
      <c r="B96" s="5"/>
      <c r="C96" s="6">
        <v>41612</v>
      </c>
      <c r="D96" s="4">
        <v>5.7</v>
      </c>
      <c r="E96" s="13">
        <v>1.1000000000000001</v>
      </c>
      <c r="F96" s="4">
        <v>8.5</v>
      </c>
      <c r="G96" s="4">
        <f t="shared" si="14"/>
        <v>1014.2000000000003</v>
      </c>
      <c r="H96" s="4">
        <f t="shared" si="20"/>
        <v>79.8</v>
      </c>
      <c r="J96" s="4">
        <v>0.6</v>
      </c>
      <c r="K96" s="4">
        <f t="shared" si="15"/>
        <v>303.7000000000001</v>
      </c>
      <c r="L96" s="4">
        <v>0.4</v>
      </c>
      <c r="M96" s="4">
        <f t="shared" si="16"/>
        <v>129.50000000000003</v>
      </c>
      <c r="N96" s="4">
        <f t="shared" si="13"/>
        <v>0.19999999999999996</v>
      </c>
      <c r="O96" s="4">
        <v>146.60000000000002</v>
      </c>
      <c r="P96" s="4">
        <v>91</v>
      </c>
      <c r="Q96" s="4">
        <v>1</v>
      </c>
      <c r="R96" s="10">
        <f t="shared" si="10"/>
        <v>0.4</v>
      </c>
      <c r="S96" s="10">
        <f t="shared" si="11"/>
        <v>0.19999999999999996</v>
      </c>
      <c r="T96" s="10">
        <f t="shared" si="17"/>
        <v>146.66888059701495</v>
      </c>
      <c r="V96" s="11">
        <v>128</v>
      </c>
      <c r="W96" s="4">
        <f t="shared" si="12"/>
        <v>22.456140350877192</v>
      </c>
      <c r="X96" s="4">
        <f t="shared" si="18"/>
        <v>52751.000000000015</v>
      </c>
      <c r="Y96" s="4">
        <f t="shared" si="21"/>
        <v>3584.2000000000003</v>
      </c>
      <c r="AA96" s="15">
        <v>8.2488965062682293</v>
      </c>
    </row>
    <row r="97" spans="1:27" s="4" customFormat="1" x14ac:dyDescent="0.25">
      <c r="A97" s="71"/>
      <c r="B97" s="14"/>
      <c r="C97" s="6">
        <v>41613</v>
      </c>
      <c r="D97" s="13">
        <v>4.5999999999999996</v>
      </c>
      <c r="E97" s="13">
        <v>0.9</v>
      </c>
      <c r="F97" s="4">
        <v>7.3</v>
      </c>
      <c r="G97" s="4">
        <f t="shared" si="14"/>
        <v>1018.8000000000003</v>
      </c>
      <c r="H97" s="4">
        <f t="shared" si="20"/>
        <v>84.399999999999991</v>
      </c>
      <c r="J97" s="4">
        <v>0.9</v>
      </c>
      <c r="K97" s="4">
        <f t="shared" si="15"/>
        <v>304.60000000000008</v>
      </c>
      <c r="L97" s="4">
        <v>0.7</v>
      </c>
      <c r="M97" s="4">
        <f t="shared" si="16"/>
        <v>130.20000000000002</v>
      </c>
      <c r="N97" s="4">
        <f t="shared" si="13"/>
        <v>0.20000000000000007</v>
      </c>
      <c r="O97" s="4">
        <v>146.80000000000001</v>
      </c>
      <c r="P97" s="4">
        <v>92</v>
      </c>
      <c r="Q97" s="4">
        <v>1</v>
      </c>
      <c r="R97" s="10">
        <f t="shared" si="10"/>
        <v>0.7</v>
      </c>
      <c r="S97" s="10">
        <f t="shared" si="11"/>
        <v>0.20000000000000007</v>
      </c>
      <c r="T97" s="10">
        <f t="shared" si="17"/>
        <v>146.86888059701494</v>
      </c>
      <c r="U97" s="4">
        <f>(U93*100)/153.6</f>
        <v>95.703698305348283</v>
      </c>
      <c r="V97" s="11">
        <v>275.3</v>
      </c>
      <c r="W97" s="4">
        <f t="shared" si="12"/>
        <v>59.84782608695653</v>
      </c>
      <c r="X97" s="4">
        <f t="shared" si="18"/>
        <v>53026.300000000017</v>
      </c>
      <c r="Y97" s="4">
        <f t="shared" si="21"/>
        <v>3859.5000000000005</v>
      </c>
      <c r="AA97" s="15">
        <v>8.2196397636843805</v>
      </c>
    </row>
    <row r="98" spans="1:27" s="4" customFormat="1" x14ac:dyDescent="0.25">
      <c r="A98" s="71"/>
      <c r="B98" s="14"/>
      <c r="C98" s="6">
        <v>41614</v>
      </c>
      <c r="D98" s="13">
        <v>4.5999999999999996</v>
      </c>
      <c r="E98" s="13">
        <v>3.3</v>
      </c>
      <c r="F98" s="4">
        <v>6.2</v>
      </c>
      <c r="G98" s="4">
        <f t="shared" si="14"/>
        <v>1023.4000000000003</v>
      </c>
      <c r="H98" s="4">
        <f t="shared" si="20"/>
        <v>88.999999999999986</v>
      </c>
      <c r="J98" s="4">
        <v>0.3</v>
      </c>
      <c r="K98" s="4">
        <f t="shared" si="15"/>
        <v>304.90000000000009</v>
      </c>
      <c r="L98" s="4">
        <v>1.1000000000000001</v>
      </c>
      <c r="M98" s="4">
        <f t="shared" si="16"/>
        <v>131.30000000000001</v>
      </c>
      <c r="N98" s="9">
        <f t="shared" si="13"/>
        <v>-0.8</v>
      </c>
      <c r="O98" s="4">
        <v>146</v>
      </c>
      <c r="P98" s="4">
        <v>93</v>
      </c>
      <c r="Q98" s="4">
        <v>1</v>
      </c>
      <c r="R98" s="10">
        <f t="shared" si="10"/>
        <v>1.1000000000000001</v>
      </c>
      <c r="S98" s="10">
        <f t="shared" si="11"/>
        <v>-0.8</v>
      </c>
      <c r="T98" s="10">
        <f t="shared" si="17"/>
        <v>146.06888059701492</v>
      </c>
      <c r="V98" s="11">
        <v>348.4</v>
      </c>
      <c r="W98" s="4">
        <f t="shared" si="12"/>
        <v>75.739130434782609</v>
      </c>
      <c r="X98" s="4">
        <f t="shared" si="18"/>
        <v>53374.700000000019</v>
      </c>
      <c r="Y98" s="4">
        <f t="shared" si="21"/>
        <v>4207.9000000000005</v>
      </c>
      <c r="AA98" s="15">
        <v>8.1918134782235494</v>
      </c>
    </row>
    <row r="99" spans="1:27" s="4" customFormat="1" x14ac:dyDescent="0.25">
      <c r="A99" s="71"/>
      <c r="B99" s="5"/>
      <c r="C99" s="6">
        <v>41615</v>
      </c>
      <c r="D99" s="4">
        <v>7.1</v>
      </c>
      <c r="E99" s="13">
        <v>4.4000000000000004</v>
      </c>
      <c r="F99" s="4">
        <v>9.1999999999999993</v>
      </c>
      <c r="G99" s="4">
        <f t="shared" si="14"/>
        <v>1030.5000000000002</v>
      </c>
      <c r="H99" s="4">
        <f t="shared" si="20"/>
        <v>96.09999999999998</v>
      </c>
      <c r="J99" s="4">
        <v>0.1</v>
      </c>
      <c r="K99" s="4">
        <f t="shared" si="15"/>
        <v>305.00000000000011</v>
      </c>
      <c r="L99" s="4">
        <v>0.8</v>
      </c>
      <c r="M99" s="4">
        <f t="shared" si="16"/>
        <v>132.10000000000002</v>
      </c>
      <c r="N99" s="9">
        <f t="shared" si="13"/>
        <v>-0.70000000000000007</v>
      </c>
      <c r="O99" s="4">
        <v>145.30000000000001</v>
      </c>
      <c r="P99" s="4">
        <v>94</v>
      </c>
      <c r="Q99" s="4">
        <v>1</v>
      </c>
      <c r="R99" s="10">
        <f t="shared" si="10"/>
        <v>0.8</v>
      </c>
      <c r="S99" s="10">
        <f t="shared" si="11"/>
        <v>-0.70000000000000007</v>
      </c>
      <c r="T99" s="10">
        <f t="shared" si="17"/>
        <v>145.36888059701494</v>
      </c>
      <c r="V99" s="11">
        <v>272.2</v>
      </c>
      <c r="W99" s="4">
        <f t="shared" si="12"/>
        <v>38.338028169014088</v>
      </c>
      <c r="X99" s="4">
        <f t="shared" si="18"/>
        <v>53646.900000000016</v>
      </c>
      <c r="Y99" s="4">
        <f t="shared" si="21"/>
        <v>4480.1000000000004</v>
      </c>
      <c r="AA99" s="15">
        <v>8.1654483774662392</v>
      </c>
    </row>
    <row r="100" spans="1:27" s="4" customFormat="1" x14ac:dyDescent="0.25">
      <c r="A100" s="71"/>
      <c r="B100" s="5"/>
      <c r="C100" s="6">
        <v>41616</v>
      </c>
      <c r="D100" s="4">
        <v>8.1</v>
      </c>
      <c r="E100" s="4">
        <v>7.1</v>
      </c>
      <c r="F100" s="4">
        <v>9.9</v>
      </c>
      <c r="G100" s="4">
        <f t="shared" si="14"/>
        <v>1038.6000000000001</v>
      </c>
      <c r="H100" s="4">
        <f t="shared" si="20"/>
        <v>104.19999999999997</v>
      </c>
      <c r="J100" s="4">
        <v>0.1</v>
      </c>
      <c r="K100" s="4">
        <f t="shared" si="15"/>
        <v>305.10000000000014</v>
      </c>
      <c r="L100" s="4">
        <v>1.2</v>
      </c>
      <c r="M100" s="4">
        <f t="shared" si="16"/>
        <v>133.30000000000001</v>
      </c>
      <c r="N100" s="9">
        <f t="shared" si="13"/>
        <v>-1.0999999999999999</v>
      </c>
      <c r="O100" s="4">
        <v>144.20000000000002</v>
      </c>
      <c r="P100" s="4">
        <v>95</v>
      </c>
      <c r="Q100" s="4">
        <v>1</v>
      </c>
      <c r="R100" s="10">
        <f t="shared" si="10"/>
        <v>1.2</v>
      </c>
      <c r="S100" s="10">
        <f t="shared" si="11"/>
        <v>-1.0999999999999999</v>
      </c>
      <c r="T100" s="10">
        <f t="shared" si="17"/>
        <v>144.26888059701494</v>
      </c>
      <c r="V100" s="11">
        <v>295.60000000000002</v>
      </c>
      <c r="W100" s="4">
        <f t="shared" si="12"/>
        <v>36.493827160493829</v>
      </c>
      <c r="X100" s="4">
        <f t="shared" si="18"/>
        <v>53942.500000000015</v>
      </c>
      <c r="Y100" s="4">
        <f t="shared" si="21"/>
        <v>4775.7000000000007</v>
      </c>
      <c r="AA100" s="15">
        <v>8.1405741457981406</v>
      </c>
    </row>
    <row r="101" spans="1:27" s="4" customFormat="1" x14ac:dyDescent="0.25">
      <c r="A101" s="71"/>
      <c r="B101" s="5"/>
      <c r="C101" s="6">
        <v>41617</v>
      </c>
      <c r="D101" s="4">
        <v>5.4</v>
      </c>
      <c r="E101" s="13">
        <v>4.5</v>
      </c>
      <c r="F101" s="4">
        <v>9.1999999999999993</v>
      </c>
      <c r="G101" s="4">
        <f t="shared" si="14"/>
        <v>1044.0000000000002</v>
      </c>
      <c r="H101" s="4">
        <f t="shared" si="20"/>
        <v>109.59999999999998</v>
      </c>
      <c r="J101" s="4">
        <v>0</v>
      </c>
      <c r="K101" s="4">
        <f t="shared" si="15"/>
        <v>305.10000000000014</v>
      </c>
      <c r="L101" s="4">
        <v>1</v>
      </c>
      <c r="M101" s="4">
        <f t="shared" si="16"/>
        <v>134.30000000000001</v>
      </c>
      <c r="N101" s="9">
        <f t="shared" si="13"/>
        <v>-1</v>
      </c>
      <c r="O101" s="4">
        <v>143.20000000000002</v>
      </c>
      <c r="P101" s="4">
        <v>96</v>
      </c>
      <c r="Q101" s="4">
        <v>1</v>
      </c>
      <c r="R101" s="10">
        <f t="shared" si="10"/>
        <v>1</v>
      </c>
      <c r="S101" s="10">
        <f t="shared" si="11"/>
        <v>-1</v>
      </c>
      <c r="T101" s="10">
        <f t="shared" si="17"/>
        <v>143.26888059701494</v>
      </c>
      <c r="V101" s="11">
        <v>387.9</v>
      </c>
      <c r="W101" s="4">
        <f t="shared" si="12"/>
        <v>71.833333333333329</v>
      </c>
      <c r="X101" s="4">
        <f t="shared" si="18"/>
        <v>54330.400000000016</v>
      </c>
      <c r="Y101" s="4">
        <f t="shared" si="21"/>
        <v>5163.6000000000004</v>
      </c>
      <c r="AA101" s="15">
        <v>8.1172193130361894</v>
      </c>
    </row>
    <row r="102" spans="1:27" s="4" customFormat="1" x14ac:dyDescent="0.25">
      <c r="A102" s="71"/>
      <c r="B102" s="14"/>
      <c r="C102" s="6">
        <v>41618</v>
      </c>
      <c r="D102" s="13">
        <v>2.1</v>
      </c>
      <c r="E102" s="17">
        <v>-0.9</v>
      </c>
      <c r="F102" s="4">
        <v>6.3</v>
      </c>
      <c r="G102" s="4">
        <f t="shared" si="14"/>
        <v>1046.1000000000001</v>
      </c>
      <c r="H102" s="4">
        <f t="shared" si="20"/>
        <v>111.69999999999997</v>
      </c>
      <c r="J102" s="4">
        <v>0.3</v>
      </c>
      <c r="K102" s="4">
        <f t="shared" si="15"/>
        <v>305.40000000000015</v>
      </c>
      <c r="L102" s="4">
        <v>0.6</v>
      </c>
      <c r="M102" s="4">
        <f t="shared" si="16"/>
        <v>134.9</v>
      </c>
      <c r="N102" s="9">
        <f t="shared" si="13"/>
        <v>-0.3</v>
      </c>
      <c r="O102" s="4">
        <v>142.9</v>
      </c>
      <c r="P102" s="4">
        <v>97</v>
      </c>
      <c r="Q102" s="4">
        <v>1</v>
      </c>
      <c r="R102" s="10">
        <f t="shared" si="10"/>
        <v>0.6</v>
      </c>
      <c r="S102" s="10">
        <f t="shared" si="11"/>
        <v>-0.3</v>
      </c>
      <c r="T102" s="10">
        <f t="shared" si="17"/>
        <v>142.96888059701493</v>
      </c>
      <c r="V102" s="11">
        <v>515.9</v>
      </c>
      <c r="W102" s="4">
        <f t="shared" si="12"/>
        <v>245.66666666666666</v>
      </c>
      <c r="X102" s="4">
        <f t="shared" si="18"/>
        <v>54846.300000000017</v>
      </c>
      <c r="Y102" s="4">
        <f t="shared" si="21"/>
        <v>5679.5</v>
      </c>
      <c r="AA102" s="15">
        <v>8.0954111443129992</v>
      </c>
    </row>
    <row r="103" spans="1:27" s="4" customFormat="1" x14ac:dyDescent="0.25">
      <c r="A103" s="71"/>
      <c r="B103" s="14"/>
      <c r="C103" s="6">
        <v>41619</v>
      </c>
      <c r="D103" s="13">
        <v>1.6</v>
      </c>
      <c r="E103" s="17">
        <v>-2</v>
      </c>
      <c r="F103" s="4">
        <v>5.7</v>
      </c>
      <c r="G103" s="4">
        <f t="shared" si="14"/>
        <v>1047.7</v>
      </c>
      <c r="H103" s="4">
        <f t="shared" si="20"/>
        <v>113.29999999999997</v>
      </c>
      <c r="J103" s="4">
        <v>0.1</v>
      </c>
      <c r="K103" s="4">
        <f t="shared" si="15"/>
        <v>305.50000000000017</v>
      </c>
      <c r="L103" s="4">
        <v>0.7</v>
      </c>
      <c r="M103" s="4">
        <f t="shared" si="16"/>
        <v>135.6</v>
      </c>
      <c r="N103" s="9">
        <f t="shared" si="13"/>
        <v>-0.6</v>
      </c>
      <c r="O103" s="4">
        <v>142.30000000000001</v>
      </c>
      <c r="P103" s="4">
        <v>98</v>
      </c>
      <c r="Q103" s="4">
        <v>1</v>
      </c>
      <c r="R103" s="10">
        <f t="shared" si="10"/>
        <v>0.7</v>
      </c>
      <c r="S103" s="10">
        <f t="shared" si="11"/>
        <v>-0.6</v>
      </c>
      <c r="T103" s="10">
        <f t="shared" si="17"/>
        <v>142.36888059701494</v>
      </c>
      <c r="V103" s="11">
        <v>550.9</v>
      </c>
      <c r="W103" s="4">
        <f t="shared" si="12"/>
        <v>344.31249999999994</v>
      </c>
      <c r="X103" s="4">
        <f t="shared" si="18"/>
        <v>55397.200000000019</v>
      </c>
      <c r="Y103" s="4">
        <f t="shared" si="21"/>
        <v>6230.4</v>
      </c>
      <c r="AA103" s="15">
        <v>8.0751755320254404</v>
      </c>
    </row>
    <row r="104" spans="1:27" s="4" customFormat="1" x14ac:dyDescent="0.25">
      <c r="A104" s="71"/>
      <c r="B104" s="14"/>
      <c r="C104" s="6">
        <v>41620</v>
      </c>
      <c r="D104" s="13">
        <v>0.2</v>
      </c>
      <c r="E104" s="17">
        <v>-0.7</v>
      </c>
      <c r="F104" s="13">
        <v>0.9</v>
      </c>
      <c r="G104" s="4">
        <f t="shared" si="14"/>
        <v>1047.9000000000001</v>
      </c>
      <c r="H104" s="4">
        <f t="shared" si="20"/>
        <v>113.49999999999997</v>
      </c>
      <c r="J104" s="4">
        <v>0.1</v>
      </c>
      <c r="K104" s="4">
        <f t="shared" si="15"/>
        <v>305.60000000000019</v>
      </c>
      <c r="L104" s="4">
        <v>0.3</v>
      </c>
      <c r="M104" s="4">
        <f t="shared" si="16"/>
        <v>135.9</v>
      </c>
      <c r="N104" s="9">
        <f t="shared" si="13"/>
        <v>-0.19999999999999998</v>
      </c>
      <c r="O104" s="4">
        <v>142.10000000000002</v>
      </c>
      <c r="P104" s="4">
        <v>99</v>
      </c>
      <c r="Q104" s="4">
        <v>1</v>
      </c>
      <c r="R104" s="10">
        <f t="shared" si="10"/>
        <v>0.3</v>
      </c>
      <c r="S104" s="10">
        <f t="shared" si="11"/>
        <v>-0.19999999999999998</v>
      </c>
      <c r="T104" s="10">
        <f t="shared" si="17"/>
        <v>142.16888059701495</v>
      </c>
      <c r="V104" s="11">
        <v>218.4</v>
      </c>
      <c r="W104" s="4">
        <f t="shared" si="12"/>
        <v>1092</v>
      </c>
      <c r="X104" s="4">
        <f t="shared" si="18"/>
        <v>55615.60000000002</v>
      </c>
      <c r="Y104" s="4">
        <f t="shared" si="21"/>
        <v>6448.7999999999993</v>
      </c>
      <c r="AA104" s="15">
        <v>8.0565368906726302</v>
      </c>
    </row>
    <row r="105" spans="1:27" s="4" customFormat="1" x14ac:dyDescent="0.25">
      <c r="A105" s="71"/>
      <c r="B105" s="14"/>
      <c r="C105" s="6">
        <v>41621</v>
      </c>
      <c r="D105" s="13">
        <v>2.5</v>
      </c>
      <c r="E105" s="17">
        <v>-0.3</v>
      </c>
      <c r="F105" s="13">
        <v>4.5</v>
      </c>
      <c r="G105" s="4">
        <f t="shared" si="14"/>
        <v>1050.4000000000001</v>
      </c>
      <c r="H105" s="4">
        <f t="shared" si="20"/>
        <v>115.99999999999997</v>
      </c>
      <c r="J105" s="4">
        <v>4.2</v>
      </c>
      <c r="K105" s="4">
        <f t="shared" si="15"/>
        <v>309.80000000000018</v>
      </c>
      <c r="L105" s="4">
        <v>0.3</v>
      </c>
      <c r="M105" s="4">
        <f t="shared" si="16"/>
        <v>136.20000000000002</v>
      </c>
      <c r="N105" s="4">
        <f t="shared" si="13"/>
        <v>3.9000000000000004</v>
      </c>
      <c r="O105" s="4">
        <v>146.00000000000003</v>
      </c>
      <c r="P105" s="4">
        <v>100</v>
      </c>
      <c r="Q105" s="4">
        <v>1</v>
      </c>
      <c r="R105" s="10">
        <f t="shared" si="10"/>
        <v>0.3</v>
      </c>
      <c r="S105" s="10">
        <f t="shared" si="11"/>
        <v>3.9000000000000004</v>
      </c>
      <c r="T105" s="10">
        <f t="shared" si="17"/>
        <v>146.06888059701495</v>
      </c>
      <c r="V105" s="11">
        <v>277.39999999999998</v>
      </c>
      <c r="W105" s="4">
        <f t="shared" si="12"/>
        <v>110.96</v>
      </c>
      <c r="X105" s="4">
        <f t="shared" si="18"/>
        <v>55893.000000000022</v>
      </c>
      <c r="Y105" s="4">
        <f t="shared" si="21"/>
        <v>6726.1999999999989</v>
      </c>
      <c r="AA105" s="15">
        <v>8.0395180554186396</v>
      </c>
    </row>
    <row r="106" spans="1:27" s="61" customFormat="1" ht="15.75" thickBot="1" x14ac:dyDescent="0.3">
      <c r="A106" s="71"/>
      <c r="B106" s="59"/>
      <c r="C106" s="60">
        <v>41622</v>
      </c>
      <c r="D106" s="61">
        <v>6.5</v>
      </c>
      <c r="E106" s="61">
        <v>3.5</v>
      </c>
      <c r="F106" s="61">
        <v>9.1</v>
      </c>
      <c r="G106" s="61">
        <f t="shared" si="14"/>
        <v>1056.9000000000001</v>
      </c>
      <c r="H106" s="49">
        <f t="shared" si="20"/>
        <v>122.49999999999997</v>
      </c>
      <c r="J106" s="61">
        <v>0.2</v>
      </c>
      <c r="K106" s="61">
        <f t="shared" si="15"/>
        <v>310.00000000000017</v>
      </c>
      <c r="L106" s="61">
        <v>0.7</v>
      </c>
      <c r="M106" s="61">
        <f t="shared" si="16"/>
        <v>136.9</v>
      </c>
      <c r="N106" s="61">
        <f t="shared" si="13"/>
        <v>-0.49999999999999994</v>
      </c>
      <c r="O106" s="49">
        <v>145.50000000000003</v>
      </c>
      <c r="P106" s="49">
        <v>101</v>
      </c>
      <c r="Q106" s="49">
        <v>1</v>
      </c>
      <c r="R106" s="52">
        <f t="shared" si="10"/>
        <v>0.7</v>
      </c>
      <c r="S106" s="52">
        <f t="shared" si="11"/>
        <v>-0.49999999999999994</v>
      </c>
      <c r="T106" s="53">
        <f t="shared" si="17"/>
        <v>145.56888059701495</v>
      </c>
      <c r="V106" s="62">
        <v>490.3</v>
      </c>
      <c r="W106" s="61">
        <f t="shared" si="12"/>
        <v>75.430769230769229</v>
      </c>
      <c r="X106" s="61">
        <f t="shared" si="18"/>
        <v>56383.300000000025</v>
      </c>
      <c r="Y106" s="54">
        <f t="shared" si="21"/>
        <v>7216.4999999999991</v>
      </c>
      <c r="AA106" s="63">
        <v>8.0241401852142502</v>
      </c>
    </row>
    <row r="107" spans="1:27" s="4" customFormat="1" ht="15" customHeight="1" x14ac:dyDescent="0.25">
      <c r="A107" s="72" t="s">
        <v>44</v>
      </c>
      <c r="B107" s="5"/>
      <c r="C107" s="6">
        <v>41623</v>
      </c>
      <c r="D107" s="4">
        <v>7.7</v>
      </c>
      <c r="E107" s="4">
        <v>6.5</v>
      </c>
      <c r="F107" s="4">
        <v>8.6999999999999993</v>
      </c>
      <c r="G107" s="4">
        <f t="shared" si="14"/>
        <v>1064.6000000000001</v>
      </c>
      <c r="H107" s="4">
        <v>7.7</v>
      </c>
      <c r="I107" s="18" t="s">
        <v>26</v>
      </c>
      <c r="J107" s="4">
        <v>0</v>
      </c>
      <c r="K107" s="4">
        <f t="shared" si="15"/>
        <v>310.00000000000017</v>
      </c>
      <c r="L107" s="4">
        <v>1.2</v>
      </c>
      <c r="M107" s="4">
        <f t="shared" si="16"/>
        <v>138.1</v>
      </c>
      <c r="N107" s="9">
        <f t="shared" si="13"/>
        <v>-1.2</v>
      </c>
      <c r="O107" s="4">
        <v>144.30000000000004</v>
      </c>
      <c r="P107" s="4">
        <v>102</v>
      </c>
      <c r="Q107" s="12">
        <f>1+((P107-101)/108)*(1.15-1)</f>
        <v>1.0013888888888889</v>
      </c>
      <c r="R107" s="10">
        <f t="shared" si="10"/>
        <v>1.2016666666666667</v>
      </c>
      <c r="S107" s="10">
        <f t="shared" si="11"/>
        <v>-1.2016666666666667</v>
      </c>
      <c r="T107" s="10">
        <f t="shared" si="17"/>
        <v>144.3672139303483</v>
      </c>
      <c r="U107" s="18" t="s">
        <v>27</v>
      </c>
      <c r="V107" s="11">
        <v>159</v>
      </c>
      <c r="W107" s="4">
        <f t="shared" si="12"/>
        <v>20.649350649350648</v>
      </c>
      <c r="X107" s="4">
        <f t="shared" si="18"/>
        <v>56542.300000000025</v>
      </c>
      <c r="Y107" s="4">
        <v>159</v>
      </c>
      <c r="Z107" s="18" t="s">
        <v>28</v>
      </c>
      <c r="AA107" s="15">
        <v>8.0104226713010398</v>
      </c>
    </row>
    <row r="108" spans="1:27" s="4" customFormat="1" x14ac:dyDescent="0.25">
      <c r="A108" s="72"/>
      <c r="B108" s="5"/>
      <c r="C108" s="6">
        <v>41624</v>
      </c>
      <c r="D108" s="4">
        <v>9.1999999999999993</v>
      </c>
      <c r="E108" s="4">
        <v>7.3</v>
      </c>
      <c r="F108" s="4">
        <v>10.8</v>
      </c>
      <c r="G108" s="4">
        <f t="shared" si="14"/>
        <v>1073.8000000000002</v>
      </c>
      <c r="H108" s="4">
        <f t="shared" si="20"/>
        <v>16.899999999999999</v>
      </c>
      <c r="I108" s="4">
        <f>MIN(E107:E214)</f>
        <v>-1.7</v>
      </c>
      <c r="J108" s="4">
        <v>0.1</v>
      </c>
      <c r="K108" s="4">
        <f t="shared" si="15"/>
        <v>310.10000000000019</v>
      </c>
      <c r="L108" s="4">
        <v>1.8</v>
      </c>
      <c r="M108" s="4">
        <f t="shared" si="16"/>
        <v>139.9</v>
      </c>
      <c r="N108" s="9">
        <f t="shared" si="13"/>
        <v>-1.7</v>
      </c>
      <c r="O108" s="4">
        <v>142.60000000000005</v>
      </c>
      <c r="P108" s="4">
        <v>103</v>
      </c>
      <c r="Q108" s="12">
        <f t="shared" ref="Q108:Q171" si="22">1+((P108-101)/108)*(1.15-1)</f>
        <v>1.0027777777777778</v>
      </c>
      <c r="R108" s="10">
        <f t="shared" si="10"/>
        <v>1.8049999999999999</v>
      </c>
      <c r="S108" s="10">
        <f t="shared" si="11"/>
        <v>-1.7049999999999998</v>
      </c>
      <c r="T108" s="10">
        <f t="shared" si="17"/>
        <v>142.66221393034829</v>
      </c>
      <c r="U108" s="4">
        <v>60</v>
      </c>
      <c r="V108" s="11">
        <v>306.8</v>
      </c>
      <c r="W108" s="4">
        <f t="shared" si="12"/>
        <v>33.347826086956523</v>
      </c>
      <c r="X108" s="4">
        <f t="shared" si="18"/>
        <v>56849.100000000028</v>
      </c>
      <c r="Y108" s="4">
        <f t="shared" si="21"/>
        <v>465.8</v>
      </c>
      <c r="Z108" s="4">
        <v>60514.100000000006</v>
      </c>
      <c r="AA108" s="15">
        <v>7.9983830518974104</v>
      </c>
    </row>
    <row r="109" spans="1:27" s="4" customFormat="1" x14ac:dyDescent="0.25">
      <c r="A109" s="72"/>
      <c r="B109" s="5"/>
      <c r="C109" s="6">
        <v>41625</v>
      </c>
      <c r="D109" s="4">
        <v>7.1</v>
      </c>
      <c r="E109" s="4">
        <v>6.2</v>
      </c>
      <c r="F109" s="4">
        <v>7.6</v>
      </c>
      <c r="G109" s="4">
        <f t="shared" si="14"/>
        <v>1080.9000000000001</v>
      </c>
      <c r="H109" s="4">
        <f t="shared" si="20"/>
        <v>24</v>
      </c>
      <c r="I109" s="18" t="s">
        <v>29</v>
      </c>
      <c r="J109" s="4">
        <v>0</v>
      </c>
      <c r="K109" s="4">
        <f t="shared" si="15"/>
        <v>310.10000000000019</v>
      </c>
      <c r="L109" s="4">
        <v>0.9</v>
      </c>
      <c r="M109" s="4">
        <f t="shared" si="16"/>
        <v>140.80000000000001</v>
      </c>
      <c r="N109" s="9">
        <f t="shared" si="13"/>
        <v>-0.9</v>
      </c>
      <c r="O109" s="4">
        <v>141.70000000000005</v>
      </c>
      <c r="P109" s="4">
        <v>104</v>
      </c>
      <c r="Q109" s="12">
        <f t="shared" si="22"/>
        <v>1.0041666666666667</v>
      </c>
      <c r="R109" s="10">
        <f t="shared" si="10"/>
        <v>0.90375000000000005</v>
      </c>
      <c r="S109" s="10">
        <f t="shared" si="11"/>
        <v>-0.90375000000000005</v>
      </c>
      <c r="T109" s="10">
        <f t="shared" si="17"/>
        <v>141.75846393034828</v>
      </c>
      <c r="U109" s="18" t="s">
        <v>30</v>
      </c>
      <c r="V109" s="11">
        <v>188.7</v>
      </c>
      <c r="W109" s="4">
        <f t="shared" si="12"/>
        <v>26.577464788732396</v>
      </c>
      <c r="X109" s="4">
        <f t="shared" si="18"/>
        <v>57037.800000000025</v>
      </c>
      <c r="Y109" s="4">
        <f t="shared" si="21"/>
        <v>654.5</v>
      </c>
      <c r="Z109" s="18" t="s">
        <v>31</v>
      </c>
      <c r="AA109" s="15">
        <v>7.9880369338321104</v>
      </c>
    </row>
    <row r="110" spans="1:27" s="4" customFormat="1" x14ac:dyDescent="0.25">
      <c r="A110" s="72"/>
      <c r="B110" s="5"/>
      <c r="C110" s="6">
        <v>41626</v>
      </c>
      <c r="D110" s="4">
        <v>8</v>
      </c>
      <c r="E110" s="4">
        <v>6.4</v>
      </c>
      <c r="F110" s="4">
        <v>9.3000000000000007</v>
      </c>
      <c r="G110" s="4">
        <f t="shared" si="14"/>
        <v>1088.9000000000001</v>
      </c>
      <c r="H110" s="4">
        <f t="shared" si="20"/>
        <v>32</v>
      </c>
      <c r="I110" s="4">
        <f>MAX(F107:F214)</f>
        <v>20.5</v>
      </c>
      <c r="J110" s="4">
        <v>6.5</v>
      </c>
      <c r="K110" s="4">
        <f t="shared" si="15"/>
        <v>316.60000000000019</v>
      </c>
      <c r="L110" s="4">
        <v>0.9</v>
      </c>
      <c r="M110" s="4">
        <f t="shared" si="16"/>
        <v>141.70000000000002</v>
      </c>
      <c r="N110" s="4">
        <f t="shared" si="13"/>
        <v>5.6</v>
      </c>
      <c r="O110" s="4">
        <v>147.30000000000004</v>
      </c>
      <c r="P110" s="4">
        <v>105</v>
      </c>
      <c r="Q110" s="12">
        <f t="shared" si="22"/>
        <v>1.0055555555555555</v>
      </c>
      <c r="R110" s="10">
        <f t="shared" si="10"/>
        <v>0.90500000000000003</v>
      </c>
      <c r="S110" s="10">
        <f t="shared" si="11"/>
        <v>5.5949999999999998</v>
      </c>
      <c r="T110" s="10">
        <f t="shared" si="17"/>
        <v>147.35346393034828</v>
      </c>
      <c r="U110" s="4">
        <v>0</v>
      </c>
      <c r="V110" s="11">
        <v>306.8</v>
      </c>
      <c r="W110" s="4">
        <f t="shared" si="12"/>
        <v>38.35</v>
      </c>
      <c r="X110" s="4">
        <f t="shared" si="18"/>
        <v>57344.600000000028</v>
      </c>
      <c r="Y110" s="4">
        <f t="shared" si="21"/>
        <v>961.3</v>
      </c>
      <c r="Z110" s="12">
        <f>(Z108/100)/I120</f>
        <v>0.77691744768262949</v>
      </c>
      <c r="AA110" s="15">
        <v>7.9793979218443702</v>
      </c>
    </row>
    <row r="111" spans="1:27" s="4" customFormat="1" x14ac:dyDescent="0.25">
      <c r="A111" s="72"/>
      <c r="B111" s="5"/>
      <c r="C111" s="6">
        <v>41627</v>
      </c>
      <c r="D111" s="4">
        <v>7.4</v>
      </c>
      <c r="E111" s="4">
        <v>5.2</v>
      </c>
      <c r="F111" s="4">
        <v>9.4</v>
      </c>
      <c r="G111" s="4">
        <f t="shared" si="14"/>
        <v>1096.3000000000002</v>
      </c>
      <c r="H111" s="4">
        <f t="shared" si="20"/>
        <v>39.4</v>
      </c>
      <c r="I111" s="18" t="s">
        <v>32</v>
      </c>
      <c r="J111" s="4">
        <v>0.7</v>
      </c>
      <c r="K111" s="4">
        <f t="shared" si="15"/>
        <v>317.30000000000018</v>
      </c>
      <c r="L111" s="4">
        <v>0.8</v>
      </c>
      <c r="M111" s="4">
        <f t="shared" si="16"/>
        <v>142.50000000000003</v>
      </c>
      <c r="N111" s="9">
        <f t="shared" si="13"/>
        <v>-0.10000000000000009</v>
      </c>
      <c r="O111" s="4">
        <v>147.20000000000005</v>
      </c>
      <c r="P111" s="4">
        <v>106</v>
      </c>
      <c r="Q111" s="12">
        <f t="shared" si="22"/>
        <v>1.0069444444444444</v>
      </c>
      <c r="R111" s="10">
        <f t="shared" si="10"/>
        <v>0.80555555555555558</v>
      </c>
      <c r="S111" s="10">
        <f t="shared" si="11"/>
        <v>-0.10555555555555562</v>
      </c>
      <c r="T111" s="10">
        <f t="shared" si="17"/>
        <v>147.24790837479273</v>
      </c>
      <c r="U111" s="18" t="s">
        <v>33</v>
      </c>
      <c r="V111" s="11">
        <v>392.6</v>
      </c>
      <c r="W111" s="4">
        <f t="shared" si="12"/>
        <v>53.054054054054056</v>
      </c>
      <c r="X111" s="4">
        <f t="shared" si="18"/>
        <v>57737.200000000026</v>
      </c>
      <c r="Y111" s="4">
        <f t="shared" si="21"/>
        <v>1353.9</v>
      </c>
      <c r="Z111" s="18" t="s">
        <v>34</v>
      </c>
      <c r="AA111" s="15">
        <v>7.9724775562125698</v>
      </c>
    </row>
    <row r="112" spans="1:27" s="4" customFormat="1" x14ac:dyDescent="0.25">
      <c r="A112" s="72"/>
      <c r="B112" s="5"/>
      <c r="C112" s="6">
        <v>41628</v>
      </c>
      <c r="D112" s="4">
        <v>5.6</v>
      </c>
      <c r="E112" s="13">
        <v>2.9</v>
      </c>
      <c r="F112" s="4">
        <v>8.3000000000000007</v>
      </c>
      <c r="G112" s="4">
        <f t="shared" si="14"/>
        <v>1101.9000000000001</v>
      </c>
      <c r="H112" s="4">
        <f t="shared" si="20"/>
        <v>45</v>
      </c>
      <c r="I112" s="10">
        <f>AVERAGE(D107:D214)</f>
        <v>7.212037037037037</v>
      </c>
      <c r="J112" s="4">
        <v>0</v>
      </c>
      <c r="K112" s="4">
        <f t="shared" si="15"/>
        <v>317.30000000000018</v>
      </c>
      <c r="L112" s="4">
        <v>0.8</v>
      </c>
      <c r="M112" s="4">
        <f t="shared" si="16"/>
        <v>143.30000000000004</v>
      </c>
      <c r="N112" s="9">
        <f t="shared" si="13"/>
        <v>-0.8</v>
      </c>
      <c r="O112" s="4">
        <v>146.40000000000003</v>
      </c>
      <c r="P112" s="4">
        <v>107</v>
      </c>
      <c r="Q112" s="12">
        <f t="shared" si="22"/>
        <v>1.0083333333333333</v>
      </c>
      <c r="R112" s="10">
        <f t="shared" si="10"/>
        <v>0.80666666666666664</v>
      </c>
      <c r="S112" s="10">
        <f t="shared" si="11"/>
        <v>-0.80666666666666664</v>
      </c>
      <c r="T112" s="10">
        <f t="shared" si="17"/>
        <v>146.44124170812606</v>
      </c>
      <c r="U112" s="4">
        <v>0</v>
      </c>
      <c r="V112" s="11">
        <v>457</v>
      </c>
      <c r="W112" s="4">
        <f t="shared" si="12"/>
        <v>81.607142857142861</v>
      </c>
      <c r="X112" s="4">
        <f t="shared" si="18"/>
        <v>58194.200000000026</v>
      </c>
      <c r="Y112" s="4">
        <f t="shared" si="21"/>
        <v>1810.9</v>
      </c>
      <c r="Z112" s="4">
        <v>83</v>
      </c>
      <c r="AA112" s="15">
        <v>7.9672852593054602</v>
      </c>
    </row>
    <row r="113" spans="1:455" s="4" customFormat="1" x14ac:dyDescent="0.25">
      <c r="A113" s="72"/>
      <c r="B113" s="5"/>
      <c r="C113" s="6">
        <v>41629</v>
      </c>
      <c r="D113" s="4">
        <v>7.4</v>
      </c>
      <c r="E113" s="4">
        <v>5.9</v>
      </c>
      <c r="F113" s="4">
        <v>8.1</v>
      </c>
      <c r="G113" s="4">
        <f t="shared" si="14"/>
        <v>1109.3000000000002</v>
      </c>
      <c r="H113" s="4">
        <f t="shared" si="20"/>
        <v>52.4</v>
      </c>
      <c r="I113" s="18" t="s">
        <v>35</v>
      </c>
      <c r="J113" s="4">
        <v>1.2</v>
      </c>
      <c r="K113" s="4">
        <f t="shared" si="15"/>
        <v>318.50000000000017</v>
      </c>
      <c r="L113" s="4">
        <v>1.2</v>
      </c>
      <c r="M113" s="4">
        <f t="shared" si="16"/>
        <v>144.50000000000003</v>
      </c>
      <c r="N113" s="4">
        <f t="shared" si="13"/>
        <v>0</v>
      </c>
      <c r="O113" s="4">
        <v>146.40000000000003</v>
      </c>
      <c r="P113" s="4">
        <v>108</v>
      </c>
      <c r="Q113" s="12">
        <f t="shared" si="22"/>
        <v>1.0097222222222222</v>
      </c>
      <c r="R113" s="10">
        <f t="shared" si="10"/>
        <v>1.2116666666666667</v>
      </c>
      <c r="S113" s="10">
        <f t="shared" si="11"/>
        <v>-1.1666666666666714E-2</v>
      </c>
      <c r="T113" s="10">
        <f t="shared" si="17"/>
        <v>146.4295750414594</v>
      </c>
      <c r="U113" s="18" t="s">
        <v>36</v>
      </c>
      <c r="V113" s="11">
        <v>132.1</v>
      </c>
      <c r="W113" s="4">
        <f t="shared" si="12"/>
        <v>17.851351351351351</v>
      </c>
      <c r="X113" s="4">
        <f t="shared" si="18"/>
        <v>58326.300000000025</v>
      </c>
      <c r="Y113" s="4">
        <f t="shared" si="21"/>
        <v>1943</v>
      </c>
      <c r="AA113" s="15">
        <v>7.9638282915724998</v>
      </c>
    </row>
    <row r="114" spans="1:455" s="4" customFormat="1" x14ac:dyDescent="0.25">
      <c r="A114" s="72"/>
      <c r="B114" s="5"/>
      <c r="C114" s="6">
        <v>41630</v>
      </c>
      <c r="D114" s="4">
        <v>8.3000000000000007</v>
      </c>
      <c r="E114" s="4">
        <v>7.2</v>
      </c>
      <c r="F114" s="4">
        <v>10.6</v>
      </c>
      <c r="G114" s="4">
        <f t="shared" si="14"/>
        <v>1117.6000000000001</v>
      </c>
      <c r="H114" s="4">
        <f t="shared" si="20"/>
        <v>60.7</v>
      </c>
      <c r="I114" s="4">
        <v>3</v>
      </c>
      <c r="J114" s="4">
        <v>8</v>
      </c>
      <c r="K114" s="4">
        <f t="shared" si="15"/>
        <v>326.50000000000017</v>
      </c>
      <c r="L114" s="4">
        <v>1.3</v>
      </c>
      <c r="M114" s="4">
        <f t="shared" si="16"/>
        <v>145.80000000000004</v>
      </c>
      <c r="N114" s="4">
        <f t="shared" si="13"/>
        <v>6.7</v>
      </c>
      <c r="O114" s="4">
        <v>153.10000000000002</v>
      </c>
      <c r="P114" s="4">
        <v>109</v>
      </c>
      <c r="Q114" s="12">
        <f t="shared" si="22"/>
        <v>1.0111111111111111</v>
      </c>
      <c r="R114" s="10">
        <f t="shared" si="10"/>
        <v>1.3144444444444445</v>
      </c>
      <c r="S114" s="10">
        <f t="shared" si="11"/>
        <v>6.6855555555555553</v>
      </c>
      <c r="T114" s="10">
        <f t="shared" si="17"/>
        <v>153.11513059701497</v>
      </c>
      <c r="U114" s="10">
        <f>MIN(T107:T214)</f>
        <v>105.54000000000003</v>
      </c>
      <c r="V114" s="11">
        <v>202.1</v>
      </c>
      <c r="W114" s="4">
        <f t="shared" si="12"/>
        <v>24.349397590361441</v>
      </c>
      <c r="X114" s="4">
        <f t="shared" si="18"/>
        <v>58528.400000000023</v>
      </c>
      <c r="Y114" s="4">
        <f t="shared" si="21"/>
        <v>2145.1</v>
      </c>
      <c r="AA114" s="15">
        <v>7.9621117174038103</v>
      </c>
    </row>
    <row r="115" spans="1:455" s="4" customFormat="1" x14ac:dyDescent="0.25">
      <c r="A115" s="72"/>
      <c r="B115" s="5"/>
      <c r="C115" s="6">
        <v>41631</v>
      </c>
      <c r="D115" s="4">
        <v>8.9</v>
      </c>
      <c r="E115" s="4">
        <v>5.8</v>
      </c>
      <c r="F115" s="4">
        <v>11.4</v>
      </c>
      <c r="G115" s="4">
        <f t="shared" si="14"/>
        <v>1126.5000000000002</v>
      </c>
      <c r="H115" s="4">
        <f t="shared" si="20"/>
        <v>69.600000000000009</v>
      </c>
      <c r="I115" s="18" t="s">
        <v>37</v>
      </c>
      <c r="J115" s="4">
        <v>1.7</v>
      </c>
      <c r="K115" s="4">
        <f t="shared" si="15"/>
        <v>328.20000000000016</v>
      </c>
      <c r="L115" s="4">
        <v>1.4</v>
      </c>
      <c r="M115" s="4">
        <f t="shared" si="16"/>
        <v>147.20000000000005</v>
      </c>
      <c r="N115" s="4">
        <f t="shared" si="13"/>
        <v>0.30000000000000004</v>
      </c>
      <c r="O115" s="4">
        <v>153.40000000000003</v>
      </c>
      <c r="P115" s="4">
        <v>110</v>
      </c>
      <c r="Q115" s="12">
        <f t="shared" si="22"/>
        <v>1.0125</v>
      </c>
      <c r="R115" s="10">
        <f t="shared" si="10"/>
        <v>1.4174999999999998</v>
      </c>
      <c r="S115" s="10">
        <f t="shared" si="11"/>
        <v>0.2825000000000002</v>
      </c>
      <c r="T115" s="10">
        <f t="shared" si="17"/>
        <v>153.39763059701497</v>
      </c>
      <c r="U115" s="18" t="s">
        <v>38</v>
      </c>
      <c r="V115" s="11">
        <v>203.3</v>
      </c>
      <c r="W115" s="4">
        <f t="shared" si="12"/>
        <v>22.842696629213485</v>
      </c>
      <c r="X115" s="4">
        <f t="shared" si="18"/>
        <v>58731.700000000026</v>
      </c>
      <c r="Y115" s="4">
        <f t="shared" si="21"/>
        <v>2348.4</v>
      </c>
      <c r="AA115" s="15">
        <v>7.9621383811963797</v>
      </c>
    </row>
    <row r="116" spans="1:455" s="4" customFormat="1" x14ac:dyDescent="0.25">
      <c r="A116" s="72"/>
      <c r="B116" s="5"/>
      <c r="C116" s="6">
        <v>41632</v>
      </c>
      <c r="D116" s="4">
        <v>9.8000000000000007</v>
      </c>
      <c r="E116" s="4">
        <v>8.6999999999999993</v>
      </c>
      <c r="F116" s="4">
        <v>10.6</v>
      </c>
      <c r="G116" s="4">
        <f t="shared" si="14"/>
        <v>1136.3000000000002</v>
      </c>
      <c r="H116" s="4">
        <f t="shared" si="20"/>
        <v>79.400000000000006</v>
      </c>
      <c r="I116" s="4">
        <v>0</v>
      </c>
      <c r="J116" s="4">
        <v>12.6</v>
      </c>
      <c r="K116" s="4">
        <f t="shared" si="15"/>
        <v>340.80000000000018</v>
      </c>
      <c r="L116" s="4">
        <v>1.1000000000000001</v>
      </c>
      <c r="M116" s="4">
        <f t="shared" si="16"/>
        <v>148.30000000000004</v>
      </c>
      <c r="N116" s="4">
        <f t="shared" si="13"/>
        <v>11.5</v>
      </c>
      <c r="O116" s="4">
        <v>153.6</v>
      </c>
      <c r="P116" s="4">
        <v>111</v>
      </c>
      <c r="Q116" s="12">
        <f t="shared" si="22"/>
        <v>1.0138888888888888</v>
      </c>
      <c r="R116" s="10">
        <f t="shared" si="10"/>
        <v>1.1152777777777778</v>
      </c>
      <c r="S116" s="10">
        <f t="shared" si="11"/>
        <v>11.484722222222222</v>
      </c>
      <c r="T116" s="10">
        <f t="shared" si="17"/>
        <v>153.6</v>
      </c>
      <c r="U116" s="10">
        <f>MAX(T107:T214)</f>
        <v>153.6</v>
      </c>
      <c r="V116" s="11">
        <v>52.8</v>
      </c>
      <c r="W116" s="4">
        <f t="shared" si="12"/>
        <v>5.3877551020408152</v>
      </c>
      <c r="X116" s="4">
        <f t="shared" si="18"/>
        <v>58784.500000000029</v>
      </c>
      <c r="Y116" s="4">
        <f t="shared" si="21"/>
        <v>2401.2000000000003</v>
      </c>
      <c r="AA116" s="15">
        <v>7.9639088938645202</v>
      </c>
    </row>
    <row r="117" spans="1:455" s="4" customFormat="1" x14ac:dyDescent="0.25">
      <c r="A117" s="72"/>
      <c r="B117" s="5"/>
      <c r="C117" s="6">
        <v>41633</v>
      </c>
      <c r="D117" s="4">
        <v>6.3</v>
      </c>
      <c r="E117" s="13">
        <v>4.5999999999999996</v>
      </c>
      <c r="F117" s="4">
        <v>8.6</v>
      </c>
      <c r="G117" s="4">
        <f t="shared" si="14"/>
        <v>1142.6000000000001</v>
      </c>
      <c r="H117" s="4">
        <f t="shared" si="20"/>
        <v>85.7</v>
      </c>
      <c r="I117" s="18" t="s">
        <v>39</v>
      </c>
      <c r="J117" s="4">
        <v>0.5</v>
      </c>
      <c r="K117" s="4">
        <f t="shared" si="15"/>
        <v>341.30000000000018</v>
      </c>
      <c r="L117" s="4">
        <v>0.9</v>
      </c>
      <c r="M117" s="4">
        <f t="shared" si="16"/>
        <v>149.20000000000005</v>
      </c>
      <c r="N117" s="9">
        <f t="shared" si="13"/>
        <v>-0.4</v>
      </c>
      <c r="O117" s="4">
        <v>153.19999999999999</v>
      </c>
      <c r="P117" s="4">
        <v>112</v>
      </c>
      <c r="Q117" s="12">
        <f t="shared" si="22"/>
        <v>1.0152777777777777</v>
      </c>
      <c r="R117" s="10">
        <f t="shared" si="10"/>
        <v>0.91374999999999995</v>
      </c>
      <c r="S117" s="10">
        <f t="shared" si="11"/>
        <v>-0.41374999999999995</v>
      </c>
      <c r="T117" s="10">
        <f t="shared" si="17"/>
        <v>153.18625</v>
      </c>
      <c r="U117" s="18" t="s">
        <v>40</v>
      </c>
      <c r="V117" s="11">
        <v>416.7</v>
      </c>
      <c r="W117" s="4">
        <f t="shared" si="12"/>
        <v>66.142857142857139</v>
      </c>
      <c r="X117" s="4">
        <f t="shared" si="18"/>
        <v>59201.200000000026</v>
      </c>
      <c r="Y117" s="4">
        <f t="shared" si="21"/>
        <v>2817.9</v>
      </c>
      <c r="AA117" s="15">
        <v>7.9674216299288902</v>
      </c>
    </row>
    <row r="118" spans="1:455" s="4" customFormat="1" x14ac:dyDescent="0.25">
      <c r="A118" s="72"/>
      <c r="B118" s="5"/>
      <c r="C118" s="6">
        <v>41634</v>
      </c>
      <c r="D118" s="4">
        <v>5.0999999999999996</v>
      </c>
      <c r="E118" s="13">
        <v>4.2</v>
      </c>
      <c r="F118" s="4">
        <v>7.2</v>
      </c>
      <c r="G118" s="4">
        <f t="shared" si="14"/>
        <v>1147.7</v>
      </c>
      <c r="H118" s="4">
        <f t="shared" si="20"/>
        <v>90.8</v>
      </c>
      <c r="I118" s="4">
        <v>55</v>
      </c>
      <c r="J118" s="4">
        <v>0.5</v>
      </c>
      <c r="K118" s="4">
        <f t="shared" si="15"/>
        <v>341.80000000000018</v>
      </c>
      <c r="L118" s="4">
        <v>0.6</v>
      </c>
      <c r="M118" s="4">
        <f t="shared" si="16"/>
        <v>149.80000000000004</v>
      </c>
      <c r="N118" s="9">
        <f t="shared" si="13"/>
        <v>-9.9999999999999978E-2</v>
      </c>
      <c r="O118" s="4">
        <v>153.1</v>
      </c>
      <c r="P118" s="4">
        <v>113</v>
      </c>
      <c r="Q118" s="12">
        <f t="shared" si="22"/>
        <v>1.0166666666666666</v>
      </c>
      <c r="R118" s="10">
        <f t="shared" si="10"/>
        <v>0.61</v>
      </c>
      <c r="S118" s="10">
        <f t="shared" si="11"/>
        <v>-0.10999999999999999</v>
      </c>
      <c r="T118" s="10">
        <f t="shared" si="17"/>
        <v>153.07624999999999</v>
      </c>
      <c r="U118" s="12">
        <f>AVERAGE(T107:T214)</f>
        <v>145.69793783781722</v>
      </c>
      <c r="V118" s="11">
        <v>268</v>
      </c>
      <c r="W118" s="4">
        <f t="shared" si="12"/>
        <v>52.549019607843142</v>
      </c>
      <c r="X118" s="4">
        <f t="shared" si="18"/>
        <v>59469.200000000026</v>
      </c>
      <c r="Y118" s="4">
        <f t="shared" si="21"/>
        <v>3085.9</v>
      </c>
      <c r="AA118" s="15">
        <v>7.9726727352127904</v>
      </c>
    </row>
    <row r="119" spans="1:455" s="4" customFormat="1" x14ac:dyDescent="0.25">
      <c r="A119" s="72"/>
      <c r="B119" s="5"/>
      <c r="C119" s="6">
        <v>41635</v>
      </c>
      <c r="D119" s="4">
        <v>8</v>
      </c>
      <c r="E119" s="13">
        <v>4.4000000000000004</v>
      </c>
      <c r="F119" s="4">
        <v>9.8000000000000007</v>
      </c>
      <c r="G119" s="4">
        <f t="shared" si="14"/>
        <v>1155.7</v>
      </c>
      <c r="H119" s="4">
        <f t="shared" si="20"/>
        <v>98.8</v>
      </c>
      <c r="I119" s="18" t="s">
        <v>41</v>
      </c>
      <c r="J119" s="4">
        <v>15</v>
      </c>
      <c r="K119" s="4">
        <f t="shared" si="15"/>
        <v>356.80000000000018</v>
      </c>
      <c r="L119" s="4">
        <v>0.3</v>
      </c>
      <c r="M119" s="4">
        <f t="shared" si="16"/>
        <v>150.10000000000005</v>
      </c>
      <c r="N119" s="4">
        <f t="shared" si="13"/>
        <v>14.7</v>
      </c>
      <c r="O119" s="4">
        <v>153.6</v>
      </c>
      <c r="P119" s="4">
        <v>114</v>
      </c>
      <c r="Q119" s="12">
        <f t="shared" si="22"/>
        <v>1.0180555555555555</v>
      </c>
      <c r="R119" s="10">
        <f t="shared" si="10"/>
        <v>0.30541666666666661</v>
      </c>
      <c r="S119" s="10">
        <f t="shared" si="11"/>
        <v>14.694583333333334</v>
      </c>
      <c r="T119" s="10">
        <f t="shared" si="17"/>
        <v>153.6</v>
      </c>
      <c r="V119" s="11">
        <v>81.3</v>
      </c>
      <c r="W119" s="4">
        <f t="shared" si="12"/>
        <v>10.1625</v>
      </c>
      <c r="X119" s="4">
        <f t="shared" si="18"/>
        <v>59550.500000000029</v>
      </c>
      <c r="Y119" s="4">
        <f t="shared" si="21"/>
        <v>3167.2000000000003</v>
      </c>
      <c r="AA119" s="15">
        <v>7.9796561450684704</v>
      </c>
    </row>
    <row r="120" spans="1:455" s="4" customFormat="1" x14ac:dyDescent="0.25">
      <c r="A120" s="72"/>
      <c r="B120" s="5"/>
      <c r="C120" s="6">
        <v>41636</v>
      </c>
      <c r="D120" s="4">
        <v>6.9</v>
      </c>
      <c r="E120" s="4">
        <v>6.1</v>
      </c>
      <c r="F120" s="4">
        <v>8.8000000000000007</v>
      </c>
      <c r="G120" s="4">
        <f t="shared" si="14"/>
        <v>1162.6000000000001</v>
      </c>
      <c r="H120" s="4">
        <f t="shared" si="20"/>
        <v>105.7</v>
      </c>
      <c r="I120" s="4">
        <v>778.9</v>
      </c>
      <c r="J120" s="4">
        <v>0.1</v>
      </c>
      <c r="K120" s="4">
        <f t="shared" si="15"/>
        <v>356.9000000000002</v>
      </c>
      <c r="L120" s="4">
        <v>0.7</v>
      </c>
      <c r="M120" s="4">
        <f t="shared" si="16"/>
        <v>150.80000000000004</v>
      </c>
      <c r="N120" s="9">
        <f t="shared" si="13"/>
        <v>-0.6</v>
      </c>
      <c r="O120" s="4">
        <v>153</v>
      </c>
      <c r="P120" s="4">
        <v>115</v>
      </c>
      <c r="Q120" s="12">
        <f t="shared" si="22"/>
        <v>1.0194444444444444</v>
      </c>
      <c r="R120" s="10">
        <f t="shared" si="10"/>
        <v>0.71361111111111097</v>
      </c>
      <c r="S120" s="10">
        <f t="shared" si="11"/>
        <v>-0.613611111111111</v>
      </c>
      <c r="T120" s="10">
        <f t="shared" si="17"/>
        <v>152.98638888888888</v>
      </c>
      <c r="U120" s="4">
        <f>(U118*100)/153.6</f>
        <v>94.855428279828928</v>
      </c>
      <c r="V120" s="11">
        <v>266.7</v>
      </c>
      <c r="W120" s="4">
        <f t="shared" si="12"/>
        <v>38.652173913043477</v>
      </c>
      <c r="X120" s="4">
        <f t="shared" si="18"/>
        <v>59817.200000000026</v>
      </c>
      <c r="Y120" s="4">
        <f t="shared" si="21"/>
        <v>3433.9</v>
      </c>
      <c r="AA120" s="15">
        <v>7.9883636129512103</v>
      </c>
    </row>
    <row r="121" spans="1:455" s="4" customFormat="1" x14ac:dyDescent="0.25">
      <c r="A121" s="72"/>
      <c r="B121" s="14"/>
      <c r="C121" s="6">
        <v>41637</v>
      </c>
      <c r="D121" s="13">
        <v>4.9000000000000004</v>
      </c>
      <c r="E121" s="13">
        <v>3.6</v>
      </c>
      <c r="F121" s="4">
        <v>8.3000000000000007</v>
      </c>
      <c r="G121" s="4">
        <f t="shared" si="14"/>
        <v>1167.5000000000002</v>
      </c>
      <c r="H121" s="4">
        <f t="shared" si="20"/>
        <v>110.60000000000001</v>
      </c>
      <c r="J121" s="4">
        <v>0</v>
      </c>
      <c r="K121" s="4">
        <f t="shared" si="15"/>
        <v>356.9000000000002</v>
      </c>
      <c r="L121" s="4">
        <v>0.9</v>
      </c>
      <c r="M121" s="4">
        <f t="shared" si="16"/>
        <v>151.70000000000005</v>
      </c>
      <c r="N121" s="9">
        <f t="shared" si="13"/>
        <v>-0.9</v>
      </c>
      <c r="O121" s="4">
        <v>152.1</v>
      </c>
      <c r="P121" s="4">
        <v>116</v>
      </c>
      <c r="Q121" s="12">
        <f t="shared" si="22"/>
        <v>1.0208333333333333</v>
      </c>
      <c r="R121" s="10">
        <f t="shared" si="10"/>
        <v>0.91874999999999996</v>
      </c>
      <c r="S121" s="10">
        <f t="shared" si="11"/>
        <v>-0.91874999999999996</v>
      </c>
      <c r="T121" s="10">
        <f t="shared" si="17"/>
        <v>152.06763888888889</v>
      </c>
      <c r="V121" s="11">
        <v>553.79999999999995</v>
      </c>
      <c r="W121" s="4">
        <f t="shared" si="12"/>
        <v>113.02040816326529</v>
      </c>
      <c r="X121" s="4">
        <f t="shared" si="18"/>
        <v>60371.000000000029</v>
      </c>
      <c r="Y121" s="4">
        <f t="shared" si="21"/>
        <v>3987.7</v>
      </c>
      <c r="AA121" s="15">
        <v>7.9987847490574904</v>
      </c>
    </row>
    <row r="122" spans="1:455" s="4" customFormat="1" x14ac:dyDescent="0.25">
      <c r="A122" s="72"/>
      <c r="B122" s="5"/>
      <c r="C122" s="6">
        <v>41638</v>
      </c>
      <c r="D122" s="4">
        <v>5.8</v>
      </c>
      <c r="E122" s="13">
        <v>3</v>
      </c>
      <c r="F122" s="4">
        <v>7.3</v>
      </c>
      <c r="G122" s="4">
        <f t="shared" si="14"/>
        <v>1173.3000000000002</v>
      </c>
      <c r="H122" s="4">
        <f t="shared" si="20"/>
        <v>116.4</v>
      </c>
      <c r="J122" s="4">
        <v>1.5</v>
      </c>
      <c r="K122" s="4">
        <f t="shared" si="15"/>
        <v>358.4000000000002</v>
      </c>
      <c r="L122" s="4">
        <v>0.6</v>
      </c>
      <c r="M122" s="4">
        <f t="shared" si="16"/>
        <v>152.30000000000004</v>
      </c>
      <c r="N122" s="4">
        <f t="shared" si="13"/>
        <v>0.9</v>
      </c>
      <c r="O122" s="4">
        <v>153</v>
      </c>
      <c r="P122" s="4">
        <v>117</v>
      </c>
      <c r="Q122" s="12">
        <f t="shared" si="22"/>
        <v>1.0222222222222221</v>
      </c>
      <c r="R122" s="10">
        <f t="shared" si="10"/>
        <v>0.61333333333333329</v>
      </c>
      <c r="S122" s="10">
        <f t="shared" si="11"/>
        <v>0.88666666666666671</v>
      </c>
      <c r="T122" s="10">
        <f t="shared" si="17"/>
        <v>152.95430555555555</v>
      </c>
      <c r="V122" s="11">
        <v>118.1</v>
      </c>
      <c r="W122" s="4">
        <f t="shared" si="12"/>
        <v>20.362068965517242</v>
      </c>
      <c r="X122" s="4">
        <f t="shared" si="18"/>
        <v>60489.100000000028</v>
      </c>
      <c r="Y122" s="4">
        <f t="shared" si="21"/>
        <v>4105.8</v>
      </c>
      <c r="AA122" s="15">
        <v>8.0109070686467803</v>
      </c>
    </row>
    <row r="123" spans="1:455" s="4" customFormat="1" x14ac:dyDescent="0.25">
      <c r="A123" s="72"/>
      <c r="B123" s="5"/>
      <c r="C123" s="6">
        <v>41639</v>
      </c>
      <c r="D123" s="4">
        <v>6.7</v>
      </c>
      <c r="E123" s="4">
        <v>6.1</v>
      </c>
      <c r="F123" s="4">
        <v>7.2</v>
      </c>
      <c r="G123" s="4">
        <f t="shared" si="14"/>
        <v>1180.0000000000002</v>
      </c>
      <c r="H123" s="4">
        <f t="shared" si="20"/>
        <v>123.10000000000001</v>
      </c>
      <c r="J123" s="4">
        <v>4.3</v>
      </c>
      <c r="K123" s="4">
        <f t="shared" si="15"/>
        <v>362.70000000000022</v>
      </c>
      <c r="L123" s="4">
        <v>0.9</v>
      </c>
      <c r="M123" s="4">
        <f t="shared" si="16"/>
        <v>153.20000000000005</v>
      </c>
      <c r="N123" s="4">
        <f t="shared" si="13"/>
        <v>3.4</v>
      </c>
      <c r="O123" s="4">
        <v>153.6</v>
      </c>
      <c r="P123" s="4">
        <v>118</v>
      </c>
      <c r="Q123" s="12">
        <f t="shared" si="22"/>
        <v>1.023611111111111</v>
      </c>
      <c r="R123" s="10">
        <f t="shared" si="10"/>
        <v>0.9212499999999999</v>
      </c>
      <c r="S123" s="10">
        <f t="shared" si="11"/>
        <v>3.3787500000000001</v>
      </c>
      <c r="T123" s="10">
        <f t="shared" si="17"/>
        <v>153.6</v>
      </c>
      <c r="V123" s="11">
        <v>166.1</v>
      </c>
      <c r="W123" s="4">
        <f t="shared" si="12"/>
        <v>24.791044776119403</v>
      </c>
      <c r="X123" s="4">
        <f t="shared" si="18"/>
        <v>60655.200000000026</v>
      </c>
      <c r="Y123" s="4">
        <f t="shared" si="21"/>
        <v>4271.9000000000005</v>
      </c>
      <c r="AA123" s="15">
        <v>8.0247160495763499</v>
      </c>
    </row>
    <row r="124" spans="1:455" s="4" customFormat="1" x14ac:dyDescent="0.25">
      <c r="A124" s="72"/>
      <c r="B124" s="5"/>
      <c r="C124" s="6">
        <v>41640</v>
      </c>
      <c r="D124" s="4">
        <v>8</v>
      </c>
      <c r="E124" s="4">
        <v>5.3</v>
      </c>
      <c r="F124" s="4">
        <v>10.199999999999999</v>
      </c>
      <c r="G124" s="4">
        <f t="shared" si="14"/>
        <v>1188.0000000000002</v>
      </c>
      <c r="H124" s="4">
        <f t="shared" si="20"/>
        <v>131.10000000000002</v>
      </c>
      <c r="J124" s="4">
        <v>5.9</v>
      </c>
      <c r="K124" s="4">
        <f t="shared" si="15"/>
        <v>368.60000000000019</v>
      </c>
      <c r="L124" s="4">
        <v>1</v>
      </c>
      <c r="M124" s="4">
        <f t="shared" si="16"/>
        <v>154.20000000000005</v>
      </c>
      <c r="N124" s="4">
        <f t="shared" si="13"/>
        <v>4.9000000000000004</v>
      </c>
      <c r="O124" s="4">
        <v>153.6</v>
      </c>
      <c r="P124" s="4">
        <v>119</v>
      </c>
      <c r="Q124" s="12">
        <f t="shared" si="22"/>
        <v>1.0249999999999999</v>
      </c>
      <c r="R124" s="10">
        <f t="shared" si="10"/>
        <v>1.0249999999999999</v>
      </c>
      <c r="S124" s="10">
        <f t="shared" si="11"/>
        <v>4.875</v>
      </c>
      <c r="T124" s="10">
        <f t="shared" si="17"/>
        <v>153.6</v>
      </c>
      <c r="V124" s="11">
        <v>153.80000000000001</v>
      </c>
      <c r="W124" s="4">
        <f t="shared" si="12"/>
        <v>19.225000000000001</v>
      </c>
      <c r="X124" s="4">
        <f t="shared" si="18"/>
        <v>60809.000000000029</v>
      </c>
      <c r="Y124" s="4">
        <f t="shared" si="21"/>
        <v>4425.7000000000007</v>
      </c>
      <c r="AA124" s="15">
        <v>8.0451866496054194</v>
      </c>
    </row>
    <row r="125" spans="1:455" s="4" customFormat="1" x14ac:dyDescent="0.25">
      <c r="A125" s="72"/>
      <c r="B125" s="5"/>
      <c r="C125" s="6">
        <v>41641</v>
      </c>
      <c r="D125" s="4">
        <v>9.1</v>
      </c>
      <c r="E125" s="4">
        <v>7.7</v>
      </c>
      <c r="F125" s="4">
        <v>10</v>
      </c>
      <c r="G125" s="4">
        <f t="shared" si="14"/>
        <v>1197.1000000000001</v>
      </c>
      <c r="H125" s="4">
        <f t="shared" si="20"/>
        <v>140.20000000000002</v>
      </c>
      <c r="J125" s="4">
        <v>2.5</v>
      </c>
      <c r="K125" s="4">
        <f t="shared" si="15"/>
        <v>371.10000000000019</v>
      </c>
      <c r="L125" s="4">
        <v>1.1000000000000001</v>
      </c>
      <c r="M125" s="4">
        <f t="shared" si="16"/>
        <v>155.30000000000004</v>
      </c>
      <c r="N125" s="4">
        <f t="shared" si="13"/>
        <v>1.4</v>
      </c>
      <c r="O125" s="4">
        <v>153.6</v>
      </c>
      <c r="P125" s="4">
        <v>120</v>
      </c>
      <c r="Q125" s="12">
        <f t="shared" si="22"/>
        <v>1.0263888888888888</v>
      </c>
      <c r="R125" s="10">
        <f t="shared" si="10"/>
        <v>1.1290277777777777</v>
      </c>
      <c r="S125" s="10">
        <f t="shared" si="11"/>
        <v>1.3709722222222223</v>
      </c>
      <c r="T125" s="10">
        <f t="shared" si="17"/>
        <v>153.6</v>
      </c>
      <c r="V125" s="11">
        <v>301.89999999999998</v>
      </c>
      <c r="W125" s="4">
        <f t="shared" si="12"/>
        <v>33.175824175824175</v>
      </c>
      <c r="X125" s="4">
        <f t="shared" si="18"/>
        <v>61110.900000000031</v>
      </c>
      <c r="Y125" s="4">
        <f t="shared" si="21"/>
        <v>4727.6000000000004</v>
      </c>
      <c r="AA125" s="15">
        <v>8.0628116565634098</v>
      </c>
    </row>
    <row r="126" spans="1:455" s="4" customFormat="1" x14ac:dyDescent="0.25">
      <c r="A126" s="72"/>
      <c r="B126" s="5"/>
      <c r="C126" s="6">
        <v>41642</v>
      </c>
      <c r="D126" s="4">
        <v>9.8000000000000007</v>
      </c>
      <c r="E126" s="4">
        <v>7.8</v>
      </c>
      <c r="F126" s="4">
        <v>12.6</v>
      </c>
      <c r="G126" s="4">
        <f t="shared" si="14"/>
        <v>1206.9000000000001</v>
      </c>
      <c r="H126" s="4">
        <f t="shared" si="20"/>
        <v>150.00000000000003</v>
      </c>
      <c r="J126" s="4">
        <v>5.0999999999999996</v>
      </c>
      <c r="K126" s="4">
        <f t="shared" si="15"/>
        <v>376.20000000000022</v>
      </c>
      <c r="L126" s="4">
        <v>1.6</v>
      </c>
      <c r="M126" s="4">
        <f t="shared" si="16"/>
        <v>156.90000000000003</v>
      </c>
      <c r="N126" s="4">
        <f t="shared" si="13"/>
        <v>3.4999999999999996</v>
      </c>
      <c r="O126" s="4">
        <v>153.6</v>
      </c>
      <c r="P126" s="4">
        <v>121</v>
      </c>
      <c r="Q126" s="12">
        <f t="shared" si="22"/>
        <v>1.0277777777777777</v>
      </c>
      <c r="R126" s="10">
        <f t="shared" si="10"/>
        <v>1.6444444444444444</v>
      </c>
      <c r="S126" s="10">
        <f t="shared" si="11"/>
        <v>3.4555555555555553</v>
      </c>
      <c r="T126" s="10">
        <f t="shared" si="17"/>
        <v>153.6</v>
      </c>
      <c r="V126" s="11">
        <v>138</v>
      </c>
      <c r="W126" s="4">
        <f t="shared" si="12"/>
        <v>14.081632653061224</v>
      </c>
      <c r="X126" s="4">
        <f t="shared" si="18"/>
        <v>61248.900000000031</v>
      </c>
      <c r="Y126" s="4">
        <f t="shared" si="21"/>
        <v>4865.6000000000004</v>
      </c>
      <c r="AA126" s="15">
        <v>8.0820618009671996</v>
      </c>
    </row>
    <row r="127" spans="1:455" s="4" customFormat="1" x14ac:dyDescent="0.25">
      <c r="A127" s="72"/>
      <c r="B127" s="5"/>
      <c r="C127" s="6">
        <v>41643</v>
      </c>
      <c r="D127" s="4">
        <v>8.1999999999999993</v>
      </c>
      <c r="E127" s="4">
        <v>7.2</v>
      </c>
      <c r="F127" s="4">
        <v>9.5</v>
      </c>
      <c r="G127" s="4">
        <f t="shared" si="14"/>
        <v>1215.1000000000001</v>
      </c>
      <c r="H127" s="4">
        <f t="shared" si="20"/>
        <v>158.20000000000002</v>
      </c>
      <c r="J127" s="4">
        <v>2.4</v>
      </c>
      <c r="K127" s="4">
        <f t="shared" si="15"/>
        <v>378.60000000000019</v>
      </c>
      <c r="L127" s="4">
        <v>1.1000000000000001</v>
      </c>
      <c r="M127" s="4">
        <f t="shared" si="16"/>
        <v>158.00000000000003</v>
      </c>
      <c r="N127" s="4">
        <f t="shared" si="13"/>
        <v>1.2999999999999998</v>
      </c>
      <c r="O127" s="4">
        <v>153.6</v>
      </c>
      <c r="P127" s="4">
        <v>122</v>
      </c>
      <c r="Q127" s="12">
        <f t="shared" si="22"/>
        <v>1.0291666666666666</v>
      </c>
      <c r="R127" s="10">
        <f t="shared" si="10"/>
        <v>1.1320833333333333</v>
      </c>
      <c r="S127" s="10">
        <f t="shared" si="11"/>
        <v>1.2679166666666666</v>
      </c>
      <c r="T127" s="10">
        <f t="shared" si="17"/>
        <v>153.6</v>
      </c>
      <c r="V127" s="11">
        <v>163</v>
      </c>
      <c r="W127" s="4">
        <f t="shared" si="12"/>
        <v>19.878048780487806</v>
      </c>
      <c r="X127" s="4">
        <f t="shared" si="18"/>
        <v>61411.900000000031</v>
      </c>
      <c r="Y127" s="4">
        <f t="shared" si="21"/>
        <v>5028.6000000000004</v>
      </c>
      <c r="AA127" s="15">
        <v>8.1029146473420504</v>
      </c>
    </row>
    <row r="128" spans="1:455" s="20" customFormat="1" x14ac:dyDescent="0.25">
      <c r="A128" s="72"/>
      <c r="B128" s="5"/>
      <c r="C128" s="19">
        <v>41644</v>
      </c>
      <c r="D128" s="4">
        <v>5.8</v>
      </c>
      <c r="E128" s="4">
        <v>2.5</v>
      </c>
      <c r="F128" s="4">
        <v>12.4</v>
      </c>
      <c r="G128" s="4">
        <f t="shared" si="14"/>
        <v>1220.9000000000001</v>
      </c>
      <c r="H128" s="4">
        <f t="shared" si="20"/>
        <v>164.00000000000003</v>
      </c>
      <c r="I128" s="4"/>
      <c r="J128" s="4">
        <v>0.2</v>
      </c>
      <c r="K128" s="4">
        <f t="shared" si="15"/>
        <v>378.80000000000018</v>
      </c>
      <c r="L128" s="4">
        <v>1.2</v>
      </c>
      <c r="M128" s="4">
        <f t="shared" si="16"/>
        <v>159.20000000000002</v>
      </c>
      <c r="N128" s="4">
        <f t="shared" si="13"/>
        <v>-1</v>
      </c>
      <c r="O128" s="4">
        <v>153.6</v>
      </c>
      <c r="P128" s="4">
        <v>123</v>
      </c>
      <c r="Q128" s="12">
        <f t="shared" si="22"/>
        <v>1.0305555555555554</v>
      </c>
      <c r="R128" s="10">
        <f t="shared" si="10"/>
        <v>1.2366666666666666</v>
      </c>
      <c r="S128" s="10">
        <f t="shared" si="11"/>
        <v>-1.0366666666666666</v>
      </c>
      <c r="T128" s="10">
        <f t="shared" si="17"/>
        <v>152.56333333333333</v>
      </c>
      <c r="U128" s="4"/>
      <c r="V128" s="11">
        <v>200.5</v>
      </c>
      <c r="W128" s="4">
        <f t="shared" si="12"/>
        <v>34.568965517241381</v>
      </c>
      <c r="X128" s="4">
        <f t="shared" si="18"/>
        <v>61612.400000000031</v>
      </c>
      <c r="Y128" s="4">
        <f t="shared" si="21"/>
        <v>5229.1000000000004</v>
      </c>
      <c r="Z128" s="4"/>
      <c r="AA128" s="15">
        <v>8.1253461563436407</v>
      </c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  <c r="IY128" s="4"/>
      <c r="IZ128" s="4"/>
      <c r="JA128" s="4"/>
      <c r="JB128" s="4"/>
      <c r="JC128" s="4"/>
      <c r="JD128" s="4"/>
      <c r="JE128" s="4"/>
      <c r="JF128" s="4"/>
      <c r="JG128" s="4"/>
      <c r="JH128" s="4"/>
      <c r="JI128" s="4"/>
      <c r="JJ128" s="4"/>
      <c r="JK128" s="4"/>
      <c r="JL128" s="4"/>
      <c r="JM128" s="4"/>
      <c r="JN128" s="4"/>
      <c r="JO128" s="4"/>
      <c r="JP128" s="4"/>
      <c r="JQ128" s="4"/>
      <c r="JR128" s="4"/>
      <c r="JS128" s="4"/>
      <c r="JT128" s="4"/>
      <c r="JU128" s="4"/>
      <c r="JV128" s="4"/>
      <c r="JW128" s="4"/>
      <c r="JX128" s="4"/>
      <c r="JY128" s="4"/>
      <c r="JZ128" s="4"/>
      <c r="KA128" s="4"/>
      <c r="KB128" s="4"/>
      <c r="KC128" s="4"/>
      <c r="KD128" s="4"/>
      <c r="KE128" s="4"/>
      <c r="KF128" s="4"/>
      <c r="KG128" s="4"/>
      <c r="KH128" s="4"/>
      <c r="KI128" s="4"/>
      <c r="KJ128" s="4"/>
      <c r="KK128" s="4"/>
      <c r="KL128" s="4"/>
      <c r="KM128" s="4"/>
      <c r="KN128" s="4"/>
      <c r="KO128" s="4"/>
      <c r="KP128" s="4"/>
      <c r="KQ128" s="4"/>
      <c r="KR128" s="4"/>
      <c r="KS128" s="4"/>
      <c r="KT128" s="4"/>
      <c r="KU128" s="4"/>
      <c r="KV128" s="4"/>
      <c r="KW128" s="4"/>
      <c r="KX128" s="4"/>
      <c r="KY128" s="4"/>
      <c r="KZ128" s="4"/>
      <c r="LA128" s="4"/>
      <c r="LB128" s="4"/>
      <c r="LC128" s="4"/>
      <c r="LD128" s="4"/>
      <c r="LE128" s="4"/>
      <c r="LF128" s="4"/>
      <c r="LG128" s="4"/>
      <c r="LH128" s="4"/>
      <c r="LI128" s="4"/>
      <c r="LJ128" s="4"/>
      <c r="LK128" s="4"/>
      <c r="LL128" s="4"/>
      <c r="LM128" s="4"/>
      <c r="LN128" s="4"/>
      <c r="LO128" s="4"/>
      <c r="LP128" s="4"/>
      <c r="LQ128" s="4"/>
      <c r="LR128" s="4"/>
      <c r="LS128" s="4"/>
      <c r="LT128" s="4"/>
      <c r="LU128" s="4"/>
      <c r="LV128" s="4"/>
      <c r="LW128" s="4"/>
      <c r="LX128" s="4"/>
      <c r="LY128" s="4"/>
      <c r="LZ128" s="4"/>
      <c r="MA128" s="4"/>
      <c r="MB128" s="4"/>
      <c r="MC128" s="4"/>
      <c r="MD128" s="4"/>
      <c r="ME128" s="4"/>
      <c r="MF128" s="4"/>
      <c r="MG128" s="4"/>
      <c r="MH128" s="4"/>
      <c r="MI128" s="4"/>
      <c r="MJ128" s="4"/>
      <c r="MK128" s="4"/>
      <c r="ML128" s="4"/>
      <c r="MM128" s="4"/>
      <c r="MN128" s="4"/>
      <c r="MO128" s="4"/>
      <c r="MP128" s="4"/>
      <c r="MQ128" s="4"/>
      <c r="MR128" s="4"/>
      <c r="MS128" s="4"/>
      <c r="MT128" s="4"/>
      <c r="MU128" s="4"/>
      <c r="MV128" s="4"/>
      <c r="MW128" s="4"/>
      <c r="MX128" s="4"/>
      <c r="MY128" s="4"/>
      <c r="MZ128" s="4"/>
      <c r="NA128" s="4"/>
      <c r="NB128" s="4"/>
      <c r="NC128" s="4"/>
      <c r="ND128" s="4"/>
      <c r="NE128" s="4"/>
      <c r="NF128" s="4"/>
      <c r="NG128" s="4"/>
      <c r="NH128" s="4"/>
      <c r="NI128" s="4"/>
      <c r="NJ128" s="4"/>
      <c r="NK128" s="4"/>
      <c r="NL128" s="4"/>
      <c r="NM128" s="4"/>
      <c r="NN128" s="4"/>
      <c r="NO128" s="4"/>
      <c r="NP128" s="4"/>
      <c r="NQ128" s="4"/>
      <c r="NR128" s="4"/>
      <c r="NS128" s="4"/>
      <c r="NT128" s="4"/>
      <c r="NU128" s="4"/>
      <c r="NV128" s="4"/>
      <c r="NW128" s="4"/>
      <c r="NX128" s="4"/>
      <c r="NY128" s="4"/>
      <c r="NZ128" s="4"/>
      <c r="OA128" s="4"/>
      <c r="OB128" s="4"/>
      <c r="OC128" s="4"/>
      <c r="OD128" s="4"/>
      <c r="OE128" s="4"/>
      <c r="OF128" s="4"/>
      <c r="OG128" s="4"/>
      <c r="OH128" s="4"/>
      <c r="OI128" s="4"/>
      <c r="OJ128" s="4"/>
      <c r="OK128" s="4"/>
      <c r="OL128" s="4"/>
      <c r="OM128" s="4"/>
      <c r="ON128" s="4"/>
      <c r="OO128" s="4"/>
      <c r="OP128" s="4"/>
      <c r="OQ128" s="4"/>
      <c r="OR128" s="4"/>
      <c r="OS128" s="4"/>
      <c r="OT128" s="4"/>
      <c r="OU128" s="4"/>
      <c r="OV128" s="4"/>
      <c r="OW128" s="4"/>
      <c r="OX128" s="4"/>
      <c r="OY128" s="4"/>
      <c r="OZ128" s="4"/>
      <c r="PA128" s="4"/>
      <c r="PB128" s="4"/>
      <c r="PC128" s="4"/>
      <c r="PD128" s="4"/>
      <c r="PE128" s="4"/>
      <c r="PF128" s="4"/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</row>
    <row r="129" spans="1:27" s="4" customFormat="1" x14ac:dyDescent="0.25">
      <c r="A129" s="72"/>
      <c r="B129" s="5"/>
      <c r="C129" s="6">
        <v>41645</v>
      </c>
      <c r="D129" s="4">
        <v>11.8</v>
      </c>
      <c r="E129" s="4">
        <v>7.4</v>
      </c>
      <c r="F129" s="4">
        <v>13.6</v>
      </c>
      <c r="G129" s="4">
        <f t="shared" si="14"/>
        <v>1232.7</v>
      </c>
      <c r="H129" s="4">
        <f t="shared" si="20"/>
        <v>175.80000000000004</v>
      </c>
      <c r="J129" s="4">
        <v>3.6</v>
      </c>
      <c r="K129" s="4">
        <f t="shared" si="15"/>
        <v>382.4000000000002</v>
      </c>
      <c r="L129" s="4">
        <v>1</v>
      </c>
      <c r="M129" s="4">
        <f t="shared" si="16"/>
        <v>160.20000000000002</v>
      </c>
      <c r="N129" s="4">
        <f t="shared" si="13"/>
        <v>2.6</v>
      </c>
      <c r="O129" s="4">
        <v>153.6</v>
      </c>
      <c r="P129" s="4">
        <v>124</v>
      </c>
      <c r="Q129" s="12">
        <f t="shared" si="22"/>
        <v>1.0319444444444443</v>
      </c>
      <c r="R129" s="10">
        <f t="shared" si="10"/>
        <v>1.0319444444444443</v>
      </c>
      <c r="S129" s="10">
        <f t="shared" si="11"/>
        <v>2.5680555555555555</v>
      </c>
      <c r="T129" s="10">
        <f t="shared" si="17"/>
        <v>153.6</v>
      </c>
      <c r="V129" s="11">
        <v>200.8</v>
      </c>
      <c r="W129" s="4">
        <f t="shared" si="12"/>
        <v>17.016949152542374</v>
      </c>
      <c r="X129" s="4">
        <f t="shared" si="18"/>
        <v>61813.200000000033</v>
      </c>
      <c r="Y129" s="4">
        <f t="shared" si="21"/>
        <v>5429.9000000000005</v>
      </c>
      <c r="AA129" s="15">
        <v>8.14933078511595</v>
      </c>
    </row>
    <row r="130" spans="1:27" s="4" customFormat="1" x14ac:dyDescent="0.25">
      <c r="A130" s="72"/>
      <c r="B130" s="5"/>
      <c r="C130" s="6">
        <v>41646</v>
      </c>
      <c r="D130" s="4">
        <v>10.5</v>
      </c>
      <c r="E130" s="4">
        <v>9.1999999999999993</v>
      </c>
      <c r="F130" s="4">
        <v>12</v>
      </c>
      <c r="G130" s="4">
        <f t="shared" si="14"/>
        <v>1243.2</v>
      </c>
      <c r="H130" s="4">
        <f t="shared" si="20"/>
        <v>186.30000000000004</v>
      </c>
      <c r="J130" s="4">
        <v>1.5</v>
      </c>
      <c r="K130" s="4">
        <f t="shared" si="15"/>
        <v>383.9000000000002</v>
      </c>
      <c r="L130" s="4">
        <v>1.5</v>
      </c>
      <c r="M130" s="4">
        <f t="shared" si="16"/>
        <v>161.70000000000002</v>
      </c>
      <c r="N130" s="4">
        <f t="shared" si="13"/>
        <v>0</v>
      </c>
      <c r="O130" s="4">
        <v>153.6</v>
      </c>
      <c r="P130" s="4">
        <v>125</v>
      </c>
      <c r="Q130" s="12">
        <f t="shared" si="22"/>
        <v>1.0333333333333332</v>
      </c>
      <c r="R130" s="10">
        <f t="shared" si="10"/>
        <v>1.5499999999999998</v>
      </c>
      <c r="S130" s="10">
        <f t="shared" si="11"/>
        <v>-4.9999999999999822E-2</v>
      </c>
      <c r="T130" s="10">
        <f t="shared" si="17"/>
        <v>153.54999999999998</v>
      </c>
      <c r="V130" s="11">
        <v>412.2</v>
      </c>
      <c r="W130" s="4">
        <f t="shared" si="12"/>
        <v>39.257142857142853</v>
      </c>
      <c r="X130" s="4">
        <f t="shared" si="18"/>
        <v>62225.400000000031</v>
      </c>
      <c r="Y130" s="4">
        <f t="shared" si="21"/>
        <v>5842.1</v>
      </c>
      <c r="AA130" s="15">
        <v>8.1748415915789199</v>
      </c>
    </row>
    <row r="131" spans="1:27" s="4" customFormat="1" x14ac:dyDescent="0.25">
      <c r="A131" s="72"/>
      <c r="B131" s="5"/>
      <c r="C131" s="6">
        <v>41647</v>
      </c>
      <c r="D131" s="4">
        <v>9.9</v>
      </c>
      <c r="E131" s="4">
        <v>9.1999999999999993</v>
      </c>
      <c r="F131" s="4">
        <v>11.4</v>
      </c>
      <c r="G131" s="4">
        <f t="shared" si="14"/>
        <v>1253.1000000000001</v>
      </c>
      <c r="H131" s="4">
        <f t="shared" si="20"/>
        <v>196.20000000000005</v>
      </c>
      <c r="J131" s="4">
        <v>1.2</v>
      </c>
      <c r="K131" s="4">
        <f t="shared" si="15"/>
        <v>385.10000000000019</v>
      </c>
      <c r="L131" s="4">
        <v>1.1000000000000001</v>
      </c>
      <c r="M131" s="4">
        <f t="shared" si="16"/>
        <v>162.80000000000001</v>
      </c>
      <c r="N131" s="4">
        <f t="shared" si="13"/>
        <v>9.9999999999999867E-2</v>
      </c>
      <c r="O131" s="4">
        <v>153.6</v>
      </c>
      <c r="P131" s="4">
        <v>126</v>
      </c>
      <c r="Q131" s="12">
        <f t="shared" si="22"/>
        <v>1.0347222222222221</v>
      </c>
      <c r="R131" s="10">
        <f t="shared" si="10"/>
        <v>1.1381944444444445</v>
      </c>
      <c r="S131" s="10">
        <f t="shared" si="11"/>
        <v>6.1805555555555447E-2</v>
      </c>
      <c r="T131" s="10">
        <f t="shared" si="17"/>
        <v>153.6</v>
      </c>
      <c r="V131" s="11">
        <v>325.5</v>
      </c>
      <c r="W131" s="4">
        <f t="shared" si="12"/>
        <v>32.878787878787875</v>
      </c>
      <c r="X131" s="4">
        <f t="shared" si="18"/>
        <v>62550.900000000031</v>
      </c>
      <c r="Y131" s="4">
        <f t="shared" si="21"/>
        <v>6167.6</v>
      </c>
      <c r="AA131" s="15">
        <v>8.2018503418103901</v>
      </c>
    </row>
    <row r="132" spans="1:27" s="4" customFormat="1" x14ac:dyDescent="0.25">
      <c r="A132" s="72"/>
      <c r="B132" s="5"/>
      <c r="C132" s="6">
        <v>41648</v>
      </c>
      <c r="D132" s="4">
        <v>9.1</v>
      </c>
      <c r="E132" s="4">
        <v>6.4</v>
      </c>
      <c r="F132" s="4">
        <v>11.2</v>
      </c>
      <c r="G132" s="4">
        <f t="shared" si="14"/>
        <v>1262.2</v>
      </c>
      <c r="H132" s="4">
        <f t="shared" si="20"/>
        <v>205.30000000000004</v>
      </c>
      <c r="J132" s="4">
        <v>0.9</v>
      </c>
      <c r="K132" s="4">
        <f t="shared" si="15"/>
        <v>386.00000000000017</v>
      </c>
      <c r="L132" s="4">
        <v>1</v>
      </c>
      <c r="M132" s="4">
        <f t="shared" si="16"/>
        <v>163.80000000000001</v>
      </c>
      <c r="N132" s="9">
        <f t="shared" si="13"/>
        <v>-9.9999999999999978E-2</v>
      </c>
      <c r="O132" s="4">
        <v>153.5</v>
      </c>
      <c r="P132" s="4">
        <v>127</v>
      </c>
      <c r="Q132" s="12">
        <f t="shared" si="22"/>
        <v>1.036111111111111</v>
      </c>
      <c r="R132" s="10">
        <f t="shared" si="10"/>
        <v>1.036111111111111</v>
      </c>
      <c r="S132" s="10">
        <f t="shared" si="11"/>
        <v>-0.13611111111111096</v>
      </c>
      <c r="T132" s="10">
        <f t="shared" si="17"/>
        <v>153.46388888888887</v>
      </c>
      <c r="V132" s="11">
        <v>156.69999999999999</v>
      </c>
      <c r="W132" s="4">
        <f t="shared" si="12"/>
        <v>17.219780219780219</v>
      </c>
      <c r="X132" s="4">
        <f t="shared" si="18"/>
        <v>62707.600000000028</v>
      </c>
      <c r="Y132" s="4">
        <f t="shared" si="21"/>
        <v>6324.3</v>
      </c>
      <c r="AA132" s="15">
        <v>8.2303276196945099</v>
      </c>
    </row>
    <row r="133" spans="1:27" s="4" customFormat="1" x14ac:dyDescent="0.25">
      <c r="A133" s="72"/>
      <c r="B133" s="5"/>
      <c r="C133" s="6">
        <v>41649</v>
      </c>
      <c r="D133" s="4">
        <v>5.2</v>
      </c>
      <c r="E133" s="13">
        <v>4.4000000000000004</v>
      </c>
      <c r="F133" s="4">
        <v>5.7</v>
      </c>
      <c r="G133" s="4">
        <f t="shared" si="14"/>
        <v>1267.4000000000001</v>
      </c>
      <c r="H133" s="4">
        <f t="shared" si="20"/>
        <v>210.50000000000003</v>
      </c>
      <c r="J133" s="4">
        <v>0</v>
      </c>
      <c r="K133" s="4">
        <f t="shared" si="15"/>
        <v>386.00000000000017</v>
      </c>
      <c r="L133" s="4">
        <v>0.5</v>
      </c>
      <c r="M133" s="4">
        <f t="shared" si="16"/>
        <v>164.3</v>
      </c>
      <c r="N133" s="9">
        <f t="shared" si="13"/>
        <v>-0.5</v>
      </c>
      <c r="O133" s="4">
        <v>153</v>
      </c>
      <c r="P133" s="4">
        <v>128</v>
      </c>
      <c r="Q133" s="12">
        <f t="shared" si="22"/>
        <v>1.0375000000000001</v>
      </c>
      <c r="R133" s="10">
        <f t="shared" si="10"/>
        <v>0.51875000000000004</v>
      </c>
      <c r="S133" s="10">
        <f t="shared" si="11"/>
        <v>-0.51875000000000004</v>
      </c>
      <c r="T133" s="10">
        <f t="shared" si="17"/>
        <v>152.94513888888886</v>
      </c>
      <c r="V133" s="11">
        <v>223.2</v>
      </c>
      <c r="W133" s="4">
        <f t="shared" si="12"/>
        <v>42.92307692307692</v>
      </c>
      <c r="X133" s="4">
        <f t="shared" si="18"/>
        <v>62930.800000000025</v>
      </c>
      <c r="Y133" s="4">
        <f t="shared" si="21"/>
        <v>6547.5</v>
      </c>
      <c r="AA133" s="15">
        <v>8.2602429380258098</v>
      </c>
    </row>
    <row r="134" spans="1:27" s="4" customFormat="1" x14ac:dyDescent="0.25">
      <c r="A134" s="72"/>
      <c r="B134" s="14"/>
      <c r="C134" s="6">
        <v>41650</v>
      </c>
      <c r="D134" s="13">
        <v>4.4000000000000004</v>
      </c>
      <c r="E134" s="13">
        <v>3.4</v>
      </c>
      <c r="F134" s="4">
        <v>8.3000000000000007</v>
      </c>
      <c r="G134" s="4">
        <f t="shared" si="14"/>
        <v>1271.8000000000002</v>
      </c>
      <c r="H134" s="4">
        <f t="shared" si="20"/>
        <v>214.90000000000003</v>
      </c>
      <c r="J134" s="4">
        <v>0</v>
      </c>
      <c r="K134" s="4">
        <f t="shared" si="15"/>
        <v>386.00000000000017</v>
      </c>
      <c r="L134" s="4">
        <v>0.7</v>
      </c>
      <c r="M134" s="4">
        <f t="shared" si="16"/>
        <v>165</v>
      </c>
      <c r="N134" s="9">
        <f t="shared" si="13"/>
        <v>-0.7</v>
      </c>
      <c r="O134" s="4">
        <v>152.30000000000001</v>
      </c>
      <c r="P134" s="4">
        <v>129</v>
      </c>
      <c r="Q134" s="12">
        <f t="shared" si="22"/>
        <v>1.0388888888888888</v>
      </c>
      <c r="R134" s="10">
        <f t="shared" ref="R134:R197" si="23">Q134*L134</f>
        <v>0.7272222222222221</v>
      </c>
      <c r="S134" s="10">
        <f t="shared" ref="S134:S197" si="24">J134-R134</f>
        <v>-0.7272222222222221</v>
      </c>
      <c r="T134" s="10">
        <f t="shared" si="17"/>
        <v>152.21791666666664</v>
      </c>
      <c r="V134" s="11">
        <v>177.1</v>
      </c>
      <c r="W134" s="4">
        <f t="shared" ref="W134:W197" si="25">V134/D134</f>
        <v>40.249999999999993</v>
      </c>
      <c r="X134" s="4">
        <f t="shared" si="18"/>
        <v>63107.900000000023</v>
      </c>
      <c r="Y134" s="4">
        <f t="shared" si="21"/>
        <v>6724.6</v>
      </c>
      <c r="AA134" s="15">
        <v>8.2915648502844892</v>
      </c>
    </row>
    <row r="135" spans="1:27" s="4" customFormat="1" x14ac:dyDescent="0.25">
      <c r="A135" s="72"/>
      <c r="B135" s="14"/>
      <c r="C135" s="6">
        <v>41651</v>
      </c>
      <c r="D135" s="13">
        <v>2.2000000000000002</v>
      </c>
      <c r="E135" s="17">
        <v>-1.7</v>
      </c>
      <c r="F135" s="4">
        <v>7</v>
      </c>
      <c r="G135" s="4">
        <f t="shared" si="14"/>
        <v>1274.0000000000002</v>
      </c>
      <c r="H135" s="4">
        <f t="shared" si="20"/>
        <v>217.10000000000002</v>
      </c>
      <c r="J135" s="4">
        <v>0.2</v>
      </c>
      <c r="K135" s="4">
        <f t="shared" si="15"/>
        <v>386.20000000000016</v>
      </c>
      <c r="L135" s="4">
        <v>0.4</v>
      </c>
      <c r="M135" s="4">
        <f t="shared" si="16"/>
        <v>165.4</v>
      </c>
      <c r="N135" s="9">
        <f t="shared" ref="N135:N198" si="26">J135-L135</f>
        <v>-0.2</v>
      </c>
      <c r="O135" s="4">
        <v>152.10000000000002</v>
      </c>
      <c r="P135" s="4">
        <v>130</v>
      </c>
      <c r="Q135" s="12">
        <f t="shared" si="22"/>
        <v>1.0402777777777779</v>
      </c>
      <c r="R135" s="10">
        <f t="shared" si="23"/>
        <v>0.41611111111111115</v>
      </c>
      <c r="S135" s="10">
        <f t="shared" si="24"/>
        <v>-0.21611111111111114</v>
      </c>
      <c r="T135" s="10">
        <f t="shared" si="17"/>
        <v>152.00180555555553</v>
      </c>
      <c r="V135" s="11">
        <v>200.8</v>
      </c>
      <c r="W135" s="4">
        <f t="shared" si="25"/>
        <v>91.272727272727266</v>
      </c>
      <c r="X135" s="4">
        <f t="shared" si="18"/>
        <v>63308.700000000026</v>
      </c>
      <c r="Y135" s="4">
        <f t="shared" si="21"/>
        <v>6925.4000000000005</v>
      </c>
      <c r="AA135" s="15">
        <v>8.3242610623324307</v>
      </c>
    </row>
    <row r="136" spans="1:27" s="4" customFormat="1" x14ac:dyDescent="0.25">
      <c r="A136" s="72"/>
      <c r="B136" s="5"/>
      <c r="C136" s="6">
        <v>41652</v>
      </c>
      <c r="D136" s="4">
        <v>6.7</v>
      </c>
      <c r="E136" s="13">
        <v>4.4000000000000004</v>
      </c>
      <c r="F136" s="4">
        <v>8.9</v>
      </c>
      <c r="G136" s="4">
        <f t="shared" ref="G136:G199" si="27">G135+D136</f>
        <v>1280.7000000000003</v>
      </c>
      <c r="H136" s="4">
        <f t="shared" si="20"/>
        <v>223.8</v>
      </c>
      <c r="J136" s="4">
        <v>3.3</v>
      </c>
      <c r="K136" s="4">
        <f t="shared" ref="K136:K199" si="28">K135+J136</f>
        <v>389.50000000000017</v>
      </c>
      <c r="L136" s="4">
        <v>0.9</v>
      </c>
      <c r="M136" s="4">
        <f t="shared" ref="M136:M199" si="29">M135+L136</f>
        <v>166.3</v>
      </c>
      <c r="N136" s="4">
        <f t="shared" si="26"/>
        <v>2.4</v>
      </c>
      <c r="O136" s="4">
        <v>153.6</v>
      </c>
      <c r="P136" s="4">
        <v>131</v>
      </c>
      <c r="Q136" s="12">
        <f t="shared" si="22"/>
        <v>1.0416666666666667</v>
      </c>
      <c r="R136" s="10">
        <f t="shared" si="23"/>
        <v>0.93750000000000011</v>
      </c>
      <c r="S136" s="10">
        <f t="shared" si="24"/>
        <v>2.3624999999999998</v>
      </c>
      <c r="T136" s="10">
        <f t="shared" ref="T136:T199" si="30">MIN(153.6,(T135+S136))</f>
        <v>153.6</v>
      </c>
      <c r="V136" s="11">
        <v>506</v>
      </c>
      <c r="W136" s="4">
        <f t="shared" si="25"/>
        <v>75.522388059701484</v>
      </c>
      <c r="X136" s="4">
        <f t="shared" ref="X136:X199" si="31">X135+V136</f>
        <v>63814.700000000026</v>
      </c>
      <c r="Y136" s="4">
        <f t="shared" si="21"/>
        <v>7431.4000000000005</v>
      </c>
      <c r="AA136" s="15">
        <v>8.3582985433207195</v>
      </c>
    </row>
    <row r="137" spans="1:27" s="4" customFormat="1" x14ac:dyDescent="0.25">
      <c r="A137" s="72"/>
      <c r="B137" s="5"/>
      <c r="C137" s="6">
        <v>41653</v>
      </c>
      <c r="D137" s="4">
        <v>4.5</v>
      </c>
      <c r="E137" s="13">
        <v>3.8</v>
      </c>
      <c r="F137" s="4">
        <v>5.7</v>
      </c>
      <c r="G137" s="4">
        <f t="shared" si="27"/>
        <v>1285.2000000000003</v>
      </c>
      <c r="H137" s="4">
        <f t="shared" si="20"/>
        <v>228.3</v>
      </c>
      <c r="J137" s="4">
        <v>6.7</v>
      </c>
      <c r="K137" s="4">
        <f t="shared" si="28"/>
        <v>396.20000000000016</v>
      </c>
      <c r="L137" s="4">
        <v>0.4</v>
      </c>
      <c r="M137" s="4">
        <f t="shared" si="29"/>
        <v>166.70000000000002</v>
      </c>
      <c r="N137" s="4">
        <f t="shared" si="26"/>
        <v>6.3</v>
      </c>
      <c r="O137" s="4">
        <v>153.6</v>
      </c>
      <c r="P137" s="4">
        <v>132</v>
      </c>
      <c r="Q137" s="12">
        <f t="shared" si="22"/>
        <v>1.0430555555555556</v>
      </c>
      <c r="R137" s="10">
        <f t="shared" si="23"/>
        <v>0.41722222222222227</v>
      </c>
      <c r="S137" s="10">
        <f t="shared" si="24"/>
        <v>6.2827777777777776</v>
      </c>
      <c r="T137" s="10">
        <f t="shared" si="30"/>
        <v>153.6</v>
      </c>
      <c r="V137" s="11">
        <v>146.80000000000001</v>
      </c>
      <c r="W137" s="4">
        <f t="shared" si="25"/>
        <v>32.622222222222227</v>
      </c>
      <c r="X137" s="4">
        <f t="shared" si="31"/>
        <v>63961.500000000029</v>
      </c>
      <c r="Y137" s="4">
        <f t="shared" si="21"/>
        <v>7578.2000000000007</v>
      </c>
      <c r="AA137" s="15">
        <v>8.3936436351461392</v>
      </c>
    </row>
    <row r="138" spans="1:27" s="4" customFormat="1" x14ac:dyDescent="0.25">
      <c r="A138" s="72"/>
      <c r="B138" s="5"/>
      <c r="C138" s="6">
        <v>41654</v>
      </c>
      <c r="D138" s="4">
        <v>5.8</v>
      </c>
      <c r="E138" s="13">
        <v>2.8</v>
      </c>
      <c r="F138" s="4">
        <v>9</v>
      </c>
      <c r="G138" s="4">
        <f t="shared" si="27"/>
        <v>1291.0000000000002</v>
      </c>
      <c r="H138" s="4">
        <f t="shared" si="20"/>
        <v>234.10000000000002</v>
      </c>
      <c r="J138" s="4">
        <v>4.2</v>
      </c>
      <c r="K138" s="4">
        <f t="shared" si="28"/>
        <v>400.40000000000015</v>
      </c>
      <c r="L138" s="4">
        <v>0.5</v>
      </c>
      <c r="M138" s="4">
        <f t="shared" si="29"/>
        <v>167.20000000000002</v>
      </c>
      <c r="N138" s="4">
        <f t="shared" si="26"/>
        <v>3.7</v>
      </c>
      <c r="O138" s="4">
        <v>153.6</v>
      </c>
      <c r="P138" s="4">
        <v>133</v>
      </c>
      <c r="Q138" s="12">
        <f t="shared" si="22"/>
        <v>1.0444444444444445</v>
      </c>
      <c r="R138" s="10">
        <f t="shared" si="23"/>
        <v>0.52222222222222225</v>
      </c>
      <c r="S138" s="10">
        <f t="shared" si="24"/>
        <v>3.677777777777778</v>
      </c>
      <c r="T138" s="10">
        <f t="shared" si="30"/>
        <v>153.6</v>
      </c>
      <c r="V138" s="11">
        <v>122.8</v>
      </c>
      <c r="W138" s="4">
        <f t="shared" si="25"/>
        <v>21.172413793103448</v>
      </c>
      <c r="X138" s="4">
        <f t="shared" si="31"/>
        <v>64084.300000000032</v>
      </c>
      <c r="Y138" s="4">
        <f t="shared" si="21"/>
        <v>7701.0000000000009</v>
      </c>
      <c r="AA138" s="15">
        <v>8.4302621598455207</v>
      </c>
    </row>
    <row r="139" spans="1:27" s="4" customFormat="1" x14ac:dyDescent="0.25">
      <c r="A139" s="72"/>
      <c r="B139" s="5"/>
      <c r="C139" s="6">
        <v>41655</v>
      </c>
      <c r="D139" s="4">
        <v>8.1</v>
      </c>
      <c r="E139" s="4">
        <v>7.2</v>
      </c>
      <c r="F139" s="4">
        <v>8.6</v>
      </c>
      <c r="G139" s="4">
        <f t="shared" si="27"/>
        <v>1299.1000000000001</v>
      </c>
      <c r="H139" s="4">
        <f t="shared" si="20"/>
        <v>242.20000000000002</v>
      </c>
      <c r="J139" s="4">
        <v>6.5</v>
      </c>
      <c r="K139" s="4">
        <f t="shared" si="28"/>
        <v>406.90000000000015</v>
      </c>
      <c r="L139" s="4">
        <v>0.7</v>
      </c>
      <c r="M139" s="4">
        <f t="shared" si="29"/>
        <v>167.9</v>
      </c>
      <c r="N139" s="4">
        <f t="shared" si="26"/>
        <v>5.8</v>
      </c>
      <c r="O139" s="4">
        <v>153.6</v>
      </c>
      <c r="P139" s="4">
        <v>134</v>
      </c>
      <c r="Q139" s="12">
        <f t="shared" si="22"/>
        <v>1.0458333333333334</v>
      </c>
      <c r="R139" s="10">
        <f t="shared" si="23"/>
        <v>0.73208333333333331</v>
      </c>
      <c r="S139" s="10">
        <f t="shared" si="24"/>
        <v>5.7679166666666664</v>
      </c>
      <c r="T139" s="10">
        <f t="shared" si="30"/>
        <v>153.6</v>
      </c>
      <c r="V139" s="11">
        <v>72</v>
      </c>
      <c r="W139" s="4">
        <f t="shared" si="25"/>
        <v>8.8888888888888893</v>
      </c>
      <c r="X139" s="4">
        <f t="shared" si="31"/>
        <v>64156.300000000032</v>
      </c>
      <c r="Y139" s="4">
        <f t="shared" si="21"/>
        <v>7773.0000000000009</v>
      </c>
      <c r="AA139" s="15">
        <v>8.4681195243717404</v>
      </c>
    </row>
    <row r="140" spans="1:27" s="4" customFormat="1" x14ac:dyDescent="0.25">
      <c r="A140" s="72"/>
      <c r="B140" s="5"/>
      <c r="C140" s="6">
        <v>41656</v>
      </c>
      <c r="D140" s="4">
        <v>7.6</v>
      </c>
      <c r="E140" s="4">
        <v>7.2</v>
      </c>
      <c r="F140" s="4">
        <v>8</v>
      </c>
      <c r="G140" s="4">
        <f t="shared" si="27"/>
        <v>1306.7</v>
      </c>
      <c r="H140" s="4">
        <f t="shared" si="20"/>
        <v>249.8</v>
      </c>
      <c r="J140" s="4">
        <v>6</v>
      </c>
      <c r="K140" s="4">
        <f t="shared" si="28"/>
        <v>412.90000000000015</v>
      </c>
      <c r="L140" s="4">
        <v>0.9</v>
      </c>
      <c r="M140" s="4">
        <f t="shared" si="29"/>
        <v>168.8</v>
      </c>
      <c r="N140" s="4">
        <f t="shared" si="26"/>
        <v>5.0999999999999996</v>
      </c>
      <c r="O140" s="4">
        <v>153.6</v>
      </c>
      <c r="P140" s="4">
        <v>135</v>
      </c>
      <c r="Q140" s="12">
        <f t="shared" si="22"/>
        <v>1.0472222222222223</v>
      </c>
      <c r="R140" s="10">
        <f t="shared" si="23"/>
        <v>0.94250000000000012</v>
      </c>
      <c r="S140" s="10">
        <f t="shared" si="24"/>
        <v>5.0575000000000001</v>
      </c>
      <c r="T140" s="10">
        <f t="shared" si="30"/>
        <v>153.6</v>
      </c>
      <c r="V140" s="11">
        <v>95.1</v>
      </c>
      <c r="W140" s="4">
        <f t="shared" si="25"/>
        <v>12.513157894736842</v>
      </c>
      <c r="X140" s="4">
        <f t="shared" si="31"/>
        <v>64251.400000000031</v>
      </c>
      <c r="Y140" s="4">
        <f t="shared" si="21"/>
        <v>7868.1000000000013</v>
      </c>
      <c r="AA140" s="15">
        <v>8.5071808222526695</v>
      </c>
    </row>
    <row r="141" spans="1:27" s="4" customFormat="1" x14ac:dyDescent="0.25">
      <c r="A141" s="72"/>
      <c r="B141" s="5"/>
      <c r="C141" s="6">
        <v>41657</v>
      </c>
      <c r="D141" s="4">
        <v>6</v>
      </c>
      <c r="E141" s="13">
        <v>3.8</v>
      </c>
      <c r="F141" s="4">
        <v>8.8000000000000007</v>
      </c>
      <c r="G141" s="4">
        <f t="shared" si="27"/>
        <v>1312.7</v>
      </c>
      <c r="H141" s="4">
        <f t="shared" si="20"/>
        <v>255.8</v>
      </c>
      <c r="J141" s="4">
        <v>0.1</v>
      </c>
      <c r="K141" s="4">
        <f t="shared" si="28"/>
        <v>413.00000000000017</v>
      </c>
      <c r="L141" s="4">
        <v>0.8</v>
      </c>
      <c r="M141" s="4">
        <f t="shared" si="29"/>
        <v>169.60000000000002</v>
      </c>
      <c r="N141" s="9">
        <f t="shared" si="26"/>
        <v>-0.70000000000000007</v>
      </c>
      <c r="O141" s="4">
        <v>152.9</v>
      </c>
      <c r="P141" s="4">
        <v>136</v>
      </c>
      <c r="Q141" s="12">
        <f t="shared" si="22"/>
        <v>1.0486111111111112</v>
      </c>
      <c r="R141" s="10">
        <f t="shared" si="23"/>
        <v>0.83888888888888902</v>
      </c>
      <c r="S141" s="10">
        <f t="shared" si="24"/>
        <v>-0.73888888888888904</v>
      </c>
      <c r="T141" s="10">
        <f t="shared" si="30"/>
        <v>152.86111111111111</v>
      </c>
      <c r="V141" s="11">
        <v>271.39999999999998</v>
      </c>
      <c r="W141" s="4">
        <f t="shared" si="25"/>
        <v>45.233333333333327</v>
      </c>
      <c r="X141" s="4">
        <f t="shared" si="31"/>
        <v>64522.800000000032</v>
      </c>
      <c r="Y141" s="4">
        <f t="shared" si="21"/>
        <v>8139.5000000000009</v>
      </c>
      <c r="AA141" s="15">
        <v>8.5474109316925695</v>
      </c>
    </row>
    <row r="142" spans="1:27" s="4" customFormat="1" x14ac:dyDescent="0.25">
      <c r="A142" s="72"/>
      <c r="B142" s="5"/>
      <c r="C142" s="6">
        <v>41658</v>
      </c>
      <c r="D142" s="4">
        <v>6.9</v>
      </c>
      <c r="E142" s="13">
        <v>4.9000000000000004</v>
      </c>
      <c r="F142" s="4">
        <v>8.6999999999999993</v>
      </c>
      <c r="G142" s="4">
        <f t="shared" si="27"/>
        <v>1319.6000000000001</v>
      </c>
      <c r="H142" s="4">
        <f t="shared" si="20"/>
        <v>262.7</v>
      </c>
      <c r="J142" s="4">
        <v>0.5</v>
      </c>
      <c r="K142" s="4">
        <f t="shared" si="28"/>
        <v>413.50000000000017</v>
      </c>
      <c r="L142" s="4">
        <v>0.7</v>
      </c>
      <c r="M142" s="4">
        <f t="shared" si="29"/>
        <v>170.3</v>
      </c>
      <c r="N142" s="9">
        <f t="shared" si="26"/>
        <v>-0.19999999999999996</v>
      </c>
      <c r="O142" s="4">
        <v>152.70000000000002</v>
      </c>
      <c r="P142" s="4">
        <v>137</v>
      </c>
      <c r="Q142" s="12">
        <f t="shared" si="22"/>
        <v>1.05</v>
      </c>
      <c r="R142" s="10">
        <f t="shared" si="23"/>
        <v>0.73499999999999999</v>
      </c>
      <c r="S142" s="10">
        <f t="shared" si="24"/>
        <v>-0.23499999999999999</v>
      </c>
      <c r="T142" s="10">
        <f t="shared" si="30"/>
        <v>152.6261111111111</v>
      </c>
      <c r="V142" s="11">
        <v>214.8</v>
      </c>
      <c r="W142" s="4">
        <f t="shared" si="25"/>
        <v>31.130434782608695</v>
      </c>
      <c r="X142" s="4">
        <f t="shared" si="31"/>
        <v>64737.600000000035</v>
      </c>
      <c r="Y142" s="4">
        <f t="shared" si="21"/>
        <v>8354.3000000000011</v>
      </c>
      <c r="AA142" s="15">
        <v>8.5887746097350206</v>
      </c>
    </row>
    <row r="143" spans="1:27" s="4" customFormat="1" x14ac:dyDescent="0.25">
      <c r="A143" s="72"/>
      <c r="B143" s="5"/>
      <c r="C143" s="6">
        <v>41659</v>
      </c>
      <c r="D143" s="4">
        <v>5.2</v>
      </c>
      <c r="E143" s="13">
        <v>3.6</v>
      </c>
      <c r="F143" s="4">
        <v>7.1</v>
      </c>
      <c r="G143" s="4">
        <f t="shared" si="27"/>
        <v>1324.8000000000002</v>
      </c>
      <c r="H143" s="4">
        <f t="shared" si="20"/>
        <v>267.89999999999998</v>
      </c>
      <c r="J143" s="4">
        <v>0.1</v>
      </c>
      <c r="K143" s="4">
        <f t="shared" si="28"/>
        <v>413.60000000000019</v>
      </c>
      <c r="L143" s="4">
        <v>0.4</v>
      </c>
      <c r="M143" s="4">
        <f t="shared" si="29"/>
        <v>170.70000000000002</v>
      </c>
      <c r="N143" s="9">
        <f t="shared" si="26"/>
        <v>-0.30000000000000004</v>
      </c>
      <c r="O143" s="4">
        <v>152.4</v>
      </c>
      <c r="P143" s="4">
        <v>138</v>
      </c>
      <c r="Q143" s="12">
        <f t="shared" si="22"/>
        <v>1.0513888888888889</v>
      </c>
      <c r="R143" s="10">
        <f t="shared" si="23"/>
        <v>0.42055555555555557</v>
      </c>
      <c r="S143" s="10">
        <f t="shared" si="24"/>
        <v>-0.32055555555555559</v>
      </c>
      <c r="T143" s="10">
        <f t="shared" si="30"/>
        <v>152.30555555555554</v>
      </c>
      <c r="V143" s="11">
        <v>53.1</v>
      </c>
      <c r="W143" s="4">
        <f t="shared" si="25"/>
        <v>10.211538461538462</v>
      </c>
      <c r="X143" s="4">
        <f t="shared" si="31"/>
        <v>64790.700000000033</v>
      </c>
      <c r="Y143" s="4">
        <f t="shared" si="21"/>
        <v>8407.4000000000015</v>
      </c>
      <c r="AA143" s="15">
        <v>8.6312365821643198</v>
      </c>
    </row>
    <row r="144" spans="1:27" s="4" customFormat="1" x14ac:dyDescent="0.25">
      <c r="A144" s="72"/>
      <c r="B144" s="14"/>
      <c r="C144" s="6">
        <v>41660</v>
      </c>
      <c r="D144" s="13">
        <v>4.0999999999999996</v>
      </c>
      <c r="E144" s="13">
        <v>3.1</v>
      </c>
      <c r="F144" s="13">
        <v>4.7</v>
      </c>
      <c r="G144" s="4">
        <f t="shared" si="27"/>
        <v>1328.9</v>
      </c>
      <c r="H144" s="4">
        <f t="shared" si="20"/>
        <v>272</v>
      </c>
      <c r="J144" s="4">
        <v>0</v>
      </c>
      <c r="K144" s="4">
        <f t="shared" si="28"/>
        <v>413.60000000000019</v>
      </c>
      <c r="L144" s="4">
        <v>0.4</v>
      </c>
      <c r="M144" s="4">
        <f t="shared" si="29"/>
        <v>171.10000000000002</v>
      </c>
      <c r="N144" s="9">
        <f t="shared" si="26"/>
        <v>-0.4</v>
      </c>
      <c r="O144" s="4">
        <v>152</v>
      </c>
      <c r="P144" s="4">
        <v>139</v>
      </c>
      <c r="Q144" s="12">
        <f t="shared" si="22"/>
        <v>1.0527777777777778</v>
      </c>
      <c r="R144" s="10">
        <f t="shared" si="23"/>
        <v>0.42111111111111116</v>
      </c>
      <c r="S144" s="10">
        <f t="shared" si="24"/>
        <v>-0.42111111111111116</v>
      </c>
      <c r="T144" s="10">
        <f t="shared" si="30"/>
        <v>151.88444444444443</v>
      </c>
      <c r="V144" s="11">
        <v>252.7</v>
      </c>
      <c r="W144" s="4">
        <f t="shared" si="25"/>
        <v>61.634146341463421</v>
      </c>
      <c r="X144" s="4">
        <f t="shared" si="31"/>
        <v>65043.400000000031</v>
      </c>
      <c r="Y144" s="4">
        <f t="shared" si="21"/>
        <v>8660.1000000000022</v>
      </c>
      <c r="AA144" s="15">
        <v>8.6747616288802494</v>
      </c>
    </row>
    <row r="145" spans="1:27" s="4" customFormat="1" x14ac:dyDescent="0.25">
      <c r="A145" s="72"/>
      <c r="B145" s="14"/>
      <c r="C145" s="6">
        <v>41661</v>
      </c>
      <c r="D145" s="13">
        <v>3.8</v>
      </c>
      <c r="E145" s="13">
        <v>2.8</v>
      </c>
      <c r="F145" s="13">
        <v>4.7</v>
      </c>
      <c r="G145" s="4">
        <f t="shared" si="27"/>
        <v>1332.7</v>
      </c>
      <c r="H145" s="4">
        <f t="shared" si="20"/>
        <v>275.8</v>
      </c>
      <c r="J145" s="4">
        <v>4.7</v>
      </c>
      <c r="K145" s="4">
        <f t="shared" si="28"/>
        <v>418.30000000000018</v>
      </c>
      <c r="L145" s="4">
        <v>0.7</v>
      </c>
      <c r="M145" s="4">
        <f t="shared" si="29"/>
        <v>171.8</v>
      </c>
      <c r="N145" s="4">
        <f t="shared" si="26"/>
        <v>4</v>
      </c>
      <c r="O145" s="4">
        <v>153.6</v>
      </c>
      <c r="P145" s="4">
        <v>140</v>
      </c>
      <c r="Q145" s="12">
        <f t="shared" si="22"/>
        <v>1.0541666666666667</v>
      </c>
      <c r="R145" s="10">
        <f t="shared" si="23"/>
        <v>0.73791666666666667</v>
      </c>
      <c r="S145" s="10">
        <f t="shared" si="24"/>
        <v>3.9620833333333336</v>
      </c>
      <c r="T145" s="10">
        <f t="shared" si="30"/>
        <v>153.6</v>
      </c>
      <c r="V145" s="11">
        <v>221.5</v>
      </c>
      <c r="W145" s="4">
        <f t="shared" si="25"/>
        <v>58.289473684210527</v>
      </c>
      <c r="X145" s="4">
        <f t="shared" si="31"/>
        <v>65264.900000000031</v>
      </c>
      <c r="Y145" s="4">
        <f t="shared" si="21"/>
        <v>8881.6000000000022</v>
      </c>
      <c r="AA145" s="15">
        <v>8.7193146645356201</v>
      </c>
    </row>
    <row r="146" spans="1:27" s="4" customFormat="1" x14ac:dyDescent="0.25">
      <c r="A146" s="72"/>
      <c r="B146" s="5"/>
      <c r="C146" s="6">
        <v>41662</v>
      </c>
      <c r="D146" s="4">
        <v>5.6</v>
      </c>
      <c r="E146" s="13">
        <v>3.9</v>
      </c>
      <c r="F146" s="4">
        <v>8.6999999999999993</v>
      </c>
      <c r="G146" s="4">
        <f t="shared" si="27"/>
        <v>1338.3</v>
      </c>
      <c r="H146" s="4">
        <f t="shared" si="20"/>
        <v>281.40000000000003</v>
      </c>
      <c r="J146" s="4">
        <v>5.0999999999999996</v>
      </c>
      <c r="K146" s="4">
        <f t="shared" si="28"/>
        <v>423.4000000000002</v>
      </c>
      <c r="L146" s="4">
        <v>1</v>
      </c>
      <c r="M146" s="4">
        <f t="shared" si="29"/>
        <v>172.8</v>
      </c>
      <c r="N146" s="4">
        <f t="shared" si="26"/>
        <v>4.0999999999999996</v>
      </c>
      <c r="O146" s="4">
        <v>153.6</v>
      </c>
      <c r="P146" s="4">
        <v>141</v>
      </c>
      <c r="Q146" s="12">
        <f t="shared" si="22"/>
        <v>1.0555555555555556</v>
      </c>
      <c r="R146" s="10">
        <f t="shared" si="23"/>
        <v>1.0555555555555556</v>
      </c>
      <c r="S146" s="10">
        <f t="shared" si="24"/>
        <v>4.0444444444444443</v>
      </c>
      <c r="T146" s="10">
        <f t="shared" si="30"/>
        <v>153.6</v>
      </c>
      <c r="V146" s="11">
        <v>363.1</v>
      </c>
      <c r="W146" s="4">
        <f t="shared" si="25"/>
        <v>64.839285714285722</v>
      </c>
      <c r="X146" s="4">
        <f t="shared" si="31"/>
        <v>65628.000000000029</v>
      </c>
      <c r="Y146" s="4">
        <f t="shared" si="21"/>
        <v>9244.7000000000025</v>
      </c>
      <c r="AA146" s="15">
        <v>8.7648608142793094</v>
      </c>
    </row>
    <row r="147" spans="1:27" s="4" customFormat="1" x14ac:dyDescent="0.25">
      <c r="A147" s="72"/>
      <c r="B147" s="14"/>
      <c r="C147" s="6">
        <v>41663</v>
      </c>
      <c r="D147" s="13">
        <v>2.9</v>
      </c>
      <c r="E147" s="17">
        <v>-0.1</v>
      </c>
      <c r="F147" s="4">
        <v>6.9</v>
      </c>
      <c r="G147" s="4">
        <f t="shared" si="27"/>
        <v>1341.2</v>
      </c>
      <c r="H147" s="4">
        <f t="shared" si="20"/>
        <v>284.3</v>
      </c>
      <c r="J147" s="4">
        <v>1.6</v>
      </c>
      <c r="K147" s="4">
        <f t="shared" si="28"/>
        <v>425.00000000000023</v>
      </c>
      <c r="L147" s="4">
        <v>0.8</v>
      </c>
      <c r="M147" s="4">
        <f t="shared" si="29"/>
        <v>173.60000000000002</v>
      </c>
      <c r="N147" s="4">
        <f t="shared" si="26"/>
        <v>0.8</v>
      </c>
      <c r="O147" s="4">
        <v>153.6</v>
      </c>
      <c r="P147" s="4">
        <v>142</v>
      </c>
      <c r="Q147" s="12">
        <f t="shared" si="22"/>
        <v>1.0569444444444445</v>
      </c>
      <c r="R147" s="10">
        <f t="shared" si="23"/>
        <v>0.84555555555555562</v>
      </c>
      <c r="S147" s="10">
        <f t="shared" si="24"/>
        <v>0.75444444444444447</v>
      </c>
      <c r="T147" s="10">
        <f t="shared" si="30"/>
        <v>153.6</v>
      </c>
      <c r="V147" s="11">
        <v>558.1</v>
      </c>
      <c r="W147" s="4">
        <f t="shared" si="25"/>
        <v>192.44827586206898</v>
      </c>
      <c r="X147" s="4">
        <f t="shared" si="31"/>
        <v>66186.100000000035</v>
      </c>
      <c r="Y147" s="4">
        <f t="shared" si="21"/>
        <v>9802.8000000000029</v>
      </c>
      <c r="AA147" s="15">
        <v>8.81136548449693</v>
      </c>
    </row>
    <row r="148" spans="1:27" s="4" customFormat="1" x14ac:dyDescent="0.25">
      <c r="A148" s="72"/>
      <c r="B148" s="14"/>
      <c r="C148" s="6">
        <v>41664</v>
      </c>
      <c r="D148" s="13">
        <v>4.8</v>
      </c>
      <c r="E148" s="13">
        <v>2.2999999999999998</v>
      </c>
      <c r="F148" s="4">
        <v>6.9</v>
      </c>
      <c r="G148" s="4">
        <f t="shared" si="27"/>
        <v>1346</v>
      </c>
      <c r="H148" s="4">
        <f t="shared" ref="H148:H211" si="32">H147+D148</f>
        <v>289.10000000000002</v>
      </c>
      <c r="J148" s="4">
        <v>1.8</v>
      </c>
      <c r="K148" s="4">
        <f t="shared" si="28"/>
        <v>426.80000000000024</v>
      </c>
      <c r="L148" s="4">
        <v>0.8</v>
      </c>
      <c r="M148" s="4">
        <f t="shared" si="29"/>
        <v>174.40000000000003</v>
      </c>
      <c r="N148" s="4">
        <f t="shared" si="26"/>
        <v>1</v>
      </c>
      <c r="O148" s="4">
        <v>153.6</v>
      </c>
      <c r="P148" s="4">
        <v>143</v>
      </c>
      <c r="Q148" s="12">
        <f t="shared" si="22"/>
        <v>1.0583333333333333</v>
      </c>
      <c r="R148" s="10">
        <f t="shared" si="23"/>
        <v>0.84666666666666668</v>
      </c>
      <c r="S148" s="10">
        <f t="shared" si="24"/>
        <v>0.95333333333333337</v>
      </c>
      <c r="T148" s="10">
        <f t="shared" si="30"/>
        <v>153.6</v>
      </c>
      <c r="V148" s="11">
        <v>193.2</v>
      </c>
      <c r="W148" s="4">
        <f t="shared" si="25"/>
        <v>40.25</v>
      </c>
      <c r="X148" s="4">
        <f t="shared" si="31"/>
        <v>66379.300000000032</v>
      </c>
      <c r="Y148" s="4">
        <f t="shared" ref="Y148:Y211" si="33">Y147+V148</f>
        <v>9996.0000000000036</v>
      </c>
      <c r="AA148" s="15">
        <v>8.8587944284877995</v>
      </c>
    </row>
    <row r="149" spans="1:27" s="4" customFormat="1" x14ac:dyDescent="0.25">
      <c r="A149" s="72"/>
      <c r="B149" s="5"/>
      <c r="C149" s="6">
        <v>41665</v>
      </c>
      <c r="D149" s="4">
        <v>5.0999999999999996</v>
      </c>
      <c r="E149" s="13">
        <v>2.2000000000000002</v>
      </c>
      <c r="F149" s="4">
        <v>7.5</v>
      </c>
      <c r="G149" s="4">
        <f t="shared" si="27"/>
        <v>1351.1</v>
      </c>
      <c r="H149" s="4">
        <f t="shared" si="32"/>
        <v>294.20000000000005</v>
      </c>
      <c r="J149" s="4">
        <v>8.5</v>
      </c>
      <c r="K149" s="4">
        <f t="shared" si="28"/>
        <v>435.30000000000024</v>
      </c>
      <c r="L149" s="4">
        <v>0.8</v>
      </c>
      <c r="M149" s="4">
        <f t="shared" si="29"/>
        <v>175.20000000000005</v>
      </c>
      <c r="N149" s="4">
        <f t="shared" si="26"/>
        <v>7.7</v>
      </c>
      <c r="O149" s="4">
        <v>153.6</v>
      </c>
      <c r="P149" s="4">
        <v>144</v>
      </c>
      <c r="Q149" s="12">
        <f t="shared" si="22"/>
        <v>1.0597222222222222</v>
      </c>
      <c r="R149" s="10">
        <f t="shared" si="23"/>
        <v>0.84777777777777785</v>
      </c>
      <c r="S149" s="10">
        <f t="shared" si="24"/>
        <v>7.652222222222222</v>
      </c>
      <c r="T149" s="10">
        <f t="shared" si="30"/>
        <v>153.6</v>
      </c>
      <c r="V149" s="11">
        <v>131.6</v>
      </c>
      <c r="W149" s="4">
        <f t="shared" si="25"/>
        <v>25.803921568627452</v>
      </c>
      <c r="X149" s="4">
        <f t="shared" si="31"/>
        <v>66510.900000000038</v>
      </c>
      <c r="Y149" s="4">
        <f t="shared" si="33"/>
        <v>10127.600000000004</v>
      </c>
      <c r="AA149" s="15">
        <v>8.9071138070593996</v>
      </c>
    </row>
    <row r="150" spans="1:27" s="4" customFormat="1" x14ac:dyDescent="0.25">
      <c r="A150" s="72"/>
      <c r="B150" s="14"/>
      <c r="C150" s="6">
        <v>41666</v>
      </c>
      <c r="D150" s="13">
        <v>3.7</v>
      </c>
      <c r="E150" s="13">
        <v>2.6</v>
      </c>
      <c r="F150" s="13">
        <v>4.5999999999999996</v>
      </c>
      <c r="G150" s="4">
        <f t="shared" si="27"/>
        <v>1354.8</v>
      </c>
      <c r="H150" s="4">
        <f t="shared" si="32"/>
        <v>297.90000000000003</v>
      </c>
      <c r="J150" s="4">
        <v>4.8</v>
      </c>
      <c r="K150" s="4">
        <f t="shared" si="28"/>
        <v>440.10000000000025</v>
      </c>
      <c r="L150" s="4">
        <v>0.7</v>
      </c>
      <c r="M150" s="4">
        <f t="shared" si="29"/>
        <v>175.90000000000003</v>
      </c>
      <c r="N150" s="4">
        <f t="shared" si="26"/>
        <v>4.0999999999999996</v>
      </c>
      <c r="O150" s="4">
        <v>153.6</v>
      </c>
      <c r="P150" s="4">
        <v>145</v>
      </c>
      <c r="Q150" s="12">
        <f t="shared" si="22"/>
        <v>1.0611111111111111</v>
      </c>
      <c r="R150" s="10">
        <f t="shared" si="23"/>
        <v>0.74277777777777776</v>
      </c>
      <c r="S150" s="10">
        <f t="shared" si="24"/>
        <v>4.0572222222222223</v>
      </c>
      <c r="T150" s="10">
        <f t="shared" si="30"/>
        <v>153.6</v>
      </c>
      <c r="V150" s="11">
        <v>131.9</v>
      </c>
      <c r="W150" s="4">
        <f t="shared" si="25"/>
        <v>35.648648648648646</v>
      </c>
      <c r="X150" s="4">
        <f t="shared" si="31"/>
        <v>66642.800000000032</v>
      </c>
      <c r="Y150" s="4">
        <f t="shared" si="33"/>
        <v>10259.500000000004</v>
      </c>
      <c r="AA150" s="15">
        <v>8.9562902440598293</v>
      </c>
    </row>
    <row r="151" spans="1:27" s="4" customFormat="1" x14ac:dyDescent="0.25">
      <c r="A151" s="72"/>
      <c r="B151" s="5"/>
      <c r="C151" s="6">
        <v>41667</v>
      </c>
      <c r="D151" s="13">
        <v>4.3</v>
      </c>
      <c r="E151" s="13">
        <v>3.2</v>
      </c>
      <c r="F151" s="4">
        <v>5.0999999999999996</v>
      </c>
      <c r="G151" s="4">
        <f t="shared" si="27"/>
        <v>1359.1</v>
      </c>
      <c r="H151" s="4">
        <f t="shared" si="32"/>
        <v>302.20000000000005</v>
      </c>
      <c r="J151" s="4">
        <v>3.1</v>
      </c>
      <c r="K151" s="4">
        <f t="shared" si="28"/>
        <v>443.20000000000027</v>
      </c>
      <c r="L151" s="4">
        <v>0.6</v>
      </c>
      <c r="M151" s="4">
        <f t="shared" si="29"/>
        <v>176.50000000000003</v>
      </c>
      <c r="N151" s="4">
        <f t="shared" si="26"/>
        <v>2.5</v>
      </c>
      <c r="O151" s="4">
        <v>153.6</v>
      </c>
      <c r="P151" s="4">
        <v>146</v>
      </c>
      <c r="Q151" s="12">
        <f t="shared" si="22"/>
        <v>1.0625</v>
      </c>
      <c r="R151" s="10">
        <f t="shared" si="23"/>
        <v>0.63749999999999996</v>
      </c>
      <c r="S151" s="10">
        <f t="shared" si="24"/>
        <v>2.4625000000000004</v>
      </c>
      <c r="T151" s="10">
        <f t="shared" si="30"/>
        <v>153.6</v>
      </c>
      <c r="V151" s="11">
        <v>96.5</v>
      </c>
      <c r="W151" s="4">
        <f t="shared" si="25"/>
        <v>22.441860465116282</v>
      </c>
      <c r="X151" s="4">
        <f t="shared" si="31"/>
        <v>66739.300000000032</v>
      </c>
      <c r="Y151" s="4">
        <f t="shared" si="33"/>
        <v>10356.000000000004</v>
      </c>
      <c r="AA151" s="4">
        <v>9.0062908769033498</v>
      </c>
    </row>
    <row r="152" spans="1:27" s="4" customFormat="1" x14ac:dyDescent="0.25">
      <c r="A152" s="72"/>
      <c r="B152" s="5"/>
      <c r="C152" s="6">
        <v>41668</v>
      </c>
      <c r="D152" s="13">
        <v>4.3</v>
      </c>
      <c r="E152" s="13">
        <v>3.5</v>
      </c>
      <c r="F152" s="4">
        <v>5.6</v>
      </c>
      <c r="G152" s="4">
        <f t="shared" si="27"/>
        <v>1363.3999999999999</v>
      </c>
      <c r="H152" s="4">
        <f t="shared" si="32"/>
        <v>306.50000000000006</v>
      </c>
      <c r="J152" s="4">
        <v>3.5</v>
      </c>
      <c r="K152" s="4">
        <f t="shared" si="28"/>
        <v>446.70000000000027</v>
      </c>
      <c r="L152" s="4">
        <v>1.1000000000000001</v>
      </c>
      <c r="M152" s="4">
        <f t="shared" si="29"/>
        <v>177.60000000000002</v>
      </c>
      <c r="N152" s="4">
        <f t="shared" si="26"/>
        <v>2.4</v>
      </c>
      <c r="O152" s="4">
        <v>153.6</v>
      </c>
      <c r="P152" s="4">
        <v>147</v>
      </c>
      <c r="Q152" s="12">
        <f t="shared" si="22"/>
        <v>1.0638888888888889</v>
      </c>
      <c r="R152" s="10">
        <f t="shared" si="23"/>
        <v>1.170277777777778</v>
      </c>
      <c r="S152" s="10">
        <f t="shared" si="24"/>
        <v>2.3297222222222222</v>
      </c>
      <c r="T152" s="10">
        <f t="shared" si="30"/>
        <v>153.6</v>
      </c>
      <c r="V152" s="11">
        <v>271.39999999999998</v>
      </c>
      <c r="W152" s="4">
        <f t="shared" si="25"/>
        <v>63.116279069767437</v>
      </c>
      <c r="X152" s="4">
        <f t="shared" si="31"/>
        <v>67010.700000000026</v>
      </c>
      <c r="Y152" s="4">
        <f t="shared" si="33"/>
        <v>10627.400000000003</v>
      </c>
      <c r="AA152" s="4">
        <v>9.0570834021756195</v>
      </c>
    </row>
    <row r="153" spans="1:27" s="4" customFormat="1" x14ac:dyDescent="0.25">
      <c r="A153" s="72"/>
      <c r="B153" s="5"/>
      <c r="C153" s="6">
        <v>41669</v>
      </c>
      <c r="D153" s="13">
        <v>4</v>
      </c>
      <c r="E153" s="13">
        <v>3.1</v>
      </c>
      <c r="F153" s="13">
        <v>5</v>
      </c>
      <c r="G153" s="4">
        <f t="shared" si="27"/>
        <v>1367.3999999999999</v>
      </c>
      <c r="H153" s="4">
        <f t="shared" si="32"/>
        <v>310.50000000000006</v>
      </c>
      <c r="J153" s="4">
        <v>0.4</v>
      </c>
      <c r="K153" s="4">
        <f t="shared" si="28"/>
        <v>447.10000000000025</v>
      </c>
      <c r="L153" s="4">
        <v>0.4</v>
      </c>
      <c r="M153" s="4">
        <f t="shared" si="29"/>
        <v>178.00000000000003</v>
      </c>
      <c r="N153" s="4">
        <f t="shared" si="26"/>
        <v>0</v>
      </c>
      <c r="O153" s="4">
        <v>153.6</v>
      </c>
      <c r="P153" s="4">
        <v>148</v>
      </c>
      <c r="Q153" s="12">
        <f t="shared" si="22"/>
        <v>1.0652777777777778</v>
      </c>
      <c r="R153" s="10">
        <f t="shared" si="23"/>
        <v>0.42611111111111111</v>
      </c>
      <c r="S153" s="10">
        <f t="shared" si="24"/>
        <v>-2.6111111111111085E-2</v>
      </c>
      <c r="T153" s="10">
        <f t="shared" si="30"/>
        <v>153.57388888888889</v>
      </c>
      <c r="V153" s="11">
        <v>106.1</v>
      </c>
      <c r="W153" s="4">
        <f t="shared" si="25"/>
        <v>26.524999999999999</v>
      </c>
      <c r="X153" s="4">
        <f t="shared" si="31"/>
        <v>67116.800000000032</v>
      </c>
      <c r="Y153" s="4">
        <f t="shared" si="33"/>
        <v>10733.500000000004</v>
      </c>
      <c r="AA153" s="4">
        <v>9.1086361164323808</v>
      </c>
    </row>
    <row r="154" spans="1:27" s="4" customFormat="1" x14ac:dyDescent="0.25">
      <c r="A154" s="72"/>
      <c r="B154" s="5">
        <v>10</v>
      </c>
      <c r="C154" s="6">
        <v>41670</v>
      </c>
      <c r="D154" s="4">
        <v>5.0999999999999996</v>
      </c>
      <c r="E154" s="13">
        <v>1.9</v>
      </c>
      <c r="F154" s="4">
        <v>7.5</v>
      </c>
      <c r="G154" s="4">
        <f t="shared" si="27"/>
        <v>1372.4999999999998</v>
      </c>
      <c r="H154" s="4">
        <f t="shared" si="32"/>
        <v>315.60000000000008</v>
      </c>
      <c r="J154" s="4">
        <v>12.1</v>
      </c>
      <c r="K154" s="4">
        <f t="shared" si="28"/>
        <v>459.20000000000027</v>
      </c>
      <c r="L154" s="4">
        <v>1</v>
      </c>
      <c r="M154" s="4">
        <f t="shared" si="29"/>
        <v>179.00000000000003</v>
      </c>
      <c r="N154" s="4">
        <f t="shared" si="26"/>
        <v>11.1</v>
      </c>
      <c r="O154" s="4">
        <v>153.6</v>
      </c>
      <c r="P154" s="4">
        <v>149</v>
      </c>
      <c r="Q154" s="12">
        <f t="shared" si="22"/>
        <v>1.0666666666666667</v>
      </c>
      <c r="R154" s="10">
        <f t="shared" si="23"/>
        <v>1.0666666666666667</v>
      </c>
      <c r="S154" s="10">
        <f t="shared" si="24"/>
        <v>11.033333333333333</v>
      </c>
      <c r="T154" s="10">
        <f t="shared" si="30"/>
        <v>153.6</v>
      </c>
      <c r="V154" s="11">
        <v>571.70000000000005</v>
      </c>
      <c r="W154" s="4">
        <f t="shared" si="25"/>
        <v>112.09803921568628</v>
      </c>
      <c r="X154" s="4">
        <f t="shared" si="31"/>
        <v>67688.500000000029</v>
      </c>
      <c r="Y154" s="4">
        <f t="shared" si="33"/>
        <v>11305.200000000004</v>
      </c>
      <c r="AA154" s="4">
        <v>9.1609179523286706</v>
      </c>
    </row>
    <row r="155" spans="1:27" s="4" customFormat="1" x14ac:dyDescent="0.25">
      <c r="A155" s="72"/>
      <c r="B155" s="5"/>
      <c r="C155" s="6">
        <v>41671</v>
      </c>
      <c r="D155" s="4">
        <v>6.6</v>
      </c>
      <c r="E155" s="4">
        <v>5.6</v>
      </c>
      <c r="F155" s="4">
        <v>8.1</v>
      </c>
      <c r="G155" s="4">
        <f t="shared" si="27"/>
        <v>1379.0999999999997</v>
      </c>
      <c r="H155" s="4">
        <f t="shared" si="32"/>
        <v>322.2000000000001</v>
      </c>
      <c r="J155" s="4">
        <v>0.9</v>
      </c>
      <c r="K155" s="4">
        <f t="shared" si="28"/>
        <v>460.10000000000025</v>
      </c>
      <c r="L155" s="4">
        <v>1.3</v>
      </c>
      <c r="M155" s="4">
        <f t="shared" si="29"/>
        <v>180.30000000000004</v>
      </c>
      <c r="N155" s="9">
        <f t="shared" si="26"/>
        <v>-0.4</v>
      </c>
      <c r="O155" s="4">
        <v>153.19999999999999</v>
      </c>
      <c r="P155" s="4">
        <v>150</v>
      </c>
      <c r="Q155" s="12">
        <f t="shared" si="22"/>
        <v>1.0680555555555555</v>
      </c>
      <c r="R155" s="10">
        <f t="shared" si="23"/>
        <v>1.3884722222222223</v>
      </c>
      <c r="S155" s="10">
        <f t="shared" si="24"/>
        <v>-0.48847222222222231</v>
      </c>
      <c r="T155" s="10">
        <f t="shared" si="30"/>
        <v>153.11152777777778</v>
      </c>
      <c r="V155" s="11">
        <v>373.2</v>
      </c>
      <c r="W155" s="4">
        <f t="shared" si="25"/>
        <v>56.545454545454547</v>
      </c>
      <c r="X155" s="4">
        <f t="shared" si="31"/>
        <v>68061.700000000026</v>
      </c>
      <c r="Y155" s="4">
        <f t="shared" si="33"/>
        <v>11678.400000000005</v>
      </c>
      <c r="AA155" s="4">
        <v>9.2138985102356603</v>
      </c>
    </row>
    <row r="156" spans="1:27" s="4" customFormat="1" x14ac:dyDescent="0.25">
      <c r="A156" s="72"/>
      <c r="B156" s="5"/>
      <c r="C156" s="6">
        <v>41672</v>
      </c>
      <c r="D156" s="13">
        <v>5</v>
      </c>
      <c r="E156" s="13">
        <v>2.9</v>
      </c>
      <c r="F156" s="4">
        <v>7.4</v>
      </c>
      <c r="G156" s="4">
        <f t="shared" si="27"/>
        <v>1384.0999999999997</v>
      </c>
      <c r="H156" s="4">
        <f t="shared" si="32"/>
        <v>327.2000000000001</v>
      </c>
      <c r="J156" s="4">
        <v>0</v>
      </c>
      <c r="K156" s="4">
        <f t="shared" si="28"/>
        <v>460.10000000000025</v>
      </c>
      <c r="L156" s="4">
        <v>1.2</v>
      </c>
      <c r="M156" s="4">
        <f t="shared" si="29"/>
        <v>181.50000000000003</v>
      </c>
      <c r="N156" s="9">
        <f t="shared" si="26"/>
        <v>-1.2</v>
      </c>
      <c r="O156" s="4">
        <v>152</v>
      </c>
      <c r="P156" s="4">
        <v>151</v>
      </c>
      <c r="Q156" s="12">
        <f t="shared" si="22"/>
        <v>1.0694444444444444</v>
      </c>
      <c r="R156" s="10">
        <f t="shared" si="23"/>
        <v>1.2833333333333332</v>
      </c>
      <c r="S156" s="10">
        <f t="shared" si="24"/>
        <v>-1.2833333333333332</v>
      </c>
      <c r="T156" s="10">
        <f t="shared" si="30"/>
        <v>151.82819444444445</v>
      </c>
      <c r="V156" s="11">
        <v>761</v>
      </c>
      <c r="W156" s="4">
        <f t="shared" si="25"/>
        <v>152.19999999999999</v>
      </c>
      <c r="X156" s="4">
        <f t="shared" si="31"/>
        <v>68822.700000000026</v>
      </c>
      <c r="Y156" s="4">
        <f t="shared" si="33"/>
        <v>12439.400000000005</v>
      </c>
      <c r="AA156" s="4">
        <v>9.2675480855186407</v>
      </c>
    </row>
    <row r="157" spans="1:27" s="4" customFormat="1" x14ac:dyDescent="0.25">
      <c r="A157" s="72"/>
      <c r="B157" s="5"/>
      <c r="C157" s="6">
        <v>41673</v>
      </c>
      <c r="D157" s="13">
        <v>4</v>
      </c>
      <c r="E157" s="13">
        <v>0.5</v>
      </c>
      <c r="F157" s="4">
        <v>7.7</v>
      </c>
      <c r="G157" s="4">
        <f t="shared" si="27"/>
        <v>1388.0999999999997</v>
      </c>
      <c r="H157" s="4">
        <f t="shared" si="32"/>
        <v>331.2000000000001</v>
      </c>
      <c r="J157" s="4">
        <v>0.2</v>
      </c>
      <c r="K157" s="4">
        <f t="shared" si="28"/>
        <v>460.30000000000024</v>
      </c>
      <c r="L157" s="4">
        <v>1.1000000000000001</v>
      </c>
      <c r="M157" s="4">
        <f t="shared" si="29"/>
        <v>182.60000000000002</v>
      </c>
      <c r="N157" s="9">
        <f t="shared" si="26"/>
        <v>-0.90000000000000013</v>
      </c>
      <c r="O157" s="4">
        <v>151.1</v>
      </c>
      <c r="P157" s="4">
        <v>152</v>
      </c>
      <c r="Q157" s="12">
        <f t="shared" si="22"/>
        <v>1.0708333333333333</v>
      </c>
      <c r="R157" s="10">
        <f t="shared" si="23"/>
        <v>1.1779166666666667</v>
      </c>
      <c r="S157" s="10">
        <f t="shared" si="24"/>
        <v>-0.97791666666666677</v>
      </c>
      <c r="T157" s="10">
        <f t="shared" si="30"/>
        <v>150.85027777777779</v>
      </c>
      <c r="V157" s="11">
        <v>789.5</v>
      </c>
      <c r="W157" s="4">
        <f t="shared" si="25"/>
        <v>197.375</v>
      </c>
      <c r="X157" s="4">
        <f t="shared" si="31"/>
        <v>69612.200000000026</v>
      </c>
      <c r="Y157" s="4">
        <f t="shared" si="33"/>
        <v>13228.900000000005</v>
      </c>
      <c r="AA157" s="4">
        <v>9.32183769166266</v>
      </c>
    </row>
    <row r="158" spans="1:27" s="4" customFormat="1" x14ac:dyDescent="0.25">
      <c r="A158" s="72"/>
      <c r="B158" s="5"/>
      <c r="C158" s="6">
        <v>41674</v>
      </c>
      <c r="D158" s="4">
        <v>6.3</v>
      </c>
      <c r="E158" s="13">
        <v>3.4</v>
      </c>
      <c r="F158" s="4">
        <v>7.7</v>
      </c>
      <c r="G158" s="4">
        <f t="shared" si="27"/>
        <v>1394.3999999999996</v>
      </c>
      <c r="H158" s="4">
        <f t="shared" si="32"/>
        <v>337.50000000000011</v>
      </c>
      <c r="J158" s="4">
        <v>2</v>
      </c>
      <c r="K158" s="4">
        <f t="shared" si="28"/>
        <v>462.30000000000024</v>
      </c>
      <c r="L158" s="4">
        <v>1.2</v>
      </c>
      <c r="M158" s="4">
        <f t="shared" si="29"/>
        <v>183.8</v>
      </c>
      <c r="N158" s="4">
        <f t="shared" si="26"/>
        <v>0.8</v>
      </c>
      <c r="O158" s="4">
        <v>153.6</v>
      </c>
      <c r="P158" s="4">
        <v>153</v>
      </c>
      <c r="Q158" s="12">
        <f t="shared" si="22"/>
        <v>1.0722222222222222</v>
      </c>
      <c r="R158" s="10">
        <f t="shared" si="23"/>
        <v>1.2866666666666666</v>
      </c>
      <c r="S158" s="10">
        <f t="shared" si="24"/>
        <v>0.71333333333333337</v>
      </c>
      <c r="T158" s="10">
        <f t="shared" si="30"/>
        <v>151.56361111111113</v>
      </c>
      <c r="V158" s="11">
        <v>612.4</v>
      </c>
      <c r="W158" s="4">
        <f t="shared" si="25"/>
        <v>97.206349206349202</v>
      </c>
      <c r="X158" s="4">
        <f t="shared" si="31"/>
        <v>70224.60000000002</v>
      </c>
      <c r="Y158" s="4">
        <f t="shared" si="33"/>
        <v>13841.300000000005</v>
      </c>
      <c r="AA158" s="4">
        <v>9.3767390794424692</v>
      </c>
    </row>
    <row r="159" spans="1:27" s="4" customFormat="1" x14ac:dyDescent="0.25">
      <c r="A159" s="72"/>
      <c r="B159" s="5"/>
      <c r="C159" s="6">
        <v>41675</v>
      </c>
      <c r="D159" s="4">
        <v>7.4</v>
      </c>
      <c r="E159" s="4">
        <v>5.4</v>
      </c>
      <c r="F159" s="4">
        <v>8.8000000000000007</v>
      </c>
      <c r="G159" s="4">
        <f t="shared" si="27"/>
        <v>1401.7999999999997</v>
      </c>
      <c r="H159" s="4">
        <f t="shared" si="32"/>
        <v>344.90000000000009</v>
      </c>
      <c r="J159" s="4">
        <v>1.1000000000000001</v>
      </c>
      <c r="K159" s="4">
        <f t="shared" si="28"/>
        <v>463.40000000000026</v>
      </c>
      <c r="L159" s="4">
        <v>1.6</v>
      </c>
      <c r="M159" s="4">
        <f t="shared" si="29"/>
        <v>185.4</v>
      </c>
      <c r="N159" s="9">
        <f t="shared" si="26"/>
        <v>-0.5</v>
      </c>
      <c r="O159" s="4">
        <v>153.1</v>
      </c>
      <c r="P159" s="4">
        <v>154</v>
      </c>
      <c r="Q159" s="12">
        <f t="shared" si="22"/>
        <v>1.0736111111111111</v>
      </c>
      <c r="R159" s="10">
        <f t="shared" si="23"/>
        <v>1.7177777777777778</v>
      </c>
      <c r="S159" s="10">
        <f t="shared" si="24"/>
        <v>-0.61777777777777776</v>
      </c>
      <c r="T159" s="10">
        <f t="shared" si="30"/>
        <v>150.94583333333335</v>
      </c>
      <c r="V159" s="11">
        <v>373.9</v>
      </c>
      <c r="W159" s="4">
        <f t="shared" si="25"/>
        <v>50.527027027027025</v>
      </c>
      <c r="X159" s="4">
        <f t="shared" si="31"/>
        <v>70598.500000000015</v>
      </c>
      <c r="Y159" s="4">
        <f t="shared" si="33"/>
        <v>14215.200000000004</v>
      </c>
      <c r="AA159" s="4">
        <v>9.4322247523409892</v>
      </c>
    </row>
    <row r="160" spans="1:27" s="4" customFormat="1" x14ac:dyDescent="0.25">
      <c r="A160" s="72"/>
      <c r="B160" s="5"/>
      <c r="C160" s="6">
        <v>41676</v>
      </c>
      <c r="D160" s="4">
        <v>7.4</v>
      </c>
      <c r="E160" s="4">
        <v>5.7</v>
      </c>
      <c r="F160" s="4">
        <v>10.4</v>
      </c>
      <c r="G160" s="4">
        <f t="shared" si="27"/>
        <v>1409.1999999999998</v>
      </c>
      <c r="H160" s="4">
        <f t="shared" si="32"/>
        <v>352.30000000000007</v>
      </c>
      <c r="J160" s="4">
        <v>11.9</v>
      </c>
      <c r="K160" s="4">
        <f t="shared" si="28"/>
        <v>475.30000000000024</v>
      </c>
      <c r="L160" s="4">
        <v>1.5</v>
      </c>
      <c r="M160" s="4">
        <f t="shared" si="29"/>
        <v>186.9</v>
      </c>
      <c r="N160" s="4">
        <f t="shared" si="26"/>
        <v>10.4</v>
      </c>
      <c r="O160" s="4">
        <v>153.6</v>
      </c>
      <c r="P160" s="4">
        <v>155</v>
      </c>
      <c r="Q160" s="12">
        <f t="shared" si="22"/>
        <v>1.075</v>
      </c>
      <c r="R160" s="10">
        <f t="shared" si="23"/>
        <v>1.6124999999999998</v>
      </c>
      <c r="S160" s="10">
        <f t="shared" si="24"/>
        <v>10.287500000000001</v>
      </c>
      <c r="T160" s="10">
        <f t="shared" si="30"/>
        <v>153.6</v>
      </c>
      <c r="V160" s="11">
        <v>182.2</v>
      </c>
      <c r="W160" s="4">
        <f t="shared" si="25"/>
        <v>24.621621621621617</v>
      </c>
      <c r="X160" s="4">
        <f t="shared" si="31"/>
        <v>70780.700000000012</v>
      </c>
      <c r="Y160" s="4">
        <f t="shared" si="33"/>
        <v>14397.400000000005</v>
      </c>
      <c r="AA160" s="4">
        <v>9.4882679784247994</v>
      </c>
    </row>
    <row r="161" spans="1:27" s="4" customFormat="1" x14ac:dyDescent="0.25">
      <c r="A161" s="72"/>
      <c r="B161" s="5"/>
      <c r="C161" s="6">
        <v>41677</v>
      </c>
      <c r="D161" s="4">
        <v>7.7</v>
      </c>
      <c r="E161" s="4">
        <v>5.9</v>
      </c>
      <c r="F161" s="4">
        <v>9.8000000000000007</v>
      </c>
      <c r="G161" s="4">
        <f t="shared" si="27"/>
        <v>1416.8999999999999</v>
      </c>
      <c r="H161" s="4">
        <f t="shared" si="32"/>
        <v>360.00000000000006</v>
      </c>
      <c r="J161" s="4">
        <v>7.6</v>
      </c>
      <c r="K161" s="4">
        <f t="shared" si="28"/>
        <v>482.90000000000026</v>
      </c>
      <c r="L161" s="4">
        <v>1.2</v>
      </c>
      <c r="M161" s="4">
        <f t="shared" si="29"/>
        <v>188.1</v>
      </c>
      <c r="N161" s="4">
        <f t="shared" si="26"/>
        <v>6.3999999999999995</v>
      </c>
      <c r="O161" s="4">
        <v>153.6</v>
      </c>
      <c r="P161" s="4">
        <v>156</v>
      </c>
      <c r="Q161" s="12">
        <f t="shared" si="22"/>
        <v>1.0763888888888888</v>
      </c>
      <c r="R161" s="10">
        <f t="shared" si="23"/>
        <v>1.2916666666666665</v>
      </c>
      <c r="S161" s="10">
        <f t="shared" si="24"/>
        <v>6.3083333333333336</v>
      </c>
      <c r="T161" s="10">
        <f t="shared" si="30"/>
        <v>153.6</v>
      </c>
      <c r="V161" s="11">
        <v>98.5</v>
      </c>
      <c r="W161" s="4">
        <f t="shared" si="25"/>
        <v>12.792207792207792</v>
      </c>
      <c r="X161" s="4">
        <f t="shared" si="31"/>
        <v>70879.200000000012</v>
      </c>
      <c r="Y161" s="4">
        <f t="shared" si="33"/>
        <v>14495.900000000005</v>
      </c>
      <c r="AA161" s="4">
        <v>9.5448427988882596</v>
      </c>
    </row>
    <row r="162" spans="1:27" s="4" customFormat="1" x14ac:dyDescent="0.25">
      <c r="A162" s="72"/>
      <c r="B162" s="5"/>
      <c r="C162" s="6">
        <v>41678</v>
      </c>
      <c r="D162" s="4">
        <v>7.6</v>
      </c>
      <c r="E162" s="4">
        <v>6</v>
      </c>
      <c r="F162" s="4">
        <v>9</v>
      </c>
      <c r="G162" s="4">
        <f t="shared" si="27"/>
        <v>1424.4999999999998</v>
      </c>
      <c r="H162" s="4">
        <f t="shared" si="32"/>
        <v>367.60000000000008</v>
      </c>
      <c r="J162" s="4">
        <v>1.6</v>
      </c>
      <c r="K162" s="4">
        <f t="shared" si="28"/>
        <v>484.50000000000028</v>
      </c>
      <c r="L162" s="4">
        <v>1.3</v>
      </c>
      <c r="M162" s="4">
        <f t="shared" si="29"/>
        <v>189.4</v>
      </c>
      <c r="N162" s="4">
        <f t="shared" si="26"/>
        <v>0.30000000000000004</v>
      </c>
      <c r="O162" s="4">
        <v>153.6</v>
      </c>
      <c r="P162" s="4">
        <v>157</v>
      </c>
      <c r="Q162" s="12">
        <f t="shared" si="22"/>
        <v>1.0777777777777777</v>
      </c>
      <c r="R162" s="10">
        <f t="shared" si="23"/>
        <v>1.4011111111111112</v>
      </c>
      <c r="S162" s="10">
        <f t="shared" si="24"/>
        <v>0.19888888888888889</v>
      </c>
      <c r="T162" s="10">
        <f t="shared" si="30"/>
        <v>153.6</v>
      </c>
      <c r="V162" s="11">
        <v>274.60000000000002</v>
      </c>
      <c r="W162" s="4">
        <f t="shared" si="25"/>
        <v>36.131578947368425</v>
      </c>
      <c r="X162" s="4">
        <f t="shared" si="31"/>
        <v>71153.800000000017</v>
      </c>
      <c r="Y162" s="4">
        <f t="shared" si="33"/>
        <v>14770.500000000005</v>
      </c>
      <c r="AA162" s="4">
        <v>9.6019240334778306</v>
      </c>
    </row>
    <row r="163" spans="1:27" s="4" customFormat="1" x14ac:dyDescent="0.25">
      <c r="A163" s="72"/>
      <c r="B163" s="5"/>
      <c r="C163" s="6">
        <v>41679</v>
      </c>
      <c r="D163" s="4">
        <v>5.8</v>
      </c>
      <c r="E163" s="13">
        <v>4.5999999999999996</v>
      </c>
      <c r="F163" s="4">
        <v>8</v>
      </c>
      <c r="G163" s="4">
        <f t="shared" si="27"/>
        <v>1430.2999999999997</v>
      </c>
      <c r="H163" s="4">
        <f t="shared" si="32"/>
        <v>373.40000000000009</v>
      </c>
      <c r="J163" s="4">
        <v>1.2</v>
      </c>
      <c r="K163" s="4">
        <f t="shared" si="28"/>
        <v>485.70000000000027</v>
      </c>
      <c r="L163" s="4">
        <v>1.9</v>
      </c>
      <c r="M163" s="4">
        <f t="shared" si="29"/>
        <v>191.3</v>
      </c>
      <c r="N163" s="9">
        <f t="shared" si="26"/>
        <v>-0.7</v>
      </c>
      <c r="O163" s="4">
        <v>152.9</v>
      </c>
      <c r="P163" s="4">
        <v>158</v>
      </c>
      <c r="Q163" s="12">
        <f t="shared" si="22"/>
        <v>1.0791666666666666</v>
      </c>
      <c r="R163" s="10">
        <f t="shared" si="23"/>
        <v>2.0504166666666666</v>
      </c>
      <c r="S163" s="10">
        <f t="shared" si="24"/>
        <v>-0.8504166666666666</v>
      </c>
      <c r="T163" s="10">
        <f t="shared" si="30"/>
        <v>152.74958333333333</v>
      </c>
      <c r="V163" s="11">
        <v>435.5</v>
      </c>
      <c r="W163" s="4">
        <f t="shared" si="25"/>
        <v>75.08620689655173</v>
      </c>
      <c r="X163" s="4">
        <f t="shared" si="31"/>
        <v>71589.300000000017</v>
      </c>
      <c r="Y163" s="4">
        <f t="shared" si="33"/>
        <v>15206.000000000005</v>
      </c>
      <c r="AA163" s="4">
        <v>9.6594872830069605</v>
      </c>
    </row>
    <row r="164" spans="1:27" s="4" customFormat="1" x14ac:dyDescent="0.25">
      <c r="A164" s="72"/>
      <c r="B164" s="5"/>
      <c r="C164" s="6">
        <v>41680</v>
      </c>
      <c r="D164" s="4">
        <v>5.4</v>
      </c>
      <c r="E164" s="13">
        <v>3.8</v>
      </c>
      <c r="F164" s="4">
        <v>6.4</v>
      </c>
      <c r="G164" s="4">
        <f t="shared" si="27"/>
        <v>1435.6999999999998</v>
      </c>
      <c r="H164" s="4">
        <f t="shared" si="32"/>
        <v>378.80000000000007</v>
      </c>
      <c r="J164" s="4">
        <v>0</v>
      </c>
      <c r="K164" s="4">
        <f t="shared" si="28"/>
        <v>485.70000000000027</v>
      </c>
      <c r="L164" s="4">
        <v>0.8</v>
      </c>
      <c r="M164" s="4">
        <f t="shared" si="29"/>
        <v>192.10000000000002</v>
      </c>
      <c r="N164" s="9">
        <f t="shared" si="26"/>
        <v>-0.8</v>
      </c>
      <c r="O164" s="4">
        <v>152.1</v>
      </c>
      <c r="P164" s="4">
        <v>159</v>
      </c>
      <c r="Q164" s="12">
        <f t="shared" si="22"/>
        <v>1.0805555555555555</v>
      </c>
      <c r="R164" s="10">
        <f t="shared" si="23"/>
        <v>0.86444444444444446</v>
      </c>
      <c r="S164" s="10">
        <f t="shared" si="24"/>
        <v>-0.86444444444444446</v>
      </c>
      <c r="T164" s="10">
        <f t="shared" si="30"/>
        <v>151.88513888888889</v>
      </c>
      <c r="V164" s="11">
        <v>119.9</v>
      </c>
      <c r="W164" s="4">
        <f t="shared" si="25"/>
        <v>22.203703703703702</v>
      </c>
      <c r="X164" s="4">
        <f t="shared" si="31"/>
        <v>71709.200000000012</v>
      </c>
      <c r="Y164" s="4">
        <f t="shared" si="33"/>
        <v>15325.900000000005</v>
      </c>
      <c r="AA164" s="4">
        <v>9.7175089291691101</v>
      </c>
    </row>
    <row r="165" spans="1:27" s="4" customFormat="1" x14ac:dyDescent="0.25">
      <c r="A165" s="72"/>
      <c r="B165" s="5"/>
      <c r="C165" s="6">
        <v>41681</v>
      </c>
      <c r="D165" s="4">
        <v>5.4</v>
      </c>
      <c r="E165" s="13">
        <v>3.3</v>
      </c>
      <c r="F165" s="4">
        <v>7.3</v>
      </c>
      <c r="G165" s="4">
        <f t="shared" si="27"/>
        <v>1441.1</v>
      </c>
      <c r="H165" s="4">
        <f t="shared" si="32"/>
        <v>384.20000000000005</v>
      </c>
      <c r="J165" s="4">
        <v>4</v>
      </c>
      <c r="K165" s="4">
        <f t="shared" si="28"/>
        <v>489.70000000000027</v>
      </c>
      <c r="L165" s="4">
        <v>1</v>
      </c>
      <c r="M165" s="4">
        <f t="shared" si="29"/>
        <v>193.10000000000002</v>
      </c>
      <c r="N165" s="4">
        <f t="shared" si="26"/>
        <v>3</v>
      </c>
      <c r="O165" s="4">
        <v>153.6</v>
      </c>
      <c r="P165" s="4">
        <v>160</v>
      </c>
      <c r="Q165" s="12">
        <f t="shared" si="22"/>
        <v>1.0819444444444444</v>
      </c>
      <c r="R165" s="10">
        <f t="shared" si="23"/>
        <v>1.0819444444444444</v>
      </c>
      <c r="S165" s="10">
        <f t="shared" si="24"/>
        <v>2.9180555555555556</v>
      </c>
      <c r="T165" s="10">
        <f t="shared" si="30"/>
        <v>153.6</v>
      </c>
      <c r="V165" s="11">
        <v>202.3</v>
      </c>
      <c r="W165" s="4">
        <f t="shared" si="25"/>
        <v>37.462962962962962</v>
      </c>
      <c r="X165" s="4">
        <f t="shared" si="31"/>
        <v>71911.500000000015</v>
      </c>
      <c r="Y165" s="4">
        <f t="shared" si="33"/>
        <v>15528.200000000004</v>
      </c>
      <c r="AA165" s="4">
        <v>9.7759661318519395</v>
      </c>
    </row>
    <row r="166" spans="1:27" s="4" customFormat="1" x14ac:dyDescent="0.25">
      <c r="A166" s="72"/>
      <c r="B166" s="5"/>
      <c r="C166" s="6">
        <v>41682</v>
      </c>
      <c r="D166" s="4">
        <v>5.7</v>
      </c>
      <c r="E166" s="13">
        <v>2.4</v>
      </c>
      <c r="F166" s="4">
        <v>9</v>
      </c>
      <c r="G166" s="4">
        <f t="shared" si="27"/>
        <v>1446.8</v>
      </c>
      <c r="H166" s="4">
        <f t="shared" si="32"/>
        <v>389.90000000000003</v>
      </c>
      <c r="J166" s="4">
        <v>5.5</v>
      </c>
      <c r="K166" s="4">
        <f t="shared" si="28"/>
        <v>495.20000000000027</v>
      </c>
      <c r="L166" s="4">
        <v>1.3</v>
      </c>
      <c r="M166" s="4">
        <f t="shared" si="29"/>
        <v>194.40000000000003</v>
      </c>
      <c r="N166" s="4">
        <f t="shared" si="26"/>
        <v>4.2</v>
      </c>
      <c r="O166" s="4">
        <v>153.6</v>
      </c>
      <c r="P166" s="4">
        <v>161</v>
      </c>
      <c r="Q166" s="12">
        <f t="shared" si="22"/>
        <v>1.0833333333333333</v>
      </c>
      <c r="R166" s="10">
        <f t="shared" si="23"/>
        <v>1.4083333333333332</v>
      </c>
      <c r="S166" s="10">
        <f t="shared" si="24"/>
        <v>4.0916666666666668</v>
      </c>
      <c r="T166" s="10">
        <f t="shared" si="30"/>
        <v>153.6</v>
      </c>
      <c r="V166" s="11">
        <v>469.4</v>
      </c>
      <c r="W166" s="4">
        <f t="shared" si="25"/>
        <v>82.350877192982452</v>
      </c>
      <c r="X166" s="4">
        <f t="shared" si="31"/>
        <v>72380.900000000009</v>
      </c>
      <c r="Y166" s="4">
        <f t="shared" si="33"/>
        <v>15997.600000000004</v>
      </c>
      <c r="AA166" s="4">
        <v>9.8348368241504005</v>
      </c>
    </row>
    <row r="167" spans="1:27" s="4" customFormat="1" x14ac:dyDescent="0.25">
      <c r="A167" s="72"/>
      <c r="B167" s="5"/>
      <c r="C167" s="6">
        <v>41683</v>
      </c>
      <c r="D167" s="13">
        <v>4.9000000000000004</v>
      </c>
      <c r="E167" s="13">
        <v>4.5999999999999996</v>
      </c>
      <c r="F167" s="4">
        <v>5.4</v>
      </c>
      <c r="G167" s="4">
        <f t="shared" si="27"/>
        <v>1451.7</v>
      </c>
      <c r="H167" s="4">
        <f t="shared" si="32"/>
        <v>394.8</v>
      </c>
      <c r="J167" s="4">
        <v>3</v>
      </c>
      <c r="K167" s="4">
        <f t="shared" si="28"/>
        <v>498.20000000000027</v>
      </c>
      <c r="L167" s="4">
        <v>0.8</v>
      </c>
      <c r="M167" s="4">
        <f t="shared" si="29"/>
        <v>195.20000000000005</v>
      </c>
      <c r="N167" s="4">
        <f t="shared" si="26"/>
        <v>2.2000000000000002</v>
      </c>
      <c r="O167" s="4">
        <v>153.6</v>
      </c>
      <c r="P167" s="4">
        <v>162</v>
      </c>
      <c r="Q167" s="12">
        <f t="shared" si="22"/>
        <v>1.0847222222222221</v>
      </c>
      <c r="R167" s="10">
        <f t="shared" si="23"/>
        <v>0.86777777777777776</v>
      </c>
      <c r="S167" s="10">
        <f t="shared" si="24"/>
        <v>2.1322222222222225</v>
      </c>
      <c r="T167" s="10">
        <f t="shared" si="30"/>
        <v>153.6</v>
      </c>
      <c r="V167" s="11">
        <v>156</v>
      </c>
      <c r="W167" s="4">
        <f t="shared" si="25"/>
        <v>31.836734693877549</v>
      </c>
      <c r="X167" s="4">
        <f t="shared" si="31"/>
        <v>72536.900000000009</v>
      </c>
      <c r="Y167" s="4">
        <f t="shared" si="33"/>
        <v>16153.600000000004</v>
      </c>
      <c r="AA167" s="4">
        <v>9.8940997052701096</v>
      </c>
    </row>
    <row r="168" spans="1:27" s="4" customFormat="1" x14ac:dyDescent="0.25">
      <c r="A168" s="72"/>
      <c r="B168" s="5"/>
      <c r="C168" s="6">
        <v>41684</v>
      </c>
      <c r="D168" s="4">
        <v>5.9</v>
      </c>
      <c r="E168" s="13">
        <v>2.2999999999999998</v>
      </c>
      <c r="F168" s="4">
        <v>12</v>
      </c>
      <c r="G168" s="4">
        <f t="shared" si="27"/>
        <v>1457.6000000000001</v>
      </c>
      <c r="H168" s="4">
        <f t="shared" si="32"/>
        <v>400.7</v>
      </c>
      <c r="J168" s="4">
        <v>5.7</v>
      </c>
      <c r="K168" s="4">
        <f t="shared" si="28"/>
        <v>503.90000000000026</v>
      </c>
      <c r="L168" s="4">
        <v>1.5</v>
      </c>
      <c r="M168" s="4">
        <f t="shared" si="29"/>
        <v>196.70000000000005</v>
      </c>
      <c r="N168" s="4">
        <f t="shared" si="26"/>
        <v>4.2</v>
      </c>
      <c r="O168" s="4">
        <v>153.6</v>
      </c>
      <c r="P168" s="4">
        <v>163</v>
      </c>
      <c r="Q168" s="12">
        <f t="shared" si="22"/>
        <v>1.086111111111111</v>
      </c>
      <c r="R168" s="10">
        <f t="shared" si="23"/>
        <v>1.6291666666666664</v>
      </c>
      <c r="S168" s="10">
        <f t="shared" si="24"/>
        <v>4.0708333333333337</v>
      </c>
      <c r="T168" s="10">
        <f t="shared" si="30"/>
        <v>153.6</v>
      </c>
      <c r="V168" s="11">
        <v>153.9</v>
      </c>
      <c r="W168" s="4">
        <f t="shared" si="25"/>
        <v>26.084745762711865</v>
      </c>
      <c r="X168" s="4">
        <f t="shared" si="31"/>
        <v>72690.8</v>
      </c>
      <c r="Y168" s="4">
        <f t="shared" si="33"/>
        <v>16307.500000000004</v>
      </c>
      <c r="AA168" s="4">
        <v>9.9537342315050203</v>
      </c>
    </row>
    <row r="169" spans="1:27" s="4" customFormat="1" x14ac:dyDescent="0.25">
      <c r="A169" s="72"/>
      <c r="B169" s="5"/>
      <c r="C169" s="6">
        <v>41685</v>
      </c>
      <c r="D169" s="4">
        <v>9.1999999999999993</v>
      </c>
      <c r="E169" s="4">
        <v>7.3</v>
      </c>
      <c r="F169" s="4">
        <v>11.1</v>
      </c>
      <c r="G169" s="4">
        <f t="shared" si="27"/>
        <v>1466.8000000000002</v>
      </c>
      <c r="H169" s="4">
        <f t="shared" si="32"/>
        <v>409.9</v>
      </c>
      <c r="J169" s="4">
        <v>0.5</v>
      </c>
      <c r="K169" s="4">
        <f t="shared" si="28"/>
        <v>504.40000000000026</v>
      </c>
      <c r="L169" s="4">
        <v>2.5</v>
      </c>
      <c r="M169" s="4">
        <f t="shared" si="29"/>
        <v>199.20000000000005</v>
      </c>
      <c r="N169" s="9">
        <f t="shared" si="26"/>
        <v>-2</v>
      </c>
      <c r="O169" s="4">
        <v>151.6</v>
      </c>
      <c r="P169" s="4">
        <v>164</v>
      </c>
      <c r="Q169" s="12">
        <f t="shared" si="22"/>
        <v>1.0874999999999999</v>
      </c>
      <c r="R169" s="10">
        <f t="shared" si="23"/>
        <v>2.71875</v>
      </c>
      <c r="S169" s="10">
        <f t="shared" si="24"/>
        <v>-2.21875</v>
      </c>
      <c r="T169" s="10">
        <f t="shared" si="30"/>
        <v>151.38124999999999</v>
      </c>
      <c r="V169" s="11">
        <v>696.5</v>
      </c>
      <c r="W169" s="4">
        <f t="shared" si="25"/>
        <v>75.706521739130437</v>
      </c>
      <c r="X169" s="4">
        <f t="shared" si="31"/>
        <v>73387.3</v>
      </c>
      <c r="Y169" s="4">
        <f t="shared" si="33"/>
        <v>17004.000000000004</v>
      </c>
      <c r="AA169" s="4">
        <v>10.013720605465799</v>
      </c>
    </row>
    <row r="170" spans="1:27" s="4" customFormat="1" x14ac:dyDescent="0.25">
      <c r="A170" s="72"/>
      <c r="B170" s="5"/>
      <c r="C170" s="6">
        <v>41686</v>
      </c>
      <c r="D170" s="4">
        <v>6</v>
      </c>
      <c r="E170" s="4">
        <v>5.2</v>
      </c>
      <c r="F170" s="4">
        <v>7.9</v>
      </c>
      <c r="G170" s="4">
        <f t="shared" si="27"/>
        <v>1472.8000000000002</v>
      </c>
      <c r="H170" s="4">
        <f t="shared" si="32"/>
        <v>415.9</v>
      </c>
      <c r="J170" s="4">
        <v>0.3</v>
      </c>
      <c r="K170" s="4">
        <f t="shared" si="28"/>
        <v>504.70000000000027</v>
      </c>
      <c r="L170" s="4">
        <v>1.5</v>
      </c>
      <c r="M170" s="4">
        <f t="shared" si="29"/>
        <v>200.70000000000005</v>
      </c>
      <c r="N170" s="9">
        <f t="shared" si="26"/>
        <v>-1.2</v>
      </c>
      <c r="O170" s="4">
        <v>150.4</v>
      </c>
      <c r="P170" s="4">
        <v>165</v>
      </c>
      <c r="Q170" s="12">
        <f t="shared" si="22"/>
        <v>1.0888888888888888</v>
      </c>
      <c r="R170" s="10">
        <f t="shared" si="23"/>
        <v>1.6333333333333333</v>
      </c>
      <c r="S170" s="10">
        <f t="shared" si="24"/>
        <v>-1.3333333333333333</v>
      </c>
      <c r="T170" s="10">
        <f t="shared" si="30"/>
        <v>150.04791666666665</v>
      </c>
      <c r="V170" s="11">
        <v>625.5</v>
      </c>
      <c r="W170" s="4">
        <f t="shared" si="25"/>
        <v>104.25</v>
      </c>
      <c r="X170" s="4">
        <f t="shared" si="31"/>
        <v>74012.800000000003</v>
      </c>
      <c r="Y170" s="4">
        <f t="shared" si="33"/>
        <v>17629.500000000004</v>
      </c>
      <c r="AA170" s="4">
        <v>10.074039763726899</v>
      </c>
    </row>
    <row r="171" spans="1:27" s="4" customFormat="1" x14ac:dyDescent="0.25">
      <c r="A171" s="72"/>
      <c r="B171" s="5"/>
      <c r="C171" s="6">
        <v>41687</v>
      </c>
      <c r="D171" s="4">
        <v>6.2</v>
      </c>
      <c r="E171" s="13">
        <v>4.5</v>
      </c>
      <c r="F171" s="4">
        <v>7.9</v>
      </c>
      <c r="G171" s="4">
        <f t="shared" si="27"/>
        <v>1479.0000000000002</v>
      </c>
      <c r="H171" s="4">
        <f t="shared" si="32"/>
        <v>422.09999999999997</v>
      </c>
      <c r="J171" s="4">
        <v>0</v>
      </c>
      <c r="K171" s="4">
        <f t="shared" si="28"/>
        <v>504.70000000000027</v>
      </c>
      <c r="L171" s="4">
        <v>0.8</v>
      </c>
      <c r="M171" s="4">
        <f t="shared" si="29"/>
        <v>201.50000000000006</v>
      </c>
      <c r="N171" s="9">
        <f t="shared" si="26"/>
        <v>-0.8</v>
      </c>
      <c r="O171" s="4">
        <v>149.6</v>
      </c>
      <c r="P171" s="4">
        <v>166</v>
      </c>
      <c r="Q171" s="12">
        <f t="shared" si="22"/>
        <v>1.0902777777777777</v>
      </c>
      <c r="R171" s="10">
        <f t="shared" si="23"/>
        <v>0.87222222222222223</v>
      </c>
      <c r="S171" s="10">
        <f t="shared" si="24"/>
        <v>-0.87222222222222223</v>
      </c>
      <c r="T171" s="10">
        <f t="shared" si="30"/>
        <v>149.17569444444442</v>
      </c>
      <c r="V171" s="11">
        <v>277</v>
      </c>
      <c r="W171" s="4">
        <f t="shared" si="25"/>
        <v>44.677419354838712</v>
      </c>
      <c r="X171" s="4">
        <f t="shared" si="31"/>
        <v>74289.8</v>
      </c>
      <c r="Y171" s="4">
        <f t="shared" si="33"/>
        <v>17906.500000000004</v>
      </c>
      <c r="AA171" s="4">
        <v>10.134673363052</v>
      </c>
    </row>
    <row r="172" spans="1:27" s="4" customFormat="1" x14ac:dyDescent="0.25">
      <c r="A172" s="72"/>
      <c r="B172" s="5"/>
      <c r="C172" s="6">
        <v>41688</v>
      </c>
      <c r="D172" s="4">
        <v>6.2</v>
      </c>
      <c r="E172" s="13">
        <v>5</v>
      </c>
      <c r="F172" s="4">
        <v>7</v>
      </c>
      <c r="G172" s="4">
        <f t="shared" si="27"/>
        <v>1485.2000000000003</v>
      </c>
      <c r="H172" s="4">
        <f t="shared" si="32"/>
        <v>428.29999999999995</v>
      </c>
      <c r="J172" s="4">
        <v>0.9</v>
      </c>
      <c r="K172" s="4">
        <f t="shared" si="28"/>
        <v>505.60000000000025</v>
      </c>
      <c r="L172" s="4">
        <v>0.7</v>
      </c>
      <c r="M172" s="4">
        <f t="shared" si="29"/>
        <v>202.20000000000005</v>
      </c>
      <c r="N172" s="4">
        <f t="shared" si="26"/>
        <v>0.20000000000000007</v>
      </c>
      <c r="O172" s="4">
        <v>149.79999999999998</v>
      </c>
      <c r="P172" s="4">
        <v>167</v>
      </c>
      <c r="Q172" s="12">
        <f t="shared" ref="Q172:Q214" si="34">1+((P172-101)/108)*(1.15-1)</f>
        <v>1.0916666666666666</v>
      </c>
      <c r="R172" s="10">
        <f t="shared" si="23"/>
        <v>0.76416666666666655</v>
      </c>
      <c r="S172" s="10">
        <f t="shared" si="24"/>
        <v>0.13583333333333347</v>
      </c>
      <c r="T172" s="10">
        <f t="shared" si="30"/>
        <v>149.31152777777774</v>
      </c>
      <c r="V172" s="11">
        <v>378.5</v>
      </c>
      <c r="W172" s="4">
        <f t="shared" si="25"/>
        <v>61.048387096774192</v>
      </c>
      <c r="X172" s="4">
        <f t="shared" si="31"/>
        <v>74668.3</v>
      </c>
      <c r="Y172" s="4">
        <f t="shared" si="33"/>
        <v>18285.000000000004</v>
      </c>
      <c r="AA172" s="4">
        <v>10.195603765348601</v>
      </c>
    </row>
    <row r="173" spans="1:27" s="4" customFormat="1" x14ac:dyDescent="0.25">
      <c r="A173" s="72"/>
      <c r="B173" s="5"/>
      <c r="C173" s="6">
        <v>41689</v>
      </c>
      <c r="D173" s="4">
        <v>7.4</v>
      </c>
      <c r="E173" s="13">
        <v>4</v>
      </c>
      <c r="F173" s="4">
        <v>10.5</v>
      </c>
      <c r="G173" s="4">
        <f t="shared" si="27"/>
        <v>1492.6000000000004</v>
      </c>
      <c r="H173" s="4">
        <f t="shared" si="32"/>
        <v>435.69999999999993</v>
      </c>
      <c r="J173" s="4">
        <v>0.4</v>
      </c>
      <c r="K173" s="4">
        <f t="shared" si="28"/>
        <v>506.00000000000023</v>
      </c>
      <c r="L173" s="4">
        <v>1</v>
      </c>
      <c r="M173" s="4">
        <f t="shared" si="29"/>
        <v>203.20000000000005</v>
      </c>
      <c r="N173" s="9">
        <f t="shared" si="26"/>
        <v>-0.6</v>
      </c>
      <c r="O173" s="4">
        <v>149.19999999999999</v>
      </c>
      <c r="P173" s="4">
        <v>168</v>
      </c>
      <c r="Q173" s="12">
        <f t="shared" si="34"/>
        <v>1.0930555555555554</v>
      </c>
      <c r="R173" s="10">
        <f t="shared" si="23"/>
        <v>1.0930555555555554</v>
      </c>
      <c r="S173" s="10">
        <f t="shared" si="24"/>
        <v>-0.69305555555555542</v>
      </c>
      <c r="T173" s="10">
        <f t="shared" si="30"/>
        <v>148.61847222222218</v>
      </c>
      <c r="V173" s="11">
        <v>393.6</v>
      </c>
      <c r="W173" s="4">
        <f t="shared" si="25"/>
        <v>53.189189189189193</v>
      </c>
      <c r="X173" s="4">
        <f t="shared" si="31"/>
        <v>75061.900000000009</v>
      </c>
      <c r="Y173" s="4">
        <f t="shared" si="33"/>
        <v>18678.600000000002</v>
      </c>
      <c r="AA173" s="4">
        <v>10.2568140214922</v>
      </c>
    </row>
    <row r="174" spans="1:27" s="4" customFormat="1" x14ac:dyDescent="0.25">
      <c r="A174" s="72"/>
      <c r="B174" s="5"/>
      <c r="C174" s="6">
        <v>41690</v>
      </c>
      <c r="D174" s="4">
        <v>9.3000000000000007</v>
      </c>
      <c r="E174" s="4">
        <v>7.7</v>
      </c>
      <c r="F174" s="4">
        <v>11.1</v>
      </c>
      <c r="G174" s="4">
        <f t="shared" si="27"/>
        <v>1501.9000000000003</v>
      </c>
      <c r="H174" s="4">
        <f t="shared" si="32"/>
        <v>444.99999999999994</v>
      </c>
      <c r="J174" s="4">
        <v>6.3</v>
      </c>
      <c r="K174" s="4">
        <f t="shared" si="28"/>
        <v>512.30000000000018</v>
      </c>
      <c r="L174" s="4">
        <v>0.6</v>
      </c>
      <c r="M174" s="4">
        <f t="shared" si="29"/>
        <v>203.80000000000004</v>
      </c>
      <c r="N174" s="4">
        <f t="shared" si="26"/>
        <v>5.7</v>
      </c>
      <c r="O174" s="4">
        <v>153.6</v>
      </c>
      <c r="P174" s="4">
        <v>169</v>
      </c>
      <c r="Q174" s="12">
        <f t="shared" si="34"/>
        <v>1.0944444444444443</v>
      </c>
      <c r="R174" s="10">
        <f t="shared" si="23"/>
        <v>0.65666666666666662</v>
      </c>
      <c r="S174" s="10">
        <f t="shared" si="24"/>
        <v>5.6433333333333335</v>
      </c>
      <c r="T174" s="10">
        <f t="shared" si="30"/>
        <v>153.6</v>
      </c>
      <c r="V174" s="11">
        <v>176.1</v>
      </c>
      <c r="W174" s="4">
        <f t="shared" si="25"/>
        <v>18.93548387096774</v>
      </c>
      <c r="X174" s="4">
        <f t="shared" si="31"/>
        <v>75238.000000000015</v>
      </c>
      <c r="Y174" s="4">
        <f t="shared" si="33"/>
        <v>18854.7</v>
      </c>
      <c r="AA174" s="4">
        <v>10.318287854155701</v>
      </c>
    </row>
    <row r="175" spans="1:27" s="4" customFormat="1" x14ac:dyDescent="0.25">
      <c r="A175" s="72"/>
      <c r="B175" s="5"/>
      <c r="C175" s="6">
        <v>41691</v>
      </c>
      <c r="D175" s="4">
        <v>6.1</v>
      </c>
      <c r="E175" s="4">
        <v>5.6</v>
      </c>
      <c r="F175" s="4">
        <v>6.7</v>
      </c>
      <c r="G175" s="4">
        <f t="shared" si="27"/>
        <v>1508.0000000000002</v>
      </c>
      <c r="H175" s="4">
        <f t="shared" si="32"/>
        <v>451.09999999999997</v>
      </c>
      <c r="J175" s="4">
        <v>1.8</v>
      </c>
      <c r="K175" s="4">
        <f t="shared" si="28"/>
        <v>514.10000000000014</v>
      </c>
      <c r="L175" s="4">
        <v>1.2</v>
      </c>
      <c r="M175" s="4">
        <f t="shared" si="29"/>
        <v>205.00000000000003</v>
      </c>
      <c r="N175" s="4">
        <f t="shared" si="26"/>
        <v>0.60000000000000009</v>
      </c>
      <c r="O175" s="4">
        <v>153.6</v>
      </c>
      <c r="P175" s="4">
        <v>170</v>
      </c>
      <c r="Q175" s="12">
        <f t="shared" si="34"/>
        <v>1.0958333333333332</v>
      </c>
      <c r="R175" s="10">
        <f t="shared" si="23"/>
        <v>1.3149999999999997</v>
      </c>
      <c r="S175" s="10">
        <f t="shared" si="24"/>
        <v>0.48500000000000032</v>
      </c>
      <c r="T175" s="10">
        <f t="shared" si="30"/>
        <v>153.6</v>
      </c>
      <c r="V175" s="11">
        <v>625.70000000000005</v>
      </c>
      <c r="W175" s="4">
        <f t="shared" si="25"/>
        <v>102.57377049180329</v>
      </c>
      <c r="X175" s="4">
        <f t="shared" si="31"/>
        <v>75863.700000000012</v>
      </c>
      <c r="Y175" s="4">
        <f t="shared" si="33"/>
        <v>19480.400000000001</v>
      </c>
      <c r="AA175" s="4">
        <v>10.3800096397642</v>
      </c>
    </row>
    <row r="176" spans="1:27" s="4" customFormat="1" x14ac:dyDescent="0.25">
      <c r="A176" s="72"/>
      <c r="B176" s="5"/>
      <c r="C176" s="6">
        <v>41692</v>
      </c>
      <c r="D176" s="4">
        <v>6.6</v>
      </c>
      <c r="E176" s="4">
        <v>4.5</v>
      </c>
      <c r="F176" s="4">
        <v>9.5</v>
      </c>
      <c r="G176" s="4">
        <f t="shared" si="27"/>
        <v>1514.6000000000001</v>
      </c>
      <c r="H176" s="4">
        <f t="shared" si="32"/>
        <v>457.7</v>
      </c>
      <c r="J176" s="4">
        <v>0</v>
      </c>
      <c r="K176" s="4">
        <f t="shared" si="28"/>
        <v>514.10000000000014</v>
      </c>
      <c r="L176" s="4">
        <v>1.6</v>
      </c>
      <c r="M176" s="4">
        <f t="shared" si="29"/>
        <v>206.60000000000002</v>
      </c>
      <c r="N176" s="9">
        <f t="shared" si="26"/>
        <v>-1.6</v>
      </c>
      <c r="O176" s="4">
        <v>152</v>
      </c>
      <c r="P176" s="4">
        <v>171</v>
      </c>
      <c r="Q176" s="12">
        <f t="shared" si="34"/>
        <v>1.0972222222222221</v>
      </c>
      <c r="R176" s="10">
        <f t="shared" si="23"/>
        <v>1.7555555555555555</v>
      </c>
      <c r="S176" s="10">
        <f t="shared" si="24"/>
        <v>-1.7555555555555555</v>
      </c>
      <c r="T176" s="10">
        <f t="shared" si="30"/>
        <v>151.84444444444443</v>
      </c>
      <c r="V176" s="4">
        <v>908.9</v>
      </c>
      <c r="W176" s="4">
        <f t="shared" si="25"/>
        <v>137.71212121212122</v>
      </c>
      <c r="X176" s="4">
        <f t="shared" si="31"/>
        <v>76772.600000000006</v>
      </c>
      <c r="Y176" s="4">
        <f t="shared" si="33"/>
        <v>20389.300000000003</v>
      </c>
      <c r="AA176" s="4">
        <v>10.4419643896941</v>
      </c>
    </row>
    <row r="177" spans="1:28" s="4" customFormat="1" x14ac:dyDescent="0.25">
      <c r="A177" s="72"/>
      <c r="B177" s="5"/>
      <c r="C177" s="6">
        <v>41693</v>
      </c>
      <c r="D177" s="4">
        <v>8.4</v>
      </c>
      <c r="E177" s="4">
        <v>4.9000000000000004</v>
      </c>
      <c r="F177" s="4">
        <v>12</v>
      </c>
      <c r="G177" s="4">
        <f t="shared" si="27"/>
        <v>1523.0000000000002</v>
      </c>
      <c r="H177" s="4">
        <f t="shared" si="32"/>
        <v>466.09999999999997</v>
      </c>
      <c r="J177" s="4">
        <v>0</v>
      </c>
      <c r="K177" s="4">
        <f t="shared" si="28"/>
        <v>514.10000000000014</v>
      </c>
      <c r="L177" s="4">
        <v>1.2</v>
      </c>
      <c r="M177" s="4">
        <f t="shared" si="29"/>
        <v>207.8</v>
      </c>
      <c r="N177" s="9">
        <f t="shared" si="26"/>
        <v>-1.2</v>
      </c>
      <c r="O177" s="4">
        <v>150.80000000000001</v>
      </c>
      <c r="P177" s="4">
        <v>172</v>
      </c>
      <c r="Q177" s="12">
        <f t="shared" si="34"/>
        <v>1.098611111111111</v>
      </c>
      <c r="R177" s="10">
        <f t="shared" si="23"/>
        <v>1.3183333333333331</v>
      </c>
      <c r="S177" s="10">
        <f t="shared" si="24"/>
        <v>-1.3183333333333331</v>
      </c>
      <c r="T177" s="10">
        <f t="shared" si="30"/>
        <v>150.52611111111111</v>
      </c>
      <c r="V177" s="11">
        <v>747.3</v>
      </c>
      <c r="W177" s="4">
        <f t="shared" si="25"/>
        <v>88.964285714285708</v>
      </c>
      <c r="X177" s="4">
        <f t="shared" si="31"/>
        <v>77519.900000000009</v>
      </c>
      <c r="Y177" s="4">
        <f t="shared" si="33"/>
        <v>21136.600000000002</v>
      </c>
      <c r="AA177" s="4">
        <v>10.504137730819901</v>
      </c>
    </row>
    <row r="178" spans="1:28" s="4" customFormat="1" x14ac:dyDescent="0.25">
      <c r="A178" s="72"/>
      <c r="B178" s="5"/>
      <c r="C178" s="6">
        <v>41694</v>
      </c>
      <c r="D178" s="4">
        <v>8.9</v>
      </c>
      <c r="E178" s="4">
        <v>5.5</v>
      </c>
      <c r="F178" s="4">
        <v>11.9</v>
      </c>
      <c r="G178" s="4">
        <f t="shared" si="27"/>
        <v>1531.9000000000003</v>
      </c>
      <c r="H178" s="4">
        <f t="shared" si="32"/>
        <v>474.99999999999994</v>
      </c>
      <c r="J178" s="4">
        <v>0.1</v>
      </c>
      <c r="K178" s="4">
        <f t="shared" si="28"/>
        <v>514.20000000000016</v>
      </c>
      <c r="L178" s="4">
        <v>1.5</v>
      </c>
      <c r="M178" s="4">
        <f t="shared" si="29"/>
        <v>209.3</v>
      </c>
      <c r="N178" s="9">
        <f t="shared" si="26"/>
        <v>-1.4</v>
      </c>
      <c r="O178" s="4">
        <v>149.4</v>
      </c>
      <c r="P178" s="4">
        <v>173</v>
      </c>
      <c r="Q178" s="12">
        <f t="shared" si="34"/>
        <v>1.0999999999999999</v>
      </c>
      <c r="R178" s="10">
        <f t="shared" si="23"/>
        <v>1.65</v>
      </c>
      <c r="S178" s="10">
        <f t="shared" si="24"/>
        <v>-1.5499999999999998</v>
      </c>
      <c r="T178" s="10">
        <f t="shared" si="30"/>
        <v>148.97611111111109</v>
      </c>
      <c r="V178" s="11">
        <v>865.5</v>
      </c>
      <c r="W178" s="4">
        <f t="shared" si="25"/>
        <v>97.247191011235955</v>
      </c>
      <c r="X178" s="4">
        <f t="shared" si="31"/>
        <v>78385.400000000009</v>
      </c>
      <c r="Y178" s="4">
        <f t="shared" si="33"/>
        <v>22002.100000000002</v>
      </c>
      <c r="AA178" s="4">
        <v>10.566515885508799</v>
      </c>
    </row>
    <row r="179" spans="1:28" s="4" customFormat="1" x14ac:dyDescent="0.25">
      <c r="A179" s="72"/>
      <c r="B179" s="5"/>
      <c r="C179" s="6">
        <v>41695</v>
      </c>
      <c r="D179" s="4">
        <v>8.1999999999999993</v>
      </c>
      <c r="E179" s="4">
        <v>7.1</v>
      </c>
      <c r="F179" s="4">
        <v>11.5</v>
      </c>
      <c r="G179" s="4">
        <f t="shared" si="27"/>
        <v>1540.1000000000004</v>
      </c>
      <c r="H179" s="4">
        <f t="shared" si="32"/>
        <v>483.19999999999993</v>
      </c>
      <c r="J179" s="4">
        <v>5.2</v>
      </c>
      <c r="K179" s="4">
        <f t="shared" si="28"/>
        <v>519.4000000000002</v>
      </c>
      <c r="L179" s="4">
        <v>1.7</v>
      </c>
      <c r="M179" s="4">
        <f t="shared" si="29"/>
        <v>211</v>
      </c>
      <c r="N179" s="4">
        <f t="shared" si="26"/>
        <v>3.5</v>
      </c>
      <c r="O179" s="4">
        <v>152.9</v>
      </c>
      <c r="P179" s="4">
        <v>174</v>
      </c>
      <c r="Q179" s="12">
        <f t="shared" si="34"/>
        <v>1.1013888888888888</v>
      </c>
      <c r="R179" s="10">
        <f t="shared" si="23"/>
        <v>1.8723611111111109</v>
      </c>
      <c r="S179" s="10">
        <f t="shared" si="24"/>
        <v>3.327638888888889</v>
      </c>
      <c r="T179" s="10">
        <f t="shared" si="30"/>
        <v>152.30374999999998</v>
      </c>
      <c r="V179" s="11">
        <v>650.70000000000005</v>
      </c>
      <c r="W179" s="4">
        <f t="shared" si="25"/>
        <v>79.353658536585385</v>
      </c>
      <c r="X179" s="4">
        <f t="shared" si="31"/>
        <v>79036.100000000006</v>
      </c>
      <c r="Y179" s="4">
        <f t="shared" si="33"/>
        <v>22652.800000000003</v>
      </c>
      <c r="AA179" s="4">
        <v>10.6290856511529</v>
      </c>
    </row>
    <row r="180" spans="1:28" s="4" customFormat="1" x14ac:dyDescent="0.25">
      <c r="A180" s="72"/>
      <c r="B180" s="5"/>
      <c r="C180" s="6">
        <v>41696</v>
      </c>
      <c r="D180" s="4">
        <v>6.3</v>
      </c>
      <c r="E180" s="13">
        <v>3.2</v>
      </c>
      <c r="F180" s="4">
        <v>9.9</v>
      </c>
      <c r="G180" s="4">
        <f t="shared" si="27"/>
        <v>1546.4000000000003</v>
      </c>
      <c r="H180" s="4">
        <f t="shared" si="32"/>
        <v>489.49999999999994</v>
      </c>
      <c r="J180" s="4">
        <v>0.1</v>
      </c>
      <c r="K180" s="4">
        <f t="shared" si="28"/>
        <v>519.50000000000023</v>
      </c>
      <c r="L180" s="4">
        <v>1.5</v>
      </c>
      <c r="M180" s="4">
        <f t="shared" si="29"/>
        <v>212.5</v>
      </c>
      <c r="N180" s="9">
        <f t="shared" si="26"/>
        <v>-1.4</v>
      </c>
      <c r="O180" s="4">
        <v>151.5</v>
      </c>
      <c r="P180" s="4">
        <v>175</v>
      </c>
      <c r="Q180" s="12">
        <f t="shared" si="34"/>
        <v>1.1027777777777776</v>
      </c>
      <c r="R180" s="10">
        <f t="shared" si="23"/>
        <v>1.6541666666666663</v>
      </c>
      <c r="S180" s="10">
        <f t="shared" si="24"/>
        <v>-1.5541666666666663</v>
      </c>
      <c r="T180" s="10">
        <f t="shared" si="30"/>
        <v>150.74958333333331</v>
      </c>
      <c r="V180" s="4">
        <v>974.9</v>
      </c>
      <c r="W180" s="4">
        <f t="shared" si="25"/>
        <v>154.74603174603175</v>
      </c>
      <c r="X180" s="4">
        <f t="shared" si="31"/>
        <v>80011</v>
      </c>
      <c r="Y180" s="4">
        <f t="shared" si="33"/>
        <v>23627.700000000004</v>
      </c>
      <c r="AA180" s="4">
        <v>10.6918343793206</v>
      </c>
    </row>
    <row r="181" spans="1:28" s="4" customFormat="1" x14ac:dyDescent="0.25">
      <c r="A181" s="72"/>
      <c r="B181" s="5"/>
      <c r="C181" s="6">
        <v>41697</v>
      </c>
      <c r="D181" s="4">
        <v>5.2</v>
      </c>
      <c r="E181" s="13">
        <v>3.6</v>
      </c>
      <c r="F181" s="4">
        <v>7.2</v>
      </c>
      <c r="G181" s="4">
        <f t="shared" si="27"/>
        <v>1551.6000000000004</v>
      </c>
      <c r="H181" s="4">
        <f t="shared" si="32"/>
        <v>494.69999999999993</v>
      </c>
      <c r="J181" s="4">
        <v>4.4000000000000004</v>
      </c>
      <c r="K181" s="4">
        <f t="shared" si="28"/>
        <v>523.9000000000002</v>
      </c>
      <c r="L181" s="4">
        <v>0.7</v>
      </c>
      <c r="M181" s="4">
        <f t="shared" si="29"/>
        <v>213.2</v>
      </c>
      <c r="N181" s="4">
        <f t="shared" si="26"/>
        <v>3.7</v>
      </c>
      <c r="O181" s="4">
        <v>153.6</v>
      </c>
      <c r="P181" s="4">
        <v>176</v>
      </c>
      <c r="Q181" s="12">
        <f t="shared" si="34"/>
        <v>1.1041666666666665</v>
      </c>
      <c r="R181" s="10">
        <f t="shared" si="23"/>
        <v>0.77291666666666647</v>
      </c>
      <c r="S181" s="10">
        <f t="shared" si="24"/>
        <v>3.6270833333333341</v>
      </c>
      <c r="T181" s="10">
        <f t="shared" si="30"/>
        <v>153.6</v>
      </c>
      <c r="V181" s="11">
        <v>220</v>
      </c>
      <c r="W181" s="4">
        <f t="shared" si="25"/>
        <v>42.307692307692307</v>
      </c>
      <c r="X181" s="4">
        <f t="shared" si="31"/>
        <v>80231</v>
      </c>
      <c r="Y181" s="4">
        <f t="shared" si="33"/>
        <v>23847.700000000004</v>
      </c>
      <c r="AA181" s="4">
        <v>10.7547499546026</v>
      </c>
    </row>
    <row r="182" spans="1:28" s="4" customFormat="1" x14ac:dyDescent="0.25">
      <c r="A182" s="72"/>
      <c r="B182" s="5"/>
      <c r="C182" s="6">
        <v>41698</v>
      </c>
      <c r="D182" s="13">
        <v>4.3</v>
      </c>
      <c r="E182" s="13">
        <v>3.2</v>
      </c>
      <c r="F182" s="4">
        <v>5.8</v>
      </c>
      <c r="G182" s="4">
        <f t="shared" si="27"/>
        <v>1555.9000000000003</v>
      </c>
      <c r="H182" s="4">
        <f t="shared" si="32"/>
        <v>498.99999999999994</v>
      </c>
      <c r="J182" s="4">
        <v>10.7</v>
      </c>
      <c r="K182" s="4">
        <f t="shared" si="28"/>
        <v>534.60000000000025</v>
      </c>
      <c r="L182" s="4">
        <v>0.4</v>
      </c>
      <c r="M182" s="4">
        <f t="shared" si="29"/>
        <v>213.6</v>
      </c>
      <c r="N182" s="4">
        <f t="shared" si="26"/>
        <v>10.299999999999999</v>
      </c>
      <c r="O182" s="4">
        <v>153.6</v>
      </c>
      <c r="P182" s="4">
        <v>177</v>
      </c>
      <c r="Q182" s="12">
        <f t="shared" si="34"/>
        <v>1.1055555555555554</v>
      </c>
      <c r="R182" s="10">
        <f t="shared" si="23"/>
        <v>0.44222222222222218</v>
      </c>
      <c r="S182" s="10">
        <f t="shared" si="24"/>
        <v>10.257777777777777</v>
      </c>
      <c r="T182" s="10">
        <f t="shared" si="30"/>
        <v>153.6</v>
      </c>
      <c r="V182" s="11">
        <v>184.8</v>
      </c>
      <c r="W182" s="4">
        <f t="shared" si="25"/>
        <v>42.976744186046517</v>
      </c>
      <c r="X182" s="4">
        <f t="shared" si="31"/>
        <v>80415.8</v>
      </c>
      <c r="Y182" s="4">
        <f t="shared" si="33"/>
        <v>24032.500000000004</v>
      </c>
      <c r="AA182" s="4">
        <v>10.817820773220401</v>
      </c>
    </row>
    <row r="183" spans="1:28" s="4" customFormat="1" x14ac:dyDescent="0.25">
      <c r="A183" s="72"/>
      <c r="B183" s="5"/>
      <c r="C183" s="6">
        <v>41699</v>
      </c>
      <c r="D183" s="13">
        <v>4.5999999999999996</v>
      </c>
      <c r="E183" s="13">
        <v>4.0999999999999996</v>
      </c>
      <c r="F183" s="4">
        <v>6.1</v>
      </c>
      <c r="G183" s="4">
        <f t="shared" si="27"/>
        <v>1560.5000000000002</v>
      </c>
      <c r="H183" s="4">
        <f t="shared" si="32"/>
        <v>503.59999999999997</v>
      </c>
      <c r="J183" s="4">
        <v>2.5</v>
      </c>
      <c r="K183" s="4">
        <f t="shared" si="28"/>
        <v>537.10000000000025</v>
      </c>
      <c r="L183" s="4">
        <v>0.4</v>
      </c>
      <c r="M183" s="4">
        <f t="shared" si="29"/>
        <v>214</v>
      </c>
      <c r="N183" s="4">
        <f t="shared" si="26"/>
        <v>2.1</v>
      </c>
      <c r="O183" s="4">
        <v>153.6</v>
      </c>
      <c r="P183" s="4">
        <v>178</v>
      </c>
      <c r="Q183" s="12">
        <f t="shared" si="34"/>
        <v>1.1069444444444443</v>
      </c>
      <c r="R183" s="10">
        <f t="shared" si="23"/>
        <v>0.44277777777777771</v>
      </c>
      <c r="S183" s="10">
        <f t="shared" si="24"/>
        <v>2.0572222222222223</v>
      </c>
      <c r="T183" s="10">
        <f t="shared" si="30"/>
        <v>153.6</v>
      </c>
      <c r="V183" s="11">
        <v>210.9</v>
      </c>
      <c r="W183" s="4">
        <f t="shared" si="25"/>
        <v>45.847826086956523</v>
      </c>
      <c r="X183" s="4">
        <f t="shared" si="31"/>
        <v>80626.7</v>
      </c>
      <c r="Y183" s="4">
        <f t="shared" si="33"/>
        <v>24243.400000000005</v>
      </c>
      <c r="AA183" s="4">
        <v>10.881035721457801</v>
      </c>
    </row>
    <row r="184" spans="1:28" s="4" customFormat="1" x14ac:dyDescent="0.25">
      <c r="A184" s="72"/>
      <c r="B184" s="5"/>
      <c r="C184" s="6">
        <v>41700</v>
      </c>
      <c r="D184" s="4">
        <v>5.3</v>
      </c>
      <c r="E184" s="13">
        <v>0.2</v>
      </c>
      <c r="F184" s="4">
        <v>9.6</v>
      </c>
      <c r="G184" s="4">
        <f t="shared" si="27"/>
        <v>1565.8000000000002</v>
      </c>
      <c r="H184" s="4">
        <f t="shared" si="32"/>
        <v>508.9</v>
      </c>
      <c r="J184" s="4">
        <v>5</v>
      </c>
      <c r="K184" s="4">
        <f t="shared" si="28"/>
        <v>542.10000000000025</v>
      </c>
      <c r="L184" s="4">
        <v>1.5</v>
      </c>
      <c r="M184" s="4">
        <f t="shared" si="29"/>
        <v>215.5</v>
      </c>
      <c r="N184" s="4">
        <f t="shared" si="26"/>
        <v>3.5</v>
      </c>
      <c r="O184" s="4">
        <v>153.6</v>
      </c>
      <c r="P184" s="4">
        <v>179</v>
      </c>
      <c r="Q184" s="12">
        <f t="shared" si="34"/>
        <v>1.1083333333333332</v>
      </c>
      <c r="R184" s="10">
        <f t="shared" si="23"/>
        <v>1.6624999999999996</v>
      </c>
      <c r="S184" s="10">
        <f t="shared" si="24"/>
        <v>3.3375000000000004</v>
      </c>
      <c r="T184" s="10">
        <f t="shared" si="30"/>
        <v>153.6</v>
      </c>
      <c r="V184" s="4">
        <v>973.7</v>
      </c>
      <c r="W184" s="4">
        <f t="shared" si="25"/>
        <v>183.71698113207549</v>
      </c>
      <c r="X184" s="4">
        <f t="shared" si="31"/>
        <v>81600.399999999994</v>
      </c>
      <c r="Y184" s="4">
        <f t="shared" si="33"/>
        <v>25217.100000000006</v>
      </c>
      <c r="AA184" s="4">
        <v>10.9443841539697</v>
      </c>
    </row>
    <row r="185" spans="1:28" s="4" customFormat="1" x14ac:dyDescent="0.25">
      <c r="A185" s="72"/>
      <c r="B185" s="5"/>
      <c r="C185" s="6">
        <v>41701</v>
      </c>
      <c r="D185" s="4">
        <v>6.5</v>
      </c>
      <c r="E185" s="4">
        <v>5.5</v>
      </c>
      <c r="F185" s="4">
        <v>8.9</v>
      </c>
      <c r="G185" s="4">
        <f t="shared" si="27"/>
        <v>1572.3000000000002</v>
      </c>
      <c r="H185" s="4">
        <f t="shared" si="32"/>
        <v>515.4</v>
      </c>
      <c r="J185" s="4">
        <v>3.4</v>
      </c>
      <c r="K185" s="4">
        <f t="shared" si="28"/>
        <v>545.50000000000023</v>
      </c>
      <c r="L185" s="4">
        <v>1.6</v>
      </c>
      <c r="M185" s="4">
        <f t="shared" si="29"/>
        <v>217.1</v>
      </c>
      <c r="N185" s="4">
        <f t="shared" si="26"/>
        <v>1.7999999999999998</v>
      </c>
      <c r="O185" s="4">
        <v>153.6</v>
      </c>
      <c r="P185" s="4">
        <v>180</v>
      </c>
      <c r="Q185" s="12">
        <f t="shared" si="34"/>
        <v>1.1097222222222221</v>
      </c>
      <c r="R185" s="10">
        <f t="shared" si="23"/>
        <v>1.7755555555555553</v>
      </c>
      <c r="S185" s="10">
        <f t="shared" si="24"/>
        <v>1.6244444444444446</v>
      </c>
      <c r="T185" s="10">
        <f t="shared" si="30"/>
        <v>153.6</v>
      </c>
      <c r="V185" s="11">
        <v>616.1</v>
      </c>
      <c r="W185" s="4">
        <f t="shared" si="25"/>
        <v>94.784615384615392</v>
      </c>
      <c r="X185" s="4">
        <f t="shared" si="31"/>
        <v>82216.5</v>
      </c>
      <c r="Y185" s="4">
        <f t="shared" si="33"/>
        <v>25833.200000000004</v>
      </c>
      <c r="AA185" s="4">
        <v>11.007855872017499</v>
      </c>
    </row>
    <row r="186" spans="1:28" s="4" customFormat="1" x14ac:dyDescent="0.25">
      <c r="A186" s="72"/>
      <c r="B186" s="5"/>
      <c r="C186" s="6">
        <v>41702</v>
      </c>
      <c r="D186" s="4">
        <v>5.2</v>
      </c>
      <c r="E186" s="13">
        <v>2.2000000000000002</v>
      </c>
      <c r="F186" s="4">
        <v>9.1</v>
      </c>
      <c r="G186" s="4">
        <f t="shared" si="27"/>
        <v>1577.5000000000002</v>
      </c>
      <c r="H186" s="4">
        <f t="shared" si="32"/>
        <v>520.6</v>
      </c>
      <c r="J186" s="4">
        <v>0.2</v>
      </c>
      <c r="K186" s="4">
        <f t="shared" si="28"/>
        <v>545.70000000000027</v>
      </c>
      <c r="L186" s="4">
        <v>1</v>
      </c>
      <c r="M186" s="4">
        <f t="shared" si="29"/>
        <v>218.1</v>
      </c>
      <c r="N186" s="9">
        <f t="shared" si="26"/>
        <v>-0.8</v>
      </c>
      <c r="O186" s="4">
        <v>152.79999999999998</v>
      </c>
      <c r="P186" s="4">
        <v>181</v>
      </c>
      <c r="Q186" s="12">
        <f t="shared" si="34"/>
        <v>1.1111111111111109</v>
      </c>
      <c r="R186" s="10">
        <f t="shared" si="23"/>
        <v>1.1111111111111109</v>
      </c>
      <c r="S186" s="10">
        <f t="shared" si="24"/>
        <v>-0.91111111111111098</v>
      </c>
      <c r="T186" s="10">
        <f t="shared" si="30"/>
        <v>152.6888888888889</v>
      </c>
      <c r="V186" s="11">
        <v>492</v>
      </c>
      <c r="W186" s="4">
        <f t="shared" si="25"/>
        <v>94.615384615384613</v>
      </c>
      <c r="X186" s="4">
        <f t="shared" si="31"/>
        <v>82708.5</v>
      </c>
      <c r="Y186" s="4">
        <f t="shared" si="33"/>
        <v>26325.200000000004</v>
      </c>
      <c r="AA186" s="4">
        <v>11.0714411016731</v>
      </c>
    </row>
    <row r="187" spans="1:28" s="4" customFormat="1" x14ac:dyDescent="0.25">
      <c r="A187" s="72"/>
      <c r="B187" s="5"/>
      <c r="C187" s="6">
        <v>41703</v>
      </c>
      <c r="D187" s="4">
        <v>6</v>
      </c>
      <c r="E187" s="13">
        <v>0.5</v>
      </c>
      <c r="F187" s="4">
        <v>11.8</v>
      </c>
      <c r="G187" s="4">
        <f t="shared" si="27"/>
        <v>1583.5000000000002</v>
      </c>
      <c r="H187" s="4">
        <f t="shared" si="32"/>
        <v>526.6</v>
      </c>
      <c r="J187" s="90">
        <v>0</v>
      </c>
      <c r="K187" s="4">
        <f t="shared" si="28"/>
        <v>545.70000000000027</v>
      </c>
      <c r="L187" s="4">
        <v>1.6</v>
      </c>
      <c r="M187" s="4">
        <f t="shared" si="29"/>
        <v>219.7</v>
      </c>
      <c r="N187" s="9">
        <f t="shared" si="26"/>
        <v>-1.6</v>
      </c>
      <c r="O187" s="4">
        <v>151.19999999999999</v>
      </c>
      <c r="P187" s="4">
        <v>182</v>
      </c>
      <c r="Q187" s="12">
        <f t="shared" si="34"/>
        <v>1.1124999999999998</v>
      </c>
      <c r="R187" s="10">
        <f t="shared" si="23"/>
        <v>1.7799999999999998</v>
      </c>
      <c r="S187" s="10">
        <f t="shared" si="24"/>
        <v>-1.7799999999999998</v>
      </c>
      <c r="T187" s="10">
        <f t="shared" si="30"/>
        <v>150.9088888888889</v>
      </c>
      <c r="V187" s="4">
        <v>1017.4</v>
      </c>
      <c r="W187" s="4">
        <f t="shared" si="25"/>
        <v>169.56666666666666</v>
      </c>
      <c r="X187" s="4">
        <f t="shared" si="31"/>
        <v>83725.899999999994</v>
      </c>
      <c r="Y187" s="4">
        <f t="shared" si="33"/>
        <v>27342.600000000006</v>
      </c>
      <c r="AA187" s="4">
        <v>11.1351304720285</v>
      </c>
      <c r="AB187" s="89" t="s">
        <v>53</v>
      </c>
    </row>
    <row r="188" spans="1:28" s="4" customFormat="1" x14ac:dyDescent="0.25">
      <c r="A188" s="72"/>
      <c r="B188" s="5"/>
      <c r="C188" s="6">
        <v>41704</v>
      </c>
      <c r="D188" s="4">
        <v>6.7</v>
      </c>
      <c r="E188" s="13">
        <v>0.4</v>
      </c>
      <c r="F188" s="4">
        <v>12.6</v>
      </c>
      <c r="G188" s="4">
        <f t="shared" si="27"/>
        <v>1590.2000000000003</v>
      </c>
      <c r="H188" s="4">
        <f t="shared" si="32"/>
        <v>533.30000000000007</v>
      </c>
      <c r="J188" s="90">
        <v>0</v>
      </c>
      <c r="K188" s="4">
        <f t="shared" si="28"/>
        <v>545.70000000000027</v>
      </c>
      <c r="L188" s="4">
        <v>1.9</v>
      </c>
      <c r="M188" s="4">
        <f t="shared" si="29"/>
        <v>221.6</v>
      </c>
      <c r="N188" s="9">
        <f t="shared" si="26"/>
        <v>-1.9</v>
      </c>
      <c r="O188" s="4">
        <v>149.29999999999998</v>
      </c>
      <c r="P188" s="4">
        <v>183</v>
      </c>
      <c r="Q188" s="12">
        <f t="shared" si="34"/>
        <v>1.1138888888888889</v>
      </c>
      <c r="R188" s="10">
        <f t="shared" si="23"/>
        <v>2.1163888888888889</v>
      </c>
      <c r="S188" s="10">
        <f t="shared" si="24"/>
        <v>-2.1163888888888889</v>
      </c>
      <c r="T188" s="10">
        <f t="shared" si="30"/>
        <v>148.79250000000002</v>
      </c>
      <c r="V188" s="4">
        <v>1270.9000000000001</v>
      </c>
      <c r="W188" s="4">
        <f t="shared" si="25"/>
        <v>189.68656716417911</v>
      </c>
      <c r="X188" s="4">
        <f t="shared" si="31"/>
        <v>84996.799999999988</v>
      </c>
      <c r="Y188" s="4">
        <f t="shared" si="33"/>
        <v>28613.500000000007</v>
      </c>
      <c r="AA188" s="4">
        <v>11.1989149934452</v>
      </c>
      <c r="AB188" s="10">
        <f>AVERAGE(T194:T207)</f>
        <v>125.81070436507942</v>
      </c>
    </row>
    <row r="189" spans="1:28" s="4" customFormat="1" x14ac:dyDescent="0.25">
      <c r="A189" s="72"/>
      <c r="B189" s="5"/>
      <c r="C189" s="6">
        <v>41705</v>
      </c>
      <c r="D189" s="4">
        <v>8.4</v>
      </c>
      <c r="E189" s="13">
        <v>3.7</v>
      </c>
      <c r="F189" s="4">
        <v>13.6</v>
      </c>
      <c r="G189" s="4">
        <f t="shared" si="27"/>
        <v>1598.6000000000004</v>
      </c>
      <c r="H189" s="4">
        <f t="shared" si="32"/>
        <v>541.70000000000005</v>
      </c>
      <c r="J189" s="90">
        <v>0</v>
      </c>
      <c r="K189" s="4">
        <f t="shared" si="28"/>
        <v>545.70000000000027</v>
      </c>
      <c r="L189" s="4">
        <v>1.7</v>
      </c>
      <c r="M189" s="4">
        <f t="shared" si="29"/>
        <v>223.29999999999998</v>
      </c>
      <c r="N189" s="9">
        <f t="shared" si="26"/>
        <v>-1.7</v>
      </c>
      <c r="O189" s="4">
        <v>147.6</v>
      </c>
      <c r="P189" s="4">
        <v>184</v>
      </c>
      <c r="Q189" s="12">
        <f t="shared" si="34"/>
        <v>1.1152777777777776</v>
      </c>
      <c r="R189" s="10">
        <f t="shared" si="23"/>
        <v>1.8959722222222219</v>
      </c>
      <c r="S189" s="10">
        <f t="shared" si="24"/>
        <v>-1.8959722222222219</v>
      </c>
      <c r="T189" s="10">
        <f t="shared" si="30"/>
        <v>146.89652777777781</v>
      </c>
      <c r="V189" s="4">
        <v>930.1</v>
      </c>
      <c r="W189" s="4">
        <f t="shared" si="25"/>
        <v>110.72619047619047</v>
      </c>
      <c r="X189" s="4">
        <f t="shared" si="31"/>
        <v>85926.9</v>
      </c>
      <c r="Y189" s="4">
        <f t="shared" si="33"/>
        <v>29543.600000000006</v>
      </c>
      <c r="AA189" s="4">
        <v>11.262786035868301</v>
      </c>
      <c r="AB189" s="89" t="s">
        <v>54</v>
      </c>
    </row>
    <row r="190" spans="1:28" s="4" customFormat="1" x14ac:dyDescent="0.25">
      <c r="A190" s="72"/>
      <c r="B190" s="5"/>
      <c r="C190" s="6">
        <v>41706</v>
      </c>
      <c r="D190" s="4">
        <v>9.8000000000000007</v>
      </c>
      <c r="E190" s="13">
        <v>3.6</v>
      </c>
      <c r="F190" s="4">
        <v>15.7</v>
      </c>
      <c r="G190" s="4">
        <f t="shared" si="27"/>
        <v>1608.4000000000003</v>
      </c>
      <c r="H190" s="4">
        <f t="shared" si="32"/>
        <v>551.5</v>
      </c>
      <c r="J190" s="90">
        <v>0</v>
      </c>
      <c r="K190" s="4">
        <f t="shared" si="28"/>
        <v>545.70000000000027</v>
      </c>
      <c r="L190" s="4">
        <v>2.4</v>
      </c>
      <c r="M190" s="4">
        <f t="shared" si="29"/>
        <v>225.7</v>
      </c>
      <c r="N190" s="9">
        <f t="shared" si="26"/>
        <v>-2.4</v>
      </c>
      <c r="O190" s="4">
        <v>145.19999999999999</v>
      </c>
      <c r="P190" s="4">
        <v>185</v>
      </c>
      <c r="Q190" s="12">
        <f t="shared" si="34"/>
        <v>1.1166666666666667</v>
      </c>
      <c r="R190" s="10">
        <f t="shared" si="23"/>
        <v>2.68</v>
      </c>
      <c r="S190" s="10">
        <f t="shared" si="24"/>
        <v>-2.68</v>
      </c>
      <c r="T190" s="10">
        <f t="shared" si="30"/>
        <v>144.2165277777778</v>
      </c>
      <c r="V190" s="4">
        <v>1367.3</v>
      </c>
      <c r="W190" s="4">
        <f t="shared" si="25"/>
        <v>139.5204081632653</v>
      </c>
      <c r="X190" s="4">
        <f t="shared" si="31"/>
        <v>87294.2</v>
      </c>
      <c r="Y190" s="4">
        <f t="shared" si="33"/>
        <v>30910.900000000005</v>
      </c>
      <c r="AA190" s="4">
        <v>11.326735307231599</v>
      </c>
      <c r="AB190" s="4">
        <v>7</v>
      </c>
    </row>
    <row r="191" spans="1:28" s="4" customFormat="1" x14ac:dyDescent="0.25">
      <c r="A191" s="72"/>
      <c r="B191" s="5"/>
      <c r="C191" s="6">
        <v>41707</v>
      </c>
      <c r="D191" s="4">
        <v>10.7</v>
      </c>
      <c r="E191" s="13">
        <v>2.9</v>
      </c>
      <c r="F191" s="4">
        <v>17.3</v>
      </c>
      <c r="G191" s="4">
        <f t="shared" si="27"/>
        <v>1619.1000000000004</v>
      </c>
      <c r="H191" s="4">
        <f t="shared" si="32"/>
        <v>562.20000000000005</v>
      </c>
      <c r="J191" s="90">
        <v>0</v>
      </c>
      <c r="K191" s="4">
        <f t="shared" si="28"/>
        <v>545.70000000000027</v>
      </c>
      <c r="L191" s="4">
        <v>2.9</v>
      </c>
      <c r="M191" s="4">
        <f t="shared" si="29"/>
        <v>228.6</v>
      </c>
      <c r="N191" s="9">
        <f t="shared" si="26"/>
        <v>-2.9</v>
      </c>
      <c r="O191" s="4">
        <v>142.29999999999998</v>
      </c>
      <c r="P191" s="4">
        <v>186</v>
      </c>
      <c r="Q191" s="12">
        <f t="shared" si="34"/>
        <v>1.1180555555555556</v>
      </c>
      <c r="R191" s="10">
        <f t="shared" si="23"/>
        <v>3.2423611111111112</v>
      </c>
      <c r="S191" s="10">
        <f t="shared" si="24"/>
        <v>-3.2423611111111112</v>
      </c>
      <c r="T191" s="10">
        <f t="shared" si="30"/>
        <v>140.97416666666669</v>
      </c>
      <c r="V191" s="4">
        <v>1597.4</v>
      </c>
      <c r="W191" s="4">
        <f t="shared" si="25"/>
        <v>149.28971962616825</v>
      </c>
      <c r="X191" s="4">
        <f t="shared" si="31"/>
        <v>88891.599999999991</v>
      </c>
      <c r="Y191" s="4">
        <f t="shared" si="33"/>
        <v>32508.300000000007</v>
      </c>
      <c r="AA191" s="4">
        <v>11.3907548319714</v>
      </c>
      <c r="AB191" s="89" t="s">
        <v>55</v>
      </c>
    </row>
    <row r="192" spans="1:28" s="4" customFormat="1" x14ac:dyDescent="0.25">
      <c r="A192" s="72"/>
      <c r="B192" s="5"/>
      <c r="C192" s="6">
        <v>41708</v>
      </c>
      <c r="D192" s="4">
        <v>9.1999999999999993</v>
      </c>
      <c r="E192" s="13">
        <v>2.2999999999999998</v>
      </c>
      <c r="F192" s="4">
        <v>17.600000000000001</v>
      </c>
      <c r="G192" s="4">
        <f t="shared" si="27"/>
        <v>1628.3000000000004</v>
      </c>
      <c r="H192" s="4">
        <f t="shared" si="32"/>
        <v>571.40000000000009</v>
      </c>
      <c r="J192" s="90">
        <v>0</v>
      </c>
      <c r="K192" s="4">
        <f t="shared" si="28"/>
        <v>545.70000000000027</v>
      </c>
      <c r="L192" s="4">
        <v>2.8</v>
      </c>
      <c r="M192" s="4">
        <f t="shared" si="29"/>
        <v>231.4</v>
      </c>
      <c r="N192" s="9">
        <f t="shared" si="26"/>
        <v>-2.8</v>
      </c>
      <c r="O192" s="4">
        <v>139.49999999999997</v>
      </c>
      <c r="P192" s="4">
        <v>187</v>
      </c>
      <c r="Q192" s="12">
        <f t="shared" si="34"/>
        <v>1.1194444444444445</v>
      </c>
      <c r="R192" s="10">
        <f t="shared" si="23"/>
        <v>3.1344444444444441</v>
      </c>
      <c r="S192" s="10">
        <f t="shared" si="24"/>
        <v>-3.1344444444444441</v>
      </c>
      <c r="T192" s="10">
        <f t="shared" si="30"/>
        <v>137.83972222222224</v>
      </c>
      <c r="V192" s="4">
        <v>1443</v>
      </c>
      <c r="W192" s="4">
        <f t="shared" si="25"/>
        <v>156.84782608695653</v>
      </c>
      <c r="X192" s="4">
        <f t="shared" si="31"/>
        <v>90334.599999999991</v>
      </c>
      <c r="Y192" s="4">
        <f t="shared" si="33"/>
        <v>33951.300000000003</v>
      </c>
      <c r="AA192" s="4">
        <v>11.454836929664401</v>
      </c>
      <c r="AB192" s="4">
        <v>6</v>
      </c>
    </row>
    <row r="193" spans="1:30" s="4" customFormat="1" x14ac:dyDescent="0.25">
      <c r="A193" s="72"/>
      <c r="B193" s="5"/>
      <c r="C193" s="6">
        <v>41709</v>
      </c>
      <c r="D193" s="4">
        <v>9.3000000000000007</v>
      </c>
      <c r="E193" s="4">
        <v>7.7</v>
      </c>
      <c r="F193" s="4">
        <v>11.1</v>
      </c>
      <c r="G193" s="4">
        <f t="shared" si="27"/>
        <v>1637.6000000000004</v>
      </c>
      <c r="H193" s="4">
        <f t="shared" si="32"/>
        <v>580.70000000000005</v>
      </c>
      <c r="J193" s="90">
        <v>0</v>
      </c>
      <c r="K193" s="4">
        <f t="shared" si="28"/>
        <v>545.70000000000027</v>
      </c>
      <c r="L193" s="4">
        <v>1.5</v>
      </c>
      <c r="M193" s="4">
        <f t="shared" si="29"/>
        <v>232.9</v>
      </c>
      <c r="N193" s="9">
        <f t="shared" si="26"/>
        <v>-1.5</v>
      </c>
      <c r="O193" s="4">
        <v>137.99999999999997</v>
      </c>
      <c r="P193" s="4">
        <v>188</v>
      </c>
      <c r="Q193" s="12">
        <f t="shared" si="34"/>
        <v>1.1208333333333333</v>
      </c>
      <c r="R193" s="10">
        <f t="shared" si="23"/>
        <v>1.6812499999999999</v>
      </c>
      <c r="S193" s="10">
        <f t="shared" si="24"/>
        <v>-1.6812499999999999</v>
      </c>
      <c r="T193" s="10">
        <f t="shared" si="30"/>
        <v>136.15847222222223</v>
      </c>
      <c r="V193" s="11">
        <v>807.4</v>
      </c>
      <c r="W193" s="4">
        <f t="shared" si="25"/>
        <v>86.817204301075265</v>
      </c>
      <c r="X193" s="4">
        <f t="shared" si="31"/>
        <v>91141.999999999985</v>
      </c>
      <c r="Y193" s="4">
        <f t="shared" si="33"/>
        <v>34758.700000000004</v>
      </c>
      <c r="AA193" s="4">
        <v>11.518974193804301</v>
      </c>
      <c r="AB193" s="89" t="s">
        <v>56</v>
      </c>
    </row>
    <row r="194" spans="1:30" s="4" customFormat="1" x14ac:dyDescent="0.25">
      <c r="A194" s="72"/>
      <c r="B194" s="5"/>
      <c r="C194" s="6">
        <v>41710</v>
      </c>
      <c r="D194" s="4">
        <v>9.6999999999999993</v>
      </c>
      <c r="E194" s="13">
        <v>2.8</v>
      </c>
      <c r="F194" s="4">
        <v>15</v>
      </c>
      <c r="G194" s="4">
        <f t="shared" si="27"/>
        <v>1647.3000000000004</v>
      </c>
      <c r="H194" s="4">
        <f t="shared" si="32"/>
        <v>590.40000000000009</v>
      </c>
      <c r="J194" s="90">
        <v>0.1</v>
      </c>
      <c r="K194" s="4">
        <f t="shared" si="28"/>
        <v>545.8000000000003</v>
      </c>
      <c r="L194" s="4">
        <v>2.1</v>
      </c>
      <c r="M194" s="4">
        <f t="shared" si="29"/>
        <v>235</v>
      </c>
      <c r="N194" s="9">
        <f t="shared" si="26"/>
        <v>-2</v>
      </c>
      <c r="O194" s="4">
        <v>135.99999999999997</v>
      </c>
      <c r="P194" s="4">
        <v>189</v>
      </c>
      <c r="Q194" s="12">
        <f t="shared" si="34"/>
        <v>1.1222222222222222</v>
      </c>
      <c r="R194" s="10">
        <f t="shared" si="23"/>
        <v>2.3566666666666669</v>
      </c>
      <c r="S194" s="10">
        <f t="shared" si="24"/>
        <v>-2.2566666666666668</v>
      </c>
      <c r="T194" s="92">
        <f t="shared" si="30"/>
        <v>133.90180555555557</v>
      </c>
      <c r="V194" s="4">
        <v>1586.7</v>
      </c>
      <c r="W194" s="4">
        <f t="shared" si="25"/>
        <v>163.57731958762889</v>
      </c>
      <c r="X194" s="4">
        <f t="shared" si="31"/>
        <v>92728.699999999983</v>
      </c>
      <c r="Y194" s="4">
        <f t="shared" si="33"/>
        <v>36345.4</v>
      </c>
      <c r="AA194" s="4">
        <v>11.5831594707238</v>
      </c>
      <c r="AB194" s="4">
        <v>0</v>
      </c>
    </row>
    <row r="195" spans="1:30" s="4" customFormat="1" x14ac:dyDescent="0.25">
      <c r="A195" s="72"/>
      <c r="B195" s="5"/>
      <c r="C195" s="6">
        <v>41711</v>
      </c>
      <c r="D195" s="4">
        <v>8.1999999999999993</v>
      </c>
      <c r="E195" s="13">
        <v>1.6</v>
      </c>
      <c r="F195" s="4">
        <v>13.5</v>
      </c>
      <c r="G195" s="4">
        <f t="shared" si="27"/>
        <v>1655.5000000000005</v>
      </c>
      <c r="H195" s="4">
        <f t="shared" si="32"/>
        <v>598.60000000000014</v>
      </c>
      <c r="J195" s="90">
        <v>0.2</v>
      </c>
      <c r="K195" s="4">
        <f t="shared" si="28"/>
        <v>546.00000000000034</v>
      </c>
      <c r="L195" s="4">
        <v>1.9</v>
      </c>
      <c r="M195" s="4">
        <f t="shared" si="29"/>
        <v>236.9</v>
      </c>
      <c r="N195" s="9">
        <f t="shared" si="26"/>
        <v>-1.7</v>
      </c>
      <c r="O195" s="4">
        <v>134.29999999999998</v>
      </c>
      <c r="P195" s="4">
        <v>190</v>
      </c>
      <c r="Q195" s="12">
        <f t="shared" si="34"/>
        <v>1.1236111111111111</v>
      </c>
      <c r="R195" s="10">
        <f t="shared" si="23"/>
        <v>2.1348611111111109</v>
      </c>
      <c r="S195" s="10">
        <f t="shared" si="24"/>
        <v>-1.9348611111111109</v>
      </c>
      <c r="T195" s="92">
        <f t="shared" si="30"/>
        <v>131.96694444444447</v>
      </c>
      <c r="V195" s="4">
        <v>1511.8</v>
      </c>
      <c r="W195" s="4">
        <f t="shared" si="25"/>
        <v>184.36585365853659</v>
      </c>
      <c r="X195" s="4">
        <f t="shared" si="31"/>
        <v>94240.499999999985</v>
      </c>
      <c r="Y195" s="4">
        <f t="shared" si="33"/>
        <v>37857.200000000004</v>
      </c>
      <c r="AA195" s="4">
        <v>11.6473858386702</v>
      </c>
      <c r="AB195" s="89" t="s">
        <v>57</v>
      </c>
    </row>
    <row r="196" spans="1:30" s="4" customFormat="1" x14ac:dyDescent="0.25">
      <c r="A196" s="72"/>
      <c r="B196" s="5"/>
      <c r="C196" s="6">
        <v>41712</v>
      </c>
      <c r="D196" s="4">
        <v>8</v>
      </c>
      <c r="E196" s="13">
        <v>1.7</v>
      </c>
      <c r="F196" s="4">
        <v>12.4</v>
      </c>
      <c r="G196" s="4">
        <f t="shared" si="27"/>
        <v>1663.5000000000005</v>
      </c>
      <c r="H196" s="4">
        <f t="shared" si="32"/>
        <v>606.60000000000014</v>
      </c>
      <c r="J196" s="90">
        <v>0</v>
      </c>
      <c r="K196" s="4">
        <f t="shared" si="28"/>
        <v>546.00000000000034</v>
      </c>
      <c r="L196" s="4">
        <v>1.7</v>
      </c>
      <c r="M196" s="4">
        <f t="shared" si="29"/>
        <v>238.6</v>
      </c>
      <c r="N196" s="9">
        <f t="shared" si="26"/>
        <v>-1.7</v>
      </c>
      <c r="O196" s="4">
        <v>132.6</v>
      </c>
      <c r="P196" s="4">
        <v>191</v>
      </c>
      <c r="Q196" s="12">
        <f t="shared" si="34"/>
        <v>1.125</v>
      </c>
      <c r="R196" s="10">
        <f t="shared" si="23"/>
        <v>1.9124999999999999</v>
      </c>
      <c r="S196" s="10">
        <f t="shared" si="24"/>
        <v>-1.9124999999999999</v>
      </c>
      <c r="T196" s="92">
        <f t="shared" si="30"/>
        <v>130.05444444444447</v>
      </c>
      <c r="V196" s="4">
        <v>1451.9</v>
      </c>
      <c r="W196" s="4">
        <f t="shared" si="25"/>
        <v>181.48750000000001</v>
      </c>
      <c r="X196" s="4">
        <f t="shared" si="31"/>
        <v>95692.39999999998</v>
      </c>
      <c r="Y196" s="4">
        <f t="shared" si="33"/>
        <v>39309.100000000006</v>
      </c>
      <c r="AA196" s="4">
        <v>11.711646587038601</v>
      </c>
      <c r="AB196" s="4">
        <f>SUM(J198:J207)</f>
        <v>17.7</v>
      </c>
    </row>
    <row r="197" spans="1:30" s="78" customFormat="1" x14ac:dyDescent="0.25">
      <c r="A197" s="72"/>
      <c r="B197" s="76" t="s">
        <v>52</v>
      </c>
      <c r="C197" s="77">
        <v>41713</v>
      </c>
      <c r="D197" s="78">
        <v>10</v>
      </c>
      <c r="E197" s="78">
        <v>7.5</v>
      </c>
      <c r="F197" s="78">
        <v>12</v>
      </c>
      <c r="G197" s="78">
        <f t="shared" si="27"/>
        <v>1673.5000000000005</v>
      </c>
      <c r="H197" s="78">
        <f t="shared" si="32"/>
        <v>616.60000000000014</v>
      </c>
      <c r="J197" s="78">
        <v>0</v>
      </c>
      <c r="K197" s="78">
        <f t="shared" si="28"/>
        <v>546.00000000000034</v>
      </c>
      <c r="L197" s="78">
        <v>1.9</v>
      </c>
      <c r="M197" s="78">
        <f t="shared" si="29"/>
        <v>240.5</v>
      </c>
      <c r="N197" s="79">
        <f t="shared" si="26"/>
        <v>-1.9</v>
      </c>
      <c r="O197" s="78">
        <v>130.69999999999999</v>
      </c>
      <c r="P197" s="78">
        <v>192</v>
      </c>
      <c r="Q197" s="80">
        <f t="shared" si="34"/>
        <v>1.1263888888888889</v>
      </c>
      <c r="R197" s="81">
        <f t="shared" si="23"/>
        <v>2.1401388888888886</v>
      </c>
      <c r="S197" s="81">
        <f t="shared" si="24"/>
        <v>-2.1401388888888886</v>
      </c>
      <c r="T197" s="81">
        <f t="shared" si="30"/>
        <v>127.91430555555559</v>
      </c>
      <c r="V197" s="79">
        <v>708.5</v>
      </c>
      <c r="W197" s="78">
        <f t="shared" si="25"/>
        <v>70.849999999999994</v>
      </c>
      <c r="X197" s="78">
        <f t="shared" si="31"/>
        <v>96400.89999999998</v>
      </c>
      <c r="Y197" s="78">
        <f t="shared" si="33"/>
        <v>40017.600000000006</v>
      </c>
      <c r="AA197" s="78">
        <v>11.775935195762401</v>
      </c>
    </row>
    <row r="198" spans="1:30" s="4" customFormat="1" x14ac:dyDescent="0.25">
      <c r="A198" s="72"/>
      <c r="B198" s="5"/>
      <c r="C198" s="6">
        <v>41714</v>
      </c>
      <c r="D198" s="4">
        <v>11.3</v>
      </c>
      <c r="E198" s="4">
        <v>7</v>
      </c>
      <c r="F198" s="4">
        <v>15.7</v>
      </c>
      <c r="G198" s="4">
        <f t="shared" si="27"/>
        <v>1684.8000000000004</v>
      </c>
      <c r="H198" s="4">
        <f t="shared" si="32"/>
        <v>627.90000000000009</v>
      </c>
      <c r="J198" s="90">
        <v>0</v>
      </c>
      <c r="K198" s="4">
        <f t="shared" si="28"/>
        <v>546.00000000000034</v>
      </c>
      <c r="L198" s="4">
        <v>2.5</v>
      </c>
      <c r="M198" s="4">
        <f t="shared" si="29"/>
        <v>243</v>
      </c>
      <c r="N198" s="9">
        <f t="shared" si="26"/>
        <v>-2.5</v>
      </c>
      <c r="O198" s="4">
        <v>128.19999999999999</v>
      </c>
      <c r="P198" s="4">
        <v>193</v>
      </c>
      <c r="Q198" s="12">
        <f t="shared" si="34"/>
        <v>1.1277777777777778</v>
      </c>
      <c r="R198" s="10">
        <f t="shared" ref="R198:R261" si="35">Q198*L198</f>
        <v>2.8194444444444446</v>
      </c>
      <c r="S198" s="10">
        <f t="shared" ref="S198:S261" si="36">J198-R198</f>
        <v>-2.8194444444444446</v>
      </c>
      <c r="T198" s="92">
        <f t="shared" si="30"/>
        <v>125.09486111111114</v>
      </c>
      <c r="V198" s="4">
        <v>1581.7</v>
      </c>
      <c r="W198" s="4">
        <f t="shared" ref="W198:W261" si="37">V198/D198</f>
        <v>139.97345132743362</v>
      </c>
      <c r="X198" s="4">
        <f t="shared" si="31"/>
        <v>97982.599999999977</v>
      </c>
      <c r="Y198" s="4">
        <f t="shared" si="33"/>
        <v>41599.300000000003</v>
      </c>
      <c r="AA198" s="4">
        <v>11.840245314864701</v>
      </c>
    </row>
    <row r="199" spans="1:30" s="4" customFormat="1" x14ac:dyDescent="0.25">
      <c r="A199" s="72"/>
      <c r="B199" s="5"/>
      <c r="C199" s="6">
        <v>41715</v>
      </c>
      <c r="D199" s="4">
        <v>10.3</v>
      </c>
      <c r="E199" s="4">
        <v>8.1999999999999993</v>
      </c>
      <c r="F199" s="4">
        <v>13.1</v>
      </c>
      <c r="G199" s="4">
        <f t="shared" si="27"/>
        <v>1695.1000000000004</v>
      </c>
      <c r="H199" s="4">
        <f t="shared" si="32"/>
        <v>638.20000000000005</v>
      </c>
      <c r="J199" s="90">
        <v>0</v>
      </c>
      <c r="K199" s="4">
        <f t="shared" si="28"/>
        <v>546.00000000000034</v>
      </c>
      <c r="L199" s="4">
        <v>1.7</v>
      </c>
      <c r="M199" s="4">
        <f t="shared" si="29"/>
        <v>244.7</v>
      </c>
      <c r="N199" s="9">
        <f t="shared" ref="N199:N262" si="38">J199-L199</f>
        <v>-1.7</v>
      </c>
      <c r="O199" s="4">
        <v>126.49999999999999</v>
      </c>
      <c r="P199" s="4">
        <v>194</v>
      </c>
      <c r="Q199" s="12">
        <f t="shared" si="34"/>
        <v>1.1291666666666667</v>
      </c>
      <c r="R199" s="10">
        <f t="shared" si="35"/>
        <v>1.9195833333333332</v>
      </c>
      <c r="S199" s="10">
        <f t="shared" si="36"/>
        <v>-1.9195833333333332</v>
      </c>
      <c r="T199" s="92">
        <f t="shared" si="30"/>
        <v>123.17527777777781</v>
      </c>
      <c r="V199" s="11">
        <v>730.5</v>
      </c>
      <c r="W199" s="4">
        <f t="shared" si="37"/>
        <v>70.922330097087368</v>
      </c>
      <c r="X199" s="4">
        <f t="shared" si="31"/>
        <v>98713.099999999977</v>
      </c>
      <c r="Y199" s="4">
        <f t="shared" si="33"/>
        <v>42329.8</v>
      </c>
      <c r="AA199" s="4">
        <v>11.9045707441638</v>
      </c>
      <c r="AD199" s="89" t="s">
        <v>53</v>
      </c>
    </row>
    <row r="200" spans="1:30" s="4" customFormat="1" x14ac:dyDescent="0.25">
      <c r="A200" s="72"/>
      <c r="B200" s="5"/>
      <c r="C200" s="6">
        <v>41716</v>
      </c>
      <c r="D200" s="4">
        <v>9.6</v>
      </c>
      <c r="E200" s="4">
        <v>8.9</v>
      </c>
      <c r="F200" s="4">
        <v>10</v>
      </c>
      <c r="G200" s="4">
        <f t="shared" ref="G200:G263" si="39">G199+D200</f>
        <v>1704.7000000000003</v>
      </c>
      <c r="H200" s="4">
        <f t="shared" si="32"/>
        <v>647.80000000000007</v>
      </c>
      <c r="J200" s="90">
        <v>0</v>
      </c>
      <c r="K200" s="4">
        <f t="shared" ref="K200:K263" si="40">K199+J200</f>
        <v>546.00000000000034</v>
      </c>
      <c r="L200" s="4">
        <v>1.5</v>
      </c>
      <c r="M200" s="4">
        <f t="shared" ref="M200:M263" si="41">M199+L200</f>
        <v>246.2</v>
      </c>
      <c r="N200" s="9">
        <f t="shared" si="38"/>
        <v>-1.5</v>
      </c>
      <c r="O200" s="4">
        <v>124.99999999999999</v>
      </c>
      <c r="P200" s="4">
        <v>195</v>
      </c>
      <c r="Q200" s="12">
        <f t="shared" si="34"/>
        <v>1.1305555555555555</v>
      </c>
      <c r="R200" s="10">
        <f t="shared" si="35"/>
        <v>1.6958333333333333</v>
      </c>
      <c r="S200" s="10">
        <f t="shared" si="36"/>
        <v>-1.6958333333333333</v>
      </c>
      <c r="T200" s="92">
        <f t="shared" ref="T200:T263" si="42">MIN(153.6,(T199+S200))</f>
        <v>121.47944444444447</v>
      </c>
      <c r="V200" s="11">
        <v>238.9</v>
      </c>
      <c r="W200" s="4">
        <f t="shared" si="37"/>
        <v>24.885416666666668</v>
      </c>
      <c r="X200" s="4">
        <f t="shared" ref="X200:X263" si="43">X199+V200</f>
        <v>98951.999999999971</v>
      </c>
      <c r="Y200" s="4">
        <f t="shared" si="33"/>
        <v>42568.700000000004</v>
      </c>
      <c r="AA200" s="4">
        <v>11.9689054131336</v>
      </c>
      <c r="AD200" s="12">
        <f>(AB188*(50/170))+(AB204*(120/170))</f>
        <v>108.75872257236233</v>
      </c>
    </row>
    <row r="201" spans="1:30" s="4" customFormat="1" x14ac:dyDescent="0.25">
      <c r="A201" s="72"/>
      <c r="B201" s="5"/>
      <c r="C201" s="6">
        <v>41717</v>
      </c>
      <c r="D201" s="4">
        <v>10.5</v>
      </c>
      <c r="E201" s="4">
        <v>6.3</v>
      </c>
      <c r="F201" s="4">
        <v>14.8</v>
      </c>
      <c r="G201" s="4">
        <f t="shared" si="39"/>
        <v>1715.2000000000003</v>
      </c>
      <c r="H201" s="4">
        <f t="shared" si="32"/>
        <v>658.30000000000007</v>
      </c>
      <c r="J201" s="90">
        <v>0</v>
      </c>
      <c r="K201" s="4">
        <f t="shared" si="40"/>
        <v>546.00000000000034</v>
      </c>
      <c r="L201" s="4">
        <v>2.2000000000000002</v>
      </c>
      <c r="M201" s="4">
        <f t="shared" si="41"/>
        <v>248.39999999999998</v>
      </c>
      <c r="N201" s="9">
        <f t="shared" si="38"/>
        <v>-2.2000000000000002</v>
      </c>
      <c r="O201" s="4">
        <v>122.79999999999998</v>
      </c>
      <c r="P201" s="4">
        <v>196</v>
      </c>
      <c r="Q201" s="12">
        <f t="shared" si="34"/>
        <v>1.1319444444444444</v>
      </c>
      <c r="R201" s="10">
        <f t="shared" si="35"/>
        <v>2.490277777777778</v>
      </c>
      <c r="S201" s="10">
        <f t="shared" si="36"/>
        <v>-2.490277777777778</v>
      </c>
      <c r="T201" s="92">
        <f t="shared" si="42"/>
        <v>118.98916666666669</v>
      </c>
      <c r="V201" s="4">
        <v>1485.4</v>
      </c>
      <c r="W201" s="4">
        <f t="shared" si="37"/>
        <v>141.46666666666667</v>
      </c>
      <c r="X201" s="4">
        <f t="shared" si="43"/>
        <v>100437.39999999997</v>
      </c>
      <c r="Y201" s="4">
        <f t="shared" si="33"/>
        <v>44054.100000000006</v>
      </c>
      <c r="AA201" s="4">
        <v>12.0332433609106</v>
      </c>
      <c r="AD201" s="89" t="s">
        <v>54</v>
      </c>
    </row>
    <row r="202" spans="1:30" s="4" customFormat="1" x14ac:dyDescent="0.25">
      <c r="A202" s="72"/>
      <c r="B202" s="5"/>
      <c r="C202" s="6">
        <v>41718</v>
      </c>
      <c r="D202" s="4">
        <v>12.9</v>
      </c>
      <c r="E202" s="4">
        <v>7.1</v>
      </c>
      <c r="F202" s="4">
        <v>18.2</v>
      </c>
      <c r="G202" s="4">
        <f t="shared" si="39"/>
        <v>1728.1000000000004</v>
      </c>
      <c r="H202" s="4">
        <f t="shared" si="32"/>
        <v>671.2</v>
      </c>
      <c r="J202" s="90">
        <v>4.5999999999999996</v>
      </c>
      <c r="K202" s="4">
        <f t="shared" si="40"/>
        <v>550.60000000000036</v>
      </c>
      <c r="L202" s="4">
        <v>3.1</v>
      </c>
      <c r="M202" s="4">
        <f t="shared" si="41"/>
        <v>251.49999999999997</v>
      </c>
      <c r="N202" s="4">
        <f t="shared" si="38"/>
        <v>1.4999999999999996</v>
      </c>
      <c r="O202" s="4">
        <v>124.29999999999998</v>
      </c>
      <c r="P202" s="4">
        <v>197</v>
      </c>
      <c r="Q202" s="12">
        <f t="shared" si="34"/>
        <v>1.1333333333333333</v>
      </c>
      <c r="R202" s="10">
        <f t="shared" si="35"/>
        <v>3.5133333333333332</v>
      </c>
      <c r="S202" s="10">
        <f t="shared" si="36"/>
        <v>1.0866666666666664</v>
      </c>
      <c r="T202" s="92">
        <f t="shared" si="42"/>
        <v>120.07583333333336</v>
      </c>
      <c r="V202" s="4">
        <v>1675.4</v>
      </c>
      <c r="W202" s="4">
        <f t="shared" si="37"/>
        <v>129.87596899224806</v>
      </c>
      <c r="X202" s="4">
        <f t="shared" si="43"/>
        <v>102112.79999999996</v>
      </c>
      <c r="Y202" s="4">
        <f t="shared" si="33"/>
        <v>45729.500000000007</v>
      </c>
      <c r="AA202" s="4">
        <v>12.0975787164433</v>
      </c>
      <c r="AD202" s="10">
        <f>(AB190*(50/170))+(AB206*(120/170))</f>
        <v>4.1764705882352944</v>
      </c>
    </row>
    <row r="203" spans="1:30" s="4" customFormat="1" x14ac:dyDescent="0.25">
      <c r="A203" s="72"/>
      <c r="B203" s="5"/>
      <c r="C203" s="6">
        <v>41719</v>
      </c>
      <c r="D203" s="4">
        <v>8.8000000000000007</v>
      </c>
      <c r="E203" s="4">
        <v>8.1999999999999993</v>
      </c>
      <c r="F203" s="4">
        <v>9.8000000000000007</v>
      </c>
      <c r="G203" s="4">
        <f t="shared" si="39"/>
        <v>1736.9000000000003</v>
      </c>
      <c r="H203" s="4">
        <f t="shared" si="32"/>
        <v>680</v>
      </c>
      <c r="I203" s="4">
        <v>10</v>
      </c>
      <c r="J203" s="90">
        <v>7.6</v>
      </c>
      <c r="K203" s="4">
        <f t="shared" si="40"/>
        <v>558.20000000000039</v>
      </c>
      <c r="L203" s="4">
        <v>1.8</v>
      </c>
      <c r="M203" s="4">
        <f t="shared" si="41"/>
        <v>253.29999999999998</v>
      </c>
      <c r="N203" s="4">
        <f t="shared" si="38"/>
        <v>5.8</v>
      </c>
      <c r="O203" s="4">
        <v>130.1</v>
      </c>
      <c r="P203" s="4">
        <v>198</v>
      </c>
      <c r="Q203" s="12">
        <f t="shared" si="34"/>
        <v>1.1347222222222222</v>
      </c>
      <c r="R203" s="10">
        <f t="shared" si="35"/>
        <v>2.0425</v>
      </c>
      <c r="S203" s="10">
        <f t="shared" si="36"/>
        <v>5.5574999999999992</v>
      </c>
      <c r="T203" s="92">
        <f t="shared" si="42"/>
        <v>125.63333333333337</v>
      </c>
      <c r="V203" s="4">
        <v>936.9</v>
      </c>
      <c r="W203" s="4">
        <f t="shared" si="37"/>
        <v>106.46590909090908</v>
      </c>
      <c r="X203" s="4">
        <f t="shared" si="43"/>
        <v>103049.69999999995</v>
      </c>
      <c r="Y203" s="4">
        <f t="shared" si="33"/>
        <v>46666.400000000009</v>
      </c>
      <c r="AA203" s="4">
        <v>12.1619056787767</v>
      </c>
      <c r="AB203" s="89" t="s">
        <v>53</v>
      </c>
      <c r="AD203" s="89" t="s">
        <v>55</v>
      </c>
    </row>
    <row r="204" spans="1:30" s="4" customFormat="1" x14ac:dyDescent="0.25">
      <c r="A204" s="72"/>
      <c r="B204" s="5"/>
      <c r="C204" s="6">
        <v>41720</v>
      </c>
      <c r="D204" s="4">
        <v>6</v>
      </c>
      <c r="E204" s="4">
        <v>5.7</v>
      </c>
      <c r="F204" s="4">
        <v>7.1</v>
      </c>
      <c r="G204" s="4">
        <f t="shared" si="39"/>
        <v>1742.9000000000003</v>
      </c>
      <c r="H204" s="4">
        <f t="shared" si="32"/>
        <v>686</v>
      </c>
      <c r="J204" s="90">
        <v>3.6</v>
      </c>
      <c r="K204" s="4">
        <f t="shared" si="40"/>
        <v>561.80000000000041</v>
      </c>
      <c r="L204" s="4">
        <v>1.5</v>
      </c>
      <c r="M204" s="4">
        <f t="shared" si="41"/>
        <v>254.79999999999998</v>
      </c>
      <c r="N204" s="4">
        <f t="shared" si="38"/>
        <v>2.1</v>
      </c>
      <c r="O204" s="4">
        <v>132.19999999999999</v>
      </c>
      <c r="P204" s="4">
        <v>199</v>
      </c>
      <c r="Q204" s="12">
        <f t="shared" si="34"/>
        <v>1.1361111111111111</v>
      </c>
      <c r="R204" s="10">
        <f t="shared" si="35"/>
        <v>1.7041666666666666</v>
      </c>
      <c r="S204" s="10">
        <f t="shared" si="36"/>
        <v>1.8958333333333335</v>
      </c>
      <c r="T204" s="92">
        <f t="shared" si="42"/>
        <v>127.5291666666667</v>
      </c>
      <c r="V204" s="11">
        <v>816.7</v>
      </c>
      <c r="W204" s="4">
        <f t="shared" si="37"/>
        <v>136.11666666666667</v>
      </c>
      <c r="X204" s="4">
        <f t="shared" si="43"/>
        <v>103866.39999999995</v>
      </c>
      <c r="Y204" s="4">
        <f t="shared" si="33"/>
        <v>47483.100000000006</v>
      </c>
      <c r="AA204" s="4">
        <v>12.226218497462799</v>
      </c>
      <c r="AB204" s="10">
        <f>AVERAGE(T210:T223)</f>
        <v>101.65373015873021</v>
      </c>
      <c r="AD204" s="10">
        <f>(AB192*(50/170))+(AB208*(120/170))</f>
        <v>6.7058823529411766</v>
      </c>
    </row>
    <row r="205" spans="1:30" s="23" customFormat="1" x14ac:dyDescent="0.25">
      <c r="A205" s="72"/>
      <c r="B205" s="21"/>
      <c r="C205" s="22">
        <v>41721</v>
      </c>
      <c r="D205" s="23">
        <v>5.8</v>
      </c>
      <c r="E205" s="24">
        <v>2.6</v>
      </c>
      <c r="F205" s="23">
        <v>10.4</v>
      </c>
      <c r="G205" s="23">
        <f t="shared" si="39"/>
        <v>1748.7000000000003</v>
      </c>
      <c r="H205" s="23">
        <f t="shared" si="32"/>
        <v>691.8</v>
      </c>
      <c r="J205" s="91">
        <v>1.9</v>
      </c>
      <c r="K205" s="23">
        <f t="shared" si="40"/>
        <v>563.70000000000039</v>
      </c>
      <c r="L205" s="23">
        <v>1.6</v>
      </c>
      <c r="M205" s="23">
        <f t="shared" si="41"/>
        <v>256.39999999999998</v>
      </c>
      <c r="N205" s="23">
        <f t="shared" si="38"/>
        <v>0.29999999999999982</v>
      </c>
      <c r="O205" s="23">
        <v>132.5</v>
      </c>
      <c r="P205" s="23">
        <v>200</v>
      </c>
      <c r="Q205" s="12">
        <f t="shared" si="34"/>
        <v>1.1375</v>
      </c>
      <c r="R205" s="25">
        <f t="shared" si="35"/>
        <v>1.82</v>
      </c>
      <c r="S205" s="25">
        <f t="shared" si="36"/>
        <v>7.9999999999999849E-2</v>
      </c>
      <c r="T205" s="92">
        <f t="shared" si="42"/>
        <v>127.6091666666667</v>
      </c>
      <c r="V205" s="26">
        <v>645</v>
      </c>
      <c r="W205" s="23">
        <f t="shared" si="37"/>
        <v>111.20689655172414</v>
      </c>
      <c r="X205" s="23">
        <f t="shared" si="43"/>
        <v>104511.39999999995</v>
      </c>
      <c r="Y205" s="4">
        <f t="shared" si="33"/>
        <v>48128.100000000006</v>
      </c>
      <c r="AA205" s="4">
        <v>12.290511453091099</v>
      </c>
      <c r="AB205" s="89" t="s">
        <v>54</v>
      </c>
      <c r="AD205" s="89" t="s">
        <v>56</v>
      </c>
    </row>
    <row r="206" spans="1:30" s="4" customFormat="1" x14ac:dyDescent="0.25">
      <c r="A206" s="72"/>
      <c r="B206" s="27"/>
      <c r="C206" s="22">
        <v>41722</v>
      </c>
      <c r="D206" s="4">
        <v>5.9</v>
      </c>
      <c r="E206" s="4">
        <v>1.9</v>
      </c>
      <c r="F206" s="4">
        <v>10.4</v>
      </c>
      <c r="G206" s="4">
        <f t="shared" si="39"/>
        <v>1754.6000000000004</v>
      </c>
      <c r="H206" s="4">
        <f t="shared" si="32"/>
        <v>697.69999999999993</v>
      </c>
      <c r="J206" s="90">
        <v>0</v>
      </c>
      <c r="K206" s="4">
        <f t="shared" si="40"/>
        <v>563.70000000000039</v>
      </c>
      <c r="L206" s="4">
        <v>2</v>
      </c>
      <c r="M206" s="4">
        <f t="shared" si="41"/>
        <v>258.39999999999998</v>
      </c>
      <c r="N206" s="4">
        <f t="shared" si="38"/>
        <v>-2</v>
      </c>
      <c r="O206" s="4">
        <v>130.5</v>
      </c>
      <c r="P206" s="4">
        <v>201</v>
      </c>
      <c r="Q206" s="12">
        <f t="shared" si="34"/>
        <v>1.1388888888888888</v>
      </c>
      <c r="R206" s="10">
        <f t="shared" si="35"/>
        <v>2.2777777777777777</v>
      </c>
      <c r="S206" s="10">
        <f t="shared" si="36"/>
        <v>-2.2777777777777777</v>
      </c>
      <c r="T206" s="92">
        <f t="shared" si="42"/>
        <v>125.33138888888892</v>
      </c>
      <c r="V206" s="4">
        <v>1415.6</v>
      </c>
      <c r="W206" s="4">
        <f t="shared" si="37"/>
        <v>239.93220338983048</v>
      </c>
      <c r="X206" s="4">
        <f t="shared" si="43"/>
        <v>105926.99999999996</v>
      </c>
      <c r="Y206" s="4">
        <f t="shared" si="33"/>
        <v>49543.700000000004</v>
      </c>
      <c r="AA206" s="4">
        <v>12.354778837928301</v>
      </c>
      <c r="AB206" s="4">
        <v>3</v>
      </c>
      <c r="AD206" s="4">
        <f>(AB194*(50/170))+(AB210*(120/170))</f>
        <v>0</v>
      </c>
    </row>
    <row r="207" spans="1:30" s="4" customFormat="1" x14ac:dyDescent="0.25">
      <c r="A207" s="72"/>
      <c r="B207" s="27"/>
      <c r="C207" s="6">
        <v>41723</v>
      </c>
      <c r="D207" s="4">
        <v>6.6</v>
      </c>
      <c r="E207" s="13">
        <v>1</v>
      </c>
      <c r="F207" s="4">
        <v>11.1</v>
      </c>
      <c r="G207" s="4">
        <f t="shared" si="39"/>
        <v>1761.2000000000003</v>
      </c>
      <c r="H207" s="4">
        <f t="shared" si="32"/>
        <v>704.3</v>
      </c>
      <c r="I207" s="4">
        <v>-10</v>
      </c>
      <c r="J207" s="90">
        <v>0</v>
      </c>
      <c r="K207" s="4">
        <f t="shared" si="40"/>
        <v>563.70000000000039</v>
      </c>
      <c r="L207" s="4">
        <v>2.4</v>
      </c>
      <c r="M207" s="4">
        <f t="shared" si="41"/>
        <v>260.79999999999995</v>
      </c>
      <c r="N207" s="9">
        <f t="shared" si="38"/>
        <v>-2.4</v>
      </c>
      <c r="O207" s="4">
        <v>128.1</v>
      </c>
      <c r="P207" s="4">
        <v>202</v>
      </c>
      <c r="Q207" s="12">
        <f t="shared" si="34"/>
        <v>1.1402777777777777</v>
      </c>
      <c r="R207" s="10">
        <f t="shared" si="35"/>
        <v>2.7366666666666664</v>
      </c>
      <c r="S207" s="10">
        <f t="shared" si="36"/>
        <v>-2.7366666666666664</v>
      </c>
      <c r="T207" s="92">
        <f t="shared" si="42"/>
        <v>122.59472222222226</v>
      </c>
      <c r="U207" s="28"/>
      <c r="V207" s="4">
        <v>1358.3</v>
      </c>
      <c r="W207" s="4">
        <f t="shared" si="37"/>
        <v>205.80303030303031</v>
      </c>
      <c r="X207" s="4">
        <f t="shared" si="43"/>
        <v>107285.29999999996</v>
      </c>
      <c r="Y207" s="4">
        <f t="shared" si="33"/>
        <v>50902.000000000007</v>
      </c>
      <c r="AA207" s="4">
        <v>12.419014936659099</v>
      </c>
      <c r="AB207" s="89" t="s">
        <v>55</v>
      </c>
      <c r="AD207" s="89" t="s">
        <v>57</v>
      </c>
    </row>
    <row r="208" spans="1:30" s="4" customFormat="1" x14ac:dyDescent="0.25">
      <c r="A208" s="72"/>
      <c r="B208" s="27"/>
      <c r="C208" s="6">
        <v>41724</v>
      </c>
      <c r="D208" s="4">
        <v>5.5</v>
      </c>
      <c r="E208" s="13">
        <v>2.2000000000000002</v>
      </c>
      <c r="F208" s="4">
        <v>9.1999999999999993</v>
      </c>
      <c r="G208" s="4">
        <f t="shared" si="39"/>
        <v>1766.7000000000003</v>
      </c>
      <c r="H208" s="4">
        <f t="shared" si="32"/>
        <v>709.8</v>
      </c>
      <c r="J208" s="90">
        <v>1</v>
      </c>
      <c r="K208" s="4">
        <f t="shared" si="40"/>
        <v>564.70000000000039</v>
      </c>
      <c r="L208" s="4">
        <v>1.9</v>
      </c>
      <c r="M208" s="4">
        <f t="shared" si="41"/>
        <v>262.69999999999993</v>
      </c>
      <c r="N208" s="9">
        <f t="shared" si="38"/>
        <v>-0.89999999999999991</v>
      </c>
      <c r="O208" s="4">
        <v>127.19999999999999</v>
      </c>
      <c r="P208" s="4">
        <v>203</v>
      </c>
      <c r="Q208" s="12">
        <f t="shared" si="34"/>
        <v>1.1416666666666666</v>
      </c>
      <c r="R208" s="10">
        <f t="shared" si="35"/>
        <v>2.1691666666666665</v>
      </c>
      <c r="S208" s="10">
        <f t="shared" si="36"/>
        <v>-1.1691666666666665</v>
      </c>
      <c r="T208" s="10">
        <f t="shared" si="42"/>
        <v>121.42555555555559</v>
      </c>
      <c r="V208" s="4">
        <v>951.5</v>
      </c>
      <c r="W208" s="4">
        <f t="shared" si="37"/>
        <v>173</v>
      </c>
      <c r="X208" s="4">
        <f t="shared" si="43"/>
        <v>108236.79999999996</v>
      </c>
      <c r="Y208" s="4">
        <f t="shared" si="33"/>
        <v>51853.500000000007</v>
      </c>
      <c r="AA208" s="4">
        <v>12.4832140072194</v>
      </c>
      <c r="AB208" s="4">
        <v>7</v>
      </c>
      <c r="AD208" s="10">
        <f>(AB196*(50/170))+(AB212*(120/170))</f>
        <v>10.994117647058824</v>
      </c>
    </row>
    <row r="209" spans="1:28" s="4" customFormat="1" x14ac:dyDescent="0.25">
      <c r="A209" s="72"/>
      <c r="B209" s="27"/>
      <c r="C209" s="6">
        <v>41725</v>
      </c>
      <c r="D209" s="4">
        <v>5.9</v>
      </c>
      <c r="E209" s="17">
        <v>-0.3</v>
      </c>
      <c r="F209" s="4">
        <v>10.4</v>
      </c>
      <c r="G209" s="4">
        <f t="shared" si="39"/>
        <v>1772.6000000000004</v>
      </c>
      <c r="H209" s="4">
        <f t="shared" si="32"/>
        <v>715.69999999999993</v>
      </c>
      <c r="J209" s="90">
        <v>0.4</v>
      </c>
      <c r="K209" s="4">
        <f t="shared" si="40"/>
        <v>565.10000000000036</v>
      </c>
      <c r="L209" s="4">
        <v>1.8</v>
      </c>
      <c r="M209" s="4">
        <f t="shared" si="41"/>
        <v>264.49999999999994</v>
      </c>
      <c r="N209" s="9">
        <f t="shared" si="38"/>
        <v>-1.4</v>
      </c>
      <c r="O209" s="4">
        <v>125.79999999999998</v>
      </c>
      <c r="P209" s="4">
        <v>204</v>
      </c>
      <c r="Q209" s="12">
        <f t="shared" si="34"/>
        <v>1.1430555555555555</v>
      </c>
      <c r="R209" s="10">
        <f t="shared" si="35"/>
        <v>2.0575000000000001</v>
      </c>
      <c r="S209" s="10">
        <f t="shared" si="36"/>
        <v>-1.6575000000000002</v>
      </c>
      <c r="T209" s="10">
        <f t="shared" si="42"/>
        <v>119.76805555555559</v>
      </c>
      <c r="V209" s="4">
        <v>1374.9</v>
      </c>
      <c r="W209" s="4">
        <f t="shared" si="37"/>
        <v>233.03389830508473</v>
      </c>
      <c r="X209" s="4">
        <f t="shared" si="43"/>
        <v>109611.69999999995</v>
      </c>
      <c r="Y209" s="4">
        <f t="shared" si="33"/>
        <v>53228.400000000009</v>
      </c>
      <c r="AA209" s="4">
        <v>12.5473702617134</v>
      </c>
      <c r="AB209" s="89" t="s">
        <v>56</v>
      </c>
    </row>
    <row r="210" spans="1:28" s="4" customFormat="1" x14ac:dyDescent="0.25">
      <c r="A210" s="72"/>
      <c r="B210" s="27"/>
      <c r="C210" s="6">
        <v>41726</v>
      </c>
      <c r="D210" s="4">
        <v>8.6</v>
      </c>
      <c r="E210" s="13">
        <v>0.9</v>
      </c>
      <c r="F210" s="4">
        <v>14.2</v>
      </c>
      <c r="G210" s="4">
        <f t="shared" si="39"/>
        <v>1781.2000000000003</v>
      </c>
      <c r="H210" s="4">
        <f t="shared" si="32"/>
        <v>724.3</v>
      </c>
      <c r="J210" s="90">
        <v>0</v>
      </c>
      <c r="K210" s="4">
        <f t="shared" si="40"/>
        <v>565.10000000000036</v>
      </c>
      <c r="L210" s="4">
        <v>1.5</v>
      </c>
      <c r="M210" s="4">
        <f t="shared" si="41"/>
        <v>265.99999999999994</v>
      </c>
      <c r="N210" s="9">
        <f t="shared" si="38"/>
        <v>-1.5</v>
      </c>
      <c r="O210" s="4">
        <v>124.29999999999998</v>
      </c>
      <c r="P210" s="4">
        <v>205</v>
      </c>
      <c r="Q210" s="12">
        <f t="shared" si="34"/>
        <v>1.1444444444444444</v>
      </c>
      <c r="R210" s="10">
        <f t="shared" si="35"/>
        <v>1.7166666666666666</v>
      </c>
      <c r="S210" s="10">
        <f t="shared" si="36"/>
        <v>-1.7166666666666666</v>
      </c>
      <c r="T210" s="92">
        <f t="shared" si="42"/>
        <v>118.05138888888892</v>
      </c>
      <c r="V210" s="4">
        <v>1132.2</v>
      </c>
      <c r="W210" s="4">
        <f t="shared" si="37"/>
        <v>131.6511627906977</v>
      </c>
      <c r="X210" s="4">
        <f t="shared" si="43"/>
        <v>110743.89999999995</v>
      </c>
      <c r="Y210" s="4">
        <f t="shared" si="33"/>
        <v>54360.600000000006</v>
      </c>
      <c r="AA210" s="4">
        <v>12.6114778474041</v>
      </c>
      <c r="AB210" s="4">
        <v>0</v>
      </c>
    </row>
    <row r="211" spans="1:28" s="4" customFormat="1" x14ac:dyDescent="0.25">
      <c r="A211" s="72"/>
      <c r="B211" s="27"/>
      <c r="C211" s="6">
        <v>41727</v>
      </c>
      <c r="D211" s="4">
        <v>11.9</v>
      </c>
      <c r="E211" s="13">
        <v>3.6</v>
      </c>
      <c r="F211" s="4">
        <v>18.600000000000001</v>
      </c>
      <c r="G211" s="4">
        <f t="shared" si="39"/>
        <v>1793.1000000000004</v>
      </c>
      <c r="H211" s="4">
        <f t="shared" si="32"/>
        <v>736.19999999999993</v>
      </c>
      <c r="J211" s="90">
        <v>0</v>
      </c>
      <c r="K211" s="4">
        <f t="shared" si="40"/>
        <v>565.10000000000036</v>
      </c>
      <c r="L211" s="4">
        <v>3.1</v>
      </c>
      <c r="M211" s="4">
        <f t="shared" si="41"/>
        <v>269.09999999999997</v>
      </c>
      <c r="N211" s="9">
        <f t="shared" si="38"/>
        <v>-3.1</v>
      </c>
      <c r="O211" s="4">
        <v>121.19999999999999</v>
      </c>
      <c r="P211" s="4">
        <v>206</v>
      </c>
      <c r="Q211" s="12">
        <f t="shared" si="34"/>
        <v>1.1458333333333333</v>
      </c>
      <c r="R211" s="10">
        <f t="shared" si="35"/>
        <v>3.552083333333333</v>
      </c>
      <c r="S211" s="10">
        <f t="shared" si="36"/>
        <v>-3.552083333333333</v>
      </c>
      <c r="T211" s="92">
        <f t="shared" si="42"/>
        <v>114.49930555555559</v>
      </c>
      <c r="V211" s="4">
        <v>1709.6</v>
      </c>
      <c r="W211" s="4">
        <f t="shared" si="37"/>
        <v>143.66386554621849</v>
      </c>
      <c r="X211" s="4">
        <f t="shared" si="43"/>
        <v>112453.49999999996</v>
      </c>
      <c r="Y211" s="4">
        <f t="shared" si="33"/>
        <v>56070.200000000004</v>
      </c>
      <c r="AA211" s="4">
        <v>12.6755308277724</v>
      </c>
      <c r="AB211" s="89" t="s">
        <v>57</v>
      </c>
    </row>
    <row r="212" spans="1:28" s="4" customFormat="1" x14ac:dyDescent="0.25">
      <c r="A212" s="72"/>
      <c r="B212" s="27"/>
      <c r="C212" s="6">
        <v>41728</v>
      </c>
      <c r="D212" s="4">
        <v>13.6</v>
      </c>
      <c r="E212" s="4">
        <v>7.8</v>
      </c>
      <c r="F212" s="4">
        <v>19.5</v>
      </c>
      <c r="G212" s="4">
        <f t="shared" si="39"/>
        <v>1806.7000000000003</v>
      </c>
      <c r="H212" s="4">
        <f t="shared" ref="H212:H275" si="44">H211+D212</f>
        <v>749.8</v>
      </c>
      <c r="J212" s="90">
        <v>0</v>
      </c>
      <c r="K212" s="4">
        <f t="shared" si="40"/>
        <v>565.10000000000036</v>
      </c>
      <c r="L212" s="4">
        <v>2.6</v>
      </c>
      <c r="M212" s="4">
        <f t="shared" si="41"/>
        <v>271.7</v>
      </c>
      <c r="N212" s="9">
        <f t="shared" si="38"/>
        <v>-2.6</v>
      </c>
      <c r="O212" s="4">
        <v>118.6</v>
      </c>
      <c r="P212" s="4">
        <v>207</v>
      </c>
      <c r="Q212" s="12">
        <f t="shared" si="34"/>
        <v>1.1472222222222221</v>
      </c>
      <c r="R212" s="10">
        <f t="shared" si="35"/>
        <v>2.9827777777777778</v>
      </c>
      <c r="S212" s="10">
        <f t="shared" si="36"/>
        <v>-2.9827777777777778</v>
      </c>
      <c r="T212" s="92">
        <f t="shared" si="42"/>
        <v>111.51652777777781</v>
      </c>
      <c r="V212" s="4">
        <v>1485.8</v>
      </c>
      <c r="W212" s="4">
        <f t="shared" si="37"/>
        <v>109.25</v>
      </c>
      <c r="X212" s="4">
        <f t="shared" si="43"/>
        <v>113939.29999999996</v>
      </c>
      <c r="Y212" s="4">
        <f t="shared" ref="Y212:Y275" si="45">Y211+V212</f>
        <v>57556.000000000007</v>
      </c>
      <c r="AA212" s="4">
        <v>12.7395231636344</v>
      </c>
      <c r="AB212" s="4">
        <f>SUM(J214:J223)</f>
        <v>8.1999999999999993</v>
      </c>
    </row>
    <row r="213" spans="1:28" s="78" customFormat="1" x14ac:dyDescent="0.25">
      <c r="A213" s="72"/>
      <c r="B213" s="88" t="s">
        <v>51</v>
      </c>
      <c r="C213" s="77">
        <v>41729</v>
      </c>
      <c r="D213" s="78">
        <v>14.5</v>
      </c>
      <c r="E213" s="78">
        <v>7.6</v>
      </c>
      <c r="F213" s="78">
        <v>20.5</v>
      </c>
      <c r="G213" s="78">
        <f t="shared" si="39"/>
        <v>1821.2000000000003</v>
      </c>
      <c r="H213" s="78">
        <f t="shared" si="44"/>
        <v>764.3</v>
      </c>
      <c r="J213" s="78">
        <v>0</v>
      </c>
      <c r="K213" s="78">
        <f t="shared" si="40"/>
        <v>565.10000000000036</v>
      </c>
      <c r="L213" s="78">
        <v>2.5</v>
      </c>
      <c r="M213" s="78">
        <f t="shared" si="41"/>
        <v>274.2</v>
      </c>
      <c r="N213" s="79">
        <f t="shared" si="38"/>
        <v>-2.5</v>
      </c>
      <c r="O213" s="78">
        <v>116.1</v>
      </c>
      <c r="P213" s="78">
        <v>208</v>
      </c>
      <c r="Q213" s="80">
        <f t="shared" si="34"/>
        <v>1.148611111111111</v>
      </c>
      <c r="R213" s="81">
        <f t="shared" si="35"/>
        <v>2.8715277777777777</v>
      </c>
      <c r="S213" s="81">
        <f t="shared" si="36"/>
        <v>-2.8715277777777777</v>
      </c>
      <c r="T213" s="81">
        <f t="shared" si="42"/>
        <v>108.64500000000004</v>
      </c>
      <c r="V213" s="78">
        <v>1456.4</v>
      </c>
      <c r="W213" s="78">
        <f t="shared" si="37"/>
        <v>100.44137931034483</v>
      </c>
      <c r="X213" s="78">
        <f t="shared" si="43"/>
        <v>115395.69999999995</v>
      </c>
      <c r="Y213" s="78">
        <f t="shared" si="45"/>
        <v>59012.400000000009</v>
      </c>
      <c r="AA213" s="78">
        <v>12.8034486943122</v>
      </c>
    </row>
    <row r="214" spans="1:28" s="49" customFormat="1" ht="15.75" thickBot="1" x14ac:dyDescent="0.3">
      <c r="A214" s="72"/>
      <c r="B214" s="55"/>
      <c r="C214" s="48">
        <v>41730</v>
      </c>
      <c r="D214" s="49">
        <v>14.6</v>
      </c>
      <c r="E214" s="49">
        <v>8.9</v>
      </c>
      <c r="F214" s="49">
        <v>20</v>
      </c>
      <c r="G214" s="49">
        <f t="shared" si="39"/>
        <v>1835.8000000000002</v>
      </c>
      <c r="H214" s="49">
        <f t="shared" si="44"/>
        <v>778.9</v>
      </c>
      <c r="J214" s="94">
        <v>0</v>
      </c>
      <c r="K214" s="49">
        <f t="shared" si="40"/>
        <v>565.10000000000036</v>
      </c>
      <c r="L214" s="49">
        <v>2.7</v>
      </c>
      <c r="M214" s="49">
        <f t="shared" si="41"/>
        <v>276.89999999999998</v>
      </c>
      <c r="N214" s="56">
        <f t="shared" si="38"/>
        <v>-2.7</v>
      </c>
      <c r="O214" s="49">
        <v>113.39999999999999</v>
      </c>
      <c r="P214" s="49">
        <v>209</v>
      </c>
      <c r="Q214" s="51">
        <f t="shared" si="34"/>
        <v>1.1499999999999999</v>
      </c>
      <c r="R214" s="52">
        <f t="shared" si="35"/>
        <v>3.105</v>
      </c>
      <c r="S214" s="52">
        <f t="shared" si="36"/>
        <v>-3.105</v>
      </c>
      <c r="T214" s="95">
        <f t="shared" si="42"/>
        <v>105.54000000000003</v>
      </c>
      <c r="V214" s="49">
        <v>1501.7</v>
      </c>
      <c r="W214" s="49">
        <f t="shared" si="37"/>
        <v>102.85616438356165</v>
      </c>
      <c r="X214" s="49">
        <f t="shared" si="43"/>
        <v>116897.39999999995</v>
      </c>
      <c r="Y214" s="54">
        <f t="shared" si="45"/>
        <v>60514.100000000006</v>
      </c>
      <c r="AA214" s="54">
        <v>12.8673011188519</v>
      </c>
    </row>
    <row r="215" spans="1:28" s="4" customFormat="1" x14ac:dyDescent="0.25">
      <c r="A215" s="29" t="s">
        <v>45</v>
      </c>
      <c r="B215" s="30"/>
      <c r="C215" s="6">
        <v>41731</v>
      </c>
      <c r="D215" s="4">
        <v>15</v>
      </c>
      <c r="E215" s="4">
        <v>8.4</v>
      </c>
      <c r="F215" s="4">
        <v>19.899999999999999</v>
      </c>
      <c r="G215" s="4">
        <f t="shared" si="39"/>
        <v>1850.8000000000002</v>
      </c>
      <c r="H215" s="31">
        <v>15</v>
      </c>
      <c r="I215" s="32" t="s">
        <v>26</v>
      </c>
      <c r="J215" s="90">
        <v>0</v>
      </c>
      <c r="K215" s="4">
        <f t="shared" si="40"/>
        <v>565.10000000000036</v>
      </c>
      <c r="L215" s="4">
        <v>2.2999999999999998</v>
      </c>
      <c r="M215" s="4">
        <f t="shared" si="41"/>
        <v>279.2</v>
      </c>
      <c r="N215" s="9">
        <f t="shared" si="38"/>
        <v>-2.2999999999999998</v>
      </c>
      <c r="O215" s="4">
        <v>111.1</v>
      </c>
      <c r="P215" s="4">
        <v>210</v>
      </c>
      <c r="Q215" s="4">
        <v>1.1499999999999999</v>
      </c>
      <c r="R215" s="10">
        <f t="shared" si="35"/>
        <v>2.6449999999999996</v>
      </c>
      <c r="S215" s="10">
        <f t="shared" si="36"/>
        <v>-2.6449999999999996</v>
      </c>
      <c r="T215" s="92">
        <f t="shared" si="42"/>
        <v>102.89500000000004</v>
      </c>
      <c r="U215" s="32" t="s">
        <v>27</v>
      </c>
      <c r="V215" s="4">
        <v>1503.5</v>
      </c>
      <c r="W215" s="4">
        <f t="shared" si="37"/>
        <v>100.23333333333333</v>
      </c>
      <c r="X215" s="4">
        <f t="shared" si="43"/>
        <v>118400.89999999995</v>
      </c>
      <c r="Y215" s="4">
        <v>1503.5</v>
      </c>
      <c r="Z215" s="32" t="s">
        <v>28</v>
      </c>
      <c r="AA215" s="4">
        <v>12.931073977284401</v>
      </c>
    </row>
    <row r="216" spans="1:28" s="4" customFormat="1" x14ac:dyDescent="0.25">
      <c r="A216" s="29"/>
      <c r="B216" s="30"/>
      <c r="C216" s="6">
        <v>41732</v>
      </c>
      <c r="D216" s="4">
        <v>15.3</v>
      </c>
      <c r="E216" s="4">
        <v>11.4</v>
      </c>
      <c r="F216" s="4">
        <v>19.600000000000001</v>
      </c>
      <c r="G216" s="4">
        <f t="shared" si="39"/>
        <v>1866.1000000000001</v>
      </c>
      <c r="H216" s="4">
        <f t="shared" si="44"/>
        <v>30.3</v>
      </c>
      <c r="I216" s="4">
        <f>MIN(E215:E235)</f>
        <v>3.6</v>
      </c>
      <c r="J216" s="90">
        <v>0</v>
      </c>
      <c r="K216" s="4">
        <f t="shared" si="40"/>
        <v>565.10000000000036</v>
      </c>
      <c r="L216" s="4">
        <v>2</v>
      </c>
      <c r="M216" s="4">
        <f t="shared" si="41"/>
        <v>281.2</v>
      </c>
      <c r="N216" s="9">
        <f t="shared" si="38"/>
        <v>-2</v>
      </c>
      <c r="O216" s="4">
        <v>109.1</v>
      </c>
      <c r="P216" s="4">
        <v>211</v>
      </c>
      <c r="Q216" s="4">
        <v>1.1499999999999999</v>
      </c>
      <c r="R216" s="10">
        <f t="shared" si="35"/>
        <v>2.2999999999999998</v>
      </c>
      <c r="S216" s="10">
        <f t="shared" si="36"/>
        <v>-2.2999999999999998</v>
      </c>
      <c r="T216" s="92">
        <f t="shared" si="42"/>
        <v>100.59500000000004</v>
      </c>
      <c r="U216" s="4">
        <v>18</v>
      </c>
      <c r="V216" s="11">
        <v>659.4</v>
      </c>
      <c r="W216" s="4">
        <f t="shared" si="37"/>
        <v>43.098039215686271</v>
      </c>
      <c r="X216" s="4">
        <f t="shared" si="43"/>
        <v>119060.29999999994</v>
      </c>
      <c r="Y216" s="4">
        <f t="shared" si="45"/>
        <v>2162.9</v>
      </c>
      <c r="Z216" s="4">
        <v>28736.300000000003</v>
      </c>
      <c r="AA216" s="4">
        <v>12.9947606319252</v>
      </c>
    </row>
    <row r="217" spans="1:28" s="4" customFormat="1" x14ac:dyDescent="0.25">
      <c r="A217" s="29" t="s">
        <v>46</v>
      </c>
      <c r="B217" s="30"/>
      <c r="C217" s="6">
        <v>41733</v>
      </c>
      <c r="D217" s="4">
        <v>11.8</v>
      </c>
      <c r="E217" s="4">
        <v>11.2</v>
      </c>
      <c r="F217" s="4">
        <v>13.8</v>
      </c>
      <c r="G217" s="4">
        <f t="shared" si="39"/>
        <v>1877.9</v>
      </c>
      <c r="H217" s="4">
        <f t="shared" si="44"/>
        <v>42.1</v>
      </c>
      <c r="I217" s="32" t="s">
        <v>29</v>
      </c>
      <c r="J217" s="90">
        <v>0</v>
      </c>
      <c r="K217" s="4">
        <f t="shared" si="40"/>
        <v>565.10000000000036</v>
      </c>
      <c r="L217" s="4">
        <v>1.3</v>
      </c>
      <c r="M217" s="4">
        <f t="shared" si="41"/>
        <v>282.5</v>
      </c>
      <c r="N217" s="9">
        <f t="shared" si="38"/>
        <v>-1.3</v>
      </c>
      <c r="O217" s="4">
        <v>107.8</v>
      </c>
      <c r="P217" s="4">
        <v>212</v>
      </c>
      <c r="Q217" s="4">
        <v>1.1499999999999999</v>
      </c>
      <c r="R217" s="10">
        <f t="shared" si="35"/>
        <v>1.4949999999999999</v>
      </c>
      <c r="S217" s="10">
        <f t="shared" si="36"/>
        <v>-1.4949999999999999</v>
      </c>
      <c r="T217" s="92">
        <f t="shared" si="42"/>
        <v>99.100000000000037</v>
      </c>
      <c r="U217" s="32" t="s">
        <v>30</v>
      </c>
      <c r="V217" s="11">
        <v>383.5</v>
      </c>
      <c r="W217" s="4">
        <f t="shared" si="37"/>
        <v>32.5</v>
      </c>
      <c r="X217" s="4">
        <f t="shared" si="43"/>
        <v>119443.79999999994</v>
      </c>
      <c r="Y217" s="4">
        <f t="shared" si="45"/>
        <v>2546.4</v>
      </c>
      <c r="Z217" s="32" t="s">
        <v>31</v>
      </c>
      <c r="AA217" s="4">
        <v>13.0583542487133</v>
      </c>
    </row>
    <row r="218" spans="1:28" s="4" customFormat="1" x14ac:dyDescent="0.25">
      <c r="A218" s="29"/>
      <c r="B218" s="30"/>
      <c r="C218" s="6">
        <v>41734</v>
      </c>
      <c r="D218" s="4">
        <v>12.6</v>
      </c>
      <c r="E218" s="4">
        <v>6</v>
      </c>
      <c r="F218" s="4">
        <v>17.3</v>
      </c>
      <c r="G218" s="4">
        <f t="shared" si="39"/>
        <v>1890.5</v>
      </c>
      <c r="H218" s="4">
        <f t="shared" si="44"/>
        <v>54.7</v>
      </c>
      <c r="I218" s="4">
        <f>MAX(F215:F235)</f>
        <v>21</v>
      </c>
      <c r="J218" s="90">
        <v>0</v>
      </c>
      <c r="K218" s="4">
        <f t="shared" si="40"/>
        <v>565.10000000000036</v>
      </c>
      <c r="L218" s="4">
        <v>3.1</v>
      </c>
      <c r="M218" s="4">
        <f t="shared" si="41"/>
        <v>285.60000000000002</v>
      </c>
      <c r="N218" s="9">
        <f t="shared" si="38"/>
        <v>-3.1</v>
      </c>
      <c r="O218" s="4">
        <v>104.7</v>
      </c>
      <c r="P218" s="4">
        <v>213</v>
      </c>
      <c r="Q218" s="4">
        <v>1.1499999999999999</v>
      </c>
      <c r="R218" s="10">
        <f t="shared" si="35"/>
        <v>3.5649999999999999</v>
      </c>
      <c r="S218" s="10">
        <f t="shared" si="36"/>
        <v>-3.5649999999999999</v>
      </c>
      <c r="T218" s="92">
        <f t="shared" si="42"/>
        <v>95.535000000000039</v>
      </c>
      <c r="U218" s="4">
        <v>0</v>
      </c>
      <c r="V218" s="4">
        <v>1774.5</v>
      </c>
      <c r="W218" s="4">
        <f t="shared" si="37"/>
        <v>140.83333333333334</v>
      </c>
      <c r="X218" s="4">
        <f t="shared" si="43"/>
        <v>121218.29999999994</v>
      </c>
      <c r="Y218" s="4">
        <f t="shared" si="45"/>
        <v>4320.8999999999996</v>
      </c>
      <c r="Z218" s="12">
        <f>(Z216/100)/I228</f>
        <v>1.1729102040816328</v>
      </c>
      <c r="AA218" s="4">
        <v>13.121847778586201</v>
      </c>
    </row>
    <row r="219" spans="1:28" s="4" customFormat="1" x14ac:dyDescent="0.25">
      <c r="A219" s="29"/>
      <c r="B219" s="30"/>
      <c r="C219" s="6">
        <v>41735</v>
      </c>
      <c r="D219" s="4">
        <v>14.8</v>
      </c>
      <c r="E219" s="4">
        <v>11.8</v>
      </c>
      <c r="F219" s="4">
        <v>17.600000000000001</v>
      </c>
      <c r="G219" s="4">
        <f t="shared" si="39"/>
        <v>1905.3</v>
      </c>
      <c r="H219" s="4">
        <f t="shared" si="44"/>
        <v>69.5</v>
      </c>
      <c r="I219" s="32" t="s">
        <v>32</v>
      </c>
      <c r="J219" s="90">
        <v>0.5</v>
      </c>
      <c r="K219" s="4">
        <f t="shared" si="40"/>
        <v>565.60000000000036</v>
      </c>
      <c r="L219" s="4">
        <v>1.4</v>
      </c>
      <c r="M219" s="4">
        <f t="shared" si="41"/>
        <v>287</v>
      </c>
      <c r="N219" s="9">
        <f t="shared" si="38"/>
        <v>-0.89999999999999991</v>
      </c>
      <c r="O219" s="4">
        <v>103.8</v>
      </c>
      <c r="P219" s="4">
        <v>214</v>
      </c>
      <c r="Q219" s="4">
        <v>1.1499999999999999</v>
      </c>
      <c r="R219" s="10">
        <f t="shared" si="35"/>
        <v>1.6099999999999999</v>
      </c>
      <c r="S219" s="10">
        <f t="shared" si="36"/>
        <v>-1.1099999999999999</v>
      </c>
      <c r="T219" s="92">
        <f t="shared" si="42"/>
        <v>94.42500000000004</v>
      </c>
      <c r="U219" s="32" t="s">
        <v>33</v>
      </c>
      <c r="V219" s="11">
        <v>475.3</v>
      </c>
      <c r="W219" s="4">
        <f t="shared" si="37"/>
        <v>32.114864864864863</v>
      </c>
      <c r="X219" s="4">
        <f t="shared" si="43"/>
        <v>121693.59999999995</v>
      </c>
      <c r="Y219" s="4">
        <f t="shared" si="45"/>
        <v>4796.2</v>
      </c>
      <c r="Z219" s="32" t="s">
        <v>34</v>
      </c>
      <c r="AA219" s="4">
        <v>13.185233938895999</v>
      </c>
    </row>
    <row r="220" spans="1:28" s="4" customFormat="1" x14ac:dyDescent="0.25">
      <c r="A220" s="29"/>
      <c r="B220" s="30"/>
      <c r="C220" s="6">
        <v>41736</v>
      </c>
      <c r="D220" s="4">
        <v>15.5</v>
      </c>
      <c r="E220" s="4">
        <v>13.6</v>
      </c>
      <c r="F220" s="4">
        <v>21</v>
      </c>
      <c r="G220" s="4">
        <f t="shared" si="39"/>
        <v>1920.8</v>
      </c>
      <c r="H220" s="4">
        <f t="shared" si="44"/>
        <v>85</v>
      </c>
      <c r="I220" s="10">
        <f>AVERAGE(D215:D235)</f>
        <v>11.66666666666667</v>
      </c>
      <c r="J220" s="90">
        <v>7.2</v>
      </c>
      <c r="K220" s="4">
        <f t="shared" si="40"/>
        <v>572.80000000000041</v>
      </c>
      <c r="L220" s="4">
        <v>3.7</v>
      </c>
      <c r="M220" s="4">
        <f t="shared" si="41"/>
        <v>290.7</v>
      </c>
      <c r="N220" s="9">
        <f t="shared" si="38"/>
        <v>3.5</v>
      </c>
      <c r="O220" s="4">
        <v>107.3</v>
      </c>
      <c r="P220" s="4">
        <v>215</v>
      </c>
      <c r="Q220" s="4">
        <v>1.1499999999999999</v>
      </c>
      <c r="R220" s="10">
        <f t="shared" si="35"/>
        <v>4.2549999999999999</v>
      </c>
      <c r="S220" s="10">
        <f t="shared" si="36"/>
        <v>2.9450000000000003</v>
      </c>
      <c r="T220" s="92">
        <f t="shared" si="42"/>
        <v>97.370000000000033</v>
      </c>
      <c r="U220" s="4">
        <v>0</v>
      </c>
      <c r="V220" s="4">
        <v>1203.7</v>
      </c>
      <c r="W220" s="4">
        <f t="shared" si="37"/>
        <v>77.658064516129031</v>
      </c>
      <c r="X220" s="4">
        <f t="shared" si="43"/>
        <v>122897.29999999994</v>
      </c>
      <c r="Y220" s="4">
        <f t="shared" si="45"/>
        <v>5999.9</v>
      </c>
      <c r="Z220" s="4">
        <v>5</v>
      </c>
      <c r="AA220" s="4">
        <v>13.2485051948674</v>
      </c>
    </row>
    <row r="221" spans="1:28" s="4" customFormat="1" x14ac:dyDescent="0.25">
      <c r="A221" s="29"/>
      <c r="B221" s="30"/>
      <c r="C221" s="6">
        <v>41737</v>
      </c>
      <c r="D221" s="4">
        <v>9.6999999999999993</v>
      </c>
      <c r="E221" s="4">
        <v>8.1</v>
      </c>
      <c r="F221" s="4">
        <v>12</v>
      </c>
      <c r="G221" s="4">
        <f t="shared" si="39"/>
        <v>1930.5</v>
      </c>
      <c r="H221" s="4">
        <f t="shared" si="44"/>
        <v>94.7</v>
      </c>
      <c r="I221" s="32" t="s">
        <v>35</v>
      </c>
      <c r="J221" s="90">
        <v>0.5</v>
      </c>
      <c r="K221" s="4">
        <f t="shared" si="40"/>
        <v>573.30000000000041</v>
      </c>
      <c r="L221" s="4">
        <v>2.9</v>
      </c>
      <c r="M221" s="4">
        <f t="shared" si="41"/>
        <v>293.59999999999997</v>
      </c>
      <c r="N221" s="9">
        <f t="shared" si="38"/>
        <v>-2.4</v>
      </c>
      <c r="O221" s="4">
        <v>104.89999999999999</v>
      </c>
      <c r="P221" s="4">
        <v>216</v>
      </c>
      <c r="Q221" s="4">
        <v>1.1499999999999999</v>
      </c>
      <c r="R221" s="10">
        <f t="shared" si="35"/>
        <v>3.3349999999999995</v>
      </c>
      <c r="S221" s="10">
        <f t="shared" si="36"/>
        <v>-2.8349999999999995</v>
      </c>
      <c r="T221" s="92">
        <f t="shared" si="42"/>
        <v>94.535000000000039</v>
      </c>
      <c r="U221" s="32" t="s">
        <v>36</v>
      </c>
      <c r="V221" s="4">
        <v>1514.2</v>
      </c>
      <c r="W221" s="4">
        <f t="shared" si="37"/>
        <v>156.10309278350516</v>
      </c>
      <c r="X221" s="4">
        <f t="shared" si="43"/>
        <v>124411.49999999994</v>
      </c>
      <c r="Y221" s="4">
        <f t="shared" si="45"/>
        <v>7514.0999999999995</v>
      </c>
      <c r="AA221" s="4">
        <v>13.311653741106101</v>
      </c>
    </row>
    <row r="222" spans="1:28" s="4" customFormat="1" x14ac:dyDescent="0.25">
      <c r="A222" s="29"/>
      <c r="B222" s="30"/>
      <c r="C222" s="6">
        <v>41738</v>
      </c>
      <c r="D222" s="4">
        <v>9.5</v>
      </c>
      <c r="E222" s="13">
        <v>3.6</v>
      </c>
      <c r="F222" s="4">
        <v>13.8</v>
      </c>
      <c r="G222" s="4">
        <f t="shared" si="39"/>
        <v>1940</v>
      </c>
      <c r="H222" s="4">
        <f t="shared" si="44"/>
        <v>104.2</v>
      </c>
      <c r="I222" s="4">
        <v>0</v>
      </c>
      <c r="J222" s="90">
        <v>0</v>
      </c>
      <c r="K222" s="4">
        <f t="shared" si="40"/>
        <v>573.30000000000041</v>
      </c>
      <c r="L222" s="4">
        <v>2.6</v>
      </c>
      <c r="M222" s="4">
        <f t="shared" si="41"/>
        <v>296.2</v>
      </c>
      <c r="N222" s="9">
        <f t="shared" si="38"/>
        <v>-2.6</v>
      </c>
      <c r="O222" s="4">
        <v>102.3</v>
      </c>
      <c r="P222" s="4">
        <v>217</v>
      </c>
      <c r="Q222" s="4">
        <v>1.1499999999999999</v>
      </c>
      <c r="R222" s="10">
        <f t="shared" si="35"/>
        <v>2.9899999999999998</v>
      </c>
      <c r="S222" s="10">
        <f t="shared" si="36"/>
        <v>-2.9899999999999998</v>
      </c>
      <c r="T222" s="92">
        <f t="shared" si="42"/>
        <v>91.545000000000044</v>
      </c>
      <c r="U222" s="10">
        <f>MIN(T215:T235)</f>
        <v>57.095000000000063</v>
      </c>
      <c r="V222" s="4">
        <v>1576.3</v>
      </c>
      <c r="W222" s="4">
        <f t="shared" si="37"/>
        <v>165.92631578947368</v>
      </c>
      <c r="X222" s="4">
        <f t="shared" si="43"/>
        <v>125987.79999999994</v>
      </c>
      <c r="Y222" s="4">
        <f t="shared" si="45"/>
        <v>9090.4</v>
      </c>
      <c r="AA222" s="4">
        <v>13.374671483163199</v>
      </c>
    </row>
    <row r="223" spans="1:28" s="4" customFormat="1" x14ac:dyDescent="0.25">
      <c r="A223" s="29"/>
      <c r="B223" s="30"/>
      <c r="C223" s="6">
        <v>41739</v>
      </c>
      <c r="D223" s="4">
        <v>10.1</v>
      </c>
      <c r="E223" s="13">
        <v>4.4000000000000004</v>
      </c>
      <c r="F223" s="4">
        <v>14.7</v>
      </c>
      <c r="G223" s="4">
        <f t="shared" si="39"/>
        <v>1950.1</v>
      </c>
      <c r="H223" s="4">
        <f t="shared" si="44"/>
        <v>114.3</v>
      </c>
      <c r="I223" s="32" t="s">
        <v>37</v>
      </c>
      <c r="J223" s="90">
        <v>0</v>
      </c>
      <c r="K223" s="4">
        <f t="shared" si="40"/>
        <v>573.30000000000041</v>
      </c>
      <c r="L223" s="4">
        <v>2.2999999999999998</v>
      </c>
      <c r="M223" s="4">
        <f t="shared" si="41"/>
        <v>298.5</v>
      </c>
      <c r="N223" s="9">
        <f t="shared" si="38"/>
        <v>-2.2999999999999998</v>
      </c>
      <c r="O223" s="4">
        <v>100</v>
      </c>
      <c r="P223" s="4">
        <v>218</v>
      </c>
      <c r="Q223" s="4">
        <v>1.1499999999999999</v>
      </c>
      <c r="R223" s="10">
        <f t="shared" si="35"/>
        <v>2.6449999999999996</v>
      </c>
      <c r="S223" s="10">
        <f t="shared" si="36"/>
        <v>-2.6449999999999996</v>
      </c>
      <c r="T223" s="92">
        <f t="shared" si="42"/>
        <v>88.900000000000048</v>
      </c>
      <c r="U223" s="32" t="s">
        <v>38</v>
      </c>
      <c r="V223" s="4">
        <v>1504.7</v>
      </c>
      <c r="W223" s="4">
        <f t="shared" si="37"/>
        <v>148.980198019802</v>
      </c>
      <c r="X223" s="4">
        <f t="shared" si="43"/>
        <v>127492.49999999994</v>
      </c>
      <c r="Y223" s="4">
        <f t="shared" si="45"/>
        <v>10595.1</v>
      </c>
      <c r="AA223" s="4">
        <v>13.4375500191694</v>
      </c>
    </row>
    <row r="224" spans="1:28" s="23" customFormat="1" x14ac:dyDescent="0.25">
      <c r="A224" s="29"/>
      <c r="C224" s="6">
        <v>41740</v>
      </c>
      <c r="D224" s="23">
        <v>10.3</v>
      </c>
      <c r="E224" s="23">
        <v>5.0999999999999996</v>
      </c>
      <c r="F224" s="23">
        <v>14.8</v>
      </c>
      <c r="G224" s="23">
        <f t="shared" si="39"/>
        <v>1960.3999999999999</v>
      </c>
      <c r="H224" s="23">
        <f t="shared" si="44"/>
        <v>124.6</v>
      </c>
      <c r="I224" s="23">
        <v>0</v>
      </c>
      <c r="J224" s="23">
        <v>0</v>
      </c>
      <c r="K224" s="23">
        <f t="shared" si="40"/>
        <v>573.30000000000041</v>
      </c>
      <c r="L224" s="23">
        <v>2.1</v>
      </c>
      <c r="M224" s="23">
        <f t="shared" si="41"/>
        <v>300.60000000000002</v>
      </c>
      <c r="N224" s="23">
        <f t="shared" si="38"/>
        <v>-2.1</v>
      </c>
      <c r="O224" s="23">
        <v>97.9</v>
      </c>
      <c r="P224" s="23">
        <v>219</v>
      </c>
      <c r="Q224" s="4">
        <v>1.1499999999999999</v>
      </c>
      <c r="R224" s="25">
        <f t="shared" si="35"/>
        <v>2.415</v>
      </c>
      <c r="S224" s="25">
        <f t="shared" si="36"/>
        <v>-2.415</v>
      </c>
      <c r="T224" s="10">
        <f t="shared" si="42"/>
        <v>86.485000000000042</v>
      </c>
      <c r="U224" s="10">
        <f>MAX(T215:T235)</f>
        <v>102.89500000000004</v>
      </c>
      <c r="V224" s="23">
        <v>1090</v>
      </c>
      <c r="W224" s="23">
        <f t="shared" si="37"/>
        <v>105.82524271844659</v>
      </c>
      <c r="X224" s="23">
        <f t="shared" si="43"/>
        <v>128582.49999999994</v>
      </c>
      <c r="Y224" s="4">
        <f t="shared" si="45"/>
        <v>11685.1</v>
      </c>
      <c r="AA224" s="4">
        <v>13.500280621550599</v>
      </c>
    </row>
    <row r="225" spans="1:27" s="4" customFormat="1" x14ac:dyDescent="0.25">
      <c r="A225" s="29"/>
      <c r="B225" s="30"/>
      <c r="C225" s="6">
        <v>41741</v>
      </c>
      <c r="D225" s="4">
        <v>10.6</v>
      </c>
      <c r="E225" s="4">
        <v>6.5</v>
      </c>
      <c r="F225" s="4">
        <v>14.8</v>
      </c>
      <c r="G225" s="4">
        <f t="shared" si="39"/>
        <v>1970.9999999999998</v>
      </c>
      <c r="H225" s="4">
        <f t="shared" si="44"/>
        <v>135.19999999999999</v>
      </c>
      <c r="I225" s="32" t="s">
        <v>39</v>
      </c>
      <c r="J225" s="4">
        <v>0</v>
      </c>
      <c r="K225" s="4">
        <f t="shared" si="40"/>
        <v>573.30000000000041</v>
      </c>
      <c r="L225" s="4">
        <v>2.5</v>
      </c>
      <c r="M225" s="4">
        <f t="shared" si="41"/>
        <v>303.10000000000002</v>
      </c>
      <c r="N225" s="9">
        <f t="shared" si="38"/>
        <v>-2.5</v>
      </c>
      <c r="O225" s="4">
        <v>95.4</v>
      </c>
      <c r="P225" s="4">
        <v>220</v>
      </c>
      <c r="Q225" s="4">
        <v>1.1499999999999999</v>
      </c>
      <c r="R225" s="10">
        <f t="shared" si="35"/>
        <v>2.875</v>
      </c>
      <c r="S225" s="10">
        <f t="shared" si="36"/>
        <v>-2.875</v>
      </c>
      <c r="T225" s="10">
        <f t="shared" si="42"/>
        <v>83.610000000000042</v>
      </c>
      <c r="U225" s="32" t="s">
        <v>40</v>
      </c>
      <c r="V225" s="4">
        <v>1586.8</v>
      </c>
      <c r="W225" s="4">
        <f t="shared" si="37"/>
        <v>149.69811320754718</v>
      </c>
      <c r="X225" s="4">
        <f t="shared" si="43"/>
        <v>130169.29999999994</v>
      </c>
      <c r="Y225" s="4">
        <f t="shared" si="45"/>
        <v>13271.9</v>
      </c>
      <c r="AA225" s="4">
        <v>13.5628542188418</v>
      </c>
    </row>
    <row r="226" spans="1:27" s="4" customFormat="1" x14ac:dyDescent="0.25">
      <c r="A226" s="29"/>
      <c r="B226" s="30"/>
      <c r="C226" s="6">
        <v>41742</v>
      </c>
      <c r="D226" s="4">
        <v>11.1</v>
      </c>
      <c r="E226" s="4">
        <v>7.7</v>
      </c>
      <c r="F226" s="4">
        <v>14.3</v>
      </c>
      <c r="G226" s="4">
        <f t="shared" si="39"/>
        <v>1982.0999999999997</v>
      </c>
      <c r="H226" s="4">
        <f t="shared" si="44"/>
        <v>146.29999999999998</v>
      </c>
      <c r="I226" s="4">
        <v>4</v>
      </c>
      <c r="J226" s="4">
        <v>0</v>
      </c>
      <c r="K226" s="4">
        <f t="shared" si="40"/>
        <v>573.30000000000041</v>
      </c>
      <c r="L226" s="4">
        <v>2</v>
      </c>
      <c r="M226" s="4">
        <f t="shared" si="41"/>
        <v>305.10000000000002</v>
      </c>
      <c r="N226" s="9">
        <f t="shared" si="38"/>
        <v>-2</v>
      </c>
      <c r="O226" s="4">
        <v>93.4</v>
      </c>
      <c r="P226" s="4">
        <v>221</v>
      </c>
      <c r="Q226" s="4">
        <v>1.1499999999999999</v>
      </c>
      <c r="R226" s="10">
        <f t="shared" si="35"/>
        <v>2.2999999999999998</v>
      </c>
      <c r="S226" s="10">
        <f t="shared" si="36"/>
        <v>-2.2999999999999998</v>
      </c>
      <c r="T226" s="10">
        <f t="shared" si="42"/>
        <v>81.310000000000045</v>
      </c>
      <c r="U226" s="12">
        <f>AVERAGE(T215:T235)</f>
        <v>82.268095238095285</v>
      </c>
      <c r="V226" s="11">
        <v>671.7</v>
      </c>
      <c r="W226" s="4">
        <f t="shared" si="37"/>
        <v>60.513513513513523</v>
      </c>
      <c r="X226" s="4">
        <f t="shared" si="43"/>
        <v>130840.99999999994</v>
      </c>
      <c r="Y226" s="4">
        <f t="shared" si="45"/>
        <v>13943.6</v>
      </c>
      <c r="AA226" s="4">
        <v>13.6252613776202</v>
      </c>
    </row>
    <row r="227" spans="1:27" s="4" customFormat="1" x14ac:dyDescent="0.25">
      <c r="A227" s="29"/>
      <c r="B227" s="30"/>
      <c r="C227" s="6">
        <v>41743</v>
      </c>
      <c r="D227" s="4">
        <v>8.8000000000000007</v>
      </c>
      <c r="E227" s="4">
        <v>7.4</v>
      </c>
      <c r="F227" s="4">
        <v>12</v>
      </c>
      <c r="G227" s="4">
        <f t="shared" si="39"/>
        <v>1990.8999999999996</v>
      </c>
      <c r="H227" s="4">
        <f t="shared" si="44"/>
        <v>155.1</v>
      </c>
      <c r="I227" s="32" t="s">
        <v>41</v>
      </c>
      <c r="J227" s="4">
        <v>0</v>
      </c>
      <c r="K227" s="4">
        <f t="shared" si="40"/>
        <v>573.30000000000041</v>
      </c>
      <c r="L227" s="4">
        <v>2.9</v>
      </c>
      <c r="M227" s="4">
        <f t="shared" si="41"/>
        <v>308</v>
      </c>
      <c r="N227" s="9">
        <f t="shared" si="38"/>
        <v>-2.9</v>
      </c>
      <c r="O227" s="4">
        <v>90.5</v>
      </c>
      <c r="P227" s="4">
        <v>222</v>
      </c>
      <c r="Q227" s="4">
        <v>1.1499999999999999</v>
      </c>
      <c r="R227" s="10">
        <f t="shared" si="35"/>
        <v>3.3349999999999995</v>
      </c>
      <c r="S227" s="10">
        <f t="shared" si="36"/>
        <v>-3.3349999999999995</v>
      </c>
      <c r="T227" s="10">
        <f t="shared" si="42"/>
        <v>77.975000000000051</v>
      </c>
      <c r="V227" s="4">
        <v>1817.8</v>
      </c>
      <c r="W227" s="4">
        <f t="shared" si="37"/>
        <v>206.56818181818178</v>
      </c>
      <c r="X227" s="4">
        <f t="shared" si="43"/>
        <v>132658.79999999993</v>
      </c>
      <c r="Y227" s="4">
        <f t="shared" si="45"/>
        <v>15761.4</v>
      </c>
      <c r="AA227" s="4">
        <v>13.6874922845799</v>
      </c>
    </row>
    <row r="228" spans="1:27" s="4" customFormat="1" x14ac:dyDescent="0.25">
      <c r="A228" s="29"/>
      <c r="B228" s="30"/>
      <c r="C228" s="6">
        <v>41744</v>
      </c>
      <c r="D228" s="4">
        <v>7.5</v>
      </c>
      <c r="E228" s="13">
        <v>4.5999999999999996</v>
      </c>
      <c r="F228" s="4">
        <v>11.1</v>
      </c>
      <c r="G228" s="4">
        <f t="shared" si="39"/>
        <v>1998.3999999999996</v>
      </c>
      <c r="H228" s="4">
        <f t="shared" si="44"/>
        <v>162.6</v>
      </c>
      <c r="I228" s="4">
        <v>245</v>
      </c>
      <c r="J228" s="4">
        <v>0</v>
      </c>
      <c r="K228" s="4">
        <f t="shared" si="40"/>
        <v>573.30000000000041</v>
      </c>
      <c r="L228" s="4">
        <v>3.1</v>
      </c>
      <c r="M228" s="4">
        <f t="shared" si="41"/>
        <v>311.10000000000002</v>
      </c>
      <c r="N228" s="9">
        <f t="shared" si="38"/>
        <v>-3.1</v>
      </c>
      <c r="O228" s="4">
        <v>87.4</v>
      </c>
      <c r="P228" s="4">
        <v>223</v>
      </c>
      <c r="Q228" s="4">
        <v>1.1499999999999999</v>
      </c>
      <c r="R228" s="10">
        <f t="shared" si="35"/>
        <v>3.5649999999999999</v>
      </c>
      <c r="S228" s="10">
        <f t="shared" si="36"/>
        <v>-3.5649999999999999</v>
      </c>
      <c r="T228" s="10">
        <f t="shared" si="42"/>
        <v>74.410000000000053</v>
      </c>
      <c r="U228" s="4">
        <f>(U226*100)/153.6</f>
        <v>53.559957837301617</v>
      </c>
      <c r="V228" s="4">
        <v>1864.2</v>
      </c>
      <c r="W228" s="4">
        <f t="shared" si="37"/>
        <v>248.56</v>
      </c>
      <c r="X228" s="4">
        <f t="shared" si="43"/>
        <v>134522.99999999994</v>
      </c>
      <c r="Y228" s="4">
        <f t="shared" si="45"/>
        <v>17625.599999999999</v>
      </c>
      <c r="AA228" s="4">
        <v>13.7495367287754</v>
      </c>
    </row>
    <row r="229" spans="1:27" s="4" customFormat="1" x14ac:dyDescent="0.25">
      <c r="A229" s="29"/>
      <c r="B229" s="30"/>
      <c r="C229" s="6">
        <v>41745</v>
      </c>
      <c r="D229" s="4">
        <v>9.3000000000000007</v>
      </c>
      <c r="E229" s="13">
        <v>4.0999999999999996</v>
      </c>
      <c r="F229" s="4">
        <v>14.4</v>
      </c>
      <c r="G229" s="4">
        <f t="shared" si="39"/>
        <v>2007.6999999999996</v>
      </c>
      <c r="H229" s="4">
        <f t="shared" si="44"/>
        <v>171.9</v>
      </c>
      <c r="J229" s="4">
        <v>0</v>
      </c>
      <c r="K229" s="4">
        <f t="shared" si="40"/>
        <v>573.30000000000041</v>
      </c>
      <c r="L229" s="4">
        <v>3.1</v>
      </c>
      <c r="M229" s="4">
        <f t="shared" si="41"/>
        <v>314.20000000000005</v>
      </c>
      <c r="N229" s="9">
        <f t="shared" si="38"/>
        <v>-3.1</v>
      </c>
      <c r="O229" s="4">
        <v>84.300000000000011</v>
      </c>
      <c r="P229" s="4">
        <v>224</v>
      </c>
      <c r="Q229" s="4">
        <v>1.1499999999999999</v>
      </c>
      <c r="R229" s="10">
        <f t="shared" si="35"/>
        <v>3.5649999999999999</v>
      </c>
      <c r="S229" s="10">
        <f t="shared" si="36"/>
        <v>-3.5649999999999999</v>
      </c>
      <c r="T229" s="10">
        <f t="shared" si="42"/>
        <v>70.845000000000056</v>
      </c>
      <c r="V229" s="4">
        <v>2267</v>
      </c>
      <c r="W229" s="4">
        <f t="shared" si="37"/>
        <v>243.76344086021504</v>
      </c>
      <c r="X229" s="4">
        <f t="shared" si="43"/>
        <v>136789.99999999994</v>
      </c>
      <c r="Y229" s="4">
        <f t="shared" si="45"/>
        <v>19892.599999999999</v>
      </c>
      <c r="AA229" s="4">
        <v>13.811384084064301</v>
      </c>
    </row>
    <row r="230" spans="1:27" s="4" customFormat="1" x14ac:dyDescent="0.25">
      <c r="A230" s="29"/>
      <c r="B230" s="30"/>
      <c r="C230" s="6">
        <v>41746</v>
      </c>
      <c r="D230" s="4">
        <v>11.8</v>
      </c>
      <c r="E230" s="4">
        <v>5.4</v>
      </c>
      <c r="F230" s="4">
        <v>17.5</v>
      </c>
      <c r="G230" s="4">
        <f t="shared" si="39"/>
        <v>2019.4999999999995</v>
      </c>
      <c r="H230" s="4">
        <f t="shared" si="44"/>
        <v>183.70000000000002</v>
      </c>
      <c r="J230" s="4">
        <v>0</v>
      </c>
      <c r="K230" s="4">
        <f t="shared" si="40"/>
        <v>573.30000000000041</v>
      </c>
      <c r="L230" s="4">
        <v>4</v>
      </c>
      <c r="M230" s="4">
        <f t="shared" si="41"/>
        <v>318.20000000000005</v>
      </c>
      <c r="N230" s="9">
        <f t="shared" si="38"/>
        <v>-4</v>
      </c>
      <c r="O230" s="4">
        <v>80.300000000000011</v>
      </c>
      <c r="P230" s="4">
        <v>225</v>
      </c>
      <c r="Q230" s="4">
        <v>1.1499999999999999</v>
      </c>
      <c r="R230" s="10">
        <f t="shared" si="35"/>
        <v>4.5999999999999996</v>
      </c>
      <c r="S230" s="10">
        <f t="shared" si="36"/>
        <v>-4.5999999999999996</v>
      </c>
      <c r="T230" s="10">
        <f t="shared" si="42"/>
        <v>66.245000000000061</v>
      </c>
      <c r="V230" s="4">
        <v>2103.6999999999998</v>
      </c>
      <c r="W230" s="4">
        <f t="shared" si="37"/>
        <v>178.27966101694912</v>
      </c>
      <c r="X230" s="4">
        <f t="shared" si="43"/>
        <v>138893.69999999995</v>
      </c>
      <c r="Y230" s="4">
        <f t="shared" si="45"/>
        <v>21996.3</v>
      </c>
      <c r="AA230" s="4">
        <v>13.873023291784399</v>
      </c>
    </row>
    <row r="231" spans="1:27" s="4" customFormat="1" x14ac:dyDescent="0.25">
      <c r="A231" s="29"/>
      <c r="B231" s="30"/>
      <c r="C231" s="6">
        <v>41747</v>
      </c>
      <c r="D231" s="4">
        <v>9.9</v>
      </c>
      <c r="E231" s="4">
        <v>9</v>
      </c>
      <c r="F231" s="4">
        <v>12.1</v>
      </c>
      <c r="G231" s="4">
        <f t="shared" si="39"/>
        <v>2029.3999999999996</v>
      </c>
      <c r="H231" s="4">
        <f t="shared" si="44"/>
        <v>193.60000000000002</v>
      </c>
      <c r="J231" s="4">
        <v>0</v>
      </c>
      <c r="K231" s="4">
        <f t="shared" si="40"/>
        <v>573.30000000000041</v>
      </c>
      <c r="L231" s="4">
        <v>3.5</v>
      </c>
      <c r="M231" s="4">
        <f t="shared" si="41"/>
        <v>321.70000000000005</v>
      </c>
      <c r="N231" s="9">
        <f t="shared" si="38"/>
        <v>-3.5</v>
      </c>
      <c r="O231" s="4">
        <v>76.800000000000011</v>
      </c>
      <c r="P231" s="4">
        <v>226</v>
      </c>
      <c r="Q231" s="4">
        <v>1.1499999999999999</v>
      </c>
      <c r="R231" s="10">
        <f t="shared" si="35"/>
        <v>4.0249999999999995</v>
      </c>
      <c r="S231" s="10">
        <f t="shared" si="36"/>
        <v>-4.0249999999999995</v>
      </c>
      <c r="T231" s="10">
        <f t="shared" si="42"/>
        <v>62.220000000000063</v>
      </c>
      <c r="V231" s="4">
        <v>1297.4000000000001</v>
      </c>
      <c r="W231" s="4">
        <f t="shared" si="37"/>
        <v>131.05050505050505</v>
      </c>
      <c r="X231" s="4">
        <f t="shared" si="43"/>
        <v>140191.09999999995</v>
      </c>
      <c r="Y231" s="4">
        <f t="shared" si="45"/>
        <v>23293.7</v>
      </c>
      <c r="AA231" s="4">
        <v>13.9344428437046</v>
      </c>
    </row>
    <row r="232" spans="1:27" s="4" customFormat="1" x14ac:dyDescent="0.25">
      <c r="A232" s="29"/>
      <c r="B232" s="30"/>
      <c r="C232" s="6">
        <v>41748</v>
      </c>
      <c r="D232" s="4">
        <v>10.9</v>
      </c>
      <c r="E232" s="4">
        <v>6.7</v>
      </c>
      <c r="F232" s="4">
        <v>13.4</v>
      </c>
      <c r="G232" s="4">
        <f t="shared" si="39"/>
        <v>2040.2999999999997</v>
      </c>
      <c r="H232" s="4">
        <f t="shared" si="44"/>
        <v>204.50000000000003</v>
      </c>
      <c r="J232" s="4">
        <v>0</v>
      </c>
      <c r="K232" s="4">
        <f t="shared" si="40"/>
        <v>573.30000000000041</v>
      </c>
      <c r="L232" s="4">
        <v>3.2</v>
      </c>
      <c r="M232" s="4">
        <f t="shared" si="41"/>
        <v>324.90000000000003</v>
      </c>
      <c r="N232" s="9">
        <f t="shared" si="38"/>
        <v>-3.2</v>
      </c>
      <c r="O232" s="4">
        <v>73.600000000000009</v>
      </c>
      <c r="P232" s="4">
        <v>227</v>
      </c>
      <c r="Q232" s="4">
        <v>1.1499999999999999</v>
      </c>
      <c r="R232" s="10">
        <f t="shared" si="35"/>
        <v>3.6799999999999997</v>
      </c>
      <c r="S232" s="10">
        <f t="shared" si="36"/>
        <v>-3.6799999999999997</v>
      </c>
      <c r="T232" s="10">
        <f t="shared" si="42"/>
        <v>58.540000000000063</v>
      </c>
      <c r="V232" s="4">
        <v>1698.5</v>
      </c>
      <c r="W232" s="4">
        <f t="shared" si="37"/>
        <v>155.8256880733945</v>
      </c>
      <c r="X232" s="4">
        <f t="shared" si="43"/>
        <v>141889.59999999995</v>
      </c>
      <c r="Y232" s="4">
        <f t="shared" si="45"/>
        <v>24992.2</v>
      </c>
      <c r="AA232" s="4">
        <v>13.995630765292001</v>
      </c>
    </row>
    <row r="233" spans="1:27" s="4" customFormat="1" x14ac:dyDescent="0.25">
      <c r="A233" s="29"/>
      <c r="B233" s="30"/>
      <c r="C233" s="6">
        <v>41749</v>
      </c>
      <c r="D233" s="4">
        <v>14.3</v>
      </c>
      <c r="E233" s="4">
        <v>11.5</v>
      </c>
      <c r="F233" s="4">
        <v>17.2</v>
      </c>
      <c r="G233" s="4">
        <f t="shared" si="39"/>
        <v>2054.6</v>
      </c>
      <c r="H233" s="4">
        <f t="shared" si="44"/>
        <v>218.80000000000004</v>
      </c>
      <c r="J233" s="4">
        <v>1.2</v>
      </c>
      <c r="K233" s="4">
        <f t="shared" si="40"/>
        <v>574.50000000000045</v>
      </c>
      <c r="L233" s="4">
        <v>2.2999999999999998</v>
      </c>
      <c r="M233" s="4">
        <f t="shared" si="41"/>
        <v>327.20000000000005</v>
      </c>
      <c r="N233" s="9">
        <f t="shared" si="38"/>
        <v>-1.0999999999999999</v>
      </c>
      <c r="O233" s="4">
        <v>72.500000000000014</v>
      </c>
      <c r="P233" s="4">
        <v>228</v>
      </c>
      <c r="Q233" s="4">
        <v>1.1499999999999999</v>
      </c>
      <c r="R233" s="10">
        <f t="shared" si="35"/>
        <v>2.6449999999999996</v>
      </c>
      <c r="S233" s="10">
        <f t="shared" si="36"/>
        <v>-1.4449999999999996</v>
      </c>
      <c r="T233" s="10">
        <f t="shared" si="42"/>
        <v>57.095000000000063</v>
      </c>
      <c r="V233" s="11">
        <v>661.9</v>
      </c>
      <c r="W233" s="4">
        <f t="shared" si="37"/>
        <v>46.28671328671328</v>
      </c>
      <c r="X233" s="4">
        <f t="shared" si="43"/>
        <v>142551.49999999994</v>
      </c>
      <c r="Y233" s="4">
        <f t="shared" si="45"/>
        <v>25654.100000000002</v>
      </c>
      <c r="AA233" s="4">
        <v>14.0565745993449</v>
      </c>
    </row>
    <row r="234" spans="1:27" s="4" customFormat="1" x14ac:dyDescent="0.25">
      <c r="A234" s="29"/>
      <c r="B234" s="30"/>
      <c r="C234" s="6">
        <v>41750</v>
      </c>
      <c r="D234" s="4">
        <v>12.9</v>
      </c>
      <c r="E234" s="4">
        <v>9.6</v>
      </c>
      <c r="F234" s="4">
        <v>19.600000000000001</v>
      </c>
      <c r="G234" s="4">
        <f t="shared" si="39"/>
        <v>2067.5</v>
      </c>
      <c r="H234" s="4">
        <f t="shared" si="44"/>
        <v>231.70000000000005</v>
      </c>
      <c r="J234" s="4">
        <v>17.100000000000001</v>
      </c>
      <c r="K234" s="4">
        <f t="shared" si="40"/>
        <v>591.60000000000048</v>
      </c>
      <c r="L234" s="4">
        <v>3.3</v>
      </c>
      <c r="M234" s="4">
        <f t="shared" si="41"/>
        <v>330.50000000000006</v>
      </c>
      <c r="N234" s="4">
        <f t="shared" si="38"/>
        <v>13.8</v>
      </c>
      <c r="O234" s="4">
        <v>86.300000000000011</v>
      </c>
      <c r="P234" s="4">
        <v>229</v>
      </c>
      <c r="Q234" s="4">
        <v>1.1499999999999999</v>
      </c>
      <c r="R234" s="10">
        <f t="shared" si="35"/>
        <v>3.7949999999999995</v>
      </c>
      <c r="S234" s="10">
        <f t="shared" si="36"/>
        <v>13.305000000000001</v>
      </c>
      <c r="T234" s="10">
        <f t="shared" si="42"/>
        <v>70.400000000000063</v>
      </c>
      <c r="V234" s="4">
        <v>1607.5</v>
      </c>
      <c r="W234" s="4">
        <f t="shared" si="37"/>
        <v>124.6124031007752</v>
      </c>
      <c r="X234" s="4">
        <f t="shared" si="43"/>
        <v>144158.99999999994</v>
      </c>
      <c r="Y234" s="4">
        <f t="shared" si="45"/>
        <v>27261.600000000002</v>
      </c>
      <c r="AA234" s="4">
        <v>14.1172613900444</v>
      </c>
    </row>
    <row r="235" spans="1:27" s="49" customFormat="1" ht="15.75" thickBot="1" x14ac:dyDescent="0.3">
      <c r="A235" s="57" t="s">
        <v>47</v>
      </c>
      <c r="B235" s="58"/>
      <c r="C235" s="48">
        <v>41751</v>
      </c>
      <c r="D235" s="49">
        <v>13.3</v>
      </c>
      <c r="E235" s="49">
        <v>9.6999999999999993</v>
      </c>
      <c r="F235" s="49">
        <v>16.600000000000001</v>
      </c>
      <c r="G235" s="49">
        <f t="shared" si="39"/>
        <v>2080.8000000000002</v>
      </c>
      <c r="H235" s="49">
        <f t="shared" si="44"/>
        <v>245.00000000000006</v>
      </c>
      <c r="J235" s="49">
        <v>6.3</v>
      </c>
      <c r="K235" s="49">
        <f t="shared" si="40"/>
        <v>597.90000000000043</v>
      </c>
      <c r="L235" s="49">
        <v>2.7</v>
      </c>
      <c r="M235" s="49">
        <f t="shared" si="41"/>
        <v>333.20000000000005</v>
      </c>
      <c r="N235" s="49">
        <f t="shared" si="38"/>
        <v>3.5999999999999996</v>
      </c>
      <c r="O235" s="49">
        <v>89.9</v>
      </c>
      <c r="P235" s="49">
        <v>230</v>
      </c>
      <c r="Q235" s="54">
        <v>1.1499999999999999</v>
      </c>
      <c r="R235" s="52">
        <f t="shared" si="35"/>
        <v>3.105</v>
      </c>
      <c r="S235" s="52">
        <f t="shared" si="36"/>
        <v>3.1949999999999998</v>
      </c>
      <c r="T235" s="53">
        <f t="shared" si="42"/>
        <v>73.595000000000056</v>
      </c>
      <c r="V235" s="49">
        <v>1474.7</v>
      </c>
      <c r="W235" s="49">
        <f t="shared" si="37"/>
        <v>110.8796992481203</v>
      </c>
      <c r="X235" s="49">
        <f t="shared" si="43"/>
        <v>145633.69999999995</v>
      </c>
      <c r="Y235" s="54">
        <f t="shared" si="45"/>
        <v>28736.300000000003</v>
      </c>
      <c r="AA235" s="54">
        <v>14.1776776674823</v>
      </c>
    </row>
    <row r="236" spans="1:27" s="4" customFormat="1" x14ac:dyDescent="0.25">
      <c r="A236" s="73">
        <v>300</v>
      </c>
      <c r="B236" s="27"/>
      <c r="C236" s="6">
        <v>41752</v>
      </c>
      <c r="D236" s="4">
        <v>13.4</v>
      </c>
      <c r="E236" s="4">
        <v>6.8</v>
      </c>
      <c r="F236" s="4">
        <v>18.100000000000001</v>
      </c>
      <c r="G236" s="4">
        <f t="shared" si="39"/>
        <v>2094.2000000000003</v>
      </c>
      <c r="H236" s="4">
        <v>13.4</v>
      </c>
      <c r="I236" s="33" t="s">
        <v>26</v>
      </c>
      <c r="J236" s="4">
        <v>0</v>
      </c>
      <c r="K236" s="4">
        <f t="shared" si="40"/>
        <v>597.90000000000043</v>
      </c>
      <c r="L236" s="4">
        <v>2.1</v>
      </c>
      <c r="M236" s="4">
        <f t="shared" si="41"/>
        <v>335.30000000000007</v>
      </c>
      <c r="N236" s="9">
        <f t="shared" si="38"/>
        <v>-2.1</v>
      </c>
      <c r="O236" s="4">
        <v>87.800000000000011</v>
      </c>
      <c r="P236" s="4">
        <v>231</v>
      </c>
      <c r="Q236" s="4">
        <v>1.1499999999999999</v>
      </c>
      <c r="R236" s="10">
        <f t="shared" si="35"/>
        <v>2.415</v>
      </c>
      <c r="S236" s="10">
        <f t="shared" si="36"/>
        <v>-2.415</v>
      </c>
      <c r="T236" s="10">
        <f t="shared" si="42"/>
        <v>71.180000000000049</v>
      </c>
      <c r="U236" s="33" t="s">
        <v>27</v>
      </c>
      <c r="V236" s="4">
        <v>1439.7</v>
      </c>
      <c r="W236" s="4">
        <f t="shared" si="37"/>
        <v>107.44029850746269</v>
      </c>
      <c r="X236" s="4">
        <f t="shared" si="43"/>
        <v>147073.39999999997</v>
      </c>
      <c r="Y236" s="4">
        <v>1439.7</v>
      </c>
      <c r="Z236" s="33" t="s">
        <v>28</v>
      </c>
      <c r="AA236" s="4">
        <v>14.237809432730399</v>
      </c>
    </row>
    <row r="237" spans="1:27" s="4" customFormat="1" x14ac:dyDescent="0.25">
      <c r="A237" s="73"/>
      <c r="B237" s="27"/>
      <c r="C237" s="6">
        <v>41753</v>
      </c>
      <c r="D237" s="4">
        <v>14</v>
      </c>
      <c r="E237" s="4">
        <v>11.3</v>
      </c>
      <c r="F237" s="4">
        <v>16.2</v>
      </c>
      <c r="G237" s="4">
        <f t="shared" si="39"/>
        <v>2108.2000000000003</v>
      </c>
      <c r="H237" s="4">
        <f t="shared" si="44"/>
        <v>27.4</v>
      </c>
      <c r="I237" s="4">
        <f>MIN(E236:E260)</f>
        <v>5.7</v>
      </c>
      <c r="J237" s="4">
        <v>2.2999999999999998</v>
      </c>
      <c r="K237" s="4">
        <f t="shared" si="40"/>
        <v>600.20000000000039</v>
      </c>
      <c r="L237" s="4">
        <v>1.2</v>
      </c>
      <c r="M237" s="4">
        <f t="shared" si="41"/>
        <v>336.50000000000006</v>
      </c>
      <c r="N237" s="4">
        <f t="shared" si="38"/>
        <v>1.0999999999999999</v>
      </c>
      <c r="O237" s="4">
        <v>88.9</v>
      </c>
      <c r="P237" s="4">
        <v>232</v>
      </c>
      <c r="Q237" s="4">
        <v>1.1499999999999999</v>
      </c>
      <c r="R237" s="10">
        <f t="shared" si="35"/>
        <v>1.38</v>
      </c>
      <c r="S237" s="10">
        <f t="shared" si="36"/>
        <v>0.91999999999999993</v>
      </c>
      <c r="T237" s="10">
        <f t="shared" si="42"/>
        <v>72.100000000000051</v>
      </c>
      <c r="U237" s="4">
        <v>18</v>
      </c>
      <c r="V237" s="11">
        <v>757.1</v>
      </c>
      <c r="W237" s="4">
        <f t="shared" si="37"/>
        <v>54.078571428571429</v>
      </c>
      <c r="X237" s="4">
        <f t="shared" si="43"/>
        <v>147830.49999999997</v>
      </c>
      <c r="Y237" s="4">
        <f t="shared" si="45"/>
        <v>2196.8000000000002</v>
      </c>
      <c r="Z237" s="4">
        <v>37313</v>
      </c>
      <c r="AA237" s="4">
        <v>14.2976421435191</v>
      </c>
    </row>
    <row r="238" spans="1:27" s="4" customFormat="1" x14ac:dyDescent="0.25">
      <c r="A238" s="73"/>
      <c r="B238" s="27"/>
      <c r="C238" s="6">
        <v>41754</v>
      </c>
      <c r="D238" s="4">
        <v>13.8</v>
      </c>
      <c r="E238" s="4">
        <v>12.3</v>
      </c>
      <c r="F238" s="4">
        <v>18.399999999999999</v>
      </c>
      <c r="G238" s="4">
        <f t="shared" si="39"/>
        <v>2122.0000000000005</v>
      </c>
      <c r="H238" s="4">
        <f t="shared" si="44"/>
        <v>41.2</v>
      </c>
      <c r="I238" s="33" t="s">
        <v>29</v>
      </c>
      <c r="J238" s="4">
        <v>0.6</v>
      </c>
      <c r="K238" s="4">
        <f t="shared" si="40"/>
        <v>600.80000000000041</v>
      </c>
      <c r="L238" s="4">
        <v>1.8</v>
      </c>
      <c r="M238" s="4">
        <f t="shared" si="41"/>
        <v>338.30000000000007</v>
      </c>
      <c r="N238" s="9">
        <f t="shared" si="38"/>
        <v>-1.2000000000000002</v>
      </c>
      <c r="O238" s="4">
        <v>87.7</v>
      </c>
      <c r="P238" s="4">
        <v>233</v>
      </c>
      <c r="Q238" s="4">
        <v>1.1499999999999999</v>
      </c>
      <c r="R238" s="10">
        <f t="shared" si="35"/>
        <v>2.0699999999999998</v>
      </c>
      <c r="S238" s="10">
        <f t="shared" si="36"/>
        <v>-1.4699999999999998</v>
      </c>
      <c r="T238" s="10">
        <f t="shared" si="42"/>
        <v>70.630000000000052</v>
      </c>
      <c r="U238" s="33" t="s">
        <v>30</v>
      </c>
      <c r="V238" s="11">
        <v>756.6</v>
      </c>
      <c r="W238" s="4">
        <f t="shared" si="37"/>
        <v>54.826086956521735</v>
      </c>
      <c r="X238" s="4">
        <f t="shared" si="43"/>
        <v>148587.09999999998</v>
      </c>
      <c r="Y238" s="4">
        <f t="shared" si="45"/>
        <v>2953.4</v>
      </c>
      <c r="Z238" s="33" t="s">
        <v>31</v>
      </c>
      <c r="AA238" s="4">
        <v>14.3571607006006</v>
      </c>
    </row>
    <row r="239" spans="1:27" s="4" customFormat="1" x14ac:dyDescent="0.25">
      <c r="A239" s="73"/>
      <c r="B239" s="27"/>
      <c r="C239" s="6">
        <v>41755</v>
      </c>
      <c r="D239" s="4">
        <v>10.3</v>
      </c>
      <c r="E239" s="4">
        <v>8.1</v>
      </c>
      <c r="F239" s="4">
        <v>11.9</v>
      </c>
      <c r="G239" s="4">
        <f t="shared" si="39"/>
        <v>2132.3000000000006</v>
      </c>
      <c r="H239" s="4">
        <f t="shared" si="44"/>
        <v>51.5</v>
      </c>
      <c r="I239" s="4">
        <f>MAX(F236:F260)</f>
        <v>20.6</v>
      </c>
      <c r="J239" s="4">
        <v>2.2000000000000002</v>
      </c>
      <c r="K239" s="4">
        <f t="shared" si="40"/>
        <v>603.00000000000045</v>
      </c>
      <c r="L239" s="4">
        <v>1.1000000000000001</v>
      </c>
      <c r="M239" s="4">
        <f t="shared" si="41"/>
        <v>339.40000000000009</v>
      </c>
      <c r="N239" s="4">
        <f t="shared" si="38"/>
        <v>1.1000000000000001</v>
      </c>
      <c r="O239" s="4">
        <v>88.8</v>
      </c>
      <c r="P239" s="4">
        <v>234</v>
      </c>
      <c r="Q239" s="4">
        <v>1.1499999999999999</v>
      </c>
      <c r="R239" s="10">
        <f t="shared" si="35"/>
        <v>1.2649999999999999</v>
      </c>
      <c r="S239" s="10">
        <f t="shared" si="36"/>
        <v>0.93500000000000028</v>
      </c>
      <c r="T239" s="10">
        <f t="shared" si="42"/>
        <v>71.565000000000055</v>
      </c>
      <c r="U239" s="4">
        <v>0</v>
      </c>
      <c r="V239" s="11">
        <v>678.9</v>
      </c>
      <c r="W239" s="4">
        <f t="shared" si="37"/>
        <v>65.912621359223294</v>
      </c>
      <c r="X239" s="4">
        <f t="shared" si="43"/>
        <v>149265.99999999997</v>
      </c>
      <c r="Y239" s="4">
        <f t="shared" si="45"/>
        <v>3632.3</v>
      </c>
      <c r="Z239" s="12">
        <f>(Z237/100)/I249</f>
        <v>1.202481469545601</v>
      </c>
      <c r="AA239" s="4">
        <v>14.4163494348774</v>
      </c>
    </row>
    <row r="240" spans="1:27" s="4" customFormat="1" x14ac:dyDescent="0.25">
      <c r="A240" s="73"/>
      <c r="B240" s="27"/>
      <c r="C240" s="6">
        <v>41756</v>
      </c>
      <c r="D240" s="4">
        <v>10.8</v>
      </c>
      <c r="E240" s="4">
        <v>7.6</v>
      </c>
      <c r="F240" s="4">
        <v>13.5</v>
      </c>
      <c r="G240" s="4">
        <f t="shared" si="39"/>
        <v>2143.1000000000008</v>
      </c>
      <c r="H240" s="4">
        <f t="shared" si="44"/>
        <v>62.3</v>
      </c>
      <c r="I240" s="33" t="s">
        <v>32</v>
      </c>
      <c r="J240" s="4">
        <v>0.3</v>
      </c>
      <c r="K240" s="4">
        <f t="shared" si="40"/>
        <v>603.30000000000041</v>
      </c>
      <c r="L240" s="4">
        <v>1.8</v>
      </c>
      <c r="M240" s="4">
        <f t="shared" si="41"/>
        <v>341.2000000000001</v>
      </c>
      <c r="N240" s="9">
        <f t="shared" si="38"/>
        <v>-1.5</v>
      </c>
      <c r="O240" s="4">
        <v>87.3</v>
      </c>
      <c r="P240" s="4">
        <v>235</v>
      </c>
      <c r="Q240" s="4">
        <v>1.1499999999999999</v>
      </c>
      <c r="R240" s="10">
        <f t="shared" si="35"/>
        <v>2.0699999999999998</v>
      </c>
      <c r="S240" s="10">
        <f t="shared" si="36"/>
        <v>-1.7699999999999998</v>
      </c>
      <c r="T240" s="10">
        <f t="shared" si="42"/>
        <v>69.795000000000059</v>
      </c>
      <c r="U240" s="33" t="s">
        <v>33</v>
      </c>
      <c r="V240" s="4">
        <v>1118.0999999999999</v>
      </c>
      <c r="W240" s="4">
        <f t="shared" si="37"/>
        <v>103.52777777777776</v>
      </c>
      <c r="X240" s="4">
        <f t="shared" si="43"/>
        <v>150384.09999999998</v>
      </c>
      <c r="Y240" s="4">
        <f t="shared" si="45"/>
        <v>4750.3999999999996</v>
      </c>
      <c r="Z240" s="33" t="s">
        <v>34</v>
      </c>
      <c r="AA240" s="4">
        <v>14.475192095382001</v>
      </c>
    </row>
    <row r="241" spans="1:27" s="4" customFormat="1" x14ac:dyDescent="0.25">
      <c r="A241" s="73"/>
      <c r="B241" s="27"/>
      <c r="C241" s="6">
        <v>41757</v>
      </c>
      <c r="D241" s="4">
        <v>12.2</v>
      </c>
      <c r="E241" s="4">
        <v>8.1999999999999993</v>
      </c>
      <c r="F241" s="4">
        <v>15.9</v>
      </c>
      <c r="G241" s="4">
        <f t="shared" si="39"/>
        <v>2155.3000000000006</v>
      </c>
      <c r="H241" s="4">
        <f t="shared" si="44"/>
        <v>74.5</v>
      </c>
      <c r="I241" s="10">
        <f>AVERAGE(D236:D260)</f>
        <v>12.412000000000001</v>
      </c>
      <c r="J241" s="4">
        <v>0</v>
      </c>
      <c r="K241" s="4">
        <f t="shared" si="40"/>
        <v>603.30000000000041</v>
      </c>
      <c r="L241" s="4">
        <v>2.2000000000000002</v>
      </c>
      <c r="M241" s="4">
        <f t="shared" si="41"/>
        <v>343.40000000000009</v>
      </c>
      <c r="N241" s="9">
        <f t="shared" si="38"/>
        <v>-2.2000000000000002</v>
      </c>
      <c r="O241" s="4">
        <v>85.1</v>
      </c>
      <c r="P241" s="4">
        <v>236</v>
      </c>
      <c r="Q241" s="4">
        <v>1.1499999999999999</v>
      </c>
      <c r="R241" s="10">
        <f t="shared" si="35"/>
        <v>2.5299999999999998</v>
      </c>
      <c r="S241" s="10">
        <f t="shared" si="36"/>
        <v>-2.5299999999999998</v>
      </c>
      <c r="T241" s="10">
        <f t="shared" si="42"/>
        <v>67.265000000000057</v>
      </c>
      <c r="U241" s="4">
        <v>6</v>
      </c>
      <c r="V241" s="4">
        <v>1291.7</v>
      </c>
      <c r="W241" s="4">
        <f t="shared" si="37"/>
        <v>105.87704918032787</v>
      </c>
      <c r="X241" s="4">
        <f t="shared" si="43"/>
        <v>151675.79999999999</v>
      </c>
      <c r="Y241" s="4">
        <f t="shared" si="45"/>
        <v>6042.0999999999995</v>
      </c>
      <c r="Z241" s="4">
        <v>6</v>
      </c>
      <c r="AA241" s="4">
        <v>14.5336718382007</v>
      </c>
    </row>
    <row r="242" spans="1:27" s="4" customFormat="1" x14ac:dyDescent="0.25">
      <c r="A242" s="73"/>
      <c r="B242" s="27"/>
      <c r="C242" s="6">
        <v>41758</v>
      </c>
      <c r="D242" s="4">
        <v>13.1</v>
      </c>
      <c r="E242" s="4">
        <v>10.3</v>
      </c>
      <c r="F242" s="4">
        <v>16.7</v>
      </c>
      <c r="G242" s="4">
        <f t="shared" si="39"/>
        <v>2168.4000000000005</v>
      </c>
      <c r="H242" s="4">
        <f t="shared" si="44"/>
        <v>87.6</v>
      </c>
      <c r="I242" s="33" t="s">
        <v>35</v>
      </c>
      <c r="J242" s="4">
        <v>0.6</v>
      </c>
      <c r="K242" s="4">
        <f t="shared" si="40"/>
        <v>603.90000000000043</v>
      </c>
      <c r="L242" s="4">
        <v>1.7</v>
      </c>
      <c r="M242" s="4">
        <f t="shared" si="41"/>
        <v>345.10000000000008</v>
      </c>
      <c r="N242" s="9">
        <f t="shared" si="38"/>
        <v>-1.1000000000000001</v>
      </c>
      <c r="O242" s="4">
        <v>84</v>
      </c>
      <c r="P242" s="4">
        <v>237</v>
      </c>
      <c r="Q242" s="4">
        <v>1.1499999999999999</v>
      </c>
      <c r="R242" s="10">
        <f t="shared" si="35"/>
        <v>1.9549999999999998</v>
      </c>
      <c r="S242" s="10">
        <f t="shared" si="36"/>
        <v>-1.355</v>
      </c>
      <c r="T242" s="10">
        <f t="shared" si="42"/>
        <v>65.910000000000053</v>
      </c>
      <c r="U242" s="33" t="s">
        <v>36</v>
      </c>
      <c r="V242" s="4">
        <v>977.1</v>
      </c>
      <c r="W242" s="4">
        <f t="shared" si="37"/>
        <v>74.587786259541986</v>
      </c>
      <c r="X242" s="4">
        <f t="shared" si="43"/>
        <v>152652.9</v>
      </c>
      <c r="Y242" s="4">
        <f t="shared" si="45"/>
        <v>7019.2</v>
      </c>
      <c r="AA242" s="4">
        <v>14.591771216438801</v>
      </c>
    </row>
    <row r="243" spans="1:27" s="4" customFormat="1" x14ac:dyDescent="0.25">
      <c r="A243" s="73"/>
      <c r="B243" s="27"/>
      <c r="C243" s="6">
        <v>41759</v>
      </c>
      <c r="D243" s="4">
        <v>12.9</v>
      </c>
      <c r="E243" s="4">
        <v>10</v>
      </c>
      <c r="F243" s="4">
        <v>15.9</v>
      </c>
      <c r="G243" s="4">
        <f t="shared" si="39"/>
        <v>2181.3000000000006</v>
      </c>
      <c r="H243" s="4">
        <f t="shared" si="44"/>
        <v>100.5</v>
      </c>
      <c r="I243" s="4">
        <v>0</v>
      </c>
      <c r="J243" s="4">
        <v>0</v>
      </c>
      <c r="K243" s="4">
        <f t="shared" si="40"/>
        <v>603.90000000000043</v>
      </c>
      <c r="L243" s="4">
        <v>3</v>
      </c>
      <c r="M243" s="4">
        <f t="shared" si="41"/>
        <v>348.10000000000008</v>
      </c>
      <c r="N243" s="9">
        <f t="shared" si="38"/>
        <v>-3</v>
      </c>
      <c r="O243" s="4">
        <v>81</v>
      </c>
      <c r="P243" s="4">
        <v>238</v>
      </c>
      <c r="Q243" s="4">
        <v>1.1499999999999999</v>
      </c>
      <c r="R243" s="10">
        <f t="shared" si="35"/>
        <v>3.4499999999999997</v>
      </c>
      <c r="S243" s="10">
        <f t="shared" si="36"/>
        <v>-3.4499999999999997</v>
      </c>
      <c r="T243" s="10">
        <f t="shared" si="42"/>
        <v>62.460000000000051</v>
      </c>
      <c r="U243" s="10">
        <f>MIN(T236:T260)</f>
        <v>40.07000000000005</v>
      </c>
      <c r="V243" s="4">
        <v>2006.8</v>
      </c>
      <c r="W243" s="4">
        <f t="shared" si="37"/>
        <v>155.5658914728682</v>
      </c>
      <c r="X243" s="4">
        <f t="shared" si="43"/>
        <v>154659.69999999998</v>
      </c>
      <c r="Y243" s="4">
        <f t="shared" si="45"/>
        <v>9026</v>
      </c>
      <c r="AA243" s="4">
        <v>14.649472171332301</v>
      </c>
    </row>
    <row r="244" spans="1:27" s="4" customFormat="1" x14ac:dyDescent="0.25">
      <c r="A244" s="73"/>
      <c r="B244" s="27"/>
      <c r="C244" s="6">
        <v>41760</v>
      </c>
      <c r="D244" s="4">
        <v>13</v>
      </c>
      <c r="E244" s="4">
        <v>8.9</v>
      </c>
      <c r="F244" s="4">
        <v>19</v>
      </c>
      <c r="G244" s="4">
        <f t="shared" si="39"/>
        <v>2194.3000000000006</v>
      </c>
      <c r="H244" s="4">
        <f t="shared" si="44"/>
        <v>113.5</v>
      </c>
      <c r="I244" s="33" t="s">
        <v>37</v>
      </c>
      <c r="J244" s="4">
        <v>3.9</v>
      </c>
      <c r="K244" s="4">
        <f t="shared" si="40"/>
        <v>607.80000000000041</v>
      </c>
      <c r="L244" s="4">
        <v>3</v>
      </c>
      <c r="M244" s="4">
        <f t="shared" si="41"/>
        <v>351.10000000000008</v>
      </c>
      <c r="N244" s="4">
        <f t="shared" si="38"/>
        <v>0.89999999999999991</v>
      </c>
      <c r="O244" s="4">
        <v>81.900000000000006</v>
      </c>
      <c r="P244" s="4">
        <v>239</v>
      </c>
      <c r="Q244" s="4">
        <v>1.1499999999999999</v>
      </c>
      <c r="R244" s="10">
        <f t="shared" si="35"/>
        <v>3.4499999999999997</v>
      </c>
      <c r="S244" s="10">
        <f t="shared" si="36"/>
        <v>0.45000000000000018</v>
      </c>
      <c r="T244" s="10">
        <f t="shared" si="42"/>
        <v>62.910000000000053</v>
      </c>
      <c r="U244" s="33" t="s">
        <v>38</v>
      </c>
      <c r="V244" s="4">
        <v>1392.5</v>
      </c>
      <c r="W244" s="4">
        <f t="shared" si="37"/>
        <v>107.11538461538461</v>
      </c>
      <c r="X244" s="4">
        <f t="shared" si="43"/>
        <v>156052.19999999998</v>
      </c>
      <c r="Y244" s="4">
        <f t="shared" si="45"/>
        <v>10418.5</v>
      </c>
      <c r="AA244" s="4">
        <v>14.706756024615499</v>
      </c>
    </row>
    <row r="245" spans="1:27" s="4" customFormat="1" x14ac:dyDescent="0.25">
      <c r="A245" s="73"/>
      <c r="B245" s="27"/>
      <c r="C245" s="6">
        <v>41761</v>
      </c>
      <c r="D245" s="4">
        <v>11.9</v>
      </c>
      <c r="E245" s="4">
        <v>11.5</v>
      </c>
      <c r="F245" s="4">
        <v>14.4</v>
      </c>
      <c r="G245" s="4">
        <f t="shared" si="39"/>
        <v>2206.2000000000007</v>
      </c>
      <c r="H245" s="4">
        <f t="shared" si="44"/>
        <v>125.4</v>
      </c>
      <c r="I245" s="4">
        <v>0</v>
      </c>
      <c r="J245" s="4">
        <v>0</v>
      </c>
      <c r="K245" s="4">
        <f t="shared" si="40"/>
        <v>607.80000000000041</v>
      </c>
      <c r="L245" s="4">
        <v>2.4</v>
      </c>
      <c r="M245" s="4">
        <f t="shared" si="41"/>
        <v>353.50000000000006</v>
      </c>
      <c r="N245" s="9">
        <f t="shared" si="38"/>
        <v>-2.4</v>
      </c>
      <c r="O245" s="4">
        <v>79.5</v>
      </c>
      <c r="P245" s="4">
        <v>240</v>
      </c>
      <c r="Q245" s="4">
        <v>1.1499999999999999</v>
      </c>
      <c r="R245" s="10">
        <f t="shared" si="35"/>
        <v>2.76</v>
      </c>
      <c r="S245" s="10">
        <f t="shared" si="36"/>
        <v>-2.76</v>
      </c>
      <c r="T245" s="10">
        <f t="shared" si="42"/>
        <v>60.150000000000055</v>
      </c>
      <c r="U245" s="10">
        <f>MAX(T236:T260)</f>
        <v>72.100000000000051</v>
      </c>
      <c r="V245" s="11">
        <v>644.6</v>
      </c>
      <c r="W245" s="4">
        <f t="shared" si="37"/>
        <v>54.168067226890756</v>
      </c>
      <c r="X245" s="4">
        <f t="shared" si="43"/>
        <v>156696.79999999999</v>
      </c>
      <c r="Y245" s="4">
        <f t="shared" si="45"/>
        <v>11063.1</v>
      </c>
      <c r="AA245" s="4">
        <v>14.7636034722596</v>
      </c>
    </row>
    <row r="246" spans="1:27" s="4" customFormat="1" x14ac:dyDescent="0.25">
      <c r="A246" s="73"/>
      <c r="B246" s="27"/>
      <c r="C246" s="6">
        <v>41762</v>
      </c>
      <c r="D246" s="4">
        <v>9.8000000000000007</v>
      </c>
      <c r="E246" s="4">
        <v>7.7</v>
      </c>
      <c r="F246" s="4">
        <v>12.6</v>
      </c>
      <c r="G246" s="4">
        <f t="shared" si="39"/>
        <v>2216.0000000000009</v>
      </c>
      <c r="H246" s="4">
        <f t="shared" si="44"/>
        <v>135.20000000000002</v>
      </c>
      <c r="I246" s="33" t="s">
        <v>39</v>
      </c>
      <c r="J246" s="4">
        <v>0</v>
      </c>
      <c r="K246" s="4">
        <f t="shared" si="40"/>
        <v>607.80000000000041</v>
      </c>
      <c r="L246" s="4">
        <v>3.7</v>
      </c>
      <c r="M246" s="4">
        <f t="shared" si="41"/>
        <v>357.20000000000005</v>
      </c>
      <c r="N246" s="9">
        <f t="shared" si="38"/>
        <v>-3.7</v>
      </c>
      <c r="O246" s="4">
        <v>75.8</v>
      </c>
      <c r="P246" s="4">
        <v>241</v>
      </c>
      <c r="Q246" s="4">
        <v>1.1499999999999999</v>
      </c>
      <c r="R246" s="10">
        <f t="shared" si="35"/>
        <v>4.2549999999999999</v>
      </c>
      <c r="S246" s="10">
        <f t="shared" si="36"/>
        <v>-4.2549999999999999</v>
      </c>
      <c r="T246" s="10">
        <f t="shared" si="42"/>
        <v>55.895000000000053</v>
      </c>
      <c r="U246" s="33" t="s">
        <v>40</v>
      </c>
      <c r="V246" s="4">
        <v>2090</v>
      </c>
      <c r="W246" s="4">
        <f t="shared" si="37"/>
        <v>213.26530612244898</v>
      </c>
      <c r="X246" s="4">
        <f t="shared" si="43"/>
        <v>158786.79999999999</v>
      </c>
      <c r="Y246" s="4">
        <f t="shared" si="45"/>
        <v>13153.1</v>
      </c>
      <c r="AA246" s="4">
        <v>14.8199945797039</v>
      </c>
    </row>
    <row r="247" spans="1:27" s="4" customFormat="1" x14ac:dyDescent="0.25">
      <c r="A247" s="73"/>
      <c r="B247" s="27"/>
      <c r="C247" s="6">
        <v>41763</v>
      </c>
      <c r="D247" s="4">
        <v>10.6</v>
      </c>
      <c r="E247" s="4">
        <v>5.7</v>
      </c>
      <c r="F247" s="4">
        <v>15</v>
      </c>
      <c r="G247" s="4">
        <f t="shared" si="39"/>
        <v>2226.6000000000008</v>
      </c>
      <c r="H247" s="4">
        <f t="shared" si="44"/>
        <v>145.80000000000001</v>
      </c>
      <c r="I247" s="4">
        <v>0</v>
      </c>
      <c r="J247" s="4">
        <v>0</v>
      </c>
      <c r="K247" s="4">
        <f t="shared" si="40"/>
        <v>607.80000000000041</v>
      </c>
      <c r="L247" s="4">
        <v>3.7</v>
      </c>
      <c r="M247" s="4">
        <f t="shared" si="41"/>
        <v>360.90000000000003</v>
      </c>
      <c r="N247" s="9">
        <f t="shared" si="38"/>
        <v>-3.7</v>
      </c>
      <c r="O247" s="4">
        <v>72.099999999999994</v>
      </c>
      <c r="P247" s="4">
        <v>242</v>
      </c>
      <c r="Q247" s="4">
        <v>1.1499999999999999</v>
      </c>
      <c r="R247" s="10">
        <f t="shared" si="35"/>
        <v>4.2549999999999999</v>
      </c>
      <c r="S247" s="10">
        <f t="shared" si="36"/>
        <v>-4.2549999999999999</v>
      </c>
      <c r="T247" s="10">
        <f t="shared" si="42"/>
        <v>51.64000000000005</v>
      </c>
      <c r="U247" s="12">
        <f>AVERAGE(T236:T260)</f>
        <v>58.548600000000057</v>
      </c>
      <c r="V247" s="4">
        <v>2580.8000000000002</v>
      </c>
      <c r="W247" s="4">
        <f t="shared" si="37"/>
        <v>243.47169811320757</v>
      </c>
      <c r="X247" s="4">
        <f t="shared" si="43"/>
        <v>161367.59999999998</v>
      </c>
      <c r="Y247" s="4">
        <f t="shared" si="45"/>
        <v>15733.900000000001</v>
      </c>
      <c r="AA247" s="4">
        <v>14.875908778705799</v>
      </c>
    </row>
    <row r="248" spans="1:27" s="4" customFormat="1" x14ac:dyDescent="0.25">
      <c r="A248" s="73"/>
      <c r="B248" s="27"/>
      <c r="C248" s="6">
        <v>41764</v>
      </c>
      <c r="D248" s="4">
        <v>13.9</v>
      </c>
      <c r="E248" s="4">
        <v>7.5</v>
      </c>
      <c r="F248" s="4">
        <v>18.899999999999999</v>
      </c>
      <c r="G248" s="4">
        <f t="shared" si="39"/>
        <v>2240.5000000000009</v>
      </c>
      <c r="H248" s="4">
        <f t="shared" si="44"/>
        <v>159.70000000000002</v>
      </c>
      <c r="I248" s="33" t="s">
        <v>41</v>
      </c>
      <c r="J248" s="4">
        <v>0</v>
      </c>
      <c r="K248" s="4">
        <f t="shared" si="40"/>
        <v>607.80000000000041</v>
      </c>
      <c r="L248" s="4">
        <v>3.6</v>
      </c>
      <c r="M248" s="4">
        <f t="shared" si="41"/>
        <v>364.50000000000006</v>
      </c>
      <c r="N248" s="9">
        <f t="shared" si="38"/>
        <v>-3.6</v>
      </c>
      <c r="O248" s="4">
        <v>68.5</v>
      </c>
      <c r="P248" s="4">
        <v>243</v>
      </c>
      <c r="Q248" s="4">
        <v>1.1499999999999999</v>
      </c>
      <c r="R248" s="10">
        <f t="shared" si="35"/>
        <v>4.1399999999999997</v>
      </c>
      <c r="S248" s="10">
        <f t="shared" si="36"/>
        <v>-4.1399999999999997</v>
      </c>
      <c r="T248" s="10">
        <f t="shared" si="42"/>
        <v>47.50000000000005</v>
      </c>
      <c r="V248" s="4">
        <v>2291.8000000000002</v>
      </c>
      <c r="W248" s="4">
        <f t="shared" si="37"/>
        <v>164.87769784172662</v>
      </c>
      <c r="X248" s="4">
        <f t="shared" si="43"/>
        <v>163659.39999999997</v>
      </c>
      <c r="Y248" s="4">
        <f t="shared" si="45"/>
        <v>18025.7</v>
      </c>
      <c r="AA248" s="4">
        <v>14.931324865939599</v>
      </c>
    </row>
    <row r="249" spans="1:27" s="4" customFormat="1" x14ac:dyDescent="0.25">
      <c r="A249" s="73"/>
      <c r="B249" s="27"/>
      <c r="C249" s="6">
        <v>41765</v>
      </c>
      <c r="D249" s="4">
        <v>14.3</v>
      </c>
      <c r="E249" s="4">
        <v>11.9</v>
      </c>
      <c r="F249" s="4">
        <v>19.2</v>
      </c>
      <c r="G249" s="4">
        <f t="shared" si="39"/>
        <v>2254.8000000000011</v>
      </c>
      <c r="H249" s="4">
        <f t="shared" si="44"/>
        <v>174.00000000000003</v>
      </c>
      <c r="I249" s="4">
        <v>310.3</v>
      </c>
      <c r="J249" s="4">
        <v>7.2</v>
      </c>
      <c r="K249" s="4">
        <f t="shared" si="40"/>
        <v>615.00000000000045</v>
      </c>
      <c r="L249" s="4">
        <v>3.3</v>
      </c>
      <c r="M249" s="4">
        <f t="shared" si="41"/>
        <v>367.80000000000007</v>
      </c>
      <c r="N249" s="4">
        <f t="shared" si="38"/>
        <v>3.9000000000000004</v>
      </c>
      <c r="O249" s="4">
        <v>72.400000000000006</v>
      </c>
      <c r="P249" s="4">
        <v>244</v>
      </c>
      <c r="Q249" s="4">
        <v>1.1499999999999999</v>
      </c>
      <c r="R249" s="10">
        <f t="shared" si="35"/>
        <v>3.7949999999999995</v>
      </c>
      <c r="S249" s="10">
        <f t="shared" si="36"/>
        <v>3.4050000000000007</v>
      </c>
      <c r="T249" s="10">
        <f t="shared" si="42"/>
        <v>50.905000000000051</v>
      </c>
      <c r="U249" s="4">
        <f>(U247*100)/153.6</f>
        <v>38.117578125000044</v>
      </c>
      <c r="V249" s="4">
        <v>1206.8</v>
      </c>
      <c r="W249" s="4">
        <f t="shared" si="37"/>
        <v>84.391608391608386</v>
      </c>
      <c r="X249" s="4">
        <f t="shared" si="43"/>
        <v>164866.19999999995</v>
      </c>
      <c r="Y249" s="4">
        <f t="shared" si="45"/>
        <v>19232.5</v>
      </c>
      <c r="AA249" s="4">
        <v>14.9862210034795</v>
      </c>
    </row>
    <row r="250" spans="1:27" s="23" customFormat="1" x14ac:dyDescent="0.25">
      <c r="A250" s="73"/>
      <c r="B250" s="34"/>
      <c r="C250" s="6">
        <v>41766</v>
      </c>
      <c r="D250" s="23">
        <v>12.6</v>
      </c>
      <c r="E250" s="23">
        <v>10.3</v>
      </c>
      <c r="F250" s="23">
        <v>14.8</v>
      </c>
      <c r="G250" s="23">
        <f t="shared" si="39"/>
        <v>2267.400000000001</v>
      </c>
      <c r="H250" s="23">
        <f t="shared" si="44"/>
        <v>186.60000000000002</v>
      </c>
      <c r="J250" s="23">
        <v>1.1000000000000001</v>
      </c>
      <c r="K250" s="23">
        <f t="shared" si="40"/>
        <v>616.10000000000048</v>
      </c>
      <c r="L250" s="23">
        <v>3.1</v>
      </c>
      <c r="M250" s="23">
        <f t="shared" si="41"/>
        <v>370.90000000000009</v>
      </c>
      <c r="N250" s="23">
        <f t="shared" si="38"/>
        <v>-2</v>
      </c>
      <c r="O250" s="23">
        <v>70.400000000000006</v>
      </c>
      <c r="P250" s="23">
        <v>245</v>
      </c>
      <c r="Q250" s="4">
        <v>1.1499999999999999</v>
      </c>
      <c r="R250" s="25">
        <f t="shared" si="35"/>
        <v>3.5649999999999999</v>
      </c>
      <c r="S250" s="25">
        <f t="shared" si="36"/>
        <v>-2.4649999999999999</v>
      </c>
      <c r="T250" s="10">
        <f t="shared" si="42"/>
        <v>48.440000000000055</v>
      </c>
      <c r="V250" s="23">
        <v>1367.5</v>
      </c>
      <c r="W250" s="23">
        <f t="shared" si="37"/>
        <v>108.53174603174604</v>
      </c>
      <c r="X250" s="23">
        <f t="shared" si="43"/>
        <v>166233.69999999995</v>
      </c>
      <c r="Y250" s="4">
        <f t="shared" si="45"/>
        <v>20600</v>
      </c>
      <c r="AA250" s="4">
        <v>15.0405747213068</v>
      </c>
    </row>
    <row r="251" spans="1:27" s="4" customFormat="1" x14ac:dyDescent="0.25">
      <c r="A251" s="73"/>
      <c r="B251" s="27"/>
      <c r="C251" s="6">
        <v>41767</v>
      </c>
      <c r="D251" s="4">
        <v>12.3</v>
      </c>
      <c r="E251" s="4">
        <v>10.7</v>
      </c>
      <c r="F251" s="4">
        <v>13.9</v>
      </c>
      <c r="G251" s="4">
        <f t="shared" si="39"/>
        <v>2279.7000000000012</v>
      </c>
      <c r="H251" s="4">
        <f t="shared" si="44"/>
        <v>198.90000000000003</v>
      </c>
      <c r="J251" s="4">
        <v>8.9</v>
      </c>
      <c r="K251" s="4">
        <f t="shared" si="40"/>
        <v>625.00000000000045</v>
      </c>
      <c r="L251" s="4">
        <v>1.5</v>
      </c>
      <c r="M251" s="4">
        <f t="shared" si="41"/>
        <v>372.40000000000009</v>
      </c>
      <c r="N251" s="4">
        <f t="shared" si="38"/>
        <v>7.4</v>
      </c>
      <c r="O251" s="4">
        <v>77.800000000000011</v>
      </c>
      <c r="P251" s="4">
        <v>246</v>
      </c>
      <c r="Q251" s="4">
        <v>1.1499999999999999</v>
      </c>
      <c r="R251" s="10">
        <f t="shared" si="35"/>
        <v>1.7249999999999999</v>
      </c>
      <c r="S251" s="10">
        <f t="shared" si="36"/>
        <v>7.1750000000000007</v>
      </c>
      <c r="T251" s="10">
        <f t="shared" si="42"/>
        <v>55.615000000000052</v>
      </c>
      <c r="U251" s="28"/>
      <c r="V251" s="11">
        <v>349.4</v>
      </c>
      <c r="W251" s="4">
        <f t="shared" si="37"/>
        <v>28.406504065040647</v>
      </c>
      <c r="X251" s="4">
        <f t="shared" si="43"/>
        <v>166583.09999999995</v>
      </c>
      <c r="Y251" s="4">
        <f t="shared" si="45"/>
        <v>20949.400000000001</v>
      </c>
      <c r="AA251" s="4">
        <v>15.094362921979901</v>
      </c>
    </row>
    <row r="252" spans="1:27" s="4" customFormat="1" x14ac:dyDescent="0.25">
      <c r="A252" s="73"/>
      <c r="B252" s="27"/>
      <c r="C252" s="6">
        <v>41768</v>
      </c>
      <c r="D252" s="4">
        <v>13</v>
      </c>
      <c r="E252" s="4">
        <v>12</v>
      </c>
      <c r="F252" s="4">
        <v>14.5</v>
      </c>
      <c r="G252" s="4">
        <f t="shared" si="39"/>
        <v>2292.7000000000012</v>
      </c>
      <c r="H252" s="4">
        <f t="shared" si="44"/>
        <v>211.90000000000003</v>
      </c>
      <c r="J252" s="4">
        <v>2</v>
      </c>
      <c r="K252" s="4">
        <f t="shared" si="40"/>
        <v>627.00000000000045</v>
      </c>
      <c r="L252" s="4">
        <v>2.8</v>
      </c>
      <c r="M252" s="4">
        <f t="shared" si="41"/>
        <v>375.2000000000001</v>
      </c>
      <c r="N252" s="9">
        <f t="shared" si="38"/>
        <v>-0.79999999999999982</v>
      </c>
      <c r="O252" s="4">
        <v>77.000000000000014</v>
      </c>
      <c r="P252" s="4">
        <v>247</v>
      </c>
      <c r="Q252" s="4">
        <v>1.1499999999999999</v>
      </c>
      <c r="R252" s="10">
        <f t="shared" si="35"/>
        <v>3.2199999999999998</v>
      </c>
      <c r="S252" s="10">
        <f t="shared" si="36"/>
        <v>-1.2199999999999998</v>
      </c>
      <c r="T252" s="10">
        <f t="shared" si="42"/>
        <v>54.395000000000053</v>
      </c>
      <c r="V252" s="4">
        <v>1111.0999999999999</v>
      </c>
      <c r="W252" s="4">
        <f t="shared" si="37"/>
        <v>85.469230769230762</v>
      </c>
      <c r="X252" s="4">
        <f t="shared" si="43"/>
        <v>167694.19999999995</v>
      </c>
      <c r="Y252" s="4">
        <f t="shared" si="45"/>
        <v>22060.5</v>
      </c>
      <c r="AA252" s="4">
        <v>15.147561887615099</v>
      </c>
    </row>
    <row r="253" spans="1:27" s="4" customFormat="1" x14ac:dyDescent="0.25">
      <c r="A253" s="73"/>
      <c r="B253" s="27"/>
      <c r="C253" s="6">
        <v>41769</v>
      </c>
      <c r="D253" s="4">
        <v>11.8</v>
      </c>
      <c r="E253" s="4">
        <v>10</v>
      </c>
      <c r="F253" s="4">
        <v>13.3</v>
      </c>
      <c r="G253" s="4">
        <f t="shared" si="39"/>
        <v>2304.5000000000014</v>
      </c>
      <c r="H253" s="4">
        <f t="shared" si="44"/>
        <v>223.70000000000005</v>
      </c>
      <c r="J253" s="4">
        <v>7.5</v>
      </c>
      <c r="K253" s="4">
        <f t="shared" si="40"/>
        <v>634.50000000000045</v>
      </c>
      <c r="L253" s="4">
        <v>1.6</v>
      </c>
      <c r="M253" s="4">
        <f t="shared" si="41"/>
        <v>376.80000000000013</v>
      </c>
      <c r="N253" s="4">
        <f t="shared" si="38"/>
        <v>5.9</v>
      </c>
      <c r="O253" s="4">
        <v>82.90000000000002</v>
      </c>
      <c r="P253" s="4">
        <v>248</v>
      </c>
      <c r="Q253" s="4">
        <v>1.1499999999999999</v>
      </c>
      <c r="R253" s="10">
        <f t="shared" si="35"/>
        <v>1.8399999999999999</v>
      </c>
      <c r="S253" s="10">
        <f t="shared" si="36"/>
        <v>5.66</v>
      </c>
      <c r="T253" s="10">
        <f t="shared" si="42"/>
        <v>60.055000000000049</v>
      </c>
      <c r="V253" s="11">
        <v>489.2</v>
      </c>
      <c r="W253" s="4">
        <f t="shared" si="37"/>
        <v>41.457627118644062</v>
      </c>
      <c r="X253" s="4">
        <f t="shared" si="43"/>
        <v>168183.39999999997</v>
      </c>
      <c r="Y253" s="4">
        <f t="shared" si="45"/>
        <v>22549.7</v>
      </c>
      <c r="AA253" s="4">
        <v>15.200147289318901</v>
      </c>
    </row>
    <row r="254" spans="1:27" s="4" customFormat="1" x14ac:dyDescent="0.25">
      <c r="A254" s="73"/>
      <c r="B254" s="27"/>
      <c r="C254" s="6">
        <v>41770</v>
      </c>
      <c r="D254" s="4">
        <v>11.2</v>
      </c>
      <c r="E254" s="4">
        <v>9.4</v>
      </c>
      <c r="F254" s="4">
        <v>13.8</v>
      </c>
      <c r="G254" s="4">
        <f t="shared" si="39"/>
        <v>2315.7000000000012</v>
      </c>
      <c r="H254" s="4">
        <f t="shared" si="44"/>
        <v>234.90000000000003</v>
      </c>
      <c r="J254" s="4">
        <v>1.6</v>
      </c>
      <c r="K254" s="4">
        <f t="shared" si="40"/>
        <v>636.10000000000048</v>
      </c>
      <c r="L254" s="4">
        <v>3.6</v>
      </c>
      <c r="M254" s="4">
        <f t="shared" si="41"/>
        <v>380.40000000000015</v>
      </c>
      <c r="N254" s="9">
        <f t="shared" si="38"/>
        <v>-2</v>
      </c>
      <c r="O254" s="4">
        <v>80.90000000000002</v>
      </c>
      <c r="P254" s="4">
        <v>249</v>
      </c>
      <c r="Q254" s="4">
        <v>1.1499999999999999</v>
      </c>
      <c r="R254" s="10">
        <f t="shared" si="35"/>
        <v>4.1399999999999997</v>
      </c>
      <c r="S254" s="10">
        <f t="shared" si="36"/>
        <v>-2.5399999999999996</v>
      </c>
      <c r="T254" s="10">
        <f t="shared" si="42"/>
        <v>57.51500000000005</v>
      </c>
      <c r="V254" s="4">
        <v>1666.2</v>
      </c>
      <c r="W254" s="4">
        <f t="shared" si="37"/>
        <v>148.76785714285717</v>
      </c>
      <c r="X254" s="4">
        <f t="shared" si="43"/>
        <v>169849.59999999998</v>
      </c>
      <c r="Y254" s="4">
        <f t="shared" si="45"/>
        <v>24215.9</v>
      </c>
      <c r="AA254" s="4">
        <v>15.2520941992197</v>
      </c>
    </row>
    <row r="255" spans="1:27" s="4" customFormat="1" x14ac:dyDescent="0.25">
      <c r="A255" s="73"/>
      <c r="B255" s="27"/>
      <c r="C255" s="6">
        <v>41771</v>
      </c>
      <c r="D255" s="4">
        <v>11.6</v>
      </c>
      <c r="E255" s="4">
        <v>8.9</v>
      </c>
      <c r="F255" s="4">
        <v>15.3</v>
      </c>
      <c r="G255" s="4">
        <f t="shared" si="39"/>
        <v>2327.3000000000011</v>
      </c>
      <c r="H255" s="4">
        <f t="shared" si="44"/>
        <v>246.50000000000003</v>
      </c>
      <c r="J255" s="4">
        <v>2.4</v>
      </c>
      <c r="K255" s="4">
        <f t="shared" si="40"/>
        <v>638.50000000000045</v>
      </c>
      <c r="L255" s="4">
        <v>3.4</v>
      </c>
      <c r="M255" s="4">
        <f t="shared" si="41"/>
        <v>383.80000000000013</v>
      </c>
      <c r="N255" s="9">
        <f t="shared" si="38"/>
        <v>-1</v>
      </c>
      <c r="O255" s="4">
        <v>79.90000000000002</v>
      </c>
      <c r="P255" s="4">
        <v>250</v>
      </c>
      <c r="Q255" s="4">
        <v>1.1499999999999999</v>
      </c>
      <c r="R255" s="10">
        <f t="shared" si="35"/>
        <v>3.9099999999999997</v>
      </c>
      <c r="S255" s="10">
        <f t="shared" si="36"/>
        <v>-1.5099999999999998</v>
      </c>
      <c r="T255" s="10">
        <f t="shared" si="42"/>
        <v>56.005000000000052</v>
      </c>
      <c r="V255" s="4">
        <v>1698.5</v>
      </c>
      <c r="W255" s="4">
        <f t="shared" si="37"/>
        <v>146.42241379310346</v>
      </c>
      <c r="X255" s="4">
        <f t="shared" si="43"/>
        <v>171548.09999999998</v>
      </c>
      <c r="Y255" s="4">
        <f t="shared" si="45"/>
        <v>25914.400000000001</v>
      </c>
      <c r="AA255" s="4">
        <v>15.3033771052422</v>
      </c>
    </row>
    <row r="256" spans="1:27" s="4" customFormat="1" x14ac:dyDescent="0.25">
      <c r="A256" s="73"/>
      <c r="B256" s="27"/>
      <c r="C256" s="6">
        <v>41772</v>
      </c>
      <c r="D256" s="4">
        <v>10.9</v>
      </c>
      <c r="E256" s="4">
        <v>8</v>
      </c>
      <c r="F256" s="4">
        <v>13.6</v>
      </c>
      <c r="G256" s="4">
        <f t="shared" si="39"/>
        <v>2338.2000000000012</v>
      </c>
      <c r="H256" s="4">
        <f t="shared" si="44"/>
        <v>257.40000000000003</v>
      </c>
      <c r="J256" s="4">
        <v>5.6</v>
      </c>
      <c r="K256" s="4">
        <f t="shared" si="40"/>
        <v>644.10000000000048</v>
      </c>
      <c r="L256" s="4">
        <v>1.7</v>
      </c>
      <c r="M256" s="4">
        <f t="shared" si="41"/>
        <v>385.50000000000011</v>
      </c>
      <c r="N256" s="4">
        <f t="shared" si="38"/>
        <v>3.8999999999999995</v>
      </c>
      <c r="O256" s="4">
        <v>83.800000000000026</v>
      </c>
      <c r="P256" s="4">
        <v>251</v>
      </c>
      <c r="Q256" s="4">
        <v>1.1499999999999999</v>
      </c>
      <c r="R256" s="10">
        <f t="shared" si="35"/>
        <v>1.9549999999999998</v>
      </c>
      <c r="S256" s="10">
        <f t="shared" si="36"/>
        <v>3.6449999999999996</v>
      </c>
      <c r="T256" s="10">
        <f t="shared" si="42"/>
        <v>59.650000000000048</v>
      </c>
      <c r="V256" s="4">
        <v>956.7</v>
      </c>
      <c r="W256" s="4">
        <f t="shared" si="37"/>
        <v>87.77064220183486</v>
      </c>
      <c r="X256" s="4">
        <f t="shared" si="43"/>
        <v>172504.8</v>
      </c>
      <c r="Y256" s="4">
        <f t="shared" si="45"/>
        <v>26871.100000000002</v>
      </c>
      <c r="AA256" s="4">
        <v>15.3539699287636</v>
      </c>
    </row>
    <row r="257" spans="1:27" s="4" customFormat="1" x14ac:dyDescent="0.25">
      <c r="A257" s="73"/>
      <c r="B257" s="27"/>
      <c r="C257" s="6">
        <v>41773</v>
      </c>
      <c r="D257" s="4">
        <v>11.1</v>
      </c>
      <c r="E257" s="4">
        <v>6.5</v>
      </c>
      <c r="F257" s="4">
        <v>16.5</v>
      </c>
      <c r="G257" s="4">
        <f t="shared" si="39"/>
        <v>2349.3000000000011</v>
      </c>
      <c r="H257" s="4">
        <f t="shared" si="44"/>
        <v>268.50000000000006</v>
      </c>
      <c r="J257" s="4">
        <v>0.2</v>
      </c>
      <c r="K257" s="4">
        <f t="shared" si="40"/>
        <v>644.30000000000052</v>
      </c>
      <c r="L257" s="4">
        <v>3.6</v>
      </c>
      <c r="M257" s="4">
        <f t="shared" si="41"/>
        <v>389.10000000000014</v>
      </c>
      <c r="N257" s="9">
        <f t="shared" si="38"/>
        <v>-3.4</v>
      </c>
      <c r="O257" s="4">
        <v>80.40000000000002</v>
      </c>
      <c r="P257" s="4">
        <v>252</v>
      </c>
      <c r="Q257" s="4">
        <v>1.1499999999999999</v>
      </c>
      <c r="R257" s="10">
        <f t="shared" si="35"/>
        <v>4.1399999999999997</v>
      </c>
      <c r="S257" s="10">
        <f t="shared" si="36"/>
        <v>-3.9399999999999995</v>
      </c>
      <c r="T257" s="10">
        <f t="shared" si="42"/>
        <v>55.710000000000051</v>
      </c>
      <c r="V257" s="4">
        <v>2084.4</v>
      </c>
      <c r="W257" s="4">
        <f t="shared" si="37"/>
        <v>187.7837837837838</v>
      </c>
      <c r="X257" s="4">
        <f t="shared" si="43"/>
        <v>174589.19999999998</v>
      </c>
      <c r="Y257" s="4">
        <f t="shared" si="45"/>
        <v>28955.500000000004</v>
      </c>
      <c r="AA257" s="4">
        <v>15.4038460452922</v>
      </c>
    </row>
    <row r="258" spans="1:27" s="4" customFormat="1" x14ac:dyDescent="0.25">
      <c r="A258" s="73"/>
      <c r="B258" s="27"/>
      <c r="C258" s="6">
        <v>41774</v>
      </c>
      <c r="D258" s="4">
        <v>11.9</v>
      </c>
      <c r="E258" s="4">
        <v>7.3</v>
      </c>
      <c r="F258" s="4">
        <v>15.3</v>
      </c>
      <c r="G258" s="4">
        <f t="shared" si="39"/>
        <v>2361.2000000000012</v>
      </c>
      <c r="H258" s="4">
        <f t="shared" si="44"/>
        <v>280.40000000000003</v>
      </c>
      <c r="J258" s="4">
        <v>0</v>
      </c>
      <c r="K258" s="4">
        <f t="shared" si="40"/>
        <v>644.30000000000052</v>
      </c>
      <c r="L258" s="4">
        <v>4.3</v>
      </c>
      <c r="M258" s="4">
        <f t="shared" si="41"/>
        <v>393.40000000000015</v>
      </c>
      <c r="N258" s="9">
        <f t="shared" si="38"/>
        <v>-4.3</v>
      </c>
      <c r="O258" s="4">
        <v>76.100000000000023</v>
      </c>
      <c r="P258" s="4">
        <v>253</v>
      </c>
      <c r="Q258" s="4">
        <v>1.1499999999999999</v>
      </c>
      <c r="R258" s="10">
        <f t="shared" si="35"/>
        <v>4.9449999999999994</v>
      </c>
      <c r="S258" s="10">
        <f t="shared" si="36"/>
        <v>-4.9449999999999994</v>
      </c>
      <c r="T258" s="10">
        <f t="shared" si="42"/>
        <v>50.76500000000005</v>
      </c>
      <c r="V258" s="4">
        <v>2824.5</v>
      </c>
      <c r="W258" s="4">
        <f t="shared" si="37"/>
        <v>237.35294117647058</v>
      </c>
      <c r="X258" s="4">
        <f t="shared" si="43"/>
        <v>177413.69999999998</v>
      </c>
      <c r="Y258" s="4">
        <f t="shared" si="45"/>
        <v>31780.000000000004</v>
      </c>
      <c r="AA258" s="4">
        <v>15.452978308296199</v>
      </c>
    </row>
    <row r="259" spans="1:27" s="4" customFormat="1" x14ac:dyDescent="0.25">
      <c r="A259" s="73"/>
      <c r="B259" s="27"/>
      <c r="C259" s="6">
        <v>41775</v>
      </c>
      <c r="D259" s="4">
        <v>13.9</v>
      </c>
      <c r="E259" s="4">
        <v>8.4</v>
      </c>
      <c r="F259" s="4">
        <v>17.899999999999999</v>
      </c>
      <c r="G259" s="4">
        <f t="shared" si="39"/>
        <v>2375.1000000000013</v>
      </c>
      <c r="H259" s="4">
        <f t="shared" si="44"/>
        <v>294.3</v>
      </c>
      <c r="J259" s="4">
        <v>0</v>
      </c>
      <c r="K259" s="4">
        <f t="shared" si="40"/>
        <v>644.30000000000052</v>
      </c>
      <c r="L259" s="4">
        <v>4.5</v>
      </c>
      <c r="M259" s="4">
        <f t="shared" si="41"/>
        <v>397.90000000000015</v>
      </c>
      <c r="N259" s="9">
        <f t="shared" si="38"/>
        <v>-4.5</v>
      </c>
      <c r="O259" s="4">
        <v>71.600000000000023</v>
      </c>
      <c r="P259" s="4">
        <v>254</v>
      </c>
      <c r="Q259" s="4">
        <v>1.1499999999999999</v>
      </c>
      <c r="R259" s="10">
        <f t="shared" si="35"/>
        <v>5.1749999999999998</v>
      </c>
      <c r="S259" s="10">
        <f t="shared" si="36"/>
        <v>-5.1749999999999998</v>
      </c>
      <c r="T259" s="10">
        <f t="shared" si="42"/>
        <v>45.590000000000053</v>
      </c>
      <c r="V259" s="4">
        <v>2759.4</v>
      </c>
      <c r="W259" s="4">
        <f t="shared" si="37"/>
        <v>198.5179856115108</v>
      </c>
      <c r="X259" s="4">
        <f t="shared" si="43"/>
        <v>180173.09999999998</v>
      </c>
      <c r="Y259" s="4">
        <f t="shared" si="45"/>
        <v>34539.4</v>
      </c>
      <c r="AA259" s="4">
        <v>15.5013390763079</v>
      </c>
    </row>
    <row r="260" spans="1:27" s="49" customFormat="1" ht="15.75" thickBot="1" x14ac:dyDescent="0.3">
      <c r="A260" s="73"/>
      <c r="B260" s="55">
        <v>300</v>
      </c>
      <c r="C260" s="48">
        <v>41776</v>
      </c>
      <c r="D260" s="49">
        <v>16</v>
      </c>
      <c r="E260" s="49">
        <v>10.6</v>
      </c>
      <c r="F260" s="49">
        <v>20.6</v>
      </c>
      <c r="G260" s="49">
        <f t="shared" si="39"/>
        <v>2391.1000000000013</v>
      </c>
      <c r="H260" s="49">
        <f t="shared" si="44"/>
        <v>310.3</v>
      </c>
      <c r="J260" s="49">
        <v>0</v>
      </c>
      <c r="K260" s="49">
        <f t="shared" si="40"/>
        <v>644.30000000000052</v>
      </c>
      <c r="L260" s="49">
        <v>4.8</v>
      </c>
      <c r="M260" s="49">
        <f t="shared" si="41"/>
        <v>402.70000000000016</v>
      </c>
      <c r="N260" s="56">
        <f t="shared" si="38"/>
        <v>-4.8</v>
      </c>
      <c r="O260" s="49">
        <v>66.800000000000026</v>
      </c>
      <c r="P260" s="49">
        <v>255</v>
      </c>
      <c r="Q260" s="54">
        <v>1.1499999999999999</v>
      </c>
      <c r="R260" s="52">
        <f t="shared" si="35"/>
        <v>5.52</v>
      </c>
      <c r="S260" s="52">
        <f t="shared" si="36"/>
        <v>-5.52</v>
      </c>
      <c r="T260" s="53">
        <f t="shared" si="42"/>
        <v>40.07000000000005</v>
      </c>
      <c r="V260" s="49">
        <v>2773.6</v>
      </c>
      <c r="W260" s="49">
        <f t="shared" si="37"/>
        <v>173.35</v>
      </c>
      <c r="X260" s="49">
        <f t="shared" si="43"/>
        <v>182946.69999999998</v>
      </c>
      <c r="Y260" s="54">
        <f>Y259+V260</f>
        <v>37313</v>
      </c>
      <c r="AA260" s="54">
        <v>15.548900243417201</v>
      </c>
    </row>
    <row r="261" spans="1:27" s="4" customFormat="1" x14ac:dyDescent="0.25">
      <c r="A261" s="74">
        <v>600</v>
      </c>
      <c r="B261" s="27"/>
      <c r="C261" s="6">
        <v>41777</v>
      </c>
      <c r="D261" s="4">
        <v>17.899999999999999</v>
      </c>
      <c r="E261" s="4">
        <v>13.2</v>
      </c>
      <c r="F261" s="4">
        <v>22.3</v>
      </c>
      <c r="G261" s="4">
        <f t="shared" si="39"/>
        <v>2409.0000000000014</v>
      </c>
      <c r="H261" s="4">
        <v>17.899999999999999</v>
      </c>
      <c r="I261" s="35" t="s">
        <v>26</v>
      </c>
      <c r="J261" s="4">
        <v>0</v>
      </c>
      <c r="K261" s="4">
        <f t="shared" si="40"/>
        <v>644.30000000000052</v>
      </c>
      <c r="L261" s="4">
        <v>5</v>
      </c>
      <c r="M261" s="4">
        <f t="shared" si="41"/>
        <v>407.70000000000016</v>
      </c>
      <c r="N261" s="9">
        <f t="shared" si="38"/>
        <v>-5</v>
      </c>
      <c r="O261" s="4">
        <v>61.800000000000026</v>
      </c>
      <c r="P261" s="4">
        <v>256</v>
      </c>
      <c r="Q261" s="12">
        <f>1.15+((P261-255)/76)*(0.35-1.15)</f>
        <v>1.1394736842105262</v>
      </c>
      <c r="R261" s="10">
        <f t="shared" si="35"/>
        <v>5.697368421052631</v>
      </c>
      <c r="S261" s="10">
        <f t="shared" si="36"/>
        <v>-5.697368421052631</v>
      </c>
      <c r="T261" s="10">
        <f t="shared" si="42"/>
        <v>34.37263157894742</v>
      </c>
      <c r="U261" s="35" t="s">
        <v>27</v>
      </c>
      <c r="V261" s="4">
        <v>2723.6</v>
      </c>
      <c r="W261" s="4">
        <f t="shared" si="37"/>
        <v>152.15642458100558</v>
      </c>
      <c r="X261" s="4">
        <f t="shared" si="43"/>
        <v>185670.3</v>
      </c>
      <c r="Y261" s="4">
        <v>2723.6</v>
      </c>
      <c r="Z261" s="35" t="s">
        <v>28</v>
      </c>
      <c r="AA261" s="4">
        <v>15.595633273255</v>
      </c>
    </row>
    <row r="262" spans="1:27" s="4" customFormat="1" x14ac:dyDescent="0.25">
      <c r="A262" s="74"/>
      <c r="B262" s="27"/>
      <c r="C262" s="6">
        <v>41778</v>
      </c>
      <c r="D262" s="4">
        <v>19.600000000000001</v>
      </c>
      <c r="E262" s="4">
        <v>13.9</v>
      </c>
      <c r="F262" s="4">
        <v>24.6</v>
      </c>
      <c r="G262" s="4">
        <f t="shared" si="39"/>
        <v>2428.6000000000013</v>
      </c>
      <c r="H262" s="4">
        <f t="shared" si="44"/>
        <v>37.5</v>
      </c>
      <c r="I262" s="4">
        <f>MIN(E261:E280)</f>
        <v>8.6</v>
      </c>
      <c r="J262" s="4">
        <v>0</v>
      </c>
      <c r="K262" s="4">
        <f t="shared" si="40"/>
        <v>644.30000000000052</v>
      </c>
      <c r="L262" s="4">
        <v>5.6</v>
      </c>
      <c r="M262" s="4">
        <f t="shared" si="41"/>
        <v>413.30000000000018</v>
      </c>
      <c r="N262" s="9">
        <f t="shared" si="38"/>
        <v>-5.6</v>
      </c>
      <c r="O262" s="4">
        <v>56.200000000000024</v>
      </c>
      <c r="P262" s="4">
        <v>257</v>
      </c>
      <c r="Q262" s="12">
        <f t="shared" ref="Q262:Q325" si="46">1.15+((P262-255)/76)*(0.35-1.15)</f>
        <v>1.1289473684210525</v>
      </c>
      <c r="R262" s="10">
        <f t="shared" ref="R262:R325" si="47">Q262*L262</f>
        <v>6.3221052631578933</v>
      </c>
      <c r="S262" s="10">
        <f t="shared" ref="S262:S325" si="48">J262-R262</f>
        <v>-6.3221052631578933</v>
      </c>
      <c r="T262" s="10">
        <f t="shared" si="42"/>
        <v>28.050526315789526</v>
      </c>
      <c r="U262" s="4">
        <v>13</v>
      </c>
      <c r="V262" s="4">
        <v>2582.1</v>
      </c>
      <c r="W262" s="4">
        <f t="shared" ref="W262:W325" si="49">V262/D262</f>
        <v>131.73979591836732</v>
      </c>
      <c r="X262" s="4">
        <f t="shared" si="43"/>
        <v>188252.4</v>
      </c>
      <c r="Y262" s="4">
        <f t="shared" si="45"/>
        <v>5305.7</v>
      </c>
      <c r="Z262" s="4">
        <v>32337.800000000003</v>
      </c>
      <c r="AA262" s="4">
        <v>15.6415092365555</v>
      </c>
    </row>
    <row r="263" spans="1:27" s="4" customFormat="1" x14ac:dyDescent="0.25">
      <c r="A263" s="74"/>
      <c r="B263" s="27"/>
      <c r="C263" s="6">
        <v>41779</v>
      </c>
      <c r="D263" s="4">
        <v>17.8</v>
      </c>
      <c r="E263" s="4">
        <v>15.7</v>
      </c>
      <c r="F263" s="4">
        <v>24</v>
      </c>
      <c r="G263" s="4">
        <f t="shared" si="39"/>
        <v>2446.4000000000015</v>
      </c>
      <c r="H263" s="4">
        <f t="shared" si="44"/>
        <v>55.3</v>
      </c>
      <c r="I263" s="35" t="s">
        <v>29</v>
      </c>
      <c r="J263" s="4">
        <v>12.2</v>
      </c>
      <c r="K263" s="4">
        <f t="shared" si="40"/>
        <v>656.50000000000057</v>
      </c>
      <c r="L263" s="4">
        <v>5</v>
      </c>
      <c r="M263" s="4">
        <f t="shared" si="41"/>
        <v>418.30000000000018</v>
      </c>
      <c r="N263" s="4">
        <f t="shared" ref="N263:N326" si="50">J263-L263</f>
        <v>7.1999999999999993</v>
      </c>
      <c r="O263" s="4">
        <v>63.40000000000002</v>
      </c>
      <c r="P263" s="4">
        <v>258</v>
      </c>
      <c r="Q263" s="12">
        <f t="shared" si="46"/>
        <v>1.1184210526315788</v>
      </c>
      <c r="R263" s="10">
        <f t="shared" si="47"/>
        <v>5.5921052631578938</v>
      </c>
      <c r="S263" s="10">
        <f t="shared" si="48"/>
        <v>6.6078947368421055</v>
      </c>
      <c r="T263" s="10">
        <f t="shared" si="42"/>
        <v>34.658421052631631</v>
      </c>
      <c r="U263" s="35" t="s">
        <v>30</v>
      </c>
      <c r="V263" s="4">
        <v>1759.7</v>
      </c>
      <c r="W263" s="4">
        <f t="shared" si="49"/>
        <v>98.859550561797747</v>
      </c>
      <c r="X263" s="4">
        <f t="shared" si="43"/>
        <v>190012.1</v>
      </c>
      <c r="Y263" s="4">
        <f t="shared" si="45"/>
        <v>7065.4</v>
      </c>
      <c r="Z263" s="35" t="s">
        <v>31</v>
      </c>
      <c r="AA263" s="4">
        <v>15.6864988523675</v>
      </c>
    </row>
    <row r="264" spans="1:27" s="4" customFormat="1" x14ac:dyDescent="0.25">
      <c r="A264" s="74"/>
      <c r="B264" s="27"/>
      <c r="C264" s="6">
        <v>41780</v>
      </c>
      <c r="D264" s="4">
        <v>15.5</v>
      </c>
      <c r="E264" s="4">
        <v>13.4</v>
      </c>
      <c r="F264" s="4">
        <v>17.600000000000001</v>
      </c>
      <c r="G264" s="4">
        <f t="shared" ref="G264:G327" si="51">G263+D264</f>
        <v>2461.9000000000015</v>
      </c>
      <c r="H264" s="4">
        <f t="shared" si="44"/>
        <v>70.8</v>
      </c>
      <c r="I264" s="4">
        <f>MAX(F261:F280)</f>
        <v>24.6</v>
      </c>
      <c r="J264" s="4">
        <v>8.3000000000000007</v>
      </c>
      <c r="K264" s="4">
        <f t="shared" ref="K264:K327" si="52">K263+J264</f>
        <v>664.80000000000052</v>
      </c>
      <c r="L264" s="4">
        <v>1.3</v>
      </c>
      <c r="M264" s="4">
        <f t="shared" ref="M264:M327" si="53">M263+L264</f>
        <v>419.60000000000019</v>
      </c>
      <c r="N264" s="4">
        <f t="shared" si="50"/>
        <v>7.0000000000000009</v>
      </c>
      <c r="O264" s="4">
        <v>70.40000000000002</v>
      </c>
      <c r="P264" s="4">
        <v>259</v>
      </c>
      <c r="Q264" s="12">
        <f t="shared" si="46"/>
        <v>1.1078947368421053</v>
      </c>
      <c r="R264" s="10">
        <f t="shared" si="47"/>
        <v>1.4402631578947369</v>
      </c>
      <c r="S264" s="10">
        <f t="shared" si="48"/>
        <v>6.8597368421052636</v>
      </c>
      <c r="T264" s="10">
        <f t="shared" ref="T264:T327" si="54">MIN(153.6,(T263+S264))</f>
        <v>41.518157894736895</v>
      </c>
      <c r="U264" s="4">
        <v>0</v>
      </c>
      <c r="V264" s="11">
        <v>575.20000000000005</v>
      </c>
      <c r="W264" s="4">
        <f t="shared" si="49"/>
        <v>37.109677419354838</v>
      </c>
      <c r="X264" s="4">
        <f t="shared" ref="X264:X327" si="55">X263+V264</f>
        <v>190587.30000000002</v>
      </c>
      <c r="Y264" s="4">
        <f t="shared" si="45"/>
        <v>7640.5999999999995</v>
      </c>
      <c r="Z264" s="12">
        <f>(Z262/100)/I274</f>
        <v>1.0543788718617544</v>
      </c>
      <c r="AA264" s="4">
        <v>15.7305725329682</v>
      </c>
    </row>
    <row r="265" spans="1:27" s="4" customFormat="1" x14ac:dyDescent="0.25">
      <c r="A265" s="74"/>
      <c r="B265" s="27"/>
      <c r="C265" s="6">
        <v>41781</v>
      </c>
      <c r="D265" s="4">
        <v>15.8</v>
      </c>
      <c r="E265" s="4">
        <v>13.1</v>
      </c>
      <c r="F265" s="4">
        <v>19.7</v>
      </c>
      <c r="G265" s="4">
        <f t="shared" si="51"/>
        <v>2477.7000000000016</v>
      </c>
      <c r="H265" s="4">
        <f t="shared" si="44"/>
        <v>86.6</v>
      </c>
      <c r="I265" s="35" t="s">
        <v>32</v>
      </c>
      <c r="J265" s="4">
        <v>3.6</v>
      </c>
      <c r="K265" s="4">
        <f t="shared" si="52"/>
        <v>668.40000000000055</v>
      </c>
      <c r="L265" s="4">
        <v>3.1</v>
      </c>
      <c r="M265" s="4">
        <f t="shared" si="53"/>
        <v>422.70000000000022</v>
      </c>
      <c r="N265" s="4">
        <f t="shared" si="50"/>
        <v>0.5</v>
      </c>
      <c r="O265" s="4">
        <v>70.90000000000002</v>
      </c>
      <c r="P265" s="4">
        <v>260</v>
      </c>
      <c r="Q265" s="12">
        <f t="shared" si="46"/>
        <v>1.0973684210526315</v>
      </c>
      <c r="R265" s="10">
        <f t="shared" si="47"/>
        <v>3.401842105263158</v>
      </c>
      <c r="S265" s="10">
        <f t="shared" si="48"/>
        <v>0.19815789473684209</v>
      </c>
      <c r="T265" s="10">
        <f t="shared" si="54"/>
        <v>41.71631578947374</v>
      </c>
      <c r="U265" s="35" t="s">
        <v>33</v>
      </c>
      <c r="V265" s="4">
        <v>1529.8</v>
      </c>
      <c r="W265" s="4">
        <f t="shared" si="49"/>
        <v>96.822784810126578</v>
      </c>
      <c r="X265" s="4">
        <f t="shared" si="55"/>
        <v>192117.1</v>
      </c>
      <c r="Y265" s="4">
        <f t="shared" si="45"/>
        <v>9170.4</v>
      </c>
      <c r="Z265" s="35" t="s">
        <v>34</v>
      </c>
      <c r="AA265" s="4">
        <v>15.773700432508999</v>
      </c>
    </row>
    <row r="266" spans="1:27" s="4" customFormat="1" x14ac:dyDescent="0.25">
      <c r="A266" s="74"/>
      <c r="B266" s="27"/>
      <c r="C266" s="6">
        <v>41782</v>
      </c>
      <c r="D266" s="4">
        <v>14.4</v>
      </c>
      <c r="E266" s="4">
        <v>11.2</v>
      </c>
      <c r="F266" s="4">
        <v>17.899999999999999</v>
      </c>
      <c r="G266" s="4">
        <f t="shared" si="51"/>
        <v>2492.1000000000017</v>
      </c>
      <c r="H266" s="4">
        <f t="shared" si="44"/>
        <v>101</v>
      </c>
      <c r="I266" s="10">
        <f>AVERAGE(D261:D280)</f>
        <v>15.334999999999999</v>
      </c>
      <c r="J266" s="4">
        <v>10.8</v>
      </c>
      <c r="K266" s="4">
        <f t="shared" si="52"/>
        <v>679.2000000000005</v>
      </c>
      <c r="L266" s="4">
        <v>3</v>
      </c>
      <c r="M266" s="4">
        <f t="shared" si="53"/>
        <v>425.70000000000022</v>
      </c>
      <c r="N266" s="4">
        <f t="shared" si="50"/>
        <v>7.8000000000000007</v>
      </c>
      <c r="O266" s="4">
        <v>78.700000000000017</v>
      </c>
      <c r="P266" s="4">
        <v>261</v>
      </c>
      <c r="Q266" s="12">
        <f t="shared" si="46"/>
        <v>1.0868421052631578</v>
      </c>
      <c r="R266" s="10">
        <f t="shared" si="47"/>
        <v>3.2605263157894733</v>
      </c>
      <c r="S266" s="10">
        <f t="shared" si="48"/>
        <v>7.5394736842105274</v>
      </c>
      <c r="T266" s="10">
        <f t="shared" si="54"/>
        <v>49.255789473684267</v>
      </c>
      <c r="U266" s="4">
        <v>17</v>
      </c>
      <c r="V266" s="4">
        <v>1858.5</v>
      </c>
      <c r="W266" s="4">
        <f t="shared" si="49"/>
        <v>129.0625</v>
      </c>
      <c r="X266" s="4">
        <f t="shared" si="55"/>
        <v>193975.6</v>
      </c>
      <c r="Y266" s="4">
        <f t="shared" si="45"/>
        <v>11028.9</v>
      </c>
      <c r="Z266" s="4">
        <v>3</v>
      </c>
      <c r="AA266" s="4">
        <v>15.815852499400799</v>
      </c>
    </row>
    <row r="267" spans="1:27" s="4" customFormat="1" x14ac:dyDescent="0.25">
      <c r="A267" s="74"/>
      <c r="B267" s="27"/>
      <c r="C267" s="6">
        <v>41783</v>
      </c>
      <c r="D267" s="4">
        <v>13.6</v>
      </c>
      <c r="E267" s="4">
        <v>12</v>
      </c>
      <c r="F267" s="4">
        <v>15.6</v>
      </c>
      <c r="G267" s="4">
        <f t="shared" si="51"/>
        <v>2505.7000000000016</v>
      </c>
      <c r="H267" s="4">
        <f t="shared" si="44"/>
        <v>114.6</v>
      </c>
      <c r="I267" s="35" t="s">
        <v>35</v>
      </c>
      <c r="J267" s="4">
        <v>2.6</v>
      </c>
      <c r="K267" s="4">
        <f t="shared" si="52"/>
        <v>681.80000000000052</v>
      </c>
      <c r="L267" s="4">
        <v>2.9</v>
      </c>
      <c r="M267" s="4">
        <f t="shared" si="53"/>
        <v>428.60000000000019</v>
      </c>
      <c r="N267" s="9">
        <f t="shared" si="50"/>
        <v>-0.29999999999999982</v>
      </c>
      <c r="O267" s="4">
        <v>78.40000000000002</v>
      </c>
      <c r="P267" s="4">
        <v>262</v>
      </c>
      <c r="Q267" s="12">
        <f t="shared" si="46"/>
        <v>1.0763157894736841</v>
      </c>
      <c r="R267" s="10">
        <f t="shared" si="47"/>
        <v>3.1213157894736838</v>
      </c>
      <c r="S267" s="10">
        <f t="shared" si="48"/>
        <v>-0.52131578947368373</v>
      </c>
      <c r="T267" s="10">
        <f t="shared" si="54"/>
        <v>48.734473684210585</v>
      </c>
      <c r="U267" s="35" t="s">
        <v>36</v>
      </c>
      <c r="V267" s="4">
        <v>1627.8</v>
      </c>
      <c r="W267" s="4">
        <f t="shared" si="49"/>
        <v>119.69117647058823</v>
      </c>
      <c r="X267" s="4">
        <f t="shared" si="55"/>
        <v>195603.4</v>
      </c>
      <c r="Y267" s="4">
        <f t="shared" si="45"/>
        <v>12656.699999999999</v>
      </c>
      <c r="AA267" s="4">
        <v>15.8569985324188</v>
      </c>
    </row>
    <row r="268" spans="1:27" s="4" customFormat="1" x14ac:dyDescent="0.25">
      <c r="A268" s="74"/>
      <c r="B268" s="27"/>
      <c r="C268" s="6">
        <v>41784</v>
      </c>
      <c r="D268" s="4">
        <v>14.8</v>
      </c>
      <c r="E268" s="4">
        <v>10.4</v>
      </c>
      <c r="F268" s="4">
        <v>18</v>
      </c>
      <c r="G268" s="4">
        <f t="shared" si="51"/>
        <v>2520.5000000000018</v>
      </c>
      <c r="H268" s="4">
        <f t="shared" si="44"/>
        <v>129.4</v>
      </c>
      <c r="I268" s="4">
        <v>0</v>
      </c>
      <c r="J268" s="4">
        <v>0</v>
      </c>
      <c r="K268" s="4">
        <f t="shared" si="52"/>
        <v>681.80000000000052</v>
      </c>
      <c r="L268" s="4">
        <v>3</v>
      </c>
      <c r="M268" s="4">
        <f t="shared" si="53"/>
        <v>431.60000000000019</v>
      </c>
      <c r="N268" s="9">
        <f t="shared" si="50"/>
        <v>-3</v>
      </c>
      <c r="O268" s="4">
        <v>75.40000000000002</v>
      </c>
      <c r="P268" s="4">
        <v>263</v>
      </c>
      <c r="Q268" s="12">
        <f t="shared" si="46"/>
        <v>1.0657894736842104</v>
      </c>
      <c r="R268" s="10">
        <f t="shared" si="47"/>
        <v>3.197368421052631</v>
      </c>
      <c r="S268" s="10">
        <f t="shared" si="48"/>
        <v>-3.197368421052631</v>
      </c>
      <c r="T268" s="10">
        <f t="shared" si="54"/>
        <v>45.537105263157954</v>
      </c>
      <c r="U268" s="10">
        <f>MIN(T261:T280)</f>
        <v>28.050526315789526</v>
      </c>
      <c r="V268" s="4">
        <v>1895.8</v>
      </c>
      <c r="W268" s="4">
        <f t="shared" si="49"/>
        <v>128.09459459459458</v>
      </c>
      <c r="X268" s="4">
        <f t="shared" si="55"/>
        <v>197499.19999999998</v>
      </c>
      <c r="Y268" s="4">
        <f t="shared" si="45"/>
        <v>14552.499999999998</v>
      </c>
      <c r="AA268" s="4">
        <v>15.8971082404776</v>
      </c>
    </row>
    <row r="269" spans="1:27" s="4" customFormat="1" x14ac:dyDescent="0.25">
      <c r="A269" s="74"/>
      <c r="B269" s="27"/>
      <c r="C269" s="6">
        <v>41785</v>
      </c>
      <c r="D269" s="4">
        <v>15.2</v>
      </c>
      <c r="E269" s="4">
        <v>13.6</v>
      </c>
      <c r="F269" s="4">
        <v>18.2</v>
      </c>
      <c r="G269" s="4">
        <f t="shared" si="51"/>
        <v>2535.7000000000016</v>
      </c>
      <c r="H269" s="4">
        <f t="shared" si="44"/>
        <v>144.6</v>
      </c>
      <c r="I269" s="35" t="s">
        <v>37</v>
      </c>
      <c r="J269" s="4">
        <v>11.3</v>
      </c>
      <c r="K269" s="4">
        <f t="shared" si="52"/>
        <v>693.10000000000048</v>
      </c>
      <c r="L269" s="4">
        <v>2</v>
      </c>
      <c r="M269" s="4">
        <f t="shared" si="53"/>
        <v>433.60000000000019</v>
      </c>
      <c r="N269" s="4">
        <f t="shared" si="50"/>
        <v>9.3000000000000007</v>
      </c>
      <c r="O269" s="4">
        <v>84.700000000000017</v>
      </c>
      <c r="P269" s="4">
        <v>264</v>
      </c>
      <c r="Q269" s="12">
        <f t="shared" si="46"/>
        <v>1.0552631578947367</v>
      </c>
      <c r="R269" s="10">
        <f t="shared" si="47"/>
        <v>2.1105263157894734</v>
      </c>
      <c r="S269" s="10">
        <f t="shared" si="48"/>
        <v>9.1894736842105278</v>
      </c>
      <c r="T269" s="10">
        <f t="shared" si="54"/>
        <v>54.72657894736848</v>
      </c>
      <c r="U269" s="35" t="s">
        <v>38</v>
      </c>
      <c r="V269" s="4">
        <v>955.9</v>
      </c>
      <c r="W269" s="4">
        <f t="shared" si="49"/>
        <v>62.888157894736842</v>
      </c>
      <c r="X269" s="4">
        <f t="shared" si="55"/>
        <v>198455.09999999998</v>
      </c>
      <c r="Y269" s="4">
        <f t="shared" si="45"/>
        <v>15508.399999999998</v>
      </c>
      <c r="AA269" s="4">
        <v>15.9361513059972</v>
      </c>
    </row>
    <row r="270" spans="1:27" s="4" customFormat="1" x14ac:dyDescent="0.25">
      <c r="A270" s="74"/>
      <c r="B270" s="27"/>
      <c r="C270" s="6">
        <v>41786</v>
      </c>
      <c r="D270" s="4">
        <v>13.7</v>
      </c>
      <c r="E270" s="4">
        <v>13.6</v>
      </c>
      <c r="F270" s="4">
        <v>14.4</v>
      </c>
      <c r="G270" s="4">
        <f t="shared" si="51"/>
        <v>2549.4000000000015</v>
      </c>
      <c r="H270" s="4">
        <f t="shared" si="44"/>
        <v>158.29999999999998</v>
      </c>
      <c r="I270" s="4">
        <v>0</v>
      </c>
      <c r="J270" s="4">
        <v>0.6</v>
      </c>
      <c r="K270" s="4">
        <f t="shared" si="52"/>
        <v>693.7000000000005</v>
      </c>
      <c r="L270" s="4">
        <v>1.1000000000000001</v>
      </c>
      <c r="M270" s="4">
        <f t="shared" si="53"/>
        <v>434.70000000000022</v>
      </c>
      <c r="N270" s="9">
        <f t="shared" si="50"/>
        <v>-0.50000000000000011</v>
      </c>
      <c r="O270" s="4">
        <v>84.200000000000017</v>
      </c>
      <c r="P270" s="4">
        <v>265</v>
      </c>
      <c r="Q270" s="12">
        <f t="shared" si="46"/>
        <v>1.0447368421052632</v>
      </c>
      <c r="R270" s="10">
        <f t="shared" si="47"/>
        <v>1.1492105263157897</v>
      </c>
      <c r="S270" s="10">
        <f t="shared" si="48"/>
        <v>-0.5492105263157897</v>
      </c>
      <c r="T270" s="10">
        <f t="shared" si="54"/>
        <v>54.177368421052691</v>
      </c>
      <c r="U270" s="10">
        <f>MAX(T261:T280)</f>
        <v>54.72657894736848</v>
      </c>
      <c r="V270" s="11">
        <v>413.2</v>
      </c>
      <c r="W270" s="4">
        <f t="shared" si="49"/>
        <v>30.160583941605839</v>
      </c>
      <c r="X270" s="4">
        <f t="shared" si="55"/>
        <v>198868.3</v>
      </c>
      <c r="Y270" s="4">
        <f t="shared" si="45"/>
        <v>15921.599999999999</v>
      </c>
      <c r="AA270" s="4">
        <v>15.9740974517452</v>
      </c>
    </row>
    <row r="271" spans="1:27" s="4" customFormat="1" x14ac:dyDescent="0.25">
      <c r="A271" s="74"/>
      <c r="B271" s="27"/>
      <c r="C271" s="6">
        <v>41787</v>
      </c>
      <c r="D271" s="4">
        <v>13.5</v>
      </c>
      <c r="E271" s="4">
        <v>12.8</v>
      </c>
      <c r="F271" s="4">
        <v>14.5</v>
      </c>
      <c r="G271" s="4">
        <f t="shared" si="51"/>
        <v>2562.9000000000015</v>
      </c>
      <c r="H271" s="4">
        <f t="shared" si="44"/>
        <v>171.79999999999998</v>
      </c>
      <c r="I271" s="35" t="s">
        <v>39</v>
      </c>
      <c r="J271" s="4">
        <v>0</v>
      </c>
      <c r="K271" s="4">
        <f t="shared" si="52"/>
        <v>693.7000000000005</v>
      </c>
      <c r="L271" s="4">
        <v>1.5</v>
      </c>
      <c r="M271" s="4">
        <f t="shared" si="53"/>
        <v>436.20000000000022</v>
      </c>
      <c r="N271" s="9">
        <f t="shared" si="50"/>
        <v>-1.5</v>
      </c>
      <c r="O271" s="4">
        <v>82.700000000000017</v>
      </c>
      <c r="P271" s="4">
        <v>266</v>
      </c>
      <c r="Q271" s="12">
        <f t="shared" si="46"/>
        <v>1.0342105263157895</v>
      </c>
      <c r="R271" s="10">
        <f t="shared" si="47"/>
        <v>1.5513157894736842</v>
      </c>
      <c r="S271" s="10">
        <f t="shared" si="48"/>
        <v>-1.5513157894736842</v>
      </c>
      <c r="T271" s="10">
        <f t="shared" si="54"/>
        <v>52.626052631579007</v>
      </c>
      <c r="U271" s="35" t="s">
        <v>40</v>
      </c>
      <c r="V271" s="11">
        <v>537.4</v>
      </c>
      <c r="W271" s="4">
        <f t="shared" si="49"/>
        <v>39.807407407407403</v>
      </c>
      <c r="X271" s="4">
        <f t="shared" si="55"/>
        <v>199405.69999999998</v>
      </c>
      <c r="Y271" s="4">
        <f t="shared" si="45"/>
        <v>16459</v>
      </c>
      <c r="AA271" s="4">
        <v>16.0109165110057</v>
      </c>
    </row>
    <row r="272" spans="1:27" s="23" customFormat="1" x14ac:dyDescent="0.25">
      <c r="A272" s="74"/>
      <c r="B272" s="34"/>
      <c r="C272" s="6">
        <v>41788</v>
      </c>
      <c r="D272" s="23">
        <v>15.3</v>
      </c>
      <c r="E272" s="23">
        <v>12.8</v>
      </c>
      <c r="F272" s="23">
        <v>17.5</v>
      </c>
      <c r="G272" s="23">
        <f t="shared" si="51"/>
        <v>2578.2000000000016</v>
      </c>
      <c r="H272" s="23">
        <f t="shared" si="44"/>
        <v>187.1</v>
      </c>
      <c r="I272" s="23">
        <v>0</v>
      </c>
      <c r="J272" s="23">
        <v>0</v>
      </c>
      <c r="K272" s="23">
        <f t="shared" si="52"/>
        <v>693.7000000000005</v>
      </c>
      <c r="L272" s="23">
        <v>2.6</v>
      </c>
      <c r="M272" s="23">
        <f t="shared" si="53"/>
        <v>438.80000000000024</v>
      </c>
      <c r="N272" s="23">
        <f t="shared" si="50"/>
        <v>-2.6</v>
      </c>
      <c r="O272" s="23">
        <v>80.100000000000023</v>
      </c>
      <c r="P272" s="23">
        <v>267</v>
      </c>
      <c r="Q272" s="12">
        <f t="shared" si="46"/>
        <v>1.0236842105263158</v>
      </c>
      <c r="R272" s="25">
        <f t="shared" si="47"/>
        <v>2.661578947368421</v>
      </c>
      <c r="S272" s="25">
        <f t="shared" si="48"/>
        <v>-2.661578947368421</v>
      </c>
      <c r="T272" s="10">
        <f t="shared" si="54"/>
        <v>49.964473684210589</v>
      </c>
      <c r="U272" s="12">
        <f>AVERAGE(T261:T280)</f>
        <v>43.946907894736896</v>
      </c>
      <c r="V272" s="23">
        <v>1410.8</v>
      </c>
      <c r="W272" s="23">
        <f t="shared" si="49"/>
        <v>92.209150326797385</v>
      </c>
      <c r="X272" s="23">
        <f t="shared" si="55"/>
        <v>200816.49999999997</v>
      </c>
      <c r="Y272" s="4">
        <f t="shared" si="45"/>
        <v>17869.8</v>
      </c>
      <c r="AA272" s="4">
        <v>16.0465785008894</v>
      </c>
    </row>
    <row r="273" spans="1:27" s="4" customFormat="1" x14ac:dyDescent="0.25">
      <c r="A273" s="74"/>
      <c r="B273" s="27"/>
      <c r="C273" s="6">
        <v>41789</v>
      </c>
      <c r="D273" s="4">
        <v>14.7</v>
      </c>
      <c r="E273" s="4">
        <v>12.1</v>
      </c>
      <c r="F273" s="4">
        <v>17.3</v>
      </c>
      <c r="G273" s="4">
        <f t="shared" si="51"/>
        <v>2592.9000000000015</v>
      </c>
      <c r="H273" s="4">
        <f t="shared" si="44"/>
        <v>201.79999999999998</v>
      </c>
      <c r="I273" s="35" t="s">
        <v>41</v>
      </c>
      <c r="J273" s="4">
        <v>0</v>
      </c>
      <c r="K273" s="4">
        <f t="shared" si="52"/>
        <v>693.7000000000005</v>
      </c>
      <c r="L273" s="4">
        <v>3.3</v>
      </c>
      <c r="M273" s="4">
        <f t="shared" si="53"/>
        <v>442.10000000000025</v>
      </c>
      <c r="N273" s="9">
        <f t="shared" si="50"/>
        <v>-3.3</v>
      </c>
      <c r="O273" s="4">
        <v>76.800000000000026</v>
      </c>
      <c r="P273" s="4">
        <v>268</v>
      </c>
      <c r="Q273" s="12">
        <f t="shared" si="46"/>
        <v>1.013157894736842</v>
      </c>
      <c r="R273" s="10">
        <f t="shared" si="47"/>
        <v>3.3434210526315784</v>
      </c>
      <c r="S273" s="10">
        <f t="shared" si="48"/>
        <v>-3.3434210526315784</v>
      </c>
      <c r="T273" s="10">
        <f t="shared" si="54"/>
        <v>46.621052631579012</v>
      </c>
      <c r="U273" s="4">
        <f>(U272*100)/153.6</f>
        <v>28.611268160636001</v>
      </c>
      <c r="V273" s="4">
        <v>1718.4</v>
      </c>
      <c r="W273" s="4">
        <f t="shared" si="49"/>
        <v>116.89795918367348</v>
      </c>
      <c r="X273" s="4">
        <f t="shared" si="55"/>
        <v>202534.89999999997</v>
      </c>
      <c r="Y273" s="4">
        <f t="shared" si="45"/>
        <v>19588.2</v>
      </c>
      <c r="AA273" s="4">
        <v>16.081053698558001</v>
      </c>
    </row>
    <row r="274" spans="1:27" s="4" customFormat="1" x14ac:dyDescent="0.25">
      <c r="A274" s="74"/>
      <c r="B274" s="27"/>
      <c r="C274" s="6">
        <v>41790</v>
      </c>
      <c r="D274" s="4">
        <v>14.6</v>
      </c>
      <c r="E274" s="4">
        <v>11.7</v>
      </c>
      <c r="F274" s="4">
        <v>18</v>
      </c>
      <c r="G274" s="4">
        <f t="shared" si="51"/>
        <v>2607.5000000000014</v>
      </c>
      <c r="H274" s="4">
        <f t="shared" si="44"/>
        <v>216.39999999999998</v>
      </c>
      <c r="I274" s="4">
        <v>306.7</v>
      </c>
      <c r="J274" s="4">
        <v>0</v>
      </c>
      <c r="K274" s="4">
        <f t="shared" si="52"/>
        <v>693.7000000000005</v>
      </c>
      <c r="L274" s="4">
        <v>4.5999999999999996</v>
      </c>
      <c r="M274" s="4">
        <f t="shared" si="53"/>
        <v>446.70000000000027</v>
      </c>
      <c r="N274" s="9">
        <f t="shared" si="50"/>
        <v>-4.5999999999999996</v>
      </c>
      <c r="O274" s="4">
        <v>72.200000000000031</v>
      </c>
      <c r="P274" s="4">
        <v>269</v>
      </c>
      <c r="Q274" s="12">
        <f t="shared" si="46"/>
        <v>1.0026315789473683</v>
      </c>
      <c r="R274" s="10">
        <f t="shared" si="47"/>
        <v>4.6121052631578943</v>
      </c>
      <c r="S274" s="10">
        <f t="shared" si="48"/>
        <v>-4.6121052631578943</v>
      </c>
      <c r="T274" s="10">
        <f t="shared" si="54"/>
        <v>42.008947368421119</v>
      </c>
      <c r="V274" s="4">
        <v>2552.3000000000002</v>
      </c>
      <c r="W274" s="4">
        <f t="shared" si="49"/>
        <v>174.8150684931507</v>
      </c>
      <c r="X274" s="4">
        <f t="shared" si="55"/>
        <v>205087.19999999995</v>
      </c>
      <c r="Y274" s="4">
        <f t="shared" si="45"/>
        <v>22140.5</v>
      </c>
      <c r="AA274" s="4">
        <v>16.114312720099299</v>
      </c>
    </row>
    <row r="275" spans="1:27" s="4" customFormat="1" x14ac:dyDescent="0.25">
      <c r="A275" s="74"/>
      <c r="B275" s="27"/>
      <c r="C275" s="6">
        <v>41791</v>
      </c>
      <c r="D275" s="4">
        <v>14.4</v>
      </c>
      <c r="E275" s="4">
        <v>10.3</v>
      </c>
      <c r="F275" s="4">
        <v>18.100000000000001</v>
      </c>
      <c r="G275" s="4">
        <f t="shared" si="51"/>
        <v>2621.9000000000015</v>
      </c>
      <c r="H275" s="4">
        <f t="shared" si="44"/>
        <v>230.79999999999998</v>
      </c>
      <c r="J275" s="4">
        <v>0.1</v>
      </c>
      <c r="K275" s="4">
        <f t="shared" si="52"/>
        <v>693.80000000000052</v>
      </c>
      <c r="L275" s="4">
        <v>3.5</v>
      </c>
      <c r="M275" s="4">
        <f t="shared" si="53"/>
        <v>450.20000000000027</v>
      </c>
      <c r="N275" s="9">
        <f t="shared" si="50"/>
        <v>-3.4</v>
      </c>
      <c r="O275" s="4">
        <v>68.800000000000026</v>
      </c>
      <c r="P275" s="4">
        <v>270</v>
      </c>
      <c r="Q275" s="12">
        <f t="shared" si="46"/>
        <v>0.9921052631578946</v>
      </c>
      <c r="R275" s="10">
        <f t="shared" si="47"/>
        <v>3.4723684210526313</v>
      </c>
      <c r="S275" s="10">
        <f t="shared" si="48"/>
        <v>-3.3723684210526312</v>
      </c>
      <c r="T275" s="10">
        <f t="shared" si="54"/>
        <v>38.636578947368484</v>
      </c>
      <c r="V275" s="4">
        <v>2006.2</v>
      </c>
      <c r="W275" s="4">
        <f t="shared" si="49"/>
        <v>139.31944444444446</v>
      </c>
      <c r="X275" s="4">
        <f t="shared" si="55"/>
        <v>207093.39999999997</v>
      </c>
      <c r="Y275" s="4">
        <f t="shared" si="45"/>
        <v>24146.7</v>
      </c>
      <c r="AA275" s="4">
        <v>16.146326601746999</v>
      </c>
    </row>
    <row r="276" spans="1:27" s="4" customFormat="1" x14ac:dyDescent="0.25">
      <c r="A276" s="74"/>
      <c r="B276" s="27"/>
      <c r="C276" s="6">
        <v>41792</v>
      </c>
      <c r="D276" s="4">
        <v>14.9</v>
      </c>
      <c r="E276" s="4">
        <v>10.3</v>
      </c>
      <c r="F276" s="4">
        <v>18.8</v>
      </c>
      <c r="G276" s="4">
        <f t="shared" si="51"/>
        <v>2636.8000000000015</v>
      </c>
      <c r="H276" s="4">
        <f t="shared" ref="H276:H336" si="56">H275+D276</f>
        <v>245.7</v>
      </c>
      <c r="J276" s="4">
        <v>0.1</v>
      </c>
      <c r="K276" s="4">
        <f t="shared" si="52"/>
        <v>693.90000000000055</v>
      </c>
      <c r="L276" s="4">
        <v>3.1</v>
      </c>
      <c r="M276" s="4">
        <f t="shared" si="53"/>
        <v>453.3000000000003</v>
      </c>
      <c r="N276" s="9">
        <f t="shared" si="50"/>
        <v>-3</v>
      </c>
      <c r="O276" s="4">
        <v>65.800000000000026</v>
      </c>
      <c r="P276" s="4">
        <v>271</v>
      </c>
      <c r="Q276" s="12">
        <f t="shared" si="46"/>
        <v>0.981578947368421</v>
      </c>
      <c r="R276" s="10">
        <f t="shared" si="47"/>
        <v>3.0428947368421051</v>
      </c>
      <c r="S276" s="10">
        <f t="shared" si="48"/>
        <v>-2.942894736842105</v>
      </c>
      <c r="T276" s="10">
        <f t="shared" si="54"/>
        <v>35.693684210526378</v>
      </c>
      <c r="V276" s="4">
        <v>1770.8</v>
      </c>
      <c r="W276" s="4">
        <f t="shared" si="49"/>
        <v>118.84563758389261</v>
      </c>
      <c r="X276" s="4">
        <f t="shared" si="55"/>
        <v>208864.19999999995</v>
      </c>
      <c r="Y276" s="4">
        <f t="shared" ref="Y276:Y336" si="57">Y275+V276</f>
        <v>25917.5</v>
      </c>
      <c r="AA276" s="4">
        <v>16.1770668831014</v>
      </c>
    </row>
    <row r="277" spans="1:27" s="4" customFormat="1" x14ac:dyDescent="0.25">
      <c r="A277" s="74"/>
      <c r="B277" s="27"/>
      <c r="C277" s="6">
        <v>41793</v>
      </c>
      <c r="D277" s="4">
        <v>16</v>
      </c>
      <c r="E277" s="4">
        <v>13.1</v>
      </c>
      <c r="F277" s="4">
        <v>20.100000000000001</v>
      </c>
      <c r="G277" s="4">
        <f t="shared" si="51"/>
        <v>2652.8000000000015</v>
      </c>
      <c r="H277" s="4">
        <f t="shared" si="56"/>
        <v>261.7</v>
      </c>
      <c r="J277" s="4">
        <v>5.4</v>
      </c>
      <c r="K277" s="4">
        <f t="shared" si="52"/>
        <v>699.30000000000052</v>
      </c>
      <c r="L277" s="4">
        <v>2.4</v>
      </c>
      <c r="M277" s="4">
        <f t="shared" si="53"/>
        <v>455.70000000000027</v>
      </c>
      <c r="N277" s="4">
        <f t="shared" si="50"/>
        <v>3.0000000000000004</v>
      </c>
      <c r="O277" s="4">
        <v>68.800000000000026</v>
      </c>
      <c r="P277" s="4">
        <v>272</v>
      </c>
      <c r="Q277" s="12">
        <f t="shared" si="46"/>
        <v>0.97105263157894728</v>
      </c>
      <c r="R277" s="10">
        <f t="shared" si="47"/>
        <v>2.3305263157894736</v>
      </c>
      <c r="S277" s="10">
        <f t="shared" si="48"/>
        <v>3.0694736842105268</v>
      </c>
      <c r="T277" s="10">
        <f t="shared" si="54"/>
        <v>38.763157894736906</v>
      </c>
      <c r="V277" s="4">
        <v>1089</v>
      </c>
      <c r="W277" s="4">
        <f t="shared" si="49"/>
        <v>68.0625</v>
      </c>
      <c r="X277" s="4">
        <f t="shared" si="55"/>
        <v>209953.19999999995</v>
      </c>
      <c r="Y277" s="4">
        <f t="shared" si="57"/>
        <v>27006.5</v>
      </c>
      <c r="AA277" s="4">
        <v>16.206505691965599</v>
      </c>
    </row>
    <row r="278" spans="1:27" s="4" customFormat="1" x14ac:dyDescent="0.25">
      <c r="A278" s="74"/>
      <c r="B278" s="27"/>
      <c r="C278" s="6">
        <v>41794</v>
      </c>
      <c r="D278" s="4">
        <v>13</v>
      </c>
      <c r="E278" s="4">
        <v>12</v>
      </c>
      <c r="F278" s="4">
        <v>15.6</v>
      </c>
      <c r="G278" s="4">
        <f t="shared" si="51"/>
        <v>2665.8000000000015</v>
      </c>
      <c r="H278" s="4">
        <f t="shared" si="56"/>
        <v>274.7</v>
      </c>
      <c r="J278" s="4">
        <v>13.6</v>
      </c>
      <c r="K278" s="4">
        <f t="shared" si="52"/>
        <v>712.90000000000055</v>
      </c>
      <c r="L278" s="4">
        <v>1.9</v>
      </c>
      <c r="M278" s="4">
        <f t="shared" si="53"/>
        <v>457.60000000000025</v>
      </c>
      <c r="N278" s="4">
        <f t="shared" si="50"/>
        <v>11.7</v>
      </c>
      <c r="O278" s="4">
        <v>80.500000000000028</v>
      </c>
      <c r="P278" s="4">
        <v>273</v>
      </c>
      <c r="Q278" s="12">
        <f t="shared" si="46"/>
        <v>0.96052631578947367</v>
      </c>
      <c r="R278" s="10">
        <f t="shared" si="47"/>
        <v>1.825</v>
      </c>
      <c r="S278" s="10">
        <f t="shared" si="48"/>
        <v>11.775</v>
      </c>
      <c r="T278" s="10">
        <f t="shared" si="54"/>
        <v>50.538157894736905</v>
      </c>
      <c r="V278" s="4">
        <v>973.7</v>
      </c>
      <c r="W278" s="4">
        <f t="shared" si="49"/>
        <v>74.900000000000006</v>
      </c>
      <c r="X278" s="4">
        <f t="shared" si="55"/>
        <v>210926.89999999997</v>
      </c>
      <c r="Y278" s="4">
        <f t="shared" si="57"/>
        <v>27980.2</v>
      </c>
      <c r="AA278" s="4">
        <v>16.234615830375802</v>
      </c>
    </row>
    <row r="279" spans="1:27" s="4" customFormat="1" x14ac:dyDescent="0.25">
      <c r="A279" s="74"/>
      <c r="B279" s="27"/>
      <c r="C279" s="6">
        <v>41795</v>
      </c>
      <c r="D279" s="4">
        <v>13.4</v>
      </c>
      <c r="E279" s="4">
        <v>8.6</v>
      </c>
      <c r="F279" s="4">
        <v>17.600000000000001</v>
      </c>
      <c r="G279" s="4">
        <f t="shared" si="51"/>
        <v>2679.2000000000016</v>
      </c>
      <c r="H279" s="4">
        <f t="shared" si="56"/>
        <v>288.09999999999997</v>
      </c>
      <c r="J279" s="4">
        <v>0</v>
      </c>
      <c r="K279" s="4">
        <f t="shared" si="52"/>
        <v>712.90000000000055</v>
      </c>
      <c r="L279" s="4">
        <v>2.9</v>
      </c>
      <c r="M279" s="4">
        <f t="shared" si="53"/>
        <v>460.50000000000023</v>
      </c>
      <c r="N279" s="9">
        <f t="shared" si="50"/>
        <v>-2.9</v>
      </c>
      <c r="O279" s="4">
        <v>77.600000000000023</v>
      </c>
      <c r="P279" s="4">
        <v>274</v>
      </c>
      <c r="Q279" s="12">
        <f t="shared" si="46"/>
        <v>0.95</v>
      </c>
      <c r="R279" s="10">
        <f t="shared" si="47"/>
        <v>2.7549999999999999</v>
      </c>
      <c r="S279" s="10">
        <f t="shared" si="48"/>
        <v>-2.7549999999999999</v>
      </c>
      <c r="T279" s="10">
        <f t="shared" si="54"/>
        <v>47.783157894736902</v>
      </c>
      <c r="V279" s="4">
        <v>1550.9</v>
      </c>
      <c r="W279" s="4">
        <f t="shared" si="49"/>
        <v>115.73880597014926</v>
      </c>
      <c r="X279" s="4">
        <f t="shared" si="55"/>
        <v>212477.79999999996</v>
      </c>
      <c r="Y279" s="4">
        <f t="shared" si="57"/>
        <v>29531.100000000002</v>
      </c>
      <c r="AA279" s="4">
        <v>16.2613708613668</v>
      </c>
    </row>
    <row r="280" spans="1:27" s="49" customFormat="1" ht="15.75" thickBot="1" x14ac:dyDescent="0.3">
      <c r="A280" s="74"/>
      <c r="B280" s="55">
        <v>600</v>
      </c>
      <c r="C280" s="48">
        <v>41796</v>
      </c>
      <c r="D280" s="49">
        <v>18.600000000000001</v>
      </c>
      <c r="E280" s="49">
        <v>8.9</v>
      </c>
      <c r="F280" s="49">
        <v>24.5</v>
      </c>
      <c r="G280" s="49">
        <f t="shared" si="51"/>
        <v>2697.8000000000015</v>
      </c>
      <c r="H280" s="49">
        <f t="shared" si="56"/>
        <v>306.7</v>
      </c>
      <c r="J280" s="49">
        <v>0</v>
      </c>
      <c r="K280" s="49">
        <f t="shared" si="52"/>
        <v>712.90000000000055</v>
      </c>
      <c r="L280" s="49">
        <v>4.5</v>
      </c>
      <c r="M280" s="49">
        <f t="shared" si="53"/>
        <v>465.00000000000023</v>
      </c>
      <c r="N280" s="56">
        <f t="shared" si="50"/>
        <v>-4.5</v>
      </c>
      <c r="O280" s="49">
        <v>73.100000000000023</v>
      </c>
      <c r="P280" s="49">
        <v>275</v>
      </c>
      <c r="Q280" s="51">
        <f t="shared" si="46"/>
        <v>0.93947368421052624</v>
      </c>
      <c r="R280" s="52">
        <f t="shared" si="47"/>
        <v>4.227631578947368</v>
      </c>
      <c r="S280" s="52">
        <f t="shared" si="48"/>
        <v>-4.227631578947368</v>
      </c>
      <c r="T280" s="53">
        <f t="shared" si="54"/>
        <v>43.555526315789535</v>
      </c>
      <c r="V280" s="49">
        <v>2806.7</v>
      </c>
      <c r="W280" s="49">
        <f t="shared" si="49"/>
        <v>150.89784946236557</v>
      </c>
      <c r="X280" s="49">
        <f t="shared" si="55"/>
        <v>215284.49999999997</v>
      </c>
      <c r="Y280" s="54">
        <f t="shared" si="57"/>
        <v>32337.800000000003</v>
      </c>
      <c r="AA280" s="54">
        <v>16.286745195982501</v>
      </c>
    </row>
    <row r="281" spans="1:27" s="4" customFormat="1" x14ac:dyDescent="0.25">
      <c r="A281" s="75">
        <v>1000</v>
      </c>
      <c r="B281" s="27"/>
      <c r="C281" s="6">
        <v>41797</v>
      </c>
      <c r="D281" s="4">
        <v>22</v>
      </c>
      <c r="E281" s="4">
        <v>17.8</v>
      </c>
      <c r="F281" s="7">
        <v>26.3</v>
      </c>
      <c r="G281" s="4">
        <f t="shared" si="51"/>
        <v>2719.8000000000015</v>
      </c>
      <c r="H281" s="4">
        <v>22</v>
      </c>
      <c r="I281" s="36" t="s">
        <v>26</v>
      </c>
      <c r="J281" s="4">
        <v>0.6</v>
      </c>
      <c r="K281" s="4">
        <f t="shared" si="52"/>
        <v>713.50000000000057</v>
      </c>
      <c r="L281" s="4">
        <v>3.9</v>
      </c>
      <c r="M281" s="4">
        <f t="shared" si="53"/>
        <v>468.9000000000002</v>
      </c>
      <c r="N281" s="9">
        <f t="shared" si="50"/>
        <v>-3.3</v>
      </c>
      <c r="O281" s="4">
        <v>69.800000000000026</v>
      </c>
      <c r="P281" s="4">
        <v>276</v>
      </c>
      <c r="Q281" s="12">
        <f t="shared" si="46"/>
        <v>0.92894736842105252</v>
      </c>
      <c r="R281" s="10">
        <f t="shared" si="47"/>
        <v>3.6228947368421047</v>
      </c>
      <c r="S281" s="10">
        <f t="shared" si="48"/>
        <v>-3.0228947368421046</v>
      </c>
      <c r="T281" s="10">
        <f t="shared" si="54"/>
        <v>40.532631578947431</v>
      </c>
      <c r="U281" s="36" t="s">
        <v>27</v>
      </c>
      <c r="V281" s="4">
        <v>1718.6</v>
      </c>
      <c r="W281" s="4">
        <f t="shared" si="49"/>
        <v>78.11818181818181</v>
      </c>
      <c r="X281" s="4">
        <f t="shared" si="55"/>
        <v>217003.09999999998</v>
      </c>
      <c r="Y281" s="4">
        <v>1718.6</v>
      </c>
      <c r="Z281" s="36" t="s">
        <v>28</v>
      </c>
      <c r="AA281" s="4">
        <v>16.310714180007601</v>
      </c>
    </row>
    <row r="282" spans="1:27" s="4" customFormat="1" x14ac:dyDescent="0.25">
      <c r="A282" s="75"/>
      <c r="B282" s="27"/>
      <c r="C282" s="6">
        <v>41798</v>
      </c>
      <c r="D282" s="4">
        <v>21</v>
      </c>
      <c r="E282" s="4">
        <v>16.100000000000001</v>
      </c>
      <c r="F282" s="4">
        <v>24.9</v>
      </c>
      <c r="G282" s="4">
        <f t="shared" si="51"/>
        <v>2740.8000000000015</v>
      </c>
      <c r="H282" s="4">
        <f t="shared" si="56"/>
        <v>43</v>
      </c>
      <c r="I282" s="4">
        <f>MIN(E281:E303)</f>
        <v>10.6</v>
      </c>
      <c r="J282" s="4">
        <v>0</v>
      </c>
      <c r="K282" s="4">
        <f t="shared" si="52"/>
        <v>713.50000000000057</v>
      </c>
      <c r="L282" s="4">
        <v>4.3</v>
      </c>
      <c r="M282" s="4">
        <f t="shared" si="53"/>
        <v>473.20000000000022</v>
      </c>
      <c r="N282" s="9">
        <f t="shared" si="50"/>
        <v>-4.3</v>
      </c>
      <c r="O282" s="4">
        <v>65.500000000000028</v>
      </c>
      <c r="P282" s="4">
        <v>277</v>
      </c>
      <c r="Q282" s="12">
        <f t="shared" si="46"/>
        <v>0.9184210526315788</v>
      </c>
      <c r="R282" s="10">
        <f t="shared" si="47"/>
        <v>3.9492105263157886</v>
      </c>
      <c r="S282" s="10">
        <f t="shared" si="48"/>
        <v>-3.9492105263157886</v>
      </c>
      <c r="T282" s="10">
        <f t="shared" si="54"/>
        <v>36.583421052631643</v>
      </c>
      <c r="U282" s="4">
        <v>18</v>
      </c>
      <c r="V282" s="4">
        <v>2103.6999999999998</v>
      </c>
      <c r="W282" s="4">
        <f t="shared" si="49"/>
        <v>100.17619047619047</v>
      </c>
      <c r="X282" s="4">
        <f t="shared" si="55"/>
        <v>219106.8</v>
      </c>
      <c r="Y282" s="4">
        <f t="shared" si="57"/>
        <v>3822.2999999999997</v>
      </c>
      <c r="Z282" s="4">
        <v>41373.800000000003</v>
      </c>
      <c r="AA282" s="4">
        <v>16.333254179875901</v>
      </c>
    </row>
    <row r="283" spans="1:27" s="4" customFormat="1" x14ac:dyDescent="0.25">
      <c r="A283" s="75"/>
      <c r="B283" s="27"/>
      <c r="C283" s="6">
        <v>41799</v>
      </c>
      <c r="D283" s="4">
        <v>20.9</v>
      </c>
      <c r="E283" s="4">
        <v>19</v>
      </c>
      <c r="F283" s="4">
        <v>22.4</v>
      </c>
      <c r="G283" s="4">
        <f t="shared" si="51"/>
        <v>2761.7000000000016</v>
      </c>
      <c r="H283" s="4">
        <f t="shared" si="56"/>
        <v>63.9</v>
      </c>
      <c r="I283" s="36" t="s">
        <v>29</v>
      </c>
      <c r="J283" s="4">
        <v>16.899999999999999</v>
      </c>
      <c r="K283" s="4">
        <f t="shared" si="52"/>
        <v>730.40000000000055</v>
      </c>
      <c r="L283" s="4">
        <v>2.9</v>
      </c>
      <c r="M283" s="4">
        <f t="shared" si="53"/>
        <v>476.10000000000019</v>
      </c>
      <c r="N283" s="4">
        <f t="shared" si="50"/>
        <v>13.999999999999998</v>
      </c>
      <c r="O283" s="4">
        <v>79.500000000000028</v>
      </c>
      <c r="P283" s="4">
        <v>278</v>
      </c>
      <c r="Q283" s="12">
        <f t="shared" si="46"/>
        <v>0.9078947368421052</v>
      </c>
      <c r="R283" s="10">
        <f t="shared" si="47"/>
        <v>2.632894736842105</v>
      </c>
      <c r="S283" s="10">
        <f t="shared" si="48"/>
        <v>14.267105263157895</v>
      </c>
      <c r="T283" s="10">
        <f t="shared" si="54"/>
        <v>50.850526315789537</v>
      </c>
      <c r="U283" s="36" t="s">
        <v>30</v>
      </c>
      <c r="V283" s="4">
        <v>1455.4</v>
      </c>
      <c r="W283" s="4">
        <f t="shared" si="49"/>
        <v>69.63636363636364</v>
      </c>
      <c r="X283" s="4">
        <f t="shared" si="55"/>
        <v>220562.19999999998</v>
      </c>
      <c r="Y283" s="4">
        <f t="shared" si="57"/>
        <v>5277.7</v>
      </c>
      <c r="Z283" s="36" t="s">
        <v>31</v>
      </c>
      <c r="AA283" s="4">
        <v>16.3543426671852</v>
      </c>
    </row>
    <row r="284" spans="1:27" s="4" customFormat="1" x14ac:dyDescent="0.25">
      <c r="A284" s="75"/>
      <c r="B284" s="27"/>
      <c r="C284" s="6">
        <v>41800</v>
      </c>
      <c r="D284" s="4">
        <v>18.2</v>
      </c>
      <c r="E284" s="4">
        <v>18</v>
      </c>
      <c r="F284" s="4">
        <v>20.5</v>
      </c>
      <c r="G284" s="4">
        <f t="shared" si="51"/>
        <v>2779.9000000000015</v>
      </c>
      <c r="H284" s="4">
        <f t="shared" si="56"/>
        <v>82.1</v>
      </c>
      <c r="I284" s="4">
        <f>MAX(F281:F303)</f>
        <v>26.3</v>
      </c>
      <c r="J284" s="4">
        <v>3.8</v>
      </c>
      <c r="K284" s="4">
        <f t="shared" si="52"/>
        <v>734.2000000000005</v>
      </c>
      <c r="L284" s="4">
        <v>2.1</v>
      </c>
      <c r="M284" s="4">
        <f t="shared" si="53"/>
        <v>478.20000000000022</v>
      </c>
      <c r="N284" s="4">
        <f t="shared" si="50"/>
        <v>1.6999999999999997</v>
      </c>
      <c r="O284" s="4">
        <v>81.200000000000031</v>
      </c>
      <c r="P284" s="4">
        <v>279</v>
      </c>
      <c r="Q284" s="12">
        <f t="shared" si="46"/>
        <v>0.89736842105263159</v>
      </c>
      <c r="R284" s="10">
        <f t="shared" si="47"/>
        <v>1.8844736842105265</v>
      </c>
      <c r="S284" s="10">
        <f t="shared" si="48"/>
        <v>1.9155263157894733</v>
      </c>
      <c r="T284" s="10">
        <f t="shared" si="54"/>
        <v>52.766052631579008</v>
      </c>
      <c r="U284" s="4">
        <v>1</v>
      </c>
      <c r="V284" s="11">
        <v>808.4</v>
      </c>
      <c r="W284" s="4">
        <f t="shared" si="49"/>
        <v>44.417582417582416</v>
      </c>
      <c r="X284" s="4">
        <f t="shared" si="55"/>
        <v>221370.59999999998</v>
      </c>
      <c r="Y284" s="4">
        <f t="shared" si="57"/>
        <v>6086.0999999999995</v>
      </c>
      <c r="Z284" s="12">
        <f>(Z282/100)/I294</f>
        <v>1.0338280859570217</v>
      </c>
      <c r="AA284" s="4">
        <v>16.373958301237</v>
      </c>
    </row>
    <row r="285" spans="1:27" s="4" customFormat="1" x14ac:dyDescent="0.25">
      <c r="A285" s="75"/>
      <c r="B285" s="27"/>
      <c r="C285" s="6">
        <v>41801</v>
      </c>
      <c r="D285" s="4">
        <v>18</v>
      </c>
      <c r="E285" s="4">
        <v>13.7</v>
      </c>
      <c r="F285" s="4">
        <v>21.4</v>
      </c>
      <c r="G285" s="4">
        <f t="shared" si="51"/>
        <v>2797.9000000000015</v>
      </c>
      <c r="H285" s="4">
        <f t="shared" si="56"/>
        <v>100.1</v>
      </c>
      <c r="I285" s="36" t="s">
        <v>32</v>
      </c>
      <c r="J285" s="4">
        <v>0</v>
      </c>
      <c r="K285" s="4">
        <f t="shared" si="52"/>
        <v>734.2000000000005</v>
      </c>
      <c r="L285" s="4">
        <v>4.7</v>
      </c>
      <c r="M285" s="4">
        <f t="shared" si="53"/>
        <v>482.9000000000002</v>
      </c>
      <c r="N285" s="9">
        <f t="shared" si="50"/>
        <v>-4.7</v>
      </c>
      <c r="O285" s="4">
        <v>76.500000000000028</v>
      </c>
      <c r="P285" s="4">
        <v>280</v>
      </c>
      <c r="Q285" s="12">
        <f t="shared" si="46"/>
        <v>0.88684210526315788</v>
      </c>
      <c r="R285" s="10">
        <f t="shared" si="47"/>
        <v>4.1681578947368418</v>
      </c>
      <c r="S285" s="10">
        <f t="shared" si="48"/>
        <v>-4.1681578947368418</v>
      </c>
      <c r="T285" s="10">
        <f t="shared" si="54"/>
        <v>48.597894736842164</v>
      </c>
      <c r="U285" s="36" t="s">
        <v>33</v>
      </c>
      <c r="V285" s="4">
        <v>2434.8000000000002</v>
      </c>
      <c r="W285" s="4">
        <f t="shared" si="49"/>
        <v>135.26666666666668</v>
      </c>
      <c r="X285" s="4">
        <f t="shared" si="55"/>
        <v>223805.39999999997</v>
      </c>
      <c r="Y285" s="4">
        <f t="shared" si="57"/>
        <v>8520.9</v>
      </c>
      <c r="Z285" s="36" t="s">
        <v>34</v>
      </c>
      <c r="AA285" s="4">
        <v>16.3920810090065</v>
      </c>
    </row>
    <row r="286" spans="1:27" s="4" customFormat="1" x14ac:dyDescent="0.25">
      <c r="A286" s="75"/>
      <c r="B286" s="27"/>
      <c r="C286" s="6">
        <v>41802</v>
      </c>
      <c r="D286" s="4">
        <v>18.600000000000001</v>
      </c>
      <c r="E286" s="4">
        <v>13.7</v>
      </c>
      <c r="F286" s="4">
        <v>22.1</v>
      </c>
      <c r="G286" s="4">
        <f t="shared" si="51"/>
        <v>2816.5000000000014</v>
      </c>
      <c r="H286" s="4">
        <f t="shared" si="56"/>
        <v>118.69999999999999</v>
      </c>
      <c r="I286" s="10">
        <f>AVERAGE(D281:D303)</f>
        <v>17.400000000000002</v>
      </c>
      <c r="J286" s="4">
        <v>0</v>
      </c>
      <c r="K286" s="4">
        <f t="shared" si="52"/>
        <v>734.2000000000005</v>
      </c>
      <c r="L286" s="4">
        <v>5.3</v>
      </c>
      <c r="M286" s="4">
        <f t="shared" si="53"/>
        <v>488.20000000000022</v>
      </c>
      <c r="N286" s="9">
        <f t="shared" si="50"/>
        <v>-5.3</v>
      </c>
      <c r="O286" s="4">
        <v>71.200000000000031</v>
      </c>
      <c r="P286" s="4">
        <v>281</v>
      </c>
      <c r="Q286" s="12">
        <f t="shared" si="46"/>
        <v>0.87631578947368416</v>
      </c>
      <c r="R286" s="10">
        <f t="shared" si="47"/>
        <v>4.6444736842105261</v>
      </c>
      <c r="S286" s="10">
        <f t="shared" si="48"/>
        <v>-4.6444736842105261</v>
      </c>
      <c r="T286" s="10">
        <f t="shared" si="54"/>
        <v>43.95342105263164</v>
      </c>
      <c r="U286" s="4">
        <v>21</v>
      </c>
      <c r="V286" s="4">
        <v>2875.3</v>
      </c>
      <c r="W286" s="4">
        <f t="shared" si="49"/>
        <v>154.58602150537635</v>
      </c>
      <c r="X286" s="4">
        <f t="shared" si="55"/>
        <v>226680.69999999995</v>
      </c>
      <c r="Y286" s="4">
        <f t="shared" si="57"/>
        <v>11396.2</v>
      </c>
      <c r="Z286" s="4">
        <v>4</v>
      </c>
      <c r="AA286" s="4">
        <v>16.408692061950099</v>
      </c>
    </row>
    <row r="287" spans="1:27" s="4" customFormat="1" x14ac:dyDescent="0.25">
      <c r="A287" s="75"/>
      <c r="B287" s="27"/>
      <c r="C287" s="6">
        <v>41803</v>
      </c>
      <c r="D287" s="4">
        <v>18.5</v>
      </c>
      <c r="E287" s="4">
        <v>15.1</v>
      </c>
      <c r="F287" s="4">
        <v>22.4</v>
      </c>
      <c r="G287" s="4">
        <f t="shared" si="51"/>
        <v>2835.0000000000014</v>
      </c>
      <c r="H287" s="4">
        <f t="shared" si="56"/>
        <v>137.19999999999999</v>
      </c>
      <c r="I287" s="36" t="s">
        <v>35</v>
      </c>
      <c r="J287" s="4">
        <v>0</v>
      </c>
      <c r="K287" s="4">
        <f t="shared" si="52"/>
        <v>734.2000000000005</v>
      </c>
      <c r="L287" s="4">
        <v>4.7</v>
      </c>
      <c r="M287" s="4">
        <f t="shared" si="53"/>
        <v>492.9000000000002</v>
      </c>
      <c r="N287" s="9">
        <f t="shared" si="50"/>
        <v>-4.7</v>
      </c>
      <c r="O287" s="4">
        <v>66.500000000000028</v>
      </c>
      <c r="P287" s="4">
        <v>282</v>
      </c>
      <c r="Q287" s="12">
        <f t="shared" si="46"/>
        <v>0.86578947368421044</v>
      </c>
      <c r="R287" s="10">
        <f t="shared" si="47"/>
        <v>4.0692105263157892</v>
      </c>
      <c r="S287" s="10">
        <f t="shared" si="48"/>
        <v>-4.0692105263157892</v>
      </c>
      <c r="T287" s="10">
        <f t="shared" si="54"/>
        <v>39.884210526315854</v>
      </c>
      <c r="U287" s="36" t="s">
        <v>36</v>
      </c>
      <c r="V287" s="4">
        <v>2320.9</v>
      </c>
      <c r="W287" s="4">
        <f t="shared" si="49"/>
        <v>125.45405405405405</v>
      </c>
      <c r="X287" s="4">
        <f t="shared" si="55"/>
        <v>229001.59999999995</v>
      </c>
      <c r="Y287" s="4">
        <f t="shared" si="57"/>
        <v>13717.1</v>
      </c>
      <c r="AA287" s="4">
        <v>16.423774149057699</v>
      </c>
    </row>
    <row r="288" spans="1:27" s="4" customFormat="1" x14ac:dyDescent="0.25">
      <c r="A288" s="75"/>
      <c r="B288" s="27"/>
      <c r="C288" s="6">
        <v>41804</v>
      </c>
      <c r="D288" s="4">
        <v>16.3</v>
      </c>
      <c r="E288" s="4">
        <v>14.6</v>
      </c>
      <c r="F288" s="4">
        <v>19.600000000000001</v>
      </c>
      <c r="G288" s="4">
        <f t="shared" si="51"/>
        <v>2851.3000000000015</v>
      </c>
      <c r="H288" s="4">
        <f t="shared" si="56"/>
        <v>153.5</v>
      </c>
      <c r="I288" s="4">
        <v>0</v>
      </c>
      <c r="J288" s="4">
        <v>0</v>
      </c>
      <c r="K288" s="4">
        <f t="shared" si="52"/>
        <v>734.2000000000005</v>
      </c>
      <c r="L288" s="4">
        <v>4.3</v>
      </c>
      <c r="M288" s="4">
        <f t="shared" si="53"/>
        <v>497.20000000000022</v>
      </c>
      <c r="N288" s="9">
        <f t="shared" si="50"/>
        <v>-4.3</v>
      </c>
      <c r="O288" s="4">
        <v>62.200000000000031</v>
      </c>
      <c r="P288" s="4">
        <v>283</v>
      </c>
      <c r="Q288" s="12">
        <f t="shared" si="46"/>
        <v>0.85526315789473673</v>
      </c>
      <c r="R288" s="10">
        <f t="shared" si="47"/>
        <v>3.6776315789473677</v>
      </c>
      <c r="S288" s="10">
        <f t="shared" si="48"/>
        <v>-3.6776315789473677</v>
      </c>
      <c r="T288" s="10">
        <f t="shared" si="54"/>
        <v>36.206578947368484</v>
      </c>
      <c r="U288" s="10">
        <v>0</v>
      </c>
      <c r="V288" s="4">
        <v>2027.6</v>
      </c>
      <c r="W288" s="4">
        <f t="shared" si="49"/>
        <v>124.3926380368098</v>
      </c>
      <c r="X288" s="4">
        <f t="shared" si="55"/>
        <v>231029.19999999995</v>
      </c>
      <c r="Y288" s="4">
        <f t="shared" si="57"/>
        <v>15744.7</v>
      </c>
      <c r="AA288" s="4">
        <v>16.437311445572501</v>
      </c>
    </row>
    <row r="289" spans="1:27" s="4" customFormat="1" x14ac:dyDescent="0.25">
      <c r="A289" s="75"/>
      <c r="B289" s="27"/>
      <c r="C289" s="6">
        <v>41805</v>
      </c>
      <c r="D289" s="4">
        <v>15.3</v>
      </c>
      <c r="E289" s="4">
        <v>12.3</v>
      </c>
      <c r="F289" s="4">
        <v>17.399999999999999</v>
      </c>
      <c r="G289" s="4">
        <f t="shared" si="51"/>
        <v>2866.6000000000017</v>
      </c>
      <c r="H289" s="4">
        <f t="shared" si="56"/>
        <v>168.8</v>
      </c>
      <c r="I289" s="36" t="s">
        <v>37</v>
      </c>
      <c r="J289" s="4">
        <v>0</v>
      </c>
      <c r="K289" s="4">
        <f t="shared" si="52"/>
        <v>734.2000000000005</v>
      </c>
      <c r="L289" s="4">
        <v>2.9</v>
      </c>
      <c r="M289" s="4">
        <f t="shared" si="53"/>
        <v>500.10000000000019</v>
      </c>
      <c r="N289" s="9">
        <f t="shared" si="50"/>
        <v>-2.9</v>
      </c>
      <c r="O289" s="4">
        <v>59.300000000000033</v>
      </c>
      <c r="P289" s="4">
        <v>284</v>
      </c>
      <c r="Q289" s="12">
        <f t="shared" si="46"/>
        <v>0.84473684210526301</v>
      </c>
      <c r="R289" s="10">
        <f t="shared" si="47"/>
        <v>2.4497368421052625</v>
      </c>
      <c r="S289" s="10">
        <f t="shared" si="48"/>
        <v>-2.4497368421052625</v>
      </c>
      <c r="T289" s="10">
        <f t="shared" si="54"/>
        <v>33.756842105263225</v>
      </c>
      <c r="U289" s="36" t="s">
        <v>38</v>
      </c>
      <c r="V289" s="4">
        <v>1361</v>
      </c>
      <c r="W289" s="4">
        <f t="shared" si="49"/>
        <v>88.954248366013061</v>
      </c>
      <c r="X289" s="4">
        <f t="shared" si="55"/>
        <v>232390.19999999995</v>
      </c>
      <c r="Y289" s="4">
        <f t="shared" si="57"/>
        <v>17105.7</v>
      </c>
      <c r="AA289" s="4">
        <v>16.449289676818601</v>
      </c>
    </row>
    <row r="290" spans="1:27" s="4" customFormat="1" x14ac:dyDescent="0.25">
      <c r="A290" s="75"/>
      <c r="B290" s="27"/>
      <c r="C290" s="6">
        <v>41806</v>
      </c>
      <c r="D290" s="4">
        <v>14.5</v>
      </c>
      <c r="E290" s="4">
        <v>12.1</v>
      </c>
      <c r="F290" s="4">
        <v>15.9</v>
      </c>
      <c r="G290" s="4">
        <f t="shared" si="51"/>
        <v>2881.1000000000017</v>
      </c>
      <c r="H290" s="4">
        <f t="shared" si="56"/>
        <v>183.3</v>
      </c>
      <c r="I290" s="4">
        <v>1</v>
      </c>
      <c r="J290" s="4">
        <v>0.1</v>
      </c>
      <c r="K290" s="4">
        <f t="shared" si="52"/>
        <v>734.30000000000052</v>
      </c>
      <c r="L290" s="4">
        <v>2.2999999999999998</v>
      </c>
      <c r="M290" s="4">
        <f t="shared" si="53"/>
        <v>502.4000000000002</v>
      </c>
      <c r="N290" s="9">
        <f t="shared" si="50"/>
        <v>-2.1999999999999997</v>
      </c>
      <c r="O290" s="4">
        <v>57.10000000000003</v>
      </c>
      <c r="P290" s="4">
        <v>285</v>
      </c>
      <c r="Q290" s="12">
        <f t="shared" si="46"/>
        <v>0.8342105263157894</v>
      </c>
      <c r="R290" s="10">
        <f t="shared" si="47"/>
        <v>1.9186842105263155</v>
      </c>
      <c r="S290" s="10">
        <f t="shared" si="48"/>
        <v>-1.8186842105263155</v>
      </c>
      <c r="T290" s="10">
        <f t="shared" si="54"/>
        <v>31.938157894736911</v>
      </c>
      <c r="U290" s="10">
        <f>MAX(T281:T303)</f>
        <v>52.766052631579008</v>
      </c>
      <c r="V290" s="11">
        <v>876.7</v>
      </c>
      <c r="W290" s="4">
        <f t="shared" si="49"/>
        <v>60.462068965517247</v>
      </c>
      <c r="X290" s="4">
        <f t="shared" si="55"/>
        <v>233266.89999999997</v>
      </c>
      <c r="Y290" s="4">
        <f t="shared" si="57"/>
        <v>17982.400000000001</v>
      </c>
      <c r="AA290" s="4">
        <v>16.4596961766044</v>
      </c>
    </row>
    <row r="291" spans="1:27" s="4" customFormat="1" x14ac:dyDescent="0.25">
      <c r="A291" s="75"/>
      <c r="B291" s="27"/>
      <c r="C291" s="6">
        <v>41807</v>
      </c>
      <c r="D291" s="4">
        <v>15.2</v>
      </c>
      <c r="E291" s="4">
        <v>13.7</v>
      </c>
      <c r="F291" s="4">
        <v>17.2</v>
      </c>
      <c r="G291" s="4">
        <f t="shared" si="51"/>
        <v>2896.3000000000015</v>
      </c>
      <c r="H291" s="4">
        <f t="shared" si="56"/>
        <v>198.5</v>
      </c>
      <c r="I291" s="36" t="s">
        <v>39</v>
      </c>
      <c r="J291" s="4">
        <v>0</v>
      </c>
      <c r="K291" s="4">
        <f t="shared" si="52"/>
        <v>734.30000000000052</v>
      </c>
      <c r="L291" s="4">
        <v>2.9</v>
      </c>
      <c r="M291" s="4">
        <f t="shared" si="53"/>
        <v>505.30000000000018</v>
      </c>
      <c r="N291" s="9">
        <f t="shared" si="50"/>
        <v>-2.9</v>
      </c>
      <c r="O291" s="4">
        <v>54.200000000000031</v>
      </c>
      <c r="P291" s="4">
        <v>286</v>
      </c>
      <c r="Q291" s="12">
        <f t="shared" si="46"/>
        <v>0.8236842105263158</v>
      </c>
      <c r="R291" s="10">
        <f t="shared" si="47"/>
        <v>2.3886842105263155</v>
      </c>
      <c r="S291" s="10">
        <f t="shared" si="48"/>
        <v>-2.3886842105263155</v>
      </c>
      <c r="T291" s="10">
        <f t="shared" si="54"/>
        <v>29.549473684210597</v>
      </c>
      <c r="U291" s="36" t="s">
        <v>40</v>
      </c>
      <c r="V291" s="11">
        <v>805</v>
      </c>
      <c r="W291" s="4">
        <f t="shared" si="49"/>
        <v>52.96052631578948</v>
      </c>
      <c r="X291" s="4">
        <f t="shared" si="55"/>
        <v>234071.89999999997</v>
      </c>
      <c r="Y291" s="4">
        <f t="shared" si="57"/>
        <v>18787.400000000001</v>
      </c>
      <c r="AA291" s="4">
        <v>16.468519939705399</v>
      </c>
    </row>
    <row r="292" spans="1:27" s="4" customFormat="1" x14ac:dyDescent="0.25">
      <c r="A292" s="75"/>
      <c r="B292" s="27"/>
      <c r="C292" s="6">
        <v>41808</v>
      </c>
      <c r="D292" s="4">
        <v>15.7</v>
      </c>
      <c r="E292" s="4">
        <v>13.5</v>
      </c>
      <c r="F292" s="4">
        <v>18.5</v>
      </c>
      <c r="G292" s="4">
        <f t="shared" si="51"/>
        <v>2912.0000000000014</v>
      </c>
      <c r="H292" s="4">
        <f t="shared" si="56"/>
        <v>214.2</v>
      </c>
      <c r="I292" s="4">
        <v>0</v>
      </c>
      <c r="J292" s="4">
        <v>0</v>
      </c>
      <c r="K292" s="4">
        <f t="shared" si="52"/>
        <v>734.30000000000052</v>
      </c>
      <c r="L292" s="4">
        <v>3.2</v>
      </c>
      <c r="M292" s="4">
        <f t="shared" si="53"/>
        <v>508.50000000000017</v>
      </c>
      <c r="N292" s="9">
        <f t="shared" si="50"/>
        <v>-3.2</v>
      </c>
      <c r="O292" s="37">
        <v>51.000000000000028</v>
      </c>
      <c r="P292" s="4">
        <v>287</v>
      </c>
      <c r="Q292" s="12">
        <f t="shared" si="46"/>
        <v>0.81315789473684208</v>
      </c>
      <c r="R292" s="10">
        <f t="shared" si="47"/>
        <v>2.6021052631578949</v>
      </c>
      <c r="S292" s="10">
        <f t="shared" si="48"/>
        <v>-2.6021052631578949</v>
      </c>
      <c r="T292" s="10">
        <f t="shared" si="54"/>
        <v>26.947368421052701</v>
      </c>
      <c r="U292" s="12">
        <f>AVERAGE(T281:T303)</f>
        <v>25.705606407322708</v>
      </c>
      <c r="V292" s="4">
        <v>1168</v>
      </c>
      <c r="W292" s="4">
        <f t="shared" si="49"/>
        <v>74.394904458598731</v>
      </c>
      <c r="X292" s="4">
        <f t="shared" si="55"/>
        <v>235239.89999999997</v>
      </c>
      <c r="Y292" s="4">
        <f t="shared" si="57"/>
        <v>19955.400000000001</v>
      </c>
      <c r="AA292" s="4">
        <v>16.475751667970201</v>
      </c>
    </row>
    <row r="293" spans="1:27" s="4" customFormat="1" x14ac:dyDescent="0.25">
      <c r="A293" s="75"/>
      <c r="B293" s="27"/>
      <c r="C293" s="6">
        <v>41809</v>
      </c>
      <c r="D293" s="4">
        <v>15.8</v>
      </c>
      <c r="E293" s="4">
        <v>13.2</v>
      </c>
      <c r="F293" s="4">
        <v>19.100000000000001</v>
      </c>
      <c r="G293" s="4">
        <f t="shared" si="51"/>
        <v>2927.8000000000015</v>
      </c>
      <c r="H293" s="4">
        <f t="shared" si="56"/>
        <v>230</v>
      </c>
      <c r="I293" s="36" t="s">
        <v>41</v>
      </c>
      <c r="J293" s="4">
        <v>0</v>
      </c>
      <c r="K293" s="4">
        <f t="shared" si="52"/>
        <v>734.30000000000052</v>
      </c>
      <c r="L293" s="4">
        <v>4.0999999999999996</v>
      </c>
      <c r="M293" s="4">
        <f t="shared" si="53"/>
        <v>512.60000000000014</v>
      </c>
      <c r="N293" s="9">
        <f t="shared" si="50"/>
        <v>-4.0999999999999996</v>
      </c>
      <c r="O293" s="37">
        <v>46.900000000000027</v>
      </c>
      <c r="P293" s="4">
        <v>288</v>
      </c>
      <c r="Q293" s="12">
        <f t="shared" si="46"/>
        <v>0.80263157894736836</v>
      </c>
      <c r="R293" s="10">
        <f t="shared" si="47"/>
        <v>3.2907894736842098</v>
      </c>
      <c r="S293" s="10">
        <f t="shared" si="48"/>
        <v>-3.2907894736842098</v>
      </c>
      <c r="T293" s="10">
        <f t="shared" si="54"/>
        <v>23.656578947368491</v>
      </c>
      <c r="U293" s="4">
        <f>(U292*100)/153.6</f>
        <v>16.735420838100723</v>
      </c>
      <c r="V293" s="4">
        <v>1943.7</v>
      </c>
      <c r="W293" s="4">
        <f t="shared" si="49"/>
        <v>123.01898734177215</v>
      </c>
      <c r="X293" s="4">
        <f t="shared" si="55"/>
        <v>237183.59999999998</v>
      </c>
      <c r="Y293" s="4">
        <f t="shared" si="57"/>
        <v>21899.100000000002</v>
      </c>
      <c r="AA293" s="4">
        <v>16.4813838096435</v>
      </c>
    </row>
    <row r="294" spans="1:27" s="4" customFormat="1" x14ac:dyDescent="0.25">
      <c r="A294" s="75"/>
      <c r="B294" s="27"/>
      <c r="C294" s="6">
        <v>41810</v>
      </c>
      <c r="D294" s="4">
        <v>15</v>
      </c>
      <c r="E294" s="4">
        <v>12.8</v>
      </c>
      <c r="F294" s="4">
        <v>17.399999999999999</v>
      </c>
      <c r="G294" s="4">
        <f t="shared" si="51"/>
        <v>2942.8000000000015</v>
      </c>
      <c r="H294" s="4">
        <f t="shared" si="56"/>
        <v>245</v>
      </c>
      <c r="I294" s="4">
        <v>400.2</v>
      </c>
      <c r="J294" s="4">
        <v>0</v>
      </c>
      <c r="K294" s="4">
        <f t="shared" si="52"/>
        <v>734.30000000000052</v>
      </c>
      <c r="L294" s="4">
        <v>3.8</v>
      </c>
      <c r="M294" s="4">
        <f t="shared" si="53"/>
        <v>516.40000000000009</v>
      </c>
      <c r="N294" s="9">
        <f t="shared" si="50"/>
        <v>-3.8</v>
      </c>
      <c r="O294" s="37">
        <v>43.10000000000003</v>
      </c>
      <c r="P294" s="4">
        <v>289</v>
      </c>
      <c r="Q294" s="12">
        <f t="shared" si="46"/>
        <v>0.79210526315789465</v>
      </c>
      <c r="R294" s="10">
        <f t="shared" si="47"/>
        <v>3.0099999999999993</v>
      </c>
      <c r="S294" s="10">
        <f t="shared" si="48"/>
        <v>-3.0099999999999993</v>
      </c>
      <c r="T294" s="10">
        <f t="shared" si="54"/>
        <v>20.646578947368493</v>
      </c>
      <c r="V294" s="4">
        <v>1841.9</v>
      </c>
      <c r="W294" s="4">
        <f t="shared" si="49"/>
        <v>122.79333333333334</v>
      </c>
      <c r="X294" s="4">
        <f t="shared" si="55"/>
        <v>239025.49999999997</v>
      </c>
      <c r="Y294" s="4">
        <f t="shared" si="57"/>
        <v>23741.000000000004</v>
      </c>
      <c r="AA294" s="4">
        <v>16.485410591554601</v>
      </c>
    </row>
    <row r="295" spans="1:27" s="4" customFormat="1" x14ac:dyDescent="0.25">
      <c r="A295" s="75"/>
      <c r="B295" s="27"/>
      <c r="C295" s="6">
        <v>41811</v>
      </c>
      <c r="D295" s="4">
        <v>17</v>
      </c>
      <c r="E295" s="4">
        <v>10.6</v>
      </c>
      <c r="F295" s="4">
        <v>21.6</v>
      </c>
      <c r="G295" s="4">
        <f t="shared" si="51"/>
        <v>2959.8000000000015</v>
      </c>
      <c r="H295" s="4">
        <f t="shared" si="56"/>
        <v>262</v>
      </c>
      <c r="J295" s="4">
        <v>0</v>
      </c>
      <c r="K295" s="4">
        <f t="shared" si="52"/>
        <v>734.30000000000052</v>
      </c>
      <c r="L295" s="4">
        <v>4.5</v>
      </c>
      <c r="M295" s="4">
        <f t="shared" si="53"/>
        <v>520.90000000000009</v>
      </c>
      <c r="N295" s="9">
        <f t="shared" si="50"/>
        <v>-4.5</v>
      </c>
      <c r="O295" s="37">
        <v>38.60000000000003</v>
      </c>
      <c r="P295" s="4">
        <v>290</v>
      </c>
      <c r="Q295" s="12">
        <f t="shared" si="46"/>
        <v>0.78157894736842093</v>
      </c>
      <c r="R295" s="10">
        <f t="shared" si="47"/>
        <v>3.5171052631578941</v>
      </c>
      <c r="S295" s="10">
        <f t="shared" si="48"/>
        <v>-3.5171052631578941</v>
      </c>
      <c r="T295" s="10">
        <f t="shared" si="54"/>
        <v>17.129473684210598</v>
      </c>
      <c r="V295" s="4">
        <v>2749.1</v>
      </c>
      <c r="W295" s="4">
        <f t="shared" si="49"/>
        <v>161.71176470588236</v>
      </c>
      <c r="X295" s="4">
        <f t="shared" si="55"/>
        <v>241774.59999999998</v>
      </c>
      <c r="Y295" s="4">
        <f t="shared" si="57"/>
        <v>26490.100000000002</v>
      </c>
      <c r="AA295" s="4">
        <v>16.4878280438807</v>
      </c>
    </row>
    <row r="296" spans="1:27" s="4" customFormat="1" x14ac:dyDescent="0.25">
      <c r="A296" s="75"/>
      <c r="B296" s="27"/>
      <c r="C296" s="6">
        <v>41812</v>
      </c>
      <c r="D296" s="4">
        <v>18.2</v>
      </c>
      <c r="E296" s="4">
        <v>14</v>
      </c>
      <c r="F296" s="4">
        <v>22.3</v>
      </c>
      <c r="G296" s="4">
        <f t="shared" si="51"/>
        <v>2978.0000000000014</v>
      </c>
      <c r="H296" s="4">
        <f t="shared" si="56"/>
        <v>280.2</v>
      </c>
      <c r="J296" s="4">
        <v>0</v>
      </c>
      <c r="K296" s="4">
        <f t="shared" si="52"/>
        <v>734.30000000000052</v>
      </c>
      <c r="L296" s="4">
        <v>4.9000000000000004</v>
      </c>
      <c r="M296" s="4">
        <f t="shared" si="53"/>
        <v>525.80000000000007</v>
      </c>
      <c r="N296" s="9">
        <f t="shared" si="50"/>
        <v>-4.9000000000000004</v>
      </c>
      <c r="O296" s="37">
        <v>33.700000000000031</v>
      </c>
      <c r="P296" s="4">
        <v>291</v>
      </c>
      <c r="Q296" s="12">
        <f t="shared" si="46"/>
        <v>0.77105263157894732</v>
      </c>
      <c r="R296" s="10">
        <f t="shared" si="47"/>
        <v>3.7781578947368422</v>
      </c>
      <c r="S296" s="10">
        <f t="shared" si="48"/>
        <v>-3.7781578947368422</v>
      </c>
      <c r="T296" s="10">
        <f t="shared" si="54"/>
        <v>13.351315789473755</v>
      </c>
      <c r="V296" s="4">
        <v>2420.6</v>
      </c>
      <c r="W296" s="4">
        <f t="shared" si="49"/>
        <v>133</v>
      </c>
      <c r="X296" s="4">
        <f t="shared" si="55"/>
        <v>244195.19999999998</v>
      </c>
      <c r="Y296" s="4">
        <f t="shared" si="57"/>
        <v>28910.7</v>
      </c>
      <c r="AA296" s="4">
        <v>16.488634017258001</v>
      </c>
    </row>
    <row r="297" spans="1:27" s="23" customFormat="1" x14ac:dyDescent="0.25">
      <c r="A297" s="75"/>
      <c r="B297" s="34"/>
      <c r="C297" s="6">
        <v>41813</v>
      </c>
      <c r="D297" s="23">
        <v>18.100000000000001</v>
      </c>
      <c r="E297" s="23">
        <v>14.7</v>
      </c>
      <c r="F297" s="23">
        <v>21.6</v>
      </c>
      <c r="G297" s="23">
        <f t="shared" si="51"/>
        <v>2996.1000000000013</v>
      </c>
      <c r="H297" s="23">
        <f t="shared" si="56"/>
        <v>298.3</v>
      </c>
      <c r="J297" s="23">
        <v>0</v>
      </c>
      <c r="K297" s="23">
        <f t="shared" si="52"/>
        <v>734.30000000000052</v>
      </c>
      <c r="L297" s="23">
        <v>5.3</v>
      </c>
      <c r="M297" s="23">
        <f t="shared" si="53"/>
        <v>531.1</v>
      </c>
      <c r="N297" s="23">
        <f t="shared" si="50"/>
        <v>-5.3</v>
      </c>
      <c r="O297" s="23">
        <v>28.400000000000031</v>
      </c>
      <c r="P297" s="23">
        <v>292</v>
      </c>
      <c r="Q297" s="12">
        <f t="shared" si="46"/>
        <v>0.76052631578947361</v>
      </c>
      <c r="R297" s="25">
        <f t="shared" si="47"/>
        <v>4.0307894736842096</v>
      </c>
      <c r="S297" s="25">
        <f t="shared" si="48"/>
        <v>-4.0307894736842096</v>
      </c>
      <c r="T297" s="10">
        <f t="shared" si="54"/>
        <v>9.3205263157895466</v>
      </c>
      <c r="V297" s="23">
        <v>2756.5</v>
      </c>
      <c r="W297" s="23">
        <f t="shared" si="49"/>
        <v>152.292817679558</v>
      </c>
      <c r="X297" s="23">
        <f t="shared" si="55"/>
        <v>246951.69999999998</v>
      </c>
      <c r="Y297" s="4">
        <f t="shared" si="57"/>
        <v>31667.200000000001</v>
      </c>
      <c r="AA297" s="4">
        <v>16.4878281920837</v>
      </c>
    </row>
    <row r="298" spans="1:27" s="4" customFormat="1" ht="15" customHeight="1" x14ac:dyDescent="0.25">
      <c r="A298" s="75"/>
      <c r="B298" s="38"/>
      <c r="C298" s="6">
        <v>41814</v>
      </c>
      <c r="D298" s="4">
        <v>19.2</v>
      </c>
      <c r="E298" s="4">
        <v>14.7</v>
      </c>
      <c r="F298" s="4">
        <v>23.6</v>
      </c>
      <c r="G298" s="4">
        <f t="shared" si="51"/>
        <v>3015.3000000000011</v>
      </c>
      <c r="H298" s="4">
        <f t="shared" si="56"/>
        <v>317.5</v>
      </c>
      <c r="J298" s="4">
        <v>0</v>
      </c>
      <c r="K298" s="4">
        <f t="shared" si="52"/>
        <v>734.30000000000052</v>
      </c>
      <c r="L298" s="4">
        <v>4.8</v>
      </c>
      <c r="M298" s="4">
        <f t="shared" si="53"/>
        <v>535.9</v>
      </c>
      <c r="N298" s="9">
        <f t="shared" si="50"/>
        <v>-4.8</v>
      </c>
      <c r="O298" s="37">
        <v>23.60000000000003</v>
      </c>
      <c r="P298" s="4">
        <v>293</v>
      </c>
      <c r="Q298" s="12">
        <f t="shared" si="46"/>
        <v>0.75</v>
      </c>
      <c r="R298" s="10">
        <f t="shared" si="47"/>
        <v>3.5999999999999996</v>
      </c>
      <c r="S298" s="10">
        <f t="shared" si="48"/>
        <v>-3.5999999999999996</v>
      </c>
      <c r="T298" s="10">
        <f t="shared" si="54"/>
        <v>5.720526315789547</v>
      </c>
      <c r="V298" s="4">
        <v>2248.6999999999998</v>
      </c>
      <c r="W298" s="4">
        <f t="shared" si="49"/>
        <v>117.11979166666666</v>
      </c>
      <c r="X298" s="4">
        <f t="shared" si="55"/>
        <v>249200.4</v>
      </c>
      <c r="Y298" s="4">
        <f t="shared" si="57"/>
        <v>33915.9</v>
      </c>
      <c r="AA298" s="4">
        <v>16.4854120799234</v>
      </c>
    </row>
    <row r="299" spans="1:27" s="4" customFormat="1" x14ac:dyDescent="0.25">
      <c r="A299" s="75"/>
      <c r="B299" s="38"/>
      <c r="C299" s="6">
        <v>41815</v>
      </c>
      <c r="D299" s="4">
        <v>16.3</v>
      </c>
      <c r="E299" s="4">
        <v>14.5</v>
      </c>
      <c r="F299" s="4">
        <v>18.3</v>
      </c>
      <c r="G299" s="4">
        <f t="shared" si="51"/>
        <v>3031.6000000000013</v>
      </c>
      <c r="H299" s="4">
        <f t="shared" si="56"/>
        <v>333.8</v>
      </c>
      <c r="J299" s="4">
        <v>0</v>
      </c>
      <c r="K299" s="4">
        <f t="shared" si="52"/>
        <v>734.30000000000052</v>
      </c>
      <c r="L299" s="4">
        <v>5</v>
      </c>
      <c r="M299" s="4">
        <f t="shared" si="53"/>
        <v>540.9</v>
      </c>
      <c r="N299" s="9">
        <f t="shared" si="50"/>
        <v>-5</v>
      </c>
      <c r="O299" s="37">
        <v>18.60000000000003</v>
      </c>
      <c r="P299" s="4">
        <v>294</v>
      </c>
      <c r="Q299" s="12">
        <f t="shared" si="46"/>
        <v>0.73947368421052628</v>
      </c>
      <c r="R299" s="10">
        <f t="shared" si="47"/>
        <v>3.6973684210526314</v>
      </c>
      <c r="S299" s="10">
        <f t="shared" si="48"/>
        <v>-3.6973684210526314</v>
      </c>
      <c r="T299" s="10">
        <f t="shared" si="54"/>
        <v>2.0231578947369155</v>
      </c>
      <c r="V299" s="4">
        <v>2312.1</v>
      </c>
      <c r="W299" s="4">
        <f t="shared" si="49"/>
        <v>141.84662576687114</v>
      </c>
      <c r="X299" s="4">
        <f t="shared" si="55"/>
        <v>251512.5</v>
      </c>
      <c r="Y299" s="4">
        <f t="shared" si="57"/>
        <v>36228</v>
      </c>
      <c r="AA299" s="4">
        <v>16.481389017008599</v>
      </c>
    </row>
    <row r="300" spans="1:27" s="4" customFormat="1" x14ac:dyDescent="0.25">
      <c r="A300" s="75"/>
      <c r="B300" s="38"/>
      <c r="C300" s="6">
        <v>41816</v>
      </c>
      <c r="D300" s="4">
        <v>18</v>
      </c>
      <c r="E300" s="4">
        <v>13.1</v>
      </c>
      <c r="F300" s="4">
        <v>21.5</v>
      </c>
      <c r="G300" s="4">
        <f t="shared" si="51"/>
        <v>3049.6000000000013</v>
      </c>
      <c r="H300" s="4">
        <f t="shared" si="56"/>
        <v>351.8</v>
      </c>
      <c r="J300" s="4">
        <v>0</v>
      </c>
      <c r="K300" s="4">
        <f t="shared" si="52"/>
        <v>734.30000000000052</v>
      </c>
      <c r="L300" s="4">
        <v>3.7</v>
      </c>
      <c r="M300" s="4">
        <f t="shared" si="53"/>
        <v>544.6</v>
      </c>
      <c r="N300" s="9">
        <f t="shared" si="50"/>
        <v>-3.7</v>
      </c>
      <c r="O300" s="37">
        <v>14.900000000000031</v>
      </c>
      <c r="P300" s="4">
        <v>295</v>
      </c>
      <c r="Q300" s="12">
        <f t="shared" si="46"/>
        <v>0.72894736842105257</v>
      </c>
      <c r="R300" s="10">
        <f t="shared" si="47"/>
        <v>2.6971052631578947</v>
      </c>
      <c r="S300" s="10">
        <f t="shared" si="48"/>
        <v>-2.6971052631578947</v>
      </c>
      <c r="T300" s="10">
        <v>0</v>
      </c>
      <c r="V300" s="4">
        <v>2018.3</v>
      </c>
      <c r="W300" s="4">
        <f t="shared" si="49"/>
        <v>112.12777777777778</v>
      </c>
      <c r="X300" s="4">
        <f t="shared" si="55"/>
        <v>253530.8</v>
      </c>
      <c r="Y300" s="4">
        <f t="shared" si="57"/>
        <v>38246.300000000003</v>
      </c>
      <c r="AA300" s="4">
        <v>16.475764149885499</v>
      </c>
    </row>
    <row r="301" spans="1:27" s="4" customFormat="1" x14ac:dyDescent="0.25">
      <c r="A301" s="75"/>
      <c r="B301" s="38"/>
      <c r="C301" s="6">
        <v>41817</v>
      </c>
      <c r="D301" s="4">
        <v>17.600000000000001</v>
      </c>
      <c r="E301" s="4">
        <v>16.7</v>
      </c>
      <c r="F301" s="4">
        <v>20.7</v>
      </c>
      <c r="G301" s="4">
        <f t="shared" si="51"/>
        <v>3067.2000000000012</v>
      </c>
      <c r="H301" s="4">
        <f t="shared" si="56"/>
        <v>369.40000000000003</v>
      </c>
      <c r="J301" s="4">
        <v>8.3000000000000007</v>
      </c>
      <c r="K301" s="4">
        <f t="shared" si="52"/>
        <v>742.60000000000048</v>
      </c>
      <c r="L301" s="4">
        <v>2.9</v>
      </c>
      <c r="M301" s="4">
        <f t="shared" si="53"/>
        <v>547.5</v>
      </c>
      <c r="N301" s="4">
        <f t="shared" si="50"/>
        <v>5.4</v>
      </c>
      <c r="O301" s="37">
        <v>20.300000000000033</v>
      </c>
      <c r="P301" s="4">
        <v>296</v>
      </c>
      <c r="Q301" s="12">
        <f t="shared" si="46"/>
        <v>0.71842105263157885</v>
      </c>
      <c r="R301" s="10">
        <f t="shared" si="47"/>
        <v>2.0834210526315786</v>
      </c>
      <c r="S301" s="10">
        <f t="shared" si="48"/>
        <v>6.2165789473684221</v>
      </c>
      <c r="T301" s="10">
        <f t="shared" si="54"/>
        <v>6.2165789473684221</v>
      </c>
      <c r="V301" s="4">
        <v>1188.4000000000001</v>
      </c>
      <c r="W301" s="4">
        <f t="shared" si="49"/>
        <v>67.522727272727266</v>
      </c>
      <c r="X301" s="4">
        <f t="shared" si="55"/>
        <v>254719.19999999998</v>
      </c>
      <c r="Y301" s="4">
        <f t="shared" si="57"/>
        <v>39434.700000000004</v>
      </c>
      <c r="AA301" s="4">
        <v>16.468544413345001</v>
      </c>
    </row>
    <row r="302" spans="1:27" s="4" customFormat="1" x14ac:dyDescent="0.25">
      <c r="A302" s="75"/>
      <c r="B302" s="38"/>
      <c r="C302" s="6">
        <v>41818</v>
      </c>
      <c r="D302" s="4">
        <v>16.100000000000001</v>
      </c>
      <c r="E302" s="4">
        <v>14.5</v>
      </c>
      <c r="F302" s="4">
        <v>19.8</v>
      </c>
      <c r="G302" s="4">
        <f t="shared" si="51"/>
        <v>3083.3000000000011</v>
      </c>
      <c r="H302" s="4">
        <f t="shared" si="56"/>
        <v>385.50000000000006</v>
      </c>
      <c r="J302" s="4">
        <v>5.2</v>
      </c>
      <c r="K302" s="4">
        <f t="shared" si="52"/>
        <v>747.80000000000052</v>
      </c>
      <c r="L302" s="4">
        <v>2</v>
      </c>
      <c r="M302" s="4">
        <f t="shared" si="53"/>
        <v>549.5</v>
      </c>
      <c r="N302" s="4">
        <f t="shared" si="50"/>
        <v>3.2</v>
      </c>
      <c r="O302" s="37">
        <v>23.500000000000032</v>
      </c>
      <c r="P302" s="4">
        <v>297</v>
      </c>
      <c r="Q302" s="12">
        <f t="shared" si="46"/>
        <v>0.70789473684210513</v>
      </c>
      <c r="R302" s="10">
        <f t="shared" si="47"/>
        <v>1.4157894736842103</v>
      </c>
      <c r="S302" s="10">
        <f t="shared" si="48"/>
        <v>3.7842105263157899</v>
      </c>
      <c r="T302" s="10">
        <f t="shared" si="54"/>
        <v>10.000789473684211</v>
      </c>
      <c r="V302" s="11">
        <v>878.4</v>
      </c>
      <c r="W302" s="4">
        <f t="shared" si="49"/>
        <v>54.559006211180119</v>
      </c>
      <c r="X302" s="4">
        <f t="shared" si="55"/>
        <v>255597.59999999998</v>
      </c>
      <c r="Y302" s="4">
        <f t="shared" si="57"/>
        <v>40313.100000000006</v>
      </c>
      <c r="AA302" s="4">
        <v>16.459738500835499</v>
      </c>
    </row>
    <row r="303" spans="1:27" s="49" customFormat="1" ht="15.75" thickBot="1" x14ac:dyDescent="0.3">
      <c r="A303" s="75"/>
      <c r="B303" s="47">
        <v>1000</v>
      </c>
      <c r="C303" s="48">
        <v>41819</v>
      </c>
      <c r="D303" s="49">
        <v>14.7</v>
      </c>
      <c r="E303" s="49">
        <v>13.3</v>
      </c>
      <c r="F303" s="49">
        <v>17.2</v>
      </c>
      <c r="G303" s="49">
        <f t="shared" si="51"/>
        <v>3098.0000000000009</v>
      </c>
      <c r="H303" s="49">
        <f t="shared" si="56"/>
        <v>400.20000000000005</v>
      </c>
      <c r="J303" s="49">
        <v>3.2</v>
      </c>
      <c r="K303" s="49">
        <f t="shared" si="52"/>
        <v>751.00000000000057</v>
      </c>
      <c r="L303" s="49">
        <v>2.2999999999999998</v>
      </c>
      <c r="M303" s="49">
        <f t="shared" si="53"/>
        <v>551.79999999999995</v>
      </c>
      <c r="N303" s="49">
        <f t="shared" si="50"/>
        <v>0.90000000000000036</v>
      </c>
      <c r="O303" s="50">
        <v>24.400000000000034</v>
      </c>
      <c r="P303" s="49">
        <v>298</v>
      </c>
      <c r="Q303" s="51">
        <f t="shared" si="46"/>
        <v>0.69736842105263153</v>
      </c>
      <c r="R303" s="52">
        <f t="shared" si="47"/>
        <v>1.6039473684210523</v>
      </c>
      <c r="S303" s="52">
        <f t="shared" si="48"/>
        <v>1.5960526315789478</v>
      </c>
      <c r="T303" s="53">
        <f t="shared" si="54"/>
        <v>11.596842105263159</v>
      </c>
      <c r="V303" s="49">
        <v>1060.7</v>
      </c>
      <c r="W303" s="49">
        <f t="shared" si="49"/>
        <v>72.156462585034021</v>
      </c>
      <c r="X303" s="49">
        <f t="shared" si="55"/>
        <v>256658.3</v>
      </c>
      <c r="Y303" s="54">
        <f>Y302+V303</f>
        <v>41373.800000000003</v>
      </c>
      <c r="AA303" s="54">
        <v>16.449356827625301</v>
      </c>
    </row>
    <row r="304" spans="1:27" s="4" customFormat="1" x14ac:dyDescent="0.25">
      <c r="A304" s="39"/>
      <c r="B304" s="38"/>
      <c r="C304" s="6">
        <v>41820</v>
      </c>
      <c r="D304" s="4">
        <v>15.5</v>
      </c>
      <c r="E304" s="4">
        <v>11.1</v>
      </c>
      <c r="F304" s="4">
        <v>18.7</v>
      </c>
      <c r="G304" s="4">
        <f t="shared" si="51"/>
        <v>3113.5000000000009</v>
      </c>
      <c r="H304" s="4">
        <f t="shared" si="56"/>
        <v>415.70000000000005</v>
      </c>
      <c r="J304" s="4">
        <v>1</v>
      </c>
      <c r="K304" s="4">
        <f t="shared" si="52"/>
        <v>752.00000000000057</v>
      </c>
      <c r="L304" s="4">
        <v>2.5</v>
      </c>
      <c r="M304" s="4">
        <f t="shared" si="53"/>
        <v>554.29999999999995</v>
      </c>
      <c r="N304" s="9">
        <f t="shared" si="50"/>
        <v>-1.5</v>
      </c>
      <c r="O304" s="37">
        <v>22.900000000000034</v>
      </c>
      <c r="P304" s="4">
        <v>299</v>
      </c>
      <c r="Q304" s="12">
        <f t="shared" si="46"/>
        <v>0.68684210526315781</v>
      </c>
      <c r="R304" s="10">
        <f t="shared" si="47"/>
        <v>1.7171052631578945</v>
      </c>
      <c r="S304" s="10">
        <f t="shared" si="48"/>
        <v>-0.71710526315789447</v>
      </c>
      <c r="T304" s="10">
        <f t="shared" si="54"/>
        <v>10.879736842105265</v>
      </c>
      <c r="V304" s="4">
        <v>1285.0999999999999</v>
      </c>
      <c r="W304" s="4">
        <f t="shared" si="49"/>
        <v>82.909677419354836</v>
      </c>
      <c r="X304" s="4">
        <f t="shared" si="55"/>
        <v>257943.4</v>
      </c>
      <c r="Y304" s="4">
        <f t="shared" si="57"/>
        <v>42658.9</v>
      </c>
      <c r="AA304" s="4">
        <v>16.4374114870458</v>
      </c>
    </row>
    <row r="305" spans="1:27" s="4" customFormat="1" x14ac:dyDescent="0.25">
      <c r="A305" s="39"/>
      <c r="B305" s="38"/>
      <c r="C305" s="6">
        <v>41821</v>
      </c>
      <c r="D305" s="4">
        <v>16.100000000000001</v>
      </c>
      <c r="E305" s="4">
        <v>12.9</v>
      </c>
      <c r="F305" s="4">
        <v>19.399999999999999</v>
      </c>
      <c r="G305" s="4">
        <f t="shared" si="51"/>
        <v>3129.6000000000008</v>
      </c>
      <c r="H305" s="4">
        <f t="shared" si="56"/>
        <v>431.80000000000007</v>
      </c>
      <c r="J305" s="4">
        <v>0</v>
      </c>
      <c r="K305" s="4">
        <f t="shared" si="52"/>
        <v>752.00000000000057</v>
      </c>
      <c r="L305" s="4">
        <v>4.9000000000000004</v>
      </c>
      <c r="M305" s="4">
        <f t="shared" si="53"/>
        <v>559.19999999999993</v>
      </c>
      <c r="N305" s="9">
        <f t="shared" si="50"/>
        <v>-4.9000000000000004</v>
      </c>
      <c r="O305" s="37">
        <v>18.000000000000036</v>
      </c>
      <c r="P305" s="4">
        <v>300</v>
      </c>
      <c r="Q305" s="12">
        <f t="shared" si="46"/>
        <v>0.6763157894736842</v>
      </c>
      <c r="R305" s="10">
        <f t="shared" si="47"/>
        <v>3.313947368421053</v>
      </c>
      <c r="S305" s="10">
        <f t="shared" si="48"/>
        <v>-3.313947368421053</v>
      </c>
      <c r="T305" s="10">
        <f t="shared" si="54"/>
        <v>7.5657894736842124</v>
      </c>
      <c r="V305" s="4">
        <v>2708.2</v>
      </c>
      <c r="W305" s="4">
        <f t="shared" si="49"/>
        <v>168.21118012422357</v>
      </c>
      <c r="X305" s="4">
        <f t="shared" si="55"/>
        <v>260651.6</v>
      </c>
      <c r="Y305" s="4">
        <f t="shared" si="57"/>
        <v>45367.1</v>
      </c>
      <c r="AA305" s="4">
        <v>16.4239162002015</v>
      </c>
    </row>
    <row r="306" spans="1:27" s="4" customFormat="1" x14ac:dyDescent="0.25">
      <c r="A306" s="39"/>
      <c r="B306" s="38"/>
      <c r="C306" s="6">
        <v>41822</v>
      </c>
      <c r="D306" s="4">
        <v>17.2</v>
      </c>
      <c r="E306" s="4">
        <v>12</v>
      </c>
      <c r="F306" s="4">
        <v>21.2</v>
      </c>
      <c r="G306" s="4">
        <f t="shared" si="51"/>
        <v>3146.8000000000006</v>
      </c>
      <c r="H306" s="4">
        <f t="shared" si="56"/>
        <v>449.00000000000006</v>
      </c>
      <c r="J306" s="4">
        <v>0</v>
      </c>
      <c r="K306" s="4">
        <f t="shared" si="52"/>
        <v>752.00000000000057</v>
      </c>
      <c r="L306" s="4">
        <v>5.0999999999999996</v>
      </c>
      <c r="M306" s="4">
        <f t="shared" si="53"/>
        <v>564.29999999999995</v>
      </c>
      <c r="N306" s="9">
        <f t="shared" si="50"/>
        <v>-5.0999999999999996</v>
      </c>
      <c r="O306" s="37">
        <v>12.900000000000036</v>
      </c>
      <c r="P306" s="4">
        <v>301</v>
      </c>
      <c r="Q306" s="12">
        <f t="shared" si="46"/>
        <v>0.66578947368421049</v>
      </c>
      <c r="R306" s="10">
        <f t="shared" si="47"/>
        <v>3.3955263157894731</v>
      </c>
      <c r="S306" s="10">
        <f t="shared" si="48"/>
        <v>-3.3955263157894731</v>
      </c>
      <c r="T306" s="10">
        <f t="shared" si="54"/>
        <v>4.1702631578947393</v>
      </c>
      <c r="V306" s="4">
        <v>2948.5</v>
      </c>
      <c r="W306" s="4">
        <f t="shared" si="49"/>
        <v>171.42441860465118</v>
      </c>
      <c r="X306" s="4">
        <f t="shared" si="55"/>
        <v>263600.09999999998</v>
      </c>
      <c r="Y306" s="4">
        <f t="shared" si="57"/>
        <v>48315.6</v>
      </c>
      <c r="AA306" s="4">
        <v>16.408886259585</v>
      </c>
    </row>
    <row r="307" spans="1:27" s="4" customFormat="1" x14ac:dyDescent="0.25">
      <c r="A307" s="39"/>
      <c r="B307" s="38"/>
      <c r="C307" s="6">
        <v>41823</v>
      </c>
      <c r="D307" s="4">
        <v>20.5</v>
      </c>
      <c r="E307" s="4">
        <v>14.4</v>
      </c>
      <c r="F307" s="4">
        <v>25.8</v>
      </c>
      <c r="G307" s="4">
        <f t="shared" si="51"/>
        <v>3167.3000000000006</v>
      </c>
      <c r="H307" s="4">
        <f t="shared" si="56"/>
        <v>469.50000000000006</v>
      </c>
      <c r="J307" s="4">
        <v>0</v>
      </c>
      <c r="K307" s="4">
        <f t="shared" si="52"/>
        <v>752.00000000000057</v>
      </c>
      <c r="L307" s="4">
        <v>5.7</v>
      </c>
      <c r="M307" s="4">
        <f t="shared" si="53"/>
        <v>570</v>
      </c>
      <c r="N307" s="9">
        <f t="shared" si="50"/>
        <v>-5.7</v>
      </c>
      <c r="O307" s="37">
        <v>7.2000000000000357</v>
      </c>
      <c r="P307" s="4">
        <v>302</v>
      </c>
      <c r="Q307" s="12">
        <f t="shared" si="46"/>
        <v>0.65526315789473677</v>
      </c>
      <c r="R307" s="10">
        <f t="shared" si="47"/>
        <v>3.7349999999999999</v>
      </c>
      <c r="S307" s="10">
        <f t="shared" si="48"/>
        <v>-3.7349999999999999</v>
      </c>
      <c r="T307" s="10">
        <f t="shared" si="54"/>
        <v>0.43526315789473946</v>
      </c>
      <c r="V307" s="4">
        <v>2834.9</v>
      </c>
      <c r="W307" s="4">
        <f t="shared" si="49"/>
        <v>138.28780487804877</v>
      </c>
      <c r="X307" s="4">
        <f t="shared" si="55"/>
        <v>266435</v>
      </c>
      <c r="Y307" s="4">
        <f t="shared" si="57"/>
        <v>51150.5</v>
      </c>
      <c r="AA307" s="4">
        <v>16.392338467081402</v>
      </c>
    </row>
    <row r="308" spans="1:27" s="4" customFormat="1" x14ac:dyDescent="0.25">
      <c r="A308" s="39"/>
      <c r="B308" s="38"/>
      <c r="C308" s="6">
        <v>41824</v>
      </c>
      <c r="D308" s="4">
        <v>20.8</v>
      </c>
      <c r="E308" s="4">
        <v>16</v>
      </c>
      <c r="F308" s="4">
        <v>24</v>
      </c>
      <c r="G308" s="4">
        <f t="shared" si="51"/>
        <v>3188.1000000000008</v>
      </c>
      <c r="H308" s="4">
        <f t="shared" si="56"/>
        <v>490.30000000000007</v>
      </c>
      <c r="J308" s="4">
        <v>1.6</v>
      </c>
      <c r="K308" s="4">
        <f t="shared" si="52"/>
        <v>753.60000000000059</v>
      </c>
      <c r="L308" s="4">
        <v>2.6</v>
      </c>
      <c r="M308" s="4">
        <f t="shared" si="53"/>
        <v>572.6</v>
      </c>
      <c r="N308" s="9">
        <f t="shared" si="50"/>
        <v>-1</v>
      </c>
      <c r="O308" s="37">
        <v>6.2000000000000357</v>
      </c>
      <c r="P308" s="4">
        <v>303</v>
      </c>
      <c r="Q308" s="12">
        <f t="shared" si="46"/>
        <v>0.64473684210526316</v>
      </c>
      <c r="R308" s="10">
        <f t="shared" si="47"/>
        <v>1.6763157894736842</v>
      </c>
      <c r="S308" s="10">
        <f t="shared" si="48"/>
        <v>-7.6315789473684115E-2</v>
      </c>
      <c r="T308" s="10">
        <f t="shared" si="54"/>
        <v>0.35894736842105535</v>
      </c>
      <c r="V308" s="4">
        <v>1270.5999999999999</v>
      </c>
      <c r="W308" s="4">
        <f t="shared" si="49"/>
        <v>61.086538461538453</v>
      </c>
      <c r="X308" s="4">
        <f t="shared" si="55"/>
        <v>267705.59999999998</v>
      </c>
      <c r="Y308" s="4">
        <f t="shared" si="57"/>
        <v>52421.1</v>
      </c>
      <c r="AA308" s="4">
        <v>16.374291066880701</v>
      </c>
    </row>
    <row r="309" spans="1:27" s="4" customFormat="1" x14ac:dyDescent="0.25">
      <c r="A309" s="39"/>
      <c r="B309" s="38"/>
      <c r="C309" s="6">
        <v>41825</v>
      </c>
      <c r="D309" s="4">
        <v>18.5</v>
      </c>
      <c r="E309" s="4">
        <v>17.2</v>
      </c>
      <c r="F309" s="4">
        <v>19.7</v>
      </c>
      <c r="G309" s="4">
        <f t="shared" si="51"/>
        <v>3206.6000000000008</v>
      </c>
      <c r="H309" s="4">
        <f t="shared" si="56"/>
        <v>508.80000000000007</v>
      </c>
      <c r="J309" s="4">
        <v>4.7</v>
      </c>
      <c r="K309" s="4">
        <f t="shared" si="52"/>
        <v>758.30000000000064</v>
      </c>
      <c r="L309" s="4">
        <v>1.3</v>
      </c>
      <c r="M309" s="4">
        <f t="shared" si="53"/>
        <v>573.9</v>
      </c>
      <c r="N309" s="4">
        <f t="shared" si="50"/>
        <v>3.4000000000000004</v>
      </c>
      <c r="O309" s="37">
        <v>9.6000000000000369</v>
      </c>
      <c r="P309" s="4">
        <v>304</v>
      </c>
      <c r="Q309" s="12">
        <f t="shared" si="46"/>
        <v>0.63421052631578945</v>
      </c>
      <c r="R309" s="10">
        <f t="shared" si="47"/>
        <v>0.82447368421052636</v>
      </c>
      <c r="S309" s="10">
        <f t="shared" si="48"/>
        <v>3.8755263157894739</v>
      </c>
      <c r="T309" s="10">
        <f t="shared" si="54"/>
        <v>4.2344736842105295</v>
      </c>
      <c r="V309" s="4">
        <v>471</v>
      </c>
      <c r="W309" s="4">
        <f t="shared" si="49"/>
        <v>25.45945945945946</v>
      </c>
      <c r="X309" s="4">
        <f t="shared" si="55"/>
        <v>268176.59999999998</v>
      </c>
      <c r="Y309" s="4">
        <f t="shared" si="57"/>
        <v>52892.1</v>
      </c>
      <c r="AA309" s="4">
        <v>16.3547636738504</v>
      </c>
    </row>
    <row r="310" spans="1:27" s="4" customFormat="1" x14ac:dyDescent="0.25">
      <c r="A310" s="39"/>
      <c r="B310" s="38"/>
      <c r="C310" s="6">
        <v>41826</v>
      </c>
      <c r="D310" s="4">
        <v>16.600000000000001</v>
      </c>
      <c r="E310" s="4">
        <v>16.399999999999999</v>
      </c>
      <c r="F310" s="4">
        <v>18</v>
      </c>
      <c r="G310" s="4">
        <f t="shared" si="51"/>
        <v>3223.2000000000007</v>
      </c>
      <c r="H310" s="4">
        <f t="shared" si="56"/>
        <v>525.40000000000009</v>
      </c>
      <c r="J310" s="4">
        <v>12.5</v>
      </c>
      <c r="K310" s="4">
        <f t="shared" si="52"/>
        <v>770.80000000000064</v>
      </c>
      <c r="L310" s="4">
        <v>1.7</v>
      </c>
      <c r="M310" s="4">
        <f t="shared" si="53"/>
        <v>575.6</v>
      </c>
      <c r="N310" s="4">
        <f t="shared" si="50"/>
        <v>10.8</v>
      </c>
      <c r="O310" s="37">
        <v>20.400000000000038</v>
      </c>
      <c r="P310" s="4">
        <v>305</v>
      </c>
      <c r="Q310" s="12">
        <f t="shared" si="46"/>
        <v>0.62368421052631573</v>
      </c>
      <c r="R310" s="10">
        <f t="shared" si="47"/>
        <v>1.0602631578947368</v>
      </c>
      <c r="S310" s="10">
        <f t="shared" si="48"/>
        <v>11.439736842105264</v>
      </c>
      <c r="T310" s="10">
        <f t="shared" si="54"/>
        <v>15.674210526315793</v>
      </c>
      <c r="V310" s="4">
        <v>667.6</v>
      </c>
      <c r="W310" s="4">
        <f t="shared" si="49"/>
        <v>40.216867469879517</v>
      </c>
      <c r="X310" s="4">
        <f t="shared" si="55"/>
        <v>268844.19999999995</v>
      </c>
      <c r="Y310" s="4">
        <f t="shared" si="57"/>
        <v>53559.7</v>
      </c>
      <c r="AA310" s="4">
        <v>16.333777197940002</v>
      </c>
    </row>
    <row r="311" spans="1:27" s="4" customFormat="1" x14ac:dyDescent="0.25">
      <c r="A311" s="39"/>
      <c r="B311" s="38"/>
      <c r="C311" s="6">
        <v>41827</v>
      </c>
      <c r="D311" s="4">
        <v>16.899999999999999</v>
      </c>
      <c r="E311" s="4">
        <v>12.1</v>
      </c>
      <c r="F311" s="4">
        <v>20</v>
      </c>
      <c r="G311" s="4">
        <f t="shared" si="51"/>
        <v>3240.1000000000008</v>
      </c>
      <c r="H311" s="4">
        <f t="shared" si="56"/>
        <v>542.30000000000007</v>
      </c>
      <c r="J311" s="4">
        <v>4.9000000000000004</v>
      </c>
      <c r="K311" s="4">
        <f t="shared" si="52"/>
        <v>775.70000000000061</v>
      </c>
      <c r="L311" s="4">
        <v>3</v>
      </c>
      <c r="M311" s="4">
        <f t="shared" si="53"/>
        <v>578.6</v>
      </c>
      <c r="N311" s="4">
        <f t="shared" si="50"/>
        <v>1.9000000000000004</v>
      </c>
      <c r="O311" s="37">
        <v>22.30000000000004</v>
      </c>
      <c r="P311" s="4">
        <v>306</v>
      </c>
      <c r="Q311" s="12">
        <f t="shared" si="46"/>
        <v>0.61315789473684212</v>
      </c>
      <c r="R311" s="10">
        <f t="shared" si="47"/>
        <v>1.8394736842105264</v>
      </c>
      <c r="S311" s="10">
        <f t="shared" si="48"/>
        <v>3.060526315789474</v>
      </c>
      <c r="T311" s="10">
        <f t="shared" si="54"/>
        <v>18.734736842105267</v>
      </c>
      <c r="V311" s="4">
        <v>1949.1</v>
      </c>
      <c r="W311" s="4">
        <f t="shared" si="49"/>
        <v>115.33136094674556</v>
      </c>
      <c r="X311" s="4">
        <f t="shared" si="55"/>
        <v>270793.29999999993</v>
      </c>
      <c r="Y311" s="4">
        <f t="shared" si="57"/>
        <v>55508.799999999996</v>
      </c>
      <c r="AA311" s="4">
        <v>16.311353765206501</v>
      </c>
    </row>
    <row r="312" spans="1:27" s="4" customFormat="1" x14ac:dyDescent="0.25">
      <c r="A312" s="39"/>
      <c r="B312" s="38"/>
      <c r="C312" s="6">
        <v>41828</v>
      </c>
      <c r="D312" s="4">
        <v>16.100000000000001</v>
      </c>
      <c r="E312" s="4">
        <v>14.3</v>
      </c>
      <c r="F312" s="4">
        <v>17.7</v>
      </c>
      <c r="G312" s="4">
        <f t="shared" si="51"/>
        <v>3256.2000000000007</v>
      </c>
      <c r="H312" s="4">
        <f t="shared" si="56"/>
        <v>558.40000000000009</v>
      </c>
      <c r="J312" s="4">
        <v>7.1</v>
      </c>
      <c r="K312" s="4">
        <f t="shared" si="52"/>
        <v>782.80000000000064</v>
      </c>
      <c r="L312" s="4">
        <v>1.1000000000000001</v>
      </c>
      <c r="M312" s="4">
        <f t="shared" si="53"/>
        <v>579.70000000000005</v>
      </c>
      <c r="N312" s="4">
        <f t="shared" si="50"/>
        <v>6</v>
      </c>
      <c r="O312" s="37">
        <v>28.30000000000004</v>
      </c>
      <c r="P312" s="4">
        <v>307</v>
      </c>
      <c r="Q312" s="12">
        <f t="shared" si="46"/>
        <v>0.60263157894736841</v>
      </c>
      <c r="R312" s="10">
        <f t="shared" si="47"/>
        <v>0.66289473684210531</v>
      </c>
      <c r="S312" s="10">
        <f t="shared" si="48"/>
        <v>6.4371052631578944</v>
      </c>
      <c r="T312" s="10">
        <f t="shared" si="54"/>
        <v>25.17184210526316</v>
      </c>
      <c r="V312" s="4">
        <v>699.6</v>
      </c>
      <c r="W312" s="4">
        <f t="shared" si="49"/>
        <v>43.453416149068318</v>
      </c>
      <c r="X312" s="4">
        <f t="shared" si="55"/>
        <v>271492.89999999991</v>
      </c>
      <c r="Y312" s="4">
        <f t="shared" si="57"/>
        <v>56208.399999999994</v>
      </c>
      <c r="AA312" s="4">
        <v>16.287516636055202</v>
      </c>
    </row>
    <row r="313" spans="1:27" s="4" customFormat="1" x14ac:dyDescent="0.25">
      <c r="A313" s="39"/>
      <c r="B313" s="38"/>
      <c r="C313" s="6">
        <v>41829</v>
      </c>
      <c r="D313" s="4">
        <v>14.5</v>
      </c>
      <c r="E313" s="4">
        <v>14.1</v>
      </c>
      <c r="F313" s="4">
        <v>16.100000000000001</v>
      </c>
      <c r="G313" s="4">
        <f t="shared" si="51"/>
        <v>3270.7000000000007</v>
      </c>
      <c r="H313" s="4">
        <f t="shared" si="56"/>
        <v>572.90000000000009</v>
      </c>
      <c r="J313" s="4">
        <v>23.2</v>
      </c>
      <c r="K313" s="4">
        <f t="shared" si="52"/>
        <v>806.00000000000068</v>
      </c>
      <c r="L313" s="4">
        <v>1.3</v>
      </c>
      <c r="M313" s="4">
        <f t="shared" si="53"/>
        <v>581</v>
      </c>
      <c r="N313" s="4">
        <f t="shared" si="50"/>
        <v>21.9</v>
      </c>
      <c r="O313" s="37">
        <v>50.200000000000038</v>
      </c>
      <c r="P313" s="4">
        <v>308</v>
      </c>
      <c r="Q313" s="12">
        <f t="shared" si="46"/>
        <v>0.59210526315789469</v>
      </c>
      <c r="R313" s="10">
        <f t="shared" si="47"/>
        <v>0.76973684210526316</v>
      </c>
      <c r="S313" s="10">
        <f t="shared" si="48"/>
        <v>22.430263157894736</v>
      </c>
      <c r="T313" s="10">
        <f t="shared" si="54"/>
        <v>47.602105263157895</v>
      </c>
      <c r="V313" s="4">
        <v>460.4</v>
      </c>
      <c r="W313" s="4">
        <f t="shared" si="49"/>
        <v>31.751724137931031</v>
      </c>
      <c r="X313" s="4">
        <f t="shared" si="55"/>
        <v>271953.29999999993</v>
      </c>
      <c r="Y313" s="4">
        <f t="shared" si="57"/>
        <v>56668.799999999996</v>
      </c>
      <c r="AA313" s="4">
        <v>16.2622901212915</v>
      </c>
    </row>
    <row r="314" spans="1:27" s="4" customFormat="1" x14ac:dyDescent="0.25">
      <c r="A314" s="39"/>
      <c r="B314" s="38"/>
      <c r="C314" s="6">
        <v>41830</v>
      </c>
      <c r="D314" s="4">
        <v>16.3</v>
      </c>
      <c r="E314" s="4">
        <v>14.6</v>
      </c>
      <c r="F314" s="4">
        <v>17.2</v>
      </c>
      <c r="G314" s="4">
        <f t="shared" si="51"/>
        <v>3287.0000000000009</v>
      </c>
      <c r="H314" s="4">
        <f t="shared" si="56"/>
        <v>589.20000000000005</v>
      </c>
      <c r="J314" s="4">
        <v>9.1</v>
      </c>
      <c r="K314" s="4">
        <f t="shared" si="52"/>
        <v>815.1000000000007</v>
      </c>
      <c r="L314" s="4">
        <v>0.7</v>
      </c>
      <c r="M314" s="4">
        <f t="shared" si="53"/>
        <v>581.70000000000005</v>
      </c>
      <c r="N314" s="4">
        <f t="shared" si="50"/>
        <v>8.4</v>
      </c>
      <c r="O314" s="4">
        <v>58.600000000000037</v>
      </c>
      <c r="P314" s="4">
        <v>309</v>
      </c>
      <c r="Q314" s="12">
        <f t="shared" si="46"/>
        <v>0.58157894736842097</v>
      </c>
      <c r="R314" s="10">
        <f t="shared" si="47"/>
        <v>0.40710526315789464</v>
      </c>
      <c r="S314" s="10">
        <f t="shared" si="48"/>
        <v>8.6928947368421046</v>
      </c>
      <c r="T314" s="10">
        <f t="shared" si="54"/>
        <v>56.295000000000002</v>
      </c>
      <c r="V314" s="4">
        <v>474.7</v>
      </c>
      <c r="W314" s="4">
        <f t="shared" si="49"/>
        <v>29.122699386503065</v>
      </c>
      <c r="X314" s="4">
        <f t="shared" si="55"/>
        <v>272427.99999999994</v>
      </c>
      <c r="Y314" s="4">
        <f t="shared" si="57"/>
        <v>57143.499999999993</v>
      </c>
      <c r="AA314" s="4">
        <v>16.235699496571499</v>
      </c>
    </row>
    <row r="315" spans="1:27" s="4" customFormat="1" x14ac:dyDescent="0.25">
      <c r="A315" s="39"/>
      <c r="B315" s="38"/>
      <c r="C315" s="6">
        <v>41831</v>
      </c>
      <c r="D315" s="4">
        <v>16.399999999999999</v>
      </c>
      <c r="E315" s="4">
        <v>15.3</v>
      </c>
      <c r="F315" s="4">
        <v>17.3</v>
      </c>
      <c r="G315" s="4">
        <f t="shared" si="51"/>
        <v>3303.400000000001</v>
      </c>
      <c r="H315" s="4">
        <f t="shared" si="56"/>
        <v>605.6</v>
      </c>
      <c r="J315" s="4">
        <v>1.4</v>
      </c>
      <c r="K315" s="4">
        <f t="shared" si="52"/>
        <v>816.50000000000068</v>
      </c>
      <c r="L315" s="4">
        <v>0.9</v>
      </c>
      <c r="M315" s="4">
        <f t="shared" si="53"/>
        <v>582.6</v>
      </c>
      <c r="N315" s="4">
        <f t="shared" si="50"/>
        <v>0.49999999999999989</v>
      </c>
      <c r="O315" s="4">
        <v>59.100000000000037</v>
      </c>
      <c r="P315" s="4">
        <v>310</v>
      </c>
      <c r="Q315" s="12">
        <f t="shared" si="46"/>
        <v>0.57105263157894726</v>
      </c>
      <c r="R315" s="10">
        <f t="shared" si="47"/>
        <v>0.5139473684210526</v>
      </c>
      <c r="S315" s="10">
        <f t="shared" si="48"/>
        <v>0.88605263157894731</v>
      </c>
      <c r="T315" s="10">
        <f t="shared" si="54"/>
        <v>57.18105263157895</v>
      </c>
      <c r="V315" s="4">
        <v>385.4</v>
      </c>
      <c r="W315" s="4">
        <f t="shared" si="49"/>
        <v>23.5</v>
      </c>
      <c r="X315" s="4">
        <f t="shared" si="55"/>
        <v>272813.39999999997</v>
      </c>
      <c r="Y315" s="4">
        <f t="shared" si="57"/>
        <v>57528.899999999994</v>
      </c>
      <c r="AA315" s="4">
        <v>16.207770915827901</v>
      </c>
    </row>
    <row r="316" spans="1:27" s="4" customFormat="1" x14ac:dyDescent="0.25">
      <c r="A316" s="39"/>
      <c r="B316" s="38"/>
      <c r="C316" s="6">
        <v>41832</v>
      </c>
      <c r="D316" s="4">
        <v>17.600000000000001</v>
      </c>
      <c r="E316" s="4">
        <v>15</v>
      </c>
      <c r="F316" s="4">
        <v>19.8</v>
      </c>
      <c r="G316" s="4">
        <f t="shared" si="51"/>
        <v>3321.0000000000009</v>
      </c>
      <c r="H316" s="4">
        <f t="shared" si="56"/>
        <v>623.20000000000005</v>
      </c>
      <c r="J316" s="4">
        <v>0</v>
      </c>
      <c r="K316" s="4">
        <f t="shared" si="52"/>
        <v>816.50000000000068</v>
      </c>
      <c r="L316" s="4">
        <v>1.6</v>
      </c>
      <c r="M316" s="4">
        <f t="shared" si="53"/>
        <v>584.20000000000005</v>
      </c>
      <c r="N316" s="9">
        <f t="shared" si="50"/>
        <v>-1.6</v>
      </c>
      <c r="O316" s="4">
        <v>57.500000000000036</v>
      </c>
      <c r="P316" s="4">
        <v>311</v>
      </c>
      <c r="Q316" s="12">
        <f t="shared" si="46"/>
        <v>0.56052631578947365</v>
      </c>
      <c r="R316" s="10">
        <f t="shared" si="47"/>
        <v>0.89684210526315788</v>
      </c>
      <c r="S316" s="10">
        <f t="shared" si="48"/>
        <v>-0.89684210526315788</v>
      </c>
      <c r="T316" s="10">
        <f t="shared" si="54"/>
        <v>56.284210526315789</v>
      </c>
      <c r="V316" s="4">
        <v>532.9</v>
      </c>
      <c r="W316" s="4">
        <f t="shared" si="49"/>
        <v>30.278409090909086</v>
      </c>
      <c r="X316" s="4">
        <f t="shared" si="55"/>
        <v>273346.3</v>
      </c>
      <c r="Y316" s="4">
        <f t="shared" si="57"/>
        <v>58061.799999999996</v>
      </c>
      <c r="AA316" s="4">
        <v>16.178531324226</v>
      </c>
    </row>
    <row r="317" spans="1:27" s="4" customFormat="1" x14ac:dyDescent="0.25">
      <c r="A317" s="39"/>
      <c r="B317" s="38"/>
      <c r="C317" s="6">
        <v>41833</v>
      </c>
      <c r="D317" s="4">
        <v>18.2</v>
      </c>
      <c r="E317" s="4">
        <v>16.3</v>
      </c>
      <c r="F317" s="4">
        <v>19.600000000000001</v>
      </c>
      <c r="G317" s="4">
        <f t="shared" si="51"/>
        <v>3339.2000000000007</v>
      </c>
      <c r="H317" s="4">
        <f t="shared" si="56"/>
        <v>641.40000000000009</v>
      </c>
      <c r="J317" s="4">
        <v>2.2999999999999998</v>
      </c>
      <c r="K317" s="4">
        <f t="shared" si="52"/>
        <v>818.80000000000064</v>
      </c>
      <c r="L317" s="4">
        <v>1.8</v>
      </c>
      <c r="M317" s="4">
        <f t="shared" si="53"/>
        <v>586</v>
      </c>
      <c r="N317" s="4">
        <f t="shared" si="50"/>
        <v>0.49999999999999978</v>
      </c>
      <c r="O317" s="4">
        <v>58.000000000000036</v>
      </c>
      <c r="P317" s="4">
        <v>312</v>
      </c>
      <c r="Q317" s="12">
        <f t="shared" si="46"/>
        <v>0.54999999999999993</v>
      </c>
      <c r="R317" s="10">
        <f t="shared" si="47"/>
        <v>0.98999999999999988</v>
      </c>
      <c r="S317" s="10">
        <f t="shared" si="48"/>
        <v>1.31</v>
      </c>
      <c r="T317" s="10">
        <f t="shared" si="54"/>
        <v>57.594210526315791</v>
      </c>
      <c r="V317" s="4">
        <v>519.79999999999995</v>
      </c>
      <c r="W317" s="4">
        <f t="shared" si="49"/>
        <v>28.560439560439558</v>
      </c>
      <c r="X317" s="4">
        <f t="shared" si="55"/>
        <v>273866.09999999998</v>
      </c>
      <c r="Y317" s="4">
        <f t="shared" si="57"/>
        <v>58581.599999999999</v>
      </c>
      <c r="AA317" s="4">
        <v>16.148008371183</v>
      </c>
    </row>
    <row r="318" spans="1:27" s="4" customFormat="1" x14ac:dyDescent="0.25">
      <c r="A318" s="39"/>
      <c r="B318" s="38"/>
      <c r="C318" s="6">
        <v>41834</v>
      </c>
      <c r="D318" s="4">
        <v>18.399999999999999</v>
      </c>
      <c r="E318" s="4">
        <v>16.3</v>
      </c>
      <c r="F318" s="4">
        <v>21.7</v>
      </c>
      <c r="G318" s="4">
        <f t="shared" si="51"/>
        <v>3357.6000000000008</v>
      </c>
      <c r="H318" s="4">
        <f t="shared" si="56"/>
        <v>659.80000000000007</v>
      </c>
      <c r="J318" s="4">
        <v>0</v>
      </c>
      <c r="K318" s="4">
        <f t="shared" si="52"/>
        <v>818.80000000000064</v>
      </c>
      <c r="L318" s="4">
        <v>5.0999999999999996</v>
      </c>
      <c r="M318" s="4">
        <f t="shared" si="53"/>
        <v>591.1</v>
      </c>
      <c r="N318" s="9">
        <f t="shared" si="50"/>
        <v>-5.0999999999999996</v>
      </c>
      <c r="O318" s="4">
        <v>52.900000000000034</v>
      </c>
      <c r="P318" s="4">
        <v>313</v>
      </c>
      <c r="Q318" s="12">
        <f t="shared" si="46"/>
        <v>0.53947368421052622</v>
      </c>
      <c r="R318" s="10">
        <f t="shared" si="47"/>
        <v>2.7513157894736837</v>
      </c>
      <c r="S318" s="10">
        <f t="shared" si="48"/>
        <v>-2.7513157894736837</v>
      </c>
      <c r="T318" s="10">
        <f t="shared" si="54"/>
        <v>54.842894736842105</v>
      </c>
      <c r="V318" s="4">
        <v>2309</v>
      </c>
      <c r="W318" s="4">
        <f t="shared" si="49"/>
        <v>125.48913043478262</v>
      </c>
      <c r="X318" s="4">
        <f t="shared" si="55"/>
        <v>276175.09999999998</v>
      </c>
      <c r="Y318" s="4">
        <f t="shared" si="57"/>
        <v>60890.6</v>
      </c>
      <c r="AA318" s="4">
        <v>16.116230323953499</v>
      </c>
    </row>
    <row r="319" spans="1:27" s="4" customFormat="1" x14ac:dyDescent="0.25">
      <c r="A319" s="39"/>
      <c r="B319" s="38"/>
      <c r="C319" s="6">
        <v>41835</v>
      </c>
      <c r="D319" s="4">
        <v>18.399999999999999</v>
      </c>
      <c r="E319" s="4">
        <v>13.4</v>
      </c>
      <c r="F319" s="4">
        <v>22.6</v>
      </c>
      <c r="G319" s="4">
        <f t="shared" si="51"/>
        <v>3376.0000000000009</v>
      </c>
      <c r="H319" s="4">
        <f t="shared" si="56"/>
        <v>678.2</v>
      </c>
      <c r="J319" s="4">
        <v>0.2</v>
      </c>
      <c r="K319" s="4">
        <f t="shared" si="52"/>
        <v>819.00000000000068</v>
      </c>
      <c r="L319" s="4">
        <v>1.9</v>
      </c>
      <c r="M319" s="4">
        <f t="shared" si="53"/>
        <v>593</v>
      </c>
      <c r="N319" s="9">
        <f t="shared" si="50"/>
        <v>-1.7</v>
      </c>
      <c r="O319" s="4">
        <v>51.200000000000031</v>
      </c>
      <c r="P319" s="4">
        <v>314</v>
      </c>
      <c r="Q319" s="12">
        <f t="shared" si="46"/>
        <v>0.52894736842105261</v>
      </c>
      <c r="R319" s="10">
        <f t="shared" si="47"/>
        <v>1.0049999999999999</v>
      </c>
      <c r="S319" s="10">
        <f t="shared" si="48"/>
        <v>-0.80499999999999994</v>
      </c>
      <c r="T319" s="10">
        <f t="shared" si="54"/>
        <v>54.037894736842105</v>
      </c>
      <c r="V319" s="4">
        <v>806.2</v>
      </c>
      <c r="W319" s="4">
        <f t="shared" si="49"/>
        <v>43.815217391304351</v>
      </c>
      <c r="X319" s="4">
        <f t="shared" si="55"/>
        <v>276981.3</v>
      </c>
      <c r="Y319" s="4">
        <f t="shared" si="57"/>
        <v>61696.799999999996</v>
      </c>
      <c r="AA319" s="4">
        <v>16.083225982254302</v>
      </c>
    </row>
    <row r="320" spans="1:27" s="4" customFormat="1" x14ac:dyDescent="0.25">
      <c r="A320" s="39"/>
      <c r="B320" s="38"/>
      <c r="C320" s="6">
        <v>41836</v>
      </c>
      <c r="D320" s="4">
        <v>21</v>
      </c>
      <c r="E320" s="4">
        <v>15.7</v>
      </c>
      <c r="F320" s="4">
        <v>26.4</v>
      </c>
      <c r="G320" s="4">
        <f t="shared" si="51"/>
        <v>3397.0000000000009</v>
      </c>
      <c r="H320" s="4">
        <f t="shared" si="56"/>
        <v>699.2</v>
      </c>
      <c r="J320" s="4">
        <v>0</v>
      </c>
      <c r="K320" s="4">
        <f t="shared" si="52"/>
        <v>819.00000000000068</v>
      </c>
      <c r="L320" s="4">
        <v>5.6</v>
      </c>
      <c r="M320" s="4">
        <f t="shared" si="53"/>
        <v>598.6</v>
      </c>
      <c r="N320" s="9">
        <f t="shared" si="50"/>
        <v>-5.6</v>
      </c>
      <c r="O320" s="37">
        <v>45.60000000000003</v>
      </c>
      <c r="P320" s="4">
        <v>315</v>
      </c>
      <c r="Q320" s="12">
        <f t="shared" si="46"/>
        <v>0.51842105263157889</v>
      </c>
      <c r="R320" s="10">
        <f t="shared" si="47"/>
        <v>2.9031578947368417</v>
      </c>
      <c r="S320" s="10">
        <f t="shared" si="48"/>
        <v>-2.9031578947368417</v>
      </c>
      <c r="T320" s="10">
        <f t="shared" si="54"/>
        <v>51.134736842105262</v>
      </c>
      <c r="V320" s="4">
        <v>2696.5</v>
      </c>
      <c r="W320" s="4">
        <f t="shared" si="49"/>
        <v>128.4047619047619</v>
      </c>
      <c r="X320" s="4">
        <f t="shared" si="55"/>
        <v>279677.8</v>
      </c>
      <c r="Y320" s="4">
        <f t="shared" si="57"/>
        <v>64393.299999999996</v>
      </c>
      <c r="AA320" s="4">
        <v>16.0490245943618</v>
      </c>
    </row>
    <row r="321" spans="1:27" s="4" customFormat="1" x14ac:dyDescent="0.25">
      <c r="A321" s="39"/>
      <c r="B321" s="38"/>
      <c r="C321" s="6">
        <v>41837</v>
      </c>
      <c r="D321" s="4">
        <v>23</v>
      </c>
      <c r="E321" s="4">
        <v>17.399999999999999</v>
      </c>
      <c r="F321" s="4">
        <v>27.7</v>
      </c>
      <c r="G321" s="4">
        <f t="shared" si="51"/>
        <v>3420.0000000000009</v>
      </c>
      <c r="H321" s="4">
        <f t="shared" si="56"/>
        <v>722.2</v>
      </c>
      <c r="J321" s="4">
        <v>0</v>
      </c>
      <c r="K321" s="4">
        <f t="shared" si="52"/>
        <v>819.00000000000068</v>
      </c>
      <c r="L321" s="4">
        <v>5</v>
      </c>
      <c r="M321" s="4">
        <f t="shared" si="53"/>
        <v>603.6</v>
      </c>
      <c r="N321" s="9">
        <f t="shared" si="50"/>
        <v>-5</v>
      </c>
      <c r="O321" s="37">
        <v>40.60000000000003</v>
      </c>
      <c r="P321" s="4">
        <v>316</v>
      </c>
      <c r="Q321" s="12">
        <f t="shared" si="46"/>
        <v>0.50789473684210518</v>
      </c>
      <c r="R321" s="10">
        <f t="shared" si="47"/>
        <v>2.5394736842105257</v>
      </c>
      <c r="S321" s="10">
        <f t="shared" si="48"/>
        <v>-2.5394736842105257</v>
      </c>
      <c r="T321" s="10">
        <f t="shared" si="54"/>
        <v>48.595263157894735</v>
      </c>
      <c r="V321" s="4">
        <v>2412.9</v>
      </c>
      <c r="W321" s="4">
        <f t="shared" si="49"/>
        <v>104.90869565217392</v>
      </c>
      <c r="X321" s="4">
        <f t="shared" si="55"/>
        <v>282090.7</v>
      </c>
      <c r="Y321" s="4">
        <f t="shared" si="57"/>
        <v>66806.2</v>
      </c>
      <c r="AA321" s="4">
        <v>16.0136557750835</v>
      </c>
    </row>
    <row r="322" spans="1:27" s="4" customFormat="1" x14ac:dyDescent="0.25">
      <c r="A322" s="39"/>
      <c r="B322" s="38"/>
      <c r="C322" s="6">
        <v>41838</v>
      </c>
      <c r="D322" s="4">
        <v>26.7</v>
      </c>
      <c r="E322" s="4">
        <v>20.9</v>
      </c>
      <c r="F322" s="4">
        <v>32.200000000000003</v>
      </c>
      <c r="G322" s="4">
        <f t="shared" si="51"/>
        <v>3446.7000000000007</v>
      </c>
      <c r="H322" s="4">
        <f t="shared" si="56"/>
        <v>748.90000000000009</v>
      </c>
      <c r="J322" s="4">
        <v>0.2</v>
      </c>
      <c r="K322" s="4">
        <f t="shared" si="52"/>
        <v>819.20000000000073</v>
      </c>
      <c r="L322" s="4">
        <v>5.9</v>
      </c>
      <c r="M322" s="4">
        <f t="shared" si="53"/>
        <v>609.5</v>
      </c>
      <c r="N322" s="9">
        <f t="shared" si="50"/>
        <v>-5.7</v>
      </c>
      <c r="O322" s="37">
        <v>34.900000000000027</v>
      </c>
      <c r="P322" s="4">
        <v>317</v>
      </c>
      <c r="Q322" s="12">
        <f t="shared" si="46"/>
        <v>0.49736842105263157</v>
      </c>
      <c r="R322" s="10">
        <f t="shared" si="47"/>
        <v>2.9344736842105266</v>
      </c>
      <c r="S322" s="10">
        <f t="shared" si="48"/>
        <v>-2.7344736842105264</v>
      </c>
      <c r="T322" s="10">
        <f t="shared" si="54"/>
        <v>45.860789473684207</v>
      </c>
      <c r="V322" s="4">
        <v>2555.1999999999998</v>
      </c>
      <c r="W322" s="4">
        <f t="shared" si="49"/>
        <v>95.700374531835209</v>
      </c>
      <c r="X322" s="4">
        <f t="shared" si="55"/>
        <v>284645.90000000002</v>
      </c>
      <c r="Y322" s="4">
        <f t="shared" si="57"/>
        <v>69361.399999999994</v>
      </c>
      <c r="AA322" s="4">
        <v>15.977149425961599</v>
      </c>
    </row>
    <row r="323" spans="1:27" s="4" customFormat="1" x14ac:dyDescent="0.25">
      <c r="A323" s="39"/>
      <c r="B323" s="38"/>
      <c r="C323" s="6">
        <v>41839</v>
      </c>
      <c r="D323" s="4">
        <v>24.1</v>
      </c>
      <c r="E323" s="4">
        <v>22.4</v>
      </c>
      <c r="F323" s="4">
        <v>27.6</v>
      </c>
      <c r="G323" s="4">
        <f t="shared" si="51"/>
        <v>3470.8000000000006</v>
      </c>
      <c r="H323" s="4">
        <f t="shared" si="56"/>
        <v>773.00000000000011</v>
      </c>
      <c r="J323" s="4">
        <v>8</v>
      </c>
      <c r="K323" s="4">
        <f t="shared" si="52"/>
        <v>827.20000000000073</v>
      </c>
      <c r="L323" s="4">
        <v>3.7</v>
      </c>
      <c r="M323" s="4">
        <f t="shared" si="53"/>
        <v>613.20000000000005</v>
      </c>
      <c r="N323" s="4">
        <f t="shared" si="50"/>
        <v>4.3</v>
      </c>
      <c r="O323" s="37">
        <v>39.200000000000024</v>
      </c>
      <c r="P323" s="4">
        <v>318</v>
      </c>
      <c r="Q323" s="12">
        <f t="shared" si="46"/>
        <v>0.48684210526315785</v>
      </c>
      <c r="R323" s="10">
        <f t="shared" si="47"/>
        <v>1.8013157894736842</v>
      </c>
      <c r="S323" s="10">
        <f t="shared" si="48"/>
        <v>6.1986842105263156</v>
      </c>
      <c r="T323" s="10">
        <f t="shared" si="54"/>
        <v>52.059473684210523</v>
      </c>
      <c r="V323" s="4">
        <v>1476</v>
      </c>
      <c r="W323" s="4">
        <f t="shared" si="49"/>
        <v>61.244813278008294</v>
      </c>
      <c r="X323" s="4">
        <f t="shared" si="55"/>
        <v>286121.90000000002</v>
      </c>
      <c r="Y323" s="4">
        <f t="shared" si="57"/>
        <v>70837.399999999994</v>
      </c>
      <c r="AA323" s="4">
        <v>15.9395356580286</v>
      </c>
    </row>
    <row r="324" spans="1:27" s="4" customFormat="1" x14ac:dyDescent="0.25">
      <c r="A324" s="39"/>
      <c r="B324" s="38"/>
      <c r="C324" s="6">
        <v>41840</v>
      </c>
      <c r="D324" s="4">
        <v>19.7</v>
      </c>
      <c r="E324" s="4">
        <v>18.100000000000001</v>
      </c>
      <c r="F324" s="4">
        <v>21.4</v>
      </c>
      <c r="G324" s="4">
        <f t="shared" si="51"/>
        <v>3490.5000000000005</v>
      </c>
      <c r="H324" s="4">
        <f t="shared" si="56"/>
        <v>792.70000000000016</v>
      </c>
      <c r="J324" s="4">
        <v>1.7</v>
      </c>
      <c r="K324" s="4">
        <f t="shared" si="52"/>
        <v>828.90000000000077</v>
      </c>
      <c r="L324" s="4">
        <v>2</v>
      </c>
      <c r="M324" s="4">
        <f t="shared" si="53"/>
        <v>615.20000000000005</v>
      </c>
      <c r="N324" s="9">
        <f t="shared" si="50"/>
        <v>-0.30000000000000004</v>
      </c>
      <c r="O324" s="37">
        <v>38.900000000000027</v>
      </c>
      <c r="P324" s="4">
        <v>319</v>
      </c>
      <c r="Q324" s="12">
        <f t="shared" si="46"/>
        <v>0.47631578947368425</v>
      </c>
      <c r="R324" s="10">
        <f t="shared" si="47"/>
        <v>0.9526315789473685</v>
      </c>
      <c r="S324" s="10">
        <f t="shared" si="48"/>
        <v>0.74736842105263146</v>
      </c>
      <c r="T324" s="10">
        <f t="shared" si="54"/>
        <v>52.806842105263158</v>
      </c>
      <c r="V324" s="4">
        <v>783.2</v>
      </c>
      <c r="W324" s="4">
        <f t="shared" si="49"/>
        <v>39.756345177664976</v>
      </c>
      <c r="X324" s="4">
        <f t="shared" si="55"/>
        <v>286905.10000000003</v>
      </c>
      <c r="Y324" s="4">
        <f t="shared" si="57"/>
        <v>71620.599999999991</v>
      </c>
      <c r="AA324" s="4">
        <v>15.900844717394801</v>
      </c>
    </row>
    <row r="325" spans="1:27" s="4" customFormat="1" x14ac:dyDescent="0.25">
      <c r="A325" s="39"/>
      <c r="B325" s="38"/>
      <c r="C325" s="6">
        <v>41841</v>
      </c>
      <c r="D325" s="4">
        <v>19.7</v>
      </c>
      <c r="E325" s="4">
        <v>18.600000000000001</v>
      </c>
      <c r="F325" s="4">
        <v>21.6</v>
      </c>
      <c r="G325" s="4">
        <f t="shared" si="51"/>
        <v>3510.2000000000003</v>
      </c>
      <c r="H325" s="4">
        <f t="shared" si="56"/>
        <v>812.4000000000002</v>
      </c>
      <c r="J325" s="4">
        <v>0.6</v>
      </c>
      <c r="K325" s="4">
        <f t="shared" si="52"/>
        <v>829.5000000000008</v>
      </c>
      <c r="L325" s="4">
        <v>2.2000000000000002</v>
      </c>
      <c r="M325" s="4">
        <f t="shared" si="53"/>
        <v>617.40000000000009</v>
      </c>
      <c r="N325" s="9">
        <f t="shared" si="50"/>
        <v>-1.6</v>
      </c>
      <c r="O325" s="37">
        <v>37.300000000000026</v>
      </c>
      <c r="P325" s="4">
        <v>320</v>
      </c>
      <c r="Q325" s="12">
        <f t="shared" si="46"/>
        <v>0.46578947368421053</v>
      </c>
      <c r="R325" s="10">
        <f t="shared" si="47"/>
        <v>1.0247368421052632</v>
      </c>
      <c r="S325" s="10">
        <f t="shared" si="48"/>
        <v>-0.42473684210526319</v>
      </c>
      <c r="T325" s="10">
        <f t="shared" si="54"/>
        <v>52.382105263157897</v>
      </c>
      <c r="V325" s="4">
        <v>575.70000000000005</v>
      </c>
      <c r="W325" s="4">
        <f t="shared" si="49"/>
        <v>29.223350253807109</v>
      </c>
      <c r="X325" s="4">
        <f t="shared" si="55"/>
        <v>287480.80000000005</v>
      </c>
      <c r="Y325" s="4">
        <f t="shared" si="57"/>
        <v>72196.299999999988</v>
      </c>
      <c r="AA325" s="4">
        <v>15.861106913906299</v>
      </c>
    </row>
    <row r="326" spans="1:27" s="4" customFormat="1" x14ac:dyDescent="0.25">
      <c r="A326" s="39"/>
      <c r="B326" s="38"/>
      <c r="C326" s="6">
        <v>41842</v>
      </c>
      <c r="D326" s="4">
        <v>20.2</v>
      </c>
      <c r="E326" s="4">
        <v>17.8</v>
      </c>
      <c r="F326" s="4">
        <v>23</v>
      </c>
      <c r="G326" s="4">
        <f t="shared" si="51"/>
        <v>3530.4</v>
      </c>
      <c r="H326" s="4">
        <f t="shared" si="56"/>
        <v>832.60000000000025</v>
      </c>
      <c r="J326" s="4">
        <v>0.1</v>
      </c>
      <c r="K326" s="4">
        <f t="shared" si="52"/>
        <v>829.60000000000082</v>
      </c>
      <c r="L326" s="4">
        <v>1.9</v>
      </c>
      <c r="M326" s="4">
        <f t="shared" si="53"/>
        <v>619.30000000000007</v>
      </c>
      <c r="N326" s="9">
        <f t="shared" si="50"/>
        <v>-1.7999999999999998</v>
      </c>
      <c r="O326" s="37">
        <v>35.500000000000028</v>
      </c>
      <c r="P326" s="4">
        <v>321</v>
      </c>
      <c r="Q326" s="12">
        <f t="shared" ref="Q326:Q336" si="58">1.15+((P326-255)/76)*(0.35-1.15)</f>
        <v>0.45526315789473681</v>
      </c>
      <c r="R326" s="10">
        <f t="shared" ref="R326:R336" si="59">Q326*L326</f>
        <v>0.86499999999999988</v>
      </c>
      <c r="S326" s="10">
        <f t="shared" ref="S326:S336" si="60">J326-R326</f>
        <v>-0.7649999999999999</v>
      </c>
      <c r="T326" s="10">
        <f t="shared" si="54"/>
        <v>51.617105263157896</v>
      </c>
      <c r="V326" s="4">
        <v>682.4</v>
      </c>
      <c r="W326" s="4">
        <f t="shared" ref="W326:W336" si="61">V326/D326</f>
        <v>33.78217821782178</v>
      </c>
      <c r="X326" s="4">
        <f t="shared" si="55"/>
        <v>288163.20000000007</v>
      </c>
      <c r="Y326" s="4">
        <f t="shared" si="57"/>
        <v>72878.699999999983</v>
      </c>
      <c r="AA326" s="4">
        <v>15.8203525530745</v>
      </c>
    </row>
    <row r="327" spans="1:27" s="4" customFormat="1" x14ac:dyDescent="0.25">
      <c r="A327" s="39"/>
      <c r="B327" s="38"/>
      <c r="C327" s="6">
        <v>41843</v>
      </c>
      <c r="D327" s="4">
        <v>23.9</v>
      </c>
      <c r="E327" s="4">
        <v>17.5</v>
      </c>
      <c r="F327" s="4">
        <v>27.9</v>
      </c>
      <c r="G327" s="4">
        <f t="shared" si="51"/>
        <v>3554.3</v>
      </c>
      <c r="H327" s="4">
        <f t="shared" si="56"/>
        <v>856.50000000000023</v>
      </c>
      <c r="J327" s="4">
        <v>0</v>
      </c>
      <c r="K327" s="4">
        <f t="shared" si="52"/>
        <v>829.60000000000082</v>
      </c>
      <c r="L327" s="4">
        <v>4.3</v>
      </c>
      <c r="M327" s="4">
        <f t="shared" si="53"/>
        <v>623.6</v>
      </c>
      <c r="N327" s="9">
        <f t="shared" ref="N327:N336" si="62">J327-L327</f>
        <v>-4.3</v>
      </c>
      <c r="O327" s="37">
        <v>31.200000000000028</v>
      </c>
      <c r="P327" s="4">
        <v>322</v>
      </c>
      <c r="Q327" s="12">
        <f t="shared" si="58"/>
        <v>0.44473684210526321</v>
      </c>
      <c r="R327" s="10">
        <f t="shared" si="59"/>
        <v>1.9123684210526317</v>
      </c>
      <c r="S327" s="10">
        <f t="shared" si="60"/>
        <v>-1.9123684210526317</v>
      </c>
      <c r="T327" s="10">
        <f t="shared" si="54"/>
        <v>49.704736842105262</v>
      </c>
      <c r="V327" s="4">
        <v>2026.4</v>
      </c>
      <c r="W327" s="4">
        <f t="shared" si="61"/>
        <v>84.786610878661094</v>
      </c>
      <c r="X327" s="4">
        <f t="shared" si="55"/>
        <v>290189.60000000009</v>
      </c>
      <c r="Y327" s="4">
        <f t="shared" si="57"/>
        <v>74905.099999999977</v>
      </c>
      <c r="AA327" s="4">
        <v>15.7786118714384</v>
      </c>
    </row>
    <row r="328" spans="1:27" s="4" customFormat="1" x14ac:dyDescent="0.25">
      <c r="A328" s="39"/>
      <c r="B328" s="38"/>
      <c r="C328" s="6">
        <v>41844</v>
      </c>
      <c r="D328" s="4">
        <v>23.4</v>
      </c>
      <c r="E328" s="4">
        <v>20.6</v>
      </c>
      <c r="F328" s="4">
        <v>26.7</v>
      </c>
      <c r="G328" s="4">
        <f t="shared" ref="G328:G336" si="63">G327+D328</f>
        <v>3577.7000000000003</v>
      </c>
      <c r="H328" s="4">
        <f t="shared" si="56"/>
        <v>879.9000000000002</v>
      </c>
      <c r="J328" s="4">
        <v>0</v>
      </c>
      <c r="K328" s="4">
        <f t="shared" ref="K328:K336" si="64">K327+J328</f>
        <v>829.60000000000082</v>
      </c>
      <c r="L328" s="4">
        <v>5.5</v>
      </c>
      <c r="M328" s="4">
        <f t="shared" ref="M328:M336" si="65">M327+L328</f>
        <v>629.1</v>
      </c>
      <c r="N328" s="9">
        <f t="shared" si="62"/>
        <v>-5.5</v>
      </c>
      <c r="O328" s="37">
        <v>25.700000000000028</v>
      </c>
      <c r="P328" s="4">
        <v>323</v>
      </c>
      <c r="Q328" s="12">
        <f t="shared" si="58"/>
        <v>0.43421052631578949</v>
      </c>
      <c r="R328" s="10">
        <f t="shared" si="59"/>
        <v>2.388157894736842</v>
      </c>
      <c r="S328" s="10">
        <f t="shared" si="60"/>
        <v>-2.388157894736842</v>
      </c>
      <c r="T328" s="10">
        <f t="shared" ref="T328:T336" si="66">MIN(153.6,(T327+S328))</f>
        <v>47.31657894736842</v>
      </c>
      <c r="V328" s="4">
        <v>2118.8000000000002</v>
      </c>
      <c r="W328" s="4">
        <f t="shared" si="61"/>
        <v>90.547008547008559</v>
      </c>
      <c r="X328" s="4">
        <f t="shared" ref="X328:X336" si="67">X327+V328</f>
        <v>292308.40000000008</v>
      </c>
      <c r="Y328" s="4">
        <f t="shared" si="57"/>
        <v>77023.89999999998</v>
      </c>
      <c r="AA328" s="4">
        <v>15.7359149754865</v>
      </c>
    </row>
    <row r="329" spans="1:27" s="4" customFormat="1" x14ac:dyDescent="0.25">
      <c r="A329" s="39"/>
      <c r="B329" s="38"/>
      <c r="C329" s="6">
        <v>41845</v>
      </c>
      <c r="D329" s="4">
        <v>20.8</v>
      </c>
      <c r="E329" s="4">
        <v>18.2</v>
      </c>
      <c r="F329" s="4">
        <v>24</v>
      </c>
      <c r="G329" s="4">
        <f t="shared" si="63"/>
        <v>3598.5000000000005</v>
      </c>
      <c r="H329" s="4">
        <f t="shared" si="56"/>
        <v>900.70000000000016</v>
      </c>
      <c r="J329" s="4">
        <v>0</v>
      </c>
      <c r="K329" s="4">
        <f t="shared" si="64"/>
        <v>829.60000000000082</v>
      </c>
      <c r="L329" s="4">
        <v>4.9000000000000004</v>
      </c>
      <c r="M329" s="4">
        <f t="shared" si="65"/>
        <v>634</v>
      </c>
      <c r="N329" s="9">
        <f t="shared" si="62"/>
        <v>-4.9000000000000004</v>
      </c>
      <c r="O329" s="37">
        <v>20.800000000000026</v>
      </c>
      <c r="P329" s="4">
        <v>324</v>
      </c>
      <c r="Q329" s="12">
        <f t="shared" si="58"/>
        <v>0.42368421052631577</v>
      </c>
      <c r="R329" s="10">
        <f t="shared" si="59"/>
        <v>2.0760526315789476</v>
      </c>
      <c r="S329" s="10">
        <f t="shared" si="60"/>
        <v>-2.0760526315789476</v>
      </c>
      <c r="T329" s="10">
        <f t="shared" si="66"/>
        <v>45.240526315789474</v>
      </c>
      <c r="V329" s="4">
        <v>2027.3</v>
      </c>
      <c r="W329" s="4">
        <f t="shared" si="61"/>
        <v>97.466346153846146</v>
      </c>
      <c r="X329" s="4">
        <f t="shared" si="67"/>
        <v>294335.70000000007</v>
      </c>
      <c r="Y329" s="4">
        <f t="shared" si="57"/>
        <v>79051.199999999983</v>
      </c>
      <c r="AA329" s="4">
        <v>15.6922917842288</v>
      </c>
    </row>
    <row r="330" spans="1:27" s="4" customFormat="1" x14ac:dyDescent="0.25">
      <c r="A330" s="39"/>
      <c r="B330" s="38"/>
      <c r="C330" s="6">
        <v>41846</v>
      </c>
      <c r="D330" s="4">
        <v>20.6</v>
      </c>
      <c r="E330" s="4">
        <v>17.2</v>
      </c>
      <c r="F330" s="4">
        <v>23.6</v>
      </c>
      <c r="G330" s="4">
        <f t="shared" si="63"/>
        <v>3619.1000000000004</v>
      </c>
      <c r="H330" s="4">
        <f t="shared" si="56"/>
        <v>921.30000000000018</v>
      </c>
      <c r="J330" s="4">
        <v>0</v>
      </c>
      <c r="K330" s="4">
        <f t="shared" si="64"/>
        <v>829.60000000000082</v>
      </c>
      <c r="L330" s="4">
        <v>3.5</v>
      </c>
      <c r="M330" s="4">
        <f t="shared" si="65"/>
        <v>637.5</v>
      </c>
      <c r="N330" s="9">
        <f t="shared" si="62"/>
        <v>-3.5</v>
      </c>
      <c r="O330" s="37">
        <v>17.300000000000026</v>
      </c>
      <c r="P330" s="4">
        <v>325</v>
      </c>
      <c r="Q330" s="12">
        <f t="shared" si="58"/>
        <v>0.41315789473684206</v>
      </c>
      <c r="R330" s="10">
        <f t="shared" si="59"/>
        <v>1.4460526315789473</v>
      </c>
      <c r="S330" s="10">
        <f t="shared" si="60"/>
        <v>-1.4460526315789473</v>
      </c>
      <c r="T330" s="10">
        <f t="shared" si="66"/>
        <v>43.79447368421053</v>
      </c>
      <c r="V330" s="4">
        <v>1450.8</v>
      </c>
      <c r="W330" s="4">
        <f t="shared" si="61"/>
        <v>70.427184466019412</v>
      </c>
      <c r="X330" s="4">
        <f t="shared" si="67"/>
        <v>295786.50000000006</v>
      </c>
      <c r="Y330" s="4">
        <f t="shared" si="57"/>
        <v>80501.999999999985</v>
      </c>
      <c r="AA330" s="4">
        <v>15.647771975478999</v>
      </c>
    </row>
    <row r="331" spans="1:27" s="4" customFormat="1" x14ac:dyDescent="0.25">
      <c r="A331" s="39"/>
      <c r="B331" s="38"/>
      <c r="C331" s="6">
        <v>41847</v>
      </c>
      <c r="D331" s="4">
        <v>21.3</v>
      </c>
      <c r="E331" s="4">
        <v>17.399999999999999</v>
      </c>
      <c r="F331" s="4">
        <v>26.4</v>
      </c>
      <c r="G331" s="4">
        <f t="shared" si="63"/>
        <v>3640.4000000000005</v>
      </c>
      <c r="H331" s="4">
        <f t="shared" si="56"/>
        <v>942.60000000000014</v>
      </c>
      <c r="J331" s="4">
        <v>16.100000000000001</v>
      </c>
      <c r="K331" s="4">
        <f t="shared" si="64"/>
        <v>845.70000000000084</v>
      </c>
      <c r="L331" s="4">
        <v>3.5</v>
      </c>
      <c r="M331" s="4">
        <f t="shared" si="65"/>
        <v>641</v>
      </c>
      <c r="N331" s="4">
        <f t="shared" si="62"/>
        <v>12.600000000000001</v>
      </c>
      <c r="O331" s="37">
        <v>29.900000000000027</v>
      </c>
      <c r="P331" s="4">
        <v>326</v>
      </c>
      <c r="Q331" s="12">
        <f t="shared" si="58"/>
        <v>0.40263157894736834</v>
      </c>
      <c r="R331" s="10">
        <f t="shared" si="59"/>
        <v>1.4092105263157892</v>
      </c>
      <c r="S331" s="10">
        <f t="shared" si="60"/>
        <v>14.690789473684212</v>
      </c>
      <c r="T331" s="10">
        <f t="shared" si="66"/>
        <v>58.485263157894742</v>
      </c>
      <c r="V331" s="4">
        <v>1477.3</v>
      </c>
      <c r="W331" s="4">
        <f t="shared" si="61"/>
        <v>69.356807511737088</v>
      </c>
      <c r="X331" s="4">
        <f t="shared" si="67"/>
        <v>297263.80000000005</v>
      </c>
      <c r="Y331" s="4">
        <f t="shared" si="57"/>
        <v>81979.299999999988</v>
      </c>
      <c r="AA331" s="4">
        <v>15.602384935873999</v>
      </c>
    </row>
    <row r="332" spans="1:27" s="4" customFormat="1" x14ac:dyDescent="0.25">
      <c r="A332" s="39"/>
      <c r="B332" s="38"/>
      <c r="C332" s="6">
        <v>41848</v>
      </c>
      <c r="D332" s="4">
        <v>17.899999999999999</v>
      </c>
      <c r="E332" s="4">
        <v>16.8</v>
      </c>
      <c r="F332" s="4">
        <v>18.899999999999999</v>
      </c>
      <c r="G332" s="4">
        <f t="shared" si="63"/>
        <v>3658.3000000000006</v>
      </c>
      <c r="H332" s="4">
        <f t="shared" si="56"/>
        <v>960.50000000000011</v>
      </c>
      <c r="J332" s="4">
        <v>6.1</v>
      </c>
      <c r="K332" s="4">
        <f t="shared" si="64"/>
        <v>851.80000000000086</v>
      </c>
      <c r="L332" s="4">
        <v>2</v>
      </c>
      <c r="M332" s="4">
        <f t="shared" si="65"/>
        <v>643</v>
      </c>
      <c r="N332" s="4">
        <f t="shared" si="62"/>
        <v>4.0999999999999996</v>
      </c>
      <c r="O332" s="37">
        <v>34.000000000000028</v>
      </c>
      <c r="P332" s="4">
        <v>327</v>
      </c>
      <c r="Q332" s="12">
        <f t="shared" si="58"/>
        <v>0.39210526315789473</v>
      </c>
      <c r="R332" s="10">
        <f t="shared" si="59"/>
        <v>0.78421052631578947</v>
      </c>
      <c r="S332" s="10">
        <f t="shared" si="60"/>
        <v>5.3157894736842106</v>
      </c>
      <c r="T332" s="10">
        <f t="shared" si="66"/>
        <v>63.801052631578955</v>
      </c>
      <c r="V332" s="4">
        <v>785.4</v>
      </c>
      <c r="W332" s="4">
        <f t="shared" si="61"/>
        <v>43.877094972067042</v>
      </c>
      <c r="X332" s="4">
        <f t="shared" si="67"/>
        <v>298049.20000000007</v>
      </c>
      <c r="Y332" s="4">
        <f t="shared" si="57"/>
        <v>82764.699999999983</v>
      </c>
      <c r="AA332" s="4">
        <v>15.5561597146345</v>
      </c>
    </row>
    <row r="333" spans="1:27" s="4" customFormat="1" x14ac:dyDescent="0.25">
      <c r="A333" s="39"/>
      <c r="B333" s="38"/>
      <c r="C333" s="6">
        <v>41849</v>
      </c>
      <c r="D333" s="4">
        <v>18.600000000000001</v>
      </c>
      <c r="E333" s="4">
        <v>15.9</v>
      </c>
      <c r="F333" s="4">
        <v>22.1</v>
      </c>
      <c r="G333" s="4">
        <f t="shared" si="63"/>
        <v>3676.9000000000005</v>
      </c>
      <c r="H333" s="4">
        <f t="shared" si="56"/>
        <v>979.10000000000014</v>
      </c>
      <c r="J333" s="4">
        <v>0.1</v>
      </c>
      <c r="K333" s="4">
        <f t="shared" si="64"/>
        <v>851.90000000000089</v>
      </c>
      <c r="L333" s="4">
        <v>1.7</v>
      </c>
      <c r="M333" s="4">
        <f t="shared" si="65"/>
        <v>644.70000000000005</v>
      </c>
      <c r="N333" s="9">
        <f t="shared" si="62"/>
        <v>-1.5999999999999999</v>
      </c>
      <c r="O333" s="37">
        <v>32.400000000000027</v>
      </c>
      <c r="P333" s="4">
        <v>328</v>
      </c>
      <c r="Q333" s="12">
        <f t="shared" si="58"/>
        <v>0.38157894736842102</v>
      </c>
      <c r="R333" s="10">
        <f t="shared" si="59"/>
        <v>0.64868421052631575</v>
      </c>
      <c r="S333" s="10">
        <f t="shared" si="60"/>
        <v>-0.54868421052631577</v>
      </c>
      <c r="T333" s="10">
        <f t="shared" si="66"/>
        <v>63.252368421052637</v>
      </c>
      <c r="V333" s="4">
        <v>612.9</v>
      </c>
      <c r="W333" s="4">
        <f t="shared" si="61"/>
        <v>32.951612903225801</v>
      </c>
      <c r="X333" s="4">
        <f t="shared" si="67"/>
        <v>298662.10000000009</v>
      </c>
      <c r="Y333" s="4">
        <f t="shared" si="57"/>
        <v>83377.599999999977</v>
      </c>
      <c r="AA333" s="4">
        <v>15.509124981041399</v>
      </c>
    </row>
    <row r="334" spans="1:27" s="4" customFormat="1" x14ac:dyDescent="0.25">
      <c r="A334" s="39"/>
      <c r="B334" s="38"/>
      <c r="C334" s="6">
        <v>41850</v>
      </c>
      <c r="D334" s="4">
        <v>17.899999999999999</v>
      </c>
      <c r="E334" s="4">
        <v>14.9</v>
      </c>
      <c r="F334" s="4">
        <v>21.8</v>
      </c>
      <c r="G334" s="4">
        <f t="shared" si="63"/>
        <v>3694.8000000000006</v>
      </c>
      <c r="H334" s="4">
        <f t="shared" si="56"/>
        <v>997.00000000000011</v>
      </c>
      <c r="J334" s="4">
        <v>0</v>
      </c>
      <c r="K334" s="4">
        <f t="shared" si="64"/>
        <v>851.90000000000089</v>
      </c>
      <c r="L334" s="4">
        <v>4</v>
      </c>
      <c r="M334" s="4">
        <f t="shared" si="65"/>
        <v>648.70000000000005</v>
      </c>
      <c r="N334" s="9">
        <f t="shared" si="62"/>
        <v>-4</v>
      </c>
      <c r="O334" s="37">
        <v>28.400000000000027</v>
      </c>
      <c r="P334" s="4">
        <v>329</v>
      </c>
      <c r="Q334" s="12">
        <f t="shared" si="58"/>
        <v>0.3710526315789473</v>
      </c>
      <c r="R334" s="10">
        <f t="shared" si="59"/>
        <v>1.4842105263157892</v>
      </c>
      <c r="S334" s="10">
        <f t="shared" si="60"/>
        <v>-1.4842105263157892</v>
      </c>
      <c r="T334" s="10">
        <f t="shared" si="66"/>
        <v>61.768157894736845</v>
      </c>
      <c r="V334" s="4">
        <v>2147.3000000000002</v>
      </c>
      <c r="W334" s="4">
        <f t="shared" si="61"/>
        <v>119.96089385474862</v>
      </c>
      <c r="X334" s="4">
        <f t="shared" si="67"/>
        <v>300809.40000000008</v>
      </c>
      <c r="Y334" s="4">
        <f t="shared" si="57"/>
        <v>85524.89999999998</v>
      </c>
      <c r="AA334" s="4">
        <v>15.4613089855818</v>
      </c>
    </row>
    <row r="335" spans="1:27" s="4" customFormat="1" x14ac:dyDescent="0.25">
      <c r="A335" s="39"/>
      <c r="B335" s="38"/>
      <c r="C335" s="6">
        <v>41851</v>
      </c>
      <c r="D335" s="4">
        <v>19.100000000000001</v>
      </c>
      <c r="E335" s="4">
        <v>13.9</v>
      </c>
      <c r="F335" s="4">
        <v>24.4</v>
      </c>
      <c r="G335" s="4">
        <f t="shared" si="63"/>
        <v>3713.9000000000005</v>
      </c>
      <c r="H335" s="4">
        <f t="shared" si="56"/>
        <v>1016.1000000000001</v>
      </c>
      <c r="J335" s="4">
        <v>0</v>
      </c>
      <c r="K335" s="4">
        <f t="shared" si="64"/>
        <v>851.90000000000089</v>
      </c>
      <c r="L335" s="4">
        <v>4.2</v>
      </c>
      <c r="M335" s="4">
        <f t="shared" si="65"/>
        <v>652.90000000000009</v>
      </c>
      <c r="N335" s="9">
        <f t="shared" si="62"/>
        <v>-4.2</v>
      </c>
      <c r="O335" s="37">
        <v>24.200000000000028</v>
      </c>
      <c r="P335" s="4">
        <v>330</v>
      </c>
      <c r="Q335" s="12">
        <f t="shared" si="58"/>
        <v>0.36052631578947369</v>
      </c>
      <c r="R335" s="10">
        <f t="shared" si="59"/>
        <v>1.5142105263157897</v>
      </c>
      <c r="S335" s="10">
        <f t="shared" si="60"/>
        <v>-1.5142105263157897</v>
      </c>
      <c r="T335" s="10">
        <f t="shared" si="66"/>
        <v>60.253947368421052</v>
      </c>
      <c r="V335" s="4">
        <v>2180.8000000000002</v>
      </c>
      <c r="W335" s="4">
        <f t="shared" si="61"/>
        <v>114.17801047120419</v>
      </c>
      <c r="X335" s="4">
        <f t="shared" si="67"/>
        <v>302990.20000000007</v>
      </c>
      <c r="Y335" s="4">
        <f t="shared" si="57"/>
        <v>87705.699999999983</v>
      </c>
      <c r="AA335" s="4">
        <v>15.412739524700701</v>
      </c>
    </row>
    <row r="336" spans="1:27" s="4" customFormat="1" x14ac:dyDescent="0.25">
      <c r="A336" s="39"/>
      <c r="B336" s="38"/>
      <c r="C336" s="6">
        <v>41852</v>
      </c>
      <c r="D336" s="4">
        <v>20.6</v>
      </c>
      <c r="E336" s="4">
        <v>13</v>
      </c>
      <c r="F336" s="4">
        <v>25</v>
      </c>
      <c r="G336" s="4">
        <f t="shared" si="63"/>
        <v>3734.5000000000005</v>
      </c>
      <c r="H336" s="4">
        <f t="shared" si="56"/>
        <v>1036.7</v>
      </c>
      <c r="J336" s="4">
        <v>0</v>
      </c>
      <c r="K336" s="4">
        <f t="shared" si="64"/>
        <v>851.90000000000089</v>
      </c>
      <c r="L336" s="4">
        <v>3.8</v>
      </c>
      <c r="M336" s="4">
        <f t="shared" si="65"/>
        <v>656.7</v>
      </c>
      <c r="N336" s="9">
        <f t="shared" si="62"/>
        <v>-3.8</v>
      </c>
      <c r="O336" s="37">
        <v>20.400000000000027</v>
      </c>
      <c r="P336" s="4">
        <v>331</v>
      </c>
      <c r="Q336" s="12">
        <f t="shared" si="58"/>
        <v>0.35</v>
      </c>
      <c r="R336" s="10">
        <f t="shared" si="59"/>
        <v>1.3299999999999998</v>
      </c>
      <c r="S336" s="10">
        <f t="shared" si="60"/>
        <v>-1.3299999999999998</v>
      </c>
      <c r="T336" s="10">
        <f t="shared" si="66"/>
        <v>58.923947368421054</v>
      </c>
      <c r="V336" s="4">
        <v>2149.6</v>
      </c>
      <c r="W336" s="4">
        <f t="shared" si="61"/>
        <v>104.34951456310678</v>
      </c>
      <c r="X336" s="4">
        <f t="shared" si="67"/>
        <v>305139.80000000005</v>
      </c>
      <c r="Y336" s="4">
        <f t="shared" si="57"/>
        <v>89855.299999999988</v>
      </c>
      <c r="AA336" s="4">
        <v>15.3634439090721</v>
      </c>
    </row>
    <row r="337" spans="1:26" s="4" customFormat="1" x14ac:dyDescent="0.25">
      <c r="A337" s="69" t="s">
        <v>48</v>
      </c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</sheetData>
  <mergeCells count="13">
    <mergeCell ref="A337:Z337"/>
    <mergeCell ref="A6:A81"/>
    <mergeCell ref="A82:A106"/>
    <mergeCell ref="A107:A214"/>
    <mergeCell ref="A236:A260"/>
    <mergeCell ref="A261:A280"/>
    <mergeCell ref="A281:A303"/>
    <mergeCell ref="A5:Z5"/>
    <mergeCell ref="D1:I2"/>
    <mergeCell ref="J1:U2"/>
    <mergeCell ref="V1:Z2"/>
    <mergeCell ref="G4:H4"/>
    <mergeCell ref="X4:Y4"/>
  </mergeCells>
  <conditionalFormatting sqref="T1:T4">
    <cfRule type="cellIs" dxfId="9" priority="4" operator="equal">
      <formula>0</formula>
    </cfRule>
    <cfRule type="cellIs" dxfId="8" priority="5" operator="lessThanOrEqual">
      <formula>51.2</formula>
    </cfRule>
  </conditionalFormatting>
  <conditionalFormatting sqref="S6:S336">
    <cfRule type="cellIs" dxfId="7" priority="3" operator="lessThanOrEqual">
      <formula>0</formula>
    </cfRule>
  </conditionalFormatting>
  <conditionalFormatting sqref="T5:T337">
    <cfRule type="cellIs" dxfId="6" priority="1" operator="equal">
      <formula>0</formula>
    </cfRule>
    <cfRule type="cellIs" dxfId="5" priority="2" operator="lessThanOrEqual">
      <formula>51.2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M337"/>
  <sheetViews>
    <sheetView tabSelected="1" topLeftCell="A178" zoomScale="70" zoomScaleNormal="70" workbookViewId="0">
      <selection activeCell="AD198" sqref="AD198"/>
    </sheetView>
  </sheetViews>
  <sheetFormatPr baseColWidth="10" defaultRowHeight="15" x14ac:dyDescent="0.25"/>
  <sheetData>
    <row r="1" spans="1:27" x14ac:dyDescent="0.25">
      <c r="B1" s="1"/>
      <c r="D1" s="67" t="s">
        <v>0</v>
      </c>
      <c r="E1" s="67"/>
      <c r="F1" s="67"/>
      <c r="G1" s="67"/>
      <c r="H1" s="67"/>
      <c r="I1" s="67"/>
      <c r="J1" s="67" t="s">
        <v>1</v>
      </c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 t="s">
        <v>2</v>
      </c>
      <c r="W1" s="67"/>
      <c r="X1" s="67"/>
      <c r="Y1" s="67"/>
      <c r="Z1" s="67"/>
    </row>
    <row r="2" spans="1:27" x14ac:dyDescent="0.25">
      <c r="B2" s="1"/>
      <c r="C2" s="2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7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7" x14ac:dyDescent="0.25">
      <c r="A4" t="s">
        <v>3</v>
      </c>
      <c r="B4" s="1">
        <v>5</v>
      </c>
      <c r="C4" t="s">
        <v>4</v>
      </c>
      <c r="D4" t="s">
        <v>5</v>
      </c>
      <c r="E4" t="s">
        <v>6</v>
      </c>
      <c r="F4" t="s">
        <v>7</v>
      </c>
      <c r="G4" s="68" t="s">
        <v>8</v>
      </c>
      <c r="H4" s="68"/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9</v>
      </c>
      <c r="V4" t="s">
        <v>21</v>
      </c>
      <c r="W4" t="s">
        <v>22</v>
      </c>
      <c r="X4" s="68" t="s">
        <v>23</v>
      </c>
      <c r="Y4" s="68"/>
      <c r="Z4" t="s">
        <v>9</v>
      </c>
    </row>
    <row r="5" spans="1:27" s="4" customFormat="1" x14ac:dyDescent="0.25">
      <c r="A5" s="66" t="s">
        <v>24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7" s="4" customFormat="1" ht="15" customHeight="1" x14ac:dyDescent="0.25">
      <c r="A6" s="70" t="s">
        <v>25</v>
      </c>
      <c r="B6" s="5"/>
      <c r="C6" s="6">
        <v>41522</v>
      </c>
      <c r="D6" s="4">
        <v>23.7</v>
      </c>
      <c r="E6" s="4">
        <v>17</v>
      </c>
      <c r="F6" s="7">
        <v>31.2</v>
      </c>
      <c r="G6" s="4">
        <f>D6</f>
        <v>23.7</v>
      </c>
      <c r="I6" s="8" t="s">
        <v>26</v>
      </c>
      <c r="J6" s="4">
        <v>0</v>
      </c>
      <c r="K6" s="4">
        <f>J6</f>
        <v>0</v>
      </c>
      <c r="L6" s="4">
        <v>5.5</v>
      </c>
      <c r="M6" s="4">
        <f>L6</f>
        <v>5.5</v>
      </c>
      <c r="N6" s="9">
        <f>J6-L6</f>
        <v>-5.5</v>
      </c>
      <c r="O6" s="4">
        <v>0</v>
      </c>
      <c r="P6" s="4">
        <v>1</v>
      </c>
      <c r="Q6" s="4">
        <v>0.35</v>
      </c>
      <c r="R6" s="10">
        <f t="shared" ref="R6:R69" si="0">Q6*L6</f>
        <v>1.9249999999999998</v>
      </c>
      <c r="S6" s="10">
        <f t="shared" ref="S6:S69" si="1">J6-R6</f>
        <v>-1.9249999999999998</v>
      </c>
      <c r="T6" s="4">
        <v>0</v>
      </c>
      <c r="U6" s="8" t="s">
        <v>27</v>
      </c>
      <c r="V6" s="4">
        <v>2221.9</v>
      </c>
      <c r="W6" s="4">
        <f t="shared" ref="W6:W69" si="2">V6/D6</f>
        <v>93.751054852320678</v>
      </c>
      <c r="X6" s="4">
        <f>V6</f>
        <v>2221.9</v>
      </c>
      <c r="Z6" s="8" t="s">
        <v>28</v>
      </c>
      <c r="AA6" s="4">
        <v>13.349400769242999</v>
      </c>
    </row>
    <row r="7" spans="1:27" s="4" customFormat="1" x14ac:dyDescent="0.25">
      <c r="A7" s="70"/>
      <c r="B7" s="5"/>
      <c r="C7" s="6">
        <v>41523</v>
      </c>
      <c r="D7" s="4">
        <v>17.399999999999999</v>
      </c>
      <c r="E7" s="4">
        <v>15.3</v>
      </c>
      <c r="F7" s="4">
        <v>20</v>
      </c>
      <c r="G7" s="4">
        <f>G6+D7</f>
        <v>41.099999999999994</v>
      </c>
      <c r="I7" s="4">
        <f>MIN(E6:E81)</f>
        <v>0.5</v>
      </c>
      <c r="J7" s="4">
        <v>2.2000000000000002</v>
      </c>
      <c r="K7" s="4">
        <f>K6+J7</f>
        <v>2.2000000000000002</v>
      </c>
      <c r="L7" s="4">
        <v>1.7</v>
      </c>
      <c r="M7" s="4">
        <f>M6+L7</f>
        <v>7.2</v>
      </c>
      <c r="N7" s="4">
        <f t="shared" ref="N7:N70" si="3">J7-L7</f>
        <v>0.50000000000000022</v>
      </c>
      <c r="O7" s="4">
        <v>0.50000000000000022</v>
      </c>
      <c r="P7" s="4">
        <v>2</v>
      </c>
      <c r="Q7" s="4">
        <v>0.35</v>
      </c>
      <c r="R7" s="10">
        <f t="shared" si="0"/>
        <v>0.59499999999999997</v>
      </c>
      <c r="S7" s="10">
        <f t="shared" si="1"/>
        <v>1.6050000000000002</v>
      </c>
      <c r="T7" s="10">
        <f>MIN(153.6,(T6+S7))</f>
        <v>1.6050000000000002</v>
      </c>
      <c r="U7" s="4">
        <v>37</v>
      </c>
      <c r="V7" s="11">
        <v>723.7</v>
      </c>
      <c r="W7" s="4">
        <f t="shared" si="2"/>
        <v>41.59195402298851</v>
      </c>
      <c r="X7" s="4">
        <f>X6+V7</f>
        <v>2945.6000000000004</v>
      </c>
      <c r="Z7" s="4">
        <v>49166.80000000001</v>
      </c>
      <c r="AA7" s="4">
        <v>13.2871946120391</v>
      </c>
    </row>
    <row r="8" spans="1:27" s="4" customFormat="1" x14ac:dyDescent="0.25">
      <c r="A8" s="70"/>
      <c r="B8" s="5"/>
      <c r="C8" s="6">
        <v>41524</v>
      </c>
      <c r="D8" s="4">
        <v>16.399999999999999</v>
      </c>
      <c r="E8" s="4">
        <v>13.9</v>
      </c>
      <c r="F8" s="4">
        <v>19.8</v>
      </c>
      <c r="G8" s="4">
        <f t="shared" ref="G8:G71" si="4">G7+D8</f>
        <v>57.499999999999993</v>
      </c>
      <c r="I8" s="8" t="s">
        <v>29</v>
      </c>
      <c r="J8" s="4">
        <v>0.4</v>
      </c>
      <c r="K8" s="4">
        <f t="shared" ref="K8:K71" si="5">K7+J8</f>
        <v>2.6</v>
      </c>
      <c r="L8" s="4">
        <v>3.2</v>
      </c>
      <c r="M8" s="4">
        <f t="shared" ref="M8:M71" si="6">M7+L8</f>
        <v>10.4</v>
      </c>
      <c r="N8" s="9">
        <f t="shared" si="3"/>
        <v>-2.8000000000000003</v>
      </c>
      <c r="O8" s="4">
        <v>0</v>
      </c>
      <c r="P8" s="4">
        <v>3</v>
      </c>
      <c r="Q8" s="4">
        <v>0.35</v>
      </c>
      <c r="R8" s="10">
        <f t="shared" si="0"/>
        <v>1.1199999999999999</v>
      </c>
      <c r="S8" s="10">
        <f t="shared" si="1"/>
        <v>-0.71999999999999986</v>
      </c>
      <c r="T8" s="10">
        <f t="shared" ref="T8:T71" si="7">MIN(153.6,(T7+S8))</f>
        <v>0.88500000000000034</v>
      </c>
      <c r="U8" s="8" t="s">
        <v>30</v>
      </c>
      <c r="V8" s="4">
        <v>1425.8</v>
      </c>
      <c r="W8" s="4">
        <f t="shared" si="2"/>
        <v>86.939024390243901</v>
      </c>
      <c r="X8" s="4">
        <f t="shared" ref="X8:X71" si="8">X7+V8</f>
        <v>4371.4000000000005</v>
      </c>
      <c r="Z8" s="8" t="s">
        <v>31</v>
      </c>
      <c r="AA8" s="4">
        <v>13.2248683582546</v>
      </c>
    </row>
    <row r="9" spans="1:27" s="4" customFormat="1" x14ac:dyDescent="0.25">
      <c r="A9" s="70"/>
      <c r="B9" s="5"/>
      <c r="C9" s="6">
        <v>41525</v>
      </c>
      <c r="D9" s="4">
        <v>14.4</v>
      </c>
      <c r="E9" s="4">
        <v>11.8</v>
      </c>
      <c r="F9" s="4">
        <v>20.2</v>
      </c>
      <c r="G9" s="4">
        <f t="shared" si="4"/>
        <v>71.899999999999991</v>
      </c>
      <c r="I9" s="4">
        <f>MAX(F6:F81)</f>
        <v>31.2</v>
      </c>
      <c r="J9" s="4">
        <v>5.9</v>
      </c>
      <c r="K9" s="4">
        <f t="shared" si="5"/>
        <v>8.5</v>
      </c>
      <c r="L9" s="4">
        <v>3.1</v>
      </c>
      <c r="M9" s="4">
        <f t="shared" si="6"/>
        <v>13.5</v>
      </c>
      <c r="N9" s="4">
        <f t="shared" si="3"/>
        <v>2.8000000000000003</v>
      </c>
      <c r="O9" s="4">
        <v>2.8000000000000003</v>
      </c>
      <c r="P9" s="4">
        <v>4</v>
      </c>
      <c r="Q9" s="4">
        <v>0.35</v>
      </c>
      <c r="R9" s="10">
        <f t="shared" si="0"/>
        <v>1.085</v>
      </c>
      <c r="S9" s="10">
        <f t="shared" si="1"/>
        <v>4.8150000000000004</v>
      </c>
      <c r="T9" s="10">
        <f t="shared" si="7"/>
        <v>5.7000000000000011</v>
      </c>
      <c r="U9" s="4">
        <v>1</v>
      </c>
      <c r="V9" s="4">
        <v>1435</v>
      </c>
      <c r="W9" s="4">
        <f t="shared" si="2"/>
        <v>99.652777777777771</v>
      </c>
      <c r="X9" s="4">
        <f t="shared" si="8"/>
        <v>5806.4000000000005</v>
      </c>
      <c r="Z9" s="12">
        <f>(Z7/100)/I19</f>
        <v>0.52618578767123303</v>
      </c>
      <c r="AA9" s="4">
        <v>13.162429435301499</v>
      </c>
    </row>
    <row r="10" spans="1:27" s="4" customFormat="1" x14ac:dyDescent="0.25">
      <c r="A10" s="70"/>
      <c r="B10" s="5"/>
      <c r="C10" s="6">
        <v>41526</v>
      </c>
      <c r="D10" s="4">
        <v>12.3</v>
      </c>
      <c r="E10" s="4">
        <v>10</v>
      </c>
      <c r="F10" s="4">
        <v>16.100000000000001</v>
      </c>
      <c r="G10" s="4">
        <f t="shared" si="4"/>
        <v>84.199999999999989</v>
      </c>
      <c r="I10" s="8" t="s">
        <v>32</v>
      </c>
      <c r="J10" s="4">
        <v>7.4</v>
      </c>
      <c r="K10" s="4">
        <f t="shared" si="5"/>
        <v>15.9</v>
      </c>
      <c r="L10" s="4">
        <v>1.4</v>
      </c>
      <c r="M10" s="4">
        <f t="shared" si="6"/>
        <v>14.9</v>
      </c>
      <c r="N10" s="4">
        <f t="shared" si="3"/>
        <v>6</v>
      </c>
      <c r="O10" s="4">
        <v>8.8000000000000007</v>
      </c>
      <c r="P10" s="4">
        <v>5</v>
      </c>
      <c r="Q10" s="4">
        <v>0.35</v>
      </c>
      <c r="R10" s="10">
        <f t="shared" si="0"/>
        <v>0.48999999999999994</v>
      </c>
      <c r="S10" s="10">
        <f t="shared" si="1"/>
        <v>6.91</v>
      </c>
      <c r="T10" s="10">
        <f t="shared" si="7"/>
        <v>12.610000000000001</v>
      </c>
      <c r="U10" s="8" t="s">
        <v>33</v>
      </c>
      <c r="V10" s="11">
        <v>405.6</v>
      </c>
      <c r="W10" s="4">
        <f t="shared" si="2"/>
        <v>32.975609756097562</v>
      </c>
      <c r="X10" s="4">
        <f t="shared" si="8"/>
        <v>6212.0000000000009</v>
      </c>
      <c r="Z10" s="8" t="s">
        <v>34</v>
      </c>
      <c r="AA10" s="4">
        <v>13.099884997988401</v>
      </c>
    </row>
    <row r="11" spans="1:27" s="4" customFormat="1" x14ac:dyDescent="0.25">
      <c r="A11" s="70"/>
      <c r="B11" s="5"/>
      <c r="C11" s="6">
        <v>41527</v>
      </c>
      <c r="D11" s="4">
        <v>11.6</v>
      </c>
      <c r="E11" s="4">
        <v>8.9</v>
      </c>
      <c r="F11" s="4">
        <v>14.1</v>
      </c>
      <c r="G11" s="4">
        <f t="shared" si="4"/>
        <v>95.799999999999983</v>
      </c>
      <c r="I11" s="10">
        <f>AVERAGE(D6:D81)</f>
        <v>12.294736842105266</v>
      </c>
      <c r="J11" s="4">
        <v>12.3</v>
      </c>
      <c r="K11" s="4">
        <f t="shared" si="5"/>
        <v>28.200000000000003</v>
      </c>
      <c r="L11" s="4">
        <v>0.9</v>
      </c>
      <c r="M11" s="4">
        <f t="shared" si="6"/>
        <v>15.8</v>
      </c>
      <c r="N11" s="4">
        <f t="shared" si="3"/>
        <v>11.4</v>
      </c>
      <c r="O11" s="4">
        <v>20.200000000000003</v>
      </c>
      <c r="P11" s="4">
        <v>6</v>
      </c>
      <c r="Q11" s="4">
        <v>0.35</v>
      </c>
      <c r="R11" s="10">
        <f t="shared" si="0"/>
        <v>0.315</v>
      </c>
      <c r="S11" s="10">
        <f t="shared" si="1"/>
        <v>11.985000000000001</v>
      </c>
      <c r="T11" s="10">
        <f t="shared" si="7"/>
        <v>24.595000000000002</v>
      </c>
      <c r="U11" s="4">
        <v>20</v>
      </c>
      <c r="V11" s="11">
        <v>398.7</v>
      </c>
      <c r="W11" s="4">
        <f t="shared" si="2"/>
        <v>34.370689655172413</v>
      </c>
      <c r="X11" s="4">
        <f t="shared" si="8"/>
        <v>6610.7000000000007</v>
      </c>
      <c r="Z11" s="4">
        <v>56</v>
      </c>
      <c r="AA11" s="4">
        <v>13.0372419462499</v>
      </c>
    </row>
    <row r="12" spans="1:27" s="4" customFormat="1" x14ac:dyDescent="0.25">
      <c r="A12" s="70"/>
      <c r="B12" s="5"/>
      <c r="C12" s="6">
        <v>41528</v>
      </c>
      <c r="D12" s="4">
        <v>13.3</v>
      </c>
      <c r="E12" s="4">
        <v>11.6</v>
      </c>
      <c r="F12" s="4">
        <v>14.3</v>
      </c>
      <c r="G12" s="4">
        <f t="shared" si="4"/>
        <v>109.09999999999998</v>
      </c>
      <c r="I12" s="8" t="s">
        <v>35</v>
      </c>
      <c r="J12" s="4">
        <v>5.8</v>
      </c>
      <c r="K12" s="4">
        <f t="shared" si="5"/>
        <v>34</v>
      </c>
      <c r="L12" s="4">
        <v>0.9</v>
      </c>
      <c r="M12" s="4">
        <f t="shared" si="6"/>
        <v>16.7</v>
      </c>
      <c r="N12" s="4">
        <f t="shared" si="3"/>
        <v>4.8999999999999995</v>
      </c>
      <c r="O12" s="4">
        <v>25.1</v>
      </c>
      <c r="P12" s="4">
        <v>7</v>
      </c>
      <c r="Q12" s="4">
        <v>0.35</v>
      </c>
      <c r="R12" s="10">
        <f t="shared" si="0"/>
        <v>0.315</v>
      </c>
      <c r="S12" s="10">
        <f t="shared" si="1"/>
        <v>5.4849999999999994</v>
      </c>
      <c r="T12" s="10">
        <f t="shared" si="7"/>
        <v>30.080000000000002</v>
      </c>
      <c r="U12" s="8" t="s">
        <v>36</v>
      </c>
      <c r="V12" s="11">
        <v>317.60000000000002</v>
      </c>
      <c r="W12" s="4">
        <f t="shared" si="2"/>
        <v>23.8796992481203</v>
      </c>
      <c r="X12" s="4">
        <f t="shared" si="8"/>
        <v>6928.3000000000011</v>
      </c>
      <c r="AA12" s="4">
        <v>12.974506942894701</v>
      </c>
    </row>
    <row r="13" spans="1:27" s="4" customFormat="1" x14ac:dyDescent="0.25">
      <c r="A13" s="70"/>
      <c r="B13" s="5"/>
      <c r="C13" s="6">
        <v>41529</v>
      </c>
      <c r="D13" s="4">
        <v>13.4</v>
      </c>
      <c r="E13" s="4">
        <v>9.6</v>
      </c>
      <c r="F13" s="4">
        <v>18.2</v>
      </c>
      <c r="G13" s="4">
        <f t="shared" si="4"/>
        <v>122.49999999999999</v>
      </c>
      <c r="I13" s="4">
        <v>0</v>
      </c>
      <c r="J13" s="4">
        <v>0.4</v>
      </c>
      <c r="K13" s="4">
        <f t="shared" si="5"/>
        <v>34.4</v>
      </c>
      <c r="L13" s="4">
        <v>2.6</v>
      </c>
      <c r="M13" s="4">
        <f t="shared" si="6"/>
        <v>19.3</v>
      </c>
      <c r="N13" s="9">
        <f t="shared" si="3"/>
        <v>-2.2000000000000002</v>
      </c>
      <c r="O13" s="4">
        <v>22.900000000000002</v>
      </c>
      <c r="P13" s="4">
        <v>8</v>
      </c>
      <c r="Q13" s="4">
        <v>0.35</v>
      </c>
      <c r="R13" s="10">
        <f t="shared" si="0"/>
        <v>0.90999999999999992</v>
      </c>
      <c r="S13" s="10">
        <f t="shared" si="1"/>
        <v>-0.5099999999999999</v>
      </c>
      <c r="T13" s="10">
        <f t="shared" si="7"/>
        <v>29.57</v>
      </c>
      <c r="U13" s="4">
        <v>0</v>
      </c>
      <c r="V13" s="4">
        <v>1333.7</v>
      </c>
      <c r="W13" s="4">
        <f t="shared" si="2"/>
        <v>99.529850746268664</v>
      </c>
      <c r="X13" s="4">
        <f t="shared" si="8"/>
        <v>8262.0000000000018</v>
      </c>
      <c r="AA13" s="4">
        <v>12.911686431365</v>
      </c>
    </row>
    <row r="14" spans="1:27" s="4" customFormat="1" x14ac:dyDescent="0.25">
      <c r="A14" s="70"/>
      <c r="B14" s="5"/>
      <c r="C14" s="6">
        <v>41530</v>
      </c>
      <c r="D14" s="4">
        <v>14.2</v>
      </c>
      <c r="E14" s="4">
        <v>9.3000000000000007</v>
      </c>
      <c r="F14" s="4">
        <v>18</v>
      </c>
      <c r="G14" s="4">
        <f t="shared" si="4"/>
        <v>136.69999999999999</v>
      </c>
      <c r="I14" s="8" t="s">
        <v>37</v>
      </c>
      <c r="J14" s="4">
        <v>11.7</v>
      </c>
      <c r="K14" s="4">
        <f t="shared" si="5"/>
        <v>46.099999999999994</v>
      </c>
      <c r="L14" s="4">
        <v>0.8</v>
      </c>
      <c r="M14" s="4">
        <f t="shared" si="6"/>
        <v>20.100000000000001</v>
      </c>
      <c r="N14" s="4">
        <f t="shared" si="3"/>
        <v>10.899999999999999</v>
      </c>
      <c r="O14" s="4">
        <v>33.799999999999997</v>
      </c>
      <c r="P14" s="4">
        <v>9</v>
      </c>
      <c r="Q14" s="4">
        <v>0.35</v>
      </c>
      <c r="R14" s="10">
        <f t="shared" si="0"/>
        <v>0.27999999999999997</v>
      </c>
      <c r="S14" s="10">
        <f t="shared" si="1"/>
        <v>11.42</v>
      </c>
      <c r="T14" s="10">
        <f t="shared" si="7"/>
        <v>40.99</v>
      </c>
      <c r="U14" s="8" t="s">
        <v>38</v>
      </c>
      <c r="V14" s="11">
        <v>393.4</v>
      </c>
      <c r="W14" s="4">
        <f t="shared" si="2"/>
        <v>27.704225352112676</v>
      </c>
      <c r="X14" s="4">
        <f t="shared" si="8"/>
        <v>8655.4000000000015</v>
      </c>
      <c r="AA14" s="4">
        <v>12.8487866535064</v>
      </c>
    </row>
    <row r="15" spans="1:27" s="4" customFormat="1" x14ac:dyDescent="0.25">
      <c r="A15" s="70"/>
      <c r="B15" s="5"/>
      <c r="C15" s="6">
        <v>41531</v>
      </c>
      <c r="D15" s="4">
        <v>14.7</v>
      </c>
      <c r="E15" s="4">
        <v>13.7</v>
      </c>
      <c r="F15" s="4">
        <v>15.7</v>
      </c>
      <c r="G15" s="4">
        <f t="shared" si="4"/>
        <v>151.39999999999998</v>
      </c>
      <c r="I15" s="4">
        <v>1</v>
      </c>
      <c r="J15" s="4">
        <v>2.9</v>
      </c>
      <c r="K15" s="4">
        <f t="shared" si="5"/>
        <v>48.999999999999993</v>
      </c>
      <c r="L15" s="4">
        <v>1.2</v>
      </c>
      <c r="M15" s="4">
        <f t="shared" si="6"/>
        <v>21.3</v>
      </c>
      <c r="N15" s="4">
        <f t="shared" si="3"/>
        <v>1.7</v>
      </c>
      <c r="O15" s="4">
        <v>35.5</v>
      </c>
      <c r="P15" s="4">
        <v>10</v>
      </c>
      <c r="Q15" s="4">
        <f>0.35+((P15-9)/67)*(1-0.35)</f>
        <v>0.35970149253731343</v>
      </c>
      <c r="R15" s="10">
        <f t="shared" si="0"/>
        <v>0.43164179104477612</v>
      </c>
      <c r="S15" s="10">
        <f t="shared" si="1"/>
        <v>2.4683582089552236</v>
      </c>
      <c r="T15" s="10">
        <f t="shared" si="7"/>
        <v>43.458358208955225</v>
      </c>
      <c r="U15" s="4">
        <f>MAX(T6:T81)</f>
        <v>153.6</v>
      </c>
      <c r="V15" s="11">
        <v>378.7</v>
      </c>
      <c r="W15" s="4">
        <f t="shared" si="2"/>
        <v>25.761904761904763</v>
      </c>
      <c r="X15" s="4">
        <f t="shared" si="8"/>
        <v>9034.1000000000022</v>
      </c>
      <c r="AA15" s="4">
        <v>12.785813667348</v>
      </c>
    </row>
    <row r="16" spans="1:27" s="4" customFormat="1" x14ac:dyDescent="0.25">
      <c r="A16" s="70"/>
      <c r="B16" s="5"/>
      <c r="C16" s="6">
        <v>41532</v>
      </c>
      <c r="D16" s="4">
        <v>13.9</v>
      </c>
      <c r="E16" s="4">
        <v>10.4</v>
      </c>
      <c r="F16" s="4">
        <v>17.3</v>
      </c>
      <c r="G16" s="4">
        <f t="shared" si="4"/>
        <v>165.29999999999998</v>
      </c>
      <c r="I16" s="8" t="s">
        <v>39</v>
      </c>
      <c r="J16" s="4">
        <v>5.4</v>
      </c>
      <c r="K16" s="4">
        <f t="shared" si="5"/>
        <v>54.399999999999991</v>
      </c>
      <c r="L16" s="4">
        <v>3</v>
      </c>
      <c r="M16" s="4">
        <f t="shared" si="6"/>
        <v>24.3</v>
      </c>
      <c r="N16" s="4">
        <f t="shared" si="3"/>
        <v>2.4000000000000004</v>
      </c>
      <c r="O16" s="4">
        <v>37.9</v>
      </c>
      <c r="P16" s="4">
        <v>11</v>
      </c>
      <c r="Q16" s="4">
        <f t="shared" ref="Q16:Q79" si="9">0.35+((P16-9)/67)*(1-0.35)</f>
        <v>0.36940298507462682</v>
      </c>
      <c r="R16" s="10">
        <f t="shared" si="0"/>
        <v>1.1082089552238805</v>
      </c>
      <c r="S16" s="10">
        <f t="shared" si="1"/>
        <v>4.2917910447761196</v>
      </c>
      <c r="T16" s="10">
        <f t="shared" si="7"/>
        <v>47.750149253731344</v>
      </c>
      <c r="U16" s="8" t="s">
        <v>40</v>
      </c>
      <c r="V16" s="4">
        <v>1202.0999999999999</v>
      </c>
      <c r="W16" s="4">
        <f t="shared" si="2"/>
        <v>86.482014388489205</v>
      </c>
      <c r="X16" s="4">
        <f t="shared" si="8"/>
        <v>10236.200000000003</v>
      </c>
      <c r="AA16" s="4">
        <v>12.7227733648918</v>
      </c>
    </row>
    <row r="17" spans="1:27" s="4" customFormat="1" x14ac:dyDescent="0.25">
      <c r="A17" s="70"/>
      <c r="B17" s="5"/>
      <c r="C17" s="6">
        <v>41533</v>
      </c>
      <c r="D17" s="4">
        <v>12</v>
      </c>
      <c r="E17" s="4">
        <v>10.199999999999999</v>
      </c>
      <c r="F17" s="4">
        <v>16.100000000000001</v>
      </c>
      <c r="G17" s="4">
        <f t="shared" si="4"/>
        <v>177.29999999999998</v>
      </c>
      <c r="I17" s="4">
        <v>10</v>
      </c>
      <c r="J17" s="4">
        <v>1</v>
      </c>
      <c r="K17" s="4">
        <f t="shared" si="5"/>
        <v>55.399999999999991</v>
      </c>
      <c r="L17" s="4">
        <v>3.6</v>
      </c>
      <c r="M17" s="4">
        <f t="shared" si="6"/>
        <v>27.900000000000002</v>
      </c>
      <c r="N17" s="9">
        <f t="shared" si="3"/>
        <v>-2.6</v>
      </c>
      <c r="O17" s="4">
        <v>35.299999999999997</v>
      </c>
      <c r="P17" s="4">
        <v>12</v>
      </c>
      <c r="Q17" s="4">
        <f t="shared" si="9"/>
        <v>0.37910447761194027</v>
      </c>
      <c r="R17" s="10">
        <f t="shared" si="0"/>
        <v>1.364776119402985</v>
      </c>
      <c r="S17" s="10">
        <f t="shared" si="1"/>
        <v>-0.36477611940298504</v>
      </c>
      <c r="T17" s="10">
        <f t="shared" si="7"/>
        <v>47.385373134328361</v>
      </c>
      <c r="U17" s="12">
        <f>AVERAGE(T6:T81)</f>
        <v>96.074825216025189</v>
      </c>
      <c r="V17" s="4">
        <v>1666.8</v>
      </c>
      <c r="W17" s="4">
        <f t="shared" si="2"/>
        <v>138.9</v>
      </c>
      <c r="X17" s="4">
        <f t="shared" si="8"/>
        <v>11903.000000000002</v>
      </c>
      <c r="AA17" s="4">
        <v>12.659671489917001</v>
      </c>
    </row>
    <row r="18" spans="1:27" s="4" customFormat="1" x14ac:dyDescent="0.25">
      <c r="A18" s="70"/>
      <c r="B18" s="5"/>
      <c r="C18" s="6">
        <v>41534</v>
      </c>
      <c r="D18" s="4">
        <v>11.9</v>
      </c>
      <c r="E18" s="4">
        <v>7.7</v>
      </c>
      <c r="F18" s="4">
        <v>15.4</v>
      </c>
      <c r="G18" s="4">
        <f t="shared" si="4"/>
        <v>189.2</v>
      </c>
      <c r="I18" s="8" t="s">
        <v>41</v>
      </c>
      <c r="J18" s="4">
        <v>14.3</v>
      </c>
      <c r="K18" s="4">
        <f t="shared" si="5"/>
        <v>69.699999999999989</v>
      </c>
      <c r="L18" s="4">
        <v>1.5</v>
      </c>
      <c r="M18" s="4">
        <f t="shared" si="6"/>
        <v>29.400000000000002</v>
      </c>
      <c r="N18" s="4">
        <f t="shared" si="3"/>
        <v>12.8</v>
      </c>
      <c r="O18" s="4">
        <v>48.099999999999994</v>
      </c>
      <c r="P18" s="4">
        <v>13</v>
      </c>
      <c r="Q18" s="4">
        <f t="shared" si="9"/>
        <v>0.38880597014925372</v>
      </c>
      <c r="R18" s="10">
        <f t="shared" si="0"/>
        <v>0.58320895522388061</v>
      </c>
      <c r="S18" s="10">
        <f t="shared" si="1"/>
        <v>13.716791044776119</v>
      </c>
      <c r="T18" s="10">
        <f t="shared" si="7"/>
        <v>61.102164179104477</v>
      </c>
      <c r="V18" s="11">
        <v>398</v>
      </c>
      <c r="W18" s="4">
        <f t="shared" si="2"/>
        <v>33.445378151260506</v>
      </c>
      <c r="X18" s="4">
        <f t="shared" si="8"/>
        <v>12301.000000000002</v>
      </c>
      <c r="AA18" s="4">
        <v>12.596513655801299</v>
      </c>
    </row>
    <row r="19" spans="1:27" s="4" customFormat="1" x14ac:dyDescent="0.25">
      <c r="A19" s="70"/>
      <c r="B19" s="5"/>
      <c r="C19" s="6">
        <v>41535</v>
      </c>
      <c r="D19" s="4">
        <v>13.1</v>
      </c>
      <c r="E19" s="4">
        <v>12.7</v>
      </c>
      <c r="F19" s="4">
        <v>14.6</v>
      </c>
      <c r="G19" s="4">
        <f t="shared" si="4"/>
        <v>202.29999999999998</v>
      </c>
      <c r="I19" s="4">
        <v>934.4</v>
      </c>
      <c r="J19" s="4">
        <v>0.3</v>
      </c>
      <c r="K19" s="4">
        <f t="shared" si="5"/>
        <v>69.999999999999986</v>
      </c>
      <c r="L19" s="4">
        <v>1.7</v>
      </c>
      <c r="M19" s="4">
        <f t="shared" si="6"/>
        <v>31.1</v>
      </c>
      <c r="N19" s="9">
        <f t="shared" si="3"/>
        <v>-1.4</v>
      </c>
      <c r="O19" s="4">
        <v>46.699999999999996</v>
      </c>
      <c r="P19" s="4">
        <v>14</v>
      </c>
      <c r="Q19" s="4">
        <f t="shared" si="9"/>
        <v>0.39850746268656712</v>
      </c>
      <c r="R19" s="10">
        <f t="shared" si="0"/>
        <v>0.67746268656716413</v>
      </c>
      <c r="S19" s="10">
        <f t="shared" si="1"/>
        <v>-0.37746268656716414</v>
      </c>
      <c r="T19" s="10">
        <f t="shared" si="7"/>
        <v>60.724701492537314</v>
      </c>
      <c r="U19" s="4">
        <f>(U17*100)/153.6</f>
        <v>62.548714333349729</v>
      </c>
      <c r="V19" s="11">
        <v>414.9</v>
      </c>
      <c r="W19" s="4">
        <f t="shared" si="2"/>
        <v>31.671755725190838</v>
      </c>
      <c r="X19" s="4">
        <f t="shared" si="8"/>
        <v>12715.900000000001</v>
      </c>
      <c r="AA19" s="4">
        <v>12.533305363366001</v>
      </c>
    </row>
    <row r="20" spans="1:27" s="4" customFormat="1" x14ac:dyDescent="0.25">
      <c r="A20" s="70"/>
      <c r="B20" s="5"/>
      <c r="C20" s="6">
        <v>41536</v>
      </c>
      <c r="D20" s="4">
        <v>12.2</v>
      </c>
      <c r="E20" s="4">
        <v>7.8</v>
      </c>
      <c r="F20" s="4">
        <v>15.1</v>
      </c>
      <c r="G20" s="4">
        <f t="shared" si="4"/>
        <v>214.49999999999997</v>
      </c>
      <c r="J20" s="4">
        <v>1.2</v>
      </c>
      <c r="K20" s="4">
        <f t="shared" si="5"/>
        <v>71.199999999999989</v>
      </c>
      <c r="L20" s="4">
        <v>1.4</v>
      </c>
      <c r="M20" s="4">
        <f t="shared" si="6"/>
        <v>32.5</v>
      </c>
      <c r="N20" s="9">
        <f t="shared" si="3"/>
        <v>-0.19999999999999996</v>
      </c>
      <c r="O20" s="4">
        <v>46.499999999999993</v>
      </c>
      <c r="P20" s="4">
        <v>15</v>
      </c>
      <c r="Q20" s="4">
        <f t="shared" si="9"/>
        <v>0.40820895522388057</v>
      </c>
      <c r="R20" s="10">
        <f t="shared" si="0"/>
        <v>0.57149253731343275</v>
      </c>
      <c r="S20" s="10">
        <f t="shared" si="1"/>
        <v>0.62850746268656721</v>
      </c>
      <c r="T20" s="10">
        <f t="shared" si="7"/>
        <v>61.353208955223877</v>
      </c>
      <c r="V20" s="11">
        <v>602.4</v>
      </c>
      <c r="W20" s="4">
        <f t="shared" si="2"/>
        <v>49.377049180327873</v>
      </c>
      <c r="X20" s="4">
        <f t="shared" si="8"/>
        <v>13318.300000000001</v>
      </c>
      <c r="AA20" s="4">
        <v>12.470052018750801</v>
      </c>
    </row>
    <row r="21" spans="1:27" s="4" customFormat="1" x14ac:dyDescent="0.25">
      <c r="A21" s="70"/>
      <c r="B21" s="5"/>
      <c r="C21" s="6">
        <v>41537</v>
      </c>
      <c r="D21" s="4">
        <v>13.6</v>
      </c>
      <c r="E21" s="4">
        <v>12</v>
      </c>
      <c r="F21" s="4">
        <v>16.600000000000001</v>
      </c>
      <c r="G21" s="4">
        <f t="shared" si="4"/>
        <v>228.09999999999997</v>
      </c>
      <c r="J21" s="4">
        <v>0</v>
      </c>
      <c r="K21" s="4">
        <f t="shared" si="5"/>
        <v>71.199999999999989</v>
      </c>
      <c r="L21" s="4">
        <v>2</v>
      </c>
      <c r="M21" s="4">
        <f t="shared" si="6"/>
        <v>34.5</v>
      </c>
      <c r="N21" s="9">
        <f t="shared" si="3"/>
        <v>-2</v>
      </c>
      <c r="O21" s="4">
        <v>44.499999999999993</v>
      </c>
      <c r="P21" s="4">
        <v>16</v>
      </c>
      <c r="Q21" s="4">
        <f t="shared" si="9"/>
        <v>0.41791044776119401</v>
      </c>
      <c r="R21" s="10">
        <f t="shared" si="0"/>
        <v>0.83582089552238803</v>
      </c>
      <c r="S21" s="10">
        <f t="shared" si="1"/>
        <v>-0.83582089552238803</v>
      </c>
      <c r="T21" s="10">
        <f t="shared" si="7"/>
        <v>60.517388059701489</v>
      </c>
      <c r="V21" s="11">
        <v>616.29999999999995</v>
      </c>
      <c r="W21" s="4">
        <f t="shared" si="2"/>
        <v>45.316176470588232</v>
      </c>
      <c r="X21" s="4">
        <f t="shared" si="8"/>
        <v>13934.6</v>
      </c>
      <c r="AA21" s="4">
        <v>12.4067589513265</v>
      </c>
    </row>
    <row r="22" spans="1:27" s="4" customFormat="1" x14ac:dyDescent="0.25">
      <c r="A22" s="70"/>
      <c r="B22" s="5"/>
      <c r="C22" s="6">
        <v>41538</v>
      </c>
      <c r="D22" s="4">
        <v>14.3</v>
      </c>
      <c r="E22" s="4">
        <v>8.9</v>
      </c>
      <c r="F22" s="4">
        <v>17.5</v>
      </c>
      <c r="G22" s="4">
        <f t="shared" si="4"/>
        <v>242.39999999999998</v>
      </c>
      <c r="J22" s="4">
        <v>0</v>
      </c>
      <c r="K22" s="4">
        <f t="shared" si="5"/>
        <v>71.199999999999989</v>
      </c>
      <c r="L22" s="4">
        <v>1.7</v>
      </c>
      <c r="M22" s="4">
        <f t="shared" si="6"/>
        <v>36.200000000000003</v>
      </c>
      <c r="N22" s="9">
        <f t="shared" si="3"/>
        <v>-1.7</v>
      </c>
      <c r="O22" s="4">
        <v>42.79999999999999</v>
      </c>
      <c r="P22" s="4">
        <v>17</v>
      </c>
      <c r="Q22" s="4">
        <f t="shared" si="9"/>
        <v>0.42761194029850746</v>
      </c>
      <c r="R22" s="10">
        <f t="shared" si="0"/>
        <v>0.72694029850746267</v>
      </c>
      <c r="S22" s="10">
        <f t="shared" si="1"/>
        <v>-0.72694029850746267</v>
      </c>
      <c r="T22" s="10">
        <f t="shared" si="7"/>
        <v>59.790447761194024</v>
      </c>
      <c r="V22" s="11">
        <v>567.5</v>
      </c>
      <c r="W22" s="4">
        <f t="shared" si="2"/>
        <v>39.685314685314687</v>
      </c>
      <c r="X22" s="4">
        <f t="shared" si="8"/>
        <v>14502.1</v>
      </c>
      <c r="AA22" s="4">
        <v>12.343431431654199</v>
      </c>
    </row>
    <row r="23" spans="1:27" s="4" customFormat="1" x14ac:dyDescent="0.25">
      <c r="A23" s="70"/>
      <c r="B23" s="5"/>
      <c r="C23" s="6">
        <v>41539</v>
      </c>
      <c r="D23" s="4">
        <v>17.5</v>
      </c>
      <c r="E23" s="4">
        <v>15.4</v>
      </c>
      <c r="F23" s="4">
        <v>19.7</v>
      </c>
      <c r="G23" s="4">
        <f t="shared" si="4"/>
        <v>259.89999999999998</v>
      </c>
      <c r="J23" s="4">
        <v>0</v>
      </c>
      <c r="K23" s="4">
        <f t="shared" si="5"/>
        <v>71.199999999999989</v>
      </c>
      <c r="L23" s="4">
        <v>1.3</v>
      </c>
      <c r="M23" s="4">
        <f t="shared" si="6"/>
        <v>37.5</v>
      </c>
      <c r="N23" s="9">
        <f t="shared" si="3"/>
        <v>-1.3</v>
      </c>
      <c r="O23" s="4">
        <v>41.499999999999993</v>
      </c>
      <c r="P23" s="4">
        <v>18</v>
      </c>
      <c r="Q23" s="4">
        <f t="shared" si="9"/>
        <v>0.43731343283582086</v>
      </c>
      <c r="R23" s="10">
        <f t="shared" si="0"/>
        <v>0.56850746268656716</v>
      </c>
      <c r="S23" s="10">
        <f t="shared" si="1"/>
        <v>-0.56850746268656716</v>
      </c>
      <c r="T23" s="10">
        <f t="shared" si="7"/>
        <v>59.221940298507455</v>
      </c>
      <c r="V23" s="11">
        <v>305.60000000000002</v>
      </c>
      <c r="W23" s="4">
        <f t="shared" si="2"/>
        <v>17.462857142857143</v>
      </c>
      <c r="X23" s="4">
        <f t="shared" si="8"/>
        <v>14807.7</v>
      </c>
      <c r="AA23" s="4">
        <v>12.2800746894998</v>
      </c>
    </row>
    <row r="24" spans="1:27" s="4" customFormat="1" x14ac:dyDescent="0.25">
      <c r="A24" s="70"/>
      <c r="B24" s="5"/>
      <c r="C24" s="6">
        <v>41540</v>
      </c>
      <c r="D24" s="4">
        <v>17.2</v>
      </c>
      <c r="E24" s="4">
        <v>16</v>
      </c>
      <c r="F24" s="4">
        <v>20.6</v>
      </c>
      <c r="G24" s="4">
        <f t="shared" si="4"/>
        <v>277.09999999999997</v>
      </c>
      <c r="J24" s="4">
        <v>0.1</v>
      </c>
      <c r="K24" s="4">
        <f t="shared" si="5"/>
        <v>71.299999999999983</v>
      </c>
      <c r="L24" s="4">
        <v>2</v>
      </c>
      <c r="M24" s="4">
        <f t="shared" si="6"/>
        <v>39.5</v>
      </c>
      <c r="N24" s="9">
        <f t="shared" si="3"/>
        <v>-1.9</v>
      </c>
      <c r="O24" s="4">
        <v>39.599999999999994</v>
      </c>
      <c r="P24" s="4">
        <v>19</v>
      </c>
      <c r="Q24" s="4">
        <f t="shared" si="9"/>
        <v>0.44701492537313431</v>
      </c>
      <c r="R24" s="10">
        <f t="shared" si="0"/>
        <v>0.89402985074626862</v>
      </c>
      <c r="S24" s="10">
        <f t="shared" si="1"/>
        <v>-0.79402985074626864</v>
      </c>
      <c r="T24" s="10">
        <f t="shared" si="7"/>
        <v>58.427910447761185</v>
      </c>
      <c r="V24" s="11">
        <v>616.4</v>
      </c>
      <c r="W24" s="4">
        <f t="shared" si="2"/>
        <v>35.837209302325583</v>
      </c>
      <c r="X24" s="4">
        <f t="shared" si="8"/>
        <v>15424.1</v>
      </c>
      <c r="AA24" s="4">
        <v>12.216693931913801</v>
      </c>
    </row>
    <row r="25" spans="1:27" s="4" customFormat="1" x14ac:dyDescent="0.25">
      <c r="A25" s="70"/>
      <c r="B25" s="5"/>
      <c r="C25" s="6">
        <v>41541</v>
      </c>
      <c r="D25" s="4">
        <v>16.2</v>
      </c>
      <c r="E25" s="4">
        <v>10.1</v>
      </c>
      <c r="F25" s="4">
        <v>21.7</v>
      </c>
      <c r="G25" s="4">
        <f t="shared" si="4"/>
        <v>293.29999999999995</v>
      </c>
      <c r="J25" s="4">
        <v>0.2</v>
      </c>
      <c r="K25" s="4">
        <f t="shared" si="5"/>
        <v>71.499999999999986</v>
      </c>
      <c r="L25" s="4">
        <v>2.6</v>
      </c>
      <c r="M25" s="4">
        <f t="shared" si="6"/>
        <v>42.1</v>
      </c>
      <c r="N25" s="9">
        <f t="shared" si="3"/>
        <v>-2.4</v>
      </c>
      <c r="O25" s="4">
        <v>37.199999999999996</v>
      </c>
      <c r="P25" s="4">
        <v>20</v>
      </c>
      <c r="Q25" s="4">
        <f t="shared" si="9"/>
        <v>0.45671641791044776</v>
      </c>
      <c r="R25" s="10">
        <f t="shared" si="0"/>
        <v>1.1874626865671642</v>
      </c>
      <c r="S25" s="10">
        <f t="shared" si="1"/>
        <v>-0.98746268656716429</v>
      </c>
      <c r="T25" s="10">
        <f t="shared" si="7"/>
        <v>57.440447761194022</v>
      </c>
      <c r="V25" s="4">
        <v>1780.7</v>
      </c>
      <c r="W25" s="4">
        <f t="shared" si="2"/>
        <v>109.91975308641976</v>
      </c>
      <c r="X25" s="4">
        <f t="shared" si="8"/>
        <v>17204.8</v>
      </c>
      <c r="AA25" s="4">
        <v>12.1532943613865</v>
      </c>
    </row>
    <row r="26" spans="1:27" s="4" customFormat="1" x14ac:dyDescent="0.25">
      <c r="A26" s="70"/>
      <c r="B26" s="5"/>
      <c r="C26" s="6">
        <v>41542</v>
      </c>
      <c r="D26" s="4">
        <v>16.7</v>
      </c>
      <c r="E26" s="4">
        <v>10.9</v>
      </c>
      <c r="F26" s="4">
        <v>20.8</v>
      </c>
      <c r="G26" s="4">
        <f t="shared" si="4"/>
        <v>309.99999999999994</v>
      </c>
      <c r="J26" s="4">
        <v>0.1</v>
      </c>
      <c r="K26" s="4">
        <f t="shared" si="5"/>
        <v>71.59999999999998</v>
      </c>
      <c r="L26" s="4">
        <v>1.8</v>
      </c>
      <c r="M26" s="4">
        <f t="shared" si="6"/>
        <v>43.9</v>
      </c>
      <c r="N26" s="9">
        <f t="shared" si="3"/>
        <v>-1.7</v>
      </c>
      <c r="O26" s="4">
        <v>35.499999999999993</v>
      </c>
      <c r="P26" s="4">
        <v>21</v>
      </c>
      <c r="Q26" s="4">
        <f t="shared" si="9"/>
        <v>0.46641791044776115</v>
      </c>
      <c r="R26" s="10">
        <f t="shared" si="0"/>
        <v>0.83955223880597007</v>
      </c>
      <c r="S26" s="10">
        <f t="shared" si="1"/>
        <v>-0.7395522388059701</v>
      </c>
      <c r="T26" s="10">
        <f t="shared" si="7"/>
        <v>56.700895522388052</v>
      </c>
      <c r="V26" s="4">
        <v>916.5</v>
      </c>
      <c r="W26" s="4">
        <f t="shared" si="2"/>
        <v>54.880239520958085</v>
      </c>
      <c r="X26" s="4">
        <f t="shared" si="8"/>
        <v>18121.3</v>
      </c>
      <c r="AA26" s="4">
        <v>12.089881194089701</v>
      </c>
    </row>
    <row r="27" spans="1:27" s="4" customFormat="1" x14ac:dyDescent="0.25">
      <c r="A27" s="70"/>
      <c r="B27" s="5"/>
      <c r="C27" s="6">
        <v>41543</v>
      </c>
      <c r="D27" s="4">
        <v>15.7</v>
      </c>
      <c r="E27" s="4">
        <v>15.4</v>
      </c>
      <c r="F27" s="4">
        <v>18.100000000000001</v>
      </c>
      <c r="G27" s="4">
        <f t="shared" si="4"/>
        <v>325.69999999999993</v>
      </c>
      <c r="J27" s="4">
        <v>0.1</v>
      </c>
      <c r="K27" s="4">
        <f t="shared" si="5"/>
        <v>71.699999999999974</v>
      </c>
      <c r="L27" s="4">
        <v>2.1</v>
      </c>
      <c r="M27" s="4">
        <f t="shared" si="6"/>
        <v>46</v>
      </c>
      <c r="N27" s="9">
        <f t="shared" si="3"/>
        <v>-2</v>
      </c>
      <c r="O27" s="4">
        <v>33.499999999999993</v>
      </c>
      <c r="P27" s="4">
        <v>22</v>
      </c>
      <c r="Q27" s="4">
        <f t="shared" si="9"/>
        <v>0.4761194029850746</v>
      </c>
      <c r="R27" s="10">
        <f t="shared" si="0"/>
        <v>0.99985074626865666</v>
      </c>
      <c r="S27" s="10">
        <f t="shared" si="1"/>
        <v>-0.89985074626865669</v>
      </c>
      <c r="T27" s="10">
        <f t="shared" si="7"/>
        <v>55.801044776119397</v>
      </c>
      <c r="V27" s="4">
        <v>935</v>
      </c>
      <c r="W27" s="4">
        <f t="shared" si="2"/>
        <v>59.554140127388536</v>
      </c>
      <c r="X27" s="4">
        <f t="shared" si="8"/>
        <v>19056.3</v>
      </c>
      <c r="AA27" s="4">
        <v>12.0264596782143</v>
      </c>
    </row>
    <row r="28" spans="1:27" s="4" customFormat="1" x14ac:dyDescent="0.25">
      <c r="A28" s="70"/>
      <c r="B28" s="5"/>
      <c r="C28" s="6">
        <v>41544</v>
      </c>
      <c r="D28" s="4">
        <v>12.7</v>
      </c>
      <c r="E28" s="4">
        <v>8.8000000000000007</v>
      </c>
      <c r="F28" s="4">
        <v>15.4</v>
      </c>
      <c r="G28" s="4">
        <f t="shared" si="4"/>
        <v>338.39999999999992</v>
      </c>
      <c r="J28" s="4">
        <v>0</v>
      </c>
      <c r="K28" s="4">
        <f t="shared" si="5"/>
        <v>71.699999999999974</v>
      </c>
      <c r="L28" s="4">
        <v>1.3</v>
      </c>
      <c r="M28" s="4">
        <f t="shared" si="6"/>
        <v>47.3</v>
      </c>
      <c r="N28" s="9">
        <f t="shared" si="3"/>
        <v>-1.3</v>
      </c>
      <c r="O28" s="4">
        <v>32.199999999999996</v>
      </c>
      <c r="P28" s="4">
        <v>23</v>
      </c>
      <c r="Q28" s="4">
        <f t="shared" si="9"/>
        <v>0.48582089552238805</v>
      </c>
      <c r="R28" s="10">
        <f t="shared" si="0"/>
        <v>0.63156716417910452</v>
      </c>
      <c r="S28" s="10">
        <f t="shared" si="1"/>
        <v>-0.63156716417910452</v>
      </c>
      <c r="T28" s="10">
        <f t="shared" si="7"/>
        <v>55.169477611940295</v>
      </c>
      <c r="V28" s="4">
        <v>1323</v>
      </c>
      <c r="W28" s="4">
        <f t="shared" si="2"/>
        <v>104.1732283464567</v>
      </c>
      <c r="X28" s="4">
        <f t="shared" si="8"/>
        <v>20379.3</v>
      </c>
      <c r="AA28" s="4">
        <v>11.9630351124153</v>
      </c>
    </row>
    <row r="29" spans="1:27" s="4" customFormat="1" x14ac:dyDescent="0.25">
      <c r="A29" s="70"/>
      <c r="B29" s="5"/>
      <c r="C29" s="6">
        <v>41545</v>
      </c>
      <c r="D29" s="4">
        <v>14.8</v>
      </c>
      <c r="E29" s="4">
        <v>10.6</v>
      </c>
      <c r="F29" s="4">
        <v>18.899999999999999</v>
      </c>
      <c r="G29" s="4">
        <f t="shared" si="4"/>
        <v>353.19999999999993</v>
      </c>
      <c r="J29" s="4">
        <v>0</v>
      </c>
      <c r="K29" s="4">
        <f t="shared" si="5"/>
        <v>71.699999999999974</v>
      </c>
      <c r="L29" s="4">
        <v>2.2999999999999998</v>
      </c>
      <c r="M29" s="4">
        <f t="shared" si="6"/>
        <v>49.599999999999994</v>
      </c>
      <c r="N29" s="9">
        <f t="shared" si="3"/>
        <v>-2.2999999999999998</v>
      </c>
      <c r="O29" s="4">
        <v>29.899999999999995</v>
      </c>
      <c r="P29" s="4">
        <v>24</v>
      </c>
      <c r="Q29" s="4">
        <f t="shared" si="9"/>
        <v>0.4955223880597015</v>
      </c>
      <c r="R29" s="10">
        <f t="shared" si="0"/>
        <v>1.1397014925373135</v>
      </c>
      <c r="S29" s="10">
        <f t="shared" si="1"/>
        <v>-1.1397014925373135</v>
      </c>
      <c r="T29" s="10">
        <f t="shared" si="7"/>
        <v>54.029776119402982</v>
      </c>
      <c r="V29" s="4">
        <v>1312.5</v>
      </c>
      <c r="W29" s="4">
        <f t="shared" si="2"/>
        <v>88.682432432432435</v>
      </c>
      <c r="X29" s="4">
        <f t="shared" si="8"/>
        <v>21691.8</v>
      </c>
      <c r="AA29" s="4">
        <v>11.8996128643743</v>
      </c>
    </row>
    <row r="30" spans="1:27" s="4" customFormat="1" x14ac:dyDescent="0.25">
      <c r="A30" s="70"/>
      <c r="B30" s="5"/>
      <c r="C30" s="6">
        <v>41546</v>
      </c>
      <c r="D30" s="4">
        <v>14.5</v>
      </c>
      <c r="E30" s="4">
        <v>10.6</v>
      </c>
      <c r="F30" s="4">
        <v>17.2</v>
      </c>
      <c r="G30" s="4">
        <f t="shared" si="4"/>
        <v>367.69999999999993</v>
      </c>
      <c r="J30" s="4">
        <v>0</v>
      </c>
      <c r="K30" s="4">
        <f t="shared" si="5"/>
        <v>71.699999999999974</v>
      </c>
      <c r="L30" s="4">
        <v>1.8</v>
      </c>
      <c r="M30" s="4">
        <f t="shared" si="6"/>
        <v>51.399999999999991</v>
      </c>
      <c r="N30" s="9">
        <f t="shared" si="3"/>
        <v>-1.8</v>
      </c>
      <c r="O30" s="4">
        <v>28.099999999999994</v>
      </c>
      <c r="P30" s="4">
        <v>25</v>
      </c>
      <c r="Q30" s="4">
        <f t="shared" si="9"/>
        <v>0.50522388059701484</v>
      </c>
      <c r="R30" s="10">
        <f t="shared" si="0"/>
        <v>0.90940298507462669</v>
      </c>
      <c r="S30" s="10">
        <f t="shared" si="1"/>
        <v>-0.90940298507462669</v>
      </c>
      <c r="T30" s="10">
        <f t="shared" si="7"/>
        <v>53.120373134328354</v>
      </c>
      <c r="V30" s="4">
        <v>949.5</v>
      </c>
      <c r="W30" s="4">
        <f t="shared" si="2"/>
        <v>65.482758620689651</v>
      </c>
      <c r="X30" s="4">
        <f t="shared" si="8"/>
        <v>22641.3</v>
      </c>
      <c r="AA30" s="4">
        <v>11.8361983894897</v>
      </c>
    </row>
    <row r="31" spans="1:27" s="4" customFormat="1" x14ac:dyDescent="0.25">
      <c r="A31" s="70"/>
      <c r="B31" s="5"/>
      <c r="C31" s="6">
        <v>41547</v>
      </c>
      <c r="D31" s="4">
        <v>13.8</v>
      </c>
      <c r="E31" s="4">
        <v>10.5</v>
      </c>
      <c r="F31" s="4">
        <v>18.3</v>
      </c>
      <c r="G31" s="4">
        <f t="shared" si="4"/>
        <v>381.49999999999994</v>
      </c>
      <c r="J31" s="4">
        <v>0</v>
      </c>
      <c r="K31" s="4">
        <f t="shared" si="5"/>
        <v>71.699999999999974</v>
      </c>
      <c r="L31" s="4">
        <v>2.6</v>
      </c>
      <c r="M31" s="4">
        <f t="shared" si="6"/>
        <v>53.999999999999993</v>
      </c>
      <c r="N31" s="9">
        <f t="shared" si="3"/>
        <v>-2.6</v>
      </c>
      <c r="O31" s="4">
        <v>25.499999999999993</v>
      </c>
      <c r="P31" s="4">
        <v>26</v>
      </c>
      <c r="Q31" s="4">
        <f t="shared" si="9"/>
        <v>0.5149253731343284</v>
      </c>
      <c r="R31" s="10">
        <f t="shared" si="0"/>
        <v>1.3388059701492538</v>
      </c>
      <c r="S31" s="10">
        <f t="shared" si="1"/>
        <v>-1.3388059701492538</v>
      </c>
      <c r="T31" s="10">
        <f t="shared" si="7"/>
        <v>51.781567164179101</v>
      </c>
      <c r="V31" s="4">
        <v>1513.8</v>
      </c>
      <c r="W31" s="4">
        <f t="shared" si="2"/>
        <v>109.69565217391303</v>
      </c>
      <c r="X31" s="4">
        <f t="shared" si="8"/>
        <v>24155.1</v>
      </c>
      <c r="AA31" s="4">
        <v>11.772797249703199</v>
      </c>
    </row>
    <row r="32" spans="1:27" s="4" customFormat="1" x14ac:dyDescent="0.25">
      <c r="A32" s="70"/>
      <c r="B32" s="5"/>
      <c r="C32" s="6">
        <v>41548</v>
      </c>
      <c r="D32" s="4">
        <v>12.8</v>
      </c>
      <c r="E32" s="4">
        <v>8.8000000000000007</v>
      </c>
      <c r="F32" s="4">
        <v>18.100000000000001</v>
      </c>
      <c r="G32" s="4">
        <f t="shared" si="4"/>
        <v>394.29999999999995</v>
      </c>
      <c r="J32" s="4">
        <v>0</v>
      </c>
      <c r="K32" s="4">
        <f t="shared" si="5"/>
        <v>71.699999999999974</v>
      </c>
      <c r="L32" s="4">
        <v>2.4</v>
      </c>
      <c r="M32" s="4">
        <f t="shared" si="6"/>
        <v>56.399999999999991</v>
      </c>
      <c r="N32" s="9">
        <f t="shared" si="3"/>
        <v>-2.4</v>
      </c>
      <c r="O32" s="4">
        <v>23.099999999999994</v>
      </c>
      <c r="P32" s="4">
        <v>27</v>
      </c>
      <c r="Q32" s="4">
        <f t="shared" si="9"/>
        <v>0.52462686567164174</v>
      </c>
      <c r="R32" s="10">
        <f t="shared" si="0"/>
        <v>1.2591044776119402</v>
      </c>
      <c r="S32" s="10">
        <f t="shared" si="1"/>
        <v>-1.2591044776119402</v>
      </c>
      <c r="T32" s="10">
        <f t="shared" si="7"/>
        <v>50.52246268656716</v>
      </c>
      <c r="V32" s="4">
        <v>1375.6</v>
      </c>
      <c r="W32" s="4">
        <f t="shared" si="2"/>
        <v>107.46874999999999</v>
      </c>
      <c r="X32" s="4">
        <f t="shared" si="8"/>
        <v>25530.699999999997</v>
      </c>
      <c r="AA32" s="4">
        <v>11.709415132473501</v>
      </c>
    </row>
    <row r="33" spans="1:27" s="4" customFormat="1" x14ac:dyDescent="0.25">
      <c r="A33" s="70"/>
      <c r="B33" s="5"/>
      <c r="C33" s="6">
        <v>41549</v>
      </c>
      <c r="D33" s="4">
        <v>14.8</v>
      </c>
      <c r="E33" s="4">
        <v>10</v>
      </c>
      <c r="F33" s="4">
        <v>20</v>
      </c>
      <c r="G33" s="4">
        <f t="shared" si="4"/>
        <v>409.09999999999997</v>
      </c>
      <c r="J33" s="4">
        <v>0</v>
      </c>
      <c r="K33" s="4">
        <f t="shared" si="5"/>
        <v>71.699999999999974</v>
      </c>
      <c r="L33" s="4">
        <v>2.4</v>
      </c>
      <c r="M33" s="4">
        <f t="shared" si="6"/>
        <v>58.79999999999999</v>
      </c>
      <c r="N33" s="9">
        <f t="shared" si="3"/>
        <v>-2.4</v>
      </c>
      <c r="O33" s="4">
        <v>20.699999999999996</v>
      </c>
      <c r="P33" s="4">
        <v>28</v>
      </c>
      <c r="Q33" s="4">
        <f t="shared" si="9"/>
        <v>0.53432835820895519</v>
      </c>
      <c r="R33" s="10">
        <f t="shared" si="0"/>
        <v>1.2823880597014925</v>
      </c>
      <c r="S33" s="10">
        <f t="shared" si="1"/>
        <v>-1.2823880597014925</v>
      </c>
      <c r="T33" s="10">
        <f t="shared" si="7"/>
        <v>49.24007462686567</v>
      </c>
      <c r="V33" s="4">
        <v>1092.7</v>
      </c>
      <c r="W33" s="4">
        <f t="shared" si="2"/>
        <v>73.831081081081081</v>
      </c>
      <c r="X33" s="4">
        <f t="shared" si="8"/>
        <v>26623.399999999998</v>
      </c>
      <c r="AA33" s="4">
        <v>11.646057869903</v>
      </c>
    </row>
    <row r="34" spans="1:27" s="4" customFormat="1" x14ac:dyDescent="0.25">
      <c r="A34" s="70"/>
      <c r="B34" s="5"/>
      <c r="C34" s="6">
        <v>41550</v>
      </c>
      <c r="D34" s="4">
        <v>16.399999999999999</v>
      </c>
      <c r="E34" s="4">
        <v>11</v>
      </c>
      <c r="F34" s="4">
        <v>21.1</v>
      </c>
      <c r="G34" s="4">
        <f t="shared" si="4"/>
        <v>425.49999999999994</v>
      </c>
      <c r="J34" s="4">
        <v>3.2</v>
      </c>
      <c r="K34" s="4">
        <f t="shared" si="5"/>
        <v>74.899999999999977</v>
      </c>
      <c r="L34" s="4">
        <v>2.4</v>
      </c>
      <c r="M34" s="4">
        <f t="shared" si="6"/>
        <v>61.199999999999989</v>
      </c>
      <c r="N34" s="4">
        <f t="shared" si="3"/>
        <v>0.80000000000000027</v>
      </c>
      <c r="O34" s="4">
        <v>21.499999999999996</v>
      </c>
      <c r="P34" s="4">
        <v>29</v>
      </c>
      <c r="Q34" s="4">
        <f t="shared" si="9"/>
        <v>0.54402985074626864</v>
      </c>
      <c r="R34" s="10">
        <f t="shared" si="0"/>
        <v>1.3056716417910448</v>
      </c>
      <c r="S34" s="10">
        <f t="shared" si="1"/>
        <v>1.8943283582089554</v>
      </c>
      <c r="T34" s="10">
        <f t="shared" si="7"/>
        <v>51.134402985074622</v>
      </c>
      <c r="V34" s="4">
        <v>1201.8</v>
      </c>
      <c r="W34" s="4">
        <f t="shared" si="2"/>
        <v>73.280487804878049</v>
      </c>
      <c r="X34" s="4">
        <f t="shared" si="8"/>
        <v>27825.199999999997</v>
      </c>
      <c r="AA34" s="4">
        <v>11.582731458026</v>
      </c>
    </row>
    <row r="35" spans="1:27" s="4" customFormat="1" x14ac:dyDescent="0.25">
      <c r="A35" s="70"/>
      <c r="B35" s="5"/>
      <c r="C35" s="6">
        <v>41551</v>
      </c>
      <c r="D35" s="4">
        <v>18</v>
      </c>
      <c r="E35" s="4">
        <v>17.3</v>
      </c>
      <c r="F35" s="4">
        <v>20.7</v>
      </c>
      <c r="G35" s="4">
        <f t="shared" si="4"/>
        <v>443.49999999999994</v>
      </c>
      <c r="J35" s="4">
        <v>0.8</v>
      </c>
      <c r="K35" s="4">
        <f t="shared" si="5"/>
        <v>75.699999999999974</v>
      </c>
      <c r="L35" s="4">
        <v>2.5</v>
      </c>
      <c r="M35" s="4">
        <f t="shared" si="6"/>
        <v>63.699999999999989</v>
      </c>
      <c r="N35" s="9">
        <f t="shared" si="3"/>
        <v>-1.7</v>
      </c>
      <c r="O35" s="4">
        <v>19.799999999999997</v>
      </c>
      <c r="P35" s="4">
        <v>30</v>
      </c>
      <c r="Q35" s="4">
        <f t="shared" si="9"/>
        <v>0.55373134328358209</v>
      </c>
      <c r="R35" s="10">
        <f t="shared" si="0"/>
        <v>1.3843283582089552</v>
      </c>
      <c r="S35" s="10">
        <f t="shared" si="1"/>
        <v>-0.58432835820895512</v>
      </c>
      <c r="T35" s="10">
        <f t="shared" si="7"/>
        <v>50.550074626865666</v>
      </c>
      <c r="V35" s="11">
        <v>744.5</v>
      </c>
      <c r="W35" s="4">
        <f t="shared" si="2"/>
        <v>41.361111111111114</v>
      </c>
      <c r="X35" s="4">
        <f t="shared" si="8"/>
        <v>28569.699999999997</v>
      </c>
      <c r="AA35" s="4">
        <v>11.5194420762639</v>
      </c>
    </row>
    <row r="36" spans="1:27" s="4" customFormat="1" x14ac:dyDescent="0.25">
      <c r="A36" s="70"/>
      <c r="B36" s="5"/>
      <c r="C36" s="6">
        <v>41552</v>
      </c>
      <c r="D36" s="4">
        <v>15.3</v>
      </c>
      <c r="E36" s="4">
        <v>13.1</v>
      </c>
      <c r="F36" s="4">
        <v>19.2</v>
      </c>
      <c r="G36" s="4">
        <f t="shared" si="4"/>
        <v>458.79999999999995</v>
      </c>
      <c r="J36" s="4">
        <v>0</v>
      </c>
      <c r="K36" s="4">
        <f t="shared" si="5"/>
        <v>75.699999999999974</v>
      </c>
      <c r="L36" s="4">
        <v>1.4</v>
      </c>
      <c r="M36" s="4">
        <f t="shared" si="6"/>
        <v>65.099999999999994</v>
      </c>
      <c r="N36" s="9">
        <f t="shared" si="3"/>
        <v>-1.4</v>
      </c>
      <c r="O36" s="4">
        <v>18.399999999999999</v>
      </c>
      <c r="P36" s="4">
        <v>31</v>
      </c>
      <c r="Q36" s="4">
        <f t="shared" si="9"/>
        <v>0.56343283582089554</v>
      </c>
      <c r="R36" s="10">
        <f t="shared" si="0"/>
        <v>0.78880597014925369</v>
      </c>
      <c r="S36" s="10">
        <f t="shared" si="1"/>
        <v>-0.78880597014925369</v>
      </c>
      <c r="T36" s="10">
        <f t="shared" si="7"/>
        <v>49.76126865671641</v>
      </c>
      <c r="V36" s="11">
        <v>414.7</v>
      </c>
      <c r="W36" s="4">
        <f t="shared" si="2"/>
        <v>27.104575163398692</v>
      </c>
      <c r="X36" s="4">
        <f t="shared" si="8"/>
        <v>28984.399999999998</v>
      </c>
      <c r="AA36" s="4">
        <v>11.4561961070522</v>
      </c>
    </row>
    <row r="37" spans="1:27" s="4" customFormat="1" x14ac:dyDescent="0.25">
      <c r="A37" s="70"/>
      <c r="B37" s="5"/>
      <c r="C37" s="6">
        <v>41553</v>
      </c>
      <c r="D37" s="4">
        <v>14.7</v>
      </c>
      <c r="E37" s="4">
        <v>12.8</v>
      </c>
      <c r="F37" s="4">
        <v>18.7</v>
      </c>
      <c r="G37" s="4">
        <f t="shared" si="4"/>
        <v>473.49999999999994</v>
      </c>
      <c r="J37" s="4">
        <v>0</v>
      </c>
      <c r="K37" s="4">
        <f t="shared" si="5"/>
        <v>75.699999999999974</v>
      </c>
      <c r="L37" s="4">
        <v>2.4</v>
      </c>
      <c r="M37" s="4">
        <f t="shared" si="6"/>
        <v>67.5</v>
      </c>
      <c r="N37" s="9">
        <f t="shared" si="3"/>
        <v>-2.4</v>
      </c>
      <c r="O37" s="4">
        <v>15.999999999999998</v>
      </c>
      <c r="P37" s="4">
        <v>32</v>
      </c>
      <c r="Q37" s="4">
        <f t="shared" si="9"/>
        <v>0.57313432835820888</v>
      </c>
      <c r="R37" s="10">
        <f t="shared" si="0"/>
        <v>1.3755223880597012</v>
      </c>
      <c r="S37" s="10">
        <f t="shared" si="1"/>
        <v>-1.3755223880597012</v>
      </c>
      <c r="T37" s="10">
        <f t="shared" si="7"/>
        <v>48.38574626865671</v>
      </c>
      <c r="V37" s="4">
        <v>1022.1</v>
      </c>
      <c r="W37" s="4">
        <f t="shared" si="2"/>
        <v>69.530612244897966</v>
      </c>
      <c r="X37" s="4">
        <f t="shared" si="8"/>
        <v>30006.499999999996</v>
      </c>
      <c r="AA37" s="4">
        <v>11.393000155641101</v>
      </c>
    </row>
    <row r="38" spans="1:27" s="4" customFormat="1" x14ac:dyDescent="0.25">
      <c r="A38" s="70"/>
      <c r="B38" s="5"/>
      <c r="C38" s="6">
        <v>41554</v>
      </c>
      <c r="D38" s="4">
        <v>12.6</v>
      </c>
      <c r="E38" s="4">
        <v>7.6</v>
      </c>
      <c r="F38" s="4">
        <v>18</v>
      </c>
      <c r="G38" s="4">
        <f t="shared" si="4"/>
        <v>486.09999999999997</v>
      </c>
      <c r="J38" s="4">
        <v>0.2</v>
      </c>
      <c r="K38" s="4">
        <f t="shared" si="5"/>
        <v>75.899999999999977</v>
      </c>
      <c r="L38" s="4">
        <v>2.2999999999999998</v>
      </c>
      <c r="M38" s="4">
        <f t="shared" si="6"/>
        <v>69.8</v>
      </c>
      <c r="N38" s="9">
        <f t="shared" si="3"/>
        <v>-2.0999999999999996</v>
      </c>
      <c r="O38" s="4">
        <v>13.899999999999999</v>
      </c>
      <c r="P38" s="4">
        <v>33</v>
      </c>
      <c r="Q38" s="4">
        <f t="shared" si="9"/>
        <v>0.58283582089552233</v>
      </c>
      <c r="R38" s="10">
        <f t="shared" si="0"/>
        <v>1.3405223880597013</v>
      </c>
      <c r="S38" s="10">
        <f t="shared" si="1"/>
        <v>-1.1405223880597013</v>
      </c>
      <c r="T38" s="10">
        <f t="shared" si="7"/>
        <v>47.24522388059701</v>
      </c>
      <c r="V38" s="4">
        <v>1070.3</v>
      </c>
      <c r="W38" s="4">
        <f t="shared" si="2"/>
        <v>84.944444444444443</v>
      </c>
      <c r="X38" s="4">
        <f t="shared" si="8"/>
        <v>31076.799999999996</v>
      </c>
      <c r="AA38" s="4">
        <v>11.329861070072299</v>
      </c>
    </row>
    <row r="39" spans="1:27" s="4" customFormat="1" x14ac:dyDescent="0.25">
      <c r="A39" s="70"/>
      <c r="B39" s="5"/>
      <c r="C39" s="6">
        <v>41555</v>
      </c>
      <c r="D39" s="4">
        <v>13.7</v>
      </c>
      <c r="E39" s="4">
        <v>7.7</v>
      </c>
      <c r="F39" s="4">
        <v>18.899999999999999</v>
      </c>
      <c r="G39" s="4">
        <f t="shared" si="4"/>
        <v>499.79999999999995</v>
      </c>
      <c r="J39" s="4">
        <v>1.8</v>
      </c>
      <c r="K39" s="4">
        <f t="shared" si="5"/>
        <v>77.699999999999974</v>
      </c>
      <c r="L39" s="4">
        <v>2.2000000000000002</v>
      </c>
      <c r="M39" s="4">
        <f t="shared" si="6"/>
        <v>72</v>
      </c>
      <c r="N39" s="9">
        <f t="shared" si="3"/>
        <v>-0.40000000000000013</v>
      </c>
      <c r="O39" s="4">
        <v>13.499999999999998</v>
      </c>
      <c r="P39" s="4">
        <v>34</v>
      </c>
      <c r="Q39" s="4">
        <f t="shared" si="9"/>
        <v>0.59253731343283578</v>
      </c>
      <c r="R39" s="10">
        <f t="shared" si="0"/>
        <v>1.3035820895522388</v>
      </c>
      <c r="S39" s="10">
        <f t="shared" si="1"/>
        <v>0.49641791044776129</v>
      </c>
      <c r="T39" s="10">
        <f t="shared" si="7"/>
        <v>47.741641791044771</v>
      </c>
      <c r="V39" s="4">
        <v>1085.3</v>
      </c>
      <c r="W39" s="4">
        <f t="shared" si="2"/>
        <v>79.21897810218978</v>
      </c>
      <c r="X39" s="4">
        <f t="shared" si="8"/>
        <v>32162.099999999995</v>
      </c>
      <c r="AA39" s="4">
        <v>11.2667859613301</v>
      </c>
    </row>
    <row r="40" spans="1:27" s="4" customFormat="1" x14ac:dyDescent="0.25">
      <c r="A40" s="70"/>
      <c r="B40" s="5"/>
      <c r="C40" s="6">
        <v>41556</v>
      </c>
      <c r="D40" s="4">
        <v>14.2</v>
      </c>
      <c r="E40" s="4">
        <v>13.3</v>
      </c>
      <c r="F40" s="4">
        <v>16.2</v>
      </c>
      <c r="G40" s="4">
        <f t="shared" si="4"/>
        <v>514</v>
      </c>
      <c r="J40" s="4">
        <v>1.1000000000000001</v>
      </c>
      <c r="K40" s="4">
        <f t="shared" si="5"/>
        <v>78.799999999999969</v>
      </c>
      <c r="L40" s="4">
        <v>1.6</v>
      </c>
      <c r="M40" s="4">
        <f t="shared" si="6"/>
        <v>73.599999999999994</v>
      </c>
      <c r="N40" s="9">
        <f t="shared" si="3"/>
        <v>-0.5</v>
      </c>
      <c r="O40" s="4">
        <v>12.999999999999998</v>
      </c>
      <c r="P40" s="4">
        <v>35</v>
      </c>
      <c r="Q40" s="4">
        <f t="shared" si="9"/>
        <v>0.60223880597014923</v>
      </c>
      <c r="R40" s="10">
        <f t="shared" si="0"/>
        <v>0.96358208955223879</v>
      </c>
      <c r="S40" s="10">
        <f t="shared" si="1"/>
        <v>0.1364179104477613</v>
      </c>
      <c r="T40" s="10">
        <f t="shared" si="7"/>
        <v>47.878059701492532</v>
      </c>
      <c r="V40" s="11">
        <v>423.7</v>
      </c>
      <c r="W40" s="4">
        <f t="shared" si="2"/>
        <v>29.838028169014084</v>
      </c>
      <c r="X40" s="4">
        <f t="shared" si="8"/>
        <v>32585.799999999996</v>
      </c>
      <c r="AA40" s="4">
        <v>11.2037822236643</v>
      </c>
    </row>
    <row r="41" spans="1:27" s="4" customFormat="1" x14ac:dyDescent="0.25">
      <c r="A41" s="70"/>
      <c r="B41" s="5"/>
      <c r="C41" s="6">
        <v>41557</v>
      </c>
      <c r="D41" s="4">
        <v>9</v>
      </c>
      <c r="E41" s="4">
        <v>8.4</v>
      </c>
      <c r="F41" s="4">
        <v>9.3000000000000007</v>
      </c>
      <c r="G41" s="4">
        <f t="shared" si="4"/>
        <v>523</v>
      </c>
      <c r="J41" s="4">
        <v>52.2</v>
      </c>
      <c r="K41" s="4">
        <f t="shared" si="5"/>
        <v>130.99999999999997</v>
      </c>
      <c r="L41" s="4">
        <v>1.1000000000000001</v>
      </c>
      <c r="M41" s="4">
        <f t="shared" si="6"/>
        <v>74.699999999999989</v>
      </c>
      <c r="N41" s="4">
        <f t="shared" si="3"/>
        <v>51.1</v>
      </c>
      <c r="O41" s="4">
        <v>64.099999999999994</v>
      </c>
      <c r="P41" s="4">
        <v>36</v>
      </c>
      <c r="Q41" s="4">
        <f t="shared" si="9"/>
        <v>0.61194029850746268</v>
      </c>
      <c r="R41" s="10">
        <f t="shared" si="0"/>
        <v>0.67313432835820897</v>
      </c>
      <c r="S41" s="10">
        <f t="shared" si="1"/>
        <v>51.526865671641794</v>
      </c>
      <c r="T41" s="10">
        <f t="shared" si="7"/>
        <v>99.404925373134319</v>
      </c>
      <c r="V41" s="11">
        <v>255.4</v>
      </c>
      <c r="W41" s="4">
        <f t="shared" si="2"/>
        <v>28.37777777777778</v>
      </c>
      <c r="X41" s="4">
        <f t="shared" si="8"/>
        <v>32841.199999999997</v>
      </c>
      <c r="AA41" s="4">
        <v>11.140857555077901</v>
      </c>
    </row>
    <row r="42" spans="1:27" s="4" customFormat="1" x14ac:dyDescent="0.25">
      <c r="A42" s="70"/>
      <c r="B42" s="5"/>
      <c r="C42" s="6">
        <v>41558</v>
      </c>
      <c r="D42" s="4">
        <v>8.6</v>
      </c>
      <c r="E42" s="4">
        <v>7.4</v>
      </c>
      <c r="F42" s="4">
        <v>9.6999999999999993</v>
      </c>
      <c r="G42" s="4">
        <f t="shared" si="4"/>
        <v>531.6</v>
      </c>
      <c r="J42" s="4">
        <v>3.2</v>
      </c>
      <c r="K42" s="4">
        <f t="shared" si="5"/>
        <v>134.19999999999996</v>
      </c>
      <c r="L42" s="4">
        <v>0.7</v>
      </c>
      <c r="M42" s="4">
        <f t="shared" si="6"/>
        <v>75.399999999999991</v>
      </c>
      <c r="N42" s="4">
        <f t="shared" si="3"/>
        <v>2.5</v>
      </c>
      <c r="O42" s="4">
        <v>66.599999999999994</v>
      </c>
      <c r="P42" s="4">
        <v>37</v>
      </c>
      <c r="Q42" s="4">
        <f t="shared" si="9"/>
        <v>0.62164179104477602</v>
      </c>
      <c r="R42" s="10">
        <f t="shared" si="0"/>
        <v>0.43514925373134317</v>
      </c>
      <c r="S42" s="10">
        <f t="shared" si="1"/>
        <v>2.7648507462686571</v>
      </c>
      <c r="T42" s="10">
        <f t="shared" si="7"/>
        <v>102.16977611940298</v>
      </c>
      <c r="V42" s="11">
        <v>371.9</v>
      </c>
      <c r="W42" s="4">
        <f t="shared" si="2"/>
        <v>43.244186046511629</v>
      </c>
      <c r="X42" s="4">
        <f t="shared" si="8"/>
        <v>33213.1</v>
      </c>
      <c r="AA42" s="4">
        <v>11.0780199779733</v>
      </c>
    </row>
    <row r="43" spans="1:27" s="4" customFormat="1" x14ac:dyDescent="0.25">
      <c r="A43" s="70"/>
      <c r="B43" s="5"/>
      <c r="C43" s="6">
        <v>41559</v>
      </c>
      <c r="D43" s="4">
        <v>8.3000000000000007</v>
      </c>
      <c r="E43" s="13">
        <v>4.3</v>
      </c>
      <c r="F43" s="4">
        <v>11.3</v>
      </c>
      <c r="G43" s="4">
        <f t="shared" si="4"/>
        <v>539.9</v>
      </c>
      <c r="J43" s="4">
        <v>0.6</v>
      </c>
      <c r="K43" s="4">
        <f t="shared" si="5"/>
        <v>134.79999999999995</v>
      </c>
      <c r="L43" s="4">
        <v>1</v>
      </c>
      <c r="M43" s="4">
        <f t="shared" si="6"/>
        <v>76.399999999999991</v>
      </c>
      <c r="N43" s="9">
        <f t="shared" si="3"/>
        <v>-0.4</v>
      </c>
      <c r="O43" s="4">
        <v>66.199999999999989</v>
      </c>
      <c r="P43" s="4">
        <v>38</v>
      </c>
      <c r="Q43" s="4">
        <f t="shared" si="9"/>
        <v>0.63134328358208958</v>
      </c>
      <c r="R43" s="10">
        <f t="shared" si="0"/>
        <v>0.63134328358208958</v>
      </c>
      <c r="S43" s="10">
        <f t="shared" si="1"/>
        <v>-3.1343283582089598E-2</v>
      </c>
      <c r="T43" s="10">
        <f t="shared" si="7"/>
        <v>102.13843283582089</v>
      </c>
      <c r="V43" s="11">
        <v>764.3</v>
      </c>
      <c r="W43" s="4">
        <f t="shared" si="2"/>
        <v>92.084337349397572</v>
      </c>
      <c r="X43" s="4">
        <f t="shared" si="8"/>
        <v>33977.4</v>
      </c>
      <c r="AA43" s="4">
        <v>11.0152778599436</v>
      </c>
    </row>
    <row r="44" spans="1:27" s="4" customFormat="1" x14ac:dyDescent="0.25">
      <c r="A44" s="70"/>
      <c r="B44" s="5"/>
      <c r="C44" s="6">
        <v>41560</v>
      </c>
      <c r="D44" s="4">
        <v>8.6999999999999993</v>
      </c>
      <c r="E44" s="4">
        <v>8.1</v>
      </c>
      <c r="F44" s="4">
        <v>9.8000000000000007</v>
      </c>
      <c r="G44" s="4">
        <f t="shared" si="4"/>
        <v>548.6</v>
      </c>
      <c r="J44" s="4">
        <v>16.5</v>
      </c>
      <c r="K44" s="4">
        <f t="shared" si="5"/>
        <v>151.29999999999995</v>
      </c>
      <c r="L44" s="4">
        <v>0.9</v>
      </c>
      <c r="M44" s="4">
        <f t="shared" si="6"/>
        <v>77.3</v>
      </c>
      <c r="N44" s="4">
        <f t="shared" si="3"/>
        <v>15.6</v>
      </c>
      <c r="O44" s="4">
        <v>81.799999999999983</v>
      </c>
      <c r="P44" s="4">
        <v>39</v>
      </c>
      <c r="Q44" s="4">
        <f t="shared" si="9"/>
        <v>0.64104477611940291</v>
      </c>
      <c r="R44" s="10">
        <f t="shared" si="0"/>
        <v>0.57694029850746265</v>
      </c>
      <c r="S44" s="10">
        <f t="shared" si="1"/>
        <v>15.923059701492537</v>
      </c>
      <c r="T44" s="10">
        <f t="shared" si="7"/>
        <v>118.06149253731343</v>
      </c>
      <c r="V44" s="11">
        <v>149.4</v>
      </c>
      <c r="W44" s="4">
        <f t="shared" si="2"/>
        <v>17.172413793103452</v>
      </c>
      <c r="X44" s="4">
        <f t="shared" si="8"/>
        <v>34126.800000000003</v>
      </c>
      <c r="AA44" s="4">
        <v>10.9526399346951</v>
      </c>
    </row>
    <row r="45" spans="1:27" s="4" customFormat="1" x14ac:dyDescent="0.25">
      <c r="A45" s="70"/>
      <c r="B45" s="5"/>
      <c r="C45" s="6">
        <v>41561</v>
      </c>
      <c r="D45" s="4">
        <v>10.4</v>
      </c>
      <c r="E45" s="4">
        <v>9.6</v>
      </c>
      <c r="F45" s="4">
        <v>11.1</v>
      </c>
      <c r="G45" s="4">
        <f t="shared" si="4"/>
        <v>559</v>
      </c>
      <c r="J45" s="4">
        <v>11.8</v>
      </c>
      <c r="K45" s="4">
        <f t="shared" si="5"/>
        <v>163.09999999999997</v>
      </c>
      <c r="L45" s="4">
        <v>0.6</v>
      </c>
      <c r="M45" s="4">
        <f t="shared" si="6"/>
        <v>77.899999999999991</v>
      </c>
      <c r="N45" s="4">
        <f t="shared" si="3"/>
        <v>11.200000000000001</v>
      </c>
      <c r="O45" s="4">
        <v>92.999999999999986</v>
      </c>
      <c r="P45" s="4">
        <v>40</v>
      </c>
      <c r="Q45" s="4">
        <f t="shared" si="9"/>
        <v>0.65074626865671648</v>
      </c>
      <c r="R45" s="10">
        <f t="shared" si="0"/>
        <v>0.39044776119402985</v>
      </c>
      <c r="S45" s="10">
        <f t="shared" si="1"/>
        <v>11.40955223880597</v>
      </c>
      <c r="T45" s="10">
        <f t="shared" si="7"/>
        <v>129.47104477611938</v>
      </c>
      <c r="V45" s="11">
        <v>151.1</v>
      </c>
      <c r="W45" s="4">
        <f t="shared" si="2"/>
        <v>14.528846153846153</v>
      </c>
      <c r="X45" s="4">
        <f t="shared" si="8"/>
        <v>34277.9</v>
      </c>
      <c r="AA45" s="4">
        <v>10.8901153230823</v>
      </c>
    </row>
    <row r="46" spans="1:27" s="4" customFormat="1" x14ac:dyDescent="0.25">
      <c r="A46" s="70"/>
      <c r="B46" s="5"/>
      <c r="C46" s="6">
        <v>41562</v>
      </c>
      <c r="D46" s="4">
        <v>10.3</v>
      </c>
      <c r="E46" s="4">
        <v>8.1999999999999993</v>
      </c>
      <c r="F46" s="4">
        <v>12.6</v>
      </c>
      <c r="G46" s="4">
        <f t="shared" si="4"/>
        <v>569.29999999999995</v>
      </c>
      <c r="J46" s="4">
        <v>0.2</v>
      </c>
      <c r="K46" s="4">
        <f t="shared" si="5"/>
        <v>163.29999999999995</v>
      </c>
      <c r="L46" s="4">
        <v>1.7</v>
      </c>
      <c r="M46" s="4">
        <f t="shared" si="6"/>
        <v>79.599999999999994</v>
      </c>
      <c r="N46" s="9">
        <f t="shared" si="3"/>
        <v>-1.5</v>
      </c>
      <c r="O46" s="4">
        <v>91.499999999999986</v>
      </c>
      <c r="P46" s="4">
        <v>41</v>
      </c>
      <c r="Q46" s="4">
        <f t="shared" si="9"/>
        <v>0.66044776119402981</v>
      </c>
      <c r="R46" s="10">
        <f t="shared" si="0"/>
        <v>1.1227611940298508</v>
      </c>
      <c r="S46" s="10">
        <f t="shared" si="1"/>
        <v>-0.9227611940298508</v>
      </c>
      <c r="T46" s="10">
        <f t="shared" si="7"/>
        <v>128.54828358208954</v>
      </c>
      <c r="V46" s="11">
        <v>861.3</v>
      </c>
      <c r="W46" s="4">
        <f t="shared" si="2"/>
        <v>83.621359223300956</v>
      </c>
      <c r="X46" s="4">
        <f t="shared" si="8"/>
        <v>35139.200000000004</v>
      </c>
      <c r="AA46" s="4">
        <v>10.827713554233901</v>
      </c>
    </row>
    <row r="47" spans="1:27" s="4" customFormat="1" x14ac:dyDescent="0.25">
      <c r="A47" s="70"/>
      <c r="B47" s="5"/>
      <c r="C47" s="6">
        <v>41563</v>
      </c>
      <c r="D47" s="4">
        <v>10.199999999999999</v>
      </c>
      <c r="E47" s="4">
        <v>7.6</v>
      </c>
      <c r="F47" s="4">
        <v>12.5</v>
      </c>
      <c r="G47" s="4">
        <f t="shared" si="4"/>
        <v>579.5</v>
      </c>
      <c r="J47" s="4">
        <v>3.6</v>
      </c>
      <c r="K47" s="4">
        <f t="shared" si="5"/>
        <v>166.89999999999995</v>
      </c>
      <c r="L47" s="4">
        <v>0.5</v>
      </c>
      <c r="M47" s="4">
        <f t="shared" si="6"/>
        <v>80.099999999999994</v>
      </c>
      <c r="N47" s="4">
        <f t="shared" si="3"/>
        <v>3.1</v>
      </c>
      <c r="O47" s="4">
        <v>94.59999999999998</v>
      </c>
      <c r="P47" s="4">
        <v>42</v>
      </c>
      <c r="Q47" s="4">
        <f t="shared" si="9"/>
        <v>0.67014925373134326</v>
      </c>
      <c r="R47" s="10">
        <f t="shared" si="0"/>
        <v>0.33507462686567163</v>
      </c>
      <c r="S47" s="10">
        <f t="shared" si="1"/>
        <v>3.2649253731343286</v>
      </c>
      <c r="T47" s="10">
        <f t="shared" si="7"/>
        <v>131.81320895522387</v>
      </c>
      <c r="V47" s="11">
        <v>239.4</v>
      </c>
      <c r="W47" s="4">
        <f t="shared" si="2"/>
        <v>23.47058823529412</v>
      </c>
      <c r="X47" s="4">
        <f t="shared" si="8"/>
        <v>35378.600000000006</v>
      </c>
      <c r="AA47" s="4">
        <v>10.7654445867412</v>
      </c>
    </row>
    <row r="48" spans="1:27" s="4" customFormat="1" x14ac:dyDescent="0.25">
      <c r="A48" s="70"/>
      <c r="B48" s="5"/>
      <c r="C48" s="6">
        <v>41564</v>
      </c>
      <c r="D48" s="4">
        <v>13.2</v>
      </c>
      <c r="E48" s="4">
        <v>11.5</v>
      </c>
      <c r="F48" s="4">
        <v>15</v>
      </c>
      <c r="G48" s="4">
        <f t="shared" si="4"/>
        <v>592.70000000000005</v>
      </c>
      <c r="J48" s="4">
        <v>5.2</v>
      </c>
      <c r="K48" s="4">
        <f t="shared" si="5"/>
        <v>172.09999999999994</v>
      </c>
      <c r="L48" s="4">
        <v>1</v>
      </c>
      <c r="M48" s="4">
        <f t="shared" si="6"/>
        <v>81.099999999999994</v>
      </c>
      <c r="N48" s="4">
        <f t="shared" si="3"/>
        <v>4.2</v>
      </c>
      <c r="O48" s="4">
        <v>98.799999999999983</v>
      </c>
      <c r="P48" s="4">
        <v>43</v>
      </c>
      <c r="Q48" s="4">
        <f t="shared" si="9"/>
        <v>0.67985074626865671</v>
      </c>
      <c r="R48" s="10">
        <f t="shared" si="0"/>
        <v>0.67985074626865671</v>
      </c>
      <c r="S48" s="10">
        <f t="shared" si="1"/>
        <v>4.5201492537313435</v>
      </c>
      <c r="T48" s="10">
        <f t="shared" si="7"/>
        <v>136.33335820895522</v>
      </c>
      <c r="V48" s="11">
        <v>381.4</v>
      </c>
      <c r="W48" s="4">
        <f t="shared" si="2"/>
        <v>28.893939393939394</v>
      </c>
      <c r="X48" s="4">
        <f t="shared" si="8"/>
        <v>35760.000000000007</v>
      </c>
      <c r="AA48" s="4">
        <v>10.7033188298807</v>
      </c>
    </row>
    <row r="49" spans="1:27" s="4" customFormat="1" x14ac:dyDescent="0.25">
      <c r="A49" s="70"/>
      <c r="B49" s="5"/>
      <c r="C49" s="6">
        <v>41565</v>
      </c>
      <c r="D49" s="4">
        <v>11.7</v>
      </c>
      <c r="E49" s="4">
        <v>10.5</v>
      </c>
      <c r="F49" s="4">
        <v>12.8</v>
      </c>
      <c r="G49" s="4">
        <f t="shared" si="4"/>
        <v>604.40000000000009</v>
      </c>
      <c r="J49" s="4">
        <v>0</v>
      </c>
      <c r="K49" s="4">
        <f t="shared" si="5"/>
        <v>172.09999999999994</v>
      </c>
      <c r="L49" s="4">
        <v>0.7</v>
      </c>
      <c r="M49" s="4">
        <f t="shared" si="6"/>
        <v>81.8</v>
      </c>
      <c r="N49" s="9">
        <f t="shared" si="3"/>
        <v>-0.7</v>
      </c>
      <c r="O49" s="4">
        <v>98.09999999999998</v>
      </c>
      <c r="P49" s="4">
        <v>44</v>
      </c>
      <c r="Q49" s="4">
        <f t="shared" si="9"/>
        <v>0.68955223880597005</v>
      </c>
      <c r="R49" s="10">
        <f t="shared" si="0"/>
        <v>0.48268656716417901</v>
      </c>
      <c r="S49" s="10">
        <f t="shared" si="1"/>
        <v>-0.48268656716417901</v>
      </c>
      <c r="T49" s="10">
        <f t="shared" si="7"/>
        <v>135.85067164179105</v>
      </c>
      <c r="V49" s="11">
        <v>468.5</v>
      </c>
      <c r="W49" s="4">
        <f t="shared" si="2"/>
        <v>40.042735042735046</v>
      </c>
      <c r="X49" s="4">
        <f t="shared" si="8"/>
        <v>36228.500000000007</v>
      </c>
      <c r="AA49" s="4">
        <v>10.6413471648317</v>
      </c>
    </row>
    <row r="50" spans="1:27" s="4" customFormat="1" x14ac:dyDescent="0.25">
      <c r="A50" s="70"/>
      <c r="B50" s="5"/>
      <c r="C50" s="6">
        <v>41566</v>
      </c>
      <c r="D50" s="4">
        <v>13.4</v>
      </c>
      <c r="E50" s="4">
        <v>10.3</v>
      </c>
      <c r="F50" s="4">
        <v>15.7</v>
      </c>
      <c r="G50" s="4">
        <f t="shared" si="4"/>
        <v>617.80000000000007</v>
      </c>
      <c r="J50" s="4">
        <v>1.1000000000000001</v>
      </c>
      <c r="K50" s="4">
        <f t="shared" si="5"/>
        <v>173.19999999999993</v>
      </c>
      <c r="L50" s="4">
        <v>0.4</v>
      </c>
      <c r="M50" s="4">
        <f t="shared" si="6"/>
        <v>82.2</v>
      </c>
      <c r="N50" s="4">
        <f t="shared" si="3"/>
        <v>0.70000000000000007</v>
      </c>
      <c r="O50" s="4">
        <v>98.799999999999983</v>
      </c>
      <c r="P50" s="4">
        <v>45</v>
      </c>
      <c r="Q50" s="4">
        <f t="shared" si="9"/>
        <v>0.69925373134328361</v>
      </c>
      <c r="R50" s="10">
        <f t="shared" si="0"/>
        <v>0.27970149253731347</v>
      </c>
      <c r="S50" s="10">
        <f t="shared" si="1"/>
        <v>0.82029850746268662</v>
      </c>
      <c r="T50" s="10">
        <f t="shared" si="7"/>
        <v>136.67097014925375</v>
      </c>
      <c r="V50" s="11">
        <v>358.4</v>
      </c>
      <c r="W50" s="4">
        <f t="shared" si="2"/>
        <v>26.746268656716417</v>
      </c>
      <c r="X50" s="4">
        <f t="shared" si="8"/>
        <v>36586.900000000009</v>
      </c>
      <c r="AA50" s="4">
        <v>10.5795409658507</v>
      </c>
    </row>
    <row r="51" spans="1:27" s="4" customFormat="1" x14ac:dyDescent="0.25">
      <c r="A51" s="70"/>
      <c r="B51" s="5"/>
      <c r="C51" s="6">
        <v>41567</v>
      </c>
      <c r="D51" s="4">
        <v>14.8</v>
      </c>
      <c r="E51" s="4">
        <v>13.1</v>
      </c>
      <c r="F51" s="4">
        <v>17.3</v>
      </c>
      <c r="G51" s="4">
        <f t="shared" si="4"/>
        <v>632.6</v>
      </c>
      <c r="J51" s="4">
        <v>1.1000000000000001</v>
      </c>
      <c r="K51" s="4">
        <f t="shared" si="5"/>
        <v>174.29999999999993</v>
      </c>
      <c r="L51" s="4">
        <v>1.3</v>
      </c>
      <c r="M51" s="4">
        <f t="shared" si="6"/>
        <v>83.5</v>
      </c>
      <c r="N51" s="9">
        <f t="shared" si="3"/>
        <v>-0.19999999999999996</v>
      </c>
      <c r="O51" s="4">
        <v>98.59999999999998</v>
      </c>
      <c r="P51" s="4">
        <v>46</v>
      </c>
      <c r="Q51" s="4">
        <f t="shared" si="9"/>
        <v>0.70895522388059695</v>
      </c>
      <c r="R51" s="10">
        <f t="shared" si="0"/>
        <v>0.92164179104477606</v>
      </c>
      <c r="S51" s="10">
        <f t="shared" si="1"/>
        <v>0.17835820895522403</v>
      </c>
      <c r="T51" s="10">
        <f t="shared" si="7"/>
        <v>136.84932835820896</v>
      </c>
      <c r="V51" s="11">
        <v>679.5</v>
      </c>
      <c r="W51" s="4">
        <f t="shared" si="2"/>
        <v>45.912162162162161</v>
      </c>
      <c r="X51" s="4">
        <f t="shared" si="8"/>
        <v>37266.400000000009</v>
      </c>
      <c r="AA51" s="4">
        <v>10.517912121352399</v>
      </c>
    </row>
    <row r="52" spans="1:27" s="4" customFormat="1" x14ac:dyDescent="0.25">
      <c r="A52" s="70"/>
      <c r="B52" s="5"/>
      <c r="C52" s="6">
        <v>41568</v>
      </c>
      <c r="D52" s="4">
        <v>15.4</v>
      </c>
      <c r="E52" s="4">
        <v>13</v>
      </c>
      <c r="F52" s="4">
        <v>17.399999999999999</v>
      </c>
      <c r="G52" s="4">
        <f t="shared" si="4"/>
        <v>648</v>
      </c>
      <c r="J52" s="4">
        <v>0.2</v>
      </c>
      <c r="K52" s="4">
        <f t="shared" si="5"/>
        <v>174.49999999999991</v>
      </c>
      <c r="L52" s="4">
        <v>1.1000000000000001</v>
      </c>
      <c r="M52" s="4">
        <f t="shared" si="6"/>
        <v>84.6</v>
      </c>
      <c r="N52" s="9">
        <f t="shared" si="3"/>
        <v>-0.90000000000000013</v>
      </c>
      <c r="O52" s="4">
        <v>97.699999999999974</v>
      </c>
      <c r="P52" s="4">
        <v>47</v>
      </c>
      <c r="Q52" s="4">
        <f t="shared" si="9"/>
        <v>0.7186567164179104</v>
      </c>
      <c r="R52" s="10">
        <f t="shared" si="0"/>
        <v>0.79052238805970154</v>
      </c>
      <c r="S52" s="10">
        <f t="shared" si="1"/>
        <v>-0.59052238805970148</v>
      </c>
      <c r="T52" s="10">
        <f t="shared" si="7"/>
        <v>136.25880597014927</v>
      </c>
      <c r="V52" s="11">
        <v>572.20000000000005</v>
      </c>
      <c r="W52" s="4">
        <f t="shared" si="2"/>
        <v>37.155844155844157</v>
      </c>
      <c r="X52" s="4">
        <f t="shared" si="8"/>
        <v>37838.600000000006</v>
      </c>
      <c r="AA52" s="4">
        <v>10.456473054847701</v>
      </c>
    </row>
    <row r="53" spans="1:27" s="4" customFormat="1" x14ac:dyDescent="0.25">
      <c r="A53" s="70"/>
      <c r="B53" s="5"/>
      <c r="C53" s="6">
        <v>41569</v>
      </c>
      <c r="D53" s="4">
        <v>17.3</v>
      </c>
      <c r="E53" s="4">
        <v>15</v>
      </c>
      <c r="F53" s="4">
        <v>20.8</v>
      </c>
      <c r="G53" s="4">
        <f t="shared" si="4"/>
        <v>665.3</v>
      </c>
      <c r="J53" s="4">
        <v>0.2</v>
      </c>
      <c r="K53" s="4">
        <f t="shared" si="5"/>
        <v>174.6999999999999</v>
      </c>
      <c r="L53" s="4">
        <v>2.2000000000000002</v>
      </c>
      <c r="M53" s="4">
        <f t="shared" si="6"/>
        <v>86.8</v>
      </c>
      <c r="N53" s="9">
        <f t="shared" si="3"/>
        <v>-2</v>
      </c>
      <c r="O53" s="4">
        <v>95.699999999999974</v>
      </c>
      <c r="P53" s="4">
        <v>48</v>
      </c>
      <c r="Q53" s="4">
        <f t="shared" si="9"/>
        <v>0.72835820895522385</v>
      </c>
      <c r="R53" s="10">
        <f t="shared" si="0"/>
        <v>1.6023880597014926</v>
      </c>
      <c r="S53" s="10">
        <f t="shared" si="1"/>
        <v>-1.4023880597014926</v>
      </c>
      <c r="T53" s="10">
        <f t="shared" si="7"/>
        <v>134.85641791044779</v>
      </c>
      <c r="V53" s="11">
        <v>851.4</v>
      </c>
      <c r="W53" s="4">
        <f t="shared" si="2"/>
        <v>49.213872832369937</v>
      </c>
      <c r="X53" s="4">
        <f t="shared" si="8"/>
        <v>38690.000000000007</v>
      </c>
      <c r="AA53" s="4">
        <v>10.3952367456766</v>
      </c>
    </row>
    <row r="54" spans="1:27" s="4" customFormat="1" x14ac:dyDescent="0.25">
      <c r="A54" s="70"/>
      <c r="B54" s="5"/>
      <c r="C54" s="6">
        <v>41570</v>
      </c>
      <c r="D54" s="4">
        <v>15.6</v>
      </c>
      <c r="E54" s="4">
        <v>14.2</v>
      </c>
      <c r="F54" s="4">
        <v>19.2</v>
      </c>
      <c r="G54" s="4">
        <f t="shared" si="4"/>
        <v>680.9</v>
      </c>
      <c r="J54" s="4">
        <v>2.9</v>
      </c>
      <c r="K54" s="4">
        <f t="shared" si="5"/>
        <v>177.59999999999991</v>
      </c>
      <c r="L54" s="4">
        <v>2.5</v>
      </c>
      <c r="M54" s="4">
        <f t="shared" si="6"/>
        <v>89.3</v>
      </c>
      <c r="N54" s="4">
        <f t="shared" si="3"/>
        <v>0.39999999999999991</v>
      </c>
      <c r="O54" s="4">
        <v>96.09999999999998</v>
      </c>
      <c r="P54" s="4">
        <v>49</v>
      </c>
      <c r="Q54" s="4">
        <f t="shared" si="9"/>
        <v>0.73805970149253719</v>
      </c>
      <c r="R54" s="10">
        <f t="shared" si="0"/>
        <v>1.845149253731343</v>
      </c>
      <c r="S54" s="10">
        <f t="shared" si="1"/>
        <v>1.0548507462686569</v>
      </c>
      <c r="T54" s="10">
        <f t="shared" si="7"/>
        <v>135.91126865671646</v>
      </c>
      <c r="V54" s="11">
        <v>669.1</v>
      </c>
      <c r="W54" s="4">
        <f t="shared" si="2"/>
        <v>42.891025641025642</v>
      </c>
      <c r="X54" s="4">
        <f t="shared" si="8"/>
        <v>39359.100000000006</v>
      </c>
      <c r="AA54" s="4">
        <v>10.3342167494721</v>
      </c>
    </row>
    <row r="55" spans="1:27" s="4" customFormat="1" x14ac:dyDescent="0.25">
      <c r="A55" s="70"/>
      <c r="B55" s="5"/>
      <c r="C55" s="6">
        <v>41571</v>
      </c>
      <c r="D55" s="4">
        <v>11.6</v>
      </c>
      <c r="E55" s="4">
        <v>8.9</v>
      </c>
      <c r="F55" s="4">
        <v>14.5</v>
      </c>
      <c r="G55" s="4">
        <f t="shared" si="4"/>
        <v>692.5</v>
      </c>
      <c r="J55" s="4">
        <v>0.5</v>
      </c>
      <c r="K55" s="4">
        <f t="shared" si="5"/>
        <v>178.09999999999991</v>
      </c>
      <c r="L55" s="4">
        <v>0.9</v>
      </c>
      <c r="M55" s="4">
        <f t="shared" si="6"/>
        <v>90.2</v>
      </c>
      <c r="N55" s="9">
        <f t="shared" si="3"/>
        <v>-0.4</v>
      </c>
      <c r="O55" s="4">
        <v>95.699999999999974</v>
      </c>
      <c r="P55" s="4">
        <v>50</v>
      </c>
      <c r="Q55" s="4">
        <f t="shared" si="9"/>
        <v>0.74776119402985075</v>
      </c>
      <c r="R55" s="10">
        <f t="shared" si="0"/>
        <v>0.67298507462686574</v>
      </c>
      <c r="S55" s="10">
        <f t="shared" si="1"/>
        <v>-0.17298507462686574</v>
      </c>
      <c r="T55" s="10">
        <f t="shared" si="7"/>
        <v>135.73828358208959</v>
      </c>
      <c r="V55" s="11">
        <v>755.3</v>
      </c>
      <c r="W55" s="4">
        <f t="shared" si="2"/>
        <v>65.112068965517238</v>
      </c>
      <c r="X55" s="4">
        <f t="shared" si="8"/>
        <v>40114.400000000009</v>
      </c>
      <c r="AA55" s="4">
        <v>10.273427218281</v>
      </c>
    </row>
    <row r="56" spans="1:27" s="4" customFormat="1" x14ac:dyDescent="0.25">
      <c r="A56" s="70"/>
      <c r="B56" s="5"/>
      <c r="C56" s="6">
        <v>41572</v>
      </c>
      <c r="D56" s="4">
        <v>15.9</v>
      </c>
      <c r="E56" s="4">
        <v>12.6</v>
      </c>
      <c r="F56" s="4">
        <v>18.5</v>
      </c>
      <c r="G56" s="4">
        <f t="shared" si="4"/>
        <v>708.4</v>
      </c>
      <c r="J56" s="4">
        <v>0.5</v>
      </c>
      <c r="K56" s="4">
        <f t="shared" si="5"/>
        <v>178.59999999999991</v>
      </c>
      <c r="L56" s="4">
        <v>1.4</v>
      </c>
      <c r="M56" s="4">
        <f t="shared" si="6"/>
        <v>91.600000000000009</v>
      </c>
      <c r="N56" s="9">
        <f t="shared" si="3"/>
        <v>-0.89999999999999991</v>
      </c>
      <c r="O56" s="4">
        <v>94.799999999999969</v>
      </c>
      <c r="P56" s="4">
        <v>51</v>
      </c>
      <c r="Q56" s="4">
        <f t="shared" si="9"/>
        <v>0.7574626865671642</v>
      </c>
      <c r="R56" s="10">
        <f t="shared" si="0"/>
        <v>1.0604477611940297</v>
      </c>
      <c r="S56" s="10">
        <f t="shared" si="1"/>
        <v>-0.56044776119402973</v>
      </c>
      <c r="T56" s="10">
        <f t="shared" si="7"/>
        <v>135.17783582089555</v>
      </c>
      <c r="V56" s="11">
        <v>522.79999999999995</v>
      </c>
      <c r="W56" s="4">
        <f t="shared" si="2"/>
        <v>32.880503144654085</v>
      </c>
      <c r="X56" s="4">
        <f t="shared" si="8"/>
        <v>40637.200000000012</v>
      </c>
      <c r="AA56" s="4">
        <v>10.2128829202618</v>
      </c>
    </row>
    <row r="57" spans="1:27" s="4" customFormat="1" x14ac:dyDescent="0.25">
      <c r="A57" s="70"/>
      <c r="B57" s="5"/>
      <c r="C57" s="6">
        <v>41573</v>
      </c>
      <c r="D57" s="4">
        <v>16.3</v>
      </c>
      <c r="E57" s="4">
        <v>15.2</v>
      </c>
      <c r="F57" s="4">
        <v>18.2</v>
      </c>
      <c r="G57" s="4">
        <f t="shared" si="4"/>
        <v>724.69999999999993</v>
      </c>
      <c r="J57" s="4">
        <v>0.4</v>
      </c>
      <c r="K57" s="4">
        <f t="shared" si="5"/>
        <v>178.99999999999991</v>
      </c>
      <c r="L57" s="4">
        <v>1.9</v>
      </c>
      <c r="M57" s="4">
        <f t="shared" si="6"/>
        <v>93.500000000000014</v>
      </c>
      <c r="N57" s="9">
        <f t="shared" si="3"/>
        <v>-1.5</v>
      </c>
      <c r="O57" s="4">
        <v>93.299999999999969</v>
      </c>
      <c r="P57" s="4">
        <v>52</v>
      </c>
      <c r="Q57" s="4">
        <f t="shared" si="9"/>
        <v>0.76716417910447765</v>
      </c>
      <c r="R57" s="10">
        <f t="shared" si="0"/>
        <v>1.4576119402985075</v>
      </c>
      <c r="S57" s="10">
        <f t="shared" si="1"/>
        <v>-1.0576119402985076</v>
      </c>
      <c r="T57" s="10">
        <f t="shared" si="7"/>
        <v>134.12022388059705</v>
      </c>
      <c r="V57" s="11">
        <v>731.9</v>
      </c>
      <c r="W57" s="4">
        <f t="shared" si="2"/>
        <v>44.901840490797539</v>
      </c>
      <c r="X57" s="4">
        <f t="shared" si="8"/>
        <v>41369.100000000013</v>
      </c>
      <c r="AA57" s="4">
        <v>10.152599258871</v>
      </c>
    </row>
    <row r="58" spans="1:27" s="4" customFormat="1" x14ac:dyDescent="0.25">
      <c r="A58" s="70"/>
      <c r="B58" s="5"/>
      <c r="C58" s="6">
        <v>41574</v>
      </c>
      <c r="D58" s="4">
        <v>15.2</v>
      </c>
      <c r="E58" s="4">
        <v>14.7</v>
      </c>
      <c r="F58" s="4">
        <v>16.5</v>
      </c>
      <c r="G58" s="4">
        <f t="shared" si="4"/>
        <v>739.9</v>
      </c>
      <c r="J58" s="4">
        <v>2.7</v>
      </c>
      <c r="K58" s="4">
        <f t="shared" si="5"/>
        <v>181.6999999999999</v>
      </c>
      <c r="L58" s="4">
        <v>2.8</v>
      </c>
      <c r="M58" s="4">
        <f t="shared" si="6"/>
        <v>96.300000000000011</v>
      </c>
      <c r="N58" s="9">
        <f t="shared" si="3"/>
        <v>-9.9999999999999645E-2</v>
      </c>
      <c r="O58" s="4">
        <v>93.199999999999974</v>
      </c>
      <c r="P58" s="4">
        <v>53</v>
      </c>
      <c r="Q58" s="4">
        <f t="shared" si="9"/>
        <v>0.77686567164179099</v>
      </c>
      <c r="R58" s="10">
        <f t="shared" si="0"/>
        <v>2.1752238805970148</v>
      </c>
      <c r="S58" s="10">
        <f t="shared" si="1"/>
        <v>0.52477611940298541</v>
      </c>
      <c r="T58" s="10">
        <f t="shared" si="7"/>
        <v>134.64500000000004</v>
      </c>
      <c r="V58" s="11">
        <v>456.3</v>
      </c>
      <c r="W58" s="4">
        <f t="shared" si="2"/>
        <v>30.019736842105264</v>
      </c>
      <c r="X58" s="4">
        <f t="shared" si="8"/>
        <v>41825.400000000016</v>
      </c>
      <c r="AA58" s="4">
        <v>10.0925922914425</v>
      </c>
    </row>
    <row r="59" spans="1:27" s="4" customFormat="1" x14ac:dyDescent="0.25">
      <c r="A59" s="70"/>
      <c r="B59" s="5"/>
      <c r="C59" s="6">
        <v>41575</v>
      </c>
      <c r="D59" s="4">
        <v>13.5</v>
      </c>
      <c r="E59" s="4">
        <v>11.5</v>
      </c>
      <c r="F59" s="4">
        <v>15.8</v>
      </c>
      <c r="G59" s="4">
        <f t="shared" si="4"/>
        <v>753.4</v>
      </c>
      <c r="J59" s="4">
        <v>4.3</v>
      </c>
      <c r="K59" s="4">
        <f t="shared" si="5"/>
        <v>185.99999999999991</v>
      </c>
      <c r="L59" s="4">
        <v>2.5</v>
      </c>
      <c r="M59" s="4">
        <f t="shared" si="6"/>
        <v>98.800000000000011</v>
      </c>
      <c r="N59" s="4">
        <f t="shared" si="3"/>
        <v>1.7999999999999998</v>
      </c>
      <c r="O59" s="4">
        <v>94.999999999999972</v>
      </c>
      <c r="P59" s="4">
        <v>54</v>
      </c>
      <c r="Q59" s="4">
        <f t="shared" si="9"/>
        <v>0.78656716417910455</v>
      </c>
      <c r="R59" s="10">
        <f t="shared" si="0"/>
        <v>1.9664179104477615</v>
      </c>
      <c r="S59" s="10">
        <f t="shared" si="1"/>
        <v>2.3335820895522383</v>
      </c>
      <c r="T59" s="10">
        <f t="shared" si="7"/>
        <v>136.97858208955228</v>
      </c>
      <c r="V59" s="11">
        <v>432.8</v>
      </c>
      <c r="W59" s="4">
        <f t="shared" si="2"/>
        <v>32.059259259259257</v>
      </c>
      <c r="X59" s="4">
        <f t="shared" si="8"/>
        <v>42258.200000000019</v>
      </c>
      <c r="AA59" s="4">
        <v>10.032878747055101</v>
      </c>
    </row>
    <row r="60" spans="1:27" s="4" customFormat="1" x14ac:dyDescent="0.25">
      <c r="A60" s="70"/>
      <c r="B60" s="5"/>
      <c r="C60" s="6">
        <v>41576</v>
      </c>
      <c r="D60" s="4">
        <v>9.3000000000000007</v>
      </c>
      <c r="E60" s="4">
        <v>8.6</v>
      </c>
      <c r="F60" s="4">
        <v>11.8</v>
      </c>
      <c r="G60" s="4">
        <f t="shared" si="4"/>
        <v>762.69999999999993</v>
      </c>
      <c r="J60" s="4">
        <v>4.3</v>
      </c>
      <c r="K60" s="4">
        <f t="shared" si="5"/>
        <v>190.29999999999993</v>
      </c>
      <c r="L60" s="4">
        <v>1.4</v>
      </c>
      <c r="M60" s="4">
        <f t="shared" si="6"/>
        <v>100.20000000000002</v>
      </c>
      <c r="N60" s="4">
        <f t="shared" si="3"/>
        <v>2.9</v>
      </c>
      <c r="O60" s="4">
        <v>97.899999999999977</v>
      </c>
      <c r="P60" s="4">
        <v>55</v>
      </c>
      <c r="Q60" s="4">
        <f t="shared" si="9"/>
        <v>0.79626865671641789</v>
      </c>
      <c r="R60" s="10">
        <f t="shared" si="0"/>
        <v>1.114776119402985</v>
      </c>
      <c r="S60" s="10">
        <f t="shared" si="1"/>
        <v>3.1852238805970146</v>
      </c>
      <c r="T60" s="10">
        <f t="shared" si="7"/>
        <v>140.1638059701493</v>
      </c>
      <c r="V60" s="11">
        <v>274.8</v>
      </c>
      <c r="W60" s="4">
        <f t="shared" si="2"/>
        <v>29.548387096774192</v>
      </c>
      <c r="X60" s="4">
        <f t="shared" si="8"/>
        <v>42533.000000000022</v>
      </c>
      <c r="AA60" s="4">
        <v>9.9734760435752197</v>
      </c>
    </row>
    <row r="61" spans="1:27" s="4" customFormat="1" x14ac:dyDescent="0.25">
      <c r="A61" s="70"/>
      <c r="B61" s="5"/>
      <c r="C61" s="6">
        <v>41577</v>
      </c>
      <c r="D61" s="4">
        <v>8.8000000000000007</v>
      </c>
      <c r="E61" s="13">
        <v>3.7</v>
      </c>
      <c r="F61" s="4">
        <v>13.3</v>
      </c>
      <c r="G61" s="4">
        <f t="shared" si="4"/>
        <v>771.49999999999989</v>
      </c>
      <c r="J61" s="4">
        <v>0.3</v>
      </c>
      <c r="K61" s="4">
        <f t="shared" si="5"/>
        <v>190.59999999999994</v>
      </c>
      <c r="L61" s="4">
        <v>1.5</v>
      </c>
      <c r="M61" s="4">
        <f t="shared" si="6"/>
        <v>101.70000000000002</v>
      </c>
      <c r="N61" s="9">
        <f t="shared" si="3"/>
        <v>-1.2</v>
      </c>
      <c r="O61" s="4">
        <v>96.699999999999974</v>
      </c>
      <c r="P61" s="4">
        <v>56</v>
      </c>
      <c r="Q61" s="4">
        <f t="shared" si="9"/>
        <v>0.80597014925373134</v>
      </c>
      <c r="R61" s="10">
        <f t="shared" si="0"/>
        <v>1.208955223880597</v>
      </c>
      <c r="S61" s="10">
        <f t="shared" si="1"/>
        <v>-0.90895522388059691</v>
      </c>
      <c r="T61" s="10">
        <f t="shared" si="7"/>
        <v>139.25485074626869</v>
      </c>
      <c r="V61" s="4">
        <v>905.6</v>
      </c>
      <c r="W61" s="4">
        <f t="shared" si="2"/>
        <v>102.90909090909091</v>
      </c>
      <c r="X61" s="4">
        <f t="shared" si="8"/>
        <v>43438.60000000002</v>
      </c>
      <c r="AA61" s="4">
        <v>9.9144023037533593</v>
      </c>
    </row>
    <row r="62" spans="1:27" s="4" customFormat="1" x14ac:dyDescent="0.25">
      <c r="A62" s="70"/>
      <c r="B62" s="5"/>
      <c r="C62" s="6">
        <v>41578</v>
      </c>
      <c r="D62" s="4">
        <v>10.5</v>
      </c>
      <c r="E62" s="4">
        <v>6.5</v>
      </c>
      <c r="F62" s="4">
        <v>13.5</v>
      </c>
      <c r="G62" s="4">
        <f t="shared" si="4"/>
        <v>781.99999999999989</v>
      </c>
      <c r="J62" s="4">
        <v>0</v>
      </c>
      <c r="K62" s="4">
        <f t="shared" si="5"/>
        <v>190.59999999999994</v>
      </c>
      <c r="L62" s="4">
        <v>1.6</v>
      </c>
      <c r="M62" s="4">
        <f t="shared" si="6"/>
        <v>103.30000000000001</v>
      </c>
      <c r="N62" s="9">
        <f t="shared" si="3"/>
        <v>-1.6</v>
      </c>
      <c r="O62" s="4">
        <v>95.09999999999998</v>
      </c>
      <c r="P62" s="4">
        <v>57</v>
      </c>
      <c r="Q62" s="4">
        <f t="shared" si="9"/>
        <v>0.81567164179104479</v>
      </c>
      <c r="R62" s="10">
        <f t="shared" si="0"/>
        <v>1.3050746268656717</v>
      </c>
      <c r="S62" s="10">
        <f t="shared" si="1"/>
        <v>-1.3050746268656717</v>
      </c>
      <c r="T62" s="10">
        <f t="shared" si="7"/>
        <v>137.94977611940303</v>
      </c>
      <c r="V62" s="11">
        <v>766.9</v>
      </c>
      <c r="W62" s="4">
        <f t="shared" si="2"/>
        <v>73.038095238095238</v>
      </c>
      <c r="X62" s="4">
        <f t="shared" si="8"/>
        <v>44205.500000000022</v>
      </c>
      <c r="AA62" s="4">
        <v>9.8556763702435806</v>
      </c>
    </row>
    <row r="63" spans="1:27" s="4" customFormat="1" x14ac:dyDescent="0.25">
      <c r="A63" s="70"/>
      <c r="B63" s="5"/>
      <c r="C63" s="6">
        <v>41579</v>
      </c>
      <c r="D63" s="4">
        <v>11.2</v>
      </c>
      <c r="E63" s="4">
        <v>10.199999999999999</v>
      </c>
      <c r="F63" s="4">
        <v>13.2</v>
      </c>
      <c r="G63" s="4">
        <f t="shared" si="4"/>
        <v>793.19999999999993</v>
      </c>
      <c r="J63" s="4">
        <v>19.899999999999999</v>
      </c>
      <c r="K63" s="4">
        <f t="shared" si="5"/>
        <v>210.49999999999994</v>
      </c>
      <c r="L63" s="4">
        <v>1.1000000000000001</v>
      </c>
      <c r="M63" s="4">
        <f t="shared" si="6"/>
        <v>104.4</v>
      </c>
      <c r="N63" s="4">
        <f t="shared" si="3"/>
        <v>18.799999999999997</v>
      </c>
      <c r="O63" s="4">
        <v>113.89999999999998</v>
      </c>
      <c r="P63" s="4">
        <v>58</v>
      </c>
      <c r="Q63" s="4">
        <f t="shared" si="9"/>
        <v>0.82537313432835813</v>
      </c>
      <c r="R63" s="10">
        <f t="shared" si="0"/>
        <v>0.90791044776119401</v>
      </c>
      <c r="S63" s="10">
        <f t="shared" si="1"/>
        <v>18.992089552238806</v>
      </c>
      <c r="T63" s="10">
        <f t="shared" si="7"/>
        <v>153.6</v>
      </c>
      <c r="V63" s="11">
        <v>253.5</v>
      </c>
      <c r="W63" s="4">
        <f t="shared" si="2"/>
        <v>22.633928571428573</v>
      </c>
      <c r="X63" s="4">
        <f t="shared" si="8"/>
        <v>44459.000000000022</v>
      </c>
      <c r="AA63" s="4">
        <v>9.7973178194064694</v>
      </c>
    </row>
    <row r="64" spans="1:27" s="4" customFormat="1" x14ac:dyDescent="0.25">
      <c r="A64" s="70"/>
      <c r="B64" s="5"/>
      <c r="C64" s="6">
        <v>41580</v>
      </c>
      <c r="D64" s="4">
        <v>12.3</v>
      </c>
      <c r="E64" s="4">
        <v>9.6999999999999993</v>
      </c>
      <c r="F64" s="4">
        <v>14.2</v>
      </c>
      <c r="G64" s="4">
        <f t="shared" si="4"/>
        <v>805.49999999999989</v>
      </c>
      <c r="J64" s="4">
        <v>6.9</v>
      </c>
      <c r="K64" s="4">
        <f t="shared" si="5"/>
        <v>217.39999999999995</v>
      </c>
      <c r="L64" s="4">
        <v>0.9</v>
      </c>
      <c r="M64" s="4">
        <f t="shared" si="6"/>
        <v>105.30000000000001</v>
      </c>
      <c r="N64" s="4">
        <f t="shared" si="3"/>
        <v>6</v>
      </c>
      <c r="O64" s="4">
        <v>119.89999999999998</v>
      </c>
      <c r="P64" s="4">
        <v>59</v>
      </c>
      <c r="Q64" s="4">
        <f t="shared" si="9"/>
        <v>0.83507462686567169</v>
      </c>
      <c r="R64" s="10">
        <f t="shared" si="0"/>
        <v>0.75156716417910452</v>
      </c>
      <c r="S64" s="10">
        <f t="shared" si="1"/>
        <v>6.1484328358208957</v>
      </c>
      <c r="T64" s="10">
        <f t="shared" si="7"/>
        <v>153.6</v>
      </c>
      <c r="V64" s="11">
        <v>256.60000000000002</v>
      </c>
      <c r="W64" s="4">
        <f t="shared" si="2"/>
        <v>20.86178861788618</v>
      </c>
      <c r="X64" s="4">
        <f t="shared" si="8"/>
        <v>44715.60000000002</v>
      </c>
      <c r="AA64" s="4">
        <v>9.7393469737470699</v>
      </c>
    </row>
    <row r="65" spans="1:27" s="4" customFormat="1" x14ac:dyDescent="0.25">
      <c r="A65" s="70"/>
      <c r="B65" s="5"/>
      <c r="C65" s="6">
        <v>41581</v>
      </c>
      <c r="D65" s="4">
        <v>8.6999999999999993</v>
      </c>
      <c r="E65" s="4">
        <v>7.7</v>
      </c>
      <c r="F65" s="4">
        <v>12.5</v>
      </c>
      <c r="G65" s="4">
        <f t="shared" si="4"/>
        <v>814.19999999999993</v>
      </c>
      <c r="J65" s="4">
        <v>11.9</v>
      </c>
      <c r="K65" s="4">
        <f t="shared" si="5"/>
        <v>229.29999999999995</v>
      </c>
      <c r="L65" s="4">
        <v>1.5</v>
      </c>
      <c r="M65" s="4">
        <f t="shared" si="6"/>
        <v>106.80000000000001</v>
      </c>
      <c r="N65" s="4">
        <f t="shared" si="3"/>
        <v>10.4</v>
      </c>
      <c r="O65" s="4">
        <v>130.29999999999998</v>
      </c>
      <c r="P65" s="4">
        <v>60</v>
      </c>
      <c r="Q65" s="4">
        <f t="shared" si="9"/>
        <v>0.84477611940298503</v>
      </c>
      <c r="R65" s="10">
        <f t="shared" si="0"/>
        <v>1.2671641791044777</v>
      </c>
      <c r="S65" s="10">
        <f t="shared" si="1"/>
        <v>10.632835820895522</v>
      </c>
      <c r="T65" s="10">
        <f t="shared" si="7"/>
        <v>153.6</v>
      </c>
      <c r="V65" s="11">
        <v>134.6</v>
      </c>
      <c r="W65" s="4">
        <f t="shared" si="2"/>
        <v>15.471264367816092</v>
      </c>
      <c r="X65" s="4">
        <f t="shared" si="8"/>
        <v>44850.200000000019</v>
      </c>
      <c r="AA65" s="4">
        <v>9.6817849128304392</v>
      </c>
    </row>
    <row r="66" spans="1:27" s="4" customFormat="1" x14ac:dyDescent="0.25">
      <c r="A66" s="70"/>
      <c r="B66" s="5"/>
      <c r="C66" s="6">
        <v>41582</v>
      </c>
      <c r="D66" s="4">
        <v>8.6</v>
      </c>
      <c r="E66" s="4">
        <v>6.4</v>
      </c>
      <c r="F66" s="4">
        <v>11.9</v>
      </c>
      <c r="G66" s="4">
        <f t="shared" si="4"/>
        <v>822.8</v>
      </c>
      <c r="J66" s="4">
        <v>2.1</v>
      </c>
      <c r="K66" s="4">
        <f t="shared" si="5"/>
        <v>231.39999999999995</v>
      </c>
      <c r="L66" s="4">
        <v>1</v>
      </c>
      <c r="M66" s="4">
        <f t="shared" si="6"/>
        <v>107.80000000000001</v>
      </c>
      <c r="N66" s="4">
        <f t="shared" si="3"/>
        <v>1.1000000000000001</v>
      </c>
      <c r="O66" s="4">
        <v>131.39999999999998</v>
      </c>
      <c r="P66" s="4">
        <v>61</v>
      </c>
      <c r="Q66" s="4">
        <f t="shared" si="9"/>
        <v>0.85447761194029848</v>
      </c>
      <c r="R66" s="10">
        <f t="shared" si="0"/>
        <v>0.85447761194029848</v>
      </c>
      <c r="S66" s="10">
        <f t="shared" si="1"/>
        <v>1.2455223880597015</v>
      </c>
      <c r="T66" s="10">
        <f t="shared" si="7"/>
        <v>153.6</v>
      </c>
      <c r="V66" s="11">
        <v>365.7</v>
      </c>
      <c r="W66" s="4">
        <f t="shared" si="2"/>
        <v>42.52325581395349</v>
      </c>
      <c r="X66" s="4">
        <f t="shared" si="8"/>
        <v>45215.900000000016</v>
      </c>
      <c r="AA66" s="4">
        <v>9.6246534825086503</v>
      </c>
    </row>
    <row r="67" spans="1:27" s="4" customFormat="1" x14ac:dyDescent="0.25">
      <c r="A67" s="70"/>
      <c r="B67" s="5"/>
      <c r="C67" s="6">
        <v>41583</v>
      </c>
      <c r="D67" s="4">
        <v>7.7</v>
      </c>
      <c r="E67" s="13">
        <v>4.0999999999999996</v>
      </c>
      <c r="F67" s="4">
        <v>10.6</v>
      </c>
      <c r="G67" s="4">
        <f t="shared" si="4"/>
        <v>830.5</v>
      </c>
      <c r="J67" s="4">
        <v>12.3</v>
      </c>
      <c r="K67" s="4">
        <f t="shared" si="5"/>
        <v>243.69999999999996</v>
      </c>
      <c r="L67" s="4">
        <v>0.7</v>
      </c>
      <c r="M67" s="4">
        <f t="shared" si="6"/>
        <v>108.50000000000001</v>
      </c>
      <c r="N67" s="4">
        <f t="shared" si="3"/>
        <v>11.600000000000001</v>
      </c>
      <c r="O67" s="4">
        <v>142.99999999999997</v>
      </c>
      <c r="P67" s="4">
        <v>62</v>
      </c>
      <c r="Q67" s="4">
        <f t="shared" si="9"/>
        <v>0.86417910447761193</v>
      </c>
      <c r="R67" s="10">
        <f t="shared" si="0"/>
        <v>0.60492537313432826</v>
      </c>
      <c r="S67" s="10">
        <f t="shared" si="1"/>
        <v>11.695074626865672</v>
      </c>
      <c r="T67" s="10">
        <f t="shared" si="7"/>
        <v>153.6</v>
      </c>
      <c r="V67" s="11">
        <v>96.6</v>
      </c>
      <c r="W67" s="4">
        <f t="shared" si="2"/>
        <v>12.545454545454545</v>
      </c>
      <c r="X67" s="4">
        <f t="shared" si="8"/>
        <v>45312.500000000015</v>
      </c>
      <c r="AA67" s="4">
        <v>9.5679753022847507</v>
      </c>
    </row>
    <row r="68" spans="1:27" s="4" customFormat="1" x14ac:dyDescent="0.25">
      <c r="A68" s="70"/>
      <c r="B68" s="5"/>
      <c r="C68" s="6">
        <v>41584</v>
      </c>
      <c r="D68" s="4">
        <v>12.3</v>
      </c>
      <c r="E68" s="4">
        <v>9.8000000000000007</v>
      </c>
      <c r="F68" s="4">
        <v>14.7</v>
      </c>
      <c r="G68" s="4">
        <f t="shared" si="4"/>
        <v>842.8</v>
      </c>
      <c r="J68" s="4">
        <v>7.3</v>
      </c>
      <c r="K68" s="4">
        <f t="shared" si="5"/>
        <v>250.99999999999997</v>
      </c>
      <c r="L68" s="4">
        <v>0.8</v>
      </c>
      <c r="M68" s="4">
        <f t="shared" si="6"/>
        <v>109.30000000000001</v>
      </c>
      <c r="N68" s="4">
        <f t="shared" si="3"/>
        <v>6.5</v>
      </c>
      <c r="O68" s="4">
        <v>149.49999999999997</v>
      </c>
      <c r="P68" s="4">
        <v>63</v>
      </c>
      <c r="Q68" s="4">
        <f t="shared" si="9"/>
        <v>0.87388059701492538</v>
      </c>
      <c r="R68" s="10">
        <f t="shared" si="0"/>
        <v>0.69910447761194039</v>
      </c>
      <c r="S68" s="10">
        <f t="shared" si="1"/>
        <v>6.6008955223880594</v>
      </c>
      <c r="T68" s="10">
        <f t="shared" si="7"/>
        <v>153.6</v>
      </c>
      <c r="V68" s="11">
        <v>112.8</v>
      </c>
      <c r="W68" s="4">
        <f t="shared" si="2"/>
        <v>9.1707317073170724</v>
      </c>
      <c r="X68" s="4">
        <f t="shared" si="8"/>
        <v>45425.300000000017</v>
      </c>
      <c r="AA68" s="4">
        <v>9.5117737706313008</v>
      </c>
    </row>
    <row r="69" spans="1:27" s="4" customFormat="1" x14ac:dyDescent="0.25">
      <c r="A69" s="70"/>
      <c r="B69" s="5"/>
      <c r="C69" s="6">
        <v>41585</v>
      </c>
      <c r="D69" s="4">
        <v>12</v>
      </c>
      <c r="E69" s="4">
        <v>11.2</v>
      </c>
      <c r="F69" s="4">
        <v>13.4</v>
      </c>
      <c r="G69" s="4">
        <f t="shared" si="4"/>
        <v>854.8</v>
      </c>
      <c r="J69" s="4">
        <v>13.7</v>
      </c>
      <c r="K69" s="4">
        <f t="shared" si="5"/>
        <v>264.7</v>
      </c>
      <c r="L69" s="4">
        <v>0.5</v>
      </c>
      <c r="M69" s="4">
        <f t="shared" si="6"/>
        <v>109.80000000000001</v>
      </c>
      <c r="N69" s="4">
        <f t="shared" si="3"/>
        <v>13.2</v>
      </c>
      <c r="O69" s="4">
        <v>153.6</v>
      </c>
      <c r="P69" s="4">
        <v>64</v>
      </c>
      <c r="Q69" s="4">
        <f t="shared" si="9"/>
        <v>0.88358208955223883</v>
      </c>
      <c r="R69" s="10">
        <f t="shared" si="0"/>
        <v>0.44179104477611941</v>
      </c>
      <c r="S69" s="10">
        <f t="shared" si="1"/>
        <v>13.25820895522388</v>
      </c>
      <c r="T69" s="10">
        <f t="shared" si="7"/>
        <v>153.6</v>
      </c>
      <c r="V69" s="11">
        <v>95.3</v>
      </c>
      <c r="W69" s="4">
        <f t="shared" si="2"/>
        <v>7.9416666666666664</v>
      </c>
      <c r="X69" s="4">
        <f t="shared" si="8"/>
        <v>45520.60000000002</v>
      </c>
      <c r="AA69" s="4">
        <v>9.4560730680733904</v>
      </c>
    </row>
    <row r="70" spans="1:27" s="4" customFormat="1" x14ac:dyDescent="0.25">
      <c r="A70" s="70"/>
      <c r="B70" s="5"/>
      <c r="C70" s="6">
        <v>41586</v>
      </c>
      <c r="D70" s="4">
        <v>9.1</v>
      </c>
      <c r="E70" s="4">
        <v>7.7</v>
      </c>
      <c r="F70" s="4">
        <v>11.5</v>
      </c>
      <c r="G70" s="4">
        <f t="shared" si="4"/>
        <v>863.9</v>
      </c>
      <c r="J70" s="4">
        <v>13.9</v>
      </c>
      <c r="K70" s="4">
        <f t="shared" si="5"/>
        <v>278.59999999999997</v>
      </c>
      <c r="L70" s="4">
        <v>0.8</v>
      </c>
      <c r="M70" s="4">
        <f t="shared" si="6"/>
        <v>110.60000000000001</v>
      </c>
      <c r="N70" s="4">
        <f t="shared" si="3"/>
        <v>13.1</v>
      </c>
      <c r="O70" s="4">
        <v>153.6</v>
      </c>
      <c r="P70" s="4">
        <v>65</v>
      </c>
      <c r="Q70" s="4">
        <f t="shared" si="9"/>
        <v>0.89328358208955216</v>
      </c>
      <c r="R70" s="10">
        <f t="shared" ref="R70:R133" si="10">Q70*L70</f>
        <v>0.7146268656716418</v>
      </c>
      <c r="S70" s="10">
        <f t="shared" ref="S70:S133" si="11">J70-R70</f>
        <v>13.185373134328358</v>
      </c>
      <c r="T70" s="10">
        <f t="shared" si="7"/>
        <v>153.6</v>
      </c>
      <c r="V70" s="11">
        <v>289.10000000000002</v>
      </c>
      <c r="W70" s="4">
        <f t="shared" ref="W70:W133" si="12">V70/D70</f>
        <v>31.769230769230774</v>
      </c>
      <c r="X70" s="4">
        <f t="shared" si="8"/>
        <v>45809.700000000019</v>
      </c>
      <c r="AA70" s="4">
        <v>9.4008981578398192</v>
      </c>
    </row>
    <row r="71" spans="1:27" s="4" customFormat="1" x14ac:dyDescent="0.25">
      <c r="A71" s="70"/>
      <c r="B71" s="5"/>
      <c r="C71" s="6">
        <v>41587</v>
      </c>
      <c r="D71" s="4">
        <v>8.1</v>
      </c>
      <c r="E71" s="4">
        <v>7.1</v>
      </c>
      <c r="F71" s="4">
        <v>9.5</v>
      </c>
      <c r="G71" s="4">
        <f t="shared" si="4"/>
        <v>872</v>
      </c>
      <c r="J71" s="4">
        <v>3.3</v>
      </c>
      <c r="K71" s="4">
        <f t="shared" si="5"/>
        <v>281.89999999999998</v>
      </c>
      <c r="L71" s="4">
        <v>1.1000000000000001</v>
      </c>
      <c r="M71" s="4">
        <f t="shared" si="6"/>
        <v>111.7</v>
      </c>
      <c r="N71" s="4">
        <f t="shared" ref="N71:N134" si="13">J71-L71</f>
        <v>2.1999999999999997</v>
      </c>
      <c r="O71" s="4">
        <v>153.6</v>
      </c>
      <c r="P71" s="4">
        <v>66</v>
      </c>
      <c r="Q71" s="4">
        <f t="shared" si="9"/>
        <v>0.90298507462686572</v>
      </c>
      <c r="R71" s="10">
        <f t="shared" si="10"/>
        <v>0.99328358208955236</v>
      </c>
      <c r="S71" s="10">
        <f t="shared" si="11"/>
        <v>2.3067164179104473</v>
      </c>
      <c r="T71" s="10">
        <f t="shared" si="7"/>
        <v>153.6</v>
      </c>
      <c r="V71" s="11">
        <v>421.5</v>
      </c>
      <c r="W71" s="4">
        <f t="shared" si="12"/>
        <v>52.037037037037038</v>
      </c>
      <c r="X71" s="4">
        <f t="shared" si="8"/>
        <v>46231.200000000019</v>
      </c>
      <c r="AA71" s="4">
        <v>9.3462747838799203</v>
      </c>
    </row>
    <row r="72" spans="1:27" s="4" customFormat="1" x14ac:dyDescent="0.25">
      <c r="A72" s="70"/>
      <c r="B72" s="5"/>
      <c r="C72" s="6">
        <v>41588</v>
      </c>
      <c r="D72" s="4">
        <v>6.2</v>
      </c>
      <c r="E72" s="4">
        <v>5.9</v>
      </c>
      <c r="F72" s="4">
        <v>8.6</v>
      </c>
      <c r="G72" s="4">
        <f t="shared" ref="G72:G135" si="14">G71+D72</f>
        <v>878.2</v>
      </c>
      <c r="J72" s="4">
        <v>3.8</v>
      </c>
      <c r="K72" s="4">
        <f t="shared" ref="K72:K135" si="15">K71+J72</f>
        <v>285.7</v>
      </c>
      <c r="L72" s="4">
        <v>1</v>
      </c>
      <c r="M72" s="4">
        <f t="shared" ref="M72:M135" si="16">M71+L72</f>
        <v>112.7</v>
      </c>
      <c r="N72" s="4">
        <f t="shared" si="13"/>
        <v>2.8</v>
      </c>
      <c r="O72" s="4">
        <v>153.6</v>
      </c>
      <c r="P72" s="4">
        <v>67</v>
      </c>
      <c r="Q72" s="4">
        <f t="shared" si="9"/>
        <v>0.91268656716417906</v>
      </c>
      <c r="R72" s="10">
        <f t="shared" si="10"/>
        <v>0.91268656716417906</v>
      </c>
      <c r="S72" s="10">
        <f t="shared" si="11"/>
        <v>2.8873134328358208</v>
      </c>
      <c r="T72" s="10">
        <f t="shared" ref="T72:T135" si="17">MIN(153.6,(T71+S72))</f>
        <v>153.6</v>
      </c>
      <c r="V72" s="11">
        <v>205.8</v>
      </c>
      <c r="W72" s="4">
        <f t="shared" si="12"/>
        <v>33.193548387096776</v>
      </c>
      <c r="X72" s="4">
        <f t="shared" ref="X72:X135" si="18">X71+V72</f>
        <v>46437.000000000022</v>
      </c>
      <c r="AA72" s="4">
        <v>9.2922294660391405</v>
      </c>
    </row>
    <row r="73" spans="1:27" s="4" customFormat="1" x14ac:dyDescent="0.25">
      <c r="A73" s="70"/>
      <c r="B73" s="5"/>
      <c r="C73" s="6">
        <v>41589</v>
      </c>
      <c r="D73" s="4">
        <v>5.5</v>
      </c>
      <c r="E73" s="13">
        <v>0.5</v>
      </c>
      <c r="F73" s="4">
        <v>8.6999999999999993</v>
      </c>
      <c r="G73" s="4">
        <f t="shared" si="14"/>
        <v>883.7</v>
      </c>
      <c r="J73" s="4">
        <v>0</v>
      </c>
      <c r="K73" s="4">
        <f t="shared" si="15"/>
        <v>285.7</v>
      </c>
      <c r="L73" s="4">
        <v>0.6</v>
      </c>
      <c r="M73" s="4">
        <f t="shared" si="16"/>
        <v>113.3</v>
      </c>
      <c r="N73" s="9">
        <f t="shared" si="13"/>
        <v>-0.6</v>
      </c>
      <c r="O73" s="4">
        <v>153</v>
      </c>
      <c r="P73" s="4">
        <v>68</v>
      </c>
      <c r="Q73" s="4">
        <f t="shared" si="9"/>
        <v>0.92238805970149251</v>
      </c>
      <c r="R73" s="10">
        <f t="shared" si="10"/>
        <v>0.55343283582089553</v>
      </c>
      <c r="S73" s="10">
        <f t="shared" si="11"/>
        <v>-0.55343283582089553</v>
      </c>
      <c r="T73" s="10">
        <f t="shared" si="17"/>
        <v>153.04656716417909</v>
      </c>
      <c r="V73" s="11">
        <v>352</v>
      </c>
      <c r="W73" s="4">
        <f t="shared" si="12"/>
        <v>64</v>
      </c>
      <c r="X73" s="4">
        <f t="shared" si="18"/>
        <v>46789.000000000022</v>
      </c>
      <c r="AA73" s="4">
        <v>9.2387894921829208</v>
      </c>
    </row>
    <row r="74" spans="1:27" s="4" customFormat="1" x14ac:dyDescent="0.25">
      <c r="A74" s="70"/>
      <c r="B74" s="5"/>
      <c r="C74" s="6">
        <v>41590</v>
      </c>
      <c r="D74" s="4">
        <v>8.1999999999999993</v>
      </c>
      <c r="E74" s="4">
        <v>7.2</v>
      </c>
      <c r="F74" s="4">
        <v>9.6999999999999993</v>
      </c>
      <c r="G74" s="4">
        <f t="shared" si="14"/>
        <v>891.90000000000009</v>
      </c>
      <c r="J74" s="4">
        <v>2</v>
      </c>
      <c r="K74" s="4">
        <f t="shared" si="15"/>
        <v>287.7</v>
      </c>
      <c r="L74" s="4">
        <v>0.5</v>
      </c>
      <c r="M74" s="4">
        <f t="shared" si="16"/>
        <v>113.8</v>
      </c>
      <c r="N74" s="4">
        <f t="shared" si="13"/>
        <v>1.5</v>
      </c>
      <c r="O74" s="4">
        <v>153.6</v>
      </c>
      <c r="P74" s="4">
        <v>69</v>
      </c>
      <c r="Q74" s="4">
        <f t="shared" si="9"/>
        <v>0.93208955223880596</v>
      </c>
      <c r="R74" s="10">
        <f t="shared" si="10"/>
        <v>0.46604477611940298</v>
      </c>
      <c r="S74" s="10">
        <f t="shared" si="11"/>
        <v>1.5339552238805969</v>
      </c>
      <c r="T74" s="10">
        <f t="shared" si="17"/>
        <v>153.6</v>
      </c>
      <c r="V74" s="11">
        <v>138.30000000000001</v>
      </c>
      <c r="W74" s="4">
        <f t="shared" si="12"/>
        <v>16.865853658536587</v>
      </c>
      <c r="X74" s="4">
        <f t="shared" si="18"/>
        <v>46927.300000000025</v>
      </c>
      <c r="AA74" s="4">
        <v>9.1859829070567294</v>
      </c>
    </row>
    <row r="75" spans="1:27" s="4" customFormat="1" x14ac:dyDescent="0.25">
      <c r="A75" s="70"/>
      <c r="B75" s="5"/>
      <c r="C75" s="6">
        <v>41591</v>
      </c>
      <c r="D75" s="4">
        <v>6.2</v>
      </c>
      <c r="E75" s="13">
        <v>3.4</v>
      </c>
      <c r="F75" s="4">
        <v>11.9</v>
      </c>
      <c r="G75" s="4">
        <f t="shared" si="14"/>
        <v>898.10000000000014</v>
      </c>
      <c r="J75" s="4">
        <v>1</v>
      </c>
      <c r="K75" s="4">
        <f t="shared" si="15"/>
        <v>288.7</v>
      </c>
      <c r="L75" s="4">
        <v>0.9</v>
      </c>
      <c r="M75" s="4">
        <f t="shared" si="16"/>
        <v>114.7</v>
      </c>
      <c r="N75" s="4">
        <f t="shared" si="13"/>
        <v>9.9999999999999978E-2</v>
      </c>
      <c r="O75" s="4">
        <v>153.6</v>
      </c>
      <c r="P75" s="4">
        <v>70</v>
      </c>
      <c r="Q75" s="4">
        <f t="shared" si="9"/>
        <v>0.94179104477611941</v>
      </c>
      <c r="R75" s="10">
        <f t="shared" si="10"/>
        <v>0.8476119402985075</v>
      </c>
      <c r="S75" s="10">
        <f t="shared" si="11"/>
        <v>0.1523880597014925</v>
      </c>
      <c r="T75" s="10">
        <f t="shared" si="17"/>
        <v>153.6</v>
      </c>
      <c r="V75" s="11">
        <v>630.6</v>
      </c>
      <c r="W75" s="4">
        <f t="shared" si="12"/>
        <v>101.70967741935483</v>
      </c>
      <c r="X75" s="4">
        <f t="shared" si="18"/>
        <v>47557.900000000023</v>
      </c>
      <c r="AA75" s="4">
        <v>9.1338384976699007</v>
      </c>
    </row>
    <row r="76" spans="1:27" s="4" customFormat="1" x14ac:dyDescent="0.25">
      <c r="A76" s="70"/>
      <c r="B76" s="5"/>
      <c r="C76" s="6">
        <v>41592</v>
      </c>
      <c r="D76" s="4">
        <v>7</v>
      </c>
      <c r="E76" s="13">
        <v>3.1</v>
      </c>
      <c r="F76" s="4">
        <v>9.6999999999999993</v>
      </c>
      <c r="G76" s="4">
        <f t="shared" si="14"/>
        <v>905.10000000000014</v>
      </c>
      <c r="J76" s="4">
        <v>7.8</v>
      </c>
      <c r="K76" s="4">
        <f t="shared" si="15"/>
        <v>296.5</v>
      </c>
      <c r="L76" s="4">
        <v>0.6</v>
      </c>
      <c r="M76" s="4">
        <f t="shared" si="16"/>
        <v>115.3</v>
      </c>
      <c r="N76" s="4">
        <f t="shared" si="13"/>
        <v>7.2</v>
      </c>
      <c r="O76" s="4">
        <v>153.6</v>
      </c>
      <c r="P76" s="4">
        <v>71</v>
      </c>
      <c r="Q76" s="4">
        <f t="shared" si="9"/>
        <v>0.95149253731343286</v>
      </c>
      <c r="R76" s="10">
        <f t="shared" si="10"/>
        <v>0.57089552238805974</v>
      </c>
      <c r="S76" s="10">
        <f t="shared" si="11"/>
        <v>7.2291044776119397</v>
      </c>
      <c r="T76" s="10">
        <f t="shared" si="17"/>
        <v>153.6</v>
      </c>
      <c r="V76" s="11">
        <v>84.7</v>
      </c>
      <c r="W76" s="4">
        <f t="shared" si="12"/>
        <v>12.1</v>
      </c>
      <c r="X76" s="4">
        <f t="shared" si="18"/>
        <v>47642.60000000002</v>
      </c>
      <c r="AA76" s="4">
        <v>9.0823857749927601</v>
      </c>
    </row>
    <row r="77" spans="1:27" s="4" customFormat="1" x14ac:dyDescent="0.25">
      <c r="A77" s="70"/>
      <c r="B77" s="5"/>
      <c r="C77" s="6">
        <v>41593</v>
      </c>
      <c r="D77" s="4">
        <v>7.5</v>
      </c>
      <c r="E77" s="4">
        <v>6</v>
      </c>
      <c r="F77" s="4">
        <v>10.5</v>
      </c>
      <c r="G77" s="4">
        <f t="shared" si="14"/>
        <v>912.60000000000014</v>
      </c>
      <c r="J77" s="4">
        <v>0.2</v>
      </c>
      <c r="K77" s="4">
        <f t="shared" si="15"/>
        <v>296.7</v>
      </c>
      <c r="L77" s="4">
        <v>1.2</v>
      </c>
      <c r="M77" s="4">
        <f t="shared" si="16"/>
        <v>116.5</v>
      </c>
      <c r="N77" s="9">
        <f t="shared" si="13"/>
        <v>-1</v>
      </c>
      <c r="O77" s="4">
        <v>152.6</v>
      </c>
      <c r="P77" s="4">
        <v>72</v>
      </c>
      <c r="Q77" s="4">
        <f t="shared" si="9"/>
        <v>0.96119402985074631</v>
      </c>
      <c r="R77" s="10">
        <f t="shared" si="10"/>
        <v>1.1534328358208956</v>
      </c>
      <c r="S77" s="10">
        <f t="shared" si="11"/>
        <v>-0.95343283582089566</v>
      </c>
      <c r="T77" s="10">
        <f t="shared" si="17"/>
        <v>152.64656716417909</v>
      </c>
      <c r="V77" s="11">
        <v>615.6</v>
      </c>
      <c r="W77" s="4">
        <f t="shared" si="12"/>
        <v>82.08</v>
      </c>
      <c r="X77" s="4">
        <f t="shared" si="18"/>
        <v>48258.200000000019</v>
      </c>
      <c r="AA77" s="4">
        <v>9.0316549517607907</v>
      </c>
    </row>
    <row r="78" spans="1:27" s="4" customFormat="1" x14ac:dyDescent="0.25">
      <c r="A78" s="70"/>
      <c r="B78" s="14"/>
      <c r="C78" s="6">
        <v>41594</v>
      </c>
      <c r="D78" s="13">
        <v>4.7</v>
      </c>
      <c r="E78" s="13">
        <v>4</v>
      </c>
      <c r="F78" s="4">
        <v>5.3</v>
      </c>
      <c r="G78" s="4">
        <f t="shared" si="14"/>
        <v>917.30000000000018</v>
      </c>
      <c r="J78" s="4">
        <v>0</v>
      </c>
      <c r="K78" s="4">
        <f t="shared" si="15"/>
        <v>296.7</v>
      </c>
      <c r="L78" s="4">
        <v>0.4</v>
      </c>
      <c r="M78" s="4">
        <f t="shared" si="16"/>
        <v>116.9</v>
      </c>
      <c r="N78" s="9">
        <f t="shared" si="13"/>
        <v>-0.4</v>
      </c>
      <c r="O78" s="4">
        <v>152.19999999999999</v>
      </c>
      <c r="P78" s="4">
        <v>73</v>
      </c>
      <c r="Q78" s="4">
        <f t="shared" si="9"/>
        <v>0.97089552238805965</v>
      </c>
      <c r="R78" s="10">
        <f t="shared" si="10"/>
        <v>0.38835820895522388</v>
      </c>
      <c r="S78" s="10">
        <f t="shared" si="11"/>
        <v>-0.38835820895522388</v>
      </c>
      <c r="T78" s="10">
        <f t="shared" si="17"/>
        <v>152.25820895522386</v>
      </c>
      <c r="V78" s="11">
        <v>273.10000000000002</v>
      </c>
      <c r="W78" s="4">
        <f t="shared" si="12"/>
        <v>58.10638297872341</v>
      </c>
      <c r="X78" s="4">
        <f t="shared" si="18"/>
        <v>48531.300000000017</v>
      </c>
      <c r="AA78" s="15">
        <v>8.9816769161861192</v>
      </c>
    </row>
    <row r="79" spans="1:27" s="4" customFormat="1" x14ac:dyDescent="0.25">
      <c r="A79" s="70"/>
      <c r="B79" s="5"/>
      <c r="C79" s="6">
        <v>41595</v>
      </c>
      <c r="D79" s="4">
        <v>5.7</v>
      </c>
      <c r="E79" s="13">
        <v>3.3</v>
      </c>
      <c r="F79" s="4">
        <v>7</v>
      </c>
      <c r="G79" s="4">
        <f t="shared" si="14"/>
        <v>923.00000000000023</v>
      </c>
      <c r="J79" s="4">
        <v>0.1</v>
      </c>
      <c r="K79" s="4">
        <f t="shared" si="15"/>
        <v>296.8</v>
      </c>
      <c r="L79" s="4">
        <v>0.2</v>
      </c>
      <c r="M79" s="4">
        <f t="shared" si="16"/>
        <v>117.10000000000001</v>
      </c>
      <c r="N79" s="9">
        <f t="shared" si="13"/>
        <v>-0.1</v>
      </c>
      <c r="O79" s="4">
        <v>152.1</v>
      </c>
      <c r="P79" s="4">
        <v>74</v>
      </c>
      <c r="Q79" s="4">
        <f t="shared" si="9"/>
        <v>0.9805970149253731</v>
      </c>
      <c r="R79" s="10">
        <f t="shared" si="10"/>
        <v>0.19611940298507463</v>
      </c>
      <c r="S79" s="10">
        <f t="shared" si="11"/>
        <v>-9.6119402985074626E-2</v>
      </c>
      <c r="T79" s="10">
        <f t="shared" si="17"/>
        <v>152.1620895522388</v>
      </c>
      <c r="V79" s="11">
        <v>156.69999999999999</v>
      </c>
      <c r="W79" s="4">
        <f t="shared" si="12"/>
        <v>27.491228070175435</v>
      </c>
      <c r="X79" s="4">
        <f t="shared" si="18"/>
        <v>48688.000000000015</v>
      </c>
      <c r="AA79" s="15">
        <v>8.9324832013857893</v>
      </c>
    </row>
    <row r="80" spans="1:27" s="4" customFormat="1" x14ac:dyDescent="0.25">
      <c r="A80" s="70"/>
      <c r="B80" s="5"/>
      <c r="C80" s="6">
        <v>41596</v>
      </c>
      <c r="D80" s="4">
        <v>5.3</v>
      </c>
      <c r="E80" s="13">
        <v>4.8</v>
      </c>
      <c r="F80" s="4">
        <v>7.3</v>
      </c>
      <c r="G80" s="4">
        <f t="shared" si="14"/>
        <v>928.30000000000018</v>
      </c>
      <c r="J80" s="4">
        <v>0.8</v>
      </c>
      <c r="K80" s="4">
        <f t="shared" si="15"/>
        <v>297.60000000000002</v>
      </c>
      <c r="L80" s="4">
        <v>0.7</v>
      </c>
      <c r="M80" s="4">
        <f t="shared" si="16"/>
        <v>117.80000000000001</v>
      </c>
      <c r="N80" s="4">
        <f t="shared" si="13"/>
        <v>0.10000000000000009</v>
      </c>
      <c r="O80" s="4">
        <v>152.19999999999999</v>
      </c>
      <c r="P80" s="4">
        <v>75</v>
      </c>
      <c r="Q80" s="4">
        <f t="shared" ref="Q80:Q81" si="19">0.35+((P80-9)/67)*(1-0.35)</f>
        <v>0.99029850746268655</v>
      </c>
      <c r="R80" s="10">
        <f t="shared" si="10"/>
        <v>0.6932089552238806</v>
      </c>
      <c r="S80" s="10">
        <f t="shared" si="11"/>
        <v>0.10679104477611945</v>
      </c>
      <c r="T80" s="10">
        <f t="shared" si="17"/>
        <v>152.26888059701491</v>
      </c>
      <c r="V80" s="11">
        <v>117.6</v>
      </c>
      <c r="W80" s="4">
        <f t="shared" si="12"/>
        <v>22.188679245283019</v>
      </c>
      <c r="X80" s="4">
        <f t="shared" si="18"/>
        <v>48805.600000000013</v>
      </c>
      <c r="AA80" s="15">
        <v>8.8841059503489408</v>
      </c>
    </row>
    <row r="81" spans="1:27" s="49" customFormat="1" ht="15.75" thickBot="1" x14ac:dyDescent="0.3">
      <c r="A81" s="70"/>
      <c r="B81" s="64"/>
      <c r="C81" s="65">
        <v>41597</v>
      </c>
      <c r="D81" s="49">
        <v>6.1</v>
      </c>
      <c r="E81" s="49">
        <v>4.8</v>
      </c>
      <c r="F81" s="49">
        <v>7.6</v>
      </c>
      <c r="G81" s="49">
        <f t="shared" si="14"/>
        <v>934.4000000000002</v>
      </c>
      <c r="J81" s="49">
        <v>0.7</v>
      </c>
      <c r="K81" s="49">
        <f t="shared" si="15"/>
        <v>298.3</v>
      </c>
      <c r="L81" s="49">
        <v>1.1000000000000001</v>
      </c>
      <c r="M81" s="49">
        <f t="shared" si="16"/>
        <v>118.9</v>
      </c>
      <c r="N81" s="49">
        <f t="shared" si="13"/>
        <v>-0.40000000000000013</v>
      </c>
      <c r="O81" s="49">
        <v>151.79999999999998</v>
      </c>
      <c r="P81" s="49">
        <v>76</v>
      </c>
      <c r="Q81" s="54">
        <f t="shared" si="19"/>
        <v>1</v>
      </c>
      <c r="R81" s="52">
        <f t="shared" si="10"/>
        <v>1.1000000000000001</v>
      </c>
      <c r="S81" s="52">
        <f t="shared" si="11"/>
        <v>-0.40000000000000013</v>
      </c>
      <c r="T81" s="53">
        <f t="shared" si="17"/>
        <v>151.86888059701491</v>
      </c>
      <c r="V81" s="49">
        <v>361.2</v>
      </c>
      <c r="W81" s="49">
        <f t="shared" si="12"/>
        <v>59.213114754098363</v>
      </c>
      <c r="X81" s="49">
        <f t="shared" si="18"/>
        <v>49166.80000000001</v>
      </c>
      <c r="AA81" s="63">
        <v>8.8365778762801703</v>
      </c>
    </row>
    <row r="82" spans="1:27" s="4" customFormat="1" x14ac:dyDescent="0.25">
      <c r="A82" s="71" t="s">
        <v>42</v>
      </c>
      <c r="B82" s="14"/>
      <c r="C82" s="6">
        <v>41598</v>
      </c>
      <c r="D82" s="13">
        <v>2.2000000000000002</v>
      </c>
      <c r="E82" s="13">
        <v>1.4</v>
      </c>
      <c r="F82" s="13">
        <v>4.5</v>
      </c>
      <c r="G82" s="4">
        <f t="shared" si="14"/>
        <v>936.60000000000025</v>
      </c>
      <c r="H82" s="4">
        <f>D82</f>
        <v>2.2000000000000002</v>
      </c>
      <c r="I82" s="16" t="s">
        <v>26</v>
      </c>
      <c r="J82" s="4">
        <v>0</v>
      </c>
      <c r="K82" s="4">
        <f t="shared" si="15"/>
        <v>298.3</v>
      </c>
      <c r="L82" s="4">
        <v>0.7</v>
      </c>
      <c r="M82" s="4">
        <f t="shared" si="16"/>
        <v>119.60000000000001</v>
      </c>
      <c r="N82" s="9">
        <f t="shared" si="13"/>
        <v>-0.7</v>
      </c>
      <c r="O82" s="4">
        <v>151.1</v>
      </c>
      <c r="P82" s="4">
        <v>77</v>
      </c>
      <c r="Q82" s="4">
        <v>1</v>
      </c>
      <c r="R82" s="10">
        <f t="shared" si="10"/>
        <v>0.7</v>
      </c>
      <c r="S82" s="10">
        <f t="shared" si="11"/>
        <v>-0.7</v>
      </c>
      <c r="T82" s="10">
        <f t="shared" si="17"/>
        <v>151.16888059701492</v>
      </c>
      <c r="U82" s="16" t="s">
        <v>27</v>
      </c>
      <c r="V82" s="11">
        <v>292.5</v>
      </c>
      <c r="W82" s="4">
        <f t="shared" si="12"/>
        <v>132.95454545454544</v>
      </c>
      <c r="X82" s="4">
        <f t="shared" si="18"/>
        <v>49459.30000000001</v>
      </c>
      <c r="Y82" s="4">
        <f>V82</f>
        <v>292.5</v>
      </c>
      <c r="Z82" s="16" t="s">
        <v>28</v>
      </c>
      <c r="AA82" s="15">
        <v>8.7899322181754904</v>
      </c>
    </row>
    <row r="83" spans="1:27" s="4" customFormat="1" x14ac:dyDescent="0.25">
      <c r="A83" s="71"/>
      <c r="B83" s="14"/>
      <c r="C83" s="6">
        <v>41599</v>
      </c>
      <c r="D83" s="13">
        <v>2.1</v>
      </c>
      <c r="E83" s="17">
        <v>-0.4</v>
      </c>
      <c r="F83" s="13">
        <v>4.2</v>
      </c>
      <c r="G83" s="4">
        <f t="shared" si="14"/>
        <v>938.70000000000027</v>
      </c>
      <c r="H83" s="4">
        <f>H82+D83</f>
        <v>4.3000000000000007</v>
      </c>
      <c r="I83" s="4">
        <f>MIN(E82:E106)</f>
        <v>-2.5</v>
      </c>
      <c r="J83" s="4">
        <v>0.2</v>
      </c>
      <c r="K83" s="4">
        <f t="shared" si="15"/>
        <v>298.5</v>
      </c>
      <c r="L83" s="4">
        <v>0.2</v>
      </c>
      <c r="M83" s="4">
        <f t="shared" si="16"/>
        <v>119.80000000000001</v>
      </c>
      <c r="N83" s="4">
        <f t="shared" si="13"/>
        <v>0</v>
      </c>
      <c r="O83" s="4">
        <v>151.1</v>
      </c>
      <c r="P83" s="4">
        <v>78</v>
      </c>
      <c r="Q83" s="4">
        <v>1</v>
      </c>
      <c r="R83" s="10">
        <f t="shared" si="10"/>
        <v>0.2</v>
      </c>
      <c r="S83" s="10">
        <f t="shared" si="11"/>
        <v>0</v>
      </c>
      <c r="T83" s="10">
        <f t="shared" si="17"/>
        <v>151.16888059701492</v>
      </c>
      <c r="U83" s="4">
        <v>21</v>
      </c>
      <c r="V83" s="11">
        <v>99</v>
      </c>
      <c r="W83" s="4">
        <f t="shared" si="12"/>
        <v>47.142857142857139</v>
      </c>
      <c r="X83" s="4">
        <f t="shared" si="18"/>
        <v>49558.30000000001</v>
      </c>
      <c r="Y83" s="4">
        <f>Y82+V83</f>
        <v>391.5</v>
      </c>
      <c r="Z83" s="4">
        <v>7216.4999999999991</v>
      </c>
      <c r="AA83" s="15">
        <v>8.7442026915098996</v>
      </c>
    </row>
    <row r="84" spans="1:27" s="4" customFormat="1" x14ac:dyDescent="0.25">
      <c r="A84" s="71"/>
      <c r="B84" s="14"/>
      <c r="C84" s="6">
        <v>41600</v>
      </c>
      <c r="D84" s="13">
        <v>4.3</v>
      </c>
      <c r="E84" s="13">
        <v>1.6</v>
      </c>
      <c r="F84" s="4">
        <v>5.9</v>
      </c>
      <c r="G84" s="4">
        <f t="shared" si="14"/>
        <v>943.00000000000023</v>
      </c>
      <c r="H84" s="4">
        <f t="shared" ref="H84:H147" si="20">H83+D84</f>
        <v>8.6000000000000014</v>
      </c>
      <c r="I84" s="16" t="s">
        <v>29</v>
      </c>
      <c r="J84" s="4">
        <v>0</v>
      </c>
      <c r="K84" s="4">
        <f t="shared" si="15"/>
        <v>298.5</v>
      </c>
      <c r="L84" s="4">
        <v>0.9</v>
      </c>
      <c r="M84" s="4">
        <f t="shared" si="16"/>
        <v>120.70000000000002</v>
      </c>
      <c r="N84" s="9">
        <f t="shared" si="13"/>
        <v>-0.9</v>
      </c>
      <c r="O84" s="4">
        <v>150.19999999999999</v>
      </c>
      <c r="P84" s="4">
        <v>79</v>
      </c>
      <c r="Q84" s="4">
        <v>1</v>
      </c>
      <c r="R84" s="10">
        <f t="shared" si="10"/>
        <v>0.9</v>
      </c>
      <c r="S84" s="10">
        <f t="shared" si="11"/>
        <v>-0.9</v>
      </c>
      <c r="T84" s="10">
        <f t="shared" si="17"/>
        <v>150.26888059701491</v>
      </c>
      <c r="U84" s="16" t="s">
        <v>30</v>
      </c>
      <c r="V84" s="11">
        <v>129.5</v>
      </c>
      <c r="W84" s="4">
        <f t="shared" si="12"/>
        <v>30.116279069767444</v>
      </c>
      <c r="X84" s="4">
        <f t="shared" si="18"/>
        <v>49687.80000000001</v>
      </c>
      <c r="Y84" s="4">
        <f t="shared" ref="Y84:Y147" si="21">Y83+V84</f>
        <v>521</v>
      </c>
      <c r="Z84" s="16" t="s">
        <v>31</v>
      </c>
      <c r="AA84" s="15">
        <v>8.6994234339416092</v>
      </c>
    </row>
    <row r="85" spans="1:27" s="4" customFormat="1" x14ac:dyDescent="0.25">
      <c r="A85" s="71"/>
      <c r="B85" s="5"/>
      <c r="C85" s="6">
        <v>41601</v>
      </c>
      <c r="D85" s="4">
        <v>5.0999999999999996</v>
      </c>
      <c r="E85" s="13">
        <v>4.0999999999999996</v>
      </c>
      <c r="F85" s="4">
        <v>7.2</v>
      </c>
      <c r="G85" s="4">
        <f t="shared" si="14"/>
        <v>948.10000000000025</v>
      </c>
      <c r="H85" s="4">
        <f t="shared" si="20"/>
        <v>13.700000000000001</v>
      </c>
      <c r="I85" s="4">
        <f>MAX(F82:F106)</f>
        <v>9.9</v>
      </c>
      <c r="J85" s="4">
        <v>0</v>
      </c>
      <c r="K85" s="4">
        <f t="shared" si="15"/>
        <v>298.5</v>
      </c>
      <c r="L85" s="4">
        <v>1</v>
      </c>
      <c r="M85" s="4">
        <f t="shared" si="16"/>
        <v>121.70000000000002</v>
      </c>
      <c r="N85" s="9">
        <f t="shared" si="13"/>
        <v>-1</v>
      </c>
      <c r="O85" s="4">
        <v>149.19999999999999</v>
      </c>
      <c r="P85" s="4">
        <v>80</v>
      </c>
      <c r="Q85" s="4">
        <v>1</v>
      </c>
      <c r="R85" s="10">
        <f t="shared" si="10"/>
        <v>1</v>
      </c>
      <c r="S85" s="10">
        <f t="shared" si="11"/>
        <v>-1</v>
      </c>
      <c r="T85" s="10">
        <f t="shared" si="17"/>
        <v>149.26888059701491</v>
      </c>
      <c r="U85" s="4">
        <v>0</v>
      </c>
      <c r="V85" s="11">
        <v>212.5</v>
      </c>
      <c r="W85" s="4">
        <f t="shared" si="12"/>
        <v>41.666666666666671</v>
      </c>
      <c r="X85" s="4">
        <f t="shared" si="18"/>
        <v>49900.30000000001</v>
      </c>
      <c r="Y85" s="4">
        <f t="shared" si="21"/>
        <v>733.5</v>
      </c>
      <c r="Z85" s="12">
        <f>(Z83/100)/I95</f>
        <v>0.58910204081632644</v>
      </c>
      <c r="AA85" s="15">
        <v>8.6556289459685303</v>
      </c>
    </row>
    <row r="86" spans="1:27" s="4" customFormat="1" x14ac:dyDescent="0.25">
      <c r="A86" s="71"/>
      <c r="B86" s="5"/>
      <c r="C86" s="6">
        <v>41602</v>
      </c>
      <c r="D86" s="4">
        <v>6.3</v>
      </c>
      <c r="E86" s="13">
        <v>2</v>
      </c>
      <c r="F86" s="4">
        <v>8.9</v>
      </c>
      <c r="G86" s="4">
        <f t="shared" si="14"/>
        <v>954.4000000000002</v>
      </c>
      <c r="H86" s="4">
        <f t="shared" si="20"/>
        <v>20</v>
      </c>
      <c r="I86" s="16" t="s">
        <v>32</v>
      </c>
      <c r="J86" s="4">
        <v>0.6</v>
      </c>
      <c r="K86" s="4">
        <f t="shared" si="15"/>
        <v>299.10000000000002</v>
      </c>
      <c r="L86" s="4">
        <v>0.6</v>
      </c>
      <c r="M86" s="4">
        <f t="shared" si="16"/>
        <v>122.30000000000001</v>
      </c>
      <c r="N86" s="4">
        <f t="shared" si="13"/>
        <v>0</v>
      </c>
      <c r="O86" s="4">
        <v>149.19999999999999</v>
      </c>
      <c r="P86" s="4">
        <v>81</v>
      </c>
      <c r="Q86" s="4">
        <v>1</v>
      </c>
      <c r="R86" s="10">
        <f t="shared" si="10"/>
        <v>0.6</v>
      </c>
      <c r="S86" s="10">
        <f t="shared" si="11"/>
        <v>0</v>
      </c>
      <c r="T86" s="10">
        <f t="shared" si="17"/>
        <v>149.26888059701491</v>
      </c>
      <c r="U86" s="16" t="s">
        <v>33</v>
      </c>
      <c r="V86" s="11">
        <v>166.6</v>
      </c>
      <c r="W86" s="4">
        <f t="shared" si="12"/>
        <v>26.444444444444443</v>
      </c>
      <c r="X86" s="4">
        <f t="shared" si="18"/>
        <v>50066.900000000009</v>
      </c>
      <c r="Y86" s="4">
        <f t="shared" si="21"/>
        <v>900.1</v>
      </c>
      <c r="Z86" s="16" t="s">
        <v>34</v>
      </c>
      <c r="AA86" s="15">
        <v>8.6128540265064295</v>
      </c>
    </row>
    <row r="87" spans="1:27" s="4" customFormat="1" x14ac:dyDescent="0.25">
      <c r="A87" s="71"/>
      <c r="B87" s="5"/>
      <c r="C87" s="6">
        <v>41603</v>
      </c>
      <c r="D87" s="4">
        <v>5.9</v>
      </c>
      <c r="E87" s="13">
        <v>4.7</v>
      </c>
      <c r="F87" s="4">
        <v>7.4</v>
      </c>
      <c r="G87" s="4">
        <f t="shared" si="14"/>
        <v>960.30000000000018</v>
      </c>
      <c r="H87" s="4">
        <f t="shared" si="20"/>
        <v>25.9</v>
      </c>
      <c r="I87" s="4">
        <f>AVERAGE(D82:D106)</f>
        <v>4.8999999999999986</v>
      </c>
      <c r="J87" s="4">
        <v>0.6</v>
      </c>
      <c r="K87" s="4">
        <f t="shared" si="15"/>
        <v>299.70000000000005</v>
      </c>
      <c r="L87" s="4">
        <v>1.1000000000000001</v>
      </c>
      <c r="M87" s="4">
        <f t="shared" si="16"/>
        <v>123.4</v>
      </c>
      <c r="N87" s="9">
        <f t="shared" si="13"/>
        <v>-0.50000000000000011</v>
      </c>
      <c r="O87" s="4">
        <v>148.69999999999999</v>
      </c>
      <c r="P87" s="4">
        <v>82</v>
      </c>
      <c r="Q87" s="4">
        <v>1</v>
      </c>
      <c r="R87" s="10">
        <f t="shared" si="10"/>
        <v>1.1000000000000001</v>
      </c>
      <c r="S87" s="10">
        <f t="shared" si="11"/>
        <v>-0.50000000000000011</v>
      </c>
      <c r="T87" s="10">
        <f t="shared" si="17"/>
        <v>148.76888059701491</v>
      </c>
      <c r="U87" s="4">
        <v>0</v>
      </c>
      <c r="V87" s="11">
        <v>252.6</v>
      </c>
      <c r="W87" s="4">
        <f t="shared" si="12"/>
        <v>42.813559322033896</v>
      </c>
      <c r="X87" s="4">
        <f t="shared" si="18"/>
        <v>50319.500000000007</v>
      </c>
      <c r="Y87" s="4">
        <f t="shared" si="21"/>
        <v>1152.7</v>
      </c>
      <c r="Z87" s="4">
        <v>25</v>
      </c>
      <c r="AA87" s="15">
        <v>8.5711337033963506</v>
      </c>
    </row>
    <row r="88" spans="1:27" s="4" customFormat="1" x14ac:dyDescent="0.25">
      <c r="A88" s="71"/>
      <c r="B88" s="5"/>
      <c r="C88" s="6">
        <v>41604</v>
      </c>
      <c r="D88" s="4">
        <v>6.1</v>
      </c>
      <c r="E88" s="13">
        <v>4.5</v>
      </c>
      <c r="F88" s="4">
        <v>8.1</v>
      </c>
      <c r="G88" s="4">
        <f t="shared" si="14"/>
        <v>966.4000000000002</v>
      </c>
      <c r="H88" s="4">
        <f t="shared" si="20"/>
        <v>32</v>
      </c>
      <c r="I88" s="16" t="s">
        <v>35</v>
      </c>
      <c r="J88" s="4">
        <v>0.7</v>
      </c>
      <c r="K88" s="4">
        <f t="shared" si="15"/>
        <v>300.40000000000003</v>
      </c>
      <c r="L88" s="4">
        <v>0.9</v>
      </c>
      <c r="M88" s="4">
        <f t="shared" si="16"/>
        <v>124.30000000000001</v>
      </c>
      <c r="N88" s="9">
        <f t="shared" si="13"/>
        <v>-0.20000000000000007</v>
      </c>
      <c r="O88" s="4">
        <v>148.5</v>
      </c>
      <c r="P88" s="4">
        <v>83</v>
      </c>
      <c r="Q88" s="4">
        <v>1</v>
      </c>
      <c r="R88" s="10">
        <f t="shared" si="10"/>
        <v>0.9</v>
      </c>
      <c r="S88" s="10">
        <f t="shared" si="11"/>
        <v>-0.20000000000000007</v>
      </c>
      <c r="T88" s="10">
        <f t="shared" si="17"/>
        <v>148.56888059701492</v>
      </c>
      <c r="U88" s="16" t="s">
        <v>36</v>
      </c>
      <c r="V88" s="11">
        <v>315.3</v>
      </c>
      <c r="W88" s="4">
        <f t="shared" si="12"/>
        <v>51.688524590163937</v>
      </c>
      <c r="X88" s="4">
        <f t="shared" si="18"/>
        <v>50634.80000000001</v>
      </c>
      <c r="Y88" s="4">
        <f t="shared" si="21"/>
        <v>1468</v>
      </c>
      <c r="AA88" s="15">
        <v>8.5305031588907401</v>
      </c>
    </row>
    <row r="89" spans="1:27" s="4" customFormat="1" x14ac:dyDescent="0.25">
      <c r="A89" s="71"/>
      <c r="B89" s="5"/>
      <c r="C89" s="6">
        <v>41605</v>
      </c>
      <c r="D89" s="4">
        <v>5.4</v>
      </c>
      <c r="E89" s="13">
        <v>3.8</v>
      </c>
      <c r="F89" s="4">
        <v>7.5</v>
      </c>
      <c r="G89" s="4">
        <f t="shared" si="14"/>
        <v>971.80000000000018</v>
      </c>
      <c r="H89" s="4">
        <f t="shared" si="20"/>
        <v>37.4</v>
      </c>
      <c r="I89" s="4">
        <v>6</v>
      </c>
      <c r="J89" s="4">
        <v>0.3</v>
      </c>
      <c r="K89" s="4">
        <f t="shared" si="15"/>
        <v>300.70000000000005</v>
      </c>
      <c r="L89" s="4">
        <v>0.5</v>
      </c>
      <c r="M89" s="4">
        <f t="shared" si="16"/>
        <v>124.80000000000001</v>
      </c>
      <c r="N89" s="9">
        <f t="shared" si="13"/>
        <v>-0.2</v>
      </c>
      <c r="O89" s="4">
        <v>148.30000000000001</v>
      </c>
      <c r="P89" s="4">
        <v>84</v>
      </c>
      <c r="Q89" s="4">
        <v>1</v>
      </c>
      <c r="R89" s="10">
        <f t="shared" si="10"/>
        <v>0.5</v>
      </c>
      <c r="S89" s="10">
        <f t="shared" si="11"/>
        <v>-0.2</v>
      </c>
      <c r="T89" s="10">
        <f t="shared" si="17"/>
        <v>148.36888059701494</v>
      </c>
      <c r="U89" s="10">
        <f>MIN(T82:T106)</f>
        <v>142.16888059701495</v>
      </c>
      <c r="V89" s="11">
        <v>225.4</v>
      </c>
      <c r="W89" s="4">
        <f t="shared" si="12"/>
        <v>41.74074074074074</v>
      </c>
      <c r="X89" s="4">
        <f t="shared" si="18"/>
        <v>50860.200000000012</v>
      </c>
      <c r="Y89" s="4">
        <f t="shared" si="21"/>
        <v>1693.4</v>
      </c>
      <c r="AA89" s="15">
        <v>8.4909976502132896</v>
      </c>
    </row>
    <row r="90" spans="1:27" s="4" customFormat="1" x14ac:dyDescent="0.25">
      <c r="A90" s="71"/>
      <c r="B90" s="5"/>
      <c r="C90" s="6">
        <v>41606</v>
      </c>
      <c r="D90" s="4">
        <v>7.5</v>
      </c>
      <c r="E90" s="13">
        <v>5</v>
      </c>
      <c r="F90" s="4">
        <v>9.4</v>
      </c>
      <c r="G90" s="4">
        <f t="shared" si="14"/>
        <v>979.30000000000018</v>
      </c>
      <c r="H90" s="4">
        <f t="shared" si="20"/>
        <v>44.9</v>
      </c>
      <c r="I90" s="16" t="s">
        <v>37</v>
      </c>
      <c r="J90" s="4">
        <v>0.2</v>
      </c>
      <c r="K90" s="4">
        <f t="shared" si="15"/>
        <v>300.90000000000003</v>
      </c>
      <c r="L90" s="4">
        <v>0.3</v>
      </c>
      <c r="M90" s="4">
        <f t="shared" si="16"/>
        <v>125.10000000000001</v>
      </c>
      <c r="N90" s="9">
        <f t="shared" si="13"/>
        <v>-9.9999999999999978E-2</v>
      </c>
      <c r="O90" s="4">
        <v>148.20000000000002</v>
      </c>
      <c r="P90" s="4">
        <v>85</v>
      </c>
      <c r="Q90" s="4">
        <v>1</v>
      </c>
      <c r="R90" s="10">
        <f t="shared" si="10"/>
        <v>0.3</v>
      </c>
      <c r="S90" s="10">
        <f t="shared" si="11"/>
        <v>-9.9999999999999978E-2</v>
      </c>
      <c r="T90" s="10">
        <f t="shared" si="17"/>
        <v>148.26888059701494</v>
      </c>
      <c r="U90" s="16" t="s">
        <v>38</v>
      </c>
      <c r="V90" s="11">
        <v>83.8</v>
      </c>
      <c r="W90" s="4">
        <f t="shared" si="12"/>
        <v>11.173333333333334</v>
      </c>
      <c r="X90" s="4">
        <f t="shared" si="18"/>
        <v>50944.000000000015</v>
      </c>
      <c r="Y90" s="4">
        <f t="shared" si="21"/>
        <v>1777.2</v>
      </c>
      <c r="AA90" s="15">
        <v>8.4526524253366109</v>
      </c>
    </row>
    <row r="91" spans="1:27" s="4" customFormat="1" x14ac:dyDescent="0.25">
      <c r="A91" s="71"/>
      <c r="B91" s="5"/>
      <c r="C91" s="6">
        <v>41607</v>
      </c>
      <c r="D91" s="4">
        <v>7.7</v>
      </c>
      <c r="E91" s="4">
        <v>7</v>
      </c>
      <c r="F91" s="4">
        <v>9.1999999999999993</v>
      </c>
      <c r="G91" s="4">
        <f t="shared" si="14"/>
        <v>987.00000000000023</v>
      </c>
      <c r="H91" s="4">
        <f t="shared" si="20"/>
        <v>52.6</v>
      </c>
      <c r="I91" s="4">
        <v>0</v>
      </c>
      <c r="J91" s="4">
        <v>1.8</v>
      </c>
      <c r="K91" s="4">
        <f t="shared" si="15"/>
        <v>302.70000000000005</v>
      </c>
      <c r="L91" s="4">
        <v>0.9</v>
      </c>
      <c r="M91" s="4">
        <f t="shared" si="16"/>
        <v>126.00000000000001</v>
      </c>
      <c r="N91" s="4">
        <f t="shared" si="13"/>
        <v>0.9</v>
      </c>
      <c r="O91" s="4">
        <v>149.10000000000002</v>
      </c>
      <c r="P91" s="4">
        <v>86</v>
      </c>
      <c r="Q91" s="4">
        <v>1</v>
      </c>
      <c r="R91" s="10">
        <f t="shared" si="10"/>
        <v>0.9</v>
      </c>
      <c r="S91" s="10">
        <f t="shared" si="11"/>
        <v>0.9</v>
      </c>
      <c r="T91" s="10">
        <f t="shared" si="17"/>
        <v>149.16888059701495</v>
      </c>
      <c r="U91" s="10">
        <f>MAX(T82:T106)</f>
        <v>151.16888059701492</v>
      </c>
      <c r="V91" s="11">
        <v>141.5</v>
      </c>
      <c r="W91" s="4">
        <f t="shared" si="12"/>
        <v>18.376623376623375</v>
      </c>
      <c r="X91" s="4">
        <f t="shared" si="18"/>
        <v>51085.500000000015</v>
      </c>
      <c r="Y91" s="4">
        <f t="shared" si="21"/>
        <v>1918.7</v>
      </c>
      <c r="AA91" s="15">
        <v>8.4155026341738406</v>
      </c>
    </row>
    <row r="92" spans="1:27" s="4" customFormat="1" x14ac:dyDescent="0.25">
      <c r="A92" s="71"/>
      <c r="B92" s="5"/>
      <c r="C92" s="6">
        <v>41608</v>
      </c>
      <c r="D92" s="4">
        <v>6.8</v>
      </c>
      <c r="E92" s="4">
        <v>5.3</v>
      </c>
      <c r="F92" s="4">
        <v>9.9</v>
      </c>
      <c r="G92" s="4">
        <f t="shared" si="14"/>
        <v>993.80000000000018</v>
      </c>
      <c r="H92" s="4">
        <f t="shared" si="20"/>
        <v>59.4</v>
      </c>
      <c r="I92" s="16" t="s">
        <v>39</v>
      </c>
      <c r="J92" s="4">
        <v>0.3</v>
      </c>
      <c r="K92" s="4">
        <f t="shared" si="15"/>
        <v>303.00000000000006</v>
      </c>
      <c r="L92" s="4">
        <v>1</v>
      </c>
      <c r="M92" s="4">
        <f t="shared" si="16"/>
        <v>127.00000000000001</v>
      </c>
      <c r="N92" s="9">
        <f t="shared" si="13"/>
        <v>-0.7</v>
      </c>
      <c r="O92" s="4">
        <v>148.40000000000003</v>
      </c>
      <c r="P92" s="4">
        <v>87</v>
      </c>
      <c r="Q92" s="4">
        <v>1</v>
      </c>
      <c r="R92" s="10">
        <f t="shared" si="10"/>
        <v>1</v>
      </c>
      <c r="S92" s="10">
        <f t="shared" si="11"/>
        <v>-0.7</v>
      </c>
      <c r="T92" s="10">
        <f t="shared" si="17"/>
        <v>148.46888059701496</v>
      </c>
      <c r="U92" s="16" t="s">
        <v>40</v>
      </c>
      <c r="V92" s="11">
        <v>136.1</v>
      </c>
      <c r="W92" s="4">
        <f t="shared" si="12"/>
        <v>20.014705882352942</v>
      </c>
      <c r="X92" s="4">
        <f t="shared" si="18"/>
        <v>51221.600000000013</v>
      </c>
      <c r="Y92" s="4">
        <f t="shared" si="21"/>
        <v>2054.8000000000002</v>
      </c>
      <c r="AA92" s="15">
        <v>8.3795832354353994</v>
      </c>
    </row>
    <row r="93" spans="1:27" s="4" customFormat="1" x14ac:dyDescent="0.25">
      <c r="A93" s="71"/>
      <c r="B93" s="5"/>
      <c r="C93" s="6">
        <v>41609</v>
      </c>
      <c r="D93" s="4">
        <v>7.1</v>
      </c>
      <c r="E93" s="13">
        <v>5</v>
      </c>
      <c r="F93" s="4">
        <v>9</v>
      </c>
      <c r="G93" s="4">
        <f t="shared" si="14"/>
        <v>1000.9000000000002</v>
      </c>
      <c r="H93" s="4">
        <f t="shared" si="20"/>
        <v>66.5</v>
      </c>
      <c r="I93" s="4">
        <v>15</v>
      </c>
      <c r="J93" s="4">
        <v>0</v>
      </c>
      <c r="K93" s="4">
        <f t="shared" si="15"/>
        <v>303.00000000000006</v>
      </c>
      <c r="L93" s="4">
        <v>0.9</v>
      </c>
      <c r="M93" s="4">
        <f t="shared" si="16"/>
        <v>127.90000000000002</v>
      </c>
      <c r="N93" s="9">
        <f t="shared" si="13"/>
        <v>-0.9</v>
      </c>
      <c r="O93" s="4">
        <v>147.50000000000003</v>
      </c>
      <c r="P93" s="4">
        <v>88</v>
      </c>
      <c r="Q93" s="4">
        <v>1</v>
      </c>
      <c r="R93" s="10">
        <f t="shared" si="10"/>
        <v>0.9</v>
      </c>
      <c r="S93" s="10">
        <f t="shared" si="11"/>
        <v>-0.9</v>
      </c>
      <c r="T93" s="10">
        <f t="shared" si="17"/>
        <v>147.56888059701495</v>
      </c>
      <c r="U93" s="46">
        <f>AVERAGE(T82:T106)</f>
        <v>147.00088059701494</v>
      </c>
      <c r="V93" s="11">
        <v>503.8</v>
      </c>
      <c r="W93" s="4">
        <f t="shared" si="12"/>
        <v>70.957746478873247</v>
      </c>
      <c r="X93" s="4">
        <f t="shared" si="18"/>
        <v>51725.400000000016</v>
      </c>
      <c r="Y93" s="4">
        <f t="shared" si="21"/>
        <v>2558.6000000000004</v>
      </c>
      <c r="AA93" s="15">
        <v>8.3449288994587008</v>
      </c>
    </row>
    <row r="94" spans="1:27" s="4" customFormat="1" x14ac:dyDescent="0.25">
      <c r="A94" s="71"/>
      <c r="B94" s="5"/>
      <c r="C94" s="6">
        <v>41610</v>
      </c>
      <c r="D94" s="4">
        <v>6.5</v>
      </c>
      <c r="E94" s="4">
        <v>5.3</v>
      </c>
      <c r="F94" s="4">
        <v>8.6999999999999993</v>
      </c>
      <c r="G94" s="4">
        <f t="shared" si="14"/>
        <v>1007.4000000000002</v>
      </c>
      <c r="H94" s="4">
        <f t="shared" si="20"/>
        <v>73</v>
      </c>
      <c r="I94" s="16" t="s">
        <v>41</v>
      </c>
      <c r="J94" s="4">
        <v>0</v>
      </c>
      <c r="K94" s="4">
        <f t="shared" si="15"/>
        <v>303.00000000000006</v>
      </c>
      <c r="L94" s="4">
        <v>1</v>
      </c>
      <c r="M94" s="4">
        <f t="shared" si="16"/>
        <v>128.90000000000003</v>
      </c>
      <c r="N94" s="9">
        <f t="shared" si="13"/>
        <v>-1</v>
      </c>
      <c r="O94" s="4">
        <v>146.50000000000003</v>
      </c>
      <c r="P94" s="4">
        <v>89</v>
      </c>
      <c r="Q94" s="4">
        <v>1</v>
      </c>
      <c r="R94" s="10">
        <f t="shared" si="10"/>
        <v>1</v>
      </c>
      <c r="S94" s="10">
        <f t="shared" si="11"/>
        <v>-1</v>
      </c>
      <c r="T94" s="10">
        <f t="shared" si="17"/>
        <v>146.56888059701495</v>
      </c>
      <c r="U94" s="16" t="s">
        <v>43</v>
      </c>
      <c r="V94" s="11">
        <v>477.6</v>
      </c>
      <c r="W94" s="4">
        <f t="shared" si="12"/>
        <v>73.476923076923086</v>
      </c>
      <c r="X94" s="4">
        <f t="shared" si="18"/>
        <v>52203.000000000015</v>
      </c>
      <c r="Y94" s="4">
        <f t="shared" si="21"/>
        <v>3036.2000000000003</v>
      </c>
      <c r="AA94" s="15">
        <v>8.3115739073772108</v>
      </c>
    </row>
    <row r="95" spans="1:27" s="4" customFormat="1" x14ac:dyDescent="0.25">
      <c r="A95" s="71"/>
      <c r="B95" s="14"/>
      <c r="C95" s="6">
        <v>41611</v>
      </c>
      <c r="D95" s="13">
        <v>1.1000000000000001</v>
      </c>
      <c r="E95" s="17">
        <v>-2.5</v>
      </c>
      <c r="F95" s="13">
        <v>4.5999999999999996</v>
      </c>
      <c r="G95" s="4">
        <f t="shared" si="14"/>
        <v>1008.5000000000002</v>
      </c>
      <c r="H95" s="4">
        <f t="shared" si="20"/>
        <v>74.099999999999994</v>
      </c>
      <c r="I95" s="4">
        <v>122.5</v>
      </c>
      <c r="J95" s="4">
        <v>0.1</v>
      </c>
      <c r="K95" s="4">
        <f t="shared" si="15"/>
        <v>303.10000000000008</v>
      </c>
      <c r="L95" s="4">
        <v>0.2</v>
      </c>
      <c r="M95" s="4">
        <f t="shared" si="16"/>
        <v>129.10000000000002</v>
      </c>
      <c r="N95" s="9">
        <f t="shared" si="13"/>
        <v>-0.1</v>
      </c>
      <c r="O95" s="4">
        <v>146.40000000000003</v>
      </c>
      <c r="P95" s="4">
        <v>90</v>
      </c>
      <c r="Q95" s="4">
        <v>1</v>
      </c>
      <c r="R95" s="10">
        <f t="shared" si="10"/>
        <v>0.2</v>
      </c>
      <c r="S95" s="10">
        <f t="shared" si="11"/>
        <v>-0.1</v>
      </c>
      <c r="T95" s="10">
        <f t="shared" si="17"/>
        <v>146.46888059701496</v>
      </c>
      <c r="U95" s="4">
        <v>12</v>
      </c>
      <c r="V95" s="11">
        <v>420</v>
      </c>
      <c r="W95" s="4">
        <f t="shared" si="12"/>
        <v>381.81818181818181</v>
      </c>
      <c r="X95" s="4">
        <f t="shared" si="18"/>
        <v>52623.000000000015</v>
      </c>
      <c r="Y95" s="4">
        <f t="shared" si="21"/>
        <v>3456.2000000000003</v>
      </c>
      <c r="AA95" s="15">
        <v>8.2795520470546098</v>
      </c>
    </row>
    <row r="96" spans="1:27" s="4" customFormat="1" x14ac:dyDescent="0.25">
      <c r="A96" s="71"/>
      <c r="B96" s="5"/>
      <c r="C96" s="6">
        <v>41612</v>
      </c>
      <c r="D96" s="4">
        <v>5.7</v>
      </c>
      <c r="E96" s="13">
        <v>1.1000000000000001</v>
      </c>
      <c r="F96" s="4">
        <v>8.5</v>
      </c>
      <c r="G96" s="4">
        <f t="shared" si="14"/>
        <v>1014.2000000000003</v>
      </c>
      <c r="H96" s="4">
        <f t="shared" si="20"/>
        <v>79.8</v>
      </c>
      <c r="J96" s="4">
        <v>0.6</v>
      </c>
      <c r="K96" s="4">
        <f t="shared" si="15"/>
        <v>303.7000000000001</v>
      </c>
      <c r="L96" s="4">
        <v>0.4</v>
      </c>
      <c r="M96" s="4">
        <f t="shared" si="16"/>
        <v>129.50000000000003</v>
      </c>
      <c r="N96" s="4">
        <f t="shared" si="13"/>
        <v>0.19999999999999996</v>
      </c>
      <c r="O96" s="4">
        <v>146.60000000000002</v>
      </c>
      <c r="P96" s="4">
        <v>91</v>
      </c>
      <c r="Q96" s="4">
        <v>1</v>
      </c>
      <c r="R96" s="10">
        <f t="shared" si="10"/>
        <v>0.4</v>
      </c>
      <c r="S96" s="10">
        <f t="shared" si="11"/>
        <v>0.19999999999999996</v>
      </c>
      <c r="T96" s="10">
        <f t="shared" si="17"/>
        <v>146.66888059701495</v>
      </c>
      <c r="V96" s="11">
        <v>128</v>
      </c>
      <c r="W96" s="4">
        <f t="shared" si="12"/>
        <v>22.456140350877192</v>
      </c>
      <c r="X96" s="4">
        <f t="shared" si="18"/>
        <v>52751.000000000015</v>
      </c>
      <c r="Y96" s="4">
        <f t="shared" si="21"/>
        <v>3584.2000000000003</v>
      </c>
      <c r="AA96" s="15">
        <v>8.2488965062682293</v>
      </c>
    </row>
    <row r="97" spans="1:27" s="4" customFormat="1" x14ac:dyDescent="0.25">
      <c r="A97" s="71"/>
      <c r="B97" s="14"/>
      <c r="C97" s="6">
        <v>41613</v>
      </c>
      <c r="D97" s="13">
        <v>4.5999999999999996</v>
      </c>
      <c r="E97" s="13">
        <v>0.9</v>
      </c>
      <c r="F97" s="4">
        <v>7.3</v>
      </c>
      <c r="G97" s="4">
        <f t="shared" si="14"/>
        <v>1018.8000000000003</v>
      </c>
      <c r="H97" s="4">
        <f t="shared" si="20"/>
        <v>84.399999999999991</v>
      </c>
      <c r="J97" s="4">
        <v>0.9</v>
      </c>
      <c r="K97" s="4">
        <f t="shared" si="15"/>
        <v>304.60000000000008</v>
      </c>
      <c r="L97" s="4">
        <v>0.7</v>
      </c>
      <c r="M97" s="4">
        <f t="shared" si="16"/>
        <v>130.20000000000002</v>
      </c>
      <c r="N97" s="4">
        <f t="shared" si="13"/>
        <v>0.20000000000000007</v>
      </c>
      <c r="O97" s="4">
        <v>146.80000000000001</v>
      </c>
      <c r="P97" s="4">
        <v>92</v>
      </c>
      <c r="Q97" s="4">
        <v>1</v>
      </c>
      <c r="R97" s="10">
        <f t="shared" si="10"/>
        <v>0.7</v>
      </c>
      <c r="S97" s="10">
        <f t="shared" si="11"/>
        <v>0.20000000000000007</v>
      </c>
      <c r="T97" s="10">
        <f t="shared" si="17"/>
        <v>146.86888059701494</v>
      </c>
      <c r="U97" s="4">
        <f>(U93*100)/153.6</f>
        <v>95.703698305348283</v>
      </c>
      <c r="V97" s="11">
        <v>275.3</v>
      </c>
      <c r="W97" s="4">
        <f t="shared" si="12"/>
        <v>59.84782608695653</v>
      </c>
      <c r="X97" s="4">
        <f t="shared" si="18"/>
        <v>53026.300000000017</v>
      </c>
      <c r="Y97" s="4">
        <f t="shared" si="21"/>
        <v>3859.5000000000005</v>
      </c>
      <c r="AA97" s="15">
        <v>8.2196397636843805</v>
      </c>
    </row>
    <row r="98" spans="1:27" s="4" customFormat="1" x14ac:dyDescent="0.25">
      <c r="A98" s="71"/>
      <c r="B98" s="14"/>
      <c r="C98" s="6">
        <v>41614</v>
      </c>
      <c r="D98" s="13">
        <v>4.5999999999999996</v>
      </c>
      <c r="E98" s="13">
        <v>3.3</v>
      </c>
      <c r="F98" s="4">
        <v>6.2</v>
      </c>
      <c r="G98" s="4">
        <f t="shared" si="14"/>
        <v>1023.4000000000003</v>
      </c>
      <c r="H98" s="4">
        <f t="shared" si="20"/>
        <v>88.999999999999986</v>
      </c>
      <c r="J98" s="4">
        <v>0.3</v>
      </c>
      <c r="K98" s="4">
        <f t="shared" si="15"/>
        <v>304.90000000000009</v>
      </c>
      <c r="L98" s="4">
        <v>1.1000000000000001</v>
      </c>
      <c r="M98" s="4">
        <f t="shared" si="16"/>
        <v>131.30000000000001</v>
      </c>
      <c r="N98" s="9">
        <f t="shared" si="13"/>
        <v>-0.8</v>
      </c>
      <c r="O98" s="4">
        <v>146</v>
      </c>
      <c r="P98" s="4">
        <v>93</v>
      </c>
      <c r="Q98" s="4">
        <v>1</v>
      </c>
      <c r="R98" s="10">
        <f t="shared" si="10"/>
        <v>1.1000000000000001</v>
      </c>
      <c r="S98" s="10">
        <f t="shared" si="11"/>
        <v>-0.8</v>
      </c>
      <c r="T98" s="10">
        <f t="shared" si="17"/>
        <v>146.06888059701492</v>
      </c>
      <c r="V98" s="11">
        <v>348.4</v>
      </c>
      <c r="W98" s="4">
        <f t="shared" si="12"/>
        <v>75.739130434782609</v>
      </c>
      <c r="X98" s="4">
        <f t="shared" si="18"/>
        <v>53374.700000000019</v>
      </c>
      <c r="Y98" s="4">
        <f t="shared" si="21"/>
        <v>4207.9000000000005</v>
      </c>
      <c r="AA98" s="15">
        <v>8.1918134782235494</v>
      </c>
    </row>
    <row r="99" spans="1:27" s="4" customFormat="1" x14ac:dyDescent="0.25">
      <c r="A99" s="71"/>
      <c r="B99" s="5"/>
      <c r="C99" s="6">
        <v>41615</v>
      </c>
      <c r="D99" s="4">
        <v>7.1</v>
      </c>
      <c r="E99" s="13">
        <v>4.4000000000000004</v>
      </c>
      <c r="F99" s="4">
        <v>9.1999999999999993</v>
      </c>
      <c r="G99" s="4">
        <f t="shared" si="14"/>
        <v>1030.5000000000002</v>
      </c>
      <c r="H99" s="4">
        <f t="shared" si="20"/>
        <v>96.09999999999998</v>
      </c>
      <c r="J99" s="4">
        <v>0.1</v>
      </c>
      <c r="K99" s="4">
        <f t="shared" si="15"/>
        <v>305.00000000000011</v>
      </c>
      <c r="L99" s="4">
        <v>0.8</v>
      </c>
      <c r="M99" s="4">
        <f t="shared" si="16"/>
        <v>132.10000000000002</v>
      </c>
      <c r="N99" s="9">
        <f t="shared" si="13"/>
        <v>-0.70000000000000007</v>
      </c>
      <c r="O99" s="4">
        <v>145.30000000000001</v>
      </c>
      <c r="P99" s="4">
        <v>94</v>
      </c>
      <c r="Q99" s="4">
        <v>1</v>
      </c>
      <c r="R99" s="10">
        <f t="shared" si="10"/>
        <v>0.8</v>
      </c>
      <c r="S99" s="10">
        <f t="shared" si="11"/>
        <v>-0.70000000000000007</v>
      </c>
      <c r="T99" s="10">
        <f t="shared" si="17"/>
        <v>145.36888059701494</v>
      </c>
      <c r="V99" s="11">
        <v>272.2</v>
      </c>
      <c r="W99" s="4">
        <f t="shared" si="12"/>
        <v>38.338028169014088</v>
      </c>
      <c r="X99" s="4">
        <f t="shared" si="18"/>
        <v>53646.900000000016</v>
      </c>
      <c r="Y99" s="4">
        <f t="shared" si="21"/>
        <v>4480.1000000000004</v>
      </c>
      <c r="AA99" s="15">
        <v>8.1654483774662392</v>
      </c>
    </row>
    <row r="100" spans="1:27" s="4" customFormat="1" x14ac:dyDescent="0.25">
      <c r="A100" s="71"/>
      <c r="B100" s="5"/>
      <c r="C100" s="6">
        <v>41616</v>
      </c>
      <c r="D100" s="4">
        <v>8.1</v>
      </c>
      <c r="E100" s="4">
        <v>7.1</v>
      </c>
      <c r="F100" s="4">
        <v>9.9</v>
      </c>
      <c r="G100" s="4">
        <f t="shared" si="14"/>
        <v>1038.6000000000001</v>
      </c>
      <c r="H100" s="4">
        <f t="shared" si="20"/>
        <v>104.19999999999997</v>
      </c>
      <c r="J100" s="4">
        <v>0.1</v>
      </c>
      <c r="K100" s="4">
        <f t="shared" si="15"/>
        <v>305.10000000000014</v>
      </c>
      <c r="L100" s="4">
        <v>1.2</v>
      </c>
      <c r="M100" s="4">
        <f t="shared" si="16"/>
        <v>133.30000000000001</v>
      </c>
      <c r="N100" s="9">
        <f t="shared" si="13"/>
        <v>-1.0999999999999999</v>
      </c>
      <c r="O100" s="4">
        <v>144.20000000000002</v>
      </c>
      <c r="P100" s="4">
        <v>95</v>
      </c>
      <c r="Q100" s="4">
        <v>1</v>
      </c>
      <c r="R100" s="10">
        <f t="shared" si="10"/>
        <v>1.2</v>
      </c>
      <c r="S100" s="10">
        <f t="shared" si="11"/>
        <v>-1.0999999999999999</v>
      </c>
      <c r="T100" s="10">
        <f t="shared" si="17"/>
        <v>144.26888059701494</v>
      </c>
      <c r="V100" s="11">
        <v>295.60000000000002</v>
      </c>
      <c r="W100" s="4">
        <f t="shared" si="12"/>
        <v>36.493827160493829</v>
      </c>
      <c r="X100" s="4">
        <f t="shared" si="18"/>
        <v>53942.500000000015</v>
      </c>
      <c r="Y100" s="4">
        <f t="shared" si="21"/>
        <v>4775.7000000000007</v>
      </c>
      <c r="AA100" s="15">
        <v>8.1405741457981406</v>
      </c>
    </row>
    <row r="101" spans="1:27" s="4" customFormat="1" x14ac:dyDescent="0.25">
      <c r="A101" s="71"/>
      <c r="B101" s="5"/>
      <c r="C101" s="6">
        <v>41617</v>
      </c>
      <c r="D101" s="4">
        <v>5.4</v>
      </c>
      <c r="E101" s="13">
        <v>4.5</v>
      </c>
      <c r="F101" s="4">
        <v>9.1999999999999993</v>
      </c>
      <c r="G101" s="4">
        <f t="shared" si="14"/>
        <v>1044.0000000000002</v>
      </c>
      <c r="H101" s="4">
        <f t="shared" si="20"/>
        <v>109.59999999999998</v>
      </c>
      <c r="J101" s="4">
        <v>0</v>
      </c>
      <c r="K101" s="4">
        <f t="shared" si="15"/>
        <v>305.10000000000014</v>
      </c>
      <c r="L101" s="4">
        <v>1</v>
      </c>
      <c r="M101" s="4">
        <f t="shared" si="16"/>
        <v>134.30000000000001</v>
      </c>
      <c r="N101" s="9">
        <f t="shared" si="13"/>
        <v>-1</v>
      </c>
      <c r="O101" s="4">
        <v>143.20000000000002</v>
      </c>
      <c r="P101" s="4">
        <v>96</v>
      </c>
      <c r="Q101" s="4">
        <v>1</v>
      </c>
      <c r="R101" s="10">
        <f t="shared" si="10"/>
        <v>1</v>
      </c>
      <c r="S101" s="10">
        <f t="shared" si="11"/>
        <v>-1</v>
      </c>
      <c r="T101" s="10">
        <f t="shared" si="17"/>
        <v>143.26888059701494</v>
      </c>
      <c r="V101" s="11">
        <v>387.9</v>
      </c>
      <c r="W101" s="4">
        <f t="shared" si="12"/>
        <v>71.833333333333329</v>
      </c>
      <c r="X101" s="4">
        <f t="shared" si="18"/>
        <v>54330.400000000016</v>
      </c>
      <c r="Y101" s="4">
        <f t="shared" si="21"/>
        <v>5163.6000000000004</v>
      </c>
      <c r="AA101" s="15">
        <v>8.1172193130361894</v>
      </c>
    </row>
    <row r="102" spans="1:27" s="4" customFormat="1" x14ac:dyDescent="0.25">
      <c r="A102" s="71"/>
      <c r="B102" s="14"/>
      <c r="C102" s="6">
        <v>41618</v>
      </c>
      <c r="D102" s="13">
        <v>2.1</v>
      </c>
      <c r="E102" s="17">
        <v>-0.9</v>
      </c>
      <c r="F102" s="4">
        <v>6.3</v>
      </c>
      <c r="G102" s="4">
        <f t="shared" si="14"/>
        <v>1046.1000000000001</v>
      </c>
      <c r="H102" s="4">
        <f t="shared" si="20"/>
        <v>111.69999999999997</v>
      </c>
      <c r="J102" s="4">
        <v>0.3</v>
      </c>
      <c r="K102" s="4">
        <f t="shared" si="15"/>
        <v>305.40000000000015</v>
      </c>
      <c r="L102" s="4">
        <v>0.6</v>
      </c>
      <c r="M102" s="4">
        <f t="shared" si="16"/>
        <v>134.9</v>
      </c>
      <c r="N102" s="9">
        <f t="shared" si="13"/>
        <v>-0.3</v>
      </c>
      <c r="O102" s="4">
        <v>142.9</v>
      </c>
      <c r="P102" s="4">
        <v>97</v>
      </c>
      <c r="Q102" s="4">
        <v>1</v>
      </c>
      <c r="R102" s="10">
        <f t="shared" si="10"/>
        <v>0.6</v>
      </c>
      <c r="S102" s="10">
        <f t="shared" si="11"/>
        <v>-0.3</v>
      </c>
      <c r="T102" s="10">
        <f t="shared" si="17"/>
        <v>142.96888059701493</v>
      </c>
      <c r="V102" s="11">
        <v>515.9</v>
      </c>
      <c r="W102" s="4">
        <f t="shared" si="12"/>
        <v>245.66666666666666</v>
      </c>
      <c r="X102" s="4">
        <f t="shared" si="18"/>
        <v>54846.300000000017</v>
      </c>
      <c r="Y102" s="4">
        <f t="shared" si="21"/>
        <v>5679.5</v>
      </c>
      <c r="AA102" s="15">
        <v>8.0954111443129992</v>
      </c>
    </row>
    <row r="103" spans="1:27" s="4" customFormat="1" x14ac:dyDescent="0.25">
      <c r="A103" s="71"/>
      <c r="B103" s="14"/>
      <c r="C103" s="6">
        <v>41619</v>
      </c>
      <c r="D103" s="13">
        <v>1.6</v>
      </c>
      <c r="E103" s="17">
        <v>-2</v>
      </c>
      <c r="F103" s="4">
        <v>5.7</v>
      </c>
      <c r="G103" s="4">
        <f t="shared" si="14"/>
        <v>1047.7</v>
      </c>
      <c r="H103" s="4">
        <f t="shared" si="20"/>
        <v>113.29999999999997</v>
      </c>
      <c r="J103" s="4">
        <v>0.1</v>
      </c>
      <c r="K103" s="4">
        <f t="shared" si="15"/>
        <v>305.50000000000017</v>
      </c>
      <c r="L103" s="4">
        <v>0.7</v>
      </c>
      <c r="M103" s="4">
        <f t="shared" si="16"/>
        <v>135.6</v>
      </c>
      <c r="N103" s="9">
        <f t="shared" si="13"/>
        <v>-0.6</v>
      </c>
      <c r="O103" s="4">
        <v>142.30000000000001</v>
      </c>
      <c r="P103" s="4">
        <v>98</v>
      </c>
      <c r="Q103" s="4">
        <v>1</v>
      </c>
      <c r="R103" s="10">
        <f t="shared" si="10"/>
        <v>0.7</v>
      </c>
      <c r="S103" s="10">
        <f t="shared" si="11"/>
        <v>-0.6</v>
      </c>
      <c r="T103" s="10">
        <f t="shared" si="17"/>
        <v>142.36888059701494</v>
      </c>
      <c r="V103" s="11">
        <v>550.9</v>
      </c>
      <c r="W103" s="4">
        <f t="shared" si="12"/>
        <v>344.31249999999994</v>
      </c>
      <c r="X103" s="4">
        <f t="shared" si="18"/>
        <v>55397.200000000019</v>
      </c>
      <c r="Y103" s="4">
        <f t="shared" si="21"/>
        <v>6230.4</v>
      </c>
      <c r="AA103" s="15">
        <v>8.0751755320254404</v>
      </c>
    </row>
    <row r="104" spans="1:27" s="4" customFormat="1" x14ac:dyDescent="0.25">
      <c r="A104" s="71"/>
      <c r="B104" s="14"/>
      <c r="C104" s="6">
        <v>41620</v>
      </c>
      <c r="D104" s="13">
        <v>0.2</v>
      </c>
      <c r="E104" s="17">
        <v>-0.7</v>
      </c>
      <c r="F104" s="13">
        <v>0.9</v>
      </c>
      <c r="G104" s="4">
        <f t="shared" si="14"/>
        <v>1047.9000000000001</v>
      </c>
      <c r="H104" s="4">
        <f t="shared" si="20"/>
        <v>113.49999999999997</v>
      </c>
      <c r="J104" s="4">
        <v>0.1</v>
      </c>
      <c r="K104" s="4">
        <f t="shared" si="15"/>
        <v>305.60000000000019</v>
      </c>
      <c r="L104" s="4">
        <v>0.3</v>
      </c>
      <c r="M104" s="4">
        <f t="shared" si="16"/>
        <v>135.9</v>
      </c>
      <c r="N104" s="9">
        <f t="shared" si="13"/>
        <v>-0.19999999999999998</v>
      </c>
      <c r="O104" s="4">
        <v>142.10000000000002</v>
      </c>
      <c r="P104" s="4">
        <v>99</v>
      </c>
      <c r="Q104" s="4">
        <v>1</v>
      </c>
      <c r="R104" s="10">
        <f t="shared" si="10"/>
        <v>0.3</v>
      </c>
      <c r="S104" s="10">
        <f t="shared" si="11"/>
        <v>-0.19999999999999998</v>
      </c>
      <c r="T104" s="10">
        <f t="shared" si="17"/>
        <v>142.16888059701495</v>
      </c>
      <c r="V104" s="11">
        <v>218.4</v>
      </c>
      <c r="W104" s="4">
        <f t="shared" si="12"/>
        <v>1092</v>
      </c>
      <c r="X104" s="4">
        <f t="shared" si="18"/>
        <v>55615.60000000002</v>
      </c>
      <c r="Y104" s="4">
        <f t="shared" si="21"/>
        <v>6448.7999999999993</v>
      </c>
      <c r="AA104" s="15">
        <v>8.0565368906726302</v>
      </c>
    </row>
    <row r="105" spans="1:27" s="4" customFormat="1" x14ac:dyDescent="0.25">
      <c r="A105" s="71"/>
      <c r="B105" s="14"/>
      <c r="C105" s="6">
        <v>41621</v>
      </c>
      <c r="D105" s="13">
        <v>2.5</v>
      </c>
      <c r="E105" s="17">
        <v>-0.3</v>
      </c>
      <c r="F105" s="13">
        <v>4.5</v>
      </c>
      <c r="G105" s="4">
        <f t="shared" si="14"/>
        <v>1050.4000000000001</v>
      </c>
      <c r="H105" s="4">
        <f t="shared" si="20"/>
        <v>115.99999999999997</v>
      </c>
      <c r="J105" s="4">
        <v>4.2</v>
      </c>
      <c r="K105" s="4">
        <f t="shared" si="15"/>
        <v>309.80000000000018</v>
      </c>
      <c r="L105" s="4">
        <v>0.3</v>
      </c>
      <c r="M105" s="4">
        <f t="shared" si="16"/>
        <v>136.20000000000002</v>
      </c>
      <c r="N105" s="4">
        <f t="shared" si="13"/>
        <v>3.9000000000000004</v>
      </c>
      <c r="O105" s="4">
        <v>146.00000000000003</v>
      </c>
      <c r="P105" s="4">
        <v>100</v>
      </c>
      <c r="Q105" s="4">
        <v>1</v>
      </c>
      <c r="R105" s="10">
        <f t="shared" si="10"/>
        <v>0.3</v>
      </c>
      <c r="S105" s="10">
        <f t="shared" si="11"/>
        <v>3.9000000000000004</v>
      </c>
      <c r="T105" s="10">
        <f t="shared" si="17"/>
        <v>146.06888059701495</v>
      </c>
      <c r="V105" s="11">
        <v>277.39999999999998</v>
      </c>
      <c r="W105" s="4">
        <f t="shared" si="12"/>
        <v>110.96</v>
      </c>
      <c r="X105" s="4">
        <f t="shared" si="18"/>
        <v>55893.000000000022</v>
      </c>
      <c r="Y105" s="4">
        <f t="shared" si="21"/>
        <v>6726.1999999999989</v>
      </c>
      <c r="AA105" s="15">
        <v>8.0395180554186396</v>
      </c>
    </row>
    <row r="106" spans="1:27" s="61" customFormat="1" ht="15.75" thickBot="1" x14ac:dyDescent="0.3">
      <c r="A106" s="71"/>
      <c r="B106" s="59"/>
      <c r="C106" s="60">
        <v>41622</v>
      </c>
      <c r="D106" s="61">
        <v>6.5</v>
      </c>
      <c r="E106" s="61">
        <v>3.5</v>
      </c>
      <c r="F106" s="61">
        <v>9.1</v>
      </c>
      <c r="G106" s="61">
        <f t="shared" si="14"/>
        <v>1056.9000000000001</v>
      </c>
      <c r="H106" s="49">
        <f t="shared" si="20"/>
        <v>122.49999999999997</v>
      </c>
      <c r="J106" s="61">
        <v>0.2</v>
      </c>
      <c r="K106" s="61">
        <f t="shared" si="15"/>
        <v>310.00000000000017</v>
      </c>
      <c r="L106" s="61">
        <v>0.7</v>
      </c>
      <c r="M106" s="61">
        <f t="shared" si="16"/>
        <v>136.9</v>
      </c>
      <c r="N106" s="61">
        <f t="shared" si="13"/>
        <v>-0.49999999999999994</v>
      </c>
      <c r="O106" s="49">
        <v>145.50000000000003</v>
      </c>
      <c r="P106" s="49">
        <v>101</v>
      </c>
      <c r="Q106" s="49">
        <v>1</v>
      </c>
      <c r="R106" s="52">
        <f t="shared" si="10"/>
        <v>0.7</v>
      </c>
      <c r="S106" s="52">
        <f t="shared" si="11"/>
        <v>-0.49999999999999994</v>
      </c>
      <c r="T106" s="53">
        <f t="shared" si="17"/>
        <v>145.56888059701495</v>
      </c>
      <c r="V106" s="62">
        <v>490.3</v>
      </c>
      <c r="W106" s="61">
        <f t="shared" si="12"/>
        <v>75.430769230769229</v>
      </c>
      <c r="X106" s="61">
        <f t="shared" si="18"/>
        <v>56383.300000000025</v>
      </c>
      <c r="Y106" s="54">
        <f t="shared" si="21"/>
        <v>7216.4999999999991</v>
      </c>
      <c r="AA106" s="63">
        <v>8.0241401852142502</v>
      </c>
    </row>
    <row r="107" spans="1:27" s="4" customFormat="1" ht="15" customHeight="1" x14ac:dyDescent="0.25">
      <c r="A107" s="72" t="s">
        <v>44</v>
      </c>
      <c r="B107" s="5"/>
      <c r="C107" s="6">
        <v>41623</v>
      </c>
      <c r="D107" s="4">
        <v>7.7</v>
      </c>
      <c r="E107" s="4">
        <v>6.5</v>
      </c>
      <c r="F107" s="4">
        <v>8.6999999999999993</v>
      </c>
      <c r="G107" s="4">
        <f t="shared" si="14"/>
        <v>1064.6000000000001</v>
      </c>
      <c r="H107" s="4">
        <v>7.7</v>
      </c>
      <c r="I107" s="18" t="s">
        <v>26</v>
      </c>
      <c r="J107" s="4">
        <v>0</v>
      </c>
      <c r="K107" s="4">
        <f t="shared" si="15"/>
        <v>310.00000000000017</v>
      </c>
      <c r="L107" s="4">
        <v>1.2</v>
      </c>
      <c r="M107" s="4">
        <f t="shared" si="16"/>
        <v>138.1</v>
      </c>
      <c r="N107" s="9">
        <f t="shared" si="13"/>
        <v>-1.2</v>
      </c>
      <c r="O107" s="4">
        <v>144.30000000000004</v>
      </c>
      <c r="P107" s="4">
        <v>102</v>
      </c>
      <c r="Q107" s="12">
        <f>1+((P107-101)/107)*(1.15-1)</f>
        <v>1.0014018691588784</v>
      </c>
      <c r="R107" s="10">
        <f t="shared" si="10"/>
        <v>1.201682242990654</v>
      </c>
      <c r="S107" s="10">
        <f t="shared" si="11"/>
        <v>-1.201682242990654</v>
      </c>
      <c r="T107" s="10">
        <f t="shared" si="17"/>
        <v>144.36719835402431</v>
      </c>
      <c r="U107" s="18" t="s">
        <v>27</v>
      </c>
      <c r="V107" s="11">
        <v>159</v>
      </c>
      <c r="W107" s="4">
        <f t="shared" si="12"/>
        <v>20.649350649350648</v>
      </c>
      <c r="X107" s="4">
        <f t="shared" si="18"/>
        <v>56542.300000000025</v>
      </c>
      <c r="Y107" s="4">
        <v>159</v>
      </c>
      <c r="Z107" s="18" t="s">
        <v>28</v>
      </c>
      <c r="AA107" s="15">
        <v>8.0104226713010398</v>
      </c>
    </row>
    <row r="108" spans="1:27" s="4" customFormat="1" x14ac:dyDescent="0.25">
      <c r="A108" s="72"/>
      <c r="B108" s="5"/>
      <c r="C108" s="6">
        <v>41624</v>
      </c>
      <c r="D108" s="4">
        <v>9.1999999999999993</v>
      </c>
      <c r="E108" s="4">
        <v>7.3</v>
      </c>
      <c r="F108" s="4">
        <v>10.8</v>
      </c>
      <c r="G108" s="4">
        <f t="shared" si="14"/>
        <v>1073.8000000000002</v>
      </c>
      <c r="H108" s="4">
        <f t="shared" si="20"/>
        <v>16.899999999999999</v>
      </c>
      <c r="I108" s="4">
        <f>MIN(E107:E213)</f>
        <v>-1.7</v>
      </c>
      <c r="J108" s="4">
        <v>0.1</v>
      </c>
      <c r="K108" s="4">
        <f t="shared" si="15"/>
        <v>310.10000000000019</v>
      </c>
      <c r="L108" s="4">
        <v>1.8</v>
      </c>
      <c r="M108" s="4">
        <f t="shared" si="16"/>
        <v>139.9</v>
      </c>
      <c r="N108" s="9">
        <f t="shared" si="13"/>
        <v>-1.7</v>
      </c>
      <c r="O108" s="4">
        <v>142.60000000000005</v>
      </c>
      <c r="P108" s="4">
        <v>103</v>
      </c>
      <c r="Q108" s="12">
        <f t="shared" ref="Q108:Q171" si="22">1+((P108-101)/107)*(1.15-1)</f>
        <v>1.002803738317757</v>
      </c>
      <c r="R108" s="10">
        <f t="shared" si="10"/>
        <v>1.8050467289719627</v>
      </c>
      <c r="S108" s="10">
        <f t="shared" si="11"/>
        <v>-1.7050467289719626</v>
      </c>
      <c r="T108" s="10">
        <f t="shared" si="17"/>
        <v>142.66215162505236</v>
      </c>
      <c r="U108" s="4">
        <v>60</v>
      </c>
      <c r="V108" s="11">
        <v>306.8</v>
      </c>
      <c r="W108" s="4">
        <f t="shared" si="12"/>
        <v>33.347826086956523</v>
      </c>
      <c r="X108" s="4">
        <f t="shared" si="18"/>
        <v>56849.100000000028</v>
      </c>
      <c r="Y108" s="4">
        <f t="shared" si="21"/>
        <v>465.8</v>
      </c>
      <c r="Z108" s="4">
        <v>59012.4</v>
      </c>
      <c r="AA108" s="15">
        <v>7.9983830518974104</v>
      </c>
    </row>
    <row r="109" spans="1:27" s="4" customFormat="1" x14ac:dyDescent="0.25">
      <c r="A109" s="72"/>
      <c r="B109" s="5"/>
      <c r="C109" s="6">
        <v>41625</v>
      </c>
      <c r="D109" s="4">
        <v>7.1</v>
      </c>
      <c r="E109" s="4">
        <v>6.2</v>
      </c>
      <c r="F109" s="4">
        <v>7.6</v>
      </c>
      <c r="G109" s="4">
        <f t="shared" si="14"/>
        <v>1080.9000000000001</v>
      </c>
      <c r="H109" s="4">
        <f t="shared" si="20"/>
        <v>24</v>
      </c>
      <c r="I109" s="18" t="s">
        <v>29</v>
      </c>
      <c r="J109" s="4">
        <v>0</v>
      </c>
      <c r="K109" s="4">
        <f t="shared" si="15"/>
        <v>310.10000000000019</v>
      </c>
      <c r="L109" s="4">
        <v>0.9</v>
      </c>
      <c r="M109" s="4">
        <f t="shared" si="16"/>
        <v>140.80000000000001</v>
      </c>
      <c r="N109" s="9">
        <f t="shared" si="13"/>
        <v>-0.9</v>
      </c>
      <c r="O109" s="4">
        <v>141.70000000000005</v>
      </c>
      <c r="P109" s="4">
        <v>104</v>
      </c>
      <c r="Q109" s="12">
        <f t="shared" si="22"/>
        <v>1.0042056074766355</v>
      </c>
      <c r="R109" s="10">
        <f t="shared" si="10"/>
        <v>0.90378504672897197</v>
      </c>
      <c r="S109" s="10">
        <f t="shared" si="11"/>
        <v>-0.90378504672897197</v>
      </c>
      <c r="T109" s="10">
        <f t="shared" si="17"/>
        <v>141.75836657832338</v>
      </c>
      <c r="U109" s="18" t="s">
        <v>30</v>
      </c>
      <c r="V109" s="11">
        <v>188.7</v>
      </c>
      <c r="W109" s="4">
        <f t="shared" si="12"/>
        <v>26.577464788732396</v>
      </c>
      <c r="X109" s="4">
        <f t="shared" si="18"/>
        <v>57037.800000000025</v>
      </c>
      <c r="Y109" s="4">
        <f t="shared" si="21"/>
        <v>654.5</v>
      </c>
      <c r="Z109" s="18" t="s">
        <v>31</v>
      </c>
      <c r="AA109" s="15">
        <v>7.9880369338321104</v>
      </c>
    </row>
    <row r="110" spans="1:27" s="4" customFormat="1" x14ac:dyDescent="0.25">
      <c r="A110" s="72"/>
      <c r="B110" s="5"/>
      <c r="C110" s="6">
        <v>41626</v>
      </c>
      <c r="D110" s="4">
        <v>8</v>
      </c>
      <c r="E110" s="4">
        <v>6.4</v>
      </c>
      <c r="F110" s="4">
        <v>9.3000000000000007</v>
      </c>
      <c r="G110" s="4">
        <f t="shared" si="14"/>
        <v>1088.9000000000001</v>
      </c>
      <c r="H110" s="4">
        <f t="shared" si="20"/>
        <v>32</v>
      </c>
      <c r="I110" s="4">
        <f>MAX(F107:F213)</f>
        <v>20.5</v>
      </c>
      <c r="J110" s="4">
        <v>6.5</v>
      </c>
      <c r="K110" s="4">
        <f t="shared" si="15"/>
        <v>316.60000000000019</v>
      </c>
      <c r="L110" s="4">
        <v>0.9</v>
      </c>
      <c r="M110" s="4">
        <f t="shared" si="16"/>
        <v>141.70000000000002</v>
      </c>
      <c r="N110" s="4">
        <f t="shared" si="13"/>
        <v>5.6</v>
      </c>
      <c r="O110" s="4">
        <v>147.30000000000004</v>
      </c>
      <c r="P110" s="4">
        <v>105</v>
      </c>
      <c r="Q110" s="12">
        <f t="shared" si="22"/>
        <v>1.0056074766355141</v>
      </c>
      <c r="R110" s="10">
        <f t="shared" si="10"/>
        <v>0.9050467289719627</v>
      </c>
      <c r="S110" s="10">
        <f t="shared" si="11"/>
        <v>5.5949532710280376</v>
      </c>
      <c r="T110" s="10">
        <f t="shared" si="17"/>
        <v>147.35331984935141</v>
      </c>
      <c r="U110" s="4">
        <v>0</v>
      </c>
      <c r="V110" s="11">
        <v>306.8</v>
      </c>
      <c r="W110" s="4">
        <f t="shared" si="12"/>
        <v>38.35</v>
      </c>
      <c r="X110" s="4">
        <f t="shared" si="18"/>
        <v>57344.600000000028</v>
      </c>
      <c r="Y110" s="4">
        <f t="shared" si="21"/>
        <v>961.3</v>
      </c>
      <c r="Z110" s="12">
        <f>(Z108/100)/I120</f>
        <v>0.7721104278424703</v>
      </c>
      <c r="AA110" s="15">
        <v>7.9793979218443702</v>
      </c>
    </row>
    <row r="111" spans="1:27" s="4" customFormat="1" x14ac:dyDescent="0.25">
      <c r="A111" s="72"/>
      <c r="B111" s="5"/>
      <c r="C111" s="6">
        <v>41627</v>
      </c>
      <c r="D111" s="4">
        <v>7.4</v>
      </c>
      <c r="E111" s="4">
        <v>5.2</v>
      </c>
      <c r="F111" s="4">
        <v>9.4</v>
      </c>
      <c r="G111" s="4">
        <f t="shared" si="14"/>
        <v>1096.3000000000002</v>
      </c>
      <c r="H111" s="4">
        <f t="shared" si="20"/>
        <v>39.4</v>
      </c>
      <c r="I111" s="18" t="s">
        <v>32</v>
      </c>
      <c r="J111" s="4">
        <v>0.7</v>
      </c>
      <c r="K111" s="4">
        <f t="shared" si="15"/>
        <v>317.30000000000018</v>
      </c>
      <c r="L111" s="4">
        <v>0.8</v>
      </c>
      <c r="M111" s="4">
        <f t="shared" si="16"/>
        <v>142.50000000000003</v>
      </c>
      <c r="N111" s="9">
        <f t="shared" si="13"/>
        <v>-0.10000000000000009</v>
      </c>
      <c r="O111" s="4">
        <v>147.20000000000005</v>
      </c>
      <c r="P111" s="4">
        <v>106</v>
      </c>
      <c r="Q111" s="12">
        <f t="shared" si="22"/>
        <v>1.0070093457943925</v>
      </c>
      <c r="R111" s="10">
        <f t="shared" si="10"/>
        <v>0.80560747663551402</v>
      </c>
      <c r="S111" s="10">
        <f t="shared" si="11"/>
        <v>-0.10560747663551406</v>
      </c>
      <c r="T111" s="10">
        <f t="shared" si="17"/>
        <v>147.24771237271588</v>
      </c>
      <c r="U111" s="18" t="s">
        <v>33</v>
      </c>
      <c r="V111" s="11">
        <v>392.6</v>
      </c>
      <c r="W111" s="4">
        <f t="shared" si="12"/>
        <v>53.054054054054056</v>
      </c>
      <c r="X111" s="4">
        <f t="shared" si="18"/>
        <v>57737.200000000026</v>
      </c>
      <c r="Y111" s="4">
        <f t="shared" si="21"/>
        <v>1353.9</v>
      </c>
      <c r="Z111" s="18" t="s">
        <v>34</v>
      </c>
      <c r="AA111" s="15">
        <v>7.9724775562125698</v>
      </c>
    </row>
    <row r="112" spans="1:27" s="4" customFormat="1" x14ac:dyDescent="0.25">
      <c r="A112" s="72"/>
      <c r="B112" s="5"/>
      <c r="C112" s="6">
        <v>41628</v>
      </c>
      <c r="D112" s="4">
        <v>5.6</v>
      </c>
      <c r="E112" s="13">
        <v>2.9</v>
      </c>
      <c r="F112" s="4">
        <v>8.3000000000000007</v>
      </c>
      <c r="G112" s="4">
        <f t="shared" si="14"/>
        <v>1101.9000000000001</v>
      </c>
      <c r="H112" s="4">
        <f t="shared" si="20"/>
        <v>45</v>
      </c>
      <c r="I112" s="10">
        <f>AVERAGE(D107:D213)</f>
        <v>7.1429906542056072</v>
      </c>
      <c r="J112" s="4">
        <v>0</v>
      </c>
      <c r="K112" s="4">
        <f t="shared" si="15"/>
        <v>317.30000000000018</v>
      </c>
      <c r="L112" s="4">
        <v>0.8</v>
      </c>
      <c r="M112" s="4">
        <f t="shared" si="16"/>
        <v>143.30000000000004</v>
      </c>
      <c r="N112" s="9">
        <f t="shared" si="13"/>
        <v>-0.8</v>
      </c>
      <c r="O112" s="4">
        <v>146.40000000000003</v>
      </c>
      <c r="P112" s="4">
        <v>107</v>
      </c>
      <c r="Q112" s="12">
        <f t="shared" si="22"/>
        <v>1.0084112149532711</v>
      </c>
      <c r="R112" s="10">
        <f t="shared" si="10"/>
        <v>0.80672897196261695</v>
      </c>
      <c r="S112" s="10">
        <f t="shared" si="11"/>
        <v>-0.80672897196261695</v>
      </c>
      <c r="T112" s="10">
        <f t="shared" si="17"/>
        <v>146.44098340075325</v>
      </c>
      <c r="U112" s="4">
        <v>0</v>
      </c>
      <c r="V112" s="11">
        <v>457</v>
      </c>
      <c r="W112" s="4">
        <f t="shared" si="12"/>
        <v>81.607142857142861</v>
      </c>
      <c r="X112" s="4">
        <f t="shared" si="18"/>
        <v>58194.200000000026</v>
      </c>
      <c r="Y112" s="4">
        <f t="shared" si="21"/>
        <v>1810.9</v>
      </c>
      <c r="Z112" s="4">
        <v>83</v>
      </c>
      <c r="AA112" s="15">
        <v>7.9672852593054602</v>
      </c>
    </row>
    <row r="113" spans="1:455" s="4" customFormat="1" x14ac:dyDescent="0.25">
      <c r="A113" s="72"/>
      <c r="B113" s="5"/>
      <c r="C113" s="6">
        <v>41629</v>
      </c>
      <c r="D113" s="4">
        <v>7.4</v>
      </c>
      <c r="E113" s="4">
        <v>5.9</v>
      </c>
      <c r="F113" s="4">
        <v>8.1</v>
      </c>
      <c r="G113" s="4">
        <f t="shared" si="14"/>
        <v>1109.3000000000002</v>
      </c>
      <c r="H113" s="4">
        <f t="shared" si="20"/>
        <v>52.4</v>
      </c>
      <c r="I113" s="18" t="s">
        <v>35</v>
      </c>
      <c r="J113" s="4">
        <v>1.2</v>
      </c>
      <c r="K113" s="4">
        <f t="shared" si="15"/>
        <v>318.50000000000017</v>
      </c>
      <c r="L113" s="4">
        <v>1.2</v>
      </c>
      <c r="M113" s="4">
        <f t="shared" si="16"/>
        <v>144.50000000000003</v>
      </c>
      <c r="N113" s="4">
        <f t="shared" si="13"/>
        <v>0</v>
      </c>
      <c r="O113" s="4">
        <v>146.40000000000003</v>
      </c>
      <c r="P113" s="4">
        <v>108</v>
      </c>
      <c r="Q113" s="12">
        <f t="shared" si="22"/>
        <v>1.0098130841121495</v>
      </c>
      <c r="R113" s="10">
        <f t="shared" si="10"/>
        <v>1.2117757009345793</v>
      </c>
      <c r="S113" s="10">
        <f t="shared" si="11"/>
        <v>-1.1775700934579358E-2</v>
      </c>
      <c r="T113" s="10">
        <f t="shared" si="17"/>
        <v>146.42920769981868</v>
      </c>
      <c r="U113" s="18" t="s">
        <v>36</v>
      </c>
      <c r="V113" s="11">
        <v>132.1</v>
      </c>
      <c r="W113" s="4">
        <f t="shared" si="12"/>
        <v>17.851351351351351</v>
      </c>
      <c r="X113" s="4">
        <f t="shared" si="18"/>
        <v>58326.300000000025</v>
      </c>
      <c r="Y113" s="4">
        <f t="shared" si="21"/>
        <v>1943</v>
      </c>
      <c r="AA113" s="15">
        <v>7.9638282915724998</v>
      </c>
    </row>
    <row r="114" spans="1:455" s="4" customFormat="1" x14ac:dyDescent="0.25">
      <c r="A114" s="72"/>
      <c r="B114" s="5"/>
      <c r="C114" s="6">
        <v>41630</v>
      </c>
      <c r="D114" s="4">
        <v>8.3000000000000007</v>
      </c>
      <c r="E114" s="4">
        <v>7.2</v>
      </c>
      <c r="F114" s="4">
        <v>10.6</v>
      </c>
      <c r="G114" s="4">
        <f t="shared" si="14"/>
        <v>1117.6000000000001</v>
      </c>
      <c r="H114" s="4">
        <f t="shared" si="20"/>
        <v>60.7</v>
      </c>
      <c r="I114" s="4">
        <v>3</v>
      </c>
      <c r="J114" s="4">
        <v>8</v>
      </c>
      <c r="K114" s="4">
        <f t="shared" si="15"/>
        <v>326.50000000000017</v>
      </c>
      <c r="L114" s="4">
        <v>1.3</v>
      </c>
      <c r="M114" s="4">
        <f t="shared" si="16"/>
        <v>145.80000000000004</v>
      </c>
      <c r="N114" s="4">
        <f t="shared" si="13"/>
        <v>6.7</v>
      </c>
      <c r="O114" s="4">
        <v>153.10000000000002</v>
      </c>
      <c r="P114" s="4">
        <v>109</v>
      </c>
      <c r="Q114" s="12">
        <f t="shared" si="22"/>
        <v>1.0112149532710279</v>
      </c>
      <c r="R114" s="10">
        <f t="shared" si="10"/>
        <v>1.3145794392523364</v>
      </c>
      <c r="S114" s="10">
        <f t="shared" si="11"/>
        <v>6.685420560747664</v>
      </c>
      <c r="T114" s="10">
        <f t="shared" si="17"/>
        <v>153.11462826056635</v>
      </c>
      <c r="U114" s="10">
        <f>MIN(T107:T213)</f>
        <v>108.57532710280368</v>
      </c>
      <c r="V114" s="11">
        <v>202.1</v>
      </c>
      <c r="W114" s="4">
        <f t="shared" si="12"/>
        <v>24.349397590361441</v>
      </c>
      <c r="X114" s="4">
        <f t="shared" si="18"/>
        <v>58528.400000000023</v>
      </c>
      <c r="Y114" s="4">
        <f t="shared" si="21"/>
        <v>2145.1</v>
      </c>
      <c r="AA114" s="15">
        <v>7.9621117174038103</v>
      </c>
    </row>
    <row r="115" spans="1:455" s="4" customFormat="1" x14ac:dyDescent="0.25">
      <c r="A115" s="72"/>
      <c r="B115" s="5"/>
      <c r="C115" s="6">
        <v>41631</v>
      </c>
      <c r="D115" s="4">
        <v>8.9</v>
      </c>
      <c r="E115" s="4">
        <v>5.8</v>
      </c>
      <c r="F115" s="4">
        <v>11.4</v>
      </c>
      <c r="G115" s="4">
        <f t="shared" si="14"/>
        <v>1126.5000000000002</v>
      </c>
      <c r="H115" s="4">
        <f t="shared" si="20"/>
        <v>69.600000000000009</v>
      </c>
      <c r="I115" s="18" t="s">
        <v>37</v>
      </c>
      <c r="J115" s="4">
        <v>1.7</v>
      </c>
      <c r="K115" s="4">
        <f t="shared" si="15"/>
        <v>328.20000000000016</v>
      </c>
      <c r="L115" s="4">
        <v>1.4</v>
      </c>
      <c r="M115" s="4">
        <f t="shared" si="16"/>
        <v>147.20000000000005</v>
      </c>
      <c r="N115" s="4">
        <f t="shared" si="13"/>
        <v>0.30000000000000004</v>
      </c>
      <c r="O115" s="4">
        <v>153.40000000000003</v>
      </c>
      <c r="P115" s="4">
        <v>110</v>
      </c>
      <c r="Q115" s="12">
        <f t="shared" si="22"/>
        <v>1.0126168224299066</v>
      </c>
      <c r="R115" s="10">
        <f t="shared" si="10"/>
        <v>1.4176635514018692</v>
      </c>
      <c r="S115" s="10">
        <f t="shared" si="11"/>
        <v>0.28233644859813078</v>
      </c>
      <c r="T115" s="10">
        <f t="shared" si="17"/>
        <v>153.39696470916448</v>
      </c>
      <c r="U115" s="18" t="s">
        <v>38</v>
      </c>
      <c r="V115" s="11">
        <v>203.3</v>
      </c>
      <c r="W115" s="4">
        <f t="shared" si="12"/>
        <v>22.842696629213485</v>
      </c>
      <c r="X115" s="4">
        <f t="shared" si="18"/>
        <v>58731.700000000026</v>
      </c>
      <c r="Y115" s="4">
        <f t="shared" si="21"/>
        <v>2348.4</v>
      </c>
      <c r="AA115" s="15">
        <v>7.9621383811963797</v>
      </c>
    </row>
    <row r="116" spans="1:455" s="4" customFormat="1" x14ac:dyDescent="0.25">
      <c r="A116" s="72"/>
      <c r="B116" s="5"/>
      <c r="C116" s="6">
        <v>41632</v>
      </c>
      <c r="D116" s="4">
        <v>9.8000000000000007</v>
      </c>
      <c r="E116" s="4">
        <v>8.6999999999999993</v>
      </c>
      <c r="F116" s="4">
        <v>10.6</v>
      </c>
      <c r="G116" s="4">
        <f t="shared" si="14"/>
        <v>1136.3000000000002</v>
      </c>
      <c r="H116" s="4">
        <f t="shared" si="20"/>
        <v>79.400000000000006</v>
      </c>
      <c r="I116" s="4">
        <v>0</v>
      </c>
      <c r="J116" s="4">
        <v>12.6</v>
      </c>
      <c r="K116" s="4">
        <f t="shared" si="15"/>
        <v>340.80000000000018</v>
      </c>
      <c r="L116" s="4">
        <v>1.1000000000000001</v>
      </c>
      <c r="M116" s="4">
        <f t="shared" si="16"/>
        <v>148.30000000000004</v>
      </c>
      <c r="N116" s="4">
        <f t="shared" si="13"/>
        <v>11.5</v>
      </c>
      <c r="O116" s="4">
        <v>153.6</v>
      </c>
      <c r="P116" s="4">
        <v>111</v>
      </c>
      <c r="Q116" s="12">
        <f t="shared" si="22"/>
        <v>1.014018691588785</v>
      </c>
      <c r="R116" s="10">
        <f t="shared" si="10"/>
        <v>1.1154205607476635</v>
      </c>
      <c r="S116" s="10">
        <f t="shared" si="11"/>
        <v>11.484579439252336</v>
      </c>
      <c r="T116" s="10">
        <f t="shared" si="17"/>
        <v>153.6</v>
      </c>
      <c r="U116" s="10">
        <f>MAX(T107:T213)</f>
        <v>153.6</v>
      </c>
      <c r="V116" s="11">
        <v>52.8</v>
      </c>
      <c r="W116" s="4">
        <f t="shared" si="12"/>
        <v>5.3877551020408152</v>
      </c>
      <c r="X116" s="4">
        <f t="shared" si="18"/>
        <v>58784.500000000029</v>
      </c>
      <c r="Y116" s="4">
        <f t="shared" si="21"/>
        <v>2401.2000000000003</v>
      </c>
      <c r="AA116" s="15">
        <v>7.9639088938645202</v>
      </c>
    </row>
    <row r="117" spans="1:455" s="4" customFormat="1" x14ac:dyDescent="0.25">
      <c r="A117" s="72"/>
      <c r="B117" s="5"/>
      <c r="C117" s="6">
        <v>41633</v>
      </c>
      <c r="D117" s="4">
        <v>6.3</v>
      </c>
      <c r="E117" s="13">
        <v>4.5999999999999996</v>
      </c>
      <c r="F117" s="4">
        <v>8.6</v>
      </c>
      <c r="G117" s="4">
        <f t="shared" si="14"/>
        <v>1142.6000000000001</v>
      </c>
      <c r="H117" s="4">
        <f t="shared" si="20"/>
        <v>85.7</v>
      </c>
      <c r="I117" s="18" t="s">
        <v>39</v>
      </c>
      <c r="J117" s="4">
        <v>0.5</v>
      </c>
      <c r="K117" s="4">
        <f t="shared" si="15"/>
        <v>341.30000000000018</v>
      </c>
      <c r="L117" s="4">
        <v>0.9</v>
      </c>
      <c r="M117" s="4">
        <f t="shared" si="16"/>
        <v>149.20000000000005</v>
      </c>
      <c r="N117" s="9">
        <f t="shared" si="13"/>
        <v>-0.4</v>
      </c>
      <c r="O117" s="4">
        <v>153.19999999999999</v>
      </c>
      <c r="P117" s="4">
        <v>112</v>
      </c>
      <c r="Q117" s="12">
        <f t="shared" si="22"/>
        <v>1.0154205607476636</v>
      </c>
      <c r="R117" s="10">
        <f t="shared" si="10"/>
        <v>0.91387850467289733</v>
      </c>
      <c r="S117" s="10">
        <f t="shared" si="11"/>
        <v>-0.41387850467289733</v>
      </c>
      <c r="T117" s="10">
        <f t="shared" si="17"/>
        <v>153.18612149532709</v>
      </c>
      <c r="U117" s="18" t="s">
        <v>40</v>
      </c>
      <c r="V117" s="11">
        <v>416.7</v>
      </c>
      <c r="W117" s="4">
        <f t="shared" si="12"/>
        <v>66.142857142857139</v>
      </c>
      <c r="X117" s="4">
        <f t="shared" si="18"/>
        <v>59201.200000000026</v>
      </c>
      <c r="Y117" s="4">
        <f t="shared" si="21"/>
        <v>2817.9</v>
      </c>
      <c r="AA117" s="15">
        <v>7.9674216299288902</v>
      </c>
    </row>
    <row r="118" spans="1:455" s="4" customFormat="1" x14ac:dyDescent="0.25">
      <c r="A118" s="72"/>
      <c r="B118" s="5"/>
      <c r="C118" s="6">
        <v>41634</v>
      </c>
      <c r="D118" s="4">
        <v>5.0999999999999996</v>
      </c>
      <c r="E118" s="13">
        <v>4.2</v>
      </c>
      <c r="F118" s="4">
        <v>7.2</v>
      </c>
      <c r="G118" s="4">
        <f t="shared" si="14"/>
        <v>1147.7</v>
      </c>
      <c r="H118" s="4">
        <f t="shared" si="20"/>
        <v>90.8</v>
      </c>
      <c r="I118" s="4">
        <v>55</v>
      </c>
      <c r="J118" s="4">
        <v>0.5</v>
      </c>
      <c r="K118" s="4">
        <f t="shared" si="15"/>
        <v>341.80000000000018</v>
      </c>
      <c r="L118" s="4">
        <v>0.6</v>
      </c>
      <c r="M118" s="4">
        <f t="shared" si="16"/>
        <v>149.80000000000004</v>
      </c>
      <c r="N118" s="9">
        <f t="shared" si="13"/>
        <v>-9.9999999999999978E-2</v>
      </c>
      <c r="O118" s="4">
        <v>153.1</v>
      </c>
      <c r="P118" s="4">
        <v>113</v>
      </c>
      <c r="Q118" s="12">
        <f t="shared" si="22"/>
        <v>1.016822429906542</v>
      </c>
      <c r="R118" s="10">
        <f t="shared" si="10"/>
        <v>0.61009345794392522</v>
      </c>
      <c r="S118" s="10">
        <f t="shared" si="11"/>
        <v>-0.11009345794392522</v>
      </c>
      <c r="T118" s="10">
        <f t="shared" si="17"/>
        <v>153.07602803738317</v>
      </c>
      <c r="U118" s="12">
        <f>AVERAGE(T107:T213)</f>
        <v>146.06397126516956</v>
      </c>
      <c r="V118" s="11">
        <v>268</v>
      </c>
      <c r="W118" s="4">
        <f t="shared" si="12"/>
        <v>52.549019607843142</v>
      </c>
      <c r="X118" s="4">
        <f t="shared" si="18"/>
        <v>59469.200000000026</v>
      </c>
      <c r="Y118" s="4">
        <f t="shared" si="21"/>
        <v>3085.9</v>
      </c>
      <c r="AA118" s="15">
        <v>7.9726727352127904</v>
      </c>
    </row>
    <row r="119" spans="1:455" s="4" customFormat="1" x14ac:dyDescent="0.25">
      <c r="A119" s="72"/>
      <c r="B119" s="5"/>
      <c r="C119" s="6">
        <v>41635</v>
      </c>
      <c r="D119" s="4">
        <v>8</v>
      </c>
      <c r="E119" s="13">
        <v>4.4000000000000004</v>
      </c>
      <c r="F119" s="4">
        <v>9.8000000000000007</v>
      </c>
      <c r="G119" s="4">
        <f t="shared" si="14"/>
        <v>1155.7</v>
      </c>
      <c r="H119" s="4">
        <f t="shared" si="20"/>
        <v>98.8</v>
      </c>
      <c r="I119" s="18" t="s">
        <v>41</v>
      </c>
      <c r="J119" s="4">
        <v>15</v>
      </c>
      <c r="K119" s="4">
        <f t="shared" si="15"/>
        <v>356.80000000000018</v>
      </c>
      <c r="L119" s="4">
        <v>0.3</v>
      </c>
      <c r="M119" s="4">
        <f t="shared" si="16"/>
        <v>150.10000000000005</v>
      </c>
      <c r="N119" s="4">
        <f t="shared" si="13"/>
        <v>14.7</v>
      </c>
      <c r="O119" s="4">
        <v>153.6</v>
      </c>
      <c r="P119" s="4">
        <v>114</v>
      </c>
      <c r="Q119" s="12">
        <f t="shared" si="22"/>
        <v>1.0182242990654204</v>
      </c>
      <c r="R119" s="10">
        <f t="shared" si="10"/>
        <v>0.30546728971962611</v>
      </c>
      <c r="S119" s="10">
        <f t="shared" si="11"/>
        <v>14.694532710280374</v>
      </c>
      <c r="T119" s="10">
        <f t="shared" si="17"/>
        <v>153.6</v>
      </c>
      <c r="V119" s="11">
        <v>81.3</v>
      </c>
      <c r="W119" s="4">
        <f t="shared" si="12"/>
        <v>10.1625</v>
      </c>
      <c r="X119" s="4">
        <f t="shared" si="18"/>
        <v>59550.500000000029</v>
      </c>
      <c r="Y119" s="4">
        <f t="shared" si="21"/>
        <v>3167.2000000000003</v>
      </c>
      <c r="AA119" s="15">
        <v>7.9796561450684704</v>
      </c>
    </row>
    <row r="120" spans="1:455" s="4" customFormat="1" x14ac:dyDescent="0.25">
      <c r="A120" s="72"/>
      <c r="B120" s="5"/>
      <c r="C120" s="6">
        <v>41636</v>
      </c>
      <c r="D120" s="4">
        <v>6.9</v>
      </c>
      <c r="E120" s="4">
        <v>6.1</v>
      </c>
      <c r="F120" s="4">
        <v>8.8000000000000007</v>
      </c>
      <c r="G120" s="4">
        <f t="shared" si="14"/>
        <v>1162.6000000000001</v>
      </c>
      <c r="H120" s="4">
        <f t="shared" si="20"/>
        <v>105.7</v>
      </c>
      <c r="I120" s="4">
        <v>764.3</v>
      </c>
      <c r="J120" s="4">
        <v>0.1</v>
      </c>
      <c r="K120" s="4">
        <f t="shared" si="15"/>
        <v>356.9000000000002</v>
      </c>
      <c r="L120" s="4">
        <v>0.7</v>
      </c>
      <c r="M120" s="4">
        <f t="shared" si="16"/>
        <v>150.80000000000004</v>
      </c>
      <c r="N120" s="9">
        <f t="shared" si="13"/>
        <v>-0.6</v>
      </c>
      <c r="O120" s="4">
        <v>153</v>
      </c>
      <c r="P120" s="4">
        <v>115</v>
      </c>
      <c r="Q120" s="12">
        <f t="shared" si="22"/>
        <v>1.0196261682242991</v>
      </c>
      <c r="R120" s="10">
        <f t="shared" si="10"/>
        <v>0.71373831775700936</v>
      </c>
      <c r="S120" s="10">
        <f t="shared" si="11"/>
        <v>-0.61373831775700938</v>
      </c>
      <c r="T120" s="10">
        <f t="shared" si="17"/>
        <v>152.986261682243</v>
      </c>
      <c r="U120" s="4">
        <f>(U118*100)/153.6</f>
        <v>95.093731292428089</v>
      </c>
      <c r="V120" s="11">
        <v>266.7</v>
      </c>
      <c r="W120" s="4">
        <f t="shared" si="12"/>
        <v>38.652173913043477</v>
      </c>
      <c r="X120" s="4">
        <f t="shared" si="18"/>
        <v>59817.200000000026</v>
      </c>
      <c r="Y120" s="4">
        <f t="shared" si="21"/>
        <v>3433.9</v>
      </c>
      <c r="AA120" s="15">
        <v>7.9883636129512103</v>
      </c>
    </row>
    <row r="121" spans="1:455" s="4" customFormat="1" x14ac:dyDescent="0.25">
      <c r="A121" s="72"/>
      <c r="B121" s="14"/>
      <c r="C121" s="6">
        <v>41637</v>
      </c>
      <c r="D121" s="13">
        <v>4.9000000000000004</v>
      </c>
      <c r="E121" s="13">
        <v>3.6</v>
      </c>
      <c r="F121" s="4">
        <v>8.3000000000000007</v>
      </c>
      <c r="G121" s="4">
        <f t="shared" si="14"/>
        <v>1167.5000000000002</v>
      </c>
      <c r="H121" s="4">
        <f t="shared" si="20"/>
        <v>110.60000000000001</v>
      </c>
      <c r="J121" s="4">
        <v>0</v>
      </c>
      <c r="K121" s="4">
        <f t="shared" si="15"/>
        <v>356.9000000000002</v>
      </c>
      <c r="L121" s="4">
        <v>0.9</v>
      </c>
      <c r="M121" s="4">
        <f t="shared" si="16"/>
        <v>151.70000000000005</v>
      </c>
      <c r="N121" s="9">
        <f t="shared" si="13"/>
        <v>-0.9</v>
      </c>
      <c r="O121" s="4">
        <v>152.1</v>
      </c>
      <c r="P121" s="4">
        <v>116</v>
      </c>
      <c r="Q121" s="12">
        <f t="shared" si="22"/>
        <v>1.0210280373831775</v>
      </c>
      <c r="R121" s="10">
        <f t="shared" si="10"/>
        <v>0.91892523364485978</v>
      </c>
      <c r="S121" s="10">
        <f t="shared" si="11"/>
        <v>-0.91892523364485978</v>
      </c>
      <c r="T121" s="10">
        <f t="shared" si="17"/>
        <v>152.06733644859813</v>
      </c>
      <c r="V121" s="11">
        <v>553.79999999999995</v>
      </c>
      <c r="W121" s="4">
        <f t="shared" si="12"/>
        <v>113.02040816326529</v>
      </c>
      <c r="X121" s="4">
        <f t="shared" si="18"/>
        <v>60371.000000000029</v>
      </c>
      <c r="Y121" s="4">
        <f t="shared" si="21"/>
        <v>3987.7</v>
      </c>
      <c r="AA121" s="15">
        <v>7.9987847490574904</v>
      </c>
    </row>
    <row r="122" spans="1:455" s="4" customFormat="1" x14ac:dyDescent="0.25">
      <c r="A122" s="72"/>
      <c r="B122" s="5"/>
      <c r="C122" s="6">
        <v>41638</v>
      </c>
      <c r="D122" s="4">
        <v>5.8</v>
      </c>
      <c r="E122" s="13">
        <v>3</v>
      </c>
      <c r="F122" s="4">
        <v>7.3</v>
      </c>
      <c r="G122" s="4">
        <f t="shared" si="14"/>
        <v>1173.3000000000002</v>
      </c>
      <c r="H122" s="4">
        <f t="shared" si="20"/>
        <v>116.4</v>
      </c>
      <c r="J122" s="4">
        <v>1.5</v>
      </c>
      <c r="K122" s="4">
        <f t="shared" si="15"/>
        <v>358.4000000000002</v>
      </c>
      <c r="L122" s="4">
        <v>0.6</v>
      </c>
      <c r="M122" s="4">
        <f t="shared" si="16"/>
        <v>152.30000000000004</v>
      </c>
      <c r="N122" s="4">
        <f t="shared" si="13"/>
        <v>0.9</v>
      </c>
      <c r="O122" s="4">
        <v>153</v>
      </c>
      <c r="P122" s="4">
        <v>117</v>
      </c>
      <c r="Q122" s="12">
        <f t="shared" si="22"/>
        <v>1.0224299065420561</v>
      </c>
      <c r="R122" s="10">
        <f t="shared" si="10"/>
        <v>0.61345794392523367</v>
      </c>
      <c r="S122" s="10">
        <f t="shared" si="11"/>
        <v>0.88654205607476633</v>
      </c>
      <c r="T122" s="10">
        <f t="shared" si="17"/>
        <v>152.9538785046729</v>
      </c>
      <c r="V122" s="11">
        <v>118.1</v>
      </c>
      <c r="W122" s="4">
        <f t="shared" si="12"/>
        <v>20.362068965517242</v>
      </c>
      <c r="X122" s="4">
        <f t="shared" si="18"/>
        <v>60489.100000000028</v>
      </c>
      <c r="Y122" s="4">
        <f t="shared" si="21"/>
        <v>4105.8</v>
      </c>
      <c r="AA122" s="15">
        <v>8.0109070686467803</v>
      </c>
    </row>
    <row r="123" spans="1:455" s="4" customFormat="1" x14ac:dyDescent="0.25">
      <c r="A123" s="72"/>
      <c r="B123" s="5"/>
      <c r="C123" s="6">
        <v>41639</v>
      </c>
      <c r="D123" s="4">
        <v>6.7</v>
      </c>
      <c r="E123" s="4">
        <v>6.1</v>
      </c>
      <c r="F123" s="4">
        <v>7.2</v>
      </c>
      <c r="G123" s="4">
        <f t="shared" si="14"/>
        <v>1180.0000000000002</v>
      </c>
      <c r="H123" s="4">
        <f t="shared" si="20"/>
        <v>123.10000000000001</v>
      </c>
      <c r="J123" s="4">
        <v>4.3</v>
      </c>
      <c r="K123" s="4">
        <f t="shared" si="15"/>
        <v>362.70000000000022</v>
      </c>
      <c r="L123" s="4">
        <v>0.9</v>
      </c>
      <c r="M123" s="4">
        <f t="shared" si="16"/>
        <v>153.20000000000005</v>
      </c>
      <c r="N123" s="4">
        <f t="shared" si="13"/>
        <v>3.4</v>
      </c>
      <c r="O123" s="4">
        <v>153.6</v>
      </c>
      <c r="P123" s="4">
        <v>118</v>
      </c>
      <c r="Q123" s="12">
        <f t="shared" si="22"/>
        <v>1.0238317757009345</v>
      </c>
      <c r="R123" s="10">
        <f t="shared" si="10"/>
        <v>0.92144859813084112</v>
      </c>
      <c r="S123" s="10">
        <f t="shared" si="11"/>
        <v>3.3785514018691587</v>
      </c>
      <c r="T123" s="10">
        <f t="shared" si="17"/>
        <v>153.6</v>
      </c>
      <c r="V123" s="11">
        <v>166.1</v>
      </c>
      <c r="W123" s="4">
        <f t="shared" si="12"/>
        <v>24.791044776119403</v>
      </c>
      <c r="X123" s="4">
        <f t="shared" si="18"/>
        <v>60655.200000000026</v>
      </c>
      <c r="Y123" s="4">
        <f t="shared" si="21"/>
        <v>4271.9000000000005</v>
      </c>
      <c r="AA123" s="15">
        <v>8.0247160495763499</v>
      </c>
    </row>
    <row r="124" spans="1:455" s="4" customFormat="1" x14ac:dyDescent="0.25">
      <c r="A124" s="72"/>
      <c r="B124" s="5"/>
      <c r="C124" s="6">
        <v>41640</v>
      </c>
      <c r="D124" s="4">
        <v>8</v>
      </c>
      <c r="E124" s="4">
        <v>5.3</v>
      </c>
      <c r="F124" s="4">
        <v>10.199999999999999</v>
      </c>
      <c r="G124" s="4">
        <f t="shared" si="14"/>
        <v>1188.0000000000002</v>
      </c>
      <c r="H124" s="4">
        <f t="shared" si="20"/>
        <v>131.10000000000002</v>
      </c>
      <c r="J124" s="4">
        <v>5.9</v>
      </c>
      <c r="K124" s="4">
        <f t="shared" si="15"/>
        <v>368.60000000000019</v>
      </c>
      <c r="L124" s="4">
        <v>1</v>
      </c>
      <c r="M124" s="4">
        <f t="shared" si="16"/>
        <v>154.20000000000005</v>
      </c>
      <c r="N124" s="4">
        <f t="shared" si="13"/>
        <v>4.9000000000000004</v>
      </c>
      <c r="O124" s="4">
        <v>153.6</v>
      </c>
      <c r="P124" s="4">
        <v>119</v>
      </c>
      <c r="Q124" s="12">
        <f t="shared" si="22"/>
        <v>1.0252336448598132</v>
      </c>
      <c r="R124" s="10">
        <f t="shared" si="10"/>
        <v>1.0252336448598132</v>
      </c>
      <c r="S124" s="10">
        <f t="shared" si="11"/>
        <v>4.8747663551401867</v>
      </c>
      <c r="T124" s="10">
        <f t="shared" si="17"/>
        <v>153.6</v>
      </c>
      <c r="V124" s="11">
        <v>153.80000000000001</v>
      </c>
      <c r="W124" s="4">
        <f t="shared" si="12"/>
        <v>19.225000000000001</v>
      </c>
      <c r="X124" s="4">
        <f t="shared" si="18"/>
        <v>60809.000000000029</v>
      </c>
      <c r="Y124" s="4">
        <f t="shared" si="21"/>
        <v>4425.7000000000007</v>
      </c>
      <c r="AA124" s="15">
        <v>8.0451866496054194</v>
      </c>
    </row>
    <row r="125" spans="1:455" s="4" customFormat="1" x14ac:dyDescent="0.25">
      <c r="A125" s="72"/>
      <c r="B125" s="5"/>
      <c r="C125" s="6">
        <v>41641</v>
      </c>
      <c r="D125" s="4">
        <v>9.1</v>
      </c>
      <c r="E125" s="4">
        <v>7.7</v>
      </c>
      <c r="F125" s="4">
        <v>10</v>
      </c>
      <c r="G125" s="4">
        <f t="shared" si="14"/>
        <v>1197.1000000000001</v>
      </c>
      <c r="H125" s="4">
        <f t="shared" si="20"/>
        <v>140.20000000000002</v>
      </c>
      <c r="J125" s="4">
        <v>2.5</v>
      </c>
      <c r="K125" s="4">
        <f t="shared" si="15"/>
        <v>371.10000000000019</v>
      </c>
      <c r="L125" s="4">
        <v>1.1000000000000001</v>
      </c>
      <c r="M125" s="4">
        <f t="shared" si="16"/>
        <v>155.30000000000004</v>
      </c>
      <c r="N125" s="4">
        <f t="shared" si="13"/>
        <v>1.4</v>
      </c>
      <c r="O125" s="4">
        <v>153.6</v>
      </c>
      <c r="P125" s="4">
        <v>120</v>
      </c>
      <c r="Q125" s="12">
        <f t="shared" si="22"/>
        <v>1.0266355140186916</v>
      </c>
      <c r="R125" s="10">
        <f t="shared" si="10"/>
        <v>1.1292990654205608</v>
      </c>
      <c r="S125" s="10">
        <f t="shared" si="11"/>
        <v>1.3707009345794392</v>
      </c>
      <c r="T125" s="10">
        <f t="shared" si="17"/>
        <v>153.6</v>
      </c>
      <c r="V125" s="11">
        <v>301.89999999999998</v>
      </c>
      <c r="W125" s="4">
        <f t="shared" si="12"/>
        <v>33.175824175824175</v>
      </c>
      <c r="X125" s="4">
        <f t="shared" si="18"/>
        <v>61110.900000000031</v>
      </c>
      <c r="Y125" s="4">
        <f t="shared" si="21"/>
        <v>4727.6000000000004</v>
      </c>
      <c r="AA125" s="15">
        <v>8.0628116565634098</v>
      </c>
    </row>
    <row r="126" spans="1:455" s="4" customFormat="1" x14ac:dyDescent="0.25">
      <c r="A126" s="72"/>
      <c r="B126" s="5"/>
      <c r="C126" s="6">
        <v>41642</v>
      </c>
      <c r="D126" s="4">
        <v>9.8000000000000007</v>
      </c>
      <c r="E126" s="4">
        <v>7.8</v>
      </c>
      <c r="F126" s="4">
        <v>12.6</v>
      </c>
      <c r="G126" s="4">
        <f t="shared" si="14"/>
        <v>1206.9000000000001</v>
      </c>
      <c r="H126" s="4">
        <f t="shared" si="20"/>
        <v>150.00000000000003</v>
      </c>
      <c r="J126" s="4">
        <v>5.0999999999999996</v>
      </c>
      <c r="K126" s="4">
        <f t="shared" si="15"/>
        <v>376.20000000000022</v>
      </c>
      <c r="L126" s="4">
        <v>1.6</v>
      </c>
      <c r="M126" s="4">
        <f t="shared" si="16"/>
        <v>156.90000000000003</v>
      </c>
      <c r="N126" s="4">
        <f t="shared" si="13"/>
        <v>3.4999999999999996</v>
      </c>
      <c r="O126" s="4">
        <v>153.6</v>
      </c>
      <c r="P126" s="4">
        <v>121</v>
      </c>
      <c r="Q126" s="12">
        <f t="shared" si="22"/>
        <v>1.02803738317757</v>
      </c>
      <c r="R126" s="10">
        <f t="shared" si="10"/>
        <v>1.6448598130841121</v>
      </c>
      <c r="S126" s="10">
        <f t="shared" si="11"/>
        <v>3.4551401869158873</v>
      </c>
      <c r="T126" s="10">
        <f t="shared" si="17"/>
        <v>153.6</v>
      </c>
      <c r="V126" s="11">
        <v>138</v>
      </c>
      <c r="W126" s="4">
        <f t="shared" si="12"/>
        <v>14.081632653061224</v>
      </c>
      <c r="X126" s="4">
        <f t="shared" si="18"/>
        <v>61248.900000000031</v>
      </c>
      <c r="Y126" s="4">
        <f t="shared" si="21"/>
        <v>4865.6000000000004</v>
      </c>
      <c r="AA126" s="15">
        <v>8.0820618009671996</v>
      </c>
    </row>
    <row r="127" spans="1:455" s="4" customFormat="1" x14ac:dyDescent="0.25">
      <c r="A127" s="72"/>
      <c r="B127" s="5"/>
      <c r="C127" s="6">
        <v>41643</v>
      </c>
      <c r="D127" s="4">
        <v>8.1999999999999993</v>
      </c>
      <c r="E127" s="4">
        <v>7.2</v>
      </c>
      <c r="F127" s="4">
        <v>9.5</v>
      </c>
      <c r="G127" s="4">
        <f t="shared" si="14"/>
        <v>1215.1000000000001</v>
      </c>
      <c r="H127" s="4">
        <f t="shared" si="20"/>
        <v>158.20000000000002</v>
      </c>
      <c r="J127" s="4">
        <v>2.4</v>
      </c>
      <c r="K127" s="4">
        <f t="shared" si="15"/>
        <v>378.60000000000019</v>
      </c>
      <c r="L127" s="4">
        <v>1.1000000000000001</v>
      </c>
      <c r="M127" s="4">
        <f t="shared" si="16"/>
        <v>158.00000000000003</v>
      </c>
      <c r="N127" s="4">
        <f t="shared" si="13"/>
        <v>1.2999999999999998</v>
      </c>
      <c r="O127" s="4">
        <v>153.6</v>
      </c>
      <c r="P127" s="4">
        <v>122</v>
      </c>
      <c r="Q127" s="12">
        <f t="shared" si="22"/>
        <v>1.0294392523364486</v>
      </c>
      <c r="R127" s="10">
        <f t="shared" si="10"/>
        <v>1.1323831775700937</v>
      </c>
      <c r="S127" s="10">
        <f t="shared" si="11"/>
        <v>1.2676168224299063</v>
      </c>
      <c r="T127" s="10">
        <f t="shared" si="17"/>
        <v>153.6</v>
      </c>
      <c r="V127" s="11">
        <v>163</v>
      </c>
      <c r="W127" s="4">
        <f t="shared" si="12"/>
        <v>19.878048780487806</v>
      </c>
      <c r="X127" s="4">
        <f t="shared" si="18"/>
        <v>61411.900000000031</v>
      </c>
      <c r="Y127" s="4">
        <f t="shared" si="21"/>
        <v>5028.6000000000004</v>
      </c>
      <c r="AA127" s="15">
        <v>8.1029146473420504</v>
      </c>
    </row>
    <row r="128" spans="1:455" s="20" customFormat="1" x14ac:dyDescent="0.25">
      <c r="A128" s="72"/>
      <c r="B128" s="5"/>
      <c r="C128" s="19">
        <v>41644</v>
      </c>
      <c r="D128" s="4">
        <v>5.8</v>
      </c>
      <c r="E128" s="4">
        <v>2.5</v>
      </c>
      <c r="F128" s="4">
        <v>12.4</v>
      </c>
      <c r="G128" s="4">
        <f t="shared" si="14"/>
        <v>1220.9000000000001</v>
      </c>
      <c r="H128" s="4">
        <f t="shared" si="20"/>
        <v>164.00000000000003</v>
      </c>
      <c r="I128" s="4"/>
      <c r="J128" s="4">
        <v>0.2</v>
      </c>
      <c r="K128" s="4">
        <f t="shared" si="15"/>
        <v>378.80000000000018</v>
      </c>
      <c r="L128" s="4">
        <v>1.2</v>
      </c>
      <c r="M128" s="4">
        <f t="shared" si="16"/>
        <v>159.20000000000002</v>
      </c>
      <c r="N128" s="4">
        <f t="shared" si="13"/>
        <v>-1</v>
      </c>
      <c r="O128" s="4">
        <v>153.6</v>
      </c>
      <c r="P128" s="4">
        <v>123</v>
      </c>
      <c r="Q128" s="12">
        <f t="shared" si="22"/>
        <v>1.030841121495327</v>
      </c>
      <c r="R128" s="10">
        <f t="shared" si="10"/>
        <v>1.2370093457943925</v>
      </c>
      <c r="S128" s="10">
        <f t="shared" si="11"/>
        <v>-1.0370093457943925</v>
      </c>
      <c r="T128" s="10">
        <f t="shared" si="17"/>
        <v>152.56299065420561</v>
      </c>
      <c r="U128" s="4"/>
      <c r="V128" s="11">
        <v>200.5</v>
      </c>
      <c r="W128" s="4">
        <f t="shared" si="12"/>
        <v>34.568965517241381</v>
      </c>
      <c r="X128" s="4">
        <f t="shared" si="18"/>
        <v>61612.400000000031</v>
      </c>
      <c r="Y128" s="4">
        <f t="shared" si="21"/>
        <v>5229.1000000000004</v>
      </c>
      <c r="Z128" s="4"/>
      <c r="AA128" s="15">
        <v>8.1253461563436407</v>
      </c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  <c r="IY128" s="4"/>
      <c r="IZ128" s="4"/>
      <c r="JA128" s="4"/>
      <c r="JB128" s="4"/>
      <c r="JC128" s="4"/>
      <c r="JD128" s="4"/>
      <c r="JE128" s="4"/>
      <c r="JF128" s="4"/>
      <c r="JG128" s="4"/>
      <c r="JH128" s="4"/>
      <c r="JI128" s="4"/>
      <c r="JJ128" s="4"/>
      <c r="JK128" s="4"/>
      <c r="JL128" s="4"/>
      <c r="JM128" s="4"/>
      <c r="JN128" s="4"/>
      <c r="JO128" s="4"/>
      <c r="JP128" s="4"/>
      <c r="JQ128" s="4"/>
      <c r="JR128" s="4"/>
      <c r="JS128" s="4"/>
      <c r="JT128" s="4"/>
      <c r="JU128" s="4"/>
      <c r="JV128" s="4"/>
      <c r="JW128" s="4"/>
      <c r="JX128" s="4"/>
      <c r="JY128" s="4"/>
      <c r="JZ128" s="4"/>
      <c r="KA128" s="4"/>
      <c r="KB128" s="4"/>
      <c r="KC128" s="4"/>
      <c r="KD128" s="4"/>
      <c r="KE128" s="4"/>
      <c r="KF128" s="4"/>
      <c r="KG128" s="4"/>
      <c r="KH128" s="4"/>
      <c r="KI128" s="4"/>
      <c r="KJ128" s="4"/>
      <c r="KK128" s="4"/>
      <c r="KL128" s="4"/>
      <c r="KM128" s="4"/>
      <c r="KN128" s="4"/>
      <c r="KO128" s="4"/>
      <c r="KP128" s="4"/>
      <c r="KQ128" s="4"/>
      <c r="KR128" s="4"/>
      <c r="KS128" s="4"/>
      <c r="KT128" s="4"/>
      <c r="KU128" s="4"/>
      <c r="KV128" s="4"/>
      <c r="KW128" s="4"/>
      <c r="KX128" s="4"/>
      <c r="KY128" s="4"/>
      <c r="KZ128" s="4"/>
      <c r="LA128" s="4"/>
      <c r="LB128" s="4"/>
      <c r="LC128" s="4"/>
      <c r="LD128" s="4"/>
      <c r="LE128" s="4"/>
      <c r="LF128" s="4"/>
      <c r="LG128" s="4"/>
      <c r="LH128" s="4"/>
      <c r="LI128" s="4"/>
      <c r="LJ128" s="4"/>
      <c r="LK128" s="4"/>
      <c r="LL128" s="4"/>
      <c r="LM128" s="4"/>
      <c r="LN128" s="4"/>
      <c r="LO128" s="4"/>
      <c r="LP128" s="4"/>
      <c r="LQ128" s="4"/>
      <c r="LR128" s="4"/>
      <c r="LS128" s="4"/>
      <c r="LT128" s="4"/>
      <c r="LU128" s="4"/>
      <c r="LV128" s="4"/>
      <c r="LW128" s="4"/>
      <c r="LX128" s="4"/>
      <c r="LY128" s="4"/>
      <c r="LZ128" s="4"/>
      <c r="MA128" s="4"/>
      <c r="MB128" s="4"/>
      <c r="MC128" s="4"/>
      <c r="MD128" s="4"/>
      <c r="ME128" s="4"/>
      <c r="MF128" s="4"/>
      <c r="MG128" s="4"/>
      <c r="MH128" s="4"/>
      <c r="MI128" s="4"/>
      <c r="MJ128" s="4"/>
      <c r="MK128" s="4"/>
      <c r="ML128" s="4"/>
      <c r="MM128" s="4"/>
      <c r="MN128" s="4"/>
      <c r="MO128" s="4"/>
      <c r="MP128" s="4"/>
      <c r="MQ128" s="4"/>
      <c r="MR128" s="4"/>
      <c r="MS128" s="4"/>
      <c r="MT128" s="4"/>
      <c r="MU128" s="4"/>
      <c r="MV128" s="4"/>
      <c r="MW128" s="4"/>
      <c r="MX128" s="4"/>
      <c r="MY128" s="4"/>
      <c r="MZ128" s="4"/>
      <c r="NA128" s="4"/>
      <c r="NB128" s="4"/>
      <c r="NC128" s="4"/>
      <c r="ND128" s="4"/>
      <c r="NE128" s="4"/>
      <c r="NF128" s="4"/>
      <c r="NG128" s="4"/>
      <c r="NH128" s="4"/>
      <c r="NI128" s="4"/>
      <c r="NJ128" s="4"/>
      <c r="NK128" s="4"/>
      <c r="NL128" s="4"/>
      <c r="NM128" s="4"/>
      <c r="NN128" s="4"/>
      <c r="NO128" s="4"/>
      <c r="NP128" s="4"/>
      <c r="NQ128" s="4"/>
      <c r="NR128" s="4"/>
      <c r="NS128" s="4"/>
      <c r="NT128" s="4"/>
      <c r="NU128" s="4"/>
      <c r="NV128" s="4"/>
      <c r="NW128" s="4"/>
      <c r="NX128" s="4"/>
      <c r="NY128" s="4"/>
      <c r="NZ128" s="4"/>
      <c r="OA128" s="4"/>
      <c r="OB128" s="4"/>
      <c r="OC128" s="4"/>
      <c r="OD128" s="4"/>
      <c r="OE128" s="4"/>
      <c r="OF128" s="4"/>
      <c r="OG128" s="4"/>
      <c r="OH128" s="4"/>
      <c r="OI128" s="4"/>
      <c r="OJ128" s="4"/>
      <c r="OK128" s="4"/>
      <c r="OL128" s="4"/>
      <c r="OM128" s="4"/>
      <c r="ON128" s="4"/>
      <c r="OO128" s="4"/>
      <c r="OP128" s="4"/>
      <c r="OQ128" s="4"/>
      <c r="OR128" s="4"/>
      <c r="OS128" s="4"/>
      <c r="OT128" s="4"/>
      <c r="OU128" s="4"/>
      <c r="OV128" s="4"/>
      <c r="OW128" s="4"/>
      <c r="OX128" s="4"/>
      <c r="OY128" s="4"/>
      <c r="OZ128" s="4"/>
      <c r="PA128" s="4"/>
      <c r="PB128" s="4"/>
      <c r="PC128" s="4"/>
      <c r="PD128" s="4"/>
      <c r="PE128" s="4"/>
      <c r="PF128" s="4"/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</row>
    <row r="129" spans="1:27" s="4" customFormat="1" x14ac:dyDescent="0.25">
      <c r="A129" s="72"/>
      <c r="B129" s="5"/>
      <c r="C129" s="6">
        <v>41645</v>
      </c>
      <c r="D129" s="4">
        <v>11.8</v>
      </c>
      <c r="E129" s="4">
        <v>7.4</v>
      </c>
      <c r="F129" s="4">
        <v>13.6</v>
      </c>
      <c r="G129" s="4">
        <f t="shared" si="14"/>
        <v>1232.7</v>
      </c>
      <c r="H129" s="4">
        <f t="shared" si="20"/>
        <v>175.80000000000004</v>
      </c>
      <c r="J129" s="4">
        <v>3.6</v>
      </c>
      <c r="K129" s="4">
        <f t="shared" si="15"/>
        <v>382.4000000000002</v>
      </c>
      <c r="L129" s="4">
        <v>1</v>
      </c>
      <c r="M129" s="4">
        <f t="shared" si="16"/>
        <v>160.20000000000002</v>
      </c>
      <c r="N129" s="4">
        <f t="shared" si="13"/>
        <v>2.6</v>
      </c>
      <c r="O129" s="4">
        <v>153.6</v>
      </c>
      <c r="P129" s="4">
        <v>124</v>
      </c>
      <c r="Q129" s="12">
        <f t="shared" si="22"/>
        <v>1.0322429906542057</v>
      </c>
      <c r="R129" s="10">
        <f t="shared" si="10"/>
        <v>1.0322429906542057</v>
      </c>
      <c r="S129" s="10">
        <f t="shared" si="11"/>
        <v>2.5677570093457946</v>
      </c>
      <c r="T129" s="10">
        <f t="shared" si="17"/>
        <v>153.6</v>
      </c>
      <c r="V129" s="11">
        <v>200.8</v>
      </c>
      <c r="W129" s="4">
        <f t="shared" si="12"/>
        <v>17.016949152542374</v>
      </c>
      <c r="X129" s="4">
        <f t="shared" si="18"/>
        <v>61813.200000000033</v>
      </c>
      <c r="Y129" s="4">
        <f t="shared" si="21"/>
        <v>5429.9000000000005</v>
      </c>
      <c r="AA129" s="15">
        <v>8.14933078511595</v>
      </c>
    </row>
    <row r="130" spans="1:27" s="4" customFormat="1" x14ac:dyDescent="0.25">
      <c r="A130" s="72"/>
      <c r="B130" s="5"/>
      <c r="C130" s="6">
        <v>41646</v>
      </c>
      <c r="D130" s="4">
        <v>10.5</v>
      </c>
      <c r="E130" s="4">
        <v>9.1999999999999993</v>
      </c>
      <c r="F130" s="4">
        <v>12</v>
      </c>
      <c r="G130" s="4">
        <f t="shared" si="14"/>
        <v>1243.2</v>
      </c>
      <c r="H130" s="4">
        <f t="shared" si="20"/>
        <v>186.30000000000004</v>
      </c>
      <c r="J130" s="4">
        <v>1.5</v>
      </c>
      <c r="K130" s="4">
        <f t="shared" si="15"/>
        <v>383.9000000000002</v>
      </c>
      <c r="L130" s="4">
        <v>1.5</v>
      </c>
      <c r="M130" s="4">
        <f t="shared" si="16"/>
        <v>161.70000000000002</v>
      </c>
      <c r="N130" s="4">
        <f t="shared" si="13"/>
        <v>0</v>
      </c>
      <c r="O130" s="4">
        <v>153.6</v>
      </c>
      <c r="P130" s="4">
        <v>125</v>
      </c>
      <c r="Q130" s="12">
        <f t="shared" si="22"/>
        <v>1.0336448598130841</v>
      </c>
      <c r="R130" s="10">
        <f t="shared" si="10"/>
        <v>1.5504672897196261</v>
      </c>
      <c r="S130" s="10">
        <f t="shared" si="11"/>
        <v>-5.0467289719626107E-2</v>
      </c>
      <c r="T130" s="10">
        <f t="shared" si="17"/>
        <v>153.54953271028037</v>
      </c>
      <c r="V130" s="11">
        <v>412.2</v>
      </c>
      <c r="W130" s="4">
        <f t="shared" si="12"/>
        <v>39.257142857142853</v>
      </c>
      <c r="X130" s="4">
        <f t="shared" si="18"/>
        <v>62225.400000000031</v>
      </c>
      <c r="Y130" s="4">
        <f t="shared" si="21"/>
        <v>5842.1</v>
      </c>
      <c r="AA130" s="15">
        <v>8.1748415915789199</v>
      </c>
    </row>
    <row r="131" spans="1:27" s="4" customFormat="1" x14ac:dyDescent="0.25">
      <c r="A131" s="72"/>
      <c r="B131" s="5"/>
      <c r="C131" s="6">
        <v>41647</v>
      </c>
      <c r="D131" s="4">
        <v>9.9</v>
      </c>
      <c r="E131" s="4">
        <v>9.1999999999999993</v>
      </c>
      <c r="F131" s="4">
        <v>11.4</v>
      </c>
      <c r="G131" s="4">
        <f t="shared" si="14"/>
        <v>1253.1000000000001</v>
      </c>
      <c r="H131" s="4">
        <f t="shared" si="20"/>
        <v>196.20000000000005</v>
      </c>
      <c r="J131" s="4">
        <v>1.2</v>
      </c>
      <c r="K131" s="4">
        <f t="shared" si="15"/>
        <v>385.10000000000019</v>
      </c>
      <c r="L131" s="4">
        <v>1.1000000000000001</v>
      </c>
      <c r="M131" s="4">
        <f t="shared" si="16"/>
        <v>162.80000000000001</v>
      </c>
      <c r="N131" s="4">
        <f t="shared" si="13"/>
        <v>9.9999999999999867E-2</v>
      </c>
      <c r="O131" s="4">
        <v>153.6</v>
      </c>
      <c r="P131" s="4">
        <v>126</v>
      </c>
      <c r="Q131" s="12">
        <f t="shared" si="22"/>
        <v>1.0350467289719627</v>
      </c>
      <c r="R131" s="10">
        <f t="shared" si="10"/>
        <v>1.1385514018691592</v>
      </c>
      <c r="S131" s="10">
        <f t="shared" si="11"/>
        <v>6.1448598130840804E-2</v>
      </c>
      <c r="T131" s="10">
        <f t="shared" si="17"/>
        <v>153.6</v>
      </c>
      <c r="V131" s="11">
        <v>325.5</v>
      </c>
      <c r="W131" s="4">
        <f t="shared" si="12"/>
        <v>32.878787878787875</v>
      </c>
      <c r="X131" s="4">
        <f t="shared" si="18"/>
        <v>62550.900000000031</v>
      </c>
      <c r="Y131" s="4">
        <f t="shared" si="21"/>
        <v>6167.6</v>
      </c>
      <c r="AA131" s="15">
        <v>8.2018503418103901</v>
      </c>
    </row>
    <row r="132" spans="1:27" s="4" customFormat="1" x14ac:dyDescent="0.25">
      <c r="A132" s="72"/>
      <c r="B132" s="5"/>
      <c r="C132" s="6">
        <v>41648</v>
      </c>
      <c r="D132" s="4">
        <v>9.1</v>
      </c>
      <c r="E132" s="4">
        <v>6.4</v>
      </c>
      <c r="F132" s="4">
        <v>11.2</v>
      </c>
      <c r="G132" s="4">
        <f t="shared" si="14"/>
        <v>1262.2</v>
      </c>
      <c r="H132" s="4">
        <f t="shared" si="20"/>
        <v>205.30000000000004</v>
      </c>
      <c r="J132" s="4">
        <v>0.9</v>
      </c>
      <c r="K132" s="4">
        <f t="shared" si="15"/>
        <v>386.00000000000017</v>
      </c>
      <c r="L132" s="4">
        <v>1</v>
      </c>
      <c r="M132" s="4">
        <f t="shared" si="16"/>
        <v>163.80000000000001</v>
      </c>
      <c r="N132" s="9">
        <f t="shared" si="13"/>
        <v>-9.9999999999999978E-2</v>
      </c>
      <c r="O132" s="4">
        <v>153.5</v>
      </c>
      <c r="P132" s="4">
        <v>127</v>
      </c>
      <c r="Q132" s="12">
        <f t="shared" si="22"/>
        <v>1.0364485981308411</v>
      </c>
      <c r="R132" s="10">
        <f t="shared" si="10"/>
        <v>1.0364485981308411</v>
      </c>
      <c r="S132" s="10">
        <f t="shared" si="11"/>
        <v>-0.13644859813084109</v>
      </c>
      <c r="T132" s="10">
        <f t="shared" si="17"/>
        <v>153.46355140186915</v>
      </c>
      <c r="V132" s="11">
        <v>156.69999999999999</v>
      </c>
      <c r="W132" s="4">
        <f t="shared" si="12"/>
        <v>17.219780219780219</v>
      </c>
      <c r="X132" s="4">
        <f t="shared" si="18"/>
        <v>62707.600000000028</v>
      </c>
      <c r="Y132" s="4">
        <f t="shared" si="21"/>
        <v>6324.3</v>
      </c>
      <c r="AA132" s="15">
        <v>8.2303276196945099</v>
      </c>
    </row>
    <row r="133" spans="1:27" s="4" customFormat="1" x14ac:dyDescent="0.25">
      <c r="A133" s="72"/>
      <c r="B133" s="5"/>
      <c r="C133" s="6">
        <v>41649</v>
      </c>
      <c r="D133" s="4">
        <v>5.2</v>
      </c>
      <c r="E133" s="13">
        <v>4.4000000000000004</v>
      </c>
      <c r="F133" s="4">
        <v>5.7</v>
      </c>
      <c r="G133" s="4">
        <f t="shared" si="14"/>
        <v>1267.4000000000001</v>
      </c>
      <c r="H133" s="4">
        <f t="shared" si="20"/>
        <v>210.50000000000003</v>
      </c>
      <c r="J133" s="4">
        <v>0</v>
      </c>
      <c r="K133" s="4">
        <f t="shared" si="15"/>
        <v>386.00000000000017</v>
      </c>
      <c r="L133" s="4">
        <v>0.5</v>
      </c>
      <c r="M133" s="4">
        <f t="shared" si="16"/>
        <v>164.3</v>
      </c>
      <c r="N133" s="9">
        <f t="shared" si="13"/>
        <v>-0.5</v>
      </c>
      <c r="O133" s="4">
        <v>153</v>
      </c>
      <c r="P133" s="4">
        <v>128</v>
      </c>
      <c r="Q133" s="12">
        <f t="shared" si="22"/>
        <v>1.0378504672897195</v>
      </c>
      <c r="R133" s="10">
        <f t="shared" si="10"/>
        <v>0.51892523364485976</v>
      </c>
      <c r="S133" s="10">
        <f t="shared" si="11"/>
        <v>-0.51892523364485976</v>
      </c>
      <c r="T133" s="10">
        <f t="shared" si="17"/>
        <v>152.94462616822429</v>
      </c>
      <c r="V133" s="11">
        <v>223.2</v>
      </c>
      <c r="W133" s="4">
        <f t="shared" si="12"/>
        <v>42.92307692307692</v>
      </c>
      <c r="X133" s="4">
        <f t="shared" si="18"/>
        <v>62930.800000000025</v>
      </c>
      <c r="Y133" s="4">
        <f t="shared" si="21"/>
        <v>6547.5</v>
      </c>
      <c r="AA133" s="15">
        <v>8.2602429380258098</v>
      </c>
    </row>
    <row r="134" spans="1:27" s="4" customFormat="1" x14ac:dyDescent="0.25">
      <c r="A134" s="72"/>
      <c r="B134" s="14"/>
      <c r="C134" s="6">
        <v>41650</v>
      </c>
      <c r="D134" s="13">
        <v>4.4000000000000004</v>
      </c>
      <c r="E134" s="13">
        <v>3.4</v>
      </c>
      <c r="F134" s="4">
        <v>8.3000000000000007</v>
      </c>
      <c r="G134" s="4">
        <f t="shared" si="14"/>
        <v>1271.8000000000002</v>
      </c>
      <c r="H134" s="4">
        <f t="shared" si="20"/>
        <v>214.90000000000003</v>
      </c>
      <c r="J134" s="4">
        <v>0</v>
      </c>
      <c r="K134" s="4">
        <f t="shared" si="15"/>
        <v>386.00000000000017</v>
      </c>
      <c r="L134" s="4">
        <v>0.7</v>
      </c>
      <c r="M134" s="4">
        <f t="shared" si="16"/>
        <v>165</v>
      </c>
      <c r="N134" s="9">
        <f t="shared" si="13"/>
        <v>-0.7</v>
      </c>
      <c r="O134" s="4">
        <v>152.30000000000001</v>
      </c>
      <c r="P134" s="4">
        <v>129</v>
      </c>
      <c r="Q134" s="12">
        <f t="shared" si="22"/>
        <v>1.0392523364485982</v>
      </c>
      <c r="R134" s="10">
        <f t="shared" ref="R134:R197" si="23">Q134*L134</f>
        <v>0.72747663551401864</v>
      </c>
      <c r="S134" s="10">
        <f t="shared" ref="S134:S197" si="24">J134-R134</f>
        <v>-0.72747663551401864</v>
      </c>
      <c r="T134" s="10">
        <f t="shared" si="17"/>
        <v>152.21714953271027</v>
      </c>
      <c r="V134" s="11">
        <v>177.1</v>
      </c>
      <c r="W134" s="4">
        <f t="shared" ref="W134:W197" si="25">V134/D134</f>
        <v>40.249999999999993</v>
      </c>
      <c r="X134" s="4">
        <f t="shared" si="18"/>
        <v>63107.900000000023</v>
      </c>
      <c r="Y134" s="4">
        <f t="shared" si="21"/>
        <v>6724.6</v>
      </c>
      <c r="AA134" s="15">
        <v>8.2915648502844892</v>
      </c>
    </row>
    <row r="135" spans="1:27" s="4" customFormat="1" x14ac:dyDescent="0.25">
      <c r="A135" s="72"/>
      <c r="B135" s="14"/>
      <c r="C135" s="6">
        <v>41651</v>
      </c>
      <c r="D135" s="13">
        <v>2.2000000000000002</v>
      </c>
      <c r="E135" s="17">
        <v>-1.7</v>
      </c>
      <c r="F135" s="4">
        <v>7</v>
      </c>
      <c r="G135" s="4">
        <f t="shared" si="14"/>
        <v>1274.0000000000002</v>
      </c>
      <c r="H135" s="4">
        <f t="shared" si="20"/>
        <v>217.10000000000002</v>
      </c>
      <c r="J135" s="4">
        <v>0.2</v>
      </c>
      <c r="K135" s="4">
        <f t="shared" si="15"/>
        <v>386.20000000000016</v>
      </c>
      <c r="L135" s="4">
        <v>0.4</v>
      </c>
      <c r="M135" s="4">
        <f t="shared" si="16"/>
        <v>165.4</v>
      </c>
      <c r="N135" s="9">
        <f t="shared" ref="N135:N198" si="26">J135-L135</f>
        <v>-0.2</v>
      </c>
      <c r="O135" s="4">
        <v>152.10000000000002</v>
      </c>
      <c r="P135" s="4">
        <v>130</v>
      </c>
      <c r="Q135" s="12">
        <f t="shared" si="22"/>
        <v>1.0406542056074766</v>
      </c>
      <c r="R135" s="10">
        <f t="shared" si="23"/>
        <v>0.41626168224299065</v>
      </c>
      <c r="S135" s="10">
        <f t="shared" si="24"/>
        <v>-0.21626168224299064</v>
      </c>
      <c r="T135" s="10">
        <f t="shared" si="17"/>
        <v>152.00088785046728</v>
      </c>
      <c r="V135" s="11">
        <v>200.8</v>
      </c>
      <c r="W135" s="4">
        <f t="shared" si="25"/>
        <v>91.272727272727266</v>
      </c>
      <c r="X135" s="4">
        <f t="shared" si="18"/>
        <v>63308.700000000026</v>
      </c>
      <c r="Y135" s="4">
        <f t="shared" si="21"/>
        <v>6925.4000000000005</v>
      </c>
      <c r="AA135" s="15">
        <v>8.3242610623324307</v>
      </c>
    </row>
    <row r="136" spans="1:27" s="4" customFormat="1" x14ac:dyDescent="0.25">
      <c r="A136" s="72"/>
      <c r="B136" s="5"/>
      <c r="C136" s="6">
        <v>41652</v>
      </c>
      <c r="D136" s="4">
        <v>6.7</v>
      </c>
      <c r="E136" s="13">
        <v>4.4000000000000004</v>
      </c>
      <c r="F136" s="4">
        <v>8.9</v>
      </c>
      <c r="G136" s="4">
        <f t="shared" ref="G136:G199" si="27">G135+D136</f>
        <v>1280.7000000000003</v>
      </c>
      <c r="H136" s="4">
        <f t="shared" si="20"/>
        <v>223.8</v>
      </c>
      <c r="J136" s="4">
        <v>3.3</v>
      </c>
      <c r="K136" s="4">
        <f t="shared" ref="K136:K199" si="28">K135+J136</f>
        <v>389.50000000000017</v>
      </c>
      <c r="L136" s="4">
        <v>0.9</v>
      </c>
      <c r="M136" s="4">
        <f t="shared" ref="M136:M199" si="29">M135+L136</f>
        <v>166.3</v>
      </c>
      <c r="N136" s="4">
        <f t="shared" si="26"/>
        <v>2.4</v>
      </c>
      <c r="O136" s="4">
        <v>153.6</v>
      </c>
      <c r="P136" s="4">
        <v>131</v>
      </c>
      <c r="Q136" s="12">
        <f t="shared" si="22"/>
        <v>1.0420560747663552</v>
      </c>
      <c r="R136" s="10">
        <f t="shared" si="23"/>
        <v>0.93785046728971966</v>
      </c>
      <c r="S136" s="10">
        <f t="shared" si="24"/>
        <v>2.3621495327102799</v>
      </c>
      <c r="T136" s="10">
        <f t="shared" ref="T136:T199" si="30">MIN(153.6,(T135+S136))</f>
        <v>153.6</v>
      </c>
      <c r="V136" s="11">
        <v>506</v>
      </c>
      <c r="W136" s="4">
        <f t="shared" si="25"/>
        <v>75.522388059701484</v>
      </c>
      <c r="X136" s="4">
        <f t="shared" ref="X136:X199" si="31">X135+V136</f>
        <v>63814.700000000026</v>
      </c>
      <c r="Y136" s="4">
        <f t="shared" si="21"/>
        <v>7431.4000000000005</v>
      </c>
      <c r="AA136" s="15">
        <v>8.3582985433207195</v>
      </c>
    </row>
    <row r="137" spans="1:27" s="4" customFormat="1" x14ac:dyDescent="0.25">
      <c r="A137" s="72"/>
      <c r="B137" s="5"/>
      <c r="C137" s="6">
        <v>41653</v>
      </c>
      <c r="D137" s="4">
        <v>4.5</v>
      </c>
      <c r="E137" s="13">
        <v>3.8</v>
      </c>
      <c r="F137" s="4">
        <v>5.7</v>
      </c>
      <c r="G137" s="4">
        <f t="shared" si="27"/>
        <v>1285.2000000000003</v>
      </c>
      <c r="H137" s="4">
        <f t="shared" si="20"/>
        <v>228.3</v>
      </c>
      <c r="J137" s="4">
        <v>6.7</v>
      </c>
      <c r="K137" s="4">
        <f t="shared" si="28"/>
        <v>396.20000000000016</v>
      </c>
      <c r="L137" s="4">
        <v>0.4</v>
      </c>
      <c r="M137" s="4">
        <f t="shared" si="29"/>
        <v>166.70000000000002</v>
      </c>
      <c r="N137" s="4">
        <f t="shared" si="26"/>
        <v>6.3</v>
      </c>
      <c r="O137" s="4">
        <v>153.6</v>
      </c>
      <c r="P137" s="4">
        <v>132</v>
      </c>
      <c r="Q137" s="12">
        <f t="shared" si="22"/>
        <v>1.0434579439252336</v>
      </c>
      <c r="R137" s="10">
        <f t="shared" si="23"/>
        <v>0.41738317757009347</v>
      </c>
      <c r="S137" s="10">
        <f t="shared" si="24"/>
        <v>6.2826168224299064</v>
      </c>
      <c r="T137" s="10">
        <f t="shared" si="30"/>
        <v>153.6</v>
      </c>
      <c r="V137" s="11">
        <v>146.80000000000001</v>
      </c>
      <c r="W137" s="4">
        <f t="shared" si="25"/>
        <v>32.622222222222227</v>
      </c>
      <c r="X137" s="4">
        <f t="shared" si="31"/>
        <v>63961.500000000029</v>
      </c>
      <c r="Y137" s="4">
        <f t="shared" si="21"/>
        <v>7578.2000000000007</v>
      </c>
      <c r="AA137" s="15">
        <v>8.3936436351461392</v>
      </c>
    </row>
    <row r="138" spans="1:27" s="4" customFormat="1" x14ac:dyDescent="0.25">
      <c r="A138" s="72"/>
      <c r="B138" s="5"/>
      <c r="C138" s="6">
        <v>41654</v>
      </c>
      <c r="D138" s="4">
        <v>5.8</v>
      </c>
      <c r="E138" s="13">
        <v>2.8</v>
      </c>
      <c r="F138" s="4">
        <v>9</v>
      </c>
      <c r="G138" s="4">
        <f t="shared" si="27"/>
        <v>1291.0000000000002</v>
      </c>
      <c r="H138" s="4">
        <f t="shared" si="20"/>
        <v>234.10000000000002</v>
      </c>
      <c r="J138" s="4">
        <v>4.2</v>
      </c>
      <c r="K138" s="4">
        <f t="shared" si="28"/>
        <v>400.40000000000015</v>
      </c>
      <c r="L138" s="4">
        <v>0.5</v>
      </c>
      <c r="M138" s="4">
        <f t="shared" si="29"/>
        <v>167.20000000000002</v>
      </c>
      <c r="N138" s="4">
        <f t="shared" si="26"/>
        <v>3.7</v>
      </c>
      <c r="O138" s="4">
        <v>153.6</v>
      </c>
      <c r="P138" s="4">
        <v>133</v>
      </c>
      <c r="Q138" s="12">
        <f t="shared" si="22"/>
        <v>1.044859813084112</v>
      </c>
      <c r="R138" s="10">
        <f t="shared" si="23"/>
        <v>0.52242990654205601</v>
      </c>
      <c r="S138" s="10">
        <f t="shared" si="24"/>
        <v>3.6775700934579443</v>
      </c>
      <c r="T138" s="10">
        <f t="shared" si="30"/>
        <v>153.6</v>
      </c>
      <c r="V138" s="11">
        <v>122.8</v>
      </c>
      <c r="W138" s="4">
        <f t="shared" si="25"/>
        <v>21.172413793103448</v>
      </c>
      <c r="X138" s="4">
        <f t="shared" si="31"/>
        <v>64084.300000000032</v>
      </c>
      <c r="Y138" s="4">
        <f t="shared" si="21"/>
        <v>7701.0000000000009</v>
      </c>
      <c r="AA138" s="15">
        <v>8.4302621598455207</v>
      </c>
    </row>
    <row r="139" spans="1:27" s="4" customFormat="1" x14ac:dyDescent="0.25">
      <c r="A139" s="72"/>
      <c r="B139" s="5"/>
      <c r="C139" s="6">
        <v>41655</v>
      </c>
      <c r="D139" s="4">
        <v>8.1</v>
      </c>
      <c r="E139" s="4">
        <v>7.2</v>
      </c>
      <c r="F139" s="4">
        <v>8.6</v>
      </c>
      <c r="G139" s="4">
        <f t="shared" si="27"/>
        <v>1299.1000000000001</v>
      </c>
      <c r="H139" s="4">
        <f t="shared" si="20"/>
        <v>242.20000000000002</v>
      </c>
      <c r="J139" s="4">
        <v>6.5</v>
      </c>
      <c r="K139" s="4">
        <f t="shared" si="28"/>
        <v>406.90000000000015</v>
      </c>
      <c r="L139" s="4">
        <v>0.7</v>
      </c>
      <c r="M139" s="4">
        <f t="shared" si="29"/>
        <v>167.9</v>
      </c>
      <c r="N139" s="4">
        <f t="shared" si="26"/>
        <v>5.8</v>
      </c>
      <c r="O139" s="4">
        <v>153.6</v>
      </c>
      <c r="P139" s="4">
        <v>134</v>
      </c>
      <c r="Q139" s="12">
        <f t="shared" si="22"/>
        <v>1.0462616822429907</v>
      </c>
      <c r="R139" s="10">
        <f t="shared" si="23"/>
        <v>0.73238317757009341</v>
      </c>
      <c r="S139" s="10">
        <f t="shared" si="24"/>
        <v>5.7676168224299067</v>
      </c>
      <c r="T139" s="10">
        <f t="shared" si="30"/>
        <v>153.6</v>
      </c>
      <c r="V139" s="11">
        <v>72</v>
      </c>
      <c r="W139" s="4">
        <f t="shared" si="25"/>
        <v>8.8888888888888893</v>
      </c>
      <c r="X139" s="4">
        <f t="shared" si="31"/>
        <v>64156.300000000032</v>
      </c>
      <c r="Y139" s="4">
        <f t="shared" si="21"/>
        <v>7773.0000000000009</v>
      </c>
      <c r="AA139" s="15">
        <v>8.4681195243717404</v>
      </c>
    </row>
    <row r="140" spans="1:27" s="4" customFormat="1" x14ac:dyDescent="0.25">
      <c r="A140" s="72"/>
      <c r="B140" s="5"/>
      <c r="C140" s="6">
        <v>41656</v>
      </c>
      <c r="D140" s="4">
        <v>7.6</v>
      </c>
      <c r="E140" s="4">
        <v>7.2</v>
      </c>
      <c r="F140" s="4">
        <v>8</v>
      </c>
      <c r="G140" s="4">
        <f t="shared" si="27"/>
        <v>1306.7</v>
      </c>
      <c r="H140" s="4">
        <f t="shared" si="20"/>
        <v>249.8</v>
      </c>
      <c r="J140" s="4">
        <v>6</v>
      </c>
      <c r="K140" s="4">
        <f t="shared" si="28"/>
        <v>412.90000000000015</v>
      </c>
      <c r="L140" s="4">
        <v>0.9</v>
      </c>
      <c r="M140" s="4">
        <f t="shared" si="29"/>
        <v>168.8</v>
      </c>
      <c r="N140" s="4">
        <f t="shared" si="26"/>
        <v>5.0999999999999996</v>
      </c>
      <c r="O140" s="4">
        <v>153.6</v>
      </c>
      <c r="P140" s="4">
        <v>135</v>
      </c>
      <c r="Q140" s="12">
        <f t="shared" si="22"/>
        <v>1.0476635514018691</v>
      </c>
      <c r="R140" s="10">
        <f t="shared" si="23"/>
        <v>0.94289719626168222</v>
      </c>
      <c r="S140" s="10">
        <f t="shared" si="24"/>
        <v>5.0571028037383181</v>
      </c>
      <c r="T140" s="10">
        <f t="shared" si="30"/>
        <v>153.6</v>
      </c>
      <c r="V140" s="11">
        <v>95.1</v>
      </c>
      <c r="W140" s="4">
        <f t="shared" si="25"/>
        <v>12.513157894736842</v>
      </c>
      <c r="X140" s="4">
        <f t="shared" si="31"/>
        <v>64251.400000000031</v>
      </c>
      <c r="Y140" s="4">
        <f t="shared" si="21"/>
        <v>7868.1000000000013</v>
      </c>
      <c r="AA140" s="15">
        <v>8.5071808222526695</v>
      </c>
    </row>
    <row r="141" spans="1:27" s="4" customFormat="1" x14ac:dyDescent="0.25">
      <c r="A141" s="72"/>
      <c r="B141" s="5"/>
      <c r="C141" s="6">
        <v>41657</v>
      </c>
      <c r="D141" s="4">
        <v>6</v>
      </c>
      <c r="E141" s="13">
        <v>3.8</v>
      </c>
      <c r="F141" s="4">
        <v>8.8000000000000007</v>
      </c>
      <c r="G141" s="4">
        <f t="shared" si="27"/>
        <v>1312.7</v>
      </c>
      <c r="H141" s="4">
        <f t="shared" si="20"/>
        <v>255.8</v>
      </c>
      <c r="J141" s="4">
        <v>0.1</v>
      </c>
      <c r="K141" s="4">
        <f t="shared" si="28"/>
        <v>413.00000000000017</v>
      </c>
      <c r="L141" s="4">
        <v>0.8</v>
      </c>
      <c r="M141" s="4">
        <f t="shared" si="29"/>
        <v>169.60000000000002</v>
      </c>
      <c r="N141" s="9">
        <f t="shared" si="26"/>
        <v>-0.70000000000000007</v>
      </c>
      <c r="O141" s="4">
        <v>152.9</v>
      </c>
      <c r="P141" s="4">
        <v>136</v>
      </c>
      <c r="Q141" s="12">
        <f t="shared" si="22"/>
        <v>1.0490654205607477</v>
      </c>
      <c r="R141" s="10">
        <f t="shared" si="23"/>
        <v>0.8392523364485982</v>
      </c>
      <c r="S141" s="10">
        <f t="shared" si="24"/>
        <v>-0.73925233644859822</v>
      </c>
      <c r="T141" s="10">
        <f t="shared" si="30"/>
        <v>152.86074766355139</v>
      </c>
      <c r="V141" s="11">
        <v>271.39999999999998</v>
      </c>
      <c r="W141" s="4">
        <f t="shared" si="25"/>
        <v>45.233333333333327</v>
      </c>
      <c r="X141" s="4">
        <f t="shared" si="31"/>
        <v>64522.800000000032</v>
      </c>
      <c r="Y141" s="4">
        <f t="shared" si="21"/>
        <v>8139.5000000000009</v>
      </c>
      <c r="AA141" s="15">
        <v>8.5474109316925695</v>
      </c>
    </row>
    <row r="142" spans="1:27" s="4" customFormat="1" x14ac:dyDescent="0.25">
      <c r="A142" s="72"/>
      <c r="B142" s="5"/>
      <c r="C142" s="6">
        <v>41658</v>
      </c>
      <c r="D142" s="4">
        <v>6.9</v>
      </c>
      <c r="E142" s="13">
        <v>4.9000000000000004</v>
      </c>
      <c r="F142" s="4">
        <v>8.6999999999999993</v>
      </c>
      <c r="G142" s="4">
        <f t="shared" si="27"/>
        <v>1319.6000000000001</v>
      </c>
      <c r="H142" s="4">
        <f t="shared" si="20"/>
        <v>262.7</v>
      </c>
      <c r="J142" s="4">
        <v>0.5</v>
      </c>
      <c r="K142" s="4">
        <f t="shared" si="28"/>
        <v>413.50000000000017</v>
      </c>
      <c r="L142" s="4">
        <v>0.7</v>
      </c>
      <c r="M142" s="4">
        <f t="shared" si="29"/>
        <v>170.3</v>
      </c>
      <c r="N142" s="9">
        <f t="shared" si="26"/>
        <v>-0.19999999999999996</v>
      </c>
      <c r="O142" s="4">
        <v>152.70000000000002</v>
      </c>
      <c r="P142" s="4">
        <v>137</v>
      </c>
      <c r="Q142" s="12">
        <f t="shared" si="22"/>
        <v>1.0504672897196261</v>
      </c>
      <c r="R142" s="10">
        <f t="shared" si="23"/>
        <v>0.73532710280373825</v>
      </c>
      <c r="S142" s="10">
        <f t="shared" si="24"/>
        <v>-0.23532710280373825</v>
      </c>
      <c r="T142" s="10">
        <f t="shared" si="30"/>
        <v>152.62542056074764</v>
      </c>
      <c r="V142" s="11">
        <v>214.8</v>
      </c>
      <c r="W142" s="4">
        <f t="shared" si="25"/>
        <v>31.130434782608695</v>
      </c>
      <c r="X142" s="4">
        <f t="shared" si="31"/>
        <v>64737.600000000035</v>
      </c>
      <c r="Y142" s="4">
        <f t="shared" si="21"/>
        <v>8354.3000000000011</v>
      </c>
      <c r="AA142" s="15">
        <v>8.5887746097350206</v>
      </c>
    </row>
    <row r="143" spans="1:27" s="4" customFormat="1" x14ac:dyDescent="0.25">
      <c r="A143" s="72"/>
      <c r="B143" s="5"/>
      <c r="C143" s="6">
        <v>41659</v>
      </c>
      <c r="D143" s="4">
        <v>5.2</v>
      </c>
      <c r="E143" s="13">
        <v>3.6</v>
      </c>
      <c r="F143" s="4">
        <v>7.1</v>
      </c>
      <c r="G143" s="4">
        <f t="shared" si="27"/>
        <v>1324.8000000000002</v>
      </c>
      <c r="H143" s="4">
        <f t="shared" si="20"/>
        <v>267.89999999999998</v>
      </c>
      <c r="J143" s="4">
        <v>0.1</v>
      </c>
      <c r="K143" s="4">
        <f t="shared" si="28"/>
        <v>413.60000000000019</v>
      </c>
      <c r="L143" s="4">
        <v>0.4</v>
      </c>
      <c r="M143" s="4">
        <f t="shared" si="29"/>
        <v>170.70000000000002</v>
      </c>
      <c r="N143" s="9">
        <f t="shared" si="26"/>
        <v>-0.30000000000000004</v>
      </c>
      <c r="O143" s="4">
        <v>152.4</v>
      </c>
      <c r="P143" s="4">
        <v>138</v>
      </c>
      <c r="Q143" s="12">
        <f t="shared" si="22"/>
        <v>1.0518691588785047</v>
      </c>
      <c r="R143" s="10">
        <f t="shared" si="23"/>
        <v>0.42074766355140192</v>
      </c>
      <c r="S143" s="10">
        <f t="shared" si="24"/>
        <v>-0.32074766355140194</v>
      </c>
      <c r="T143" s="10">
        <f t="shared" si="30"/>
        <v>152.30467289719624</v>
      </c>
      <c r="V143" s="11">
        <v>53.1</v>
      </c>
      <c r="W143" s="4">
        <f t="shared" si="25"/>
        <v>10.211538461538462</v>
      </c>
      <c r="X143" s="4">
        <f t="shared" si="31"/>
        <v>64790.700000000033</v>
      </c>
      <c r="Y143" s="4">
        <f t="shared" si="21"/>
        <v>8407.4000000000015</v>
      </c>
      <c r="AA143" s="15">
        <v>8.6312365821643198</v>
      </c>
    </row>
    <row r="144" spans="1:27" s="4" customFormat="1" x14ac:dyDescent="0.25">
      <c r="A144" s="72"/>
      <c r="B144" s="14"/>
      <c r="C144" s="6">
        <v>41660</v>
      </c>
      <c r="D144" s="13">
        <v>4.0999999999999996</v>
      </c>
      <c r="E144" s="13">
        <v>3.1</v>
      </c>
      <c r="F144" s="13">
        <v>4.7</v>
      </c>
      <c r="G144" s="4">
        <f t="shared" si="27"/>
        <v>1328.9</v>
      </c>
      <c r="H144" s="4">
        <f t="shared" si="20"/>
        <v>272</v>
      </c>
      <c r="J144" s="4">
        <v>0</v>
      </c>
      <c r="K144" s="4">
        <f t="shared" si="28"/>
        <v>413.60000000000019</v>
      </c>
      <c r="L144" s="4">
        <v>0.4</v>
      </c>
      <c r="M144" s="4">
        <f t="shared" si="29"/>
        <v>171.10000000000002</v>
      </c>
      <c r="N144" s="9">
        <f t="shared" si="26"/>
        <v>-0.4</v>
      </c>
      <c r="O144" s="4">
        <v>152</v>
      </c>
      <c r="P144" s="4">
        <v>139</v>
      </c>
      <c r="Q144" s="12">
        <f t="shared" si="22"/>
        <v>1.0532710280373832</v>
      </c>
      <c r="R144" s="10">
        <f t="shared" si="23"/>
        <v>0.42130841121495327</v>
      </c>
      <c r="S144" s="10">
        <f t="shared" si="24"/>
        <v>-0.42130841121495327</v>
      </c>
      <c r="T144" s="10">
        <f t="shared" si="30"/>
        <v>151.88336448598128</v>
      </c>
      <c r="V144" s="11">
        <v>252.7</v>
      </c>
      <c r="W144" s="4">
        <f t="shared" si="25"/>
        <v>61.634146341463421</v>
      </c>
      <c r="X144" s="4">
        <f t="shared" si="31"/>
        <v>65043.400000000031</v>
      </c>
      <c r="Y144" s="4">
        <f t="shared" si="21"/>
        <v>8660.1000000000022</v>
      </c>
      <c r="AA144" s="15">
        <v>8.6747616288802494</v>
      </c>
    </row>
    <row r="145" spans="1:27" s="4" customFormat="1" x14ac:dyDescent="0.25">
      <c r="A145" s="72"/>
      <c r="B145" s="14"/>
      <c r="C145" s="6">
        <v>41661</v>
      </c>
      <c r="D145" s="13">
        <v>3.8</v>
      </c>
      <c r="E145" s="13">
        <v>2.8</v>
      </c>
      <c r="F145" s="13">
        <v>4.7</v>
      </c>
      <c r="G145" s="4">
        <f t="shared" si="27"/>
        <v>1332.7</v>
      </c>
      <c r="H145" s="4">
        <f t="shared" si="20"/>
        <v>275.8</v>
      </c>
      <c r="J145" s="4">
        <v>4.7</v>
      </c>
      <c r="K145" s="4">
        <f t="shared" si="28"/>
        <v>418.30000000000018</v>
      </c>
      <c r="L145" s="4">
        <v>0.7</v>
      </c>
      <c r="M145" s="4">
        <f t="shared" si="29"/>
        <v>171.8</v>
      </c>
      <c r="N145" s="4">
        <f t="shared" si="26"/>
        <v>4</v>
      </c>
      <c r="O145" s="4">
        <v>153.6</v>
      </c>
      <c r="P145" s="4">
        <v>140</v>
      </c>
      <c r="Q145" s="12">
        <f t="shared" si="22"/>
        <v>1.0546728971962616</v>
      </c>
      <c r="R145" s="10">
        <f t="shared" si="23"/>
        <v>0.73827102803738309</v>
      </c>
      <c r="S145" s="10">
        <f t="shared" si="24"/>
        <v>3.961728971962617</v>
      </c>
      <c r="T145" s="10">
        <f t="shared" si="30"/>
        <v>153.6</v>
      </c>
      <c r="V145" s="11">
        <v>221.5</v>
      </c>
      <c r="W145" s="4">
        <f t="shared" si="25"/>
        <v>58.289473684210527</v>
      </c>
      <c r="X145" s="4">
        <f t="shared" si="31"/>
        <v>65264.900000000031</v>
      </c>
      <c r="Y145" s="4">
        <f t="shared" si="21"/>
        <v>8881.6000000000022</v>
      </c>
      <c r="AA145" s="15">
        <v>8.7193146645356201</v>
      </c>
    </row>
    <row r="146" spans="1:27" s="4" customFormat="1" x14ac:dyDescent="0.25">
      <c r="A146" s="72"/>
      <c r="B146" s="5"/>
      <c r="C146" s="6">
        <v>41662</v>
      </c>
      <c r="D146" s="4">
        <v>5.6</v>
      </c>
      <c r="E146" s="13">
        <v>3.9</v>
      </c>
      <c r="F146" s="4">
        <v>8.6999999999999993</v>
      </c>
      <c r="G146" s="4">
        <f t="shared" si="27"/>
        <v>1338.3</v>
      </c>
      <c r="H146" s="4">
        <f t="shared" si="20"/>
        <v>281.40000000000003</v>
      </c>
      <c r="J146" s="4">
        <v>5.0999999999999996</v>
      </c>
      <c r="K146" s="4">
        <f t="shared" si="28"/>
        <v>423.4000000000002</v>
      </c>
      <c r="L146" s="4">
        <v>1</v>
      </c>
      <c r="M146" s="4">
        <f t="shared" si="29"/>
        <v>172.8</v>
      </c>
      <c r="N146" s="4">
        <f t="shared" si="26"/>
        <v>4.0999999999999996</v>
      </c>
      <c r="O146" s="4">
        <v>153.6</v>
      </c>
      <c r="P146" s="4">
        <v>141</v>
      </c>
      <c r="Q146" s="12">
        <f t="shared" si="22"/>
        <v>1.0560747663551402</v>
      </c>
      <c r="R146" s="10">
        <f t="shared" si="23"/>
        <v>1.0560747663551402</v>
      </c>
      <c r="S146" s="10">
        <f t="shared" si="24"/>
        <v>4.0439252336448597</v>
      </c>
      <c r="T146" s="10">
        <f t="shared" si="30"/>
        <v>153.6</v>
      </c>
      <c r="V146" s="11">
        <v>363.1</v>
      </c>
      <c r="W146" s="4">
        <f t="shared" si="25"/>
        <v>64.839285714285722</v>
      </c>
      <c r="X146" s="4">
        <f t="shared" si="31"/>
        <v>65628.000000000029</v>
      </c>
      <c r="Y146" s="4">
        <f t="shared" si="21"/>
        <v>9244.7000000000025</v>
      </c>
      <c r="AA146" s="15">
        <v>8.7648608142793094</v>
      </c>
    </row>
    <row r="147" spans="1:27" s="4" customFormat="1" x14ac:dyDescent="0.25">
      <c r="A147" s="72"/>
      <c r="B147" s="14"/>
      <c r="C147" s="6">
        <v>41663</v>
      </c>
      <c r="D147" s="13">
        <v>2.9</v>
      </c>
      <c r="E147" s="17">
        <v>-0.1</v>
      </c>
      <c r="F147" s="4">
        <v>6.9</v>
      </c>
      <c r="G147" s="4">
        <f t="shared" si="27"/>
        <v>1341.2</v>
      </c>
      <c r="H147" s="4">
        <f t="shared" si="20"/>
        <v>284.3</v>
      </c>
      <c r="J147" s="4">
        <v>1.6</v>
      </c>
      <c r="K147" s="4">
        <f t="shared" si="28"/>
        <v>425.00000000000023</v>
      </c>
      <c r="L147" s="4">
        <v>0.8</v>
      </c>
      <c r="M147" s="4">
        <f t="shared" si="29"/>
        <v>173.60000000000002</v>
      </c>
      <c r="N147" s="4">
        <f t="shared" si="26"/>
        <v>0.8</v>
      </c>
      <c r="O147" s="4">
        <v>153.6</v>
      </c>
      <c r="P147" s="4">
        <v>142</v>
      </c>
      <c r="Q147" s="12">
        <f t="shared" si="22"/>
        <v>1.0574766355140186</v>
      </c>
      <c r="R147" s="10">
        <f t="shared" si="23"/>
        <v>0.84598130841121488</v>
      </c>
      <c r="S147" s="10">
        <f t="shared" si="24"/>
        <v>0.75401869158878521</v>
      </c>
      <c r="T147" s="10">
        <f t="shared" si="30"/>
        <v>153.6</v>
      </c>
      <c r="V147" s="11">
        <v>558.1</v>
      </c>
      <c r="W147" s="4">
        <f t="shared" si="25"/>
        <v>192.44827586206898</v>
      </c>
      <c r="X147" s="4">
        <f t="shared" si="31"/>
        <v>66186.100000000035</v>
      </c>
      <c r="Y147" s="4">
        <f t="shared" si="21"/>
        <v>9802.8000000000029</v>
      </c>
      <c r="AA147" s="15">
        <v>8.81136548449693</v>
      </c>
    </row>
    <row r="148" spans="1:27" s="4" customFormat="1" x14ac:dyDescent="0.25">
      <c r="A148" s="72"/>
      <c r="B148" s="14"/>
      <c r="C148" s="6">
        <v>41664</v>
      </c>
      <c r="D148" s="13">
        <v>4.8</v>
      </c>
      <c r="E148" s="13">
        <v>2.2999999999999998</v>
      </c>
      <c r="F148" s="4">
        <v>6.9</v>
      </c>
      <c r="G148" s="4">
        <f t="shared" si="27"/>
        <v>1346</v>
      </c>
      <c r="H148" s="4">
        <f t="shared" ref="H148:H211" si="32">H147+D148</f>
        <v>289.10000000000002</v>
      </c>
      <c r="J148" s="4">
        <v>1.8</v>
      </c>
      <c r="K148" s="4">
        <f t="shared" si="28"/>
        <v>426.80000000000024</v>
      </c>
      <c r="L148" s="4">
        <v>0.8</v>
      </c>
      <c r="M148" s="4">
        <f t="shared" si="29"/>
        <v>174.40000000000003</v>
      </c>
      <c r="N148" s="4">
        <f t="shared" si="26"/>
        <v>1</v>
      </c>
      <c r="O148" s="4">
        <v>153.6</v>
      </c>
      <c r="P148" s="4">
        <v>143</v>
      </c>
      <c r="Q148" s="12">
        <f t="shared" si="22"/>
        <v>1.0588785046728972</v>
      </c>
      <c r="R148" s="10">
        <f t="shared" si="23"/>
        <v>0.84710280373831781</v>
      </c>
      <c r="S148" s="10">
        <f t="shared" si="24"/>
        <v>0.95289719626168223</v>
      </c>
      <c r="T148" s="10">
        <f t="shared" si="30"/>
        <v>153.6</v>
      </c>
      <c r="V148" s="11">
        <v>193.2</v>
      </c>
      <c r="W148" s="4">
        <f t="shared" si="25"/>
        <v>40.25</v>
      </c>
      <c r="X148" s="4">
        <f t="shared" si="31"/>
        <v>66379.300000000032</v>
      </c>
      <c r="Y148" s="4">
        <f t="shared" ref="Y148:Y211" si="33">Y147+V148</f>
        <v>9996.0000000000036</v>
      </c>
      <c r="AA148" s="15">
        <v>8.8587944284877995</v>
      </c>
    </row>
    <row r="149" spans="1:27" s="4" customFormat="1" x14ac:dyDescent="0.25">
      <c r="A149" s="72"/>
      <c r="B149" s="5"/>
      <c r="C149" s="6">
        <v>41665</v>
      </c>
      <c r="D149" s="4">
        <v>5.0999999999999996</v>
      </c>
      <c r="E149" s="13">
        <v>2.2000000000000002</v>
      </c>
      <c r="F149" s="4">
        <v>7.5</v>
      </c>
      <c r="G149" s="4">
        <f t="shared" si="27"/>
        <v>1351.1</v>
      </c>
      <c r="H149" s="4">
        <f t="shared" si="32"/>
        <v>294.20000000000005</v>
      </c>
      <c r="J149" s="4">
        <v>8.5</v>
      </c>
      <c r="K149" s="4">
        <f t="shared" si="28"/>
        <v>435.30000000000024</v>
      </c>
      <c r="L149" s="4">
        <v>0.8</v>
      </c>
      <c r="M149" s="4">
        <f t="shared" si="29"/>
        <v>175.20000000000005</v>
      </c>
      <c r="N149" s="4">
        <f t="shared" si="26"/>
        <v>7.7</v>
      </c>
      <c r="O149" s="4">
        <v>153.6</v>
      </c>
      <c r="P149" s="4">
        <v>144</v>
      </c>
      <c r="Q149" s="12">
        <f t="shared" si="22"/>
        <v>1.0602803738317756</v>
      </c>
      <c r="R149" s="10">
        <f t="shared" si="23"/>
        <v>0.84822429906542052</v>
      </c>
      <c r="S149" s="10">
        <f t="shared" si="24"/>
        <v>7.6517757009345795</v>
      </c>
      <c r="T149" s="10">
        <f t="shared" si="30"/>
        <v>153.6</v>
      </c>
      <c r="V149" s="11">
        <v>131.6</v>
      </c>
      <c r="W149" s="4">
        <f t="shared" si="25"/>
        <v>25.803921568627452</v>
      </c>
      <c r="X149" s="4">
        <f t="shared" si="31"/>
        <v>66510.900000000038</v>
      </c>
      <c r="Y149" s="4">
        <f t="shared" si="33"/>
        <v>10127.600000000004</v>
      </c>
      <c r="AA149" s="15">
        <v>8.9071138070593996</v>
      </c>
    </row>
    <row r="150" spans="1:27" s="4" customFormat="1" x14ac:dyDescent="0.25">
      <c r="A150" s="72"/>
      <c r="B150" s="14"/>
      <c r="C150" s="6">
        <v>41666</v>
      </c>
      <c r="D150" s="13">
        <v>3.7</v>
      </c>
      <c r="E150" s="13">
        <v>2.6</v>
      </c>
      <c r="F150" s="13">
        <v>4.5999999999999996</v>
      </c>
      <c r="G150" s="4">
        <f t="shared" si="27"/>
        <v>1354.8</v>
      </c>
      <c r="H150" s="4">
        <f t="shared" si="32"/>
        <v>297.90000000000003</v>
      </c>
      <c r="J150" s="4">
        <v>4.8</v>
      </c>
      <c r="K150" s="4">
        <f t="shared" si="28"/>
        <v>440.10000000000025</v>
      </c>
      <c r="L150" s="4">
        <v>0.7</v>
      </c>
      <c r="M150" s="4">
        <f t="shared" si="29"/>
        <v>175.90000000000003</v>
      </c>
      <c r="N150" s="4">
        <f t="shared" si="26"/>
        <v>4.0999999999999996</v>
      </c>
      <c r="O150" s="4">
        <v>153.6</v>
      </c>
      <c r="P150" s="4">
        <v>145</v>
      </c>
      <c r="Q150" s="12">
        <f t="shared" si="22"/>
        <v>1.0616822429906541</v>
      </c>
      <c r="R150" s="10">
        <f t="shared" si="23"/>
        <v>0.74317757009345775</v>
      </c>
      <c r="S150" s="10">
        <f t="shared" si="24"/>
        <v>4.0568224299065418</v>
      </c>
      <c r="T150" s="10">
        <f t="shared" si="30"/>
        <v>153.6</v>
      </c>
      <c r="V150" s="11">
        <v>131.9</v>
      </c>
      <c r="W150" s="4">
        <f t="shared" si="25"/>
        <v>35.648648648648646</v>
      </c>
      <c r="X150" s="4">
        <f t="shared" si="31"/>
        <v>66642.800000000032</v>
      </c>
      <c r="Y150" s="4">
        <f t="shared" si="33"/>
        <v>10259.500000000004</v>
      </c>
      <c r="AA150" s="15">
        <v>8.9562902440598293</v>
      </c>
    </row>
    <row r="151" spans="1:27" s="4" customFormat="1" x14ac:dyDescent="0.25">
      <c r="A151" s="72"/>
      <c r="B151" s="5"/>
      <c r="C151" s="6">
        <v>41667</v>
      </c>
      <c r="D151" s="13">
        <v>4.3</v>
      </c>
      <c r="E151" s="13">
        <v>3.2</v>
      </c>
      <c r="F151" s="4">
        <v>5.0999999999999996</v>
      </c>
      <c r="G151" s="4">
        <f t="shared" si="27"/>
        <v>1359.1</v>
      </c>
      <c r="H151" s="4">
        <f t="shared" si="32"/>
        <v>302.20000000000005</v>
      </c>
      <c r="J151" s="4">
        <v>3.1</v>
      </c>
      <c r="K151" s="4">
        <f t="shared" si="28"/>
        <v>443.20000000000027</v>
      </c>
      <c r="L151" s="4">
        <v>0.6</v>
      </c>
      <c r="M151" s="4">
        <f t="shared" si="29"/>
        <v>176.50000000000003</v>
      </c>
      <c r="N151" s="4">
        <f t="shared" si="26"/>
        <v>2.5</v>
      </c>
      <c r="O151" s="4">
        <v>153.6</v>
      </c>
      <c r="P151" s="4">
        <v>146</v>
      </c>
      <c r="Q151" s="12">
        <f t="shared" si="22"/>
        <v>1.0630841121495327</v>
      </c>
      <c r="R151" s="10">
        <f t="shared" si="23"/>
        <v>0.63785046728971961</v>
      </c>
      <c r="S151" s="10">
        <f t="shared" si="24"/>
        <v>2.4621495327102805</v>
      </c>
      <c r="T151" s="10">
        <f t="shared" si="30"/>
        <v>153.6</v>
      </c>
      <c r="V151" s="11">
        <v>96.5</v>
      </c>
      <c r="W151" s="4">
        <f t="shared" si="25"/>
        <v>22.441860465116282</v>
      </c>
      <c r="X151" s="4">
        <f t="shared" si="31"/>
        <v>66739.300000000032</v>
      </c>
      <c r="Y151" s="4">
        <f t="shared" si="33"/>
        <v>10356.000000000004</v>
      </c>
      <c r="AA151" s="4">
        <v>9.0062908769033498</v>
      </c>
    </row>
    <row r="152" spans="1:27" s="4" customFormat="1" x14ac:dyDescent="0.25">
      <c r="A152" s="72"/>
      <c r="B152" s="5"/>
      <c r="C152" s="6">
        <v>41668</v>
      </c>
      <c r="D152" s="13">
        <v>4.3</v>
      </c>
      <c r="E152" s="13">
        <v>3.5</v>
      </c>
      <c r="F152" s="4">
        <v>5.6</v>
      </c>
      <c r="G152" s="4">
        <f t="shared" si="27"/>
        <v>1363.3999999999999</v>
      </c>
      <c r="H152" s="4">
        <f t="shared" si="32"/>
        <v>306.50000000000006</v>
      </c>
      <c r="J152" s="4">
        <v>3.5</v>
      </c>
      <c r="K152" s="4">
        <f t="shared" si="28"/>
        <v>446.70000000000027</v>
      </c>
      <c r="L152" s="4">
        <v>1.1000000000000001</v>
      </c>
      <c r="M152" s="4">
        <f t="shared" si="29"/>
        <v>177.60000000000002</v>
      </c>
      <c r="N152" s="4">
        <f t="shared" si="26"/>
        <v>2.4</v>
      </c>
      <c r="O152" s="4">
        <v>153.6</v>
      </c>
      <c r="P152" s="4">
        <v>147</v>
      </c>
      <c r="Q152" s="12">
        <f t="shared" si="22"/>
        <v>1.0644859813084111</v>
      </c>
      <c r="R152" s="10">
        <f t="shared" si="23"/>
        <v>1.1709345794392523</v>
      </c>
      <c r="S152" s="10">
        <f t="shared" si="24"/>
        <v>2.3290654205607479</v>
      </c>
      <c r="T152" s="10">
        <f t="shared" si="30"/>
        <v>153.6</v>
      </c>
      <c r="V152" s="11">
        <v>271.39999999999998</v>
      </c>
      <c r="W152" s="4">
        <f t="shared" si="25"/>
        <v>63.116279069767437</v>
      </c>
      <c r="X152" s="4">
        <f t="shared" si="31"/>
        <v>67010.700000000026</v>
      </c>
      <c r="Y152" s="4">
        <f t="shared" si="33"/>
        <v>10627.400000000003</v>
      </c>
      <c r="AA152" s="4">
        <v>9.0570834021756195</v>
      </c>
    </row>
    <row r="153" spans="1:27" s="4" customFormat="1" x14ac:dyDescent="0.25">
      <c r="A153" s="72"/>
      <c r="B153" s="5"/>
      <c r="C153" s="6">
        <v>41669</v>
      </c>
      <c r="D153" s="13">
        <v>4</v>
      </c>
      <c r="E153" s="13">
        <v>3.1</v>
      </c>
      <c r="F153" s="13">
        <v>5</v>
      </c>
      <c r="G153" s="4">
        <f t="shared" si="27"/>
        <v>1367.3999999999999</v>
      </c>
      <c r="H153" s="4">
        <f t="shared" si="32"/>
        <v>310.50000000000006</v>
      </c>
      <c r="J153" s="4">
        <v>0.4</v>
      </c>
      <c r="K153" s="4">
        <f t="shared" si="28"/>
        <v>447.10000000000025</v>
      </c>
      <c r="L153" s="4">
        <v>0.4</v>
      </c>
      <c r="M153" s="4">
        <f t="shared" si="29"/>
        <v>178.00000000000003</v>
      </c>
      <c r="N153" s="4">
        <f t="shared" si="26"/>
        <v>0</v>
      </c>
      <c r="O153" s="4">
        <v>153.6</v>
      </c>
      <c r="P153" s="4">
        <v>148</v>
      </c>
      <c r="Q153" s="12">
        <f t="shared" si="22"/>
        <v>1.0658878504672897</v>
      </c>
      <c r="R153" s="10">
        <f t="shared" si="23"/>
        <v>0.42635514018691589</v>
      </c>
      <c r="S153" s="10">
        <f t="shared" si="24"/>
        <v>-2.6355140186915871E-2</v>
      </c>
      <c r="T153" s="10">
        <f t="shared" si="30"/>
        <v>153.57364485981307</v>
      </c>
      <c r="V153" s="11">
        <v>106.1</v>
      </c>
      <c r="W153" s="4">
        <f t="shared" si="25"/>
        <v>26.524999999999999</v>
      </c>
      <c r="X153" s="4">
        <f t="shared" si="31"/>
        <v>67116.800000000032</v>
      </c>
      <c r="Y153" s="4">
        <f t="shared" si="33"/>
        <v>10733.500000000004</v>
      </c>
      <c r="AA153" s="4">
        <v>9.1086361164323808</v>
      </c>
    </row>
    <row r="154" spans="1:27" s="4" customFormat="1" x14ac:dyDescent="0.25">
      <c r="A154" s="72"/>
      <c r="B154" s="5">
        <v>10</v>
      </c>
      <c r="C154" s="6">
        <v>41670</v>
      </c>
      <c r="D154" s="4">
        <v>5.0999999999999996</v>
      </c>
      <c r="E154" s="13">
        <v>1.9</v>
      </c>
      <c r="F154" s="4">
        <v>7.5</v>
      </c>
      <c r="G154" s="4">
        <f t="shared" si="27"/>
        <v>1372.4999999999998</v>
      </c>
      <c r="H154" s="4">
        <f t="shared" si="32"/>
        <v>315.60000000000008</v>
      </c>
      <c r="J154" s="4">
        <v>12.1</v>
      </c>
      <c r="K154" s="4">
        <f t="shared" si="28"/>
        <v>459.20000000000027</v>
      </c>
      <c r="L154" s="4">
        <v>1</v>
      </c>
      <c r="M154" s="4">
        <f t="shared" si="29"/>
        <v>179.00000000000003</v>
      </c>
      <c r="N154" s="4">
        <f t="shared" si="26"/>
        <v>11.1</v>
      </c>
      <c r="O154" s="4">
        <v>153.6</v>
      </c>
      <c r="P154" s="4">
        <v>149</v>
      </c>
      <c r="Q154" s="12">
        <f t="shared" si="22"/>
        <v>1.0672897196261681</v>
      </c>
      <c r="R154" s="10">
        <f t="shared" si="23"/>
        <v>1.0672897196261681</v>
      </c>
      <c r="S154" s="10">
        <f t="shared" si="24"/>
        <v>11.032710280373831</v>
      </c>
      <c r="T154" s="10">
        <f t="shared" si="30"/>
        <v>153.6</v>
      </c>
      <c r="V154" s="11">
        <v>571.70000000000005</v>
      </c>
      <c r="W154" s="4">
        <f t="shared" si="25"/>
        <v>112.09803921568628</v>
      </c>
      <c r="X154" s="4">
        <f t="shared" si="31"/>
        <v>67688.500000000029</v>
      </c>
      <c r="Y154" s="4">
        <f t="shared" si="33"/>
        <v>11305.200000000004</v>
      </c>
      <c r="AA154" s="4">
        <v>9.1609179523286706</v>
      </c>
    </row>
    <row r="155" spans="1:27" s="4" customFormat="1" x14ac:dyDescent="0.25">
      <c r="A155" s="72"/>
      <c r="B155" s="5"/>
      <c r="C155" s="6">
        <v>41671</v>
      </c>
      <c r="D155" s="4">
        <v>6.6</v>
      </c>
      <c r="E155" s="4">
        <v>5.6</v>
      </c>
      <c r="F155" s="4">
        <v>8.1</v>
      </c>
      <c r="G155" s="4">
        <f t="shared" si="27"/>
        <v>1379.0999999999997</v>
      </c>
      <c r="H155" s="4">
        <f t="shared" si="32"/>
        <v>322.2000000000001</v>
      </c>
      <c r="J155" s="4">
        <v>0.9</v>
      </c>
      <c r="K155" s="4">
        <f t="shared" si="28"/>
        <v>460.10000000000025</v>
      </c>
      <c r="L155" s="4">
        <v>1.3</v>
      </c>
      <c r="M155" s="4">
        <f t="shared" si="29"/>
        <v>180.30000000000004</v>
      </c>
      <c r="N155" s="9">
        <f t="shared" si="26"/>
        <v>-0.4</v>
      </c>
      <c r="O155" s="4">
        <v>153.19999999999999</v>
      </c>
      <c r="P155" s="4">
        <v>150</v>
      </c>
      <c r="Q155" s="12">
        <f t="shared" si="22"/>
        <v>1.0686915887850468</v>
      </c>
      <c r="R155" s="10">
        <f t="shared" si="23"/>
        <v>1.3892990654205608</v>
      </c>
      <c r="S155" s="10">
        <f t="shared" si="24"/>
        <v>-0.48929906542056079</v>
      </c>
      <c r="T155" s="10">
        <f t="shared" si="30"/>
        <v>153.11070093457943</v>
      </c>
      <c r="V155" s="11">
        <v>373.2</v>
      </c>
      <c r="W155" s="4">
        <f t="shared" si="25"/>
        <v>56.545454545454547</v>
      </c>
      <c r="X155" s="4">
        <f t="shared" si="31"/>
        <v>68061.700000000026</v>
      </c>
      <c r="Y155" s="4">
        <f t="shared" si="33"/>
        <v>11678.400000000005</v>
      </c>
      <c r="AA155" s="4">
        <v>9.2138985102356603</v>
      </c>
    </row>
    <row r="156" spans="1:27" s="4" customFormat="1" x14ac:dyDescent="0.25">
      <c r="A156" s="72"/>
      <c r="B156" s="5"/>
      <c r="C156" s="6">
        <v>41672</v>
      </c>
      <c r="D156" s="13">
        <v>5</v>
      </c>
      <c r="E156" s="13">
        <v>2.9</v>
      </c>
      <c r="F156" s="4">
        <v>7.4</v>
      </c>
      <c r="G156" s="4">
        <f t="shared" si="27"/>
        <v>1384.0999999999997</v>
      </c>
      <c r="H156" s="4">
        <f t="shared" si="32"/>
        <v>327.2000000000001</v>
      </c>
      <c r="J156" s="4">
        <v>0</v>
      </c>
      <c r="K156" s="4">
        <f t="shared" si="28"/>
        <v>460.10000000000025</v>
      </c>
      <c r="L156" s="4">
        <v>1.2</v>
      </c>
      <c r="M156" s="4">
        <f t="shared" si="29"/>
        <v>181.50000000000003</v>
      </c>
      <c r="N156" s="9">
        <f t="shared" si="26"/>
        <v>-1.2</v>
      </c>
      <c r="O156" s="4">
        <v>152</v>
      </c>
      <c r="P156" s="4">
        <v>151</v>
      </c>
      <c r="Q156" s="12">
        <f t="shared" si="22"/>
        <v>1.0700934579439252</v>
      </c>
      <c r="R156" s="10">
        <f t="shared" si="23"/>
        <v>1.2841121495327101</v>
      </c>
      <c r="S156" s="10">
        <f t="shared" si="24"/>
        <v>-1.2841121495327101</v>
      </c>
      <c r="T156" s="10">
        <f t="shared" si="30"/>
        <v>151.82658878504671</v>
      </c>
      <c r="V156" s="11">
        <v>761</v>
      </c>
      <c r="W156" s="4">
        <f t="shared" si="25"/>
        <v>152.19999999999999</v>
      </c>
      <c r="X156" s="4">
        <f t="shared" si="31"/>
        <v>68822.700000000026</v>
      </c>
      <c r="Y156" s="4">
        <f t="shared" si="33"/>
        <v>12439.400000000005</v>
      </c>
      <c r="AA156" s="4">
        <v>9.2675480855186407</v>
      </c>
    </row>
    <row r="157" spans="1:27" s="4" customFormat="1" x14ac:dyDescent="0.25">
      <c r="A157" s="72"/>
      <c r="B157" s="5"/>
      <c r="C157" s="6">
        <v>41673</v>
      </c>
      <c r="D157" s="13">
        <v>4</v>
      </c>
      <c r="E157" s="13">
        <v>0.5</v>
      </c>
      <c r="F157" s="4">
        <v>7.7</v>
      </c>
      <c r="G157" s="4">
        <f t="shared" si="27"/>
        <v>1388.0999999999997</v>
      </c>
      <c r="H157" s="4">
        <f t="shared" si="32"/>
        <v>331.2000000000001</v>
      </c>
      <c r="J157" s="4">
        <v>0.2</v>
      </c>
      <c r="K157" s="4">
        <f t="shared" si="28"/>
        <v>460.30000000000024</v>
      </c>
      <c r="L157" s="4">
        <v>1.1000000000000001</v>
      </c>
      <c r="M157" s="4">
        <f t="shared" si="29"/>
        <v>182.60000000000002</v>
      </c>
      <c r="N157" s="9">
        <f t="shared" si="26"/>
        <v>-0.90000000000000013</v>
      </c>
      <c r="O157" s="4">
        <v>151.1</v>
      </c>
      <c r="P157" s="4">
        <v>152</v>
      </c>
      <c r="Q157" s="12">
        <f t="shared" si="22"/>
        <v>1.0714953271028036</v>
      </c>
      <c r="R157" s="10">
        <f t="shared" si="23"/>
        <v>1.1786448598130841</v>
      </c>
      <c r="S157" s="10">
        <f t="shared" si="24"/>
        <v>-0.97864485981308413</v>
      </c>
      <c r="T157" s="10">
        <f t="shared" si="30"/>
        <v>150.84794392523364</v>
      </c>
      <c r="V157" s="11">
        <v>789.5</v>
      </c>
      <c r="W157" s="4">
        <f t="shared" si="25"/>
        <v>197.375</v>
      </c>
      <c r="X157" s="4">
        <f t="shared" si="31"/>
        <v>69612.200000000026</v>
      </c>
      <c r="Y157" s="4">
        <f t="shared" si="33"/>
        <v>13228.900000000005</v>
      </c>
      <c r="AA157" s="4">
        <v>9.32183769166266</v>
      </c>
    </row>
    <row r="158" spans="1:27" s="4" customFormat="1" x14ac:dyDescent="0.25">
      <c r="A158" s="72"/>
      <c r="B158" s="5"/>
      <c r="C158" s="6">
        <v>41674</v>
      </c>
      <c r="D158" s="4">
        <v>6.3</v>
      </c>
      <c r="E158" s="13">
        <v>3.4</v>
      </c>
      <c r="F158" s="4">
        <v>7.7</v>
      </c>
      <c r="G158" s="4">
        <f t="shared" si="27"/>
        <v>1394.3999999999996</v>
      </c>
      <c r="H158" s="4">
        <f t="shared" si="32"/>
        <v>337.50000000000011</v>
      </c>
      <c r="J158" s="4">
        <v>2</v>
      </c>
      <c r="K158" s="4">
        <f t="shared" si="28"/>
        <v>462.30000000000024</v>
      </c>
      <c r="L158" s="4">
        <v>1.2</v>
      </c>
      <c r="M158" s="4">
        <f t="shared" si="29"/>
        <v>183.8</v>
      </c>
      <c r="N158" s="4">
        <f t="shared" si="26"/>
        <v>0.8</v>
      </c>
      <c r="O158" s="4">
        <v>153.6</v>
      </c>
      <c r="P158" s="4">
        <v>153</v>
      </c>
      <c r="Q158" s="12">
        <f t="shared" si="22"/>
        <v>1.0728971962616822</v>
      </c>
      <c r="R158" s="10">
        <f t="shared" si="23"/>
        <v>1.2874766355140186</v>
      </c>
      <c r="S158" s="10">
        <f t="shared" si="24"/>
        <v>0.71252336448598141</v>
      </c>
      <c r="T158" s="10">
        <f t="shared" si="30"/>
        <v>151.56046728971961</v>
      </c>
      <c r="V158" s="11">
        <v>612.4</v>
      </c>
      <c r="W158" s="4">
        <f t="shared" si="25"/>
        <v>97.206349206349202</v>
      </c>
      <c r="X158" s="4">
        <f t="shared" si="31"/>
        <v>70224.60000000002</v>
      </c>
      <c r="Y158" s="4">
        <f t="shared" si="33"/>
        <v>13841.300000000005</v>
      </c>
      <c r="AA158" s="4">
        <v>9.3767390794424692</v>
      </c>
    </row>
    <row r="159" spans="1:27" s="4" customFormat="1" x14ac:dyDescent="0.25">
      <c r="A159" s="72"/>
      <c r="B159" s="5"/>
      <c r="C159" s="6">
        <v>41675</v>
      </c>
      <c r="D159" s="4">
        <v>7.4</v>
      </c>
      <c r="E159" s="4">
        <v>5.4</v>
      </c>
      <c r="F159" s="4">
        <v>8.8000000000000007</v>
      </c>
      <c r="G159" s="4">
        <f t="shared" si="27"/>
        <v>1401.7999999999997</v>
      </c>
      <c r="H159" s="4">
        <f t="shared" si="32"/>
        <v>344.90000000000009</v>
      </c>
      <c r="J159" s="4">
        <v>1.1000000000000001</v>
      </c>
      <c r="K159" s="4">
        <f t="shared" si="28"/>
        <v>463.40000000000026</v>
      </c>
      <c r="L159" s="4">
        <v>1.6</v>
      </c>
      <c r="M159" s="4">
        <f t="shared" si="29"/>
        <v>185.4</v>
      </c>
      <c r="N159" s="9">
        <f t="shared" si="26"/>
        <v>-0.5</v>
      </c>
      <c r="O159" s="4">
        <v>153.1</v>
      </c>
      <c r="P159" s="4">
        <v>154</v>
      </c>
      <c r="Q159" s="12">
        <f t="shared" si="22"/>
        <v>1.0742990654205606</v>
      </c>
      <c r="R159" s="10">
        <f t="shared" si="23"/>
        <v>1.7188785046728972</v>
      </c>
      <c r="S159" s="10">
        <f t="shared" si="24"/>
        <v>-0.61887850467289707</v>
      </c>
      <c r="T159" s="10">
        <f t="shared" si="30"/>
        <v>150.94158878504672</v>
      </c>
      <c r="V159" s="11">
        <v>373.9</v>
      </c>
      <c r="W159" s="4">
        <f t="shared" si="25"/>
        <v>50.527027027027025</v>
      </c>
      <c r="X159" s="4">
        <f t="shared" si="31"/>
        <v>70598.500000000015</v>
      </c>
      <c r="Y159" s="4">
        <f t="shared" si="33"/>
        <v>14215.200000000004</v>
      </c>
      <c r="AA159" s="4">
        <v>9.4322247523409892</v>
      </c>
    </row>
    <row r="160" spans="1:27" s="4" customFormat="1" x14ac:dyDescent="0.25">
      <c r="A160" s="72"/>
      <c r="B160" s="5"/>
      <c r="C160" s="6">
        <v>41676</v>
      </c>
      <c r="D160" s="4">
        <v>7.4</v>
      </c>
      <c r="E160" s="4">
        <v>5.7</v>
      </c>
      <c r="F160" s="4">
        <v>10.4</v>
      </c>
      <c r="G160" s="4">
        <f t="shared" si="27"/>
        <v>1409.1999999999998</v>
      </c>
      <c r="H160" s="4">
        <f t="shared" si="32"/>
        <v>352.30000000000007</v>
      </c>
      <c r="J160" s="4">
        <v>11.9</v>
      </c>
      <c r="K160" s="4">
        <f t="shared" si="28"/>
        <v>475.30000000000024</v>
      </c>
      <c r="L160" s="4">
        <v>1.5</v>
      </c>
      <c r="M160" s="4">
        <f t="shared" si="29"/>
        <v>186.9</v>
      </c>
      <c r="N160" s="4">
        <f t="shared" si="26"/>
        <v>10.4</v>
      </c>
      <c r="O160" s="4">
        <v>153.6</v>
      </c>
      <c r="P160" s="4">
        <v>155</v>
      </c>
      <c r="Q160" s="12">
        <f t="shared" si="22"/>
        <v>1.0757009345794393</v>
      </c>
      <c r="R160" s="10">
        <f t="shared" si="23"/>
        <v>1.613551401869159</v>
      </c>
      <c r="S160" s="10">
        <f t="shared" si="24"/>
        <v>10.286448598130841</v>
      </c>
      <c r="T160" s="10">
        <f t="shared" si="30"/>
        <v>153.6</v>
      </c>
      <c r="V160" s="11">
        <v>182.2</v>
      </c>
      <c r="W160" s="4">
        <f t="shared" si="25"/>
        <v>24.621621621621617</v>
      </c>
      <c r="X160" s="4">
        <f t="shared" si="31"/>
        <v>70780.700000000012</v>
      </c>
      <c r="Y160" s="4">
        <f t="shared" si="33"/>
        <v>14397.400000000005</v>
      </c>
      <c r="AA160" s="4">
        <v>9.4882679784247994</v>
      </c>
    </row>
    <row r="161" spans="1:27" s="4" customFormat="1" x14ac:dyDescent="0.25">
      <c r="A161" s="72"/>
      <c r="B161" s="5"/>
      <c r="C161" s="6">
        <v>41677</v>
      </c>
      <c r="D161" s="4">
        <v>7.7</v>
      </c>
      <c r="E161" s="4">
        <v>5.9</v>
      </c>
      <c r="F161" s="4">
        <v>9.8000000000000007</v>
      </c>
      <c r="G161" s="4">
        <f t="shared" si="27"/>
        <v>1416.8999999999999</v>
      </c>
      <c r="H161" s="4">
        <f t="shared" si="32"/>
        <v>360.00000000000006</v>
      </c>
      <c r="J161" s="4">
        <v>7.6</v>
      </c>
      <c r="K161" s="4">
        <f t="shared" si="28"/>
        <v>482.90000000000026</v>
      </c>
      <c r="L161" s="4">
        <v>1.2</v>
      </c>
      <c r="M161" s="4">
        <f t="shared" si="29"/>
        <v>188.1</v>
      </c>
      <c r="N161" s="4">
        <f t="shared" si="26"/>
        <v>6.3999999999999995</v>
      </c>
      <c r="O161" s="4">
        <v>153.6</v>
      </c>
      <c r="P161" s="4">
        <v>156</v>
      </c>
      <c r="Q161" s="12">
        <f t="shared" si="22"/>
        <v>1.0771028037383177</v>
      </c>
      <c r="R161" s="10">
        <f t="shared" si="23"/>
        <v>1.2925233644859813</v>
      </c>
      <c r="S161" s="10">
        <f t="shared" si="24"/>
        <v>6.3074766355140186</v>
      </c>
      <c r="T161" s="10">
        <f t="shared" si="30"/>
        <v>153.6</v>
      </c>
      <c r="V161" s="11">
        <v>98.5</v>
      </c>
      <c r="W161" s="4">
        <f t="shared" si="25"/>
        <v>12.792207792207792</v>
      </c>
      <c r="X161" s="4">
        <f t="shared" si="31"/>
        <v>70879.200000000012</v>
      </c>
      <c r="Y161" s="4">
        <f t="shared" si="33"/>
        <v>14495.900000000005</v>
      </c>
      <c r="AA161" s="4">
        <v>9.5448427988882596</v>
      </c>
    </row>
    <row r="162" spans="1:27" s="4" customFormat="1" x14ac:dyDescent="0.25">
      <c r="A162" s="72"/>
      <c r="B162" s="5"/>
      <c r="C162" s="6">
        <v>41678</v>
      </c>
      <c r="D162" s="4">
        <v>7.6</v>
      </c>
      <c r="E162" s="4">
        <v>6</v>
      </c>
      <c r="F162" s="4">
        <v>9</v>
      </c>
      <c r="G162" s="4">
        <f t="shared" si="27"/>
        <v>1424.4999999999998</v>
      </c>
      <c r="H162" s="4">
        <f t="shared" si="32"/>
        <v>367.60000000000008</v>
      </c>
      <c r="J162" s="4">
        <v>1.6</v>
      </c>
      <c r="K162" s="4">
        <f t="shared" si="28"/>
        <v>484.50000000000028</v>
      </c>
      <c r="L162" s="4">
        <v>1.3</v>
      </c>
      <c r="M162" s="4">
        <f t="shared" si="29"/>
        <v>189.4</v>
      </c>
      <c r="N162" s="4">
        <f t="shared" si="26"/>
        <v>0.30000000000000004</v>
      </c>
      <c r="O162" s="4">
        <v>153.6</v>
      </c>
      <c r="P162" s="4">
        <v>157</v>
      </c>
      <c r="Q162" s="12">
        <f t="shared" si="22"/>
        <v>1.0785046728971963</v>
      </c>
      <c r="R162" s="10">
        <f t="shared" si="23"/>
        <v>1.4020560747663553</v>
      </c>
      <c r="S162" s="10">
        <f t="shared" si="24"/>
        <v>0.19794392523364479</v>
      </c>
      <c r="T162" s="10">
        <f t="shared" si="30"/>
        <v>153.6</v>
      </c>
      <c r="V162" s="11">
        <v>274.60000000000002</v>
      </c>
      <c r="W162" s="4">
        <f t="shared" si="25"/>
        <v>36.131578947368425</v>
      </c>
      <c r="X162" s="4">
        <f t="shared" si="31"/>
        <v>71153.800000000017</v>
      </c>
      <c r="Y162" s="4">
        <f t="shared" si="33"/>
        <v>14770.500000000005</v>
      </c>
      <c r="AA162" s="4">
        <v>9.6019240334778306</v>
      </c>
    </row>
    <row r="163" spans="1:27" s="4" customFormat="1" x14ac:dyDescent="0.25">
      <c r="A163" s="72"/>
      <c r="B163" s="5"/>
      <c r="C163" s="6">
        <v>41679</v>
      </c>
      <c r="D163" s="4">
        <v>5.8</v>
      </c>
      <c r="E163" s="13">
        <v>4.5999999999999996</v>
      </c>
      <c r="F163" s="4">
        <v>8</v>
      </c>
      <c r="G163" s="4">
        <f t="shared" si="27"/>
        <v>1430.2999999999997</v>
      </c>
      <c r="H163" s="4">
        <f t="shared" si="32"/>
        <v>373.40000000000009</v>
      </c>
      <c r="J163" s="4">
        <v>1.2</v>
      </c>
      <c r="K163" s="4">
        <f t="shared" si="28"/>
        <v>485.70000000000027</v>
      </c>
      <c r="L163" s="4">
        <v>1.9</v>
      </c>
      <c r="M163" s="4">
        <f t="shared" si="29"/>
        <v>191.3</v>
      </c>
      <c r="N163" s="9">
        <f t="shared" si="26"/>
        <v>-0.7</v>
      </c>
      <c r="O163" s="4">
        <v>152.9</v>
      </c>
      <c r="P163" s="4">
        <v>158</v>
      </c>
      <c r="Q163" s="12">
        <f t="shared" si="22"/>
        <v>1.0799065420560747</v>
      </c>
      <c r="R163" s="10">
        <f t="shared" si="23"/>
        <v>2.051822429906542</v>
      </c>
      <c r="S163" s="10">
        <f t="shared" si="24"/>
        <v>-0.851822429906542</v>
      </c>
      <c r="T163" s="10">
        <f t="shared" si="30"/>
        <v>152.74817757009345</v>
      </c>
      <c r="V163" s="11">
        <v>435.5</v>
      </c>
      <c r="W163" s="4">
        <f t="shared" si="25"/>
        <v>75.08620689655173</v>
      </c>
      <c r="X163" s="4">
        <f t="shared" si="31"/>
        <v>71589.300000000017</v>
      </c>
      <c r="Y163" s="4">
        <f t="shared" si="33"/>
        <v>15206.000000000005</v>
      </c>
      <c r="AA163" s="4">
        <v>9.6594872830069605</v>
      </c>
    </row>
    <row r="164" spans="1:27" s="4" customFormat="1" x14ac:dyDescent="0.25">
      <c r="A164" s="72"/>
      <c r="B164" s="5"/>
      <c r="C164" s="6">
        <v>41680</v>
      </c>
      <c r="D164" s="4">
        <v>5.4</v>
      </c>
      <c r="E164" s="13">
        <v>3.8</v>
      </c>
      <c r="F164" s="4">
        <v>6.4</v>
      </c>
      <c r="G164" s="4">
        <f t="shared" si="27"/>
        <v>1435.6999999999998</v>
      </c>
      <c r="H164" s="4">
        <f t="shared" si="32"/>
        <v>378.80000000000007</v>
      </c>
      <c r="J164" s="4">
        <v>0</v>
      </c>
      <c r="K164" s="4">
        <f t="shared" si="28"/>
        <v>485.70000000000027</v>
      </c>
      <c r="L164" s="4">
        <v>0.8</v>
      </c>
      <c r="M164" s="4">
        <f t="shared" si="29"/>
        <v>192.10000000000002</v>
      </c>
      <c r="N164" s="9">
        <f t="shared" si="26"/>
        <v>-0.8</v>
      </c>
      <c r="O164" s="4">
        <v>152.1</v>
      </c>
      <c r="P164" s="4">
        <v>159</v>
      </c>
      <c r="Q164" s="12">
        <f t="shared" si="22"/>
        <v>1.0813084112149531</v>
      </c>
      <c r="R164" s="10">
        <f t="shared" si="23"/>
        <v>0.86504672897196255</v>
      </c>
      <c r="S164" s="10">
        <f t="shared" si="24"/>
        <v>-0.86504672897196255</v>
      </c>
      <c r="T164" s="10">
        <f t="shared" si="30"/>
        <v>151.88313084112147</v>
      </c>
      <c r="V164" s="11">
        <v>119.9</v>
      </c>
      <c r="W164" s="4">
        <f t="shared" si="25"/>
        <v>22.203703703703702</v>
      </c>
      <c r="X164" s="4">
        <f t="shared" si="31"/>
        <v>71709.200000000012</v>
      </c>
      <c r="Y164" s="4">
        <f t="shared" si="33"/>
        <v>15325.900000000005</v>
      </c>
      <c r="AA164" s="4">
        <v>9.7175089291691101</v>
      </c>
    </row>
    <row r="165" spans="1:27" s="4" customFormat="1" x14ac:dyDescent="0.25">
      <c r="A165" s="72"/>
      <c r="B165" s="5"/>
      <c r="C165" s="6">
        <v>41681</v>
      </c>
      <c r="D165" s="4">
        <v>5.4</v>
      </c>
      <c r="E165" s="13">
        <v>3.3</v>
      </c>
      <c r="F165" s="4">
        <v>7.3</v>
      </c>
      <c r="G165" s="4">
        <f t="shared" si="27"/>
        <v>1441.1</v>
      </c>
      <c r="H165" s="4">
        <f t="shared" si="32"/>
        <v>384.20000000000005</v>
      </c>
      <c r="J165" s="4">
        <v>4</v>
      </c>
      <c r="K165" s="4">
        <f t="shared" si="28"/>
        <v>489.70000000000027</v>
      </c>
      <c r="L165" s="4">
        <v>1</v>
      </c>
      <c r="M165" s="4">
        <f t="shared" si="29"/>
        <v>193.10000000000002</v>
      </c>
      <c r="N165" s="4">
        <f t="shared" si="26"/>
        <v>3</v>
      </c>
      <c r="O165" s="4">
        <v>153.6</v>
      </c>
      <c r="P165" s="4">
        <v>160</v>
      </c>
      <c r="Q165" s="12">
        <f t="shared" si="22"/>
        <v>1.0827102803738318</v>
      </c>
      <c r="R165" s="10">
        <f t="shared" si="23"/>
        <v>1.0827102803738318</v>
      </c>
      <c r="S165" s="10">
        <f t="shared" si="24"/>
        <v>2.9172897196261682</v>
      </c>
      <c r="T165" s="10">
        <f t="shared" si="30"/>
        <v>153.6</v>
      </c>
      <c r="V165" s="11">
        <v>202.3</v>
      </c>
      <c r="W165" s="4">
        <f t="shared" si="25"/>
        <v>37.462962962962962</v>
      </c>
      <c r="X165" s="4">
        <f t="shared" si="31"/>
        <v>71911.500000000015</v>
      </c>
      <c r="Y165" s="4">
        <f t="shared" si="33"/>
        <v>15528.200000000004</v>
      </c>
      <c r="AA165" s="4">
        <v>9.7759661318519395</v>
      </c>
    </row>
    <row r="166" spans="1:27" s="4" customFormat="1" x14ac:dyDescent="0.25">
      <c r="A166" s="72"/>
      <c r="B166" s="5"/>
      <c r="C166" s="6">
        <v>41682</v>
      </c>
      <c r="D166" s="4">
        <v>5.7</v>
      </c>
      <c r="E166" s="13">
        <v>2.4</v>
      </c>
      <c r="F166" s="4">
        <v>9</v>
      </c>
      <c r="G166" s="4">
        <f t="shared" si="27"/>
        <v>1446.8</v>
      </c>
      <c r="H166" s="4">
        <f t="shared" si="32"/>
        <v>389.90000000000003</v>
      </c>
      <c r="J166" s="4">
        <v>5.5</v>
      </c>
      <c r="K166" s="4">
        <f t="shared" si="28"/>
        <v>495.20000000000027</v>
      </c>
      <c r="L166" s="4">
        <v>1.3</v>
      </c>
      <c r="M166" s="4">
        <f t="shared" si="29"/>
        <v>194.40000000000003</v>
      </c>
      <c r="N166" s="4">
        <f t="shared" si="26"/>
        <v>4.2</v>
      </c>
      <c r="O166" s="4">
        <v>153.6</v>
      </c>
      <c r="P166" s="4">
        <v>161</v>
      </c>
      <c r="Q166" s="12">
        <f t="shared" si="22"/>
        <v>1.0841121495327102</v>
      </c>
      <c r="R166" s="10">
        <f t="shared" si="23"/>
        <v>1.4093457943925234</v>
      </c>
      <c r="S166" s="10">
        <f t="shared" si="24"/>
        <v>4.0906542056074766</v>
      </c>
      <c r="T166" s="10">
        <f t="shared" si="30"/>
        <v>153.6</v>
      </c>
      <c r="V166" s="11">
        <v>469.4</v>
      </c>
      <c r="W166" s="4">
        <f t="shared" si="25"/>
        <v>82.350877192982452</v>
      </c>
      <c r="X166" s="4">
        <f t="shared" si="31"/>
        <v>72380.900000000009</v>
      </c>
      <c r="Y166" s="4">
        <f t="shared" si="33"/>
        <v>15997.600000000004</v>
      </c>
      <c r="AA166" s="4">
        <v>9.8348368241504005</v>
      </c>
    </row>
    <row r="167" spans="1:27" s="4" customFormat="1" x14ac:dyDescent="0.25">
      <c r="A167" s="72"/>
      <c r="B167" s="5"/>
      <c r="C167" s="6">
        <v>41683</v>
      </c>
      <c r="D167" s="13">
        <v>4.9000000000000004</v>
      </c>
      <c r="E167" s="13">
        <v>4.5999999999999996</v>
      </c>
      <c r="F167" s="4">
        <v>5.4</v>
      </c>
      <c r="G167" s="4">
        <f t="shared" si="27"/>
        <v>1451.7</v>
      </c>
      <c r="H167" s="4">
        <f t="shared" si="32"/>
        <v>394.8</v>
      </c>
      <c r="J167" s="4">
        <v>3</v>
      </c>
      <c r="K167" s="4">
        <f t="shared" si="28"/>
        <v>498.20000000000027</v>
      </c>
      <c r="L167" s="4">
        <v>0.8</v>
      </c>
      <c r="M167" s="4">
        <f t="shared" si="29"/>
        <v>195.20000000000005</v>
      </c>
      <c r="N167" s="4">
        <f t="shared" si="26"/>
        <v>2.2000000000000002</v>
      </c>
      <c r="O167" s="4">
        <v>153.6</v>
      </c>
      <c r="P167" s="4">
        <v>162</v>
      </c>
      <c r="Q167" s="12">
        <f t="shared" si="22"/>
        <v>1.0855140186915888</v>
      </c>
      <c r="R167" s="10">
        <f t="shared" si="23"/>
        <v>0.86841121495327112</v>
      </c>
      <c r="S167" s="10">
        <f t="shared" si="24"/>
        <v>2.1315887850467288</v>
      </c>
      <c r="T167" s="10">
        <f t="shared" si="30"/>
        <v>153.6</v>
      </c>
      <c r="V167" s="11">
        <v>156</v>
      </c>
      <c r="W167" s="4">
        <f t="shared" si="25"/>
        <v>31.836734693877549</v>
      </c>
      <c r="X167" s="4">
        <f t="shared" si="31"/>
        <v>72536.900000000009</v>
      </c>
      <c r="Y167" s="4">
        <f t="shared" si="33"/>
        <v>16153.600000000004</v>
      </c>
      <c r="AA167" s="4">
        <v>9.8940997052701096</v>
      </c>
    </row>
    <row r="168" spans="1:27" s="4" customFormat="1" x14ac:dyDescent="0.25">
      <c r="A168" s="72"/>
      <c r="B168" s="5"/>
      <c r="C168" s="6">
        <v>41684</v>
      </c>
      <c r="D168" s="4">
        <v>5.9</v>
      </c>
      <c r="E168" s="13">
        <v>2.2999999999999998</v>
      </c>
      <c r="F168" s="4">
        <v>12</v>
      </c>
      <c r="G168" s="4">
        <f t="shared" si="27"/>
        <v>1457.6000000000001</v>
      </c>
      <c r="H168" s="4">
        <f t="shared" si="32"/>
        <v>400.7</v>
      </c>
      <c r="J168" s="4">
        <v>5.7</v>
      </c>
      <c r="K168" s="4">
        <f t="shared" si="28"/>
        <v>503.90000000000026</v>
      </c>
      <c r="L168" s="4">
        <v>1.5</v>
      </c>
      <c r="M168" s="4">
        <f t="shared" si="29"/>
        <v>196.70000000000005</v>
      </c>
      <c r="N168" s="4">
        <f t="shared" si="26"/>
        <v>4.2</v>
      </c>
      <c r="O168" s="4">
        <v>153.6</v>
      </c>
      <c r="P168" s="4">
        <v>163</v>
      </c>
      <c r="Q168" s="12">
        <f t="shared" si="22"/>
        <v>1.0869158878504672</v>
      </c>
      <c r="R168" s="10">
        <f t="shared" si="23"/>
        <v>1.6303738317757008</v>
      </c>
      <c r="S168" s="10">
        <f t="shared" si="24"/>
        <v>4.0696261682242998</v>
      </c>
      <c r="T168" s="10">
        <f t="shared" si="30"/>
        <v>153.6</v>
      </c>
      <c r="V168" s="11">
        <v>153.9</v>
      </c>
      <c r="W168" s="4">
        <f t="shared" si="25"/>
        <v>26.084745762711865</v>
      </c>
      <c r="X168" s="4">
        <f t="shared" si="31"/>
        <v>72690.8</v>
      </c>
      <c r="Y168" s="4">
        <f t="shared" si="33"/>
        <v>16307.500000000004</v>
      </c>
      <c r="AA168" s="4">
        <v>9.9537342315050203</v>
      </c>
    </row>
    <row r="169" spans="1:27" s="4" customFormat="1" x14ac:dyDescent="0.25">
      <c r="A169" s="72"/>
      <c r="B169" s="5"/>
      <c r="C169" s="6">
        <v>41685</v>
      </c>
      <c r="D169" s="4">
        <v>9.1999999999999993</v>
      </c>
      <c r="E169" s="4">
        <v>7.3</v>
      </c>
      <c r="F169" s="4">
        <v>11.1</v>
      </c>
      <c r="G169" s="4">
        <f t="shared" si="27"/>
        <v>1466.8000000000002</v>
      </c>
      <c r="H169" s="4">
        <f t="shared" si="32"/>
        <v>409.9</v>
      </c>
      <c r="J169" s="4">
        <v>0.5</v>
      </c>
      <c r="K169" s="4">
        <f t="shared" si="28"/>
        <v>504.40000000000026</v>
      </c>
      <c r="L169" s="4">
        <v>2.5</v>
      </c>
      <c r="M169" s="4">
        <f t="shared" si="29"/>
        <v>199.20000000000005</v>
      </c>
      <c r="N169" s="9">
        <f t="shared" si="26"/>
        <v>-2</v>
      </c>
      <c r="O169" s="4">
        <v>151.6</v>
      </c>
      <c r="P169" s="4">
        <v>164</v>
      </c>
      <c r="Q169" s="12">
        <f t="shared" si="22"/>
        <v>1.0883177570093456</v>
      </c>
      <c r="R169" s="10">
        <f t="shared" si="23"/>
        <v>2.7207943925233642</v>
      </c>
      <c r="S169" s="10">
        <f t="shared" si="24"/>
        <v>-2.2207943925233642</v>
      </c>
      <c r="T169" s="10">
        <f t="shared" si="30"/>
        <v>151.37920560747662</v>
      </c>
      <c r="V169" s="11">
        <v>696.5</v>
      </c>
      <c r="W169" s="4">
        <f t="shared" si="25"/>
        <v>75.706521739130437</v>
      </c>
      <c r="X169" s="4">
        <f t="shared" si="31"/>
        <v>73387.3</v>
      </c>
      <c r="Y169" s="4">
        <f t="shared" si="33"/>
        <v>17004.000000000004</v>
      </c>
      <c r="AA169" s="4">
        <v>10.013720605465799</v>
      </c>
    </row>
    <row r="170" spans="1:27" s="4" customFormat="1" x14ac:dyDescent="0.25">
      <c r="A170" s="72"/>
      <c r="B170" s="5"/>
      <c r="C170" s="6">
        <v>41686</v>
      </c>
      <c r="D170" s="4">
        <v>6</v>
      </c>
      <c r="E170" s="4">
        <v>5.2</v>
      </c>
      <c r="F170" s="4">
        <v>7.9</v>
      </c>
      <c r="G170" s="4">
        <f t="shared" si="27"/>
        <v>1472.8000000000002</v>
      </c>
      <c r="H170" s="4">
        <f t="shared" si="32"/>
        <v>415.9</v>
      </c>
      <c r="J170" s="4">
        <v>0.3</v>
      </c>
      <c r="K170" s="4">
        <f t="shared" si="28"/>
        <v>504.70000000000027</v>
      </c>
      <c r="L170" s="4">
        <v>1.5</v>
      </c>
      <c r="M170" s="4">
        <f t="shared" si="29"/>
        <v>200.70000000000005</v>
      </c>
      <c r="N170" s="9">
        <f t="shared" si="26"/>
        <v>-1.2</v>
      </c>
      <c r="O170" s="4">
        <v>150.4</v>
      </c>
      <c r="P170" s="4">
        <v>165</v>
      </c>
      <c r="Q170" s="12">
        <f t="shared" si="22"/>
        <v>1.0897196261682243</v>
      </c>
      <c r="R170" s="10">
        <f t="shared" si="23"/>
        <v>1.6345794392523363</v>
      </c>
      <c r="S170" s="10">
        <f t="shared" si="24"/>
        <v>-1.3345794392523362</v>
      </c>
      <c r="T170" s="10">
        <f t="shared" si="30"/>
        <v>150.04462616822428</v>
      </c>
      <c r="V170" s="11">
        <v>625.5</v>
      </c>
      <c r="W170" s="4">
        <f t="shared" si="25"/>
        <v>104.25</v>
      </c>
      <c r="X170" s="4">
        <f t="shared" si="31"/>
        <v>74012.800000000003</v>
      </c>
      <c r="Y170" s="4">
        <f t="shared" si="33"/>
        <v>17629.500000000004</v>
      </c>
      <c r="AA170" s="4">
        <v>10.074039763726899</v>
      </c>
    </row>
    <row r="171" spans="1:27" s="4" customFormat="1" x14ac:dyDescent="0.25">
      <c r="A171" s="72"/>
      <c r="B171" s="5"/>
      <c r="C171" s="6">
        <v>41687</v>
      </c>
      <c r="D171" s="4">
        <v>6.2</v>
      </c>
      <c r="E171" s="13">
        <v>4.5</v>
      </c>
      <c r="F171" s="4">
        <v>7.9</v>
      </c>
      <c r="G171" s="4">
        <f t="shared" si="27"/>
        <v>1479.0000000000002</v>
      </c>
      <c r="H171" s="4">
        <f t="shared" si="32"/>
        <v>422.09999999999997</v>
      </c>
      <c r="J171" s="4">
        <v>0</v>
      </c>
      <c r="K171" s="4">
        <f t="shared" si="28"/>
        <v>504.70000000000027</v>
      </c>
      <c r="L171" s="4">
        <v>0.8</v>
      </c>
      <c r="M171" s="4">
        <f t="shared" si="29"/>
        <v>201.50000000000006</v>
      </c>
      <c r="N171" s="9">
        <f t="shared" si="26"/>
        <v>-0.8</v>
      </c>
      <c r="O171" s="4">
        <v>149.6</v>
      </c>
      <c r="P171" s="4">
        <v>166</v>
      </c>
      <c r="Q171" s="12">
        <f t="shared" si="22"/>
        <v>1.0911214953271027</v>
      </c>
      <c r="R171" s="10">
        <f t="shared" si="23"/>
        <v>0.87289719626168216</v>
      </c>
      <c r="S171" s="10">
        <f t="shared" si="24"/>
        <v>-0.87289719626168216</v>
      </c>
      <c r="T171" s="10">
        <f t="shared" si="30"/>
        <v>149.17172897196261</v>
      </c>
      <c r="V171" s="11">
        <v>277</v>
      </c>
      <c r="W171" s="4">
        <f t="shared" si="25"/>
        <v>44.677419354838712</v>
      </c>
      <c r="X171" s="4">
        <f t="shared" si="31"/>
        <v>74289.8</v>
      </c>
      <c r="Y171" s="4">
        <f t="shared" si="33"/>
        <v>17906.500000000004</v>
      </c>
      <c r="AA171" s="4">
        <v>10.134673363052</v>
      </c>
    </row>
    <row r="172" spans="1:27" s="4" customFormat="1" x14ac:dyDescent="0.25">
      <c r="A172" s="72"/>
      <c r="B172" s="5"/>
      <c r="C172" s="6">
        <v>41688</v>
      </c>
      <c r="D172" s="4">
        <v>6.2</v>
      </c>
      <c r="E172" s="13">
        <v>5</v>
      </c>
      <c r="F172" s="4">
        <v>7</v>
      </c>
      <c r="G172" s="4">
        <f t="shared" si="27"/>
        <v>1485.2000000000003</v>
      </c>
      <c r="H172" s="4">
        <f t="shared" si="32"/>
        <v>428.29999999999995</v>
      </c>
      <c r="J172" s="4">
        <v>0.9</v>
      </c>
      <c r="K172" s="4">
        <f t="shared" si="28"/>
        <v>505.60000000000025</v>
      </c>
      <c r="L172" s="4">
        <v>0.7</v>
      </c>
      <c r="M172" s="4">
        <f t="shared" si="29"/>
        <v>202.20000000000005</v>
      </c>
      <c r="N172" s="4">
        <f t="shared" si="26"/>
        <v>0.20000000000000007</v>
      </c>
      <c r="O172" s="4">
        <v>149.79999999999998</v>
      </c>
      <c r="P172" s="4">
        <v>167</v>
      </c>
      <c r="Q172" s="12">
        <f t="shared" ref="Q172:Q213" si="34">1+((P172-101)/107)*(1.15-1)</f>
        <v>1.0925233644859813</v>
      </c>
      <c r="R172" s="10">
        <f t="shared" si="23"/>
        <v>0.76476635514018687</v>
      </c>
      <c r="S172" s="10">
        <f t="shared" si="24"/>
        <v>0.13523364485981315</v>
      </c>
      <c r="T172" s="10">
        <f t="shared" si="30"/>
        <v>149.30696261682243</v>
      </c>
      <c r="V172" s="11">
        <v>378.5</v>
      </c>
      <c r="W172" s="4">
        <f t="shared" si="25"/>
        <v>61.048387096774192</v>
      </c>
      <c r="X172" s="4">
        <f t="shared" si="31"/>
        <v>74668.3</v>
      </c>
      <c r="Y172" s="4">
        <f t="shared" si="33"/>
        <v>18285.000000000004</v>
      </c>
      <c r="AA172" s="4">
        <v>10.195603765348601</v>
      </c>
    </row>
    <row r="173" spans="1:27" s="4" customFormat="1" x14ac:dyDescent="0.25">
      <c r="A173" s="72"/>
      <c r="B173" s="5"/>
      <c r="C173" s="6">
        <v>41689</v>
      </c>
      <c r="D173" s="4">
        <v>7.4</v>
      </c>
      <c r="E173" s="13">
        <v>4</v>
      </c>
      <c r="F173" s="4">
        <v>10.5</v>
      </c>
      <c r="G173" s="4">
        <f t="shared" si="27"/>
        <v>1492.6000000000004</v>
      </c>
      <c r="H173" s="4">
        <f t="shared" si="32"/>
        <v>435.69999999999993</v>
      </c>
      <c r="J173" s="4">
        <v>0.4</v>
      </c>
      <c r="K173" s="4">
        <f t="shared" si="28"/>
        <v>506.00000000000023</v>
      </c>
      <c r="L173" s="4">
        <v>1</v>
      </c>
      <c r="M173" s="4">
        <f t="shared" si="29"/>
        <v>203.20000000000005</v>
      </c>
      <c r="N173" s="9">
        <f t="shared" si="26"/>
        <v>-0.6</v>
      </c>
      <c r="O173" s="4">
        <v>149.19999999999999</v>
      </c>
      <c r="P173" s="4">
        <v>168</v>
      </c>
      <c r="Q173" s="12">
        <f t="shared" si="34"/>
        <v>1.0939252336448597</v>
      </c>
      <c r="R173" s="10">
        <f t="shared" si="23"/>
        <v>1.0939252336448597</v>
      </c>
      <c r="S173" s="10">
        <f t="shared" si="24"/>
        <v>-0.6939252336448597</v>
      </c>
      <c r="T173" s="10">
        <f t="shared" si="30"/>
        <v>148.61303738317758</v>
      </c>
      <c r="V173" s="11">
        <v>393.6</v>
      </c>
      <c r="W173" s="4">
        <f t="shared" si="25"/>
        <v>53.189189189189193</v>
      </c>
      <c r="X173" s="4">
        <f t="shared" si="31"/>
        <v>75061.900000000009</v>
      </c>
      <c r="Y173" s="4">
        <f t="shared" si="33"/>
        <v>18678.600000000002</v>
      </c>
      <c r="AA173" s="4">
        <v>10.2568140214922</v>
      </c>
    </row>
    <row r="174" spans="1:27" s="4" customFormat="1" x14ac:dyDescent="0.25">
      <c r="A174" s="72"/>
      <c r="B174" s="5"/>
      <c r="C174" s="6">
        <v>41690</v>
      </c>
      <c r="D174" s="4">
        <v>9.3000000000000007</v>
      </c>
      <c r="E174" s="4">
        <v>7.7</v>
      </c>
      <c r="F174" s="4">
        <v>11.1</v>
      </c>
      <c r="G174" s="4">
        <f t="shared" si="27"/>
        <v>1501.9000000000003</v>
      </c>
      <c r="H174" s="4">
        <f t="shared" si="32"/>
        <v>444.99999999999994</v>
      </c>
      <c r="J174" s="4">
        <v>6.3</v>
      </c>
      <c r="K174" s="4">
        <f t="shared" si="28"/>
        <v>512.30000000000018</v>
      </c>
      <c r="L174" s="4">
        <v>0.6</v>
      </c>
      <c r="M174" s="4">
        <f t="shared" si="29"/>
        <v>203.80000000000004</v>
      </c>
      <c r="N174" s="4">
        <f t="shared" si="26"/>
        <v>5.7</v>
      </c>
      <c r="O174" s="4">
        <v>153.6</v>
      </c>
      <c r="P174" s="4">
        <v>169</v>
      </c>
      <c r="Q174" s="12">
        <f t="shared" si="34"/>
        <v>1.0953271028037384</v>
      </c>
      <c r="R174" s="10">
        <f t="shared" si="23"/>
        <v>0.65719626168224299</v>
      </c>
      <c r="S174" s="10">
        <f t="shared" si="24"/>
        <v>5.6428037383177569</v>
      </c>
      <c r="T174" s="10">
        <f t="shared" si="30"/>
        <v>153.6</v>
      </c>
      <c r="V174" s="11">
        <v>176.1</v>
      </c>
      <c r="W174" s="4">
        <f t="shared" si="25"/>
        <v>18.93548387096774</v>
      </c>
      <c r="X174" s="4">
        <f t="shared" si="31"/>
        <v>75238.000000000015</v>
      </c>
      <c r="Y174" s="4">
        <f t="shared" si="33"/>
        <v>18854.7</v>
      </c>
      <c r="AA174" s="4">
        <v>10.318287854155701</v>
      </c>
    </row>
    <row r="175" spans="1:27" s="4" customFormat="1" x14ac:dyDescent="0.25">
      <c r="A175" s="72"/>
      <c r="B175" s="5"/>
      <c r="C175" s="6">
        <v>41691</v>
      </c>
      <c r="D175" s="4">
        <v>6.1</v>
      </c>
      <c r="E175" s="4">
        <v>5.6</v>
      </c>
      <c r="F175" s="4">
        <v>6.7</v>
      </c>
      <c r="G175" s="4">
        <f t="shared" si="27"/>
        <v>1508.0000000000002</v>
      </c>
      <c r="H175" s="4">
        <f t="shared" si="32"/>
        <v>451.09999999999997</v>
      </c>
      <c r="J175" s="4">
        <v>1.8</v>
      </c>
      <c r="K175" s="4">
        <f t="shared" si="28"/>
        <v>514.10000000000014</v>
      </c>
      <c r="L175" s="4">
        <v>1.2</v>
      </c>
      <c r="M175" s="4">
        <f t="shared" si="29"/>
        <v>205.00000000000003</v>
      </c>
      <c r="N175" s="4">
        <f t="shared" si="26"/>
        <v>0.60000000000000009</v>
      </c>
      <c r="O175" s="4">
        <v>153.6</v>
      </c>
      <c r="P175" s="4">
        <v>170</v>
      </c>
      <c r="Q175" s="12">
        <f t="shared" si="34"/>
        <v>1.0967289719626168</v>
      </c>
      <c r="R175" s="10">
        <f t="shared" si="23"/>
        <v>1.31607476635514</v>
      </c>
      <c r="S175" s="10">
        <f t="shared" si="24"/>
        <v>0.48392523364486006</v>
      </c>
      <c r="T175" s="10">
        <f t="shared" si="30"/>
        <v>153.6</v>
      </c>
      <c r="V175" s="11">
        <v>625.70000000000005</v>
      </c>
      <c r="W175" s="4">
        <f t="shared" si="25"/>
        <v>102.57377049180329</v>
      </c>
      <c r="X175" s="4">
        <f t="shared" si="31"/>
        <v>75863.700000000012</v>
      </c>
      <c r="Y175" s="4">
        <f t="shared" si="33"/>
        <v>19480.400000000001</v>
      </c>
      <c r="AA175" s="4">
        <v>10.3800096397642</v>
      </c>
    </row>
    <row r="176" spans="1:27" s="4" customFormat="1" x14ac:dyDescent="0.25">
      <c r="A176" s="72"/>
      <c r="B176" s="5"/>
      <c r="C176" s="6">
        <v>41692</v>
      </c>
      <c r="D176" s="4">
        <v>6.6</v>
      </c>
      <c r="E176" s="4">
        <v>4.5</v>
      </c>
      <c r="F176" s="4">
        <v>9.5</v>
      </c>
      <c r="G176" s="4">
        <f t="shared" si="27"/>
        <v>1514.6000000000001</v>
      </c>
      <c r="H176" s="4">
        <f t="shared" si="32"/>
        <v>457.7</v>
      </c>
      <c r="J176" s="4">
        <v>0</v>
      </c>
      <c r="K176" s="4">
        <f t="shared" si="28"/>
        <v>514.10000000000014</v>
      </c>
      <c r="L176" s="4">
        <v>1.6</v>
      </c>
      <c r="M176" s="4">
        <f t="shared" si="29"/>
        <v>206.60000000000002</v>
      </c>
      <c r="N176" s="9">
        <f t="shared" si="26"/>
        <v>-1.6</v>
      </c>
      <c r="O176" s="4">
        <v>152</v>
      </c>
      <c r="P176" s="4">
        <v>171</v>
      </c>
      <c r="Q176" s="12">
        <f t="shared" si="34"/>
        <v>1.0981308411214952</v>
      </c>
      <c r="R176" s="10">
        <f t="shared" si="23"/>
        <v>1.7570093457943923</v>
      </c>
      <c r="S176" s="10">
        <f t="shared" si="24"/>
        <v>-1.7570093457943923</v>
      </c>
      <c r="T176" s="10">
        <f t="shared" si="30"/>
        <v>151.84299065420561</v>
      </c>
      <c r="V176" s="4">
        <v>908.9</v>
      </c>
      <c r="W176" s="4">
        <f t="shared" si="25"/>
        <v>137.71212121212122</v>
      </c>
      <c r="X176" s="4">
        <f t="shared" si="31"/>
        <v>76772.600000000006</v>
      </c>
      <c r="Y176" s="4">
        <f t="shared" si="33"/>
        <v>20389.300000000003</v>
      </c>
      <c r="AA176" s="4">
        <v>10.4419643896941</v>
      </c>
    </row>
    <row r="177" spans="1:28" s="4" customFormat="1" x14ac:dyDescent="0.25">
      <c r="A177" s="72"/>
      <c r="B177" s="5"/>
      <c r="C177" s="6">
        <v>41693</v>
      </c>
      <c r="D177" s="4">
        <v>8.4</v>
      </c>
      <c r="E177" s="4">
        <v>4.9000000000000004</v>
      </c>
      <c r="F177" s="4">
        <v>12</v>
      </c>
      <c r="G177" s="4">
        <f t="shared" si="27"/>
        <v>1523.0000000000002</v>
      </c>
      <c r="H177" s="4">
        <f t="shared" si="32"/>
        <v>466.09999999999997</v>
      </c>
      <c r="J177" s="4">
        <v>0</v>
      </c>
      <c r="K177" s="4">
        <f t="shared" si="28"/>
        <v>514.10000000000014</v>
      </c>
      <c r="L177" s="4">
        <v>1.2</v>
      </c>
      <c r="M177" s="4">
        <f t="shared" si="29"/>
        <v>207.8</v>
      </c>
      <c r="N177" s="9">
        <f t="shared" si="26"/>
        <v>-1.2</v>
      </c>
      <c r="O177" s="4">
        <v>150.80000000000001</v>
      </c>
      <c r="P177" s="4">
        <v>172</v>
      </c>
      <c r="Q177" s="12">
        <f t="shared" si="34"/>
        <v>1.0995327102803738</v>
      </c>
      <c r="R177" s="10">
        <f t="shared" si="23"/>
        <v>1.3194392523364484</v>
      </c>
      <c r="S177" s="10">
        <f t="shared" si="24"/>
        <v>-1.3194392523364484</v>
      </c>
      <c r="T177" s="10">
        <f t="shared" si="30"/>
        <v>150.52355140186916</v>
      </c>
      <c r="V177" s="11">
        <v>747.3</v>
      </c>
      <c r="W177" s="4">
        <f t="shared" si="25"/>
        <v>88.964285714285708</v>
      </c>
      <c r="X177" s="4">
        <f t="shared" si="31"/>
        <v>77519.900000000009</v>
      </c>
      <c r="Y177" s="4">
        <f t="shared" si="33"/>
        <v>21136.600000000002</v>
      </c>
      <c r="AA177" s="4">
        <v>10.504137730819901</v>
      </c>
    </row>
    <row r="178" spans="1:28" s="4" customFormat="1" x14ac:dyDescent="0.25">
      <c r="A178" s="72"/>
      <c r="B178" s="5"/>
      <c r="C178" s="6">
        <v>41694</v>
      </c>
      <c r="D178" s="4">
        <v>8.9</v>
      </c>
      <c r="E178" s="4">
        <v>5.5</v>
      </c>
      <c r="F178" s="4">
        <v>11.9</v>
      </c>
      <c r="G178" s="4">
        <f t="shared" si="27"/>
        <v>1531.9000000000003</v>
      </c>
      <c r="H178" s="4">
        <f t="shared" si="32"/>
        <v>474.99999999999994</v>
      </c>
      <c r="J178" s="4">
        <v>0.1</v>
      </c>
      <c r="K178" s="4">
        <f t="shared" si="28"/>
        <v>514.20000000000016</v>
      </c>
      <c r="L178" s="4">
        <v>1.5</v>
      </c>
      <c r="M178" s="4">
        <f t="shared" si="29"/>
        <v>209.3</v>
      </c>
      <c r="N178" s="9">
        <f t="shared" si="26"/>
        <v>-1.4</v>
      </c>
      <c r="O178" s="4">
        <v>149.4</v>
      </c>
      <c r="P178" s="4">
        <v>173</v>
      </c>
      <c r="Q178" s="12">
        <f t="shared" si="34"/>
        <v>1.1009345794392522</v>
      </c>
      <c r="R178" s="10">
        <f t="shared" si="23"/>
        <v>1.6514018691588783</v>
      </c>
      <c r="S178" s="10">
        <f t="shared" si="24"/>
        <v>-1.5514018691588782</v>
      </c>
      <c r="T178" s="10">
        <f t="shared" si="30"/>
        <v>148.97214953271029</v>
      </c>
      <c r="V178" s="11">
        <v>865.5</v>
      </c>
      <c r="W178" s="4">
        <f t="shared" si="25"/>
        <v>97.247191011235955</v>
      </c>
      <c r="X178" s="4">
        <f t="shared" si="31"/>
        <v>78385.400000000009</v>
      </c>
      <c r="Y178" s="4">
        <f t="shared" si="33"/>
        <v>22002.100000000002</v>
      </c>
      <c r="AA178" s="4">
        <v>10.566515885508799</v>
      </c>
    </row>
    <row r="179" spans="1:28" s="4" customFormat="1" x14ac:dyDescent="0.25">
      <c r="A179" s="72"/>
      <c r="B179" s="5"/>
      <c r="C179" s="6">
        <v>41695</v>
      </c>
      <c r="D179" s="4">
        <v>8.1999999999999993</v>
      </c>
      <c r="E179" s="4">
        <v>7.1</v>
      </c>
      <c r="F179" s="4">
        <v>11.5</v>
      </c>
      <c r="G179" s="4">
        <f t="shared" si="27"/>
        <v>1540.1000000000004</v>
      </c>
      <c r="H179" s="4">
        <f t="shared" si="32"/>
        <v>483.19999999999993</v>
      </c>
      <c r="J179" s="4">
        <v>5.2</v>
      </c>
      <c r="K179" s="4">
        <f t="shared" si="28"/>
        <v>519.4000000000002</v>
      </c>
      <c r="L179" s="4">
        <v>1.7</v>
      </c>
      <c r="M179" s="4">
        <f t="shared" si="29"/>
        <v>211</v>
      </c>
      <c r="N179" s="4">
        <f t="shared" si="26"/>
        <v>3.5</v>
      </c>
      <c r="O179" s="4">
        <v>152.9</v>
      </c>
      <c r="P179" s="4">
        <v>174</v>
      </c>
      <c r="Q179" s="12">
        <f t="shared" si="34"/>
        <v>1.1023364485981308</v>
      </c>
      <c r="R179" s="10">
        <f t="shared" si="23"/>
        <v>1.8739719626168223</v>
      </c>
      <c r="S179" s="10">
        <f t="shared" si="24"/>
        <v>3.3260280373831779</v>
      </c>
      <c r="T179" s="10">
        <f t="shared" si="30"/>
        <v>152.29817757009346</v>
      </c>
      <c r="V179" s="11">
        <v>650.70000000000005</v>
      </c>
      <c r="W179" s="4">
        <f t="shared" si="25"/>
        <v>79.353658536585385</v>
      </c>
      <c r="X179" s="4">
        <f t="shared" si="31"/>
        <v>79036.100000000006</v>
      </c>
      <c r="Y179" s="4">
        <f t="shared" si="33"/>
        <v>22652.800000000003</v>
      </c>
      <c r="AA179" s="4">
        <v>10.6290856511529</v>
      </c>
    </row>
    <row r="180" spans="1:28" s="4" customFormat="1" x14ac:dyDescent="0.25">
      <c r="A180" s="72"/>
      <c r="B180" s="5"/>
      <c r="C180" s="6">
        <v>41696</v>
      </c>
      <c r="D180" s="4">
        <v>6.3</v>
      </c>
      <c r="E180" s="13">
        <v>3.2</v>
      </c>
      <c r="F180" s="4">
        <v>9.9</v>
      </c>
      <c r="G180" s="4">
        <f t="shared" si="27"/>
        <v>1546.4000000000003</v>
      </c>
      <c r="H180" s="4">
        <f t="shared" si="32"/>
        <v>489.49999999999994</v>
      </c>
      <c r="J180" s="4">
        <v>0.1</v>
      </c>
      <c r="K180" s="4">
        <f t="shared" si="28"/>
        <v>519.50000000000023</v>
      </c>
      <c r="L180" s="4">
        <v>1.5</v>
      </c>
      <c r="M180" s="4">
        <f t="shared" si="29"/>
        <v>212.5</v>
      </c>
      <c r="N180" s="9">
        <f t="shared" si="26"/>
        <v>-1.4</v>
      </c>
      <c r="O180" s="4">
        <v>151.5</v>
      </c>
      <c r="P180" s="4">
        <v>175</v>
      </c>
      <c r="Q180" s="12">
        <f t="shared" si="34"/>
        <v>1.1037383177570093</v>
      </c>
      <c r="R180" s="10">
        <f t="shared" si="23"/>
        <v>1.655607476635514</v>
      </c>
      <c r="S180" s="10">
        <f t="shared" si="24"/>
        <v>-1.5556074766355139</v>
      </c>
      <c r="T180" s="10">
        <f t="shared" si="30"/>
        <v>150.74257009345794</v>
      </c>
      <c r="V180" s="4">
        <v>974.9</v>
      </c>
      <c r="W180" s="4">
        <f t="shared" si="25"/>
        <v>154.74603174603175</v>
      </c>
      <c r="X180" s="4">
        <f t="shared" si="31"/>
        <v>80011</v>
      </c>
      <c r="Y180" s="4">
        <f t="shared" si="33"/>
        <v>23627.700000000004</v>
      </c>
      <c r="AA180" s="4">
        <v>10.6918343793206</v>
      </c>
    </row>
    <row r="181" spans="1:28" s="4" customFormat="1" x14ac:dyDescent="0.25">
      <c r="A181" s="72"/>
      <c r="B181" s="5"/>
      <c r="C181" s="6">
        <v>41697</v>
      </c>
      <c r="D181" s="4">
        <v>5.2</v>
      </c>
      <c r="E181" s="13">
        <v>3.6</v>
      </c>
      <c r="F181" s="4">
        <v>7.2</v>
      </c>
      <c r="G181" s="4">
        <f t="shared" si="27"/>
        <v>1551.6000000000004</v>
      </c>
      <c r="H181" s="4">
        <f t="shared" si="32"/>
        <v>494.69999999999993</v>
      </c>
      <c r="J181" s="4">
        <v>4.4000000000000004</v>
      </c>
      <c r="K181" s="4">
        <f t="shared" si="28"/>
        <v>523.9000000000002</v>
      </c>
      <c r="L181" s="4">
        <v>0.7</v>
      </c>
      <c r="M181" s="4">
        <f t="shared" si="29"/>
        <v>213.2</v>
      </c>
      <c r="N181" s="4">
        <f t="shared" si="26"/>
        <v>3.7</v>
      </c>
      <c r="O181" s="4">
        <v>153.6</v>
      </c>
      <c r="P181" s="4">
        <v>176</v>
      </c>
      <c r="Q181" s="12">
        <f t="shared" si="34"/>
        <v>1.1051401869158877</v>
      </c>
      <c r="R181" s="10">
        <f t="shared" si="23"/>
        <v>0.77359813084112128</v>
      </c>
      <c r="S181" s="10">
        <f t="shared" si="24"/>
        <v>3.6264018691588791</v>
      </c>
      <c r="T181" s="10">
        <f t="shared" si="30"/>
        <v>153.6</v>
      </c>
      <c r="V181" s="11">
        <v>220</v>
      </c>
      <c r="W181" s="4">
        <f t="shared" si="25"/>
        <v>42.307692307692307</v>
      </c>
      <c r="X181" s="4">
        <f t="shared" si="31"/>
        <v>80231</v>
      </c>
      <c r="Y181" s="4">
        <f t="shared" si="33"/>
        <v>23847.700000000004</v>
      </c>
      <c r="AA181" s="4">
        <v>10.7547499546026</v>
      </c>
    </row>
    <row r="182" spans="1:28" s="4" customFormat="1" x14ac:dyDescent="0.25">
      <c r="A182" s="72"/>
      <c r="B182" s="5"/>
      <c r="C182" s="6">
        <v>41698</v>
      </c>
      <c r="D182" s="13">
        <v>4.3</v>
      </c>
      <c r="E182" s="13">
        <v>3.2</v>
      </c>
      <c r="F182" s="4">
        <v>5.8</v>
      </c>
      <c r="G182" s="4">
        <f t="shared" si="27"/>
        <v>1555.9000000000003</v>
      </c>
      <c r="H182" s="4">
        <f t="shared" si="32"/>
        <v>498.99999999999994</v>
      </c>
      <c r="J182" s="4">
        <v>10.7</v>
      </c>
      <c r="K182" s="4">
        <f t="shared" si="28"/>
        <v>534.60000000000025</v>
      </c>
      <c r="L182" s="4">
        <v>0.4</v>
      </c>
      <c r="M182" s="4">
        <f t="shared" si="29"/>
        <v>213.6</v>
      </c>
      <c r="N182" s="4">
        <f t="shared" si="26"/>
        <v>10.299999999999999</v>
      </c>
      <c r="O182" s="4">
        <v>153.6</v>
      </c>
      <c r="P182" s="4">
        <v>177</v>
      </c>
      <c r="Q182" s="12">
        <f t="shared" si="34"/>
        <v>1.1065420560747663</v>
      </c>
      <c r="R182" s="10">
        <f t="shared" si="23"/>
        <v>0.44261682242990652</v>
      </c>
      <c r="S182" s="10">
        <f t="shared" si="24"/>
        <v>10.257383177570093</v>
      </c>
      <c r="T182" s="10">
        <f t="shared" si="30"/>
        <v>153.6</v>
      </c>
      <c r="V182" s="11">
        <v>184.8</v>
      </c>
      <c r="W182" s="4">
        <f t="shared" si="25"/>
        <v>42.976744186046517</v>
      </c>
      <c r="X182" s="4">
        <f t="shared" si="31"/>
        <v>80415.8</v>
      </c>
      <c r="Y182" s="4">
        <f t="shared" si="33"/>
        <v>24032.500000000004</v>
      </c>
      <c r="AA182" s="4">
        <v>10.817820773220401</v>
      </c>
    </row>
    <row r="183" spans="1:28" s="4" customFormat="1" x14ac:dyDescent="0.25">
      <c r="A183" s="72"/>
      <c r="B183" s="5"/>
      <c r="C183" s="6">
        <v>41699</v>
      </c>
      <c r="D183" s="13">
        <v>4.5999999999999996</v>
      </c>
      <c r="E183" s="13">
        <v>4.0999999999999996</v>
      </c>
      <c r="F183" s="4">
        <v>6.1</v>
      </c>
      <c r="G183" s="4">
        <f t="shared" si="27"/>
        <v>1560.5000000000002</v>
      </c>
      <c r="H183" s="4">
        <f t="shared" si="32"/>
        <v>503.59999999999997</v>
      </c>
      <c r="J183" s="4">
        <v>2.5</v>
      </c>
      <c r="K183" s="4">
        <f t="shared" si="28"/>
        <v>537.10000000000025</v>
      </c>
      <c r="L183" s="4">
        <v>0.4</v>
      </c>
      <c r="M183" s="4">
        <f t="shared" si="29"/>
        <v>214</v>
      </c>
      <c r="N183" s="4">
        <f t="shared" si="26"/>
        <v>2.1</v>
      </c>
      <c r="O183" s="4">
        <v>153.6</v>
      </c>
      <c r="P183" s="4">
        <v>178</v>
      </c>
      <c r="Q183" s="12">
        <f t="shared" si="34"/>
        <v>1.1079439252336447</v>
      </c>
      <c r="R183" s="10">
        <f t="shared" si="23"/>
        <v>0.44317757009345793</v>
      </c>
      <c r="S183" s="10">
        <f t="shared" si="24"/>
        <v>2.0568224299065418</v>
      </c>
      <c r="T183" s="10">
        <f t="shared" si="30"/>
        <v>153.6</v>
      </c>
      <c r="V183" s="11">
        <v>210.9</v>
      </c>
      <c r="W183" s="4">
        <f t="shared" si="25"/>
        <v>45.847826086956523</v>
      </c>
      <c r="X183" s="4">
        <f t="shared" si="31"/>
        <v>80626.7</v>
      </c>
      <c r="Y183" s="4">
        <f t="shared" si="33"/>
        <v>24243.400000000005</v>
      </c>
      <c r="AA183" s="4">
        <v>10.881035721457801</v>
      </c>
    </row>
    <row r="184" spans="1:28" s="4" customFormat="1" x14ac:dyDescent="0.25">
      <c r="A184" s="72"/>
      <c r="B184" s="5"/>
      <c r="C184" s="6">
        <v>41700</v>
      </c>
      <c r="D184" s="4">
        <v>5.3</v>
      </c>
      <c r="E184" s="13">
        <v>0.2</v>
      </c>
      <c r="F184" s="4">
        <v>9.6</v>
      </c>
      <c r="G184" s="4">
        <f t="shared" si="27"/>
        <v>1565.8000000000002</v>
      </c>
      <c r="H184" s="4">
        <f t="shared" si="32"/>
        <v>508.9</v>
      </c>
      <c r="J184" s="4">
        <v>5</v>
      </c>
      <c r="K184" s="4">
        <f t="shared" si="28"/>
        <v>542.10000000000025</v>
      </c>
      <c r="L184" s="4">
        <v>1.5</v>
      </c>
      <c r="M184" s="4">
        <f t="shared" si="29"/>
        <v>215.5</v>
      </c>
      <c r="N184" s="4">
        <f t="shared" si="26"/>
        <v>3.5</v>
      </c>
      <c r="O184" s="4">
        <v>153.6</v>
      </c>
      <c r="P184" s="4">
        <v>179</v>
      </c>
      <c r="Q184" s="12">
        <f t="shared" si="34"/>
        <v>1.1093457943925233</v>
      </c>
      <c r="R184" s="10">
        <f t="shared" si="23"/>
        <v>1.6640186915887849</v>
      </c>
      <c r="S184" s="10">
        <f t="shared" si="24"/>
        <v>3.3359813084112151</v>
      </c>
      <c r="T184" s="10">
        <f t="shared" si="30"/>
        <v>153.6</v>
      </c>
      <c r="V184" s="4">
        <v>973.7</v>
      </c>
      <c r="W184" s="4">
        <f t="shared" si="25"/>
        <v>183.71698113207549</v>
      </c>
      <c r="X184" s="4">
        <f t="shared" si="31"/>
        <v>81600.399999999994</v>
      </c>
      <c r="Y184" s="4">
        <f t="shared" si="33"/>
        <v>25217.100000000006</v>
      </c>
      <c r="AA184" s="4">
        <v>10.9443841539697</v>
      </c>
    </row>
    <row r="185" spans="1:28" s="4" customFormat="1" x14ac:dyDescent="0.25">
      <c r="A185" s="72"/>
      <c r="B185" s="5"/>
      <c r="C185" s="6">
        <v>41701</v>
      </c>
      <c r="D185" s="4">
        <v>6.5</v>
      </c>
      <c r="E185" s="4">
        <v>5.5</v>
      </c>
      <c r="F185" s="4">
        <v>8.9</v>
      </c>
      <c r="G185" s="4">
        <f t="shared" si="27"/>
        <v>1572.3000000000002</v>
      </c>
      <c r="H185" s="4">
        <f t="shared" si="32"/>
        <v>515.4</v>
      </c>
      <c r="J185" s="90">
        <v>3.4</v>
      </c>
      <c r="K185" s="4">
        <f t="shared" si="28"/>
        <v>545.50000000000023</v>
      </c>
      <c r="L185" s="4">
        <v>1.6</v>
      </c>
      <c r="M185" s="4">
        <f t="shared" si="29"/>
        <v>217.1</v>
      </c>
      <c r="N185" s="4">
        <f t="shared" si="26"/>
        <v>1.7999999999999998</v>
      </c>
      <c r="O185" s="4">
        <v>153.6</v>
      </c>
      <c r="P185" s="4">
        <v>180</v>
      </c>
      <c r="Q185" s="12">
        <f t="shared" si="34"/>
        <v>1.1107476635514018</v>
      </c>
      <c r="R185" s="10">
        <f t="shared" si="23"/>
        <v>1.777196261682243</v>
      </c>
      <c r="S185" s="10">
        <f t="shared" si="24"/>
        <v>1.6228037383177569</v>
      </c>
      <c r="T185" s="10">
        <f t="shared" si="30"/>
        <v>153.6</v>
      </c>
      <c r="V185" s="11">
        <v>616.1</v>
      </c>
      <c r="W185" s="4">
        <f t="shared" si="25"/>
        <v>94.784615384615392</v>
      </c>
      <c r="X185" s="4">
        <f t="shared" si="31"/>
        <v>82216.5</v>
      </c>
      <c r="Y185" s="4">
        <f t="shared" si="33"/>
        <v>25833.200000000004</v>
      </c>
      <c r="AA185" s="4">
        <v>11.007855872017499</v>
      </c>
      <c r="AB185" s="89" t="s">
        <v>53</v>
      </c>
    </row>
    <row r="186" spans="1:28" s="4" customFormat="1" x14ac:dyDescent="0.25">
      <c r="A186" s="72"/>
      <c r="B186" s="5"/>
      <c r="C186" s="6">
        <v>41702</v>
      </c>
      <c r="D186" s="4">
        <v>5.2</v>
      </c>
      <c r="E186" s="13">
        <v>2.2000000000000002</v>
      </c>
      <c r="F186" s="4">
        <v>9.1</v>
      </c>
      <c r="G186" s="4">
        <f t="shared" si="27"/>
        <v>1577.5000000000002</v>
      </c>
      <c r="H186" s="4">
        <f t="shared" si="32"/>
        <v>520.6</v>
      </c>
      <c r="J186" s="90">
        <v>0.2</v>
      </c>
      <c r="K186" s="4">
        <f t="shared" si="28"/>
        <v>545.70000000000027</v>
      </c>
      <c r="L186" s="4">
        <v>1</v>
      </c>
      <c r="M186" s="4">
        <f t="shared" si="29"/>
        <v>218.1</v>
      </c>
      <c r="N186" s="9">
        <f t="shared" si="26"/>
        <v>-0.8</v>
      </c>
      <c r="O186" s="4">
        <v>152.79999999999998</v>
      </c>
      <c r="P186" s="4">
        <v>181</v>
      </c>
      <c r="Q186" s="12">
        <f t="shared" si="34"/>
        <v>1.1121495327102804</v>
      </c>
      <c r="R186" s="10">
        <f t="shared" si="23"/>
        <v>1.1121495327102804</v>
      </c>
      <c r="S186" s="10">
        <f t="shared" si="24"/>
        <v>-0.91214953271028043</v>
      </c>
      <c r="T186" s="10">
        <f t="shared" si="30"/>
        <v>152.68785046728971</v>
      </c>
      <c r="V186" s="11">
        <v>492</v>
      </c>
      <c r="W186" s="4">
        <f t="shared" si="25"/>
        <v>94.615384615384613</v>
      </c>
      <c r="X186" s="4">
        <f t="shared" si="31"/>
        <v>82708.5</v>
      </c>
      <c r="Y186" s="4">
        <f t="shared" si="33"/>
        <v>26325.200000000004</v>
      </c>
      <c r="AA186" s="4">
        <v>11.0714411016731</v>
      </c>
      <c r="AB186" s="10">
        <f>AVERAGE(T192:T205)</f>
        <v>127.64277036048063</v>
      </c>
    </row>
    <row r="187" spans="1:28" s="4" customFormat="1" x14ac:dyDescent="0.25">
      <c r="A187" s="72"/>
      <c r="B187" s="5"/>
      <c r="C187" s="6">
        <v>41703</v>
      </c>
      <c r="D187" s="4">
        <v>6</v>
      </c>
      <c r="E187" s="13">
        <v>0.5</v>
      </c>
      <c r="F187" s="4">
        <v>11.8</v>
      </c>
      <c r="G187" s="4">
        <f t="shared" si="27"/>
        <v>1583.5000000000002</v>
      </c>
      <c r="H187" s="4">
        <f t="shared" si="32"/>
        <v>526.6</v>
      </c>
      <c r="J187" s="90">
        <v>0</v>
      </c>
      <c r="K187" s="4">
        <f t="shared" si="28"/>
        <v>545.70000000000027</v>
      </c>
      <c r="L187" s="4">
        <v>1.6</v>
      </c>
      <c r="M187" s="4">
        <f t="shared" si="29"/>
        <v>219.7</v>
      </c>
      <c r="N187" s="9">
        <f t="shared" si="26"/>
        <v>-1.6</v>
      </c>
      <c r="O187" s="4">
        <v>151.19999999999999</v>
      </c>
      <c r="P187" s="4">
        <v>182</v>
      </c>
      <c r="Q187" s="12">
        <f t="shared" si="34"/>
        <v>1.1135514018691588</v>
      </c>
      <c r="R187" s="10">
        <f t="shared" si="23"/>
        <v>1.7816822429906543</v>
      </c>
      <c r="S187" s="10">
        <f t="shared" si="24"/>
        <v>-1.7816822429906543</v>
      </c>
      <c r="T187" s="10">
        <f t="shared" si="30"/>
        <v>150.90616822429905</v>
      </c>
      <c r="V187" s="4">
        <v>1017.4</v>
      </c>
      <c r="W187" s="4">
        <f t="shared" si="25"/>
        <v>169.56666666666666</v>
      </c>
      <c r="X187" s="4">
        <f t="shared" si="31"/>
        <v>83725.899999999994</v>
      </c>
      <c r="Y187" s="4">
        <f t="shared" si="33"/>
        <v>27342.600000000006</v>
      </c>
      <c r="AA187" s="4">
        <v>11.1351304720285</v>
      </c>
      <c r="AB187" s="89" t="s">
        <v>54</v>
      </c>
    </row>
    <row r="188" spans="1:28" s="4" customFormat="1" x14ac:dyDescent="0.25">
      <c r="A188" s="72"/>
      <c r="B188" s="5"/>
      <c r="C188" s="6">
        <v>41704</v>
      </c>
      <c r="D188" s="4">
        <v>6.7</v>
      </c>
      <c r="E188" s="13">
        <v>0.4</v>
      </c>
      <c r="F188" s="4">
        <v>12.6</v>
      </c>
      <c r="G188" s="4">
        <f t="shared" si="27"/>
        <v>1590.2000000000003</v>
      </c>
      <c r="H188" s="4">
        <f t="shared" si="32"/>
        <v>533.30000000000007</v>
      </c>
      <c r="J188" s="90">
        <v>0</v>
      </c>
      <c r="K188" s="4">
        <f t="shared" si="28"/>
        <v>545.70000000000027</v>
      </c>
      <c r="L188" s="4">
        <v>1.9</v>
      </c>
      <c r="M188" s="4">
        <f t="shared" si="29"/>
        <v>221.6</v>
      </c>
      <c r="N188" s="9">
        <f t="shared" si="26"/>
        <v>-1.9</v>
      </c>
      <c r="O188" s="4">
        <v>149.29999999999998</v>
      </c>
      <c r="P188" s="4">
        <v>183</v>
      </c>
      <c r="Q188" s="12">
        <f t="shared" si="34"/>
        <v>1.1149532710280372</v>
      </c>
      <c r="R188" s="10">
        <f t="shared" si="23"/>
        <v>2.1184112149532708</v>
      </c>
      <c r="S188" s="10">
        <f t="shared" si="24"/>
        <v>-2.1184112149532708</v>
      </c>
      <c r="T188" s="10">
        <f t="shared" si="30"/>
        <v>148.78775700934577</v>
      </c>
      <c r="V188" s="4">
        <v>1270.9000000000001</v>
      </c>
      <c r="W188" s="4">
        <f t="shared" si="25"/>
        <v>189.68656716417911</v>
      </c>
      <c r="X188" s="4">
        <f t="shared" si="31"/>
        <v>84996.799999999988</v>
      </c>
      <c r="Y188" s="4">
        <f t="shared" si="33"/>
        <v>28613.500000000007</v>
      </c>
      <c r="AA188" s="4">
        <v>11.1989149934452</v>
      </c>
      <c r="AB188" s="4">
        <v>7</v>
      </c>
    </row>
    <row r="189" spans="1:28" s="4" customFormat="1" x14ac:dyDescent="0.25">
      <c r="A189" s="72"/>
      <c r="B189" s="5"/>
      <c r="C189" s="6">
        <v>41705</v>
      </c>
      <c r="D189" s="4">
        <v>8.4</v>
      </c>
      <c r="E189" s="13">
        <v>3.7</v>
      </c>
      <c r="F189" s="4">
        <v>13.6</v>
      </c>
      <c r="G189" s="4">
        <f t="shared" si="27"/>
        <v>1598.6000000000004</v>
      </c>
      <c r="H189" s="4">
        <f t="shared" si="32"/>
        <v>541.70000000000005</v>
      </c>
      <c r="J189" s="90">
        <v>0</v>
      </c>
      <c r="K189" s="4">
        <f t="shared" si="28"/>
        <v>545.70000000000027</v>
      </c>
      <c r="L189" s="4">
        <v>1.7</v>
      </c>
      <c r="M189" s="4">
        <f t="shared" si="29"/>
        <v>223.29999999999998</v>
      </c>
      <c r="N189" s="9">
        <f t="shared" si="26"/>
        <v>-1.7</v>
      </c>
      <c r="O189" s="4">
        <v>147.6</v>
      </c>
      <c r="P189" s="4">
        <v>184</v>
      </c>
      <c r="Q189" s="12">
        <f t="shared" si="34"/>
        <v>1.1163551401869158</v>
      </c>
      <c r="R189" s="10">
        <f t="shared" si="23"/>
        <v>1.8978037383177568</v>
      </c>
      <c r="S189" s="10">
        <f t="shared" si="24"/>
        <v>-1.8978037383177568</v>
      </c>
      <c r="T189" s="10">
        <f t="shared" si="30"/>
        <v>146.88995327102802</v>
      </c>
      <c r="V189" s="4">
        <v>930.1</v>
      </c>
      <c r="W189" s="4">
        <f t="shared" si="25"/>
        <v>110.72619047619047</v>
      </c>
      <c r="X189" s="4">
        <f t="shared" si="31"/>
        <v>85926.9</v>
      </c>
      <c r="Y189" s="4">
        <f t="shared" si="33"/>
        <v>29543.600000000006</v>
      </c>
      <c r="AA189" s="4">
        <v>11.262786035868301</v>
      </c>
      <c r="AB189" s="89" t="s">
        <v>55</v>
      </c>
    </row>
    <row r="190" spans="1:28" s="4" customFormat="1" x14ac:dyDescent="0.25">
      <c r="A190" s="72"/>
      <c r="B190" s="5"/>
      <c r="C190" s="6">
        <v>41706</v>
      </c>
      <c r="D190" s="4">
        <v>9.8000000000000007</v>
      </c>
      <c r="E190" s="13">
        <v>3.6</v>
      </c>
      <c r="F190" s="4">
        <v>15.7</v>
      </c>
      <c r="G190" s="4">
        <f t="shared" si="27"/>
        <v>1608.4000000000003</v>
      </c>
      <c r="H190" s="4">
        <f t="shared" si="32"/>
        <v>551.5</v>
      </c>
      <c r="J190" s="90">
        <v>0</v>
      </c>
      <c r="K190" s="4">
        <f t="shared" si="28"/>
        <v>545.70000000000027</v>
      </c>
      <c r="L190" s="4">
        <v>2.4</v>
      </c>
      <c r="M190" s="4">
        <f t="shared" si="29"/>
        <v>225.7</v>
      </c>
      <c r="N190" s="9">
        <f t="shared" si="26"/>
        <v>-2.4</v>
      </c>
      <c r="O190" s="4">
        <v>145.19999999999999</v>
      </c>
      <c r="P190" s="4">
        <v>185</v>
      </c>
      <c r="Q190" s="12">
        <f t="shared" si="34"/>
        <v>1.1177570093457943</v>
      </c>
      <c r="R190" s="10">
        <f t="shared" si="23"/>
        <v>2.6826168224299063</v>
      </c>
      <c r="S190" s="10">
        <f t="shared" si="24"/>
        <v>-2.6826168224299063</v>
      </c>
      <c r="T190" s="10">
        <f t="shared" si="30"/>
        <v>144.20733644859811</v>
      </c>
      <c r="V190" s="4">
        <v>1367.3</v>
      </c>
      <c r="W190" s="4">
        <f t="shared" si="25"/>
        <v>139.5204081632653</v>
      </c>
      <c r="X190" s="4">
        <f t="shared" si="31"/>
        <v>87294.2</v>
      </c>
      <c r="Y190" s="4">
        <f t="shared" si="33"/>
        <v>30910.900000000005</v>
      </c>
      <c r="AA190" s="4">
        <v>11.326735307231599</v>
      </c>
      <c r="AB190" s="4">
        <v>6</v>
      </c>
    </row>
    <row r="191" spans="1:28" s="4" customFormat="1" x14ac:dyDescent="0.25">
      <c r="A191" s="72"/>
      <c r="B191" s="5"/>
      <c r="C191" s="6">
        <v>41707</v>
      </c>
      <c r="D191" s="4">
        <v>10.7</v>
      </c>
      <c r="E191" s="13">
        <v>2.9</v>
      </c>
      <c r="F191" s="4">
        <v>17.3</v>
      </c>
      <c r="G191" s="4">
        <f t="shared" si="27"/>
        <v>1619.1000000000004</v>
      </c>
      <c r="H191" s="4">
        <f t="shared" si="32"/>
        <v>562.20000000000005</v>
      </c>
      <c r="J191" s="90">
        <v>0</v>
      </c>
      <c r="K191" s="4">
        <f t="shared" si="28"/>
        <v>545.70000000000027</v>
      </c>
      <c r="L191" s="4">
        <v>2.9</v>
      </c>
      <c r="M191" s="4">
        <f t="shared" si="29"/>
        <v>228.6</v>
      </c>
      <c r="N191" s="9">
        <f t="shared" si="26"/>
        <v>-2.9</v>
      </c>
      <c r="O191" s="4">
        <v>142.29999999999998</v>
      </c>
      <c r="P191" s="4">
        <v>186</v>
      </c>
      <c r="Q191" s="12">
        <f t="shared" si="34"/>
        <v>1.1191588785046729</v>
      </c>
      <c r="R191" s="10">
        <f t="shared" si="23"/>
        <v>3.2455607476635513</v>
      </c>
      <c r="S191" s="10">
        <f t="shared" si="24"/>
        <v>-3.2455607476635513</v>
      </c>
      <c r="T191" s="10">
        <f t="shared" si="30"/>
        <v>140.96177570093457</v>
      </c>
      <c r="V191" s="4">
        <v>1597.4</v>
      </c>
      <c r="W191" s="4">
        <f t="shared" si="25"/>
        <v>149.28971962616825</v>
      </c>
      <c r="X191" s="4">
        <f t="shared" si="31"/>
        <v>88891.599999999991</v>
      </c>
      <c r="Y191" s="4">
        <f t="shared" si="33"/>
        <v>32508.300000000007</v>
      </c>
      <c r="AA191" s="4">
        <v>11.3907548319714</v>
      </c>
      <c r="AB191" s="89" t="s">
        <v>56</v>
      </c>
    </row>
    <row r="192" spans="1:28" s="4" customFormat="1" x14ac:dyDescent="0.25">
      <c r="A192" s="72"/>
      <c r="B192" s="5"/>
      <c r="C192" s="6">
        <v>41708</v>
      </c>
      <c r="D192" s="4">
        <v>9.1999999999999993</v>
      </c>
      <c r="E192" s="13">
        <v>2.2999999999999998</v>
      </c>
      <c r="F192" s="4">
        <v>17.600000000000001</v>
      </c>
      <c r="G192" s="4">
        <f t="shared" si="27"/>
        <v>1628.3000000000004</v>
      </c>
      <c r="H192" s="4">
        <f t="shared" si="32"/>
        <v>571.40000000000009</v>
      </c>
      <c r="J192" s="90">
        <v>0</v>
      </c>
      <c r="K192" s="4">
        <f t="shared" si="28"/>
        <v>545.70000000000027</v>
      </c>
      <c r="L192" s="4">
        <v>2.8</v>
      </c>
      <c r="M192" s="4">
        <f t="shared" si="29"/>
        <v>231.4</v>
      </c>
      <c r="N192" s="9">
        <f t="shared" si="26"/>
        <v>-2.8</v>
      </c>
      <c r="O192" s="4">
        <v>139.49999999999997</v>
      </c>
      <c r="P192" s="4">
        <v>187</v>
      </c>
      <c r="Q192" s="12">
        <f t="shared" si="34"/>
        <v>1.1205607476635513</v>
      </c>
      <c r="R192" s="10">
        <f t="shared" si="23"/>
        <v>3.1375700934579434</v>
      </c>
      <c r="S192" s="10">
        <f t="shared" si="24"/>
        <v>-3.1375700934579434</v>
      </c>
      <c r="T192" s="92">
        <f t="shared" si="30"/>
        <v>137.82420560747661</v>
      </c>
      <c r="V192" s="4">
        <v>1443</v>
      </c>
      <c r="W192" s="4">
        <f t="shared" si="25"/>
        <v>156.84782608695653</v>
      </c>
      <c r="X192" s="4">
        <f t="shared" si="31"/>
        <v>90334.599999999991</v>
      </c>
      <c r="Y192" s="4">
        <f t="shared" si="33"/>
        <v>33951.300000000003</v>
      </c>
      <c r="AA192" s="4">
        <v>11.454836929664401</v>
      </c>
      <c r="AB192" s="4">
        <v>0</v>
      </c>
    </row>
    <row r="193" spans="1:30" s="4" customFormat="1" x14ac:dyDescent="0.25">
      <c r="A193" s="72"/>
      <c r="B193" s="5"/>
      <c r="C193" s="6">
        <v>41709</v>
      </c>
      <c r="D193" s="4">
        <v>9.3000000000000007</v>
      </c>
      <c r="E193" s="4">
        <v>7.7</v>
      </c>
      <c r="F193" s="4">
        <v>11.1</v>
      </c>
      <c r="G193" s="4">
        <f t="shared" si="27"/>
        <v>1637.6000000000004</v>
      </c>
      <c r="H193" s="4">
        <f t="shared" si="32"/>
        <v>580.70000000000005</v>
      </c>
      <c r="J193" s="90">
        <v>0</v>
      </c>
      <c r="K193" s="4">
        <f t="shared" si="28"/>
        <v>545.70000000000027</v>
      </c>
      <c r="L193" s="4">
        <v>1.5</v>
      </c>
      <c r="M193" s="4">
        <f t="shared" si="29"/>
        <v>232.9</v>
      </c>
      <c r="N193" s="9">
        <f t="shared" si="26"/>
        <v>-1.5</v>
      </c>
      <c r="O193" s="4">
        <v>137.99999999999997</v>
      </c>
      <c r="P193" s="4">
        <v>188</v>
      </c>
      <c r="Q193" s="12">
        <f t="shared" si="34"/>
        <v>1.1219626168224299</v>
      </c>
      <c r="R193" s="10">
        <f t="shared" si="23"/>
        <v>1.6829439252336449</v>
      </c>
      <c r="S193" s="10">
        <f t="shared" si="24"/>
        <v>-1.6829439252336449</v>
      </c>
      <c r="T193" s="92">
        <f t="shared" si="30"/>
        <v>136.14126168224297</v>
      </c>
      <c r="V193" s="11">
        <v>807.4</v>
      </c>
      <c r="W193" s="4">
        <f t="shared" si="25"/>
        <v>86.817204301075265</v>
      </c>
      <c r="X193" s="4">
        <f t="shared" si="31"/>
        <v>91141.999999999985</v>
      </c>
      <c r="Y193" s="4">
        <f t="shared" si="33"/>
        <v>34758.700000000004</v>
      </c>
      <c r="AA193" s="4">
        <v>11.518974193804301</v>
      </c>
      <c r="AB193" s="89" t="s">
        <v>57</v>
      </c>
    </row>
    <row r="194" spans="1:30" s="4" customFormat="1" x14ac:dyDescent="0.25">
      <c r="A194" s="72"/>
      <c r="B194" s="5"/>
      <c r="C194" s="6">
        <v>41710</v>
      </c>
      <c r="D194" s="4">
        <v>9.6999999999999993</v>
      </c>
      <c r="E194" s="13">
        <v>2.8</v>
      </c>
      <c r="F194" s="4">
        <v>15</v>
      </c>
      <c r="G194" s="4">
        <f t="shared" si="27"/>
        <v>1647.3000000000004</v>
      </c>
      <c r="H194" s="4">
        <f t="shared" si="32"/>
        <v>590.40000000000009</v>
      </c>
      <c r="J194" s="90">
        <v>0.1</v>
      </c>
      <c r="K194" s="4">
        <f t="shared" si="28"/>
        <v>545.8000000000003</v>
      </c>
      <c r="L194" s="4">
        <v>2.1</v>
      </c>
      <c r="M194" s="4">
        <f t="shared" si="29"/>
        <v>235</v>
      </c>
      <c r="N194" s="9">
        <f t="shared" si="26"/>
        <v>-2</v>
      </c>
      <c r="O194" s="4">
        <v>135.99999999999997</v>
      </c>
      <c r="P194" s="4">
        <v>189</v>
      </c>
      <c r="Q194" s="12">
        <f t="shared" si="34"/>
        <v>1.1233644859813083</v>
      </c>
      <c r="R194" s="10">
        <f t="shared" si="23"/>
        <v>2.3590654205607478</v>
      </c>
      <c r="S194" s="10">
        <f t="shared" si="24"/>
        <v>-2.2590654205607477</v>
      </c>
      <c r="T194" s="92">
        <f t="shared" si="30"/>
        <v>133.88219626168222</v>
      </c>
      <c r="V194" s="4">
        <v>1586.7</v>
      </c>
      <c r="W194" s="4">
        <f t="shared" si="25"/>
        <v>163.57731958762889</v>
      </c>
      <c r="X194" s="4">
        <f t="shared" si="31"/>
        <v>92728.699999999983</v>
      </c>
      <c r="Y194" s="4">
        <f t="shared" si="33"/>
        <v>36345.4</v>
      </c>
      <c r="AA194" s="4">
        <v>11.5831594707238</v>
      </c>
      <c r="AB194" s="4">
        <f>SUM(J196:J205)</f>
        <v>17.7</v>
      </c>
    </row>
    <row r="195" spans="1:30" s="78" customFormat="1" x14ac:dyDescent="0.25">
      <c r="A195" s="72"/>
      <c r="B195" s="76" t="s">
        <v>49</v>
      </c>
      <c r="C195" s="77">
        <v>41711</v>
      </c>
      <c r="D195" s="78">
        <v>8.1999999999999993</v>
      </c>
      <c r="E195" s="79">
        <v>1.6</v>
      </c>
      <c r="F195" s="78">
        <v>13.5</v>
      </c>
      <c r="G195" s="78">
        <f t="shared" si="27"/>
        <v>1655.5000000000005</v>
      </c>
      <c r="H195" s="78">
        <f t="shared" si="32"/>
        <v>598.60000000000014</v>
      </c>
      <c r="J195" s="78">
        <v>0.2</v>
      </c>
      <c r="K195" s="78">
        <f t="shared" si="28"/>
        <v>546.00000000000034</v>
      </c>
      <c r="L195" s="78">
        <v>1.9</v>
      </c>
      <c r="M195" s="78">
        <f t="shared" si="29"/>
        <v>236.9</v>
      </c>
      <c r="N195" s="79">
        <f t="shared" si="26"/>
        <v>-1.7</v>
      </c>
      <c r="O195" s="78">
        <v>134.29999999999998</v>
      </c>
      <c r="P195" s="78">
        <v>190</v>
      </c>
      <c r="Q195" s="80">
        <f t="shared" si="34"/>
        <v>1.1247663551401867</v>
      </c>
      <c r="R195" s="81">
        <f t="shared" si="23"/>
        <v>2.1370560747663547</v>
      </c>
      <c r="S195" s="81">
        <f t="shared" si="24"/>
        <v>-1.9370560747663548</v>
      </c>
      <c r="T195" s="81">
        <f t="shared" si="30"/>
        <v>131.94514018691586</v>
      </c>
      <c r="V195" s="78">
        <v>1511.8</v>
      </c>
      <c r="W195" s="78">
        <f t="shared" si="25"/>
        <v>184.36585365853659</v>
      </c>
      <c r="X195" s="78">
        <f t="shared" si="31"/>
        <v>94240.499999999985</v>
      </c>
      <c r="Y195" s="78">
        <f t="shared" si="33"/>
        <v>37857.200000000004</v>
      </c>
      <c r="AA195" s="78">
        <v>11.6473858386702</v>
      </c>
    </row>
    <row r="196" spans="1:30" s="4" customFormat="1" x14ac:dyDescent="0.25">
      <c r="A196" s="72"/>
      <c r="B196" s="5"/>
      <c r="C196" s="6">
        <v>41712</v>
      </c>
      <c r="D196" s="4">
        <v>8</v>
      </c>
      <c r="E196" s="13">
        <v>1.7</v>
      </c>
      <c r="F196" s="4">
        <v>12.4</v>
      </c>
      <c r="G196" s="4">
        <f t="shared" si="27"/>
        <v>1663.5000000000005</v>
      </c>
      <c r="H196" s="4">
        <f t="shared" si="32"/>
        <v>606.60000000000014</v>
      </c>
      <c r="J196" s="90">
        <v>0</v>
      </c>
      <c r="K196" s="4">
        <f t="shared" si="28"/>
        <v>546.00000000000034</v>
      </c>
      <c r="L196" s="4">
        <v>1.7</v>
      </c>
      <c r="M196" s="4">
        <f t="shared" si="29"/>
        <v>238.6</v>
      </c>
      <c r="N196" s="9">
        <f t="shared" si="26"/>
        <v>-1.7</v>
      </c>
      <c r="O196" s="4">
        <v>132.6</v>
      </c>
      <c r="P196" s="4">
        <v>191</v>
      </c>
      <c r="Q196" s="12">
        <f t="shared" si="34"/>
        <v>1.1261682242990654</v>
      </c>
      <c r="R196" s="10">
        <f t="shared" si="23"/>
        <v>1.9144859813084112</v>
      </c>
      <c r="S196" s="10">
        <f t="shared" si="24"/>
        <v>-1.9144859813084112</v>
      </c>
      <c r="T196" s="92">
        <f t="shared" si="30"/>
        <v>130.03065420560745</v>
      </c>
      <c r="V196" s="4">
        <v>1451.9</v>
      </c>
      <c r="W196" s="4">
        <f t="shared" si="25"/>
        <v>181.48750000000001</v>
      </c>
      <c r="X196" s="4">
        <f t="shared" si="31"/>
        <v>95692.39999999998</v>
      </c>
      <c r="Y196" s="4">
        <f t="shared" si="33"/>
        <v>39309.100000000006</v>
      </c>
      <c r="AA196" s="4">
        <v>11.711646587038601</v>
      </c>
    </row>
    <row r="197" spans="1:30" s="4" customFormat="1" x14ac:dyDescent="0.25">
      <c r="A197" s="72"/>
      <c r="B197" s="5"/>
      <c r="C197" s="6">
        <v>41713</v>
      </c>
      <c r="D197" s="4">
        <v>10</v>
      </c>
      <c r="E197" s="4">
        <v>7.5</v>
      </c>
      <c r="F197" s="4">
        <v>12</v>
      </c>
      <c r="G197" s="4">
        <f t="shared" si="27"/>
        <v>1673.5000000000005</v>
      </c>
      <c r="H197" s="4">
        <f t="shared" si="32"/>
        <v>616.60000000000014</v>
      </c>
      <c r="J197" s="90">
        <v>0</v>
      </c>
      <c r="K197" s="4">
        <f t="shared" si="28"/>
        <v>546.00000000000034</v>
      </c>
      <c r="L197" s="4">
        <v>1.9</v>
      </c>
      <c r="M197" s="4">
        <f t="shared" si="29"/>
        <v>240.5</v>
      </c>
      <c r="N197" s="9">
        <f t="shared" si="26"/>
        <v>-1.9</v>
      </c>
      <c r="O197" s="4">
        <v>130.69999999999999</v>
      </c>
      <c r="P197" s="4">
        <v>192</v>
      </c>
      <c r="Q197" s="12">
        <f t="shared" si="34"/>
        <v>1.1275700934579438</v>
      </c>
      <c r="R197" s="10">
        <f t="shared" si="23"/>
        <v>2.142383177570093</v>
      </c>
      <c r="S197" s="10">
        <f t="shared" si="24"/>
        <v>-2.142383177570093</v>
      </c>
      <c r="T197" s="92">
        <f t="shared" si="30"/>
        <v>127.88827102803735</v>
      </c>
      <c r="V197" s="11">
        <v>708.5</v>
      </c>
      <c r="W197" s="4">
        <f t="shared" si="25"/>
        <v>70.849999999999994</v>
      </c>
      <c r="X197" s="4">
        <f t="shared" si="31"/>
        <v>96400.89999999998</v>
      </c>
      <c r="Y197" s="4">
        <f t="shared" si="33"/>
        <v>40017.600000000006</v>
      </c>
      <c r="AA197" s="4">
        <v>11.775935195762401</v>
      </c>
      <c r="AD197" s="89" t="s">
        <v>53</v>
      </c>
    </row>
    <row r="198" spans="1:30" s="4" customFormat="1" x14ac:dyDescent="0.25">
      <c r="A198" s="72"/>
      <c r="B198" s="5"/>
      <c r="C198" s="6">
        <v>41714</v>
      </c>
      <c r="D198" s="4">
        <v>11.3</v>
      </c>
      <c r="E198" s="4">
        <v>7</v>
      </c>
      <c r="F198" s="4">
        <v>15.7</v>
      </c>
      <c r="G198" s="4">
        <f t="shared" si="27"/>
        <v>1684.8000000000004</v>
      </c>
      <c r="H198" s="4">
        <f t="shared" si="32"/>
        <v>627.90000000000009</v>
      </c>
      <c r="J198" s="90">
        <v>0</v>
      </c>
      <c r="K198" s="4">
        <f t="shared" si="28"/>
        <v>546.00000000000034</v>
      </c>
      <c r="L198" s="4">
        <v>2.5</v>
      </c>
      <c r="M198" s="4">
        <f t="shared" si="29"/>
        <v>243</v>
      </c>
      <c r="N198" s="9">
        <f t="shared" si="26"/>
        <v>-2.5</v>
      </c>
      <c r="O198" s="4">
        <v>128.19999999999999</v>
      </c>
      <c r="P198" s="4">
        <v>193</v>
      </c>
      <c r="Q198" s="12">
        <f t="shared" si="34"/>
        <v>1.1289719626168224</v>
      </c>
      <c r="R198" s="10">
        <f t="shared" ref="R198:R261" si="35">Q198*L198</f>
        <v>2.8224299065420562</v>
      </c>
      <c r="S198" s="10">
        <f t="shared" ref="S198:S261" si="36">J198-R198</f>
        <v>-2.8224299065420562</v>
      </c>
      <c r="T198" s="92">
        <f t="shared" si="30"/>
        <v>125.0658411214953</v>
      </c>
      <c r="V198" s="4">
        <v>1581.7</v>
      </c>
      <c r="W198" s="4">
        <f t="shared" ref="W198:W261" si="37">V198/D198</f>
        <v>139.97345132743362</v>
      </c>
      <c r="X198" s="4">
        <f t="shared" si="31"/>
        <v>97982.599999999977</v>
      </c>
      <c r="Y198" s="4">
        <f t="shared" si="33"/>
        <v>41599.300000000003</v>
      </c>
      <c r="AA198" s="4">
        <v>11.840245314864701</v>
      </c>
      <c r="AD198" s="12">
        <f>(AB186*(30/50))+(AB204*(20/50))</f>
        <v>117.21990787716953</v>
      </c>
    </row>
    <row r="199" spans="1:30" s="4" customFormat="1" x14ac:dyDescent="0.25">
      <c r="A199" s="72"/>
      <c r="B199" s="5"/>
      <c r="C199" s="6">
        <v>41715</v>
      </c>
      <c r="D199" s="4">
        <v>10.3</v>
      </c>
      <c r="E199" s="4">
        <v>8.1999999999999993</v>
      </c>
      <c r="F199" s="4">
        <v>13.1</v>
      </c>
      <c r="G199" s="4">
        <f t="shared" si="27"/>
        <v>1695.1000000000004</v>
      </c>
      <c r="H199" s="4">
        <f t="shared" si="32"/>
        <v>638.20000000000005</v>
      </c>
      <c r="J199" s="90">
        <v>0</v>
      </c>
      <c r="K199" s="4">
        <f t="shared" si="28"/>
        <v>546.00000000000034</v>
      </c>
      <c r="L199" s="4">
        <v>1.7</v>
      </c>
      <c r="M199" s="4">
        <f t="shared" si="29"/>
        <v>244.7</v>
      </c>
      <c r="N199" s="9">
        <f t="shared" ref="N199:N262" si="38">J199-L199</f>
        <v>-1.7</v>
      </c>
      <c r="O199" s="4">
        <v>126.49999999999999</v>
      </c>
      <c r="P199" s="4">
        <v>194</v>
      </c>
      <c r="Q199" s="12">
        <f t="shared" si="34"/>
        <v>1.1303738317757008</v>
      </c>
      <c r="R199" s="10">
        <f t="shared" si="35"/>
        <v>1.9216355140186914</v>
      </c>
      <c r="S199" s="10">
        <f t="shared" si="36"/>
        <v>-1.9216355140186914</v>
      </c>
      <c r="T199" s="92">
        <f t="shared" si="30"/>
        <v>123.14420560747661</v>
      </c>
      <c r="V199" s="11">
        <v>730.5</v>
      </c>
      <c r="W199" s="4">
        <f t="shared" si="37"/>
        <v>70.922330097087368</v>
      </c>
      <c r="X199" s="4">
        <f t="shared" si="31"/>
        <v>98713.099999999977</v>
      </c>
      <c r="Y199" s="4">
        <f t="shared" si="33"/>
        <v>42329.8</v>
      </c>
      <c r="AA199" s="4">
        <v>11.9045707441638</v>
      </c>
      <c r="AD199" s="89" t="s">
        <v>54</v>
      </c>
    </row>
    <row r="200" spans="1:30" s="4" customFormat="1" x14ac:dyDescent="0.25">
      <c r="A200" s="72"/>
      <c r="B200" s="5"/>
      <c r="C200" s="6">
        <v>41716</v>
      </c>
      <c r="D200" s="4">
        <v>9.6</v>
      </c>
      <c r="E200" s="4">
        <v>8.9</v>
      </c>
      <c r="F200" s="4">
        <v>10</v>
      </c>
      <c r="G200" s="4">
        <f t="shared" ref="G200:G263" si="39">G199+D200</f>
        <v>1704.7000000000003</v>
      </c>
      <c r="H200" s="4">
        <f t="shared" si="32"/>
        <v>647.80000000000007</v>
      </c>
      <c r="J200" s="90">
        <v>0</v>
      </c>
      <c r="K200" s="4">
        <f t="shared" ref="K200:K263" si="40">K199+J200</f>
        <v>546.00000000000034</v>
      </c>
      <c r="L200" s="4">
        <v>1.5</v>
      </c>
      <c r="M200" s="4">
        <f t="shared" ref="M200:M263" si="41">M199+L200</f>
        <v>246.2</v>
      </c>
      <c r="N200" s="9">
        <f t="shared" si="38"/>
        <v>-1.5</v>
      </c>
      <c r="O200" s="4">
        <v>124.99999999999999</v>
      </c>
      <c r="P200" s="4">
        <v>195</v>
      </c>
      <c r="Q200" s="12">
        <f t="shared" si="34"/>
        <v>1.1317757009345795</v>
      </c>
      <c r="R200" s="10">
        <f t="shared" si="35"/>
        <v>1.6976635514018692</v>
      </c>
      <c r="S200" s="10">
        <f t="shared" si="36"/>
        <v>-1.6976635514018692</v>
      </c>
      <c r="T200" s="92">
        <f t="shared" ref="T200:T263" si="42">MIN(153.6,(T199+S200))</f>
        <v>121.44654205607473</v>
      </c>
      <c r="V200" s="11">
        <v>238.9</v>
      </c>
      <c r="W200" s="4">
        <f t="shared" si="37"/>
        <v>24.885416666666668</v>
      </c>
      <c r="X200" s="4">
        <f t="shared" ref="X200:X263" si="43">X199+V200</f>
        <v>98951.999999999971</v>
      </c>
      <c r="Y200" s="4">
        <f t="shared" si="33"/>
        <v>42568.700000000004</v>
      </c>
      <c r="AA200" s="4">
        <v>11.9689054131336</v>
      </c>
      <c r="AD200" s="4">
        <f>(AB188*(30/50))+(AB206*(20/50))</f>
        <v>5.4</v>
      </c>
    </row>
    <row r="201" spans="1:30" s="4" customFormat="1" x14ac:dyDescent="0.25">
      <c r="A201" s="72"/>
      <c r="B201" s="5"/>
      <c r="C201" s="6">
        <v>41717</v>
      </c>
      <c r="D201" s="4">
        <v>10.5</v>
      </c>
      <c r="E201" s="4">
        <v>6.3</v>
      </c>
      <c r="F201" s="4">
        <v>14.8</v>
      </c>
      <c r="G201" s="4">
        <f t="shared" si="39"/>
        <v>1715.2000000000003</v>
      </c>
      <c r="H201" s="4">
        <f t="shared" si="32"/>
        <v>658.30000000000007</v>
      </c>
      <c r="J201" s="90">
        <v>0</v>
      </c>
      <c r="K201" s="4">
        <f t="shared" si="40"/>
        <v>546.00000000000034</v>
      </c>
      <c r="L201" s="4">
        <v>2.2000000000000002</v>
      </c>
      <c r="M201" s="4">
        <f t="shared" si="41"/>
        <v>248.39999999999998</v>
      </c>
      <c r="N201" s="9">
        <f t="shared" si="38"/>
        <v>-2.2000000000000002</v>
      </c>
      <c r="O201" s="4">
        <v>122.79999999999998</v>
      </c>
      <c r="P201" s="4">
        <v>196</v>
      </c>
      <c r="Q201" s="12">
        <f t="shared" si="34"/>
        <v>1.1331775700934579</v>
      </c>
      <c r="R201" s="10">
        <f t="shared" si="35"/>
        <v>2.4929906542056077</v>
      </c>
      <c r="S201" s="10">
        <f t="shared" si="36"/>
        <v>-2.4929906542056077</v>
      </c>
      <c r="T201" s="92">
        <f t="shared" si="42"/>
        <v>118.95355140186912</v>
      </c>
      <c r="V201" s="4">
        <v>1485.4</v>
      </c>
      <c r="W201" s="4">
        <f t="shared" si="37"/>
        <v>141.46666666666667</v>
      </c>
      <c r="X201" s="4">
        <f t="shared" si="43"/>
        <v>100437.39999999997</v>
      </c>
      <c r="Y201" s="4">
        <f t="shared" si="33"/>
        <v>44054.100000000006</v>
      </c>
      <c r="AA201" s="4">
        <v>12.0332433609106</v>
      </c>
      <c r="AD201" s="89" t="s">
        <v>55</v>
      </c>
    </row>
    <row r="202" spans="1:30" s="4" customFormat="1" x14ac:dyDescent="0.25">
      <c r="A202" s="72"/>
      <c r="B202" s="5"/>
      <c r="C202" s="6">
        <v>41718</v>
      </c>
      <c r="D202" s="4">
        <v>12.9</v>
      </c>
      <c r="E202" s="4">
        <v>7.1</v>
      </c>
      <c r="F202" s="4">
        <v>18.2</v>
      </c>
      <c r="G202" s="4">
        <f t="shared" si="39"/>
        <v>1728.1000000000004</v>
      </c>
      <c r="H202" s="4">
        <f t="shared" si="32"/>
        <v>671.2</v>
      </c>
      <c r="J202" s="90">
        <v>4.5999999999999996</v>
      </c>
      <c r="K202" s="4">
        <f t="shared" si="40"/>
        <v>550.60000000000036</v>
      </c>
      <c r="L202" s="4">
        <v>3.1</v>
      </c>
      <c r="M202" s="4">
        <f t="shared" si="41"/>
        <v>251.49999999999997</v>
      </c>
      <c r="N202" s="4">
        <f t="shared" si="38"/>
        <v>1.4999999999999996</v>
      </c>
      <c r="O202" s="4">
        <v>124.29999999999998</v>
      </c>
      <c r="P202" s="4">
        <v>197</v>
      </c>
      <c r="Q202" s="12">
        <f t="shared" si="34"/>
        <v>1.1345794392523363</v>
      </c>
      <c r="R202" s="10">
        <f t="shared" si="35"/>
        <v>3.5171962616822428</v>
      </c>
      <c r="S202" s="10">
        <f t="shared" si="36"/>
        <v>1.0828037383177569</v>
      </c>
      <c r="T202" s="92">
        <f t="shared" si="42"/>
        <v>120.03635514018687</v>
      </c>
      <c r="V202" s="4">
        <v>1675.4</v>
      </c>
      <c r="W202" s="4">
        <f t="shared" si="37"/>
        <v>129.87596899224806</v>
      </c>
      <c r="X202" s="4">
        <f t="shared" si="43"/>
        <v>102112.79999999996</v>
      </c>
      <c r="Y202" s="4">
        <f t="shared" si="33"/>
        <v>45729.500000000007</v>
      </c>
      <c r="AA202" s="4">
        <v>12.0975787164433</v>
      </c>
      <c r="AD202" s="4">
        <f>(AB190*(30/50))+(AB208*(20/50))</f>
        <v>6.4</v>
      </c>
    </row>
    <row r="203" spans="1:30" s="4" customFormat="1" x14ac:dyDescent="0.25">
      <c r="A203" s="72"/>
      <c r="B203" s="5"/>
      <c r="C203" s="6">
        <v>41719</v>
      </c>
      <c r="D203" s="4">
        <v>8.8000000000000007</v>
      </c>
      <c r="E203" s="4">
        <v>8.1999999999999993</v>
      </c>
      <c r="F203" s="4">
        <v>9.8000000000000007</v>
      </c>
      <c r="G203" s="4">
        <f t="shared" si="39"/>
        <v>1736.9000000000003</v>
      </c>
      <c r="H203" s="4">
        <f t="shared" si="32"/>
        <v>680</v>
      </c>
      <c r="I203" s="4">
        <v>10</v>
      </c>
      <c r="J203" s="90">
        <v>7.6</v>
      </c>
      <c r="K203" s="4">
        <f t="shared" si="40"/>
        <v>558.20000000000039</v>
      </c>
      <c r="L203" s="4">
        <v>1.8</v>
      </c>
      <c r="M203" s="4">
        <f t="shared" si="41"/>
        <v>253.29999999999998</v>
      </c>
      <c r="N203" s="4">
        <f t="shared" si="38"/>
        <v>5.8</v>
      </c>
      <c r="O203" s="4">
        <v>130.1</v>
      </c>
      <c r="P203" s="4">
        <v>198</v>
      </c>
      <c r="Q203" s="12">
        <f t="shared" si="34"/>
        <v>1.1359813084112149</v>
      </c>
      <c r="R203" s="10">
        <f t="shared" si="35"/>
        <v>2.0447663551401871</v>
      </c>
      <c r="S203" s="10">
        <f t="shared" si="36"/>
        <v>5.555233644859813</v>
      </c>
      <c r="T203" s="92">
        <f t="shared" si="42"/>
        <v>125.59158878504668</v>
      </c>
      <c r="V203" s="4">
        <v>936.9</v>
      </c>
      <c r="W203" s="4">
        <f t="shared" si="37"/>
        <v>106.46590909090908</v>
      </c>
      <c r="X203" s="4">
        <f t="shared" si="43"/>
        <v>103049.69999999995</v>
      </c>
      <c r="Y203" s="4">
        <f t="shared" si="33"/>
        <v>46666.400000000009</v>
      </c>
      <c r="AA203" s="4">
        <v>12.1619056787767</v>
      </c>
      <c r="AB203" s="89" t="s">
        <v>53</v>
      </c>
      <c r="AD203" s="89" t="s">
        <v>56</v>
      </c>
    </row>
    <row r="204" spans="1:30" s="4" customFormat="1" x14ac:dyDescent="0.25">
      <c r="A204" s="72"/>
      <c r="B204" s="5"/>
      <c r="C204" s="6">
        <v>41720</v>
      </c>
      <c r="D204" s="4">
        <v>6</v>
      </c>
      <c r="E204" s="4">
        <v>5.7</v>
      </c>
      <c r="F204" s="4">
        <v>7.1</v>
      </c>
      <c r="G204" s="4">
        <f t="shared" si="39"/>
        <v>1742.9000000000003</v>
      </c>
      <c r="H204" s="4">
        <f t="shared" si="32"/>
        <v>686</v>
      </c>
      <c r="J204" s="90">
        <v>3.6</v>
      </c>
      <c r="K204" s="4">
        <f t="shared" si="40"/>
        <v>561.80000000000041</v>
      </c>
      <c r="L204" s="4">
        <v>1.5</v>
      </c>
      <c r="M204" s="4">
        <f t="shared" si="41"/>
        <v>254.79999999999998</v>
      </c>
      <c r="N204" s="4">
        <f t="shared" si="38"/>
        <v>2.1</v>
      </c>
      <c r="O204" s="4">
        <v>132.19999999999999</v>
      </c>
      <c r="P204" s="4">
        <v>199</v>
      </c>
      <c r="Q204" s="12">
        <f t="shared" si="34"/>
        <v>1.1373831775700933</v>
      </c>
      <c r="R204" s="10">
        <f t="shared" si="35"/>
        <v>1.7060747663551399</v>
      </c>
      <c r="S204" s="10">
        <f t="shared" si="36"/>
        <v>1.8939252336448602</v>
      </c>
      <c r="T204" s="92">
        <f t="shared" si="42"/>
        <v>127.48551401869155</v>
      </c>
      <c r="V204" s="11">
        <v>816.7</v>
      </c>
      <c r="W204" s="4">
        <f t="shared" si="37"/>
        <v>136.11666666666667</v>
      </c>
      <c r="X204" s="4">
        <f t="shared" si="43"/>
        <v>103866.39999999995</v>
      </c>
      <c r="Y204" s="4">
        <f t="shared" si="33"/>
        <v>47483.100000000006</v>
      </c>
      <c r="AA204" s="4">
        <v>12.226218497462799</v>
      </c>
      <c r="AB204" s="10">
        <f>AVERAGE(T210:T223)</f>
        <v>101.58561415220289</v>
      </c>
      <c r="AD204" s="4">
        <f>(AB192*(30/50))+(AB210*(20/50))</f>
        <v>0</v>
      </c>
    </row>
    <row r="205" spans="1:30" s="23" customFormat="1" x14ac:dyDescent="0.25">
      <c r="A205" s="72"/>
      <c r="B205" s="21"/>
      <c r="C205" s="22">
        <v>41721</v>
      </c>
      <c r="D205" s="23">
        <v>5.8</v>
      </c>
      <c r="E205" s="24">
        <v>2.6</v>
      </c>
      <c r="F205" s="23">
        <v>10.4</v>
      </c>
      <c r="G205" s="23">
        <f t="shared" si="39"/>
        <v>1748.7000000000003</v>
      </c>
      <c r="H205" s="23">
        <f t="shared" si="32"/>
        <v>691.8</v>
      </c>
      <c r="I205" s="23">
        <v>-10</v>
      </c>
      <c r="J205" s="91">
        <v>1.9</v>
      </c>
      <c r="K205" s="23">
        <f t="shared" si="40"/>
        <v>563.70000000000039</v>
      </c>
      <c r="L205" s="23">
        <v>1.6</v>
      </c>
      <c r="M205" s="23">
        <f t="shared" si="41"/>
        <v>256.39999999999998</v>
      </c>
      <c r="N205" s="23">
        <f t="shared" si="38"/>
        <v>0.29999999999999982</v>
      </c>
      <c r="O205" s="23">
        <v>132.5</v>
      </c>
      <c r="P205" s="23">
        <v>200</v>
      </c>
      <c r="Q205" s="12">
        <f t="shared" si="34"/>
        <v>1.138785046728972</v>
      </c>
      <c r="R205" s="25">
        <f t="shared" si="35"/>
        <v>1.8220560747663552</v>
      </c>
      <c r="S205" s="25">
        <f t="shared" si="36"/>
        <v>7.7943925233644684E-2</v>
      </c>
      <c r="T205" s="92">
        <f t="shared" si="42"/>
        <v>127.56345794392519</v>
      </c>
      <c r="V205" s="26">
        <v>645</v>
      </c>
      <c r="W205" s="23">
        <f t="shared" si="37"/>
        <v>111.20689655172414</v>
      </c>
      <c r="X205" s="23">
        <f t="shared" si="43"/>
        <v>104511.39999999995</v>
      </c>
      <c r="Y205" s="4">
        <f t="shared" si="33"/>
        <v>48128.100000000006</v>
      </c>
      <c r="AA205" s="4">
        <v>12.290511453091099</v>
      </c>
      <c r="AB205" s="89" t="s">
        <v>54</v>
      </c>
      <c r="AD205" s="89" t="s">
        <v>57</v>
      </c>
    </row>
    <row r="206" spans="1:30" s="4" customFormat="1" x14ac:dyDescent="0.25">
      <c r="A206" s="72"/>
      <c r="B206" s="27"/>
      <c r="C206" s="22">
        <v>41722</v>
      </c>
      <c r="D206" s="4">
        <v>5.9</v>
      </c>
      <c r="E206" s="4">
        <v>1.9</v>
      </c>
      <c r="F206" s="4">
        <v>10.4</v>
      </c>
      <c r="G206" s="4">
        <f t="shared" si="39"/>
        <v>1754.6000000000004</v>
      </c>
      <c r="H206" s="4">
        <f t="shared" si="32"/>
        <v>697.69999999999993</v>
      </c>
      <c r="J206" s="90">
        <v>0</v>
      </c>
      <c r="K206" s="4">
        <f t="shared" si="40"/>
        <v>563.70000000000039</v>
      </c>
      <c r="L206" s="4">
        <v>2</v>
      </c>
      <c r="M206" s="4">
        <f t="shared" si="41"/>
        <v>258.39999999999998</v>
      </c>
      <c r="N206" s="4">
        <f t="shared" si="38"/>
        <v>-2</v>
      </c>
      <c r="O206" s="4">
        <v>130.5</v>
      </c>
      <c r="P206" s="4">
        <v>201</v>
      </c>
      <c r="Q206" s="12">
        <f t="shared" si="34"/>
        <v>1.1401869158878504</v>
      </c>
      <c r="R206" s="10">
        <f t="shared" si="35"/>
        <v>2.2803738317757007</v>
      </c>
      <c r="S206" s="10">
        <f t="shared" si="36"/>
        <v>-2.2803738317757007</v>
      </c>
      <c r="T206" s="10">
        <f t="shared" si="42"/>
        <v>125.28308411214948</v>
      </c>
      <c r="V206" s="4">
        <v>1415.6</v>
      </c>
      <c r="W206" s="4">
        <f t="shared" si="37"/>
        <v>239.93220338983048</v>
      </c>
      <c r="X206" s="4">
        <f t="shared" si="43"/>
        <v>105926.99999999996</v>
      </c>
      <c r="Y206" s="4">
        <f t="shared" si="33"/>
        <v>49543.700000000004</v>
      </c>
      <c r="AA206" s="4">
        <v>12.354778837928301</v>
      </c>
      <c r="AB206" s="4">
        <v>3</v>
      </c>
      <c r="AD206" s="4">
        <f>(AB194*(30/50))+(AB212*(20/50))</f>
        <v>13.899999999999999</v>
      </c>
    </row>
    <row r="207" spans="1:30" s="4" customFormat="1" x14ac:dyDescent="0.25">
      <c r="A207" s="72"/>
      <c r="B207" s="27"/>
      <c r="C207" s="6">
        <v>41723</v>
      </c>
      <c r="D207" s="4">
        <v>6.6</v>
      </c>
      <c r="E207" s="13">
        <v>1</v>
      </c>
      <c r="F207" s="4">
        <v>11.1</v>
      </c>
      <c r="G207" s="4">
        <f t="shared" si="39"/>
        <v>1761.2000000000003</v>
      </c>
      <c r="H207" s="4">
        <f t="shared" si="32"/>
        <v>704.3</v>
      </c>
      <c r="J207" s="90">
        <v>0</v>
      </c>
      <c r="K207" s="4">
        <f t="shared" si="40"/>
        <v>563.70000000000039</v>
      </c>
      <c r="L207" s="4">
        <v>2.4</v>
      </c>
      <c r="M207" s="4">
        <f t="shared" si="41"/>
        <v>260.79999999999995</v>
      </c>
      <c r="N207" s="9">
        <f t="shared" si="38"/>
        <v>-2.4</v>
      </c>
      <c r="O207" s="4">
        <v>128.1</v>
      </c>
      <c r="P207" s="4">
        <v>202</v>
      </c>
      <c r="Q207" s="12">
        <f t="shared" si="34"/>
        <v>1.141588785046729</v>
      </c>
      <c r="R207" s="10">
        <f t="shared" si="35"/>
        <v>2.7398130841121495</v>
      </c>
      <c r="S207" s="10">
        <f t="shared" si="36"/>
        <v>-2.7398130841121495</v>
      </c>
      <c r="T207" s="10">
        <f t="shared" si="42"/>
        <v>122.54327102803734</v>
      </c>
      <c r="U207" s="28"/>
      <c r="V207" s="4">
        <v>1358.3</v>
      </c>
      <c r="W207" s="4">
        <f t="shared" si="37"/>
        <v>205.80303030303031</v>
      </c>
      <c r="X207" s="4">
        <f t="shared" si="43"/>
        <v>107285.29999999996</v>
      </c>
      <c r="Y207" s="4">
        <f t="shared" si="33"/>
        <v>50902.000000000007</v>
      </c>
      <c r="AA207" s="4">
        <v>12.419014936659099</v>
      </c>
      <c r="AB207" s="89" t="s">
        <v>55</v>
      </c>
    </row>
    <row r="208" spans="1:30" s="4" customFormat="1" x14ac:dyDescent="0.25">
      <c r="A208" s="72"/>
      <c r="B208" s="27"/>
      <c r="C208" s="6">
        <v>41724</v>
      </c>
      <c r="D208" s="4">
        <v>5.5</v>
      </c>
      <c r="E208" s="13">
        <v>2.2000000000000002</v>
      </c>
      <c r="F208" s="4">
        <v>9.1999999999999993</v>
      </c>
      <c r="G208" s="4">
        <f t="shared" si="39"/>
        <v>1766.7000000000003</v>
      </c>
      <c r="H208" s="4">
        <f t="shared" si="32"/>
        <v>709.8</v>
      </c>
      <c r="J208" s="90">
        <v>1</v>
      </c>
      <c r="K208" s="4">
        <f t="shared" si="40"/>
        <v>564.70000000000039</v>
      </c>
      <c r="L208" s="4">
        <v>1.9</v>
      </c>
      <c r="M208" s="4">
        <f t="shared" si="41"/>
        <v>262.69999999999993</v>
      </c>
      <c r="N208" s="9">
        <f t="shared" si="38"/>
        <v>-0.89999999999999991</v>
      </c>
      <c r="O208" s="4">
        <v>127.19999999999999</v>
      </c>
      <c r="P208" s="4">
        <v>203</v>
      </c>
      <c r="Q208" s="12">
        <f t="shared" si="34"/>
        <v>1.1429906542056074</v>
      </c>
      <c r="R208" s="10">
        <f t="shared" si="35"/>
        <v>2.1716822429906539</v>
      </c>
      <c r="S208" s="10">
        <f t="shared" si="36"/>
        <v>-1.1716822429906539</v>
      </c>
      <c r="T208" s="10">
        <f t="shared" si="42"/>
        <v>121.37158878504668</v>
      </c>
      <c r="V208" s="4">
        <v>951.5</v>
      </c>
      <c r="W208" s="4">
        <f t="shared" si="37"/>
        <v>173</v>
      </c>
      <c r="X208" s="4">
        <f t="shared" si="43"/>
        <v>108236.79999999996</v>
      </c>
      <c r="Y208" s="4">
        <f t="shared" si="33"/>
        <v>51853.500000000007</v>
      </c>
      <c r="AA208" s="4">
        <v>12.4832140072194</v>
      </c>
      <c r="AB208" s="4">
        <v>7</v>
      </c>
    </row>
    <row r="209" spans="1:28" s="4" customFormat="1" x14ac:dyDescent="0.25">
      <c r="A209" s="72"/>
      <c r="B209" s="27"/>
      <c r="C209" s="6">
        <v>41725</v>
      </c>
      <c r="D209" s="4">
        <v>5.9</v>
      </c>
      <c r="E209" s="17">
        <v>-0.3</v>
      </c>
      <c r="F209" s="4">
        <v>10.4</v>
      </c>
      <c r="G209" s="4">
        <f t="shared" si="39"/>
        <v>1772.6000000000004</v>
      </c>
      <c r="H209" s="4">
        <f t="shared" si="32"/>
        <v>715.69999999999993</v>
      </c>
      <c r="J209" s="90">
        <v>0.4</v>
      </c>
      <c r="K209" s="4">
        <f t="shared" si="40"/>
        <v>565.10000000000036</v>
      </c>
      <c r="L209" s="4">
        <v>1.8</v>
      </c>
      <c r="M209" s="4">
        <f t="shared" si="41"/>
        <v>264.49999999999994</v>
      </c>
      <c r="N209" s="9">
        <f t="shared" si="38"/>
        <v>-1.4</v>
      </c>
      <c r="O209" s="4">
        <v>125.79999999999998</v>
      </c>
      <c r="P209" s="4">
        <v>204</v>
      </c>
      <c r="Q209" s="12">
        <f t="shared" si="34"/>
        <v>1.1443925233644858</v>
      </c>
      <c r="R209" s="10">
        <f t="shared" si="35"/>
        <v>2.0599065420560745</v>
      </c>
      <c r="S209" s="10">
        <f t="shared" si="36"/>
        <v>-1.6599065420560746</v>
      </c>
      <c r="T209" s="10">
        <f t="shared" si="42"/>
        <v>119.71168224299061</v>
      </c>
      <c r="V209" s="4">
        <v>1374.9</v>
      </c>
      <c r="W209" s="4">
        <f t="shared" si="37"/>
        <v>233.03389830508473</v>
      </c>
      <c r="X209" s="4">
        <f t="shared" si="43"/>
        <v>109611.69999999995</v>
      </c>
      <c r="Y209" s="4">
        <f t="shared" si="33"/>
        <v>53228.400000000009</v>
      </c>
      <c r="AA209" s="4">
        <v>12.5473702617134</v>
      </c>
      <c r="AB209" s="89" t="s">
        <v>56</v>
      </c>
    </row>
    <row r="210" spans="1:28" s="4" customFormat="1" x14ac:dyDescent="0.25">
      <c r="A210" s="72"/>
      <c r="B210" s="27"/>
      <c r="C210" s="6">
        <v>41726</v>
      </c>
      <c r="D210" s="4">
        <v>8.6</v>
      </c>
      <c r="E210" s="13">
        <v>0.9</v>
      </c>
      <c r="F210" s="4">
        <v>14.2</v>
      </c>
      <c r="G210" s="4">
        <f t="shared" si="39"/>
        <v>1781.2000000000003</v>
      </c>
      <c r="H210" s="4">
        <f t="shared" si="32"/>
        <v>724.3</v>
      </c>
      <c r="J210" s="90">
        <v>0</v>
      </c>
      <c r="K210" s="4">
        <f t="shared" si="40"/>
        <v>565.10000000000036</v>
      </c>
      <c r="L210" s="4">
        <v>1.5</v>
      </c>
      <c r="M210" s="4">
        <f t="shared" si="41"/>
        <v>265.99999999999994</v>
      </c>
      <c r="N210" s="9">
        <f t="shared" si="38"/>
        <v>-1.5</v>
      </c>
      <c r="O210" s="4">
        <v>124.29999999999998</v>
      </c>
      <c r="P210" s="4">
        <v>205</v>
      </c>
      <c r="Q210" s="12">
        <f t="shared" si="34"/>
        <v>1.1457943925233645</v>
      </c>
      <c r="R210" s="10">
        <f t="shared" si="35"/>
        <v>1.7186915887850467</v>
      </c>
      <c r="S210" s="10">
        <f t="shared" si="36"/>
        <v>-1.7186915887850467</v>
      </c>
      <c r="T210" s="92">
        <f t="shared" si="42"/>
        <v>117.99299065420556</v>
      </c>
      <c r="V210" s="4">
        <v>1132.2</v>
      </c>
      <c r="W210" s="4">
        <f t="shared" si="37"/>
        <v>131.6511627906977</v>
      </c>
      <c r="X210" s="4">
        <f t="shared" si="43"/>
        <v>110743.89999999995</v>
      </c>
      <c r="Y210" s="4">
        <f t="shared" si="33"/>
        <v>54360.600000000006</v>
      </c>
      <c r="AA210" s="4">
        <v>12.6114778474041</v>
      </c>
      <c r="AB210" s="4">
        <v>0</v>
      </c>
    </row>
    <row r="211" spans="1:28" s="4" customFormat="1" x14ac:dyDescent="0.25">
      <c r="A211" s="72"/>
      <c r="B211" s="27"/>
      <c r="C211" s="6">
        <v>41727</v>
      </c>
      <c r="D211" s="4">
        <v>11.9</v>
      </c>
      <c r="E211" s="13">
        <v>3.6</v>
      </c>
      <c r="F211" s="4">
        <v>18.600000000000001</v>
      </c>
      <c r="G211" s="4">
        <f t="shared" si="39"/>
        <v>1793.1000000000004</v>
      </c>
      <c r="H211" s="4">
        <f t="shared" si="32"/>
        <v>736.19999999999993</v>
      </c>
      <c r="J211" s="90">
        <v>0</v>
      </c>
      <c r="K211" s="4">
        <f t="shared" si="40"/>
        <v>565.10000000000036</v>
      </c>
      <c r="L211" s="4">
        <v>3.1</v>
      </c>
      <c r="M211" s="4">
        <f t="shared" si="41"/>
        <v>269.09999999999997</v>
      </c>
      <c r="N211" s="9">
        <f t="shared" si="38"/>
        <v>-3.1</v>
      </c>
      <c r="O211" s="4">
        <v>121.19999999999999</v>
      </c>
      <c r="P211" s="4">
        <v>206</v>
      </c>
      <c r="Q211" s="12">
        <f t="shared" si="34"/>
        <v>1.1471962616822429</v>
      </c>
      <c r="R211" s="10">
        <f t="shared" si="35"/>
        <v>3.5563084112149528</v>
      </c>
      <c r="S211" s="10">
        <f t="shared" si="36"/>
        <v>-3.5563084112149528</v>
      </c>
      <c r="T211" s="92">
        <f t="shared" si="42"/>
        <v>114.4366822429906</v>
      </c>
      <c r="V211" s="4">
        <v>1709.6</v>
      </c>
      <c r="W211" s="4">
        <f t="shared" si="37"/>
        <v>143.66386554621849</v>
      </c>
      <c r="X211" s="4">
        <f t="shared" si="43"/>
        <v>112453.49999999996</v>
      </c>
      <c r="Y211" s="4">
        <f t="shared" si="33"/>
        <v>56070.200000000004</v>
      </c>
      <c r="AA211" s="4">
        <v>12.6755308277724</v>
      </c>
      <c r="AB211" s="89" t="s">
        <v>57</v>
      </c>
    </row>
    <row r="212" spans="1:28" s="4" customFormat="1" x14ac:dyDescent="0.25">
      <c r="A212" s="72"/>
      <c r="B212" s="27"/>
      <c r="C212" s="6">
        <v>41728</v>
      </c>
      <c r="D212" s="4">
        <v>13.6</v>
      </c>
      <c r="E212" s="4">
        <v>7.8</v>
      </c>
      <c r="F212" s="4">
        <v>19.5</v>
      </c>
      <c r="G212" s="4">
        <f t="shared" si="39"/>
        <v>1806.7000000000003</v>
      </c>
      <c r="H212" s="4">
        <f t="shared" ref="H212:H275" si="44">H211+D212</f>
        <v>749.8</v>
      </c>
      <c r="J212" s="90">
        <v>0</v>
      </c>
      <c r="K212" s="4">
        <f t="shared" si="40"/>
        <v>565.10000000000036</v>
      </c>
      <c r="L212" s="4">
        <v>2.6</v>
      </c>
      <c r="M212" s="4">
        <f t="shared" si="41"/>
        <v>271.7</v>
      </c>
      <c r="N212" s="9">
        <f t="shared" si="38"/>
        <v>-2.6</v>
      </c>
      <c r="O212" s="4">
        <v>118.6</v>
      </c>
      <c r="P212" s="4">
        <v>207</v>
      </c>
      <c r="Q212" s="12">
        <f t="shared" si="34"/>
        <v>1.1485981308411215</v>
      </c>
      <c r="R212" s="10">
        <f t="shared" si="35"/>
        <v>2.9863551401869159</v>
      </c>
      <c r="S212" s="10">
        <f t="shared" si="36"/>
        <v>-2.9863551401869159</v>
      </c>
      <c r="T212" s="92">
        <f t="shared" si="42"/>
        <v>111.45032710280368</v>
      </c>
      <c r="V212" s="4">
        <v>1485.8</v>
      </c>
      <c r="W212" s="4">
        <f t="shared" si="37"/>
        <v>109.25</v>
      </c>
      <c r="X212" s="4">
        <f t="shared" si="43"/>
        <v>113939.29999999996</v>
      </c>
      <c r="Y212" s="4">
        <f t="shared" ref="Y212:Y275" si="45">Y211+V212</f>
        <v>57556.000000000007</v>
      </c>
      <c r="AA212" s="4">
        <v>12.7395231636344</v>
      </c>
      <c r="AB212" s="4">
        <f>SUM(J214:J223)</f>
        <v>8.1999999999999993</v>
      </c>
    </row>
    <row r="213" spans="1:28" s="84" customFormat="1" ht="15.75" thickBot="1" x14ac:dyDescent="0.3">
      <c r="A213" s="72"/>
      <c r="B213" s="82" t="s">
        <v>50</v>
      </c>
      <c r="C213" s="83">
        <v>41729</v>
      </c>
      <c r="D213" s="84">
        <v>14.5</v>
      </c>
      <c r="E213" s="84">
        <v>7.6</v>
      </c>
      <c r="F213" s="84">
        <v>20.5</v>
      </c>
      <c r="G213" s="84">
        <f t="shared" si="39"/>
        <v>1821.2000000000003</v>
      </c>
      <c r="H213" s="84">
        <f t="shared" si="44"/>
        <v>764.3</v>
      </c>
      <c r="J213" s="84">
        <v>0</v>
      </c>
      <c r="K213" s="84">
        <f t="shared" si="40"/>
        <v>565.10000000000036</v>
      </c>
      <c r="L213" s="84">
        <v>2.5</v>
      </c>
      <c r="M213" s="84">
        <f t="shared" si="41"/>
        <v>274.2</v>
      </c>
      <c r="N213" s="85">
        <f t="shared" si="38"/>
        <v>-2.5</v>
      </c>
      <c r="O213" s="84">
        <v>116.1</v>
      </c>
      <c r="P213" s="84">
        <v>208</v>
      </c>
      <c r="Q213" s="86">
        <f t="shared" si="34"/>
        <v>1.1499999999999999</v>
      </c>
      <c r="R213" s="87">
        <f t="shared" si="35"/>
        <v>2.875</v>
      </c>
      <c r="S213" s="87">
        <f t="shared" si="36"/>
        <v>-2.875</v>
      </c>
      <c r="T213" s="87">
        <f t="shared" si="42"/>
        <v>108.57532710280368</v>
      </c>
      <c r="V213" s="84">
        <v>1456.4</v>
      </c>
      <c r="W213" s="84">
        <f t="shared" si="37"/>
        <v>100.44137931034483</v>
      </c>
      <c r="X213" s="84">
        <f t="shared" si="43"/>
        <v>115395.69999999995</v>
      </c>
      <c r="Y213" s="84">
        <f t="shared" si="45"/>
        <v>59012.400000000009</v>
      </c>
      <c r="AA213" s="84">
        <v>12.8034486943122</v>
      </c>
    </row>
    <row r="214" spans="1:28" s="23" customFormat="1" x14ac:dyDescent="0.25">
      <c r="A214" s="41" t="s">
        <v>45</v>
      </c>
      <c r="B214" s="34"/>
      <c r="C214" s="22">
        <v>41730</v>
      </c>
      <c r="D214" s="23">
        <v>14.6</v>
      </c>
      <c r="E214" s="23">
        <v>8.9</v>
      </c>
      <c r="F214" s="23">
        <v>20</v>
      </c>
      <c r="G214" s="23">
        <f t="shared" si="39"/>
        <v>1835.8000000000002</v>
      </c>
      <c r="H214" s="23">
        <f>D214</f>
        <v>14.6</v>
      </c>
      <c r="J214" s="91">
        <v>0</v>
      </c>
      <c r="K214" s="23">
        <f t="shared" si="40"/>
        <v>565.10000000000036</v>
      </c>
      <c r="L214" s="23">
        <v>2.7</v>
      </c>
      <c r="M214" s="23">
        <f t="shared" si="41"/>
        <v>276.89999999999998</v>
      </c>
      <c r="N214" s="43">
        <f t="shared" si="38"/>
        <v>-2.7</v>
      </c>
      <c r="O214" s="23">
        <v>113.39999999999999</v>
      </c>
      <c r="P214" s="23">
        <v>209</v>
      </c>
      <c r="Q214" s="42">
        <v>1.1499999999999999</v>
      </c>
      <c r="R214" s="25">
        <f t="shared" si="35"/>
        <v>3.105</v>
      </c>
      <c r="S214" s="25">
        <f t="shared" si="36"/>
        <v>-3.105</v>
      </c>
      <c r="T214" s="93">
        <f t="shared" si="42"/>
        <v>105.47032710280368</v>
      </c>
      <c r="V214" s="23">
        <v>1501.7</v>
      </c>
      <c r="W214" s="23">
        <f t="shared" si="37"/>
        <v>102.85616438356165</v>
      </c>
      <c r="X214" s="23">
        <f t="shared" si="43"/>
        <v>116897.39999999995</v>
      </c>
      <c r="Y214" s="23">
        <f>V214</f>
        <v>1501.7</v>
      </c>
      <c r="AA214" s="23">
        <v>12.8673011188519</v>
      </c>
    </row>
    <row r="215" spans="1:28" s="4" customFormat="1" x14ac:dyDescent="0.25">
      <c r="A215" s="29"/>
      <c r="B215" s="30"/>
      <c r="C215" s="6">
        <v>41731</v>
      </c>
      <c r="D215" s="4">
        <v>15</v>
      </c>
      <c r="E215" s="4">
        <v>8.4</v>
      </c>
      <c r="F215" s="4">
        <v>19.899999999999999</v>
      </c>
      <c r="G215" s="4">
        <f t="shared" si="39"/>
        <v>1850.8000000000002</v>
      </c>
      <c r="H215" s="31">
        <f>H214+D215</f>
        <v>29.6</v>
      </c>
      <c r="I215" s="32" t="s">
        <v>26</v>
      </c>
      <c r="J215" s="90">
        <v>0</v>
      </c>
      <c r="K215" s="4">
        <f t="shared" si="40"/>
        <v>565.10000000000036</v>
      </c>
      <c r="L215" s="4">
        <v>2.2999999999999998</v>
      </c>
      <c r="M215" s="4">
        <f t="shared" si="41"/>
        <v>279.2</v>
      </c>
      <c r="N215" s="9">
        <f t="shared" si="38"/>
        <v>-2.2999999999999998</v>
      </c>
      <c r="O215" s="4">
        <v>111.1</v>
      </c>
      <c r="P215" s="4">
        <v>210</v>
      </c>
      <c r="Q215" s="4">
        <v>1.1499999999999999</v>
      </c>
      <c r="R215" s="10">
        <f t="shared" si="35"/>
        <v>2.6449999999999996</v>
      </c>
      <c r="S215" s="10">
        <f t="shared" si="36"/>
        <v>-2.6449999999999996</v>
      </c>
      <c r="T215" s="92">
        <f t="shared" si="42"/>
        <v>102.82532710280368</v>
      </c>
      <c r="U215" s="32" t="s">
        <v>27</v>
      </c>
      <c r="V215" s="4">
        <v>1503.5</v>
      </c>
      <c r="W215" s="4">
        <f t="shared" si="37"/>
        <v>100.23333333333333</v>
      </c>
      <c r="X215" s="4">
        <f t="shared" si="43"/>
        <v>118400.89999999995</v>
      </c>
      <c r="Y215" s="4">
        <f>Y214+V215</f>
        <v>3005.2</v>
      </c>
      <c r="Z215" s="32" t="s">
        <v>28</v>
      </c>
      <c r="AA215" s="4">
        <v>12.931073977284401</v>
      </c>
    </row>
    <row r="216" spans="1:28" s="4" customFormat="1" x14ac:dyDescent="0.25">
      <c r="A216" s="29" t="s">
        <v>46</v>
      </c>
      <c r="B216" s="30"/>
      <c r="C216" s="6">
        <v>41732</v>
      </c>
      <c r="D216" s="4">
        <v>15.3</v>
      </c>
      <c r="E216" s="4">
        <v>11.4</v>
      </c>
      <c r="F216" s="4">
        <v>19.600000000000001</v>
      </c>
      <c r="G216" s="4">
        <f t="shared" si="39"/>
        <v>1866.1000000000001</v>
      </c>
      <c r="H216" s="4">
        <f t="shared" si="44"/>
        <v>44.900000000000006</v>
      </c>
      <c r="I216" s="4">
        <f>MIN(E214:E234)</f>
        <v>3.6</v>
      </c>
      <c r="J216" s="90">
        <v>0</v>
      </c>
      <c r="K216" s="4">
        <f t="shared" si="40"/>
        <v>565.10000000000036</v>
      </c>
      <c r="L216" s="4">
        <v>2</v>
      </c>
      <c r="M216" s="4">
        <f t="shared" si="41"/>
        <v>281.2</v>
      </c>
      <c r="N216" s="9">
        <f t="shared" si="38"/>
        <v>-2</v>
      </c>
      <c r="O216" s="4">
        <v>109.1</v>
      </c>
      <c r="P216" s="4">
        <v>211</v>
      </c>
      <c r="Q216" s="4">
        <v>1.1499999999999999</v>
      </c>
      <c r="R216" s="10">
        <f t="shared" si="35"/>
        <v>2.2999999999999998</v>
      </c>
      <c r="S216" s="10">
        <f t="shared" si="36"/>
        <v>-2.2999999999999998</v>
      </c>
      <c r="T216" s="92">
        <f t="shared" si="42"/>
        <v>100.52532710280369</v>
      </c>
      <c r="U216" s="4">
        <v>18</v>
      </c>
      <c r="V216" s="11">
        <v>659.4</v>
      </c>
      <c r="W216" s="4">
        <f t="shared" si="37"/>
        <v>43.098039215686271</v>
      </c>
      <c r="X216" s="4">
        <f t="shared" si="43"/>
        <v>119060.29999999994</v>
      </c>
      <c r="Y216" s="4">
        <f t="shared" ref="Y216:Y234" si="46">Y215+V216</f>
        <v>3664.6</v>
      </c>
      <c r="Z216" s="4">
        <v>28763.3</v>
      </c>
      <c r="AA216" s="4">
        <v>12.9947606319252</v>
      </c>
    </row>
    <row r="217" spans="1:28" s="4" customFormat="1" x14ac:dyDescent="0.25">
      <c r="A217" s="29"/>
      <c r="B217" s="30"/>
      <c r="C217" s="6">
        <v>41733</v>
      </c>
      <c r="D217" s="4">
        <v>11.8</v>
      </c>
      <c r="E217" s="4">
        <v>11.2</v>
      </c>
      <c r="F217" s="4">
        <v>13.8</v>
      </c>
      <c r="G217" s="4">
        <f t="shared" si="39"/>
        <v>1877.9</v>
      </c>
      <c r="H217" s="4">
        <f t="shared" si="44"/>
        <v>56.7</v>
      </c>
      <c r="I217" s="32" t="s">
        <v>29</v>
      </c>
      <c r="J217" s="90">
        <v>0</v>
      </c>
      <c r="K217" s="4">
        <f t="shared" si="40"/>
        <v>565.10000000000036</v>
      </c>
      <c r="L217" s="4">
        <v>1.3</v>
      </c>
      <c r="M217" s="4">
        <f t="shared" si="41"/>
        <v>282.5</v>
      </c>
      <c r="N217" s="9">
        <f t="shared" si="38"/>
        <v>-1.3</v>
      </c>
      <c r="O217" s="4">
        <v>107.8</v>
      </c>
      <c r="P217" s="4">
        <v>212</v>
      </c>
      <c r="Q217" s="4">
        <v>1.1499999999999999</v>
      </c>
      <c r="R217" s="10">
        <f t="shared" si="35"/>
        <v>1.4949999999999999</v>
      </c>
      <c r="S217" s="10">
        <f t="shared" si="36"/>
        <v>-1.4949999999999999</v>
      </c>
      <c r="T217" s="92">
        <f t="shared" si="42"/>
        <v>99.030327102803682</v>
      </c>
      <c r="U217" s="32" t="s">
        <v>30</v>
      </c>
      <c r="V217" s="11">
        <v>383.5</v>
      </c>
      <c r="W217" s="4">
        <f t="shared" si="37"/>
        <v>32.5</v>
      </c>
      <c r="X217" s="4">
        <f t="shared" si="43"/>
        <v>119443.79999999994</v>
      </c>
      <c r="Y217" s="4">
        <f t="shared" si="46"/>
        <v>4048.1</v>
      </c>
      <c r="Z217" s="32" t="s">
        <v>31</v>
      </c>
      <c r="AA217" s="4">
        <v>13.0583542487133</v>
      </c>
    </row>
    <row r="218" spans="1:28" s="4" customFormat="1" x14ac:dyDescent="0.25">
      <c r="A218" s="29"/>
      <c r="B218" s="30"/>
      <c r="C218" s="6">
        <v>41734</v>
      </c>
      <c r="D218" s="4">
        <v>12.6</v>
      </c>
      <c r="E218" s="4">
        <v>6</v>
      </c>
      <c r="F218" s="4">
        <v>17.3</v>
      </c>
      <c r="G218" s="4">
        <f t="shared" si="39"/>
        <v>1890.5</v>
      </c>
      <c r="H218" s="4">
        <f t="shared" si="44"/>
        <v>69.3</v>
      </c>
      <c r="I218" s="4">
        <f>MAX(F214:F234)</f>
        <v>21</v>
      </c>
      <c r="J218" s="90">
        <v>0</v>
      </c>
      <c r="K218" s="4">
        <f t="shared" si="40"/>
        <v>565.10000000000036</v>
      </c>
      <c r="L218" s="4">
        <v>3.1</v>
      </c>
      <c r="M218" s="4">
        <f t="shared" si="41"/>
        <v>285.60000000000002</v>
      </c>
      <c r="N218" s="9">
        <f t="shared" si="38"/>
        <v>-3.1</v>
      </c>
      <c r="O218" s="4">
        <v>104.7</v>
      </c>
      <c r="P218" s="4">
        <v>213</v>
      </c>
      <c r="Q218" s="4">
        <v>1.1499999999999999</v>
      </c>
      <c r="R218" s="10">
        <f t="shared" si="35"/>
        <v>3.5649999999999999</v>
      </c>
      <c r="S218" s="10">
        <f t="shared" si="36"/>
        <v>-3.5649999999999999</v>
      </c>
      <c r="T218" s="92">
        <f t="shared" si="42"/>
        <v>95.465327102803684</v>
      </c>
      <c r="U218" s="4">
        <v>0</v>
      </c>
      <c r="V218" s="4">
        <v>1774.5</v>
      </c>
      <c r="W218" s="4">
        <f t="shared" si="37"/>
        <v>140.83333333333334</v>
      </c>
      <c r="X218" s="4">
        <f t="shared" si="43"/>
        <v>121218.29999999994</v>
      </c>
      <c r="Y218" s="4">
        <f t="shared" si="46"/>
        <v>5822.6</v>
      </c>
      <c r="Z218" s="12">
        <f>(Z216/100)/I228</f>
        <v>1.1678156719447828</v>
      </c>
      <c r="AA218" s="4">
        <v>13.121847778586201</v>
      </c>
    </row>
    <row r="219" spans="1:28" s="4" customFormat="1" x14ac:dyDescent="0.25">
      <c r="A219" s="29"/>
      <c r="B219" s="30"/>
      <c r="C219" s="6">
        <v>41735</v>
      </c>
      <c r="D219" s="4">
        <v>14.8</v>
      </c>
      <c r="E219" s="4">
        <v>11.8</v>
      </c>
      <c r="F219" s="4">
        <v>17.600000000000001</v>
      </c>
      <c r="G219" s="4">
        <f t="shared" si="39"/>
        <v>1905.3</v>
      </c>
      <c r="H219" s="4">
        <f t="shared" si="44"/>
        <v>84.1</v>
      </c>
      <c r="I219" s="32" t="s">
        <v>32</v>
      </c>
      <c r="J219" s="90">
        <v>0.5</v>
      </c>
      <c r="K219" s="4">
        <f t="shared" si="40"/>
        <v>565.60000000000036</v>
      </c>
      <c r="L219" s="4">
        <v>1.4</v>
      </c>
      <c r="M219" s="4">
        <f t="shared" si="41"/>
        <v>287</v>
      </c>
      <c r="N219" s="9">
        <f t="shared" si="38"/>
        <v>-0.89999999999999991</v>
      </c>
      <c r="O219" s="4">
        <v>103.8</v>
      </c>
      <c r="P219" s="4">
        <v>214</v>
      </c>
      <c r="Q219" s="4">
        <v>1.1499999999999999</v>
      </c>
      <c r="R219" s="10">
        <f t="shared" si="35"/>
        <v>1.6099999999999999</v>
      </c>
      <c r="S219" s="10">
        <f t="shared" si="36"/>
        <v>-1.1099999999999999</v>
      </c>
      <c r="T219" s="92">
        <f t="shared" si="42"/>
        <v>94.355327102803685</v>
      </c>
      <c r="U219" s="32" t="s">
        <v>33</v>
      </c>
      <c r="V219" s="11">
        <v>475.3</v>
      </c>
      <c r="W219" s="4">
        <f t="shared" si="37"/>
        <v>32.114864864864863</v>
      </c>
      <c r="X219" s="4">
        <f t="shared" si="43"/>
        <v>121693.59999999995</v>
      </c>
      <c r="Y219" s="4">
        <f t="shared" si="46"/>
        <v>6297.9000000000005</v>
      </c>
      <c r="Z219" s="32" t="s">
        <v>34</v>
      </c>
      <c r="AA219" s="4">
        <v>13.185233938895999</v>
      </c>
    </row>
    <row r="220" spans="1:28" s="4" customFormat="1" x14ac:dyDescent="0.25">
      <c r="A220" s="29"/>
      <c r="B220" s="30"/>
      <c r="C220" s="6">
        <v>41736</v>
      </c>
      <c r="D220" s="4">
        <v>15.5</v>
      </c>
      <c r="E220" s="4">
        <v>13.6</v>
      </c>
      <c r="F220" s="4">
        <v>21</v>
      </c>
      <c r="G220" s="4">
        <f t="shared" si="39"/>
        <v>1920.8</v>
      </c>
      <c r="H220" s="4">
        <f t="shared" si="44"/>
        <v>99.6</v>
      </c>
      <c r="I220" s="10">
        <f>AVERAGE(D214:D234)</f>
        <v>11.728571428571431</v>
      </c>
      <c r="J220" s="90">
        <v>7.2</v>
      </c>
      <c r="K220" s="4">
        <f t="shared" si="40"/>
        <v>572.80000000000041</v>
      </c>
      <c r="L220" s="4">
        <v>3.7</v>
      </c>
      <c r="M220" s="4">
        <f t="shared" si="41"/>
        <v>290.7</v>
      </c>
      <c r="N220" s="9">
        <f t="shared" si="38"/>
        <v>3.5</v>
      </c>
      <c r="O220" s="4">
        <v>107.3</v>
      </c>
      <c r="P220" s="4">
        <v>215</v>
      </c>
      <c r="Q220" s="4">
        <v>1.1499999999999999</v>
      </c>
      <c r="R220" s="10">
        <f t="shared" si="35"/>
        <v>4.2549999999999999</v>
      </c>
      <c r="S220" s="10">
        <f t="shared" si="36"/>
        <v>2.9450000000000003</v>
      </c>
      <c r="T220" s="92">
        <f t="shared" si="42"/>
        <v>97.300327102803692</v>
      </c>
      <c r="U220" s="4">
        <v>0</v>
      </c>
      <c r="V220" s="4">
        <v>1203.7</v>
      </c>
      <c r="W220" s="4">
        <f t="shared" si="37"/>
        <v>77.658064516129031</v>
      </c>
      <c r="X220" s="4">
        <f t="shared" si="43"/>
        <v>122897.29999999994</v>
      </c>
      <c r="Y220" s="4">
        <f t="shared" si="46"/>
        <v>7501.6</v>
      </c>
      <c r="Z220" s="4">
        <v>5</v>
      </c>
      <c r="AA220" s="4">
        <v>13.2485051948674</v>
      </c>
    </row>
    <row r="221" spans="1:28" s="4" customFormat="1" x14ac:dyDescent="0.25">
      <c r="A221" s="29"/>
      <c r="B221" s="30"/>
      <c r="C221" s="6">
        <v>41737</v>
      </c>
      <c r="D221" s="4">
        <v>9.6999999999999993</v>
      </c>
      <c r="E221" s="4">
        <v>8.1</v>
      </c>
      <c r="F221" s="4">
        <v>12</v>
      </c>
      <c r="G221" s="4">
        <f t="shared" si="39"/>
        <v>1930.5</v>
      </c>
      <c r="H221" s="4">
        <f t="shared" si="44"/>
        <v>109.3</v>
      </c>
      <c r="I221" s="32" t="s">
        <v>35</v>
      </c>
      <c r="J221" s="90">
        <v>0.5</v>
      </c>
      <c r="K221" s="4">
        <f t="shared" si="40"/>
        <v>573.30000000000041</v>
      </c>
      <c r="L221" s="4">
        <v>2.9</v>
      </c>
      <c r="M221" s="4">
        <f t="shared" si="41"/>
        <v>293.59999999999997</v>
      </c>
      <c r="N221" s="9">
        <f t="shared" si="38"/>
        <v>-2.4</v>
      </c>
      <c r="O221" s="4">
        <v>104.89999999999999</v>
      </c>
      <c r="P221" s="4">
        <v>216</v>
      </c>
      <c r="Q221" s="4">
        <v>1.1499999999999999</v>
      </c>
      <c r="R221" s="10">
        <f t="shared" si="35"/>
        <v>3.3349999999999995</v>
      </c>
      <c r="S221" s="10">
        <f t="shared" si="36"/>
        <v>-2.8349999999999995</v>
      </c>
      <c r="T221" s="92">
        <f t="shared" si="42"/>
        <v>94.465327102803698</v>
      </c>
      <c r="U221" s="32" t="s">
        <v>36</v>
      </c>
      <c r="V221" s="4">
        <v>1514.2</v>
      </c>
      <c r="W221" s="4">
        <f t="shared" si="37"/>
        <v>156.10309278350516</v>
      </c>
      <c r="X221" s="4">
        <f t="shared" si="43"/>
        <v>124411.49999999994</v>
      </c>
      <c r="Y221" s="4">
        <f t="shared" si="46"/>
        <v>9015.8000000000011</v>
      </c>
      <c r="AA221" s="4">
        <v>13.311653741106101</v>
      </c>
    </row>
    <row r="222" spans="1:28" s="4" customFormat="1" x14ac:dyDescent="0.25">
      <c r="A222" s="29"/>
      <c r="B222" s="30"/>
      <c r="C222" s="6">
        <v>41738</v>
      </c>
      <c r="D222" s="4">
        <v>9.5</v>
      </c>
      <c r="E222" s="13">
        <v>3.6</v>
      </c>
      <c r="F222" s="4">
        <v>13.8</v>
      </c>
      <c r="G222" s="4">
        <f t="shared" si="39"/>
        <v>1940</v>
      </c>
      <c r="H222" s="4">
        <f t="shared" si="44"/>
        <v>118.8</v>
      </c>
      <c r="I222" s="4">
        <v>0</v>
      </c>
      <c r="J222" s="90">
        <v>0</v>
      </c>
      <c r="K222" s="4">
        <f t="shared" si="40"/>
        <v>573.30000000000041</v>
      </c>
      <c r="L222" s="4">
        <v>2.6</v>
      </c>
      <c r="M222" s="4">
        <f t="shared" si="41"/>
        <v>296.2</v>
      </c>
      <c r="N222" s="9">
        <f t="shared" si="38"/>
        <v>-2.6</v>
      </c>
      <c r="O222" s="4">
        <v>102.3</v>
      </c>
      <c r="P222" s="4">
        <v>217</v>
      </c>
      <c r="Q222" s="4">
        <v>1.1499999999999999</v>
      </c>
      <c r="R222" s="10">
        <f t="shared" si="35"/>
        <v>2.9899999999999998</v>
      </c>
      <c r="S222" s="10">
        <f t="shared" si="36"/>
        <v>-2.9899999999999998</v>
      </c>
      <c r="T222" s="92">
        <f t="shared" si="42"/>
        <v>91.475327102803703</v>
      </c>
      <c r="U222" s="10">
        <f>MIN(T214:T234)</f>
        <v>57.025327102803722</v>
      </c>
      <c r="V222" s="4">
        <v>1576.3</v>
      </c>
      <c r="W222" s="4">
        <f t="shared" si="37"/>
        <v>165.92631578947368</v>
      </c>
      <c r="X222" s="4">
        <f t="shared" si="43"/>
        <v>125987.79999999994</v>
      </c>
      <c r="Y222" s="4">
        <f t="shared" si="46"/>
        <v>10592.1</v>
      </c>
      <c r="AA222" s="4">
        <v>13.374671483163199</v>
      </c>
    </row>
    <row r="223" spans="1:28" s="4" customFormat="1" x14ac:dyDescent="0.25">
      <c r="A223" s="29"/>
      <c r="B223" s="30"/>
      <c r="C223" s="6">
        <v>41739</v>
      </c>
      <c r="D223" s="4">
        <v>10.1</v>
      </c>
      <c r="E223" s="13">
        <v>4.4000000000000004</v>
      </c>
      <c r="F223" s="4">
        <v>14.7</v>
      </c>
      <c r="G223" s="4">
        <f t="shared" si="39"/>
        <v>1950.1</v>
      </c>
      <c r="H223" s="4">
        <f t="shared" si="44"/>
        <v>128.9</v>
      </c>
      <c r="I223" s="32" t="s">
        <v>37</v>
      </c>
      <c r="J223" s="90">
        <v>0</v>
      </c>
      <c r="K223" s="4">
        <f t="shared" si="40"/>
        <v>573.30000000000041</v>
      </c>
      <c r="L223" s="4">
        <v>2.2999999999999998</v>
      </c>
      <c r="M223" s="4">
        <f t="shared" si="41"/>
        <v>298.5</v>
      </c>
      <c r="N223" s="9">
        <f t="shared" si="38"/>
        <v>-2.2999999999999998</v>
      </c>
      <c r="O223" s="4">
        <v>100</v>
      </c>
      <c r="P223" s="4">
        <v>218</v>
      </c>
      <c r="Q223" s="4">
        <v>1.1499999999999999</v>
      </c>
      <c r="R223" s="10">
        <f t="shared" si="35"/>
        <v>2.6449999999999996</v>
      </c>
      <c r="S223" s="10">
        <f t="shared" si="36"/>
        <v>-2.6449999999999996</v>
      </c>
      <c r="T223" s="92">
        <f t="shared" si="42"/>
        <v>88.830327102803707</v>
      </c>
      <c r="U223" s="32" t="s">
        <v>38</v>
      </c>
      <c r="V223" s="4">
        <v>1504.7</v>
      </c>
      <c r="W223" s="4">
        <f t="shared" si="37"/>
        <v>148.980198019802</v>
      </c>
      <c r="X223" s="4">
        <f t="shared" si="43"/>
        <v>127492.49999999994</v>
      </c>
      <c r="Y223" s="4">
        <f t="shared" si="46"/>
        <v>12096.800000000001</v>
      </c>
      <c r="AA223" s="4">
        <v>13.4375500191694</v>
      </c>
    </row>
    <row r="224" spans="1:28" s="23" customFormat="1" x14ac:dyDescent="0.25">
      <c r="A224" s="29"/>
      <c r="C224" s="6">
        <v>41740</v>
      </c>
      <c r="D224" s="23">
        <v>10.3</v>
      </c>
      <c r="E224" s="23">
        <v>5.0999999999999996</v>
      </c>
      <c r="F224" s="23">
        <v>14.8</v>
      </c>
      <c r="G224" s="23">
        <f t="shared" si="39"/>
        <v>1960.3999999999999</v>
      </c>
      <c r="H224" s="23">
        <f t="shared" si="44"/>
        <v>139.20000000000002</v>
      </c>
      <c r="I224" s="23">
        <v>0</v>
      </c>
      <c r="J224" s="23">
        <v>0</v>
      </c>
      <c r="K224" s="23">
        <f t="shared" si="40"/>
        <v>573.30000000000041</v>
      </c>
      <c r="L224" s="23">
        <v>2.1</v>
      </c>
      <c r="M224" s="23">
        <f t="shared" si="41"/>
        <v>300.60000000000002</v>
      </c>
      <c r="N224" s="23">
        <f t="shared" si="38"/>
        <v>-2.1</v>
      </c>
      <c r="O224" s="23">
        <v>97.9</v>
      </c>
      <c r="P224" s="23">
        <v>219</v>
      </c>
      <c r="Q224" s="4">
        <v>1.1499999999999999</v>
      </c>
      <c r="R224" s="25">
        <f t="shared" si="35"/>
        <v>2.415</v>
      </c>
      <c r="S224" s="25">
        <f t="shared" si="36"/>
        <v>-2.415</v>
      </c>
      <c r="T224" s="10">
        <f t="shared" si="42"/>
        <v>86.415327102803701</v>
      </c>
      <c r="U224" s="10">
        <f>MAX(T214:T234)</f>
        <v>105.47032710280368</v>
      </c>
      <c r="V224" s="23">
        <v>1090</v>
      </c>
      <c r="W224" s="23">
        <f t="shared" si="37"/>
        <v>105.82524271844659</v>
      </c>
      <c r="X224" s="23">
        <f t="shared" si="43"/>
        <v>128582.49999999994</v>
      </c>
      <c r="Y224" s="4">
        <f t="shared" si="46"/>
        <v>13186.800000000001</v>
      </c>
      <c r="AA224" s="4">
        <v>13.500280621550599</v>
      </c>
    </row>
    <row r="225" spans="1:27" s="4" customFormat="1" x14ac:dyDescent="0.25">
      <c r="A225" s="29"/>
      <c r="B225" s="30"/>
      <c r="C225" s="6">
        <v>41741</v>
      </c>
      <c r="D225" s="4">
        <v>10.6</v>
      </c>
      <c r="E225" s="4">
        <v>6.5</v>
      </c>
      <c r="F225" s="4">
        <v>14.8</v>
      </c>
      <c r="G225" s="4">
        <f t="shared" si="39"/>
        <v>1970.9999999999998</v>
      </c>
      <c r="H225" s="4">
        <f t="shared" si="44"/>
        <v>149.80000000000001</v>
      </c>
      <c r="I225" s="32" t="s">
        <v>39</v>
      </c>
      <c r="J225" s="4">
        <v>0</v>
      </c>
      <c r="K225" s="4">
        <f t="shared" si="40"/>
        <v>573.30000000000041</v>
      </c>
      <c r="L225" s="4">
        <v>2.5</v>
      </c>
      <c r="M225" s="4">
        <f t="shared" si="41"/>
        <v>303.10000000000002</v>
      </c>
      <c r="N225" s="9">
        <f t="shared" si="38"/>
        <v>-2.5</v>
      </c>
      <c r="O225" s="4">
        <v>95.4</v>
      </c>
      <c r="P225" s="4">
        <v>220</v>
      </c>
      <c r="Q225" s="4">
        <v>1.1499999999999999</v>
      </c>
      <c r="R225" s="10">
        <f t="shared" si="35"/>
        <v>2.875</v>
      </c>
      <c r="S225" s="10">
        <f t="shared" si="36"/>
        <v>-2.875</v>
      </c>
      <c r="T225" s="10">
        <f t="shared" si="42"/>
        <v>83.540327102803701</v>
      </c>
      <c r="U225" s="32" t="s">
        <v>40</v>
      </c>
      <c r="V225" s="4">
        <v>1586.8</v>
      </c>
      <c r="W225" s="4">
        <f t="shared" si="37"/>
        <v>149.69811320754718</v>
      </c>
      <c r="X225" s="4">
        <f t="shared" si="43"/>
        <v>130169.29999999994</v>
      </c>
      <c r="Y225" s="4">
        <f t="shared" si="46"/>
        <v>14773.6</v>
      </c>
      <c r="AA225" s="4">
        <v>13.5628542188418</v>
      </c>
    </row>
    <row r="226" spans="1:27" s="4" customFormat="1" x14ac:dyDescent="0.25">
      <c r="A226" s="29"/>
      <c r="B226" s="30"/>
      <c r="C226" s="6">
        <v>41742</v>
      </c>
      <c r="D226" s="4">
        <v>11.1</v>
      </c>
      <c r="E226" s="4">
        <v>7.7</v>
      </c>
      <c r="F226" s="4">
        <v>14.3</v>
      </c>
      <c r="G226" s="4">
        <f t="shared" si="39"/>
        <v>1982.0999999999997</v>
      </c>
      <c r="H226" s="4">
        <f t="shared" si="44"/>
        <v>160.9</v>
      </c>
      <c r="I226" s="4">
        <v>4</v>
      </c>
      <c r="J226" s="4">
        <v>0</v>
      </c>
      <c r="K226" s="4">
        <f t="shared" si="40"/>
        <v>573.30000000000041</v>
      </c>
      <c r="L226" s="4">
        <v>2</v>
      </c>
      <c r="M226" s="4">
        <f t="shared" si="41"/>
        <v>305.10000000000002</v>
      </c>
      <c r="N226" s="9">
        <f t="shared" si="38"/>
        <v>-2</v>
      </c>
      <c r="O226" s="4">
        <v>93.4</v>
      </c>
      <c r="P226" s="4">
        <v>221</v>
      </c>
      <c r="Q226" s="4">
        <v>1.1499999999999999</v>
      </c>
      <c r="R226" s="10">
        <f t="shared" si="35"/>
        <v>2.2999999999999998</v>
      </c>
      <c r="S226" s="10">
        <f t="shared" si="36"/>
        <v>-2.2999999999999998</v>
      </c>
      <c r="T226" s="10">
        <f t="shared" si="42"/>
        <v>81.240327102803704</v>
      </c>
      <c r="U226" s="12">
        <f>AVERAGE(T214:T234)</f>
        <v>83.719612817089427</v>
      </c>
      <c r="V226" s="11">
        <v>671.7</v>
      </c>
      <c r="W226" s="4">
        <f t="shared" si="37"/>
        <v>60.513513513513523</v>
      </c>
      <c r="X226" s="4">
        <f t="shared" si="43"/>
        <v>130840.99999999994</v>
      </c>
      <c r="Y226" s="4">
        <f t="shared" si="46"/>
        <v>15445.300000000001</v>
      </c>
      <c r="AA226" s="4">
        <v>13.6252613776202</v>
      </c>
    </row>
    <row r="227" spans="1:27" s="4" customFormat="1" x14ac:dyDescent="0.25">
      <c r="A227" s="29"/>
      <c r="B227" s="30"/>
      <c r="C227" s="6">
        <v>41743</v>
      </c>
      <c r="D227" s="4">
        <v>8.8000000000000007</v>
      </c>
      <c r="E227" s="4">
        <v>7.4</v>
      </c>
      <c r="F227" s="4">
        <v>12</v>
      </c>
      <c r="G227" s="4">
        <f t="shared" si="39"/>
        <v>1990.8999999999996</v>
      </c>
      <c r="H227" s="4">
        <f t="shared" si="44"/>
        <v>169.70000000000002</v>
      </c>
      <c r="I227" s="32" t="s">
        <v>41</v>
      </c>
      <c r="J227" s="4">
        <v>0</v>
      </c>
      <c r="K227" s="4">
        <f t="shared" si="40"/>
        <v>573.30000000000041</v>
      </c>
      <c r="L227" s="4">
        <v>2.9</v>
      </c>
      <c r="M227" s="4">
        <f t="shared" si="41"/>
        <v>308</v>
      </c>
      <c r="N227" s="9">
        <f t="shared" si="38"/>
        <v>-2.9</v>
      </c>
      <c r="O227" s="4">
        <v>90.5</v>
      </c>
      <c r="P227" s="4">
        <v>222</v>
      </c>
      <c r="Q227" s="4">
        <v>1.1499999999999999</v>
      </c>
      <c r="R227" s="10">
        <f t="shared" si="35"/>
        <v>3.3349999999999995</v>
      </c>
      <c r="S227" s="10">
        <f t="shared" si="36"/>
        <v>-3.3349999999999995</v>
      </c>
      <c r="T227" s="10">
        <f t="shared" si="42"/>
        <v>77.90532710280371</v>
      </c>
      <c r="V227" s="4">
        <v>1817.8</v>
      </c>
      <c r="W227" s="4">
        <f t="shared" si="37"/>
        <v>206.56818181818178</v>
      </c>
      <c r="X227" s="4">
        <f t="shared" si="43"/>
        <v>132658.79999999993</v>
      </c>
      <c r="Y227" s="4">
        <f t="shared" si="46"/>
        <v>17263.100000000002</v>
      </c>
      <c r="AA227" s="4">
        <v>13.6874922845799</v>
      </c>
    </row>
    <row r="228" spans="1:27" s="4" customFormat="1" x14ac:dyDescent="0.25">
      <c r="A228" s="29"/>
      <c r="B228" s="30"/>
      <c r="C228" s="6">
        <v>41744</v>
      </c>
      <c r="D228" s="4">
        <v>7.5</v>
      </c>
      <c r="E228" s="13">
        <v>4.5999999999999996</v>
      </c>
      <c r="F228" s="4">
        <v>11.1</v>
      </c>
      <c r="G228" s="4">
        <f t="shared" si="39"/>
        <v>1998.3999999999996</v>
      </c>
      <c r="H228" s="4">
        <f t="shared" si="44"/>
        <v>177.20000000000002</v>
      </c>
      <c r="I228" s="4">
        <v>246.3</v>
      </c>
      <c r="J228" s="4">
        <v>0</v>
      </c>
      <c r="K228" s="4">
        <f t="shared" si="40"/>
        <v>573.30000000000041</v>
      </c>
      <c r="L228" s="4">
        <v>3.1</v>
      </c>
      <c r="M228" s="4">
        <f t="shared" si="41"/>
        <v>311.10000000000002</v>
      </c>
      <c r="N228" s="9">
        <f t="shared" si="38"/>
        <v>-3.1</v>
      </c>
      <c r="O228" s="4">
        <v>87.4</v>
      </c>
      <c r="P228" s="4">
        <v>223</v>
      </c>
      <c r="Q228" s="4">
        <v>1.1499999999999999</v>
      </c>
      <c r="R228" s="10">
        <f t="shared" si="35"/>
        <v>3.5649999999999999</v>
      </c>
      <c r="S228" s="10">
        <f t="shared" si="36"/>
        <v>-3.5649999999999999</v>
      </c>
      <c r="T228" s="10">
        <f t="shared" si="42"/>
        <v>74.340327102803712</v>
      </c>
      <c r="U228" s="4">
        <f>(U226*100)/153.6</f>
        <v>54.504956261125926</v>
      </c>
      <c r="V228" s="4">
        <v>1864.2</v>
      </c>
      <c r="W228" s="4">
        <f t="shared" si="37"/>
        <v>248.56</v>
      </c>
      <c r="X228" s="4">
        <f t="shared" si="43"/>
        <v>134522.99999999994</v>
      </c>
      <c r="Y228" s="4">
        <f t="shared" si="46"/>
        <v>19127.300000000003</v>
      </c>
      <c r="AA228" s="4">
        <v>13.7495367287754</v>
      </c>
    </row>
    <row r="229" spans="1:27" s="4" customFormat="1" x14ac:dyDescent="0.25">
      <c r="A229" s="29"/>
      <c r="B229" s="30"/>
      <c r="C229" s="6">
        <v>41745</v>
      </c>
      <c r="D229" s="4">
        <v>9.3000000000000007</v>
      </c>
      <c r="E229" s="13">
        <v>4.0999999999999996</v>
      </c>
      <c r="F229" s="4">
        <v>14.4</v>
      </c>
      <c r="G229" s="4">
        <f t="shared" si="39"/>
        <v>2007.6999999999996</v>
      </c>
      <c r="H229" s="4">
        <f t="shared" si="44"/>
        <v>186.50000000000003</v>
      </c>
      <c r="J229" s="4">
        <v>0</v>
      </c>
      <c r="K229" s="4">
        <f t="shared" si="40"/>
        <v>573.30000000000041</v>
      </c>
      <c r="L229" s="4">
        <v>3.1</v>
      </c>
      <c r="M229" s="4">
        <f t="shared" si="41"/>
        <v>314.20000000000005</v>
      </c>
      <c r="N229" s="9">
        <f t="shared" si="38"/>
        <v>-3.1</v>
      </c>
      <c r="O229" s="4">
        <v>84.300000000000011</v>
      </c>
      <c r="P229" s="4">
        <v>224</v>
      </c>
      <c r="Q229" s="4">
        <v>1.1499999999999999</v>
      </c>
      <c r="R229" s="10">
        <f t="shared" si="35"/>
        <v>3.5649999999999999</v>
      </c>
      <c r="S229" s="10">
        <f t="shared" si="36"/>
        <v>-3.5649999999999999</v>
      </c>
      <c r="T229" s="10">
        <f t="shared" si="42"/>
        <v>70.775327102803715</v>
      </c>
      <c r="V229" s="4">
        <v>2267</v>
      </c>
      <c r="W229" s="4">
        <f t="shared" si="37"/>
        <v>243.76344086021504</v>
      </c>
      <c r="X229" s="4">
        <f t="shared" si="43"/>
        <v>136789.99999999994</v>
      </c>
      <c r="Y229" s="4">
        <f t="shared" si="46"/>
        <v>21394.300000000003</v>
      </c>
      <c r="AA229" s="4">
        <v>13.811384084064301</v>
      </c>
    </row>
    <row r="230" spans="1:27" s="4" customFormat="1" x14ac:dyDescent="0.25">
      <c r="A230" s="29"/>
      <c r="B230" s="30"/>
      <c r="C230" s="6">
        <v>41746</v>
      </c>
      <c r="D230" s="4">
        <v>11.8</v>
      </c>
      <c r="E230" s="4">
        <v>5.4</v>
      </c>
      <c r="F230" s="4">
        <v>17.5</v>
      </c>
      <c r="G230" s="4">
        <f t="shared" si="39"/>
        <v>2019.4999999999995</v>
      </c>
      <c r="H230" s="4">
        <f t="shared" si="44"/>
        <v>198.30000000000004</v>
      </c>
      <c r="J230" s="4">
        <v>0</v>
      </c>
      <c r="K230" s="4">
        <f t="shared" si="40"/>
        <v>573.30000000000041</v>
      </c>
      <c r="L230" s="4">
        <v>4</v>
      </c>
      <c r="M230" s="4">
        <f t="shared" si="41"/>
        <v>318.20000000000005</v>
      </c>
      <c r="N230" s="9">
        <f t="shared" si="38"/>
        <v>-4</v>
      </c>
      <c r="O230" s="4">
        <v>80.300000000000011</v>
      </c>
      <c r="P230" s="4">
        <v>225</v>
      </c>
      <c r="Q230" s="4">
        <v>1.1499999999999999</v>
      </c>
      <c r="R230" s="10">
        <f t="shared" si="35"/>
        <v>4.5999999999999996</v>
      </c>
      <c r="S230" s="10">
        <f t="shared" si="36"/>
        <v>-4.5999999999999996</v>
      </c>
      <c r="T230" s="10">
        <f t="shared" si="42"/>
        <v>66.17532710280372</v>
      </c>
      <c r="V230" s="4">
        <v>2103.6999999999998</v>
      </c>
      <c r="W230" s="4">
        <f t="shared" si="37"/>
        <v>178.27966101694912</v>
      </c>
      <c r="X230" s="4">
        <f t="shared" si="43"/>
        <v>138893.69999999995</v>
      </c>
      <c r="Y230" s="4">
        <f t="shared" si="46"/>
        <v>23498.000000000004</v>
      </c>
      <c r="AA230" s="4">
        <v>13.873023291784399</v>
      </c>
    </row>
    <row r="231" spans="1:27" s="4" customFormat="1" x14ac:dyDescent="0.25">
      <c r="A231" s="29"/>
      <c r="B231" s="30"/>
      <c r="C231" s="6">
        <v>41747</v>
      </c>
      <c r="D231" s="4">
        <v>9.9</v>
      </c>
      <c r="E231" s="4">
        <v>9</v>
      </c>
      <c r="F231" s="4">
        <v>12.1</v>
      </c>
      <c r="G231" s="4">
        <f t="shared" si="39"/>
        <v>2029.3999999999996</v>
      </c>
      <c r="H231" s="4">
        <f t="shared" si="44"/>
        <v>208.20000000000005</v>
      </c>
      <c r="J231" s="4">
        <v>0</v>
      </c>
      <c r="K231" s="4">
        <f t="shared" si="40"/>
        <v>573.30000000000041</v>
      </c>
      <c r="L231" s="4">
        <v>3.5</v>
      </c>
      <c r="M231" s="4">
        <f t="shared" si="41"/>
        <v>321.70000000000005</v>
      </c>
      <c r="N231" s="9">
        <f t="shared" si="38"/>
        <v>-3.5</v>
      </c>
      <c r="O231" s="4">
        <v>76.800000000000011</v>
      </c>
      <c r="P231" s="4">
        <v>226</v>
      </c>
      <c r="Q231" s="4">
        <v>1.1499999999999999</v>
      </c>
      <c r="R231" s="10">
        <f t="shared" si="35"/>
        <v>4.0249999999999995</v>
      </c>
      <c r="S231" s="10">
        <f t="shared" si="36"/>
        <v>-4.0249999999999995</v>
      </c>
      <c r="T231" s="10">
        <f t="shared" si="42"/>
        <v>62.150327102803722</v>
      </c>
      <c r="V231" s="4">
        <v>1297.4000000000001</v>
      </c>
      <c r="W231" s="4">
        <f t="shared" si="37"/>
        <v>131.05050505050505</v>
      </c>
      <c r="X231" s="4">
        <f t="shared" si="43"/>
        <v>140191.09999999995</v>
      </c>
      <c r="Y231" s="4">
        <f t="shared" si="46"/>
        <v>24795.400000000005</v>
      </c>
      <c r="AA231" s="4">
        <v>13.9344428437046</v>
      </c>
    </row>
    <row r="232" spans="1:27" s="4" customFormat="1" x14ac:dyDescent="0.25">
      <c r="A232" s="29"/>
      <c r="B232" s="30"/>
      <c r="C232" s="6">
        <v>41748</v>
      </c>
      <c r="D232" s="4">
        <v>10.9</v>
      </c>
      <c r="E232" s="4">
        <v>6.7</v>
      </c>
      <c r="F232" s="4">
        <v>13.4</v>
      </c>
      <c r="G232" s="4">
        <f t="shared" si="39"/>
        <v>2040.2999999999997</v>
      </c>
      <c r="H232" s="4">
        <f t="shared" si="44"/>
        <v>219.10000000000005</v>
      </c>
      <c r="J232" s="4">
        <v>0</v>
      </c>
      <c r="K232" s="4">
        <f t="shared" si="40"/>
        <v>573.30000000000041</v>
      </c>
      <c r="L232" s="4">
        <v>3.2</v>
      </c>
      <c r="M232" s="4">
        <f t="shared" si="41"/>
        <v>324.90000000000003</v>
      </c>
      <c r="N232" s="9">
        <f t="shared" si="38"/>
        <v>-3.2</v>
      </c>
      <c r="O232" s="4">
        <v>73.600000000000009</v>
      </c>
      <c r="P232" s="4">
        <v>227</v>
      </c>
      <c r="Q232" s="4">
        <v>1.1499999999999999</v>
      </c>
      <c r="R232" s="10">
        <f t="shared" si="35"/>
        <v>3.6799999999999997</v>
      </c>
      <c r="S232" s="10">
        <f t="shared" si="36"/>
        <v>-3.6799999999999997</v>
      </c>
      <c r="T232" s="10">
        <f t="shared" si="42"/>
        <v>58.470327102803722</v>
      </c>
      <c r="V232" s="4">
        <v>1698.5</v>
      </c>
      <c r="W232" s="4">
        <f t="shared" si="37"/>
        <v>155.8256880733945</v>
      </c>
      <c r="X232" s="4">
        <f t="shared" si="43"/>
        <v>141889.59999999995</v>
      </c>
      <c r="Y232" s="4">
        <f t="shared" si="46"/>
        <v>26493.900000000005</v>
      </c>
      <c r="AA232" s="4">
        <v>13.995630765292001</v>
      </c>
    </row>
    <row r="233" spans="1:27" s="4" customFormat="1" x14ac:dyDescent="0.25">
      <c r="A233" s="29"/>
      <c r="B233" s="30"/>
      <c r="C233" s="6">
        <v>41749</v>
      </c>
      <c r="D233" s="4">
        <v>14.3</v>
      </c>
      <c r="E233" s="4">
        <v>11.5</v>
      </c>
      <c r="F233" s="4">
        <v>17.2</v>
      </c>
      <c r="G233" s="4">
        <f t="shared" si="39"/>
        <v>2054.6</v>
      </c>
      <c r="H233" s="4">
        <f t="shared" si="44"/>
        <v>233.40000000000006</v>
      </c>
      <c r="J233" s="4">
        <v>1.2</v>
      </c>
      <c r="K233" s="4">
        <f t="shared" si="40"/>
        <v>574.50000000000045</v>
      </c>
      <c r="L233" s="4">
        <v>2.2999999999999998</v>
      </c>
      <c r="M233" s="4">
        <f t="shared" si="41"/>
        <v>327.20000000000005</v>
      </c>
      <c r="N233" s="9">
        <f t="shared" si="38"/>
        <v>-1.0999999999999999</v>
      </c>
      <c r="O233" s="4">
        <v>72.500000000000014</v>
      </c>
      <c r="P233" s="4">
        <v>228</v>
      </c>
      <c r="Q233" s="4">
        <v>1.1499999999999999</v>
      </c>
      <c r="R233" s="10">
        <f t="shared" si="35"/>
        <v>2.6449999999999996</v>
      </c>
      <c r="S233" s="10">
        <f t="shared" si="36"/>
        <v>-1.4449999999999996</v>
      </c>
      <c r="T233" s="10">
        <f t="shared" si="42"/>
        <v>57.025327102803722</v>
      </c>
      <c r="V233" s="11">
        <v>661.9</v>
      </c>
      <c r="W233" s="4">
        <f t="shared" si="37"/>
        <v>46.28671328671328</v>
      </c>
      <c r="X233" s="4">
        <f t="shared" si="43"/>
        <v>142551.49999999994</v>
      </c>
      <c r="Y233" s="4">
        <f t="shared" si="46"/>
        <v>27155.800000000007</v>
      </c>
      <c r="AA233" s="4">
        <v>14.0565745993449</v>
      </c>
    </row>
    <row r="234" spans="1:27" s="49" customFormat="1" ht="15.75" thickBot="1" x14ac:dyDescent="0.3">
      <c r="A234" s="57" t="s">
        <v>47</v>
      </c>
      <c r="B234" s="58"/>
      <c r="C234" s="48">
        <v>41750</v>
      </c>
      <c r="D234" s="49">
        <v>12.9</v>
      </c>
      <c r="E234" s="49">
        <v>9.6</v>
      </c>
      <c r="F234" s="49">
        <v>19.600000000000001</v>
      </c>
      <c r="G234" s="49">
        <f t="shared" si="39"/>
        <v>2067.5</v>
      </c>
      <c r="H234" s="49">
        <f t="shared" si="44"/>
        <v>246.30000000000007</v>
      </c>
      <c r="J234" s="49">
        <v>17.100000000000001</v>
      </c>
      <c r="K234" s="49">
        <f t="shared" si="40"/>
        <v>591.60000000000048</v>
      </c>
      <c r="L234" s="49">
        <v>3.3</v>
      </c>
      <c r="M234" s="49">
        <f t="shared" si="41"/>
        <v>330.50000000000006</v>
      </c>
      <c r="N234" s="49">
        <f t="shared" si="38"/>
        <v>13.8</v>
      </c>
      <c r="O234" s="49">
        <v>86.300000000000011</v>
      </c>
      <c r="P234" s="49">
        <v>229</v>
      </c>
      <c r="Q234" s="49">
        <v>1.1499999999999999</v>
      </c>
      <c r="R234" s="52">
        <f t="shared" si="35"/>
        <v>3.7949999999999995</v>
      </c>
      <c r="S234" s="52">
        <f t="shared" si="36"/>
        <v>13.305000000000001</v>
      </c>
      <c r="T234" s="52">
        <f t="shared" si="42"/>
        <v>70.330327102803722</v>
      </c>
      <c r="V234" s="49">
        <v>1607.5</v>
      </c>
      <c r="W234" s="49">
        <f t="shared" si="37"/>
        <v>124.6124031007752</v>
      </c>
      <c r="X234" s="49">
        <f t="shared" si="43"/>
        <v>144158.99999999994</v>
      </c>
      <c r="Y234" s="49">
        <f t="shared" si="46"/>
        <v>28763.300000000007</v>
      </c>
      <c r="AA234" s="49">
        <v>14.1172613900444</v>
      </c>
    </row>
    <row r="235" spans="1:27" s="23" customFormat="1" x14ac:dyDescent="0.25">
      <c r="A235" s="73">
        <v>300</v>
      </c>
      <c r="B235" s="40"/>
      <c r="C235" s="22">
        <v>41751</v>
      </c>
      <c r="D235" s="23">
        <v>13.3</v>
      </c>
      <c r="E235" s="23">
        <v>9.6999999999999993</v>
      </c>
      <c r="F235" s="23">
        <v>16.600000000000001</v>
      </c>
      <c r="G235" s="23">
        <f t="shared" si="39"/>
        <v>2080.8000000000002</v>
      </c>
      <c r="H235" s="23">
        <f>D235</f>
        <v>13.3</v>
      </c>
      <c r="J235" s="23">
        <v>6.3</v>
      </c>
      <c r="K235" s="23">
        <f t="shared" si="40"/>
        <v>597.90000000000043</v>
      </c>
      <c r="L235" s="23">
        <v>2.7</v>
      </c>
      <c r="M235" s="23">
        <f t="shared" si="41"/>
        <v>333.20000000000005</v>
      </c>
      <c r="N235" s="23">
        <f t="shared" si="38"/>
        <v>3.5999999999999996</v>
      </c>
      <c r="O235" s="23">
        <v>89.9</v>
      </c>
      <c r="P235" s="23">
        <v>230</v>
      </c>
      <c r="Q235" s="23">
        <v>1.1499999999999999</v>
      </c>
      <c r="R235" s="25">
        <f t="shared" si="35"/>
        <v>3.105</v>
      </c>
      <c r="S235" s="25">
        <f t="shared" si="36"/>
        <v>3.1949999999999998</v>
      </c>
      <c r="T235" s="25">
        <f t="shared" si="42"/>
        <v>73.525327102803715</v>
      </c>
      <c r="V235" s="23">
        <v>1474.7</v>
      </c>
      <c r="W235" s="23">
        <f t="shared" si="37"/>
        <v>110.8796992481203</v>
      </c>
      <c r="X235" s="23">
        <f t="shared" si="43"/>
        <v>145633.69999999995</v>
      </c>
      <c r="Y235" s="23">
        <f>V235</f>
        <v>1474.7</v>
      </c>
      <c r="AA235" s="23">
        <v>14.1776776674823</v>
      </c>
    </row>
    <row r="236" spans="1:27" s="4" customFormat="1" ht="15" customHeight="1" x14ac:dyDescent="0.25">
      <c r="A236" s="73"/>
      <c r="B236" s="27"/>
      <c r="C236" s="6">
        <v>41752</v>
      </c>
      <c r="D236" s="4">
        <v>13.4</v>
      </c>
      <c r="E236" s="4">
        <v>6.8</v>
      </c>
      <c r="F236" s="4">
        <v>18.100000000000001</v>
      </c>
      <c r="G236" s="4">
        <f t="shared" si="39"/>
        <v>2094.2000000000003</v>
      </c>
      <c r="H236" s="4">
        <f>H235+D236</f>
        <v>26.700000000000003</v>
      </c>
      <c r="I236" s="33" t="s">
        <v>26</v>
      </c>
      <c r="J236" s="4">
        <v>0</v>
      </c>
      <c r="K236" s="4">
        <f t="shared" si="40"/>
        <v>597.90000000000043</v>
      </c>
      <c r="L236" s="4">
        <v>2.1</v>
      </c>
      <c r="M236" s="4">
        <f t="shared" si="41"/>
        <v>335.30000000000007</v>
      </c>
      <c r="N236" s="9">
        <f t="shared" si="38"/>
        <v>-2.1</v>
      </c>
      <c r="O236" s="4">
        <v>87.800000000000011</v>
      </c>
      <c r="P236" s="4">
        <v>231</v>
      </c>
      <c r="Q236" s="4">
        <v>1.1499999999999999</v>
      </c>
      <c r="R236" s="10">
        <f t="shared" si="35"/>
        <v>2.415</v>
      </c>
      <c r="S236" s="10">
        <f t="shared" si="36"/>
        <v>-2.415</v>
      </c>
      <c r="T236" s="10">
        <f t="shared" si="42"/>
        <v>71.110327102803708</v>
      </c>
      <c r="U236" s="33" t="s">
        <v>27</v>
      </c>
      <c r="V236" s="4">
        <v>1439.7</v>
      </c>
      <c r="W236" s="4">
        <f t="shared" si="37"/>
        <v>107.44029850746269</v>
      </c>
      <c r="X236" s="4">
        <f t="shared" si="43"/>
        <v>147073.39999999997</v>
      </c>
      <c r="Y236" s="4">
        <f>Y235+V236</f>
        <v>2914.4</v>
      </c>
      <c r="Z236" s="33" t="s">
        <v>28</v>
      </c>
      <c r="AA236" s="4">
        <v>14.237809432730399</v>
      </c>
    </row>
    <row r="237" spans="1:27" s="4" customFormat="1" x14ac:dyDescent="0.25">
      <c r="A237" s="73"/>
      <c r="B237" s="27"/>
      <c r="C237" s="6">
        <v>41753</v>
      </c>
      <c r="D237" s="4">
        <v>14</v>
      </c>
      <c r="E237" s="4">
        <v>11.3</v>
      </c>
      <c r="F237" s="4">
        <v>16.2</v>
      </c>
      <c r="G237" s="4">
        <f t="shared" si="39"/>
        <v>2108.2000000000003</v>
      </c>
      <c r="H237" s="4">
        <f t="shared" si="44"/>
        <v>40.700000000000003</v>
      </c>
      <c r="I237" s="4">
        <f>MIN(E235:E259)</f>
        <v>5.7</v>
      </c>
      <c r="J237" s="4">
        <v>2.2999999999999998</v>
      </c>
      <c r="K237" s="4">
        <f t="shared" si="40"/>
        <v>600.20000000000039</v>
      </c>
      <c r="L237" s="4">
        <v>1.2</v>
      </c>
      <c r="M237" s="4">
        <f t="shared" si="41"/>
        <v>336.50000000000006</v>
      </c>
      <c r="N237" s="4">
        <f t="shared" si="38"/>
        <v>1.0999999999999999</v>
      </c>
      <c r="O237" s="4">
        <v>88.9</v>
      </c>
      <c r="P237" s="4">
        <v>232</v>
      </c>
      <c r="Q237" s="4">
        <v>1.1499999999999999</v>
      </c>
      <c r="R237" s="10">
        <f t="shared" si="35"/>
        <v>1.38</v>
      </c>
      <c r="S237" s="10">
        <f t="shared" si="36"/>
        <v>0.91999999999999993</v>
      </c>
      <c r="T237" s="10">
        <f t="shared" si="42"/>
        <v>72.03032710280371</v>
      </c>
      <c r="U237" s="4">
        <v>18</v>
      </c>
      <c r="V237" s="11">
        <v>757.1</v>
      </c>
      <c r="W237" s="4">
        <f t="shared" si="37"/>
        <v>54.078571428571429</v>
      </c>
      <c r="X237" s="4">
        <f t="shared" si="43"/>
        <v>147830.49999999997</v>
      </c>
      <c r="Y237" s="4">
        <f t="shared" si="45"/>
        <v>3671.5</v>
      </c>
      <c r="Z237" s="4">
        <v>36014.1</v>
      </c>
      <c r="AA237" s="4">
        <v>14.2976421435191</v>
      </c>
    </row>
    <row r="238" spans="1:27" s="4" customFormat="1" x14ac:dyDescent="0.25">
      <c r="A238" s="73"/>
      <c r="B238" s="27"/>
      <c r="C238" s="6">
        <v>41754</v>
      </c>
      <c r="D238" s="4">
        <v>13.8</v>
      </c>
      <c r="E238" s="4">
        <v>12.3</v>
      </c>
      <c r="F238" s="4">
        <v>18.399999999999999</v>
      </c>
      <c r="G238" s="4">
        <f t="shared" si="39"/>
        <v>2122.0000000000005</v>
      </c>
      <c r="H238" s="4">
        <f t="shared" si="44"/>
        <v>54.5</v>
      </c>
      <c r="I238" s="33" t="s">
        <v>29</v>
      </c>
      <c r="J238" s="4">
        <v>0.6</v>
      </c>
      <c r="K238" s="4">
        <f t="shared" si="40"/>
        <v>600.80000000000041</v>
      </c>
      <c r="L238" s="4">
        <v>1.8</v>
      </c>
      <c r="M238" s="4">
        <f t="shared" si="41"/>
        <v>338.30000000000007</v>
      </c>
      <c r="N238" s="9">
        <f t="shared" si="38"/>
        <v>-1.2000000000000002</v>
      </c>
      <c r="O238" s="4">
        <v>87.7</v>
      </c>
      <c r="P238" s="4">
        <v>233</v>
      </c>
      <c r="Q238" s="4">
        <v>1.1499999999999999</v>
      </c>
      <c r="R238" s="10">
        <f t="shared" si="35"/>
        <v>2.0699999999999998</v>
      </c>
      <c r="S238" s="10">
        <f t="shared" si="36"/>
        <v>-1.4699999999999998</v>
      </c>
      <c r="T238" s="10">
        <f t="shared" si="42"/>
        <v>70.560327102803711</v>
      </c>
      <c r="U238" s="33" t="s">
        <v>30</v>
      </c>
      <c r="V238" s="11">
        <v>756.6</v>
      </c>
      <c r="W238" s="4">
        <f t="shared" si="37"/>
        <v>54.826086956521735</v>
      </c>
      <c r="X238" s="4">
        <f t="shared" si="43"/>
        <v>148587.09999999998</v>
      </c>
      <c r="Y238" s="4">
        <f t="shared" si="45"/>
        <v>4428.1000000000004</v>
      </c>
      <c r="Z238" s="33" t="s">
        <v>31</v>
      </c>
      <c r="AA238" s="4">
        <v>14.3571607006006</v>
      </c>
    </row>
    <row r="239" spans="1:27" s="4" customFormat="1" x14ac:dyDescent="0.25">
      <c r="A239" s="73"/>
      <c r="B239" s="27"/>
      <c r="C239" s="6">
        <v>41755</v>
      </c>
      <c r="D239" s="4">
        <v>10.3</v>
      </c>
      <c r="E239" s="4">
        <v>8.1</v>
      </c>
      <c r="F239" s="4">
        <v>11.9</v>
      </c>
      <c r="G239" s="4">
        <f t="shared" si="39"/>
        <v>2132.3000000000006</v>
      </c>
      <c r="H239" s="4">
        <f t="shared" si="44"/>
        <v>64.8</v>
      </c>
      <c r="I239" s="4">
        <f>MAX(F235:F259)</f>
        <v>19.2</v>
      </c>
      <c r="J239" s="4">
        <v>2.2000000000000002</v>
      </c>
      <c r="K239" s="4">
        <f t="shared" si="40"/>
        <v>603.00000000000045</v>
      </c>
      <c r="L239" s="4">
        <v>1.1000000000000001</v>
      </c>
      <c r="M239" s="4">
        <f t="shared" si="41"/>
        <v>339.40000000000009</v>
      </c>
      <c r="N239" s="4">
        <f t="shared" si="38"/>
        <v>1.1000000000000001</v>
      </c>
      <c r="O239" s="4">
        <v>88.8</v>
      </c>
      <c r="P239" s="4">
        <v>234</v>
      </c>
      <c r="Q239" s="4">
        <v>1.1499999999999999</v>
      </c>
      <c r="R239" s="10">
        <f t="shared" si="35"/>
        <v>1.2649999999999999</v>
      </c>
      <c r="S239" s="10">
        <f t="shared" si="36"/>
        <v>0.93500000000000028</v>
      </c>
      <c r="T239" s="10">
        <f t="shared" si="42"/>
        <v>71.495327102803714</v>
      </c>
      <c r="U239" s="4">
        <v>0</v>
      </c>
      <c r="V239" s="11">
        <v>678.9</v>
      </c>
      <c r="W239" s="4">
        <f t="shared" si="37"/>
        <v>65.912621359223294</v>
      </c>
      <c r="X239" s="4">
        <f t="shared" si="43"/>
        <v>149265.99999999997</v>
      </c>
      <c r="Y239" s="4">
        <f t="shared" si="45"/>
        <v>5107</v>
      </c>
      <c r="Z239" s="12">
        <f>(Z237/100)/I249</f>
        <v>1.1708094928478541</v>
      </c>
      <c r="AA239" s="4">
        <v>14.4163494348774</v>
      </c>
    </row>
    <row r="240" spans="1:27" s="4" customFormat="1" x14ac:dyDescent="0.25">
      <c r="A240" s="73"/>
      <c r="B240" s="27"/>
      <c r="C240" s="6">
        <v>41756</v>
      </c>
      <c r="D240" s="4">
        <v>10.8</v>
      </c>
      <c r="E240" s="4">
        <v>7.6</v>
      </c>
      <c r="F240" s="4">
        <v>13.5</v>
      </c>
      <c r="G240" s="4">
        <f t="shared" si="39"/>
        <v>2143.1000000000008</v>
      </c>
      <c r="H240" s="4">
        <f t="shared" si="44"/>
        <v>75.599999999999994</v>
      </c>
      <c r="I240" s="33" t="s">
        <v>32</v>
      </c>
      <c r="J240" s="4">
        <v>0.3</v>
      </c>
      <c r="K240" s="4">
        <f t="shared" si="40"/>
        <v>603.30000000000041</v>
      </c>
      <c r="L240" s="4">
        <v>1.8</v>
      </c>
      <c r="M240" s="4">
        <f t="shared" si="41"/>
        <v>341.2000000000001</v>
      </c>
      <c r="N240" s="9">
        <f t="shared" si="38"/>
        <v>-1.5</v>
      </c>
      <c r="O240" s="4">
        <v>87.3</v>
      </c>
      <c r="P240" s="4">
        <v>235</v>
      </c>
      <c r="Q240" s="4">
        <v>1.1499999999999999</v>
      </c>
      <c r="R240" s="10">
        <f t="shared" si="35"/>
        <v>2.0699999999999998</v>
      </c>
      <c r="S240" s="10">
        <f t="shared" si="36"/>
        <v>-1.7699999999999998</v>
      </c>
      <c r="T240" s="10">
        <f t="shared" si="42"/>
        <v>69.725327102803718</v>
      </c>
      <c r="U240" s="33" t="s">
        <v>33</v>
      </c>
      <c r="V240" s="4">
        <v>1118.0999999999999</v>
      </c>
      <c r="W240" s="4">
        <f t="shared" si="37"/>
        <v>103.52777777777776</v>
      </c>
      <c r="X240" s="4">
        <f t="shared" si="43"/>
        <v>150384.09999999998</v>
      </c>
      <c r="Y240" s="4">
        <f t="shared" si="45"/>
        <v>6225.1</v>
      </c>
      <c r="Z240" s="33" t="s">
        <v>34</v>
      </c>
      <c r="AA240" s="4">
        <v>14.475192095382001</v>
      </c>
    </row>
    <row r="241" spans="1:27" s="4" customFormat="1" x14ac:dyDescent="0.25">
      <c r="A241" s="73"/>
      <c r="B241" s="27"/>
      <c r="C241" s="6">
        <v>41757</v>
      </c>
      <c r="D241" s="4">
        <v>12.2</v>
      </c>
      <c r="E241" s="4">
        <v>8.1999999999999993</v>
      </c>
      <c r="F241" s="4">
        <v>15.9</v>
      </c>
      <c r="G241" s="4">
        <f t="shared" si="39"/>
        <v>2155.3000000000006</v>
      </c>
      <c r="H241" s="4">
        <f t="shared" si="44"/>
        <v>87.8</v>
      </c>
      <c r="I241" s="10">
        <f>AVERAGE(D235:D259)</f>
        <v>12.303999999999998</v>
      </c>
      <c r="J241" s="4">
        <v>0</v>
      </c>
      <c r="K241" s="4">
        <f t="shared" si="40"/>
        <v>603.30000000000041</v>
      </c>
      <c r="L241" s="4">
        <v>2.2000000000000002</v>
      </c>
      <c r="M241" s="4">
        <f t="shared" si="41"/>
        <v>343.40000000000009</v>
      </c>
      <c r="N241" s="9">
        <f t="shared" si="38"/>
        <v>-2.2000000000000002</v>
      </c>
      <c r="O241" s="4">
        <v>85.1</v>
      </c>
      <c r="P241" s="4">
        <v>236</v>
      </c>
      <c r="Q241" s="4">
        <v>1.1499999999999999</v>
      </c>
      <c r="R241" s="10">
        <f t="shared" si="35"/>
        <v>2.5299999999999998</v>
      </c>
      <c r="S241" s="10">
        <f t="shared" si="36"/>
        <v>-2.5299999999999998</v>
      </c>
      <c r="T241" s="10">
        <f t="shared" si="42"/>
        <v>67.195327102803716</v>
      </c>
      <c r="U241" s="4">
        <v>5</v>
      </c>
      <c r="V241" s="4">
        <v>1291.7</v>
      </c>
      <c r="W241" s="4">
        <f t="shared" si="37"/>
        <v>105.87704918032787</v>
      </c>
      <c r="X241" s="4">
        <f t="shared" si="43"/>
        <v>151675.79999999999</v>
      </c>
      <c r="Y241" s="4">
        <f t="shared" si="45"/>
        <v>7516.8</v>
      </c>
      <c r="Z241" s="4">
        <v>6</v>
      </c>
      <c r="AA241" s="4">
        <v>14.5336718382007</v>
      </c>
    </row>
    <row r="242" spans="1:27" s="4" customFormat="1" x14ac:dyDescent="0.25">
      <c r="A242" s="73"/>
      <c r="B242" s="27"/>
      <c r="C242" s="6">
        <v>41758</v>
      </c>
      <c r="D242" s="4">
        <v>13.1</v>
      </c>
      <c r="E242" s="4">
        <v>10.3</v>
      </c>
      <c r="F242" s="4">
        <v>16.7</v>
      </c>
      <c r="G242" s="4">
        <f t="shared" si="39"/>
        <v>2168.4000000000005</v>
      </c>
      <c r="H242" s="4">
        <f t="shared" si="44"/>
        <v>100.89999999999999</v>
      </c>
      <c r="I242" s="33" t="s">
        <v>35</v>
      </c>
      <c r="J242" s="4">
        <v>0.6</v>
      </c>
      <c r="K242" s="4">
        <f t="shared" si="40"/>
        <v>603.90000000000043</v>
      </c>
      <c r="L242" s="4">
        <v>1.7</v>
      </c>
      <c r="M242" s="4">
        <f t="shared" si="41"/>
        <v>345.10000000000008</v>
      </c>
      <c r="N242" s="9">
        <f t="shared" si="38"/>
        <v>-1.1000000000000001</v>
      </c>
      <c r="O242" s="4">
        <v>84</v>
      </c>
      <c r="P242" s="4">
        <v>237</v>
      </c>
      <c r="Q242" s="4">
        <v>1.1499999999999999</v>
      </c>
      <c r="R242" s="10">
        <f t="shared" si="35"/>
        <v>1.9549999999999998</v>
      </c>
      <c r="S242" s="10">
        <f t="shared" si="36"/>
        <v>-1.355</v>
      </c>
      <c r="T242" s="10">
        <f t="shared" si="42"/>
        <v>65.840327102803712</v>
      </c>
      <c r="U242" s="33" t="s">
        <v>36</v>
      </c>
      <c r="V242" s="4">
        <v>977.1</v>
      </c>
      <c r="W242" s="4">
        <f t="shared" si="37"/>
        <v>74.587786259541986</v>
      </c>
      <c r="X242" s="4">
        <f t="shared" si="43"/>
        <v>152652.9</v>
      </c>
      <c r="Y242" s="4">
        <f t="shared" si="45"/>
        <v>8493.9</v>
      </c>
      <c r="AA242" s="4">
        <v>14.591771216438801</v>
      </c>
    </row>
    <row r="243" spans="1:27" s="4" customFormat="1" x14ac:dyDescent="0.25">
      <c r="A243" s="73"/>
      <c r="B243" s="27"/>
      <c r="C243" s="6">
        <v>41759</v>
      </c>
      <c r="D243" s="4">
        <v>12.9</v>
      </c>
      <c r="E243" s="4">
        <v>10</v>
      </c>
      <c r="F243" s="4">
        <v>15.9</v>
      </c>
      <c r="G243" s="4">
        <f t="shared" si="39"/>
        <v>2181.3000000000006</v>
      </c>
      <c r="H243" s="4">
        <f t="shared" si="44"/>
        <v>113.8</v>
      </c>
      <c r="I243" s="4">
        <v>0</v>
      </c>
      <c r="J243" s="4">
        <v>0</v>
      </c>
      <c r="K243" s="4">
        <f t="shared" si="40"/>
        <v>603.90000000000043</v>
      </c>
      <c r="L243" s="4">
        <v>3</v>
      </c>
      <c r="M243" s="4">
        <f t="shared" si="41"/>
        <v>348.10000000000008</v>
      </c>
      <c r="N243" s="9">
        <f t="shared" si="38"/>
        <v>-3</v>
      </c>
      <c r="O243" s="4">
        <v>81</v>
      </c>
      <c r="P243" s="4">
        <v>238</v>
      </c>
      <c r="Q243" s="4">
        <v>1.1499999999999999</v>
      </c>
      <c r="R243" s="10">
        <f t="shared" si="35"/>
        <v>3.4499999999999997</v>
      </c>
      <c r="S243" s="10">
        <f t="shared" si="36"/>
        <v>-3.4499999999999997</v>
      </c>
      <c r="T243" s="10">
        <f t="shared" si="42"/>
        <v>62.39032710280371</v>
      </c>
      <c r="U243" s="10">
        <f>MIN(T235:T259)</f>
        <v>45.520327102803712</v>
      </c>
      <c r="V243" s="4">
        <v>2006.8</v>
      </c>
      <c r="W243" s="4">
        <f t="shared" si="37"/>
        <v>155.5658914728682</v>
      </c>
      <c r="X243" s="4">
        <f t="shared" si="43"/>
        <v>154659.69999999998</v>
      </c>
      <c r="Y243" s="4">
        <f t="shared" si="45"/>
        <v>10500.699999999999</v>
      </c>
      <c r="AA243" s="4">
        <v>14.649472171332301</v>
      </c>
    </row>
    <row r="244" spans="1:27" s="4" customFormat="1" x14ac:dyDescent="0.25">
      <c r="A244" s="73"/>
      <c r="B244" s="27"/>
      <c r="C244" s="6">
        <v>41760</v>
      </c>
      <c r="D244" s="4">
        <v>13</v>
      </c>
      <c r="E244" s="4">
        <v>8.9</v>
      </c>
      <c r="F244" s="4">
        <v>19</v>
      </c>
      <c r="G244" s="4">
        <f t="shared" si="39"/>
        <v>2194.3000000000006</v>
      </c>
      <c r="H244" s="4">
        <f t="shared" si="44"/>
        <v>126.8</v>
      </c>
      <c r="I244" s="33" t="s">
        <v>37</v>
      </c>
      <c r="J244" s="4">
        <v>3.9</v>
      </c>
      <c r="K244" s="4">
        <f t="shared" si="40"/>
        <v>607.80000000000041</v>
      </c>
      <c r="L244" s="4">
        <v>3</v>
      </c>
      <c r="M244" s="4">
        <f t="shared" si="41"/>
        <v>351.10000000000008</v>
      </c>
      <c r="N244" s="4">
        <f t="shared" si="38"/>
        <v>0.89999999999999991</v>
      </c>
      <c r="O244" s="4">
        <v>81.900000000000006</v>
      </c>
      <c r="P244" s="4">
        <v>239</v>
      </c>
      <c r="Q244" s="4">
        <v>1.1499999999999999</v>
      </c>
      <c r="R244" s="10">
        <f t="shared" si="35"/>
        <v>3.4499999999999997</v>
      </c>
      <c r="S244" s="10">
        <f t="shared" si="36"/>
        <v>0.45000000000000018</v>
      </c>
      <c r="T244" s="10">
        <f t="shared" si="42"/>
        <v>62.840327102803712</v>
      </c>
      <c r="U244" s="33" t="s">
        <v>38</v>
      </c>
      <c r="V244" s="4">
        <v>1392.5</v>
      </c>
      <c r="W244" s="4">
        <f t="shared" si="37"/>
        <v>107.11538461538461</v>
      </c>
      <c r="X244" s="4">
        <f t="shared" si="43"/>
        <v>156052.19999999998</v>
      </c>
      <c r="Y244" s="4">
        <f t="shared" si="45"/>
        <v>11893.199999999999</v>
      </c>
      <c r="AA244" s="4">
        <v>14.706756024615499</v>
      </c>
    </row>
    <row r="245" spans="1:27" s="4" customFormat="1" x14ac:dyDescent="0.25">
      <c r="A245" s="73"/>
      <c r="B245" s="27"/>
      <c r="C245" s="6">
        <v>41761</v>
      </c>
      <c r="D245" s="4">
        <v>11.9</v>
      </c>
      <c r="E245" s="4">
        <v>11.5</v>
      </c>
      <c r="F245" s="4">
        <v>14.4</v>
      </c>
      <c r="G245" s="4">
        <f t="shared" si="39"/>
        <v>2206.2000000000007</v>
      </c>
      <c r="H245" s="4">
        <f t="shared" si="44"/>
        <v>138.69999999999999</v>
      </c>
      <c r="I245" s="4">
        <v>0</v>
      </c>
      <c r="J245" s="4">
        <v>0</v>
      </c>
      <c r="K245" s="4">
        <f t="shared" si="40"/>
        <v>607.80000000000041</v>
      </c>
      <c r="L245" s="4">
        <v>2.4</v>
      </c>
      <c r="M245" s="4">
        <f t="shared" si="41"/>
        <v>353.50000000000006</v>
      </c>
      <c r="N245" s="9">
        <f t="shared" si="38"/>
        <v>-2.4</v>
      </c>
      <c r="O245" s="4">
        <v>79.5</v>
      </c>
      <c r="P245" s="4">
        <v>240</v>
      </c>
      <c r="Q245" s="4">
        <v>1.1499999999999999</v>
      </c>
      <c r="R245" s="10">
        <f t="shared" si="35"/>
        <v>2.76</v>
      </c>
      <c r="S245" s="10">
        <f t="shared" si="36"/>
        <v>-2.76</v>
      </c>
      <c r="T245" s="10">
        <f t="shared" si="42"/>
        <v>60.080327102803714</v>
      </c>
      <c r="U245" s="10">
        <f>MAX(T235:T259)</f>
        <v>73.525327102803715</v>
      </c>
      <c r="V245" s="11">
        <v>644.6</v>
      </c>
      <c r="W245" s="4">
        <f t="shared" si="37"/>
        <v>54.168067226890756</v>
      </c>
      <c r="X245" s="4">
        <f t="shared" si="43"/>
        <v>156696.79999999999</v>
      </c>
      <c r="Y245" s="4">
        <f t="shared" si="45"/>
        <v>12537.8</v>
      </c>
      <c r="AA245" s="4">
        <v>14.7636034722596</v>
      </c>
    </row>
    <row r="246" spans="1:27" s="4" customFormat="1" x14ac:dyDescent="0.25">
      <c r="A246" s="73"/>
      <c r="B246" s="27"/>
      <c r="C246" s="6">
        <v>41762</v>
      </c>
      <c r="D246" s="4">
        <v>9.8000000000000007</v>
      </c>
      <c r="E246" s="4">
        <v>7.7</v>
      </c>
      <c r="F246" s="4">
        <v>12.6</v>
      </c>
      <c r="G246" s="4">
        <f t="shared" si="39"/>
        <v>2216.0000000000009</v>
      </c>
      <c r="H246" s="4">
        <f t="shared" si="44"/>
        <v>148.5</v>
      </c>
      <c r="I246" s="33" t="s">
        <v>39</v>
      </c>
      <c r="J246" s="4">
        <v>0</v>
      </c>
      <c r="K246" s="4">
        <f t="shared" si="40"/>
        <v>607.80000000000041</v>
      </c>
      <c r="L246" s="4">
        <v>3.7</v>
      </c>
      <c r="M246" s="4">
        <f t="shared" si="41"/>
        <v>357.20000000000005</v>
      </c>
      <c r="N246" s="9">
        <f t="shared" si="38"/>
        <v>-3.7</v>
      </c>
      <c r="O246" s="4">
        <v>75.8</v>
      </c>
      <c r="P246" s="4">
        <v>241</v>
      </c>
      <c r="Q246" s="4">
        <v>1.1499999999999999</v>
      </c>
      <c r="R246" s="10">
        <f t="shared" si="35"/>
        <v>4.2549999999999999</v>
      </c>
      <c r="S246" s="10">
        <f t="shared" si="36"/>
        <v>-4.2549999999999999</v>
      </c>
      <c r="T246" s="10">
        <f t="shared" si="42"/>
        <v>55.825327102803712</v>
      </c>
      <c r="U246" s="33" t="s">
        <v>40</v>
      </c>
      <c r="V246" s="4">
        <v>2090</v>
      </c>
      <c r="W246" s="4">
        <f t="shared" si="37"/>
        <v>213.26530612244898</v>
      </c>
      <c r="X246" s="4">
        <f t="shared" si="43"/>
        <v>158786.79999999999</v>
      </c>
      <c r="Y246" s="4">
        <f t="shared" si="45"/>
        <v>14627.8</v>
      </c>
      <c r="AA246" s="4">
        <v>14.8199945797039</v>
      </c>
    </row>
    <row r="247" spans="1:27" s="4" customFormat="1" x14ac:dyDescent="0.25">
      <c r="A247" s="73"/>
      <c r="B247" s="27"/>
      <c r="C247" s="6">
        <v>41763</v>
      </c>
      <c r="D247" s="4">
        <v>10.6</v>
      </c>
      <c r="E247" s="4">
        <v>5.7</v>
      </c>
      <c r="F247" s="4">
        <v>15</v>
      </c>
      <c r="G247" s="4">
        <f t="shared" si="39"/>
        <v>2226.6000000000008</v>
      </c>
      <c r="H247" s="4">
        <f t="shared" si="44"/>
        <v>159.1</v>
      </c>
      <c r="I247" s="4">
        <v>0</v>
      </c>
      <c r="J247" s="4">
        <v>0</v>
      </c>
      <c r="K247" s="4">
        <f t="shared" si="40"/>
        <v>607.80000000000041</v>
      </c>
      <c r="L247" s="4">
        <v>3.7</v>
      </c>
      <c r="M247" s="4">
        <f t="shared" si="41"/>
        <v>360.90000000000003</v>
      </c>
      <c r="N247" s="9">
        <f t="shared" si="38"/>
        <v>-3.7</v>
      </c>
      <c r="O247" s="4">
        <v>72.099999999999994</v>
      </c>
      <c r="P247" s="4">
        <v>242</v>
      </c>
      <c r="Q247" s="4">
        <v>1.1499999999999999</v>
      </c>
      <c r="R247" s="10">
        <f t="shared" si="35"/>
        <v>4.2549999999999999</v>
      </c>
      <c r="S247" s="10">
        <f t="shared" si="36"/>
        <v>-4.2549999999999999</v>
      </c>
      <c r="T247" s="10">
        <f t="shared" si="42"/>
        <v>51.570327102803709</v>
      </c>
      <c r="U247" s="12">
        <f>AVERAGE(T235:T259)</f>
        <v>59.81992710280371</v>
      </c>
      <c r="V247" s="4">
        <v>2580.8000000000002</v>
      </c>
      <c r="W247" s="4">
        <f t="shared" si="37"/>
        <v>243.47169811320757</v>
      </c>
      <c r="X247" s="4">
        <f t="shared" si="43"/>
        <v>161367.59999999998</v>
      </c>
      <c r="Y247" s="4">
        <f t="shared" si="45"/>
        <v>17208.599999999999</v>
      </c>
      <c r="AA247" s="4">
        <v>14.875908778705799</v>
      </c>
    </row>
    <row r="248" spans="1:27" s="4" customFormat="1" x14ac:dyDescent="0.25">
      <c r="A248" s="73"/>
      <c r="B248" s="27"/>
      <c r="C248" s="6">
        <v>41764</v>
      </c>
      <c r="D248" s="4">
        <v>13.9</v>
      </c>
      <c r="E248" s="4">
        <v>7.5</v>
      </c>
      <c r="F248" s="4">
        <v>18.899999999999999</v>
      </c>
      <c r="G248" s="4">
        <f t="shared" si="39"/>
        <v>2240.5000000000009</v>
      </c>
      <c r="H248" s="4">
        <f t="shared" si="44"/>
        <v>173</v>
      </c>
      <c r="I248" s="33" t="s">
        <v>41</v>
      </c>
      <c r="J248" s="4">
        <v>0</v>
      </c>
      <c r="K248" s="4">
        <f t="shared" si="40"/>
        <v>607.80000000000041</v>
      </c>
      <c r="L248" s="4">
        <v>3.6</v>
      </c>
      <c r="M248" s="4">
        <f t="shared" si="41"/>
        <v>364.50000000000006</v>
      </c>
      <c r="N248" s="9">
        <f t="shared" si="38"/>
        <v>-3.6</v>
      </c>
      <c r="O248" s="4">
        <v>68.5</v>
      </c>
      <c r="P248" s="4">
        <v>243</v>
      </c>
      <c r="Q248" s="4">
        <v>1.1499999999999999</v>
      </c>
      <c r="R248" s="10">
        <f t="shared" si="35"/>
        <v>4.1399999999999997</v>
      </c>
      <c r="S248" s="10">
        <f t="shared" si="36"/>
        <v>-4.1399999999999997</v>
      </c>
      <c r="T248" s="10">
        <f t="shared" si="42"/>
        <v>47.430327102803709</v>
      </c>
      <c r="V248" s="4">
        <v>2291.8000000000002</v>
      </c>
      <c r="W248" s="4">
        <f t="shared" si="37"/>
        <v>164.87769784172662</v>
      </c>
      <c r="X248" s="4">
        <f t="shared" si="43"/>
        <v>163659.39999999997</v>
      </c>
      <c r="Y248" s="4">
        <f t="shared" si="45"/>
        <v>19500.399999999998</v>
      </c>
      <c r="AA248" s="4">
        <v>14.931324865939599</v>
      </c>
    </row>
    <row r="249" spans="1:27" s="4" customFormat="1" x14ac:dyDescent="0.25">
      <c r="A249" s="73"/>
      <c r="B249" s="27"/>
      <c r="C249" s="6">
        <v>41765</v>
      </c>
      <c r="D249" s="4">
        <v>14.3</v>
      </c>
      <c r="E249" s="4">
        <v>11.9</v>
      </c>
      <c r="F249" s="4">
        <v>19.2</v>
      </c>
      <c r="G249" s="4">
        <f t="shared" si="39"/>
        <v>2254.8000000000011</v>
      </c>
      <c r="H249" s="4">
        <f t="shared" si="44"/>
        <v>187.3</v>
      </c>
      <c r="I249" s="4">
        <v>307.60000000000002</v>
      </c>
      <c r="J249" s="4">
        <v>7.2</v>
      </c>
      <c r="K249" s="4">
        <f t="shared" si="40"/>
        <v>615.00000000000045</v>
      </c>
      <c r="L249" s="4">
        <v>3.3</v>
      </c>
      <c r="M249" s="4">
        <f t="shared" si="41"/>
        <v>367.80000000000007</v>
      </c>
      <c r="N249" s="4">
        <f t="shared" si="38"/>
        <v>3.9000000000000004</v>
      </c>
      <c r="O249" s="4">
        <v>72.400000000000006</v>
      </c>
      <c r="P249" s="4">
        <v>244</v>
      </c>
      <c r="Q249" s="4">
        <v>1.1499999999999999</v>
      </c>
      <c r="R249" s="10">
        <f t="shared" si="35"/>
        <v>3.7949999999999995</v>
      </c>
      <c r="S249" s="10">
        <f t="shared" si="36"/>
        <v>3.4050000000000007</v>
      </c>
      <c r="T249" s="10">
        <f t="shared" si="42"/>
        <v>50.83532710280371</v>
      </c>
      <c r="U249" s="4">
        <f>(U247*100)/153.6</f>
        <v>38.945265040887833</v>
      </c>
      <c r="V249" s="4">
        <v>1206.8</v>
      </c>
      <c r="W249" s="4">
        <f t="shared" si="37"/>
        <v>84.391608391608386</v>
      </c>
      <c r="X249" s="4">
        <f t="shared" si="43"/>
        <v>164866.19999999995</v>
      </c>
      <c r="Y249" s="4">
        <f t="shared" si="45"/>
        <v>20707.199999999997</v>
      </c>
      <c r="AA249" s="4">
        <v>14.9862210034795</v>
      </c>
    </row>
    <row r="250" spans="1:27" s="23" customFormat="1" x14ac:dyDescent="0.25">
      <c r="A250" s="73"/>
      <c r="B250" s="34"/>
      <c r="C250" s="6">
        <v>41766</v>
      </c>
      <c r="D250" s="23">
        <v>12.6</v>
      </c>
      <c r="E250" s="23">
        <v>10.3</v>
      </c>
      <c r="F250" s="23">
        <v>14.8</v>
      </c>
      <c r="G250" s="23">
        <f t="shared" si="39"/>
        <v>2267.400000000001</v>
      </c>
      <c r="H250" s="23">
        <f t="shared" si="44"/>
        <v>199.9</v>
      </c>
      <c r="J250" s="23">
        <v>1.1000000000000001</v>
      </c>
      <c r="K250" s="23">
        <f t="shared" si="40"/>
        <v>616.10000000000048</v>
      </c>
      <c r="L250" s="23">
        <v>3.1</v>
      </c>
      <c r="M250" s="23">
        <f t="shared" si="41"/>
        <v>370.90000000000009</v>
      </c>
      <c r="N250" s="23">
        <f t="shared" si="38"/>
        <v>-2</v>
      </c>
      <c r="O250" s="23">
        <v>70.400000000000006</v>
      </c>
      <c r="P250" s="23">
        <v>245</v>
      </c>
      <c r="Q250" s="4">
        <v>1.1499999999999999</v>
      </c>
      <c r="R250" s="25">
        <f t="shared" si="35"/>
        <v>3.5649999999999999</v>
      </c>
      <c r="S250" s="25">
        <f t="shared" si="36"/>
        <v>-2.4649999999999999</v>
      </c>
      <c r="T250" s="10">
        <f t="shared" si="42"/>
        <v>48.370327102803714</v>
      </c>
      <c r="V250" s="23">
        <v>1367.5</v>
      </c>
      <c r="W250" s="23">
        <f t="shared" si="37"/>
        <v>108.53174603174604</v>
      </c>
      <c r="X250" s="23">
        <f t="shared" si="43"/>
        <v>166233.69999999995</v>
      </c>
      <c r="Y250" s="4">
        <f t="shared" si="45"/>
        <v>22074.699999999997</v>
      </c>
      <c r="AA250" s="4">
        <v>15.0405747213068</v>
      </c>
    </row>
    <row r="251" spans="1:27" s="4" customFormat="1" x14ac:dyDescent="0.25">
      <c r="A251" s="73"/>
      <c r="B251" s="27"/>
      <c r="C251" s="6">
        <v>41767</v>
      </c>
      <c r="D251" s="4">
        <v>12.3</v>
      </c>
      <c r="E251" s="4">
        <v>10.7</v>
      </c>
      <c r="F251" s="4">
        <v>13.9</v>
      </c>
      <c r="G251" s="4">
        <f t="shared" si="39"/>
        <v>2279.7000000000012</v>
      </c>
      <c r="H251" s="4">
        <f t="shared" si="44"/>
        <v>212.20000000000002</v>
      </c>
      <c r="J251" s="4">
        <v>8.9</v>
      </c>
      <c r="K251" s="4">
        <f t="shared" si="40"/>
        <v>625.00000000000045</v>
      </c>
      <c r="L251" s="4">
        <v>1.5</v>
      </c>
      <c r="M251" s="4">
        <f t="shared" si="41"/>
        <v>372.40000000000009</v>
      </c>
      <c r="N251" s="4">
        <f t="shared" si="38"/>
        <v>7.4</v>
      </c>
      <c r="O251" s="4">
        <v>77.800000000000011</v>
      </c>
      <c r="P251" s="4">
        <v>246</v>
      </c>
      <c r="Q251" s="4">
        <v>1.1499999999999999</v>
      </c>
      <c r="R251" s="10">
        <f t="shared" si="35"/>
        <v>1.7249999999999999</v>
      </c>
      <c r="S251" s="10">
        <f t="shared" si="36"/>
        <v>7.1750000000000007</v>
      </c>
      <c r="T251" s="10">
        <f t="shared" si="42"/>
        <v>55.545327102803711</v>
      </c>
      <c r="U251" s="28"/>
      <c r="V251" s="11">
        <v>349.4</v>
      </c>
      <c r="W251" s="4">
        <f t="shared" si="37"/>
        <v>28.406504065040647</v>
      </c>
      <c r="X251" s="4">
        <f t="shared" si="43"/>
        <v>166583.09999999995</v>
      </c>
      <c r="Y251" s="4">
        <f t="shared" si="45"/>
        <v>22424.1</v>
      </c>
      <c r="AA251" s="4">
        <v>15.094362921979901</v>
      </c>
    </row>
    <row r="252" spans="1:27" s="4" customFormat="1" x14ac:dyDescent="0.25">
      <c r="A252" s="73"/>
      <c r="B252" s="27"/>
      <c r="C252" s="6">
        <v>41768</v>
      </c>
      <c r="D252" s="4">
        <v>13</v>
      </c>
      <c r="E252" s="4">
        <v>12</v>
      </c>
      <c r="F252" s="4">
        <v>14.5</v>
      </c>
      <c r="G252" s="4">
        <f t="shared" si="39"/>
        <v>2292.7000000000012</v>
      </c>
      <c r="H252" s="4">
        <f t="shared" si="44"/>
        <v>225.20000000000002</v>
      </c>
      <c r="J252" s="4">
        <v>2</v>
      </c>
      <c r="K252" s="4">
        <f t="shared" si="40"/>
        <v>627.00000000000045</v>
      </c>
      <c r="L252" s="4">
        <v>2.8</v>
      </c>
      <c r="M252" s="4">
        <f t="shared" si="41"/>
        <v>375.2000000000001</v>
      </c>
      <c r="N252" s="9">
        <f t="shared" si="38"/>
        <v>-0.79999999999999982</v>
      </c>
      <c r="O252" s="4">
        <v>77.000000000000014</v>
      </c>
      <c r="P252" s="4">
        <v>247</v>
      </c>
      <c r="Q252" s="4">
        <v>1.1499999999999999</v>
      </c>
      <c r="R252" s="10">
        <f t="shared" si="35"/>
        <v>3.2199999999999998</v>
      </c>
      <c r="S252" s="10">
        <f t="shared" si="36"/>
        <v>-1.2199999999999998</v>
      </c>
      <c r="T252" s="10">
        <f t="shared" si="42"/>
        <v>54.325327102803712</v>
      </c>
      <c r="V252" s="4">
        <v>1111.0999999999999</v>
      </c>
      <c r="W252" s="4">
        <f t="shared" si="37"/>
        <v>85.469230769230762</v>
      </c>
      <c r="X252" s="4">
        <f t="shared" si="43"/>
        <v>167694.19999999995</v>
      </c>
      <c r="Y252" s="4">
        <f t="shared" si="45"/>
        <v>23535.199999999997</v>
      </c>
      <c r="AA252" s="4">
        <v>15.147561887615099</v>
      </c>
    </row>
    <row r="253" spans="1:27" s="4" customFormat="1" x14ac:dyDescent="0.25">
      <c r="A253" s="73"/>
      <c r="B253" s="27"/>
      <c r="C253" s="6">
        <v>41769</v>
      </c>
      <c r="D253" s="4">
        <v>11.8</v>
      </c>
      <c r="E253" s="4">
        <v>10</v>
      </c>
      <c r="F253" s="4">
        <v>13.3</v>
      </c>
      <c r="G253" s="4">
        <f t="shared" si="39"/>
        <v>2304.5000000000014</v>
      </c>
      <c r="H253" s="4">
        <f t="shared" si="44"/>
        <v>237.00000000000003</v>
      </c>
      <c r="J253" s="4">
        <v>7.5</v>
      </c>
      <c r="K253" s="4">
        <f t="shared" si="40"/>
        <v>634.50000000000045</v>
      </c>
      <c r="L253" s="4">
        <v>1.6</v>
      </c>
      <c r="M253" s="4">
        <f t="shared" si="41"/>
        <v>376.80000000000013</v>
      </c>
      <c r="N253" s="4">
        <f t="shared" si="38"/>
        <v>5.9</v>
      </c>
      <c r="O253" s="4">
        <v>82.90000000000002</v>
      </c>
      <c r="P253" s="4">
        <v>248</v>
      </c>
      <c r="Q253" s="4">
        <v>1.1499999999999999</v>
      </c>
      <c r="R253" s="10">
        <f t="shared" si="35"/>
        <v>1.8399999999999999</v>
      </c>
      <c r="S253" s="10">
        <f t="shared" si="36"/>
        <v>5.66</v>
      </c>
      <c r="T253" s="10">
        <f t="shared" si="42"/>
        <v>59.985327102803708</v>
      </c>
      <c r="V253" s="11">
        <v>489.2</v>
      </c>
      <c r="W253" s="4">
        <f t="shared" si="37"/>
        <v>41.457627118644062</v>
      </c>
      <c r="X253" s="4">
        <f t="shared" si="43"/>
        <v>168183.39999999997</v>
      </c>
      <c r="Y253" s="4">
        <f t="shared" si="45"/>
        <v>24024.399999999998</v>
      </c>
      <c r="AA253" s="4">
        <v>15.200147289318901</v>
      </c>
    </row>
    <row r="254" spans="1:27" s="4" customFormat="1" x14ac:dyDescent="0.25">
      <c r="A254" s="73"/>
      <c r="B254" s="27"/>
      <c r="C254" s="6">
        <v>41770</v>
      </c>
      <c r="D254" s="4">
        <v>11.2</v>
      </c>
      <c r="E254" s="4">
        <v>9.4</v>
      </c>
      <c r="F254" s="4">
        <v>13.8</v>
      </c>
      <c r="G254" s="4">
        <f t="shared" si="39"/>
        <v>2315.7000000000012</v>
      </c>
      <c r="H254" s="4">
        <f t="shared" si="44"/>
        <v>248.20000000000002</v>
      </c>
      <c r="J254" s="4">
        <v>1.6</v>
      </c>
      <c r="K254" s="4">
        <f t="shared" si="40"/>
        <v>636.10000000000048</v>
      </c>
      <c r="L254" s="4">
        <v>3.6</v>
      </c>
      <c r="M254" s="4">
        <f t="shared" si="41"/>
        <v>380.40000000000015</v>
      </c>
      <c r="N254" s="9">
        <f t="shared" si="38"/>
        <v>-2</v>
      </c>
      <c r="O254" s="4">
        <v>80.90000000000002</v>
      </c>
      <c r="P254" s="4">
        <v>249</v>
      </c>
      <c r="Q254" s="4">
        <v>1.1499999999999999</v>
      </c>
      <c r="R254" s="10">
        <f t="shared" si="35"/>
        <v>4.1399999999999997</v>
      </c>
      <c r="S254" s="10">
        <f t="shared" si="36"/>
        <v>-2.5399999999999996</v>
      </c>
      <c r="T254" s="10">
        <f t="shared" si="42"/>
        <v>57.445327102803709</v>
      </c>
      <c r="V254" s="4">
        <v>1666.2</v>
      </c>
      <c r="W254" s="4">
        <f t="shared" si="37"/>
        <v>148.76785714285717</v>
      </c>
      <c r="X254" s="4">
        <f t="shared" si="43"/>
        <v>169849.59999999998</v>
      </c>
      <c r="Y254" s="4">
        <f t="shared" si="45"/>
        <v>25690.6</v>
      </c>
      <c r="AA254" s="4">
        <v>15.2520941992197</v>
      </c>
    </row>
    <row r="255" spans="1:27" s="4" customFormat="1" x14ac:dyDescent="0.25">
      <c r="A255" s="73"/>
      <c r="B255" s="27"/>
      <c r="C255" s="6">
        <v>41771</v>
      </c>
      <c r="D255" s="4">
        <v>11.6</v>
      </c>
      <c r="E255" s="4">
        <v>8.9</v>
      </c>
      <c r="F255" s="4">
        <v>15.3</v>
      </c>
      <c r="G255" s="4">
        <f t="shared" si="39"/>
        <v>2327.3000000000011</v>
      </c>
      <c r="H255" s="4">
        <f t="shared" si="44"/>
        <v>259.8</v>
      </c>
      <c r="J255" s="4">
        <v>2.4</v>
      </c>
      <c r="K255" s="4">
        <f t="shared" si="40"/>
        <v>638.50000000000045</v>
      </c>
      <c r="L255" s="4">
        <v>3.4</v>
      </c>
      <c r="M255" s="4">
        <f t="shared" si="41"/>
        <v>383.80000000000013</v>
      </c>
      <c r="N255" s="9">
        <f t="shared" si="38"/>
        <v>-1</v>
      </c>
      <c r="O255" s="4">
        <v>79.90000000000002</v>
      </c>
      <c r="P255" s="4">
        <v>250</v>
      </c>
      <c r="Q255" s="4">
        <v>1.1499999999999999</v>
      </c>
      <c r="R255" s="10">
        <f t="shared" si="35"/>
        <v>3.9099999999999997</v>
      </c>
      <c r="S255" s="10">
        <f t="shared" si="36"/>
        <v>-1.5099999999999998</v>
      </c>
      <c r="T255" s="10">
        <f t="shared" si="42"/>
        <v>55.935327102803711</v>
      </c>
      <c r="V255" s="4">
        <v>1698.5</v>
      </c>
      <c r="W255" s="4">
        <f t="shared" si="37"/>
        <v>146.42241379310346</v>
      </c>
      <c r="X255" s="4">
        <f t="shared" si="43"/>
        <v>171548.09999999998</v>
      </c>
      <c r="Y255" s="4">
        <f t="shared" si="45"/>
        <v>27389.1</v>
      </c>
      <c r="AA255" s="4">
        <v>15.3033771052422</v>
      </c>
    </row>
    <row r="256" spans="1:27" s="4" customFormat="1" x14ac:dyDescent="0.25">
      <c r="A256" s="73"/>
      <c r="B256" s="27"/>
      <c r="C256" s="6">
        <v>41772</v>
      </c>
      <c r="D256" s="4">
        <v>10.9</v>
      </c>
      <c r="E256" s="4">
        <v>8</v>
      </c>
      <c r="F256" s="4">
        <v>13.6</v>
      </c>
      <c r="G256" s="4">
        <f t="shared" si="39"/>
        <v>2338.2000000000012</v>
      </c>
      <c r="H256" s="4">
        <f t="shared" si="44"/>
        <v>270.7</v>
      </c>
      <c r="J256" s="4">
        <v>5.6</v>
      </c>
      <c r="K256" s="4">
        <f t="shared" si="40"/>
        <v>644.10000000000048</v>
      </c>
      <c r="L256" s="4">
        <v>1.7</v>
      </c>
      <c r="M256" s="4">
        <f t="shared" si="41"/>
        <v>385.50000000000011</v>
      </c>
      <c r="N256" s="4">
        <f t="shared" si="38"/>
        <v>3.8999999999999995</v>
      </c>
      <c r="O256" s="4">
        <v>83.800000000000026</v>
      </c>
      <c r="P256" s="4">
        <v>251</v>
      </c>
      <c r="Q256" s="4">
        <v>1.1499999999999999</v>
      </c>
      <c r="R256" s="10">
        <f t="shared" si="35"/>
        <v>1.9549999999999998</v>
      </c>
      <c r="S256" s="10">
        <f t="shared" si="36"/>
        <v>3.6449999999999996</v>
      </c>
      <c r="T256" s="10">
        <f t="shared" si="42"/>
        <v>59.580327102803707</v>
      </c>
      <c r="V256" s="4">
        <v>956.7</v>
      </c>
      <c r="W256" s="4">
        <f t="shared" si="37"/>
        <v>87.77064220183486</v>
      </c>
      <c r="X256" s="4">
        <f t="shared" si="43"/>
        <v>172504.8</v>
      </c>
      <c r="Y256" s="4">
        <f t="shared" si="45"/>
        <v>28345.8</v>
      </c>
      <c r="AA256" s="4">
        <v>15.3539699287636</v>
      </c>
    </row>
    <row r="257" spans="1:27" s="4" customFormat="1" x14ac:dyDescent="0.25">
      <c r="A257" s="73"/>
      <c r="B257" s="27"/>
      <c r="C257" s="6">
        <v>41773</v>
      </c>
      <c r="D257" s="4">
        <v>11.1</v>
      </c>
      <c r="E257" s="4">
        <v>6.5</v>
      </c>
      <c r="F257" s="4">
        <v>16.5</v>
      </c>
      <c r="G257" s="4">
        <f t="shared" si="39"/>
        <v>2349.3000000000011</v>
      </c>
      <c r="H257" s="4">
        <f t="shared" si="44"/>
        <v>281.8</v>
      </c>
      <c r="J257" s="4">
        <v>0.2</v>
      </c>
      <c r="K257" s="4">
        <f t="shared" si="40"/>
        <v>644.30000000000052</v>
      </c>
      <c r="L257" s="4">
        <v>3.6</v>
      </c>
      <c r="M257" s="4">
        <f t="shared" si="41"/>
        <v>389.10000000000014</v>
      </c>
      <c r="N257" s="9">
        <f t="shared" si="38"/>
        <v>-3.4</v>
      </c>
      <c r="O257" s="4">
        <v>80.40000000000002</v>
      </c>
      <c r="P257" s="4">
        <v>252</v>
      </c>
      <c r="Q257" s="4">
        <v>1.1499999999999999</v>
      </c>
      <c r="R257" s="10">
        <f t="shared" si="35"/>
        <v>4.1399999999999997</v>
      </c>
      <c r="S257" s="10">
        <f t="shared" si="36"/>
        <v>-3.9399999999999995</v>
      </c>
      <c r="T257" s="10">
        <f t="shared" si="42"/>
        <v>55.64032710280371</v>
      </c>
      <c r="V257" s="4">
        <v>2084.4</v>
      </c>
      <c r="W257" s="4">
        <f t="shared" si="37"/>
        <v>187.7837837837838</v>
      </c>
      <c r="X257" s="4">
        <f t="shared" si="43"/>
        <v>174589.19999999998</v>
      </c>
      <c r="Y257" s="4">
        <f t="shared" si="45"/>
        <v>30430.2</v>
      </c>
      <c r="AA257" s="4">
        <v>15.4038460452922</v>
      </c>
    </row>
    <row r="258" spans="1:27" s="4" customFormat="1" x14ac:dyDescent="0.25">
      <c r="A258" s="73"/>
      <c r="B258" s="27"/>
      <c r="C258" s="6">
        <v>41774</v>
      </c>
      <c r="D258" s="4">
        <v>11.9</v>
      </c>
      <c r="E258" s="4">
        <v>7.3</v>
      </c>
      <c r="F258" s="4">
        <v>15.3</v>
      </c>
      <c r="G258" s="4">
        <f t="shared" si="39"/>
        <v>2361.2000000000012</v>
      </c>
      <c r="H258" s="4">
        <f t="shared" si="44"/>
        <v>293.7</v>
      </c>
      <c r="J258" s="4">
        <v>0</v>
      </c>
      <c r="K258" s="4">
        <f t="shared" si="40"/>
        <v>644.30000000000052</v>
      </c>
      <c r="L258" s="4">
        <v>4.3</v>
      </c>
      <c r="M258" s="4">
        <f t="shared" si="41"/>
        <v>393.40000000000015</v>
      </c>
      <c r="N258" s="9">
        <f t="shared" si="38"/>
        <v>-4.3</v>
      </c>
      <c r="O258" s="4">
        <v>76.100000000000023</v>
      </c>
      <c r="P258" s="4">
        <v>253</v>
      </c>
      <c r="Q258" s="4">
        <v>1.1499999999999999</v>
      </c>
      <c r="R258" s="10">
        <f t="shared" si="35"/>
        <v>4.9449999999999994</v>
      </c>
      <c r="S258" s="10">
        <f t="shared" si="36"/>
        <v>-4.9449999999999994</v>
      </c>
      <c r="T258" s="10">
        <f t="shared" si="42"/>
        <v>50.695327102803709</v>
      </c>
      <c r="V258" s="4">
        <v>2824.5</v>
      </c>
      <c r="W258" s="4">
        <f t="shared" si="37"/>
        <v>237.35294117647058</v>
      </c>
      <c r="X258" s="4">
        <f t="shared" si="43"/>
        <v>177413.69999999998</v>
      </c>
      <c r="Y258" s="4">
        <f t="shared" si="45"/>
        <v>33254.699999999997</v>
      </c>
      <c r="AA258" s="4">
        <v>15.452978308296199</v>
      </c>
    </row>
    <row r="259" spans="1:27" s="49" customFormat="1" ht="15.75" thickBot="1" x14ac:dyDescent="0.3">
      <c r="A259" s="73"/>
      <c r="B259" s="55"/>
      <c r="C259" s="48">
        <v>41775</v>
      </c>
      <c r="D259" s="49">
        <v>13.9</v>
      </c>
      <c r="E259" s="49">
        <v>8.4</v>
      </c>
      <c r="F259" s="49">
        <v>17.899999999999999</v>
      </c>
      <c r="G259" s="49">
        <f t="shared" si="39"/>
        <v>2375.1000000000013</v>
      </c>
      <c r="H259" s="49">
        <f t="shared" si="44"/>
        <v>307.59999999999997</v>
      </c>
      <c r="J259" s="49">
        <v>0</v>
      </c>
      <c r="K259" s="49">
        <f t="shared" si="40"/>
        <v>644.30000000000052</v>
      </c>
      <c r="L259" s="49">
        <v>4.5</v>
      </c>
      <c r="M259" s="49">
        <f t="shared" si="41"/>
        <v>397.90000000000015</v>
      </c>
      <c r="N259" s="56">
        <f t="shared" si="38"/>
        <v>-4.5</v>
      </c>
      <c r="O259" s="49">
        <v>71.600000000000023</v>
      </c>
      <c r="P259" s="49">
        <v>254</v>
      </c>
      <c r="Q259" s="49">
        <v>1.1499999999999999</v>
      </c>
      <c r="R259" s="52">
        <f t="shared" si="35"/>
        <v>5.1749999999999998</v>
      </c>
      <c r="S259" s="52">
        <f t="shared" si="36"/>
        <v>-5.1749999999999998</v>
      </c>
      <c r="T259" s="52">
        <f t="shared" si="42"/>
        <v>45.520327102803712</v>
      </c>
      <c r="V259" s="49">
        <v>2759.4</v>
      </c>
      <c r="W259" s="49">
        <f t="shared" si="37"/>
        <v>198.5179856115108</v>
      </c>
      <c r="X259" s="49">
        <f t="shared" si="43"/>
        <v>180173.09999999998</v>
      </c>
      <c r="Y259" s="49">
        <f t="shared" si="45"/>
        <v>36014.1</v>
      </c>
      <c r="AA259" s="49">
        <v>15.5013390763079</v>
      </c>
    </row>
    <row r="260" spans="1:27" s="23" customFormat="1" x14ac:dyDescent="0.25">
      <c r="A260" s="74">
        <v>600</v>
      </c>
      <c r="B260" s="34"/>
      <c r="C260" s="22">
        <v>41776</v>
      </c>
      <c r="D260" s="23">
        <v>16</v>
      </c>
      <c r="E260" s="23">
        <v>10.6</v>
      </c>
      <c r="F260" s="23">
        <v>20.6</v>
      </c>
      <c r="G260" s="23">
        <f t="shared" si="39"/>
        <v>2391.1000000000013</v>
      </c>
      <c r="H260" s="23">
        <f>D260</f>
        <v>16</v>
      </c>
      <c r="J260" s="23">
        <v>0</v>
      </c>
      <c r="K260" s="23">
        <f t="shared" si="40"/>
        <v>644.30000000000052</v>
      </c>
      <c r="L260" s="23">
        <v>4.8</v>
      </c>
      <c r="M260" s="23">
        <f t="shared" si="41"/>
        <v>402.70000000000016</v>
      </c>
      <c r="N260" s="43">
        <f t="shared" si="38"/>
        <v>-4.8</v>
      </c>
      <c r="O260" s="23">
        <v>66.800000000000026</v>
      </c>
      <c r="P260" s="23">
        <v>255</v>
      </c>
      <c r="Q260" s="12">
        <f>1.15+((P260-254)/77)*(0.35-1.15)</f>
        <v>1.1396103896103895</v>
      </c>
      <c r="R260" s="25">
        <f t="shared" si="35"/>
        <v>5.4701298701298695</v>
      </c>
      <c r="S260" s="25">
        <f t="shared" si="36"/>
        <v>-5.4701298701298695</v>
      </c>
      <c r="T260" s="25">
        <f t="shared" si="42"/>
        <v>40.050197232673845</v>
      </c>
      <c r="V260" s="23">
        <v>2773.6</v>
      </c>
      <c r="W260" s="23">
        <f t="shared" si="37"/>
        <v>173.35</v>
      </c>
      <c r="X260" s="23">
        <f t="shared" si="43"/>
        <v>182946.69999999998</v>
      </c>
      <c r="Y260" s="23">
        <f>V260</f>
        <v>2773.6</v>
      </c>
      <c r="AA260" s="23">
        <v>15.548900243417201</v>
      </c>
    </row>
    <row r="261" spans="1:27" s="4" customFormat="1" ht="15" customHeight="1" x14ac:dyDescent="0.25">
      <c r="A261" s="74"/>
      <c r="B261" s="27"/>
      <c r="C261" s="6">
        <v>41777</v>
      </c>
      <c r="D261" s="4">
        <v>17.899999999999999</v>
      </c>
      <c r="E261" s="4">
        <v>13.2</v>
      </c>
      <c r="F261" s="4">
        <v>22.3</v>
      </c>
      <c r="G261" s="4">
        <f t="shared" si="39"/>
        <v>2409.0000000000014</v>
      </c>
      <c r="H261" s="4">
        <f>H260+D261</f>
        <v>33.9</v>
      </c>
      <c r="I261" s="35" t="s">
        <v>26</v>
      </c>
      <c r="J261" s="4">
        <v>0</v>
      </c>
      <c r="K261" s="4">
        <f t="shared" si="40"/>
        <v>644.30000000000052</v>
      </c>
      <c r="L261" s="4">
        <v>5</v>
      </c>
      <c r="M261" s="4">
        <f t="shared" si="41"/>
        <v>407.70000000000016</v>
      </c>
      <c r="N261" s="9">
        <f t="shared" si="38"/>
        <v>-5</v>
      </c>
      <c r="O261" s="4">
        <v>61.800000000000026</v>
      </c>
      <c r="P261" s="4">
        <v>256</v>
      </c>
      <c r="Q261" s="12">
        <f t="shared" ref="Q261:Q324" si="47">1.15+((P261-254)/77)*(0.35-1.15)</f>
        <v>1.1292207792207791</v>
      </c>
      <c r="R261" s="10">
        <f t="shared" si="35"/>
        <v>5.6461038961038952</v>
      </c>
      <c r="S261" s="10">
        <f t="shared" si="36"/>
        <v>-5.6461038961038952</v>
      </c>
      <c r="T261" s="10">
        <f t="shared" si="42"/>
        <v>34.40409333656995</v>
      </c>
      <c r="U261" s="35" t="s">
        <v>27</v>
      </c>
      <c r="V261" s="4">
        <v>2723.6</v>
      </c>
      <c r="W261" s="4">
        <f t="shared" si="37"/>
        <v>152.15642458100558</v>
      </c>
      <c r="X261" s="4">
        <f t="shared" si="43"/>
        <v>185670.3</v>
      </c>
      <c r="Y261" s="4">
        <f>Y260+V261</f>
        <v>5497.2</v>
      </c>
      <c r="Z261" s="35" t="s">
        <v>28</v>
      </c>
      <c r="AA261" s="4">
        <v>15.595633273255</v>
      </c>
    </row>
    <row r="262" spans="1:27" s="4" customFormat="1" x14ac:dyDescent="0.25">
      <c r="A262" s="74"/>
      <c r="B262" s="27"/>
      <c r="C262" s="6">
        <v>41778</v>
      </c>
      <c r="D262" s="4">
        <v>19.600000000000001</v>
      </c>
      <c r="E262" s="4">
        <v>13.9</v>
      </c>
      <c r="F262" s="4">
        <v>24.6</v>
      </c>
      <c r="G262" s="4">
        <f t="shared" si="39"/>
        <v>2428.6000000000013</v>
      </c>
      <c r="H262" s="4">
        <f t="shared" si="44"/>
        <v>53.5</v>
      </c>
      <c r="I262" s="4">
        <f>MIN(E260:E279)</f>
        <v>8.6</v>
      </c>
      <c r="J262" s="4">
        <v>0</v>
      </c>
      <c r="K262" s="4">
        <f t="shared" si="40"/>
        <v>644.30000000000052</v>
      </c>
      <c r="L262" s="4">
        <v>5.6</v>
      </c>
      <c r="M262" s="4">
        <f t="shared" si="41"/>
        <v>413.30000000000018</v>
      </c>
      <c r="N262" s="9">
        <f t="shared" si="38"/>
        <v>-5.6</v>
      </c>
      <c r="O262" s="4">
        <v>56.200000000000024</v>
      </c>
      <c r="P262" s="4">
        <v>257</v>
      </c>
      <c r="Q262" s="12">
        <f t="shared" si="47"/>
        <v>1.1188311688311687</v>
      </c>
      <c r="R262" s="10">
        <f t="shared" ref="R262:R325" si="48">Q262*L262</f>
        <v>6.2654545454545447</v>
      </c>
      <c r="S262" s="10">
        <f t="shared" ref="S262:S325" si="49">J262-R262</f>
        <v>-6.2654545454545447</v>
      </c>
      <c r="T262" s="10">
        <f t="shared" si="42"/>
        <v>28.138638791115405</v>
      </c>
      <c r="U262" s="4">
        <v>13</v>
      </c>
      <c r="V262" s="4">
        <v>2582.1</v>
      </c>
      <c r="W262" s="4">
        <f t="shared" ref="W262:W325" si="50">V262/D262</f>
        <v>131.73979591836732</v>
      </c>
      <c r="X262" s="4">
        <f t="shared" si="43"/>
        <v>188252.4</v>
      </c>
      <c r="Y262" s="4">
        <f t="shared" si="45"/>
        <v>8079.2999999999993</v>
      </c>
      <c r="Z262" s="4">
        <v>32304.7</v>
      </c>
      <c r="AA262" s="4">
        <v>15.6415092365555</v>
      </c>
    </row>
    <row r="263" spans="1:27" s="4" customFormat="1" x14ac:dyDescent="0.25">
      <c r="A263" s="74"/>
      <c r="B263" s="27"/>
      <c r="C263" s="6">
        <v>41779</v>
      </c>
      <c r="D263" s="4">
        <v>17.8</v>
      </c>
      <c r="E263" s="4">
        <v>15.7</v>
      </c>
      <c r="F263" s="4">
        <v>24</v>
      </c>
      <c r="G263" s="4">
        <f t="shared" si="39"/>
        <v>2446.4000000000015</v>
      </c>
      <c r="H263" s="4">
        <f t="shared" si="44"/>
        <v>71.3</v>
      </c>
      <c r="I263" s="35" t="s">
        <v>29</v>
      </c>
      <c r="J263" s="4">
        <v>12.2</v>
      </c>
      <c r="K263" s="4">
        <f t="shared" si="40"/>
        <v>656.50000000000057</v>
      </c>
      <c r="L263" s="4">
        <v>5</v>
      </c>
      <c r="M263" s="4">
        <f t="shared" si="41"/>
        <v>418.30000000000018</v>
      </c>
      <c r="N263" s="4">
        <f t="shared" ref="N263:N326" si="51">J263-L263</f>
        <v>7.1999999999999993</v>
      </c>
      <c r="O263" s="4">
        <v>63.40000000000002</v>
      </c>
      <c r="P263" s="4">
        <v>258</v>
      </c>
      <c r="Q263" s="12">
        <f t="shared" si="47"/>
        <v>1.1084415584415583</v>
      </c>
      <c r="R263" s="10">
        <f t="shared" si="48"/>
        <v>5.5422077922077921</v>
      </c>
      <c r="S263" s="10">
        <f t="shared" si="49"/>
        <v>6.6577922077922072</v>
      </c>
      <c r="T263" s="10">
        <f t="shared" si="42"/>
        <v>34.79643099890761</v>
      </c>
      <c r="U263" s="35" t="s">
        <v>30</v>
      </c>
      <c r="V263" s="4">
        <v>1759.7</v>
      </c>
      <c r="W263" s="4">
        <f t="shared" si="50"/>
        <v>98.859550561797747</v>
      </c>
      <c r="X263" s="4">
        <f t="shared" si="43"/>
        <v>190012.1</v>
      </c>
      <c r="Y263" s="4">
        <f t="shared" si="45"/>
        <v>9839</v>
      </c>
      <c r="Z263" s="35" t="s">
        <v>31</v>
      </c>
      <c r="AA263" s="4">
        <v>15.6864988523675</v>
      </c>
    </row>
    <row r="264" spans="1:27" s="4" customFormat="1" x14ac:dyDescent="0.25">
      <c r="A264" s="74"/>
      <c r="B264" s="27"/>
      <c r="C264" s="6">
        <v>41780</v>
      </c>
      <c r="D264" s="4">
        <v>15.5</v>
      </c>
      <c r="E264" s="4">
        <v>13.4</v>
      </c>
      <c r="F264" s="4">
        <v>17.600000000000001</v>
      </c>
      <c r="G264" s="4">
        <f t="shared" ref="G264:G327" si="52">G263+D264</f>
        <v>2461.9000000000015</v>
      </c>
      <c r="H264" s="4">
        <f t="shared" si="44"/>
        <v>86.8</v>
      </c>
      <c r="I264" s="4">
        <f>MAX(F260:F279)</f>
        <v>24.6</v>
      </c>
      <c r="J264" s="4">
        <v>8.3000000000000007</v>
      </c>
      <c r="K264" s="4">
        <f t="shared" ref="K264:K327" si="53">K263+J264</f>
        <v>664.80000000000052</v>
      </c>
      <c r="L264" s="4">
        <v>1.3</v>
      </c>
      <c r="M264" s="4">
        <f t="shared" ref="M264:M327" si="54">M263+L264</f>
        <v>419.60000000000019</v>
      </c>
      <c r="N264" s="4">
        <f t="shared" si="51"/>
        <v>7.0000000000000009</v>
      </c>
      <c r="O264" s="4">
        <v>70.40000000000002</v>
      </c>
      <c r="P264" s="4">
        <v>259</v>
      </c>
      <c r="Q264" s="12">
        <f t="shared" si="47"/>
        <v>1.0980519480519479</v>
      </c>
      <c r="R264" s="10">
        <f t="shared" si="48"/>
        <v>1.4274675324675323</v>
      </c>
      <c r="S264" s="10">
        <f t="shared" si="49"/>
        <v>6.8725324675324684</v>
      </c>
      <c r="T264" s="10">
        <f t="shared" ref="T264:T327" si="55">MIN(153.6,(T263+S264))</f>
        <v>41.668963466440076</v>
      </c>
      <c r="U264" s="4">
        <v>0</v>
      </c>
      <c r="V264" s="11">
        <v>575.20000000000005</v>
      </c>
      <c r="W264" s="4">
        <f t="shared" si="50"/>
        <v>37.109677419354838</v>
      </c>
      <c r="X264" s="4">
        <f t="shared" ref="X264:X327" si="56">X263+V264</f>
        <v>190587.30000000002</v>
      </c>
      <c r="Y264" s="4">
        <f t="shared" si="45"/>
        <v>10414.200000000001</v>
      </c>
      <c r="Z264" s="12">
        <f>(Z262/100)/I274</f>
        <v>1.0623051627754028</v>
      </c>
      <c r="AA264" s="4">
        <v>15.7305725329682</v>
      </c>
    </row>
    <row r="265" spans="1:27" s="4" customFormat="1" x14ac:dyDescent="0.25">
      <c r="A265" s="74"/>
      <c r="B265" s="27"/>
      <c r="C265" s="6">
        <v>41781</v>
      </c>
      <c r="D265" s="4">
        <v>15.8</v>
      </c>
      <c r="E265" s="4">
        <v>13.1</v>
      </c>
      <c r="F265" s="4">
        <v>19.7</v>
      </c>
      <c r="G265" s="4">
        <f t="shared" si="52"/>
        <v>2477.7000000000016</v>
      </c>
      <c r="H265" s="4">
        <f t="shared" si="44"/>
        <v>102.6</v>
      </c>
      <c r="I265" s="35" t="s">
        <v>32</v>
      </c>
      <c r="J265" s="4">
        <v>3.6</v>
      </c>
      <c r="K265" s="4">
        <f t="shared" si="53"/>
        <v>668.40000000000055</v>
      </c>
      <c r="L265" s="4">
        <v>3.1</v>
      </c>
      <c r="M265" s="4">
        <f t="shared" si="54"/>
        <v>422.70000000000022</v>
      </c>
      <c r="N265" s="4">
        <f t="shared" si="51"/>
        <v>0.5</v>
      </c>
      <c r="O265" s="4">
        <v>70.90000000000002</v>
      </c>
      <c r="P265" s="4">
        <v>260</v>
      </c>
      <c r="Q265" s="12">
        <f t="shared" si="47"/>
        <v>1.0876623376623376</v>
      </c>
      <c r="R265" s="10">
        <f t="shared" si="48"/>
        <v>3.3717532467532467</v>
      </c>
      <c r="S265" s="10">
        <f t="shared" si="49"/>
        <v>0.22824675324675336</v>
      </c>
      <c r="T265" s="10">
        <f t="shared" si="55"/>
        <v>41.897210219686826</v>
      </c>
      <c r="U265" s="35" t="s">
        <v>33</v>
      </c>
      <c r="V265" s="4">
        <v>1529.8</v>
      </c>
      <c r="W265" s="4">
        <f t="shared" si="50"/>
        <v>96.822784810126578</v>
      </c>
      <c r="X265" s="4">
        <f t="shared" si="56"/>
        <v>192117.1</v>
      </c>
      <c r="Y265" s="4">
        <f t="shared" si="45"/>
        <v>11944</v>
      </c>
      <c r="Z265" s="35" t="s">
        <v>34</v>
      </c>
      <c r="AA265" s="4">
        <v>15.773700432508999</v>
      </c>
    </row>
    <row r="266" spans="1:27" s="4" customFormat="1" x14ac:dyDescent="0.25">
      <c r="A266" s="74"/>
      <c r="B266" s="27"/>
      <c r="C266" s="6">
        <v>41782</v>
      </c>
      <c r="D266" s="4">
        <v>14.4</v>
      </c>
      <c r="E266" s="4">
        <v>11.2</v>
      </c>
      <c r="F266" s="4">
        <v>17.899999999999999</v>
      </c>
      <c r="G266" s="4">
        <f t="shared" si="52"/>
        <v>2492.1000000000017</v>
      </c>
      <c r="H266" s="4">
        <f t="shared" si="44"/>
        <v>117</v>
      </c>
      <c r="I266" s="10">
        <f>AVERAGE(D260:D279)</f>
        <v>15.204999999999998</v>
      </c>
      <c r="J266" s="4">
        <v>10.8</v>
      </c>
      <c r="K266" s="4">
        <f t="shared" si="53"/>
        <v>679.2000000000005</v>
      </c>
      <c r="L266" s="4">
        <v>3</v>
      </c>
      <c r="M266" s="4">
        <f t="shared" si="54"/>
        <v>425.70000000000022</v>
      </c>
      <c r="N266" s="4">
        <f t="shared" si="51"/>
        <v>7.8000000000000007</v>
      </c>
      <c r="O266" s="4">
        <v>78.700000000000017</v>
      </c>
      <c r="P266" s="4">
        <v>261</v>
      </c>
      <c r="Q266" s="12">
        <f t="shared" si="47"/>
        <v>1.0772727272727272</v>
      </c>
      <c r="R266" s="10">
        <f t="shared" si="48"/>
        <v>3.2318181818181815</v>
      </c>
      <c r="S266" s="10">
        <f t="shared" si="49"/>
        <v>7.5681818181818192</v>
      </c>
      <c r="T266" s="10">
        <f t="shared" si="55"/>
        <v>49.465392037868646</v>
      </c>
      <c r="U266" s="4">
        <v>17</v>
      </c>
      <c r="V266" s="4">
        <v>1858.5</v>
      </c>
      <c r="W266" s="4">
        <f t="shared" si="50"/>
        <v>129.0625</v>
      </c>
      <c r="X266" s="4">
        <f t="shared" si="56"/>
        <v>193975.6</v>
      </c>
      <c r="Y266" s="4">
        <f t="shared" si="45"/>
        <v>13802.5</v>
      </c>
      <c r="Z266" s="4">
        <v>3</v>
      </c>
      <c r="AA266" s="4">
        <v>15.815852499400799</v>
      </c>
    </row>
    <row r="267" spans="1:27" s="4" customFormat="1" x14ac:dyDescent="0.25">
      <c r="A267" s="74"/>
      <c r="B267" s="27"/>
      <c r="C267" s="6">
        <v>41783</v>
      </c>
      <c r="D267" s="4">
        <v>13.6</v>
      </c>
      <c r="E267" s="4">
        <v>12</v>
      </c>
      <c r="F267" s="4">
        <v>15.6</v>
      </c>
      <c r="G267" s="4">
        <f t="shared" si="52"/>
        <v>2505.7000000000016</v>
      </c>
      <c r="H267" s="4">
        <f t="shared" si="44"/>
        <v>130.6</v>
      </c>
      <c r="I267" s="35" t="s">
        <v>35</v>
      </c>
      <c r="J267" s="4">
        <v>2.6</v>
      </c>
      <c r="K267" s="4">
        <f t="shared" si="53"/>
        <v>681.80000000000052</v>
      </c>
      <c r="L267" s="4">
        <v>2.9</v>
      </c>
      <c r="M267" s="4">
        <f t="shared" si="54"/>
        <v>428.60000000000019</v>
      </c>
      <c r="N267" s="9">
        <f t="shared" si="51"/>
        <v>-0.29999999999999982</v>
      </c>
      <c r="O267" s="4">
        <v>78.40000000000002</v>
      </c>
      <c r="P267" s="4">
        <v>262</v>
      </c>
      <c r="Q267" s="12">
        <f t="shared" si="47"/>
        <v>1.0668831168831168</v>
      </c>
      <c r="R267" s="10">
        <f t="shared" si="48"/>
        <v>3.0939610389610386</v>
      </c>
      <c r="S267" s="10">
        <f t="shared" si="49"/>
        <v>-0.49396103896103849</v>
      </c>
      <c r="T267" s="10">
        <f t="shared" si="55"/>
        <v>48.971430998907607</v>
      </c>
      <c r="U267" s="35" t="s">
        <v>36</v>
      </c>
      <c r="V267" s="4">
        <v>1627.8</v>
      </c>
      <c r="W267" s="4">
        <f t="shared" si="50"/>
        <v>119.69117647058823</v>
      </c>
      <c r="X267" s="4">
        <f t="shared" si="56"/>
        <v>195603.4</v>
      </c>
      <c r="Y267" s="4">
        <f t="shared" si="45"/>
        <v>15430.3</v>
      </c>
      <c r="AA267" s="4">
        <v>15.8569985324188</v>
      </c>
    </row>
    <row r="268" spans="1:27" s="4" customFormat="1" x14ac:dyDescent="0.25">
      <c r="A268" s="74"/>
      <c r="B268" s="27"/>
      <c r="C268" s="6">
        <v>41784</v>
      </c>
      <c r="D268" s="4">
        <v>14.8</v>
      </c>
      <c r="E268" s="4">
        <v>10.4</v>
      </c>
      <c r="F268" s="4">
        <v>18</v>
      </c>
      <c r="G268" s="4">
        <f t="shared" si="52"/>
        <v>2520.5000000000018</v>
      </c>
      <c r="H268" s="4">
        <f t="shared" si="44"/>
        <v>145.4</v>
      </c>
      <c r="I268" s="4">
        <v>0</v>
      </c>
      <c r="J268" s="4">
        <v>0</v>
      </c>
      <c r="K268" s="4">
        <f t="shared" si="53"/>
        <v>681.80000000000052</v>
      </c>
      <c r="L268" s="4">
        <v>3</v>
      </c>
      <c r="M268" s="4">
        <f t="shared" si="54"/>
        <v>431.60000000000019</v>
      </c>
      <c r="N268" s="9">
        <f t="shared" si="51"/>
        <v>-3</v>
      </c>
      <c r="O268" s="4">
        <v>75.40000000000002</v>
      </c>
      <c r="P268" s="4">
        <v>263</v>
      </c>
      <c r="Q268" s="12">
        <f t="shared" si="47"/>
        <v>1.0564935064935064</v>
      </c>
      <c r="R268" s="10">
        <f t="shared" si="48"/>
        <v>3.1694805194805191</v>
      </c>
      <c r="S268" s="10">
        <f t="shared" si="49"/>
        <v>-3.1694805194805191</v>
      </c>
      <c r="T268" s="10">
        <f t="shared" si="55"/>
        <v>45.801950479427092</v>
      </c>
      <c r="U268" s="10">
        <f>MIN(T260:T279)</f>
        <v>28.138638791115405</v>
      </c>
      <c r="V268" s="4">
        <v>1895.8</v>
      </c>
      <c r="W268" s="4">
        <f t="shared" si="50"/>
        <v>128.09459459459458</v>
      </c>
      <c r="X268" s="4">
        <f t="shared" si="56"/>
        <v>197499.19999999998</v>
      </c>
      <c r="Y268" s="4">
        <f t="shared" si="45"/>
        <v>17326.099999999999</v>
      </c>
      <c r="AA268" s="4">
        <v>15.8971082404776</v>
      </c>
    </row>
    <row r="269" spans="1:27" s="4" customFormat="1" x14ac:dyDescent="0.25">
      <c r="A269" s="74"/>
      <c r="B269" s="27"/>
      <c r="C269" s="6">
        <v>41785</v>
      </c>
      <c r="D269" s="4">
        <v>15.2</v>
      </c>
      <c r="E269" s="4">
        <v>13.6</v>
      </c>
      <c r="F269" s="4">
        <v>18.2</v>
      </c>
      <c r="G269" s="4">
        <f t="shared" si="52"/>
        <v>2535.7000000000016</v>
      </c>
      <c r="H269" s="4">
        <f t="shared" si="44"/>
        <v>160.6</v>
      </c>
      <c r="I269" s="35" t="s">
        <v>37</v>
      </c>
      <c r="J269" s="4">
        <v>11.3</v>
      </c>
      <c r="K269" s="4">
        <f t="shared" si="53"/>
        <v>693.10000000000048</v>
      </c>
      <c r="L269" s="4">
        <v>2</v>
      </c>
      <c r="M269" s="4">
        <f t="shared" si="54"/>
        <v>433.60000000000019</v>
      </c>
      <c r="N269" s="4">
        <f t="shared" si="51"/>
        <v>9.3000000000000007</v>
      </c>
      <c r="O269" s="4">
        <v>84.700000000000017</v>
      </c>
      <c r="P269" s="4">
        <v>264</v>
      </c>
      <c r="Q269" s="12">
        <f t="shared" si="47"/>
        <v>1.046103896103896</v>
      </c>
      <c r="R269" s="10">
        <f t="shared" si="48"/>
        <v>2.092207792207792</v>
      </c>
      <c r="S269" s="10">
        <f t="shared" si="49"/>
        <v>9.2077922077922096</v>
      </c>
      <c r="T269" s="10">
        <f t="shared" si="55"/>
        <v>55.009742687219301</v>
      </c>
      <c r="U269" s="35" t="s">
        <v>38</v>
      </c>
      <c r="V269" s="4">
        <v>955.9</v>
      </c>
      <c r="W269" s="4">
        <f t="shared" si="50"/>
        <v>62.888157894736842</v>
      </c>
      <c r="X269" s="4">
        <f t="shared" si="56"/>
        <v>198455.09999999998</v>
      </c>
      <c r="Y269" s="4">
        <f t="shared" si="45"/>
        <v>18282</v>
      </c>
      <c r="AA269" s="4">
        <v>15.9361513059972</v>
      </c>
    </row>
    <row r="270" spans="1:27" s="4" customFormat="1" x14ac:dyDescent="0.25">
      <c r="A270" s="74"/>
      <c r="B270" s="27"/>
      <c r="C270" s="6">
        <v>41786</v>
      </c>
      <c r="D270" s="4">
        <v>13.7</v>
      </c>
      <c r="E270" s="4">
        <v>13.6</v>
      </c>
      <c r="F270" s="4">
        <v>14.4</v>
      </c>
      <c r="G270" s="4">
        <f t="shared" si="52"/>
        <v>2549.4000000000015</v>
      </c>
      <c r="H270" s="4">
        <f t="shared" si="44"/>
        <v>174.29999999999998</v>
      </c>
      <c r="I270" s="4">
        <v>0</v>
      </c>
      <c r="J270" s="4">
        <v>0.6</v>
      </c>
      <c r="K270" s="4">
        <f t="shared" si="53"/>
        <v>693.7000000000005</v>
      </c>
      <c r="L270" s="4">
        <v>1.1000000000000001</v>
      </c>
      <c r="M270" s="4">
        <f t="shared" si="54"/>
        <v>434.70000000000022</v>
      </c>
      <c r="N270" s="9">
        <f t="shared" si="51"/>
        <v>-0.50000000000000011</v>
      </c>
      <c r="O270" s="4">
        <v>84.200000000000017</v>
      </c>
      <c r="P270" s="4">
        <v>265</v>
      </c>
      <c r="Q270" s="12">
        <f t="shared" si="47"/>
        <v>1.0357142857142856</v>
      </c>
      <c r="R270" s="10">
        <f t="shared" si="48"/>
        <v>1.1392857142857142</v>
      </c>
      <c r="S270" s="10">
        <f t="shared" si="49"/>
        <v>-0.53928571428571426</v>
      </c>
      <c r="T270" s="10">
        <f t="shared" si="55"/>
        <v>54.47045697293359</v>
      </c>
      <c r="U270" s="10">
        <f>MAX(T260:T279)</f>
        <v>55.009742687219301</v>
      </c>
      <c r="V270" s="11">
        <v>413.2</v>
      </c>
      <c r="W270" s="4">
        <f t="shared" si="50"/>
        <v>30.160583941605839</v>
      </c>
      <c r="X270" s="4">
        <f t="shared" si="56"/>
        <v>198868.3</v>
      </c>
      <c r="Y270" s="4">
        <f t="shared" si="45"/>
        <v>18695.2</v>
      </c>
      <c r="AA270" s="4">
        <v>15.9740974517452</v>
      </c>
    </row>
    <row r="271" spans="1:27" s="4" customFormat="1" x14ac:dyDescent="0.25">
      <c r="A271" s="74"/>
      <c r="B271" s="27"/>
      <c r="C271" s="6">
        <v>41787</v>
      </c>
      <c r="D271" s="4">
        <v>13.5</v>
      </c>
      <c r="E271" s="4">
        <v>12.8</v>
      </c>
      <c r="F271" s="4">
        <v>14.5</v>
      </c>
      <c r="G271" s="4">
        <f t="shared" si="52"/>
        <v>2562.9000000000015</v>
      </c>
      <c r="H271" s="4">
        <f t="shared" si="44"/>
        <v>187.79999999999998</v>
      </c>
      <c r="I271" s="35" t="s">
        <v>39</v>
      </c>
      <c r="J271" s="4">
        <v>0</v>
      </c>
      <c r="K271" s="4">
        <f t="shared" si="53"/>
        <v>693.7000000000005</v>
      </c>
      <c r="L271" s="4">
        <v>1.5</v>
      </c>
      <c r="M271" s="4">
        <f t="shared" si="54"/>
        <v>436.20000000000022</v>
      </c>
      <c r="N271" s="9">
        <f t="shared" si="51"/>
        <v>-1.5</v>
      </c>
      <c r="O271" s="4">
        <v>82.700000000000017</v>
      </c>
      <c r="P271" s="4">
        <v>266</v>
      </c>
      <c r="Q271" s="12">
        <f t="shared" si="47"/>
        <v>1.0253246753246752</v>
      </c>
      <c r="R271" s="10">
        <f t="shared" si="48"/>
        <v>1.5379870129870128</v>
      </c>
      <c r="S271" s="10">
        <f t="shared" si="49"/>
        <v>-1.5379870129870128</v>
      </c>
      <c r="T271" s="10">
        <f t="shared" si="55"/>
        <v>52.93246995994658</v>
      </c>
      <c r="U271" s="35" t="s">
        <v>40</v>
      </c>
      <c r="V271" s="11">
        <v>537.4</v>
      </c>
      <c r="W271" s="4">
        <f t="shared" si="50"/>
        <v>39.807407407407403</v>
      </c>
      <c r="X271" s="4">
        <f t="shared" si="56"/>
        <v>199405.69999999998</v>
      </c>
      <c r="Y271" s="4">
        <f t="shared" si="45"/>
        <v>19232.600000000002</v>
      </c>
      <c r="AA271" s="4">
        <v>16.0109165110057</v>
      </c>
    </row>
    <row r="272" spans="1:27" s="23" customFormat="1" x14ac:dyDescent="0.25">
      <c r="A272" s="74"/>
      <c r="B272" s="34"/>
      <c r="C272" s="6">
        <v>41788</v>
      </c>
      <c r="D272" s="23">
        <v>15.3</v>
      </c>
      <c r="E272" s="23">
        <v>12.8</v>
      </c>
      <c r="F272" s="23">
        <v>17.5</v>
      </c>
      <c r="G272" s="23">
        <f t="shared" si="52"/>
        <v>2578.2000000000016</v>
      </c>
      <c r="H272" s="23">
        <f t="shared" si="44"/>
        <v>203.1</v>
      </c>
      <c r="I272" s="23">
        <v>0</v>
      </c>
      <c r="J272" s="23">
        <v>0</v>
      </c>
      <c r="K272" s="23">
        <f t="shared" si="53"/>
        <v>693.7000000000005</v>
      </c>
      <c r="L272" s="23">
        <v>2.6</v>
      </c>
      <c r="M272" s="23">
        <f t="shared" si="54"/>
        <v>438.80000000000024</v>
      </c>
      <c r="N272" s="23">
        <f t="shared" si="51"/>
        <v>-2.6</v>
      </c>
      <c r="O272" s="23">
        <v>80.100000000000023</v>
      </c>
      <c r="P272" s="23">
        <v>267</v>
      </c>
      <c r="Q272" s="12">
        <f t="shared" si="47"/>
        <v>1.0149350649350648</v>
      </c>
      <c r="R272" s="25">
        <f t="shared" si="48"/>
        <v>2.6388311688311687</v>
      </c>
      <c r="S272" s="25">
        <f t="shared" si="49"/>
        <v>-2.6388311688311687</v>
      </c>
      <c r="T272" s="10">
        <f t="shared" si="55"/>
        <v>50.293638791115413</v>
      </c>
      <c r="U272" s="12">
        <f>AVERAGE(T260:T279)</f>
        <v>44.052041388518006</v>
      </c>
      <c r="V272" s="23">
        <v>1410.8</v>
      </c>
      <c r="W272" s="23">
        <f t="shared" si="50"/>
        <v>92.209150326797385</v>
      </c>
      <c r="X272" s="23">
        <f t="shared" si="56"/>
        <v>200816.49999999997</v>
      </c>
      <c r="Y272" s="4">
        <f t="shared" si="45"/>
        <v>20643.400000000001</v>
      </c>
      <c r="AA272" s="4">
        <v>16.0465785008894</v>
      </c>
    </row>
    <row r="273" spans="1:27" s="4" customFormat="1" x14ac:dyDescent="0.25">
      <c r="A273" s="74"/>
      <c r="B273" s="27"/>
      <c r="C273" s="6">
        <v>41789</v>
      </c>
      <c r="D273" s="4">
        <v>14.7</v>
      </c>
      <c r="E273" s="4">
        <v>12.1</v>
      </c>
      <c r="F273" s="4">
        <v>17.3</v>
      </c>
      <c r="G273" s="4">
        <f t="shared" si="52"/>
        <v>2592.9000000000015</v>
      </c>
      <c r="H273" s="4">
        <f t="shared" si="44"/>
        <v>217.79999999999998</v>
      </c>
      <c r="I273" s="35" t="s">
        <v>41</v>
      </c>
      <c r="J273" s="4">
        <v>0</v>
      </c>
      <c r="K273" s="4">
        <f t="shared" si="53"/>
        <v>693.7000000000005</v>
      </c>
      <c r="L273" s="4">
        <v>3.3</v>
      </c>
      <c r="M273" s="4">
        <f t="shared" si="54"/>
        <v>442.10000000000025</v>
      </c>
      <c r="N273" s="9">
        <f t="shared" si="51"/>
        <v>-3.3</v>
      </c>
      <c r="O273" s="4">
        <v>76.800000000000026</v>
      </c>
      <c r="P273" s="4">
        <v>268</v>
      </c>
      <c r="Q273" s="12">
        <f t="shared" si="47"/>
        <v>1.0045454545454544</v>
      </c>
      <c r="R273" s="10">
        <f t="shared" si="48"/>
        <v>3.3149999999999995</v>
      </c>
      <c r="S273" s="10">
        <f t="shared" si="49"/>
        <v>-3.3149999999999995</v>
      </c>
      <c r="T273" s="10">
        <f t="shared" si="55"/>
        <v>46.978638791115415</v>
      </c>
      <c r="V273" s="4">
        <v>1718.4</v>
      </c>
      <c r="W273" s="4">
        <f t="shared" si="50"/>
        <v>116.89795918367348</v>
      </c>
      <c r="X273" s="4">
        <f t="shared" si="56"/>
        <v>202534.89999999997</v>
      </c>
      <c r="Y273" s="4">
        <f t="shared" si="45"/>
        <v>22361.800000000003</v>
      </c>
      <c r="AA273" s="4">
        <v>16.081053698558001</v>
      </c>
    </row>
    <row r="274" spans="1:27" s="4" customFormat="1" x14ac:dyDescent="0.25">
      <c r="A274" s="74"/>
      <c r="B274" s="27"/>
      <c r="C274" s="6">
        <v>41790</v>
      </c>
      <c r="D274" s="4">
        <v>14.6</v>
      </c>
      <c r="E274" s="4">
        <v>11.7</v>
      </c>
      <c r="F274" s="4">
        <v>18</v>
      </c>
      <c r="G274" s="4">
        <f t="shared" si="52"/>
        <v>2607.5000000000014</v>
      </c>
      <c r="H274" s="4">
        <f t="shared" si="44"/>
        <v>232.39999999999998</v>
      </c>
      <c r="I274" s="4">
        <v>304.10000000000002</v>
      </c>
      <c r="J274" s="4">
        <v>0</v>
      </c>
      <c r="K274" s="4">
        <f t="shared" si="53"/>
        <v>693.7000000000005</v>
      </c>
      <c r="L274" s="4">
        <v>4.5999999999999996</v>
      </c>
      <c r="M274" s="4">
        <f t="shared" si="54"/>
        <v>446.70000000000027</v>
      </c>
      <c r="N274" s="9">
        <f t="shared" si="51"/>
        <v>-4.5999999999999996</v>
      </c>
      <c r="O274" s="4">
        <v>72.200000000000031</v>
      </c>
      <c r="P274" s="4">
        <v>269</v>
      </c>
      <c r="Q274" s="12">
        <f t="shared" si="47"/>
        <v>0.99415584415584402</v>
      </c>
      <c r="R274" s="10">
        <f t="shared" si="48"/>
        <v>4.5731168831168825</v>
      </c>
      <c r="S274" s="10">
        <f t="shared" si="49"/>
        <v>-4.5731168831168825</v>
      </c>
      <c r="T274" s="10">
        <f t="shared" si="55"/>
        <v>42.405521907998533</v>
      </c>
      <c r="U274" s="4">
        <f>(U272*100)/153.6</f>
        <v>28.679714445649747</v>
      </c>
      <c r="V274" s="4">
        <v>2552.3000000000002</v>
      </c>
      <c r="W274" s="4">
        <f t="shared" si="50"/>
        <v>174.8150684931507</v>
      </c>
      <c r="X274" s="4">
        <f t="shared" si="56"/>
        <v>205087.19999999995</v>
      </c>
      <c r="Y274" s="4">
        <f t="shared" si="45"/>
        <v>24914.100000000002</v>
      </c>
      <c r="AA274" s="4">
        <v>16.114312720099299</v>
      </c>
    </row>
    <row r="275" spans="1:27" s="4" customFormat="1" x14ac:dyDescent="0.25">
      <c r="A275" s="74"/>
      <c r="B275" s="27"/>
      <c r="C275" s="6">
        <v>41791</v>
      </c>
      <c r="D275" s="4">
        <v>14.4</v>
      </c>
      <c r="E275" s="4">
        <v>10.3</v>
      </c>
      <c r="F275" s="4">
        <v>18.100000000000001</v>
      </c>
      <c r="G275" s="4">
        <f t="shared" si="52"/>
        <v>2621.9000000000015</v>
      </c>
      <c r="H275" s="4">
        <f t="shared" si="44"/>
        <v>246.79999999999998</v>
      </c>
      <c r="J275" s="4">
        <v>0.1</v>
      </c>
      <c r="K275" s="4">
        <f t="shared" si="53"/>
        <v>693.80000000000052</v>
      </c>
      <c r="L275" s="4">
        <v>3.5</v>
      </c>
      <c r="M275" s="4">
        <f t="shared" si="54"/>
        <v>450.20000000000027</v>
      </c>
      <c r="N275" s="9">
        <f t="shared" si="51"/>
        <v>-3.4</v>
      </c>
      <c r="O275" s="4">
        <v>68.800000000000026</v>
      </c>
      <c r="P275" s="4">
        <v>270</v>
      </c>
      <c r="Q275" s="12">
        <f t="shared" si="47"/>
        <v>0.98376623376623362</v>
      </c>
      <c r="R275" s="10">
        <f t="shared" si="48"/>
        <v>3.4431818181818175</v>
      </c>
      <c r="S275" s="10">
        <f t="shared" si="49"/>
        <v>-3.3431818181818174</v>
      </c>
      <c r="T275" s="10">
        <f t="shared" si="55"/>
        <v>39.062340089816715</v>
      </c>
      <c r="V275" s="4">
        <v>2006.2</v>
      </c>
      <c r="W275" s="4">
        <f t="shared" si="50"/>
        <v>139.31944444444446</v>
      </c>
      <c r="X275" s="4">
        <f t="shared" si="56"/>
        <v>207093.39999999997</v>
      </c>
      <c r="Y275" s="4">
        <f t="shared" si="45"/>
        <v>26920.300000000003</v>
      </c>
      <c r="AA275" s="4">
        <v>16.146326601746999</v>
      </c>
    </row>
    <row r="276" spans="1:27" s="4" customFormat="1" x14ac:dyDescent="0.25">
      <c r="A276" s="74"/>
      <c r="B276" s="27"/>
      <c r="C276" s="6">
        <v>41792</v>
      </c>
      <c r="D276" s="4">
        <v>14.9</v>
      </c>
      <c r="E276" s="4">
        <v>10.3</v>
      </c>
      <c r="F276" s="4">
        <v>18.8</v>
      </c>
      <c r="G276" s="4">
        <f t="shared" si="52"/>
        <v>2636.8000000000015</v>
      </c>
      <c r="H276" s="4">
        <f t="shared" ref="H276:H336" si="57">H275+D276</f>
        <v>261.7</v>
      </c>
      <c r="J276" s="4">
        <v>0.1</v>
      </c>
      <c r="K276" s="4">
        <f t="shared" si="53"/>
        <v>693.90000000000055</v>
      </c>
      <c r="L276" s="4">
        <v>3.1</v>
      </c>
      <c r="M276" s="4">
        <f t="shared" si="54"/>
        <v>453.3000000000003</v>
      </c>
      <c r="N276" s="9">
        <f t="shared" si="51"/>
        <v>-3</v>
      </c>
      <c r="O276" s="4">
        <v>65.800000000000026</v>
      </c>
      <c r="P276" s="4">
        <v>271</v>
      </c>
      <c r="Q276" s="12">
        <f t="shared" si="47"/>
        <v>0.97337662337662334</v>
      </c>
      <c r="R276" s="10">
        <f t="shared" si="48"/>
        <v>3.0174675324675326</v>
      </c>
      <c r="S276" s="10">
        <f t="shared" si="49"/>
        <v>-2.9174675324675325</v>
      </c>
      <c r="T276" s="10">
        <f t="shared" si="55"/>
        <v>36.144872557349181</v>
      </c>
      <c r="V276" s="4">
        <v>1770.8</v>
      </c>
      <c r="W276" s="4">
        <f t="shared" si="50"/>
        <v>118.84563758389261</v>
      </c>
      <c r="X276" s="4">
        <f t="shared" si="56"/>
        <v>208864.19999999995</v>
      </c>
      <c r="Y276" s="4">
        <f t="shared" ref="Y276:Y336" si="58">Y275+V276</f>
        <v>28691.100000000002</v>
      </c>
      <c r="AA276" s="4">
        <v>16.1770668831014</v>
      </c>
    </row>
    <row r="277" spans="1:27" s="4" customFormat="1" x14ac:dyDescent="0.25">
      <c r="A277" s="74"/>
      <c r="B277" s="27"/>
      <c r="C277" s="6">
        <v>41793</v>
      </c>
      <c r="D277" s="4">
        <v>16</v>
      </c>
      <c r="E277" s="4">
        <v>13.1</v>
      </c>
      <c r="F277" s="4">
        <v>20.100000000000001</v>
      </c>
      <c r="G277" s="4">
        <f t="shared" si="52"/>
        <v>2652.8000000000015</v>
      </c>
      <c r="H277" s="4">
        <f t="shared" si="57"/>
        <v>277.7</v>
      </c>
      <c r="J277" s="4">
        <v>5.4</v>
      </c>
      <c r="K277" s="4">
        <f t="shared" si="53"/>
        <v>699.30000000000052</v>
      </c>
      <c r="L277" s="4">
        <v>2.4</v>
      </c>
      <c r="M277" s="4">
        <f t="shared" si="54"/>
        <v>455.70000000000027</v>
      </c>
      <c r="N277" s="4">
        <f t="shared" si="51"/>
        <v>3.0000000000000004</v>
      </c>
      <c r="O277" s="4">
        <v>68.800000000000026</v>
      </c>
      <c r="P277" s="4">
        <v>272</v>
      </c>
      <c r="Q277" s="12">
        <f t="shared" si="47"/>
        <v>0.96298701298701295</v>
      </c>
      <c r="R277" s="10">
        <f t="shared" si="48"/>
        <v>2.311168831168831</v>
      </c>
      <c r="S277" s="10">
        <f t="shared" si="49"/>
        <v>3.0888311688311694</v>
      </c>
      <c r="T277" s="10">
        <f t="shared" si="55"/>
        <v>39.233703726180352</v>
      </c>
      <c r="V277" s="4">
        <v>1089</v>
      </c>
      <c r="W277" s="4">
        <f t="shared" si="50"/>
        <v>68.0625</v>
      </c>
      <c r="X277" s="4">
        <f t="shared" si="56"/>
        <v>209953.19999999995</v>
      </c>
      <c r="Y277" s="4">
        <f t="shared" si="58"/>
        <v>29780.100000000002</v>
      </c>
      <c r="AA277" s="4">
        <v>16.206505691965599</v>
      </c>
    </row>
    <row r="278" spans="1:27" s="4" customFormat="1" x14ac:dyDescent="0.25">
      <c r="A278" s="74"/>
      <c r="B278" s="27"/>
      <c r="C278" s="6">
        <v>41794</v>
      </c>
      <c r="D278" s="4">
        <v>13</v>
      </c>
      <c r="E278" s="4">
        <v>12</v>
      </c>
      <c r="F278" s="4">
        <v>15.6</v>
      </c>
      <c r="G278" s="4">
        <f t="shared" si="52"/>
        <v>2665.8000000000015</v>
      </c>
      <c r="H278" s="4">
        <f t="shared" si="57"/>
        <v>290.7</v>
      </c>
      <c r="J278" s="4">
        <v>13.6</v>
      </c>
      <c r="K278" s="4">
        <f t="shared" si="53"/>
        <v>712.90000000000055</v>
      </c>
      <c r="L278" s="4">
        <v>1.9</v>
      </c>
      <c r="M278" s="4">
        <f t="shared" si="54"/>
        <v>457.60000000000025</v>
      </c>
      <c r="N278" s="4">
        <f t="shared" si="51"/>
        <v>11.7</v>
      </c>
      <c r="O278" s="4">
        <v>80.500000000000028</v>
      </c>
      <c r="P278" s="4">
        <v>273</v>
      </c>
      <c r="Q278" s="12">
        <f t="shared" si="47"/>
        <v>0.95259740259740255</v>
      </c>
      <c r="R278" s="10">
        <f t="shared" si="48"/>
        <v>1.8099350649350647</v>
      </c>
      <c r="S278" s="10">
        <f t="shared" si="49"/>
        <v>11.790064935064935</v>
      </c>
      <c r="T278" s="10">
        <f t="shared" si="55"/>
        <v>51.023768661245285</v>
      </c>
      <c r="V278" s="4">
        <v>973.7</v>
      </c>
      <c r="W278" s="4">
        <f t="shared" si="50"/>
        <v>74.900000000000006</v>
      </c>
      <c r="X278" s="4">
        <f t="shared" si="56"/>
        <v>210926.89999999997</v>
      </c>
      <c r="Y278" s="4">
        <f t="shared" si="58"/>
        <v>30753.800000000003</v>
      </c>
      <c r="AA278" s="4">
        <v>16.234615830375802</v>
      </c>
    </row>
    <row r="279" spans="1:27" s="49" customFormat="1" ht="15.75" thickBot="1" x14ac:dyDescent="0.3">
      <c r="A279" s="74"/>
      <c r="B279" s="55"/>
      <c r="C279" s="48">
        <v>41795</v>
      </c>
      <c r="D279" s="49">
        <v>13.4</v>
      </c>
      <c r="E279" s="49">
        <v>8.6</v>
      </c>
      <c r="F279" s="49">
        <v>17.600000000000001</v>
      </c>
      <c r="G279" s="49">
        <f t="shared" si="52"/>
        <v>2679.2000000000016</v>
      </c>
      <c r="H279" s="49">
        <f t="shared" si="57"/>
        <v>304.09999999999997</v>
      </c>
      <c r="J279" s="49">
        <v>0</v>
      </c>
      <c r="K279" s="49">
        <f t="shared" si="53"/>
        <v>712.90000000000055</v>
      </c>
      <c r="L279" s="49">
        <v>2.9</v>
      </c>
      <c r="M279" s="49">
        <f t="shared" si="54"/>
        <v>460.50000000000023</v>
      </c>
      <c r="N279" s="56">
        <f t="shared" si="51"/>
        <v>-2.9</v>
      </c>
      <c r="O279" s="49">
        <v>77.600000000000023</v>
      </c>
      <c r="P279" s="49">
        <v>274</v>
      </c>
      <c r="Q279" s="51">
        <f t="shared" si="47"/>
        <v>0.94220779220779216</v>
      </c>
      <c r="R279" s="52">
        <f t="shared" si="48"/>
        <v>2.7324025974025972</v>
      </c>
      <c r="S279" s="52">
        <f t="shared" si="49"/>
        <v>-2.7324025974025972</v>
      </c>
      <c r="T279" s="52">
        <f t="shared" si="55"/>
        <v>48.291366063842688</v>
      </c>
      <c r="V279" s="49">
        <v>1550.9</v>
      </c>
      <c r="W279" s="49">
        <f t="shared" si="50"/>
        <v>115.73880597014926</v>
      </c>
      <c r="X279" s="49">
        <f t="shared" si="56"/>
        <v>212477.79999999996</v>
      </c>
      <c r="Y279" s="49">
        <f t="shared" si="58"/>
        <v>32304.700000000004</v>
      </c>
      <c r="AA279" s="49">
        <v>16.2613708613668</v>
      </c>
    </row>
    <row r="280" spans="1:27" s="23" customFormat="1" x14ac:dyDescent="0.25">
      <c r="A280" s="75">
        <v>1000</v>
      </c>
      <c r="B280" s="34"/>
      <c r="C280" s="22">
        <v>41796</v>
      </c>
      <c r="D280" s="23">
        <v>18.600000000000001</v>
      </c>
      <c r="E280" s="23">
        <v>8.9</v>
      </c>
      <c r="F280" s="23">
        <v>24.5</v>
      </c>
      <c r="G280" s="23">
        <f t="shared" si="52"/>
        <v>2697.8000000000015</v>
      </c>
      <c r="H280" s="23">
        <f>D280</f>
        <v>18.600000000000001</v>
      </c>
      <c r="J280" s="23">
        <v>0</v>
      </c>
      <c r="K280" s="23">
        <f t="shared" si="53"/>
        <v>712.90000000000055</v>
      </c>
      <c r="L280" s="23">
        <v>4.5</v>
      </c>
      <c r="M280" s="23">
        <f t="shared" si="54"/>
        <v>465.00000000000023</v>
      </c>
      <c r="N280" s="43">
        <f t="shared" si="51"/>
        <v>-4.5</v>
      </c>
      <c r="O280" s="23">
        <v>73.100000000000023</v>
      </c>
      <c r="P280" s="23">
        <v>275</v>
      </c>
      <c r="Q280" s="12">
        <f t="shared" si="47"/>
        <v>0.93181818181818177</v>
      </c>
      <c r="R280" s="25">
        <f t="shared" si="48"/>
        <v>4.1931818181818183</v>
      </c>
      <c r="S280" s="25">
        <f t="shared" si="49"/>
        <v>-4.1931818181818183</v>
      </c>
      <c r="T280" s="25">
        <f t="shared" si="55"/>
        <v>44.098184245660867</v>
      </c>
      <c r="V280" s="23">
        <v>2806.7</v>
      </c>
      <c r="W280" s="23">
        <f t="shared" si="50"/>
        <v>150.89784946236557</v>
      </c>
      <c r="X280" s="23">
        <f t="shared" si="56"/>
        <v>215284.49999999997</v>
      </c>
      <c r="Y280" s="23">
        <f>V280</f>
        <v>2806.7</v>
      </c>
      <c r="AA280" s="23">
        <v>16.286745195982501</v>
      </c>
    </row>
    <row r="281" spans="1:27" s="4" customFormat="1" ht="15" customHeight="1" x14ac:dyDescent="0.25">
      <c r="A281" s="75"/>
      <c r="B281" s="27"/>
      <c r="C281" s="6">
        <v>41797</v>
      </c>
      <c r="D281" s="4">
        <v>22</v>
      </c>
      <c r="E281" s="4">
        <v>17.8</v>
      </c>
      <c r="F281" s="7">
        <v>26.3</v>
      </c>
      <c r="G281" s="4">
        <f t="shared" si="52"/>
        <v>2719.8000000000015</v>
      </c>
      <c r="H281" s="4">
        <f>H280+D281</f>
        <v>40.6</v>
      </c>
      <c r="I281" s="36" t="s">
        <v>26</v>
      </c>
      <c r="J281" s="4">
        <v>0.6</v>
      </c>
      <c r="K281" s="4">
        <f t="shared" si="53"/>
        <v>713.50000000000057</v>
      </c>
      <c r="L281" s="4">
        <v>3.9</v>
      </c>
      <c r="M281" s="4">
        <f t="shared" si="54"/>
        <v>468.9000000000002</v>
      </c>
      <c r="N281" s="9">
        <f t="shared" si="51"/>
        <v>-3.3</v>
      </c>
      <c r="O281" s="4">
        <v>69.800000000000026</v>
      </c>
      <c r="P281" s="4">
        <v>276</v>
      </c>
      <c r="Q281" s="12">
        <f t="shared" si="47"/>
        <v>0.92142857142857137</v>
      </c>
      <c r="R281" s="10">
        <f t="shared" si="48"/>
        <v>3.5935714285714284</v>
      </c>
      <c r="S281" s="10">
        <f t="shared" si="49"/>
        <v>-2.9935714285714283</v>
      </c>
      <c r="T281" s="10">
        <f t="shared" si="55"/>
        <v>41.104612817089439</v>
      </c>
      <c r="U281" s="36" t="s">
        <v>27</v>
      </c>
      <c r="V281" s="4">
        <v>1718.6</v>
      </c>
      <c r="W281" s="4">
        <f t="shared" si="50"/>
        <v>78.11818181818181</v>
      </c>
      <c r="X281" s="4">
        <f t="shared" si="56"/>
        <v>217003.09999999998</v>
      </c>
      <c r="Y281" s="4">
        <f>Y280+V281</f>
        <v>4525.2999999999993</v>
      </c>
      <c r="Z281" s="36" t="s">
        <v>28</v>
      </c>
      <c r="AA281" s="4">
        <v>16.310714180007601</v>
      </c>
    </row>
    <row r="282" spans="1:27" s="4" customFormat="1" x14ac:dyDescent="0.25">
      <c r="A282" s="75"/>
      <c r="B282" s="27"/>
      <c r="C282" s="6">
        <v>41798</v>
      </c>
      <c r="D282" s="4">
        <v>21</v>
      </c>
      <c r="E282" s="4">
        <v>16.100000000000001</v>
      </c>
      <c r="F282" s="4">
        <v>24.9</v>
      </c>
      <c r="G282" s="4">
        <f t="shared" si="52"/>
        <v>2740.8000000000015</v>
      </c>
      <c r="H282" s="4">
        <f t="shared" si="57"/>
        <v>61.6</v>
      </c>
      <c r="I282" s="4">
        <f>MIN(E280:E302)</f>
        <v>8.9</v>
      </c>
      <c r="J282" s="4">
        <v>0</v>
      </c>
      <c r="K282" s="4">
        <f t="shared" si="53"/>
        <v>713.50000000000057</v>
      </c>
      <c r="L282" s="4">
        <v>4.3</v>
      </c>
      <c r="M282" s="4">
        <f t="shared" si="54"/>
        <v>473.20000000000022</v>
      </c>
      <c r="N282" s="9">
        <f t="shared" si="51"/>
        <v>-4.3</v>
      </c>
      <c r="O282" s="4">
        <v>65.500000000000028</v>
      </c>
      <c r="P282" s="4">
        <v>277</v>
      </c>
      <c r="Q282" s="12">
        <f t="shared" si="47"/>
        <v>0.91103896103896098</v>
      </c>
      <c r="R282" s="10">
        <f t="shared" si="48"/>
        <v>3.9174675324675321</v>
      </c>
      <c r="S282" s="10">
        <f t="shared" si="49"/>
        <v>-3.9174675324675321</v>
      </c>
      <c r="T282" s="10">
        <f t="shared" si="55"/>
        <v>37.187145284621906</v>
      </c>
      <c r="U282" s="4">
        <v>18</v>
      </c>
      <c r="V282" s="4">
        <v>2103.6999999999998</v>
      </c>
      <c r="W282" s="4">
        <f t="shared" si="50"/>
        <v>100.17619047619047</v>
      </c>
      <c r="X282" s="4">
        <f t="shared" si="56"/>
        <v>219106.8</v>
      </c>
      <c r="Y282" s="4">
        <f t="shared" si="58"/>
        <v>6628.9999999999991</v>
      </c>
      <c r="Z282" s="4">
        <v>43119.8</v>
      </c>
      <c r="AA282" s="4">
        <v>16.333254179875901</v>
      </c>
    </row>
    <row r="283" spans="1:27" s="4" customFormat="1" x14ac:dyDescent="0.25">
      <c r="A283" s="75"/>
      <c r="B283" s="27"/>
      <c r="C283" s="6">
        <v>41799</v>
      </c>
      <c r="D283" s="4">
        <v>20.9</v>
      </c>
      <c r="E283" s="4">
        <v>19</v>
      </c>
      <c r="F283" s="4">
        <v>22.4</v>
      </c>
      <c r="G283" s="4">
        <f t="shared" si="52"/>
        <v>2761.7000000000016</v>
      </c>
      <c r="H283" s="4">
        <f t="shared" si="57"/>
        <v>82.5</v>
      </c>
      <c r="I283" s="36" t="s">
        <v>29</v>
      </c>
      <c r="J283" s="4">
        <v>16.899999999999999</v>
      </c>
      <c r="K283" s="4">
        <f t="shared" si="53"/>
        <v>730.40000000000055</v>
      </c>
      <c r="L283" s="4">
        <v>2.9</v>
      </c>
      <c r="M283" s="4">
        <f t="shared" si="54"/>
        <v>476.10000000000019</v>
      </c>
      <c r="N283" s="4">
        <f t="shared" si="51"/>
        <v>13.999999999999998</v>
      </c>
      <c r="O283" s="4">
        <v>79.500000000000028</v>
      </c>
      <c r="P283" s="4">
        <v>278</v>
      </c>
      <c r="Q283" s="12">
        <f t="shared" si="47"/>
        <v>0.90064935064935059</v>
      </c>
      <c r="R283" s="10">
        <f t="shared" si="48"/>
        <v>2.6118831168831167</v>
      </c>
      <c r="S283" s="10">
        <f t="shared" si="49"/>
        <v>14.288116883116881</v>
      </c>
      <c r="T283" s="10">
        <f t="shared" si="55"/>
        <v>51.475262167738791</v>
      </c>
      <c r="U283" s="36" t="s">
        <v>30</v>
      </c>
      <c r="V283" s="4">
        <v>1455.4</v>
      </c>
      <c r="W283" s="4">
        <f t="shared" si="50"/>
        <v>69.63636363636364</v>
      </c>
      <c r="X283" s="4">
        <f t="shared" si="56"/>
        <v>220562.19999999998</v>
      </c>
      <c r="Y283" s="4">
        <f t="shared" si="58"/>
        <v>8084.4</v>
      </c>
      <c r="Z283" s="36" t="s">
        <v>31</v>
      </c>
      <c r="AA283" s="4">
        <v>16.3543426671852</v>
      </c>
    </row>
    <row r="284" spans="1:27" s="4" customFormat="1" x14ac:dyDescent="0.25">
      <c r="A284" s="75"/>
      <c r="B284" s="27"/>
      <c r="C284" s="6">
        <v>41800</v>
      </c>
      <c r="D284" s="4">
        <v>18.2</v>
      </c>
      <c r="E284" s="4">
        <v>18</v>
      </c>
      <c r="F284" s="4">
        <v>20.5</v>
      </c>
      <c r="G284" s="4">
        <f t="shared" si="52"/>
        <v>2779.9000000000015</v>
      </c>
      <c r="H284" s="4">
        <f t="shared" si="57"/>
        <v>100.7</v>
      </c>
      <c r="I284" s="4">
        <f>MAX(F280:F302)</f>
        <v>26.3</v>
      </c>
      <c r="J284" s="4">
        <v>3.8</v>
      </c>
      <c r="K284" s="4">
        <f t="shared" si="53"/>
        <v>734.2000000000005</v>
      </c>
      <c r="L284" s="4">
        <v>2.1</v>
      </c>
      <c r="M284" s="4">
        <f t="shared" si="54"/>
        <v>478.20000000000022</v>
      </c>
      <c r="N284" s="4">
        <f t="shared" si="51"/>
        <v>1.6999999999999997</v>
      </c>
      <c r="O284" s="4">
        <v>81.200000000000031</v>
      </c>
      <c r="P284" s="4">
        <v>279</v>
      </c>
      <c r="Q284" s="12">
        <f t="shared" si="47"/>
        <v>0.8902597402597402</v>
      </c>
      <c r="R284" s="10">
        <f t="shared" si="48"/>
        <v>1.8695454545454544</v>
      </c>
      <c r="S284" s="10">
        <f t="shared" si="49"/>
        <v>1.9304545454545454</v>
      </c>
      <c r="T284" s="10">
        <f t="shared" si="55"/>
        <v>53.405716713193335</v>
      </c>
      <c r="U284" s="4">
        <v>0</v>
      </c>
      <c r="V284" s="11">
        <v>808.4</v>
      </c>
      <c r="W284" s="4">
        <f t="shared" si="50"/>
        <v>44.417582417582416</v>
      </c>
      <c r="X284" s="4">
        <f t="shared" si="56"/>
        <v>221370.59999999998</v>
      </c>
      <c r="Y284" s="4">
        <f t="shared" si="58"/>
        <v>8892.7999999999993</v>
      </c>
      <c r="Z284" s="12">
        <f>(Z282/100)/I294</f>
        <v>1.0670576589952983</v>
      </c>
      <c r="AA284" s="4">
        <v>16.373958301237</v>
      </c>
    </row>
    <row r="285" spans="1:27" s="4" customFormat="1" x14ac:dyDescent="0.25">
      <c r="A285" s="75"/>
      <c r="B285" s="27"/>
      <c r="C285" s="6">
        <v>41801</v>
      </c>
      <c r="D285" s="4">
        <v>18</v>
      </c>
      <c r="E285" s="4">
        <v>13.7</v>
      </c>
      <c r="F285" s="4">
        <v>21.4</v>
      </c>
      <c r="G285" s="4">
        <f t="shared" si="52"/>
        <v>2797.9000000000015</v>
      </c>
      <c r="H285" s="4">
        <f t="shared" si="57"/>
        <v>118.7</v>
      </c>
      <c r="I285" s="36" t="s">
        <v>32</v>
      </c>
      <c r="J285" s="4">
        <v>0</v>
      </c>
      <c r="K285" s="4">
        <f t="shared" si="53"/>
        <v>734.2000000000005</v>
      </c>
      <c r="L285" s="4">
        <v>4.7</v>
      </c>
      <c r="M285" s="4">
        <f t="shared" si="54"/>
        <v>482.9000000000002</v>
      </c>
      <c r="N285" s="9">
        <f t="shared" si="51"/>
        <v>-4.7</v>
      </c>
      <c r="O285" s="4">
        <v>76.500000000000028</v>
      </c>
      <c r="P285" s="4">
        <v>280</v>
      </c>
      <c r="Q285" s="12">
        <f t="shared" si="47"/>
        <v>0.8798701298701298</v>
      </c>
      <c r="R285" s="10">
        <f t="shared" si="48"/>
        <v>4.1353896103896099</v>
      </c>
      <c r="S285" s="10">
        <f t="shared" si="49"/>
        <v>-4.1353896103896099</v>
      </c>
      <c r="T285" s="10">
        <f t="shared" si="55"/>
        <v>49.270327102803726</v>
      </c>
      <c r="U285" s="36" t="s">
        <v>33</v>
      </c>
      <c r="V285" s="4">
        <v>2434.8000000000002</v>
      </c>
      <c r="W285" s="4">
        <f t="shared" si="50"/>
        <v>135.26666666666668</v>
      </c>
      <c r="X285" s="4">
        <f t="shared" si="56"/>
        <v>223805.39999999997</v>
      </c>
      <c r="Y285" s="4">
        <f t="shared" si="58"/>
        <v>11327.599999999999</v>
      </c>
      <c r="Z285" s="36" t="s">
        <v>34</v>
      </c>
      <c r="AA285" s="4">
        <v>16.3920810090065</v>
      </c>
    </row>
    <row r="286" spans="1:27" s="4" customFormat="1" x14ac:dyDescent="0.25">
      <c r="A286" s="75"/>
      <c r="B286" s="27"/>
      <c r="C286" s="6">
        <v>41802</v>
      </c>
      <c r="D286" s="4">
        <v>18.600000000000001</v>
      </c>
      <c r="E286" s="4">
        <v>13.7</v>
      </c>
      <c r="F286" s="4">
        <v>22.1</v>
      </c>
      <c r="G286" s="4">
        <f t="shared" si="52"/>
        <v>2816.5000000000014</v>
      </c>
      <c r="H286" s="4">
        <f t="shared" si="57"/>
        <v>137.30000000000001</v>
      </c>
      <c r="I286" s="10">
        <f>AVERAGE(D280:D302)</f>
        <v>17.569565217391307</v>
      </c>
      <c r="J286" s="4">
        <v>0</v>
      </c>
      <c r="K286" s="4">
        <f t="shared" si="53"/>
        <v>734.2000000000005</v>
      </c>
      <c r="L286" s="4">
        <v>5.3</v>
      </c>
      <c r="M286" s="4">
        <f t="shared" si="54"/>
        <v>488.20000000000022</v>
      </c>
      <c r="N286" s="9">
        <f t="shared" si="51"/>
        <v>-5.3</v>
      </c>
      <c r="O286" s="4">
        <v>71.200000000000031</v>
      </c>
      <c r="P286" s="4">
        <v>281</v>
      </c>
      <c r="Q286" s="12">
        <f t="shared" si="47"/>
        <v>0.86948051948051941</v>
      </c>
      <c r="R286" s="10">
        <f t="shared" si="48"/>
        <v>4.6082467532467524</v>
      </c>
      <c r="S286" s="10">
        <f t="shared" si="49"/>
        <v>-4.6082467532467524</v>
      </c>
      <c r="T286" s="10">
        <f t="shared" si="55"/>
        <v>44.662080349556973</v>
      </c>
      <c r="U286" s="4">
        <v>21</v>
      </c>
      <c r="V286" s="4">
        <v>2875.3</v>
      </c>
      <c r="W286" s="4">
        <f t="shared" si="50"/>
        <v>154.58602150537635</v>
      </c>
      <c r="X286" s="4">
        <f t="shared" si="56"/>
        <v>226680.69999999995</v>
      </c>
      <c r="Y286" s="4">
        <f t="shared" si="58"/>
        <v>14202.899999999998</v>
      </c>
      <c r="Z286" s="4">
        <v>4</v>
      </c>
      <c r="AA286" s="4">
        <v>16.408692061950099</v>
      </c>
    </row>
    <row r="287" spans="1:27" s="4" customFormat="1" x14ac:dyDescent="0.25">
      <c r="A287" s="75"/>
      <c r="B287" s="27"/>
      <c r="C287" s="6">
        <v>41803</v>
      </c>
      <c r="D287" s="4">
        <v>18.5</v>
      </c>
      <c r="E287" s="4">
        <v>15.1</v>
      </c>
      <c r="F287" s="4">
        <v>22.4</v>
      </c>
      <c r="G287" s="4">
        <f t="shared" si="52"/>
        <v>2835.0000000000014</v>
      </c>
      <c r="H287" s="4">
        <f t="shared" si="57"/>
        <v>155.80000000000001</v>
      </c>
      <c r="I287" s="36" t="s">
        <v>35</v>
      </c>
      <c r="J287" s="4">
        <v>0</v>
      </c>
      <c r="K287" s="4">
        <f t="shared" si="53"/>
        <v>734.2000000000005</v>
      </c>
      <c r="L287" s="4">
        <v>4.7</v>
      </c>
      <c r="M287" s="4">
        <f t="shared" si="54"/>
        <v>492.9000000000002</v>
      </c>
      <c r="N287" s="9">
        <f t="shared" si="51"/>
        <v>-4.7</v>
      </c>
      <c r="O287" s="4">
        <v>66.500000000000028</v>
      </c>
      <c r="P287" s="4">
        <v>282</v>
      </c>
      <c r="Q287" s="12">
        <f t="shared" si="47"/>
        <v>0.85909090909090902</v>
      </c>
      <c r="R287" s="10">
        <f t="shared" si="48"/>
        <v>4.0377272727272722</v>
      </c>
      <c r="S287" s="10">
        <f t="shared" si="49"/>
        <v>-4.0377272727272722</v>
      </c>
      <c r="T287" s="10">
        <f t="shared" si="55"/>
        <v>40.624353076829699</v>
      </c>
      <c r="U287" s="36" t="s">
        <v>36</v>
      </c>
      <c r="V287" s="4">
        <v>2320.9</v>
      </c>
      <c r="W287" s="4">
        <f t="shared" si="50"/>
        <v>125.45405405405405</v>
      </c>
      <c r="X287" s="4">
        <f t="shared" si="56"/>
        <v>229001.59999999995</v>
      </c>
      <c r="Y287" s="4">
        <f t="shared" si="58"/>
        <v>16523.8</v>
      </c>
      <c r="AA287" s="4">
        <v>16.423774149057699</v>
      </c>
    </row>
    <row r="288" spans="1:27" s="4" customFormat="1" x14ac:dyDescent="0.25">
      <c r="A288" s="75"/>
      <c r="B288" s="27"/>
      <c r="C288" s="6">
        <v>41804</v>
      </c>
      <c r="D288" s="4">
        <v>16.3</v>
      </c>
      <c r="E288" s="4">
        <v>14.6</v>
      </c>
      <c r="F288" s="4">
        <v>19.600000000000001</v>
      </c>
      <c r="G288" s="4">
        <f t="shared" si="52"/>
        <v>2851.3000000000015</v>
      </c>
      <c r="H288" s="4">
        <f t="shared" si="57"/>
        <v>172.10000000000002</v>
      </c>
      <c r="I288" s="4">
        <v>0</v>
      </c>
      <c r="J288" s="4">
        <v>0</v>
      </c>
      <c r="K288" s="4">
        <f t="shared" si="53"/>
        <v>734.2000000000005</v>
      </c>
      <c r="L288" s="4">
        <v>4.3</v>
      </c>
      <c r="M288" s="4">
        <f t="shared" si="54"/>
        <v>497.20000000000022</v>
      </c>
      <c r="N288" s="9">
        <f t="shared" si="51"/>
        <v>-4.3</v>
      </c>
      <c r="O288" s="4">
        <v>62.200000000000031</v>
      </c>
      <c r="P288" s="4">
        <v>283</v>
      </c>
      <c r="Q288" s="12">
        <f t="shared" si="47"/>
        <v>0.84870129870129862</v>
      </c>
      <c r="R288" s="10">
        <f t="shared" si="48"/>
        <v>3.6494155844155838</v>
      </c>
      <c r="S288" s="10">
        <f t="shared" si="49"/>
        <v>-3.6494155844155838</v>
      </c>
      <c r="T288" s="10">
        <f t="shared" si="55"/>
        <v>36.974937492414114</v>
      </c>
      <c r="U288" s="10">
        <v>0</v>
      </c>
      <c r="V288" s="4">
        <v>2027.6</v>
      </c>
      <c r="W288" s="4">
        <f t="shared" si="50"/>
        <v>124.3926380368098</v>
      </c>
      <c r="X288" s="4">
        <f t="shared" si="56"/>
        <v>231029.19999999995</v>
      </c>
      <c r="Y288" s="4">
        <f t="shared" si="58"/>
        <v>18551.399999999998</v>
      </c>
      <c r="AA288" s="4">
        <v>16.437311445572501</v>
      </c>
    </row>
    <row r="289" spans="1:27" s="4" customFormat="1" x14ac:dyDescent="0.25">
      <c r="A289" s="75"/>
      <c r="B289" s="27"/>
      <c r="C289" s="6">
        <v>41805</v>
      </c>
      <c r="D289" s="4">
        <v>15.3</v>
      </c>
      <c r="E289" s="4">
        <v>12.3</v>
      </c>
      <c r="F289" s="4">
        <v>17.399999999999999</v>
      </c>
      <c r="G289" s="4">
        <f t="shared" si="52"/>
        <v>2866.6000000000017</v>
      </c>
      <c r="H289" s="4">
        <f t="shared" si="57"/>
        <v>187.40000000000003</v>
      </c>
      <c r="I289" s="36" t="s">
        <v>37</v>
      </c>
      <c r="J289" s="4">
        <v>0</v>
      </c>
      <c r="K289" s="4">
        <f t="shared" si="53"/>
        <v>734.2000000000005</v>
      </c>
      <c r="L289" s="4">
        <v>2.9</v>
      </c>
      <c r="M289" s="4">
        <f t="shared" si="54"/>
        <v>500.10000000000019</v>
      </c>
      <c r="N289" s="9">
        <f t="shared" si="51"/>
        <v>-2.9</v>
      </c>
      <c r="O289" s="4">
        <v>59.300000000000033</v>
      </c>
      <c r="P289" s="4">
        <v>284</v>
      </c>
      <c r="Q289" s="12">
        <f t="shared" si="47"/>
        <v>0.83831168831168823</v>
      </c>
      <c r="R289" s="10">
        <f t="shared" si="48"/>
        <v>2.4311038961038958</v>
      </c>
      <c r="S289" s="10">
        <f t="shared" si="49"/>
        <v>-2.4311038961038958</v>
      </c>
      <c r="T289" s="10">
        <f t="shared" si="55"/>
        <v>34.543833596310215</v>
      </c>
      <c r="U289" s="36" t="s">
        <v>38</v>
      </c>
      <c r="V289" s="4">
        <v>1361</v>
      </c>
      <c r="W289" s="4">
        <f t="shared" si="50"/>
        <v>88.954248366013061</v>
      </c>
      <c r="X289" s="4">
        <f t="shared" si="56"/>
        <v>232390.19999999995</v>
      </c>
      <c r="Y289" s="4">
        <f t="shared" si="58"/>
        <v>19912.399999999998</v>
      </c>
      <c r="AA289" s="4">
        <v>16.449289676818601</v>
      </c>
    </row>
    <row r="290" spans="1:27" s="4" customFormat="1" x14ac:dyDescent="0.25">
      <c r="A290" s="75"/>
      <c r="B290" s="27"/>
      <c r="C290" s="6">
        <v>41806</v>
      </c>
      <c r="D290" s="4">
        <v>14.5</v>
      </c>
      <c r="E290" s="4">
        <v>12.1</v>
      </c>
      <c r="F290" s="4">
        <v>15.9</v>
      </c>
      <c r="G290" s="4">
        <f t="shared" si="52"/>
        <v>2881.1000000000017</v>
      </c>
      <c r="H290" s="4">
        <f t="shared" si="57"/>
        <v>201.90000000000003</v>
      </c>
      <c r="I290" s="4">
        <v>1</v>
      </c>
      <c r="J290" s="4">
        <v>0.1</v>
      </c>
      <c r="K290" s="4">
        <f t="shared" si="53"/>
        <v>734.30000000000052</v>
      </c>
      <c r="L290" s="4">
        <v>2.2999999999999998</v>
      </c>
      <c r="M290" s="4">
        <f t="shared" si="54"/>
        <v>502.4000000000002</v>
      </c>
      <c r="N290" s="9">
        <f t="shared" si="51"/>
        <v>-2.1999999999999997</v>
      </c>
      <c r="O290" s="4">
        <v>57.10000000000003</v>
      </c>
      <c r="P290" s="4">
        <v>285</v>
      </c>
      <c r="Q290" s="12">
        <f t="shared" si="47"/>
        <v>0.82792207792207784</v>
      </c>
      <c r="R290" s="10">
        <f t="shared" si="48"/>
        <v>1.9042207792207788</v>
      </c>
      <c r="S290" s="10">
        <f t="shared" si="49"/>
        <v>-1.8042207792207787</v>
      </c>
      <c r="T290" s="10">
        <f t="shared" si="55"/>
        <v>32.739612817089437</v>
      </c>
      <c r="U290" s="10">
        <f>MAX(T280:T302)</f>
        <v>53.405716713193335</v>
      </c>
      <c r="V290" s="11">
        <v>876.7</v>
      </c>
      <c r="W290" s="4">
        <f t="shared" si="50"/>
        <v>60.462068965517247</v>
      </c>
      <c r="X290" s="4">
        <f t="shared" si="56"/>
        <v>233266.89999999997</v>
      </c>
      <c r="Y290" s="4">
        <f t="shared" si="58"/>
        <v>20789.099999999999</v>
      </c>
      <c r="AA290" s="4">
        <v>16.4596961766044</v>
      </c>
    </row>
    <row r="291" spans="1:27" s="4" customFormat="1" x14ac:dyDescent="0.25">
      <c r="A291" s="75"/>
      <c r="B291" s="27"/>
      <c r="C291" s="6">
        <v>41807</v>
      </c>
      <c r="D291" s="4">
        <v>15.2</v>
      </c>
      <c r="E291" s="4">
        <v>13.7</v>
      </c>
      <c r="F291" s="4">
        <v>17.2</v>
      </c>
      <c r="G291" s="4">
        <f t="shared" si="52"/>
        <v>2896.3000000000015</v>
      </c>
      <c r="H291" s="4">
        <f t="shared" si="57"/>
        <v>217.10000000000002</v>
      </c>
      <c r="I291" s="36" t="s">
        <v>39</v>
      </c>
      <c r="J291" s="4">
        <v>0</v>
      </c>
      <c r="K291" s="4">
        <f t="shared" si="53"/>
        <v>734.30000000000052</v>
      </c>
      <c r="L291" s="4">
        <v>2.9</v>
      </c>
      <c r="M291" s="4">
        <f t="shared" si="54"/>
        <v>505.30000000000018</v>
      </c>
      <c r="N291" s="9">
        <f t="shared" si="51"/>
        <v>-2.9</v>
      </c>
      <c r="O291" s="4">
        <v>54.200000000000031</v>
      </c>
      <c r="P291" s="4">
        <v>286</v>
      </c>
      <c r="Q291" s="12">
        <f t="shared" si="47"/>
        <v>0.81753246753246744</v>
      </c>
      <c r="R291" s="10">
        <f t="shared" si="48"/>
        <v>2.3708441558441553</v>
      </c>
      <c r="S291" s="10">
        <f t="shared" si="49"/>
        <v>-2.3708441558441553</v>
      </c>
      <c r="T291" s="10">
        <f t="shared" si="55"/>
        <v>30.368768661245284</v>
      </c>
      <c r="U291" s="36" t="s">
        <v>40</v>
      </c>
      <c r="V291" s="11">
        <v>805</v>
      </c>
      <c r="W291" s="4">
        <f t="shared" si="50"/>
        <v>52.96052631578948</v>
      </c>
      <c r="X291" s="4">
        <f t="shared" si="56"/>
        <v>234071.89999999997</v>
      </c>
      <c r="Y291" s="4">
        <f t="shared" si="58"/>
        <v>21594.1</v>
      </c>
      <c r="AA291" s="4">
        <v>16.468519939705399</v>
      </c>
    </row>
    <row r="292" spans="1:27" s="4" customFormat="1" x14ac:dyDescent="0.25">
      <c r="A292" s="75"/>
      <c r="B292" s="27"/>
      <c r="C292" s="6">
        <v>41808</v>
      </c>
      <c r="D292" s="4">
        <v>15.7</v>
      </c>
      <c r="E292" s="4">
        <v>13.5</v>
      </c>
      <c r="F292" s="4">
        <v>18.5</v>
      </c>
      <c r="G292" s="4">
        <f t="shared" si="52"/>
        <v>2912.0000000000014</v>
      </c>
      <c r="H292" s="4">
        <f t="shared" si="57"/>
        <v>232.8</v>
      </c>
      <c r="I292" s="4">
        <v>0</v>
      </c>
      <c r="J292" s="4">
        <v>0</v>
      </c>
      <c r="K292" s="4">
        <f t="shared" si="53"/>
        <v>734.30000000000052</v>
      </c>
      <c r="L292" s="4">
        <v>3.2</v>
      </c>
      <c r="M292" s="4">
        <f t="shared" si="54"/>
        <v>508.50000000000017</v>
      </c>
      <c r="N292" s="9">
        <f t="shared" si="51"/>
        <v>-3.2</v>
      </c>
      <c r="O292" s="37">
        <v>51.000000000000028</v>
      </c>
      <c r="P292" s="4">
        <v>287</v>
      </c>
      <c r="Q292" s="12">
        <f t="shared" si="47"/>
        <v>0.80714285714285716</v>
      </c>
      <c r="R292" s="10">
        <f t="shared" si="48"/>
        <v>2.5828571428571432</v>
      </c>
      <c r="S292" s="10">
        <f t="shared" si="49"/>
        <v>-2.5828571428571432</v>
      </c>
      <c r="T292" s="10">
        <f t="shared" si="55"/>
        <v>27.78591151838814</v>
      </c>
      <c r="U292" s="12">
        <f>AVERAGE(T280:T302)</f>
        <v>27.8253750982865</v>
      </c>
      <c r="V292" s="4">
        <v>1168</v>
      </c>
      <c r="W292" s="4">
        <f t="shared" si="50"/>
        <v>74.394904458598731</v>
      </c>
      <c r="X292" s="4">
        <f t="shared" si="56"/>
        <v>235239.89999999997</v>
      </c>
      <c r="Y292" s="4">
        <f t="shared" si="58"/>
        <v>22762.1</v>
      </c>
      <c r="AA292" s="4">
        <v>16.475751667970201</v>
      </c>
    </row>
    <row r="293" spans="1:27" s="4" customFormat="1" x14ac:dyDescent="0.25">
      <c r="A293" s="75"/>
      <c r="B293" s="27"/>
      <c r="C293" s="6">
        <v>41809</v>
      </c>
      <c r="D293" s="4">
        <v>15.8</v>
      </c>
      <c r="E293" s="4">
        <v>13.2</v>
      </c>
      <c r="F293" s="4">
        <v>19.100000000000001</v>
      </c>
      <c r="G293" s="4">
        <f t="shared" si="52"/>
        <v>2927.8000000000015</v>
      </c>
      <c r="H293" s="4">
        <f t="shared" si="57"/>
        <v>248.60000000000002</v>
      </c>
      <c r="I293" s="36" t="s">
        <v>41</v>
      </c>
      <c r="J293" s="4">
        <v>0</v>
      </c>
      <c r="K293" s="4">
        <f t="shared" si="53"/>
        <v>734.30000000000052</v>
      </c>
      <c r="L293" s="4">
        <v>4.0999999999999996</v>
      </c>
      <c r="M293" s="4">
        <f t="shared" si="54"/>
        <v>512.60000000000014</v>
      </c>
      <c r="N293" s="9">
        <f t="shared" si="51"/>
        <v>-4.0999999999999996</v>
      </c>
      <c r="O293" s="37">
        <v>46.900000000000027</v>
      </c>
      <c r="P293" s="4">
        <v>288</v>
      </c>
      <c r="Q293" s="12">
        <f t="shared" si="47"/>
        <v>0.79675324675324677</v>
      </c>
      <c r="R293" s="10">
        <f t="shared" si="48"/>
        <v>3.2666883116883114</v>
      </c>
      <c r="S293" s="10">
        <f t="shared" si="49"/>
        <v>-3.2666883116883114</v>
      </c>
      <c r="T293" s="10">
        <f t="shared" si="55"/>
        <v>24.519223206699827</v>
      </c>
      <c r="V293" s="4">
        <v>1943.7</v>
      </c>
      <c r="W293" s="4">
        <f t="shared" si="50"/>
        <v>123.01898734177215</v>
      </c>
      <c r="X293" s="4">
        <f t="shared" si="56"/>
        <v>237183.59999999998</v>
      </c>
      <c r="Y293" s="4">
        <f t="shared" si="58"/>
        <v>24705.8</v>
      </c>
      <c r="AA293" s="4">
        <v>16.4813838096435</v>
      </c>
    </row>
    <row r="294" spans="1:27" s="4" customFormat="1" x14ac:dyDescent="0.25">
      <c r="A294" s="75"/>
      <c r="B294" s="27"/>
      <c r="C294" s="6">
        <v>41810</v>
      </c>
      <c r="D294" s="4">
        <v>15</v>
      </c>
      <c r="E294" s="4">
        <v>12.8</v>
      </c>
      <c r="F294" s="4">
        <v>17.399999999999999</v>
      </c>
      <c r="G294" s="4">
        <f t="shared" si="52"/>
        <v>2942.8000000000015</v>
      </c>
      <c r="H294" s="4">
        <f t="shared" si="57"/>
        <v>263.60000000000002</v>
      </c>
      <c r="I294" s="4">
        <v>404.1</v>
      </c>
      <c r="J294" s="4">
        <v>0</v>
      </c>
      <c r="K294" s="4">
        <f t="shared" si="53"/>
        <v>734.30000000000052</v>
      </c>
      <c r="L294" s="4">
        <v>3.8</v>
      </c>
      <c r="M294" s="4">
        <f t="shared" si="54"/>
        <v>516.40000000000009</v>
      </c>
      <c r="N294" s="9">
        <f t="shared" si="51"/>
        <v>-3.8</v>
      </c>
      <c r="O294" s="37">
        <v>43.10000000000003</v>
      </c>
      <c r="P294" s="4">
        <v>289</v>
      </c>
      <c r="Q294" s="12">
        <f t="shared" si="47"/>
        <v>0.78636363636363638</v>
      </c>
      <c r="R294" s="10">
        <f t="shared" si="48"/>
        <v>2.9881818181818183</v>
      </c>
      <c r="S294" s="10">
        <f t="shared" si="49"/>
        <v>-2.9881818181818183</v>
      </c>
      <c r="T294" s="10">
        <f t="shared" si="55"/>
        <v>21.531041388518009</v>
      </c>
      <c r="U294" s="4">
        <f>(U292*100)/153.6</f>
        <v>18.115478579613608</v>
      </c>
      <c r="V294" s="4">
        <v>1841.9</v>
      </c>
      <c r="W294" s="4">
        <f t="shared" si="50"/>
        <v>122.79333333333334</v>
      </c>
      <c r="X294" s="4">
        <f t="shared" si="56"/>
        <v>239025.49999999997</v>
      </c>
      <c r="Y294" s="4">
        <f t="shared" si="58"/>
        <v>26547.7</v>
      </c>
      <c r="AA294" s="4">
        <v>16.485410591554601</v>
      </c>
    </row>
    <row r="295" spans="1:27" s="4" customFormat="1" x14ac:dyDescent="0.25">
      <c r="A295" s="75"/>
      <c r="B295" s="27"/>
      <c r="C295" s="6">
        <v>41811</v>
      </c>
      <c r="D295" s="4">
        <v>17</v>
      </c>
      <c r="E295" s="4">
        <v>10.6</v>
      </c>
      <c r="F295" s="4">
        <v>21.6</v>
      </c>
      <c r="G295" s="4">
        <f t="shared" si="52"/>
        <v>2959.8000000000015</v>
      </c>
      <c r="H295" s="4">
        <f t="shared" si="57"/>
        <v>280.60000000000002</v>
      </c>
      <c r="J295" s="4">
        <v>0</v>
      </c>
      <c r="K295" s="4">
        <f t="shared" si="53"/>
        <v>734.30000000000052</v>
      </c>
      <c r="L295" s="4">
        <v>4.5</v>
      </c>
      <c r="M295" s="4">
        <f t="shared" si="54"/>
        <v>520.90000000000009</v>
      </c>
      <c r="N295" s="9">
        <f t="shared" si="51"/>
        <v>-4.5</v>
      </c>
      <c r="O295" s="37">
        <v>38.60000000000003</v>
      </c>
      <c r="P295" s="4">
        <v>290</v>
      </c>
      <c r="Q295" s="12">
        <f t="shared" si="47"/>
        <v>0.77597402597402598</v>
      </c>
      <c r="R295" s="10">
        <f t="shared" si="48"/>
        <v>3.491883116883117</v>
      </c>
      <c r="S295" s="10">
        <f t="shared" si="49"/>
        <v>-3.491883116883117</v>
      </c>
      <c r="T295" s="10">
        <f t="shared" si="55"/>
        <v>18.039158271634893</v>
      </c>
      <c r="V295" s="4">
        <v>2749.1</v>
      </c>
      <c r="W295" s="4">
        <f t="shared" si="50"/>
        <v>161.71176470588236</v>
      </c>
      <c r="X295" s="4">
        <f t="shared" si="56"/>
        <v>241774.59999999998</v>
      </c>
      <c r="Y295" s="4">
        <f t="shared" si="58"/>
        <v>29296.799999999999</v>
      </c>
      <c r="AA295" s="4">
        <v>16.4878280438807</v>
      </c>
    </row>
    <row r="296" spans="1:27" s="4" customFormat="1" x14ac:dyDescent="0.25">
      <c r="A296" s="75"/>
      <c r="B296" s="27"/>
      <c r="C296" s="6">
        <v>41812</v>
      </c>
      <c r="D296" s="4">
        <v>18.2</v>
      </c>
      <c r="E296" s="4">
        <v>14</v>
      </c>
      <c r="F296" s="4">
        <v>22.3</v>
      </c>
      <c r="G296" s="4">
        <f t="shared" si="52"/>
        <v>2978.0000000000014</v>
      </c>
      <c r="H296" s="4">
        <f t="shared" si="57"/>
        <v>298.8</v>
      </c>
      <c r="J296" s="4">
        <v>0</v>
      </c>
      <c r="K296" s="4">
        <f t="shared" si="53"/>
        <v>734.30000000000052</v>
      </c>
      <c r="L296" s="4">
        <v>4.9000000000000004</v>
      </c>
      <c r="M296" s="4">
        <f t="shared" si="54"/>
        <v>525.80000000000007</v>
      </c>
      <c r="N296" s="9">
        <f t="shared" si="51"/>
        <v>-4.9000000000000004</v>
      </c>
      <c r="O296" s="37">
        <v>33.700000000000031</v>
      </c>
      <c r="P296" s="4">
        <v>291</v>
      </c>
      <c r="Q296" s="12">
        <f t="shared" si="47"/>
        <v>0.76558441558441559</v>
      </c>
      <c r="R296" s="10">
        <f t="shared" si="48"/>
        <v>3.7513636363636365</v>
      </c>
      <c r="S296" s="10">
        <f t="shared" si="49"/>
        <v>-3.7513636363636365</v>
      </c>
      <c r="T296" s="10">
        <f t="shared" si="55"/>
        <v>14.287794635271256</v>
      </c>
      <c r="V296" s="4">
        <v>2420.6</v>
      </c>
      <c r="W296" s="4">
        <f t="shared" si="50"/>
        <v>133</v>
      </c>
      <c r="X296" s="4">
        <f t="shared" si="56"/>
        <v>244195.19999999998</v>
      </c>
      <c r="Y296" s="4">
        <f t="shared" si="58"/>
        <v>31717.399999999998</v>
      </c>
      <c r="AA296" s="4">
        <v>16.488634017258001</v>
      </c>
    </row>
    <row r="297" spans="1:27" s="23" customFormat="1" x14ac:dyDescent="0.25">
      <c r="A297" s="75"/>
      <c r="B297" s="34"/>
      <c r="C297" s="6">
        <v>41813</v>
      </c>
      <c r="D297" s="23">
        <v>18.100000000000001</v>
      </c>
      <c r="E297" s="23">
        <v>14.7</v>
      </c>
      <c r="F297" s="23">
        <v>21.6</v>
      </c>
      <c r="G297" s="23">
        <f t="shared" si="52"/>
        <v>2996.1000000000013</v>
      </c>
      <c r="H297" s="23">
        <f t="shared" si="57"/>
        <v>316.90000000000003</v>
      </c>
      <c r="J297" s="23">
        <v>0</v>
      </c>
      <c r="K297" s="23">
        <f t="shared" si="53"/>
        <v>734.30000000000052</v>
      </c>
      <c r="L297" s="23">
        <v>5.3</v>
      </c>
      <c r="M297" s="23">
        <f t="shared" si="54"/>
        <v>531.1</v>
      </c>
      <c r="N297" s="23">
        <f t="shared" si="51"/>
        <v>-5.3</v>
      </c>
      <c r="O297" s="23">
        <v>28.400000000000031</v>
      </c>
      <c r="P297" s="23">
        <v>292</v>
      </c>
      <c r="Q297" s="12">
        <f t="shared" si="47"/>
        <v>0.7551948051948052</v>
      </c>
      <c r="R297" s="25">
        <f t="shared" si="48"/>
        <v>4.0025324675324674</v>
      </c>
      <c r="S297" s="25">
        <f t="shared" si="49"/>
        <v>-4.0025324675324674</v>
      </c>
      <c r="T297" s="10">
        <f t="shared" si="55"/>
        <v>10.285262167738789</v>
      </c>
      <c r="V297" s="23">
        <v>2756.5</v>
      </c>
      <c r="W297" s="23">
        <f t="shared" si="50"/>
        <v>152.292817679558</v>
      </c>
      <c r="X297" s="23">
        <f t="shared" si="56"/>
        <v>246951.69999999998</v>
      </c>
      <c r="Y297" s="4">
        <f t="shared" si="58"/>
        <v>34473.899999999994</v>
      </c>
      <c r="AA297" s="4">
        <v>16.4878281920837</v>
      </c>
    </row>
    <row r="298" spans="1:27" s="4" customFormat="1" ht="15" customHeight="1" x14ac:dyDescent="0.25">
      <c r="A298" s="75"/>
      <c r="B298" s="38"/>
      <c r="C298" s="6">
        <v>41814</v>
      </c>
      <c r="D298" s="4">
        <v>19.2</v>
      </c>
      <c r="E298" s="4">
        <v>14.7</v>
      </c>
      <c r="F298" s="4">
        <v>23.6</v>
      </c>
      <c r="G298" s="4">
        <f t="shared" si="52"/>
        <v>3015.3000000000011</v>
      </c>
      <c r="H298" s="4">
        <f t="shared" si="57"/>
        <v>336.1</v>
      </c>
      <c r="J298" s="4">
        <v>0</v>
      </c>
      <c r="K298" s="4">
        <f t="shared" si="53"/>
        <v>734.30000000000052</v>
      </c>
      <c r="L298" s="4">
        <v>4.8</v>
      </c>
      <c r="M298" s="4">
        <f t="shared" si="54"/>
        <v>535.9</v>
      </c>
      <c r="N298" s="9">
        <f t="shared" si="51"/>
        <v>-4.8</v>
      </c>
      <c r="O298" s="37">
        <v>23.60000000000003</v>
      </c>
      <c r="P298" s="4">
        <v>293</v>
      </c>
      <c r="Q298" s="12">
        <f t="shared" si="47"/>
        <v>0.7448051948051948</v>
      </c>
      <c r="R298" s="10">
        <f t="shared" si="48"/>
        <v>3.5750649350649351</v>
      </c>
      <c r="S298" s="10">
        <f t="shared" si="49"/>
        <v>-3.5750649350649351</v>
      </c>
      <c r="T298" s="10">
        <f t="shared" si="55"/>
        <v>6.7101972326738544</v>
      </c>
      <c r="V298" s="4">
        <v>2248.6999999999998</v>
      </c>
      <c r="W298" s="4">
        <f t="shared" si="50"/>
        <v>117.11979166666666</v>
      </c>
      <c r="X298" s="4">
        <f t="shared" si="56"/>
        <v>249200.4</v>
      </c>
      <c r="Y298" s="4">
        <f t="shared" si="58"/>
        <v>36722.599999999991</v>
      </c>
      <c r="AA298" s="4">
        <v>16.4854120799234</v>
      </c>
    </row>
    <row r="299" spans="1:27" s="4" customFormat="1" x14ac:dyDescent="0.25">
      <c r="A299" s="75"/>
      <c r="B299" s="38"/>
      <c r="C299" s="6">
        <v>41815</v>
      </c>
      <c r="D299" s="4">
        <v>16.3</v>
      </c>
      <c r="E299" s="4">
        <v>14.5</v>
      </c>
      <c r="F299" s="4">
        <v>18.3</v>
      </c>
      <c r="G299" s="4">
        <f t="shared" si="52"/>
        <v>3031.6000000000013</v>
      </c>
      <c r="H299" s="4">
        <f t="shared" si="57"/>
        <v>352.40000000000003</v>
      </c>
      <c r="J299" s="4">
        <v>0</v>
      </c>
      <c r="K299" s="4">
        <f t="shared" si="53"/>
        <v>734.30000000000052</v>
      </c>
      <c r="L299" s="4">
        <v>5</v>
      </c>
      <c r="M299" s="4">
        <f t="shared" si="54"/>
        <v>540.9</v>
      </c>
      <c r="N299" s="9">
        <f t="shared" si="51"/>
        <v>-5</v>
      </c>
      <c r="O299" s="37">
        <v>18.60000000000003</v>
      </c>
      <c r="P299" s="4">
        <v>294</v>
      </c>
      <c r="Q299" s="12">
        <f t="shared" si="47"/>
        <v>0.73441558441558441</v>
      </c>
      <c r="R299" s="10">
        <f t="shared" si="48"/>
        <v>3.6720779220779223</v>
      </c>
      <c r="S299" s="10">
        <f t="shared" si="49"/>
        <v>-3.6720779220779223</v>
      </c>
      <c r="T299" s="10">
        <f t="shared" si="55"/>
        <v>3.0381193105959321</v>
      </c>
      <c r="V299" s="4">
        <v>2312.1</v>
      </c>
      <c r="W299" s="4">
        <f t="shared" si="50"/>
        <v>141.84662576687114</v>
      </c>
      <c r="X299" s="4">
        <f t="shared" si="56"/>
        <v>251512.5</v>
      </c>
      <c r="Y299" s="4">
        <f t="shared" si="58"/>
        <v>39034.69999999999</v>
      </c>
      <c r="AA299" s="4">
        <v>16.481389017008599</v>
      </c>
    </row>
    <row r="300" spans="1:27" s="4" customFormat="1" x14ac:dyDescent="0.25">
      <c r="A300" s="75"/>
      <c r="B300" s="38"/>
      <c r="C300" s="6">
        <v>41816</v>
      </c>
      <c r="D300" s="4">
        <v>18</v>
      </c>
      <c r="E300" s="4">
        <v>13.1</v>
      </c>
      <c r="F300" s="4">
        <v>21.5</v>
      </c>
      <c r="G300" s="4">
        <f t="shared" si="52"/>
        <v>3049.6000000000013</v>
      </c>
      <c r="H300" s="4">
        <f t="shared" si="57"/>
        <v>370.40000000000003</v>
      </c>
      <c r="J300" s="4">
        <v>0</v>
      </c>
      <c r="K300" s="4">
        <f t="shared" si="53"/>
        <v>734.30000000000052</v>
      </c>
      <c r="L300" s="4">
        <v>3.7</v>
      </c>
      <c r="M300" s="4">
        <f t="shared" si="54"/>
        <v>544.6</v>
      </c>
      <c r="N300" s="9">
        <f t="shared" si="51"/>
        <v>-3.7</v>
      </c>
      <c r="O300" s="37">
        <v>14.900000000000031</v>
      </c>
      <c r="P300" s="4">
        <v>295</v>
      </c>
      <c r="Q300" s="12">
        <f t="shared" si="47"/>
        <v>0.72402597402597402</v>
      </c>
      <c r="R300" s="10">
        <f t="shared" si="48"/>
        <v>2.6788961038961041</v>
      </c>
      <c r="S300" s="10">
        <f t="shared" si="49"/>
        <v>-2.6788961038961041</v>
      </c>
      <c r="T300" s="10">
        <f t="shared" si="55"/>
        <v>0.35922320669982799</v>
      </c>
      <c r="V300" s="4">
        <v>2018.3</v>
      </c>
      <c r="W300" s="4">
        <f t="shared" si="50"/>
        <v>112.12777777777778</v>
      </c>
      <c r="X300" s="4">
        <f t="shared" si="56"/>
        <v>253530.8</v>
      </c>
      <c r="Y300" s="4">
        <f t="shared" si="58"/>
        <v>41052.999999999993</v>
      </c>
      <c r="AA300" s="4">
        <v>16.475764149885499</v>
      </c>
    </row>
    <row r="301" spans="1:27" s="4" customFormat="1" x14ac:dyDescent="0.25">
      <c r="A301" s="75"/>
      <c r="B301" s="38"/>
      <c r="C301" s="6">
        <v>41817</v>
      </c>
      <c r="D301" s="4">
        <v>17.600000000000001</v>
      </c>
      <c r="E301" s="4">
        <v>16.7</v>
      </c>
      <c r="F301" s="4">
        <v>20.7</v>
      </c>
      <c r="G301" s="4">
        <f t="shared" si="52"/>
        <v>3067.2000000000012</v>
      </c>
      <c r="H301" s="4">
        <f t="shared" si="57"/>
        <v>388.00000000000006</v>
      </c>
      <c r="J301" s="4">
        <v>8.3000000000000007</v>
      </c>
      <c r="K301" s="4">
        <f t="shared" si="53"/>
        <v>742.60000000000048</v>
      </c>
      <c r="L301" s="4">
        <v>2.9</v>
      </c>
      <c r="M301" s="4">
        <f t="shared" si="54"/>
        <v>547.5</v>
      </c>
      <c r="N301" s="4">
        <f t="shared" si="51"/>
        <v>5.4</v>
      </c>
      <c r="O301" s="37">
        <v>20.300000000000033</v>
      </c>
      <c r="P301" s="4">
        <v>296</v>
      </c>
      <c r="Q301" s="12">
        <f t="shared" si="47"/>
        <v>0.71363636363636362</v>
      </c>
      <c r="R301" s="10">
        <f t="shared" si="48"/>
        <v>2.0695454545454544</v>
      </c>
      <c r="S301" s="10">
        <f t="shared" si="49"/>
        <v>6.2304545454545464</v>
      </c>
      <c r="T301" s="10">
        <f t="shared" si="55"/>
        <v>6.5896777521543743</v>
      </c>
      <c r="V301" s="4">
        <v>1188.4000000000001</v>
      </c>
      <c r="W301" s="4">
        <f t="shared" si="50"/>
        <v>67.522727272727266</v>
      </c>
      <c r="X301" s="4">
        <f t="shared" si="56"/>
        <v>254719.19999999998</v>
      </c>
      <c r="Y301" s="4">
        <f t="shared" si="58"/>
        <v>42241.399999999994</v>
      </c>
      <c r="AA301" s="4">
        <v>16.468544413345001</v>
      </c>
    </row>
    <row r="302" spans="1:27" s="49" customFormat="1" ht="15.75" thickBot="1" x14ac:dyDescent="0.3">
      <c r="A302" s="75"/>
      <c r="B302" s="47"/>
      <c r="C302" s="48">
        <v>41818</v>
      </c>
      <c r="D302" s="49">
        <v>16.100000000000001</v>
      </c>
      <c r="E302" s="49">
        <v>14.5</v>
      </c>
      <c r="F302" s="49">
        <v>19.8</v>
      </c>
      <c r="G302" s="49">
        <f t="shared" si="52"/>
        <v>3083.3000000000011</v>
      </c>
      <c r="H302" s="49">
        <f t="shared" si="57"/>
        <v>404.10000000000008</v>
      </c>
      <c r="J302" s="49">
        <v>5.2</v>
      </c>
      <c r="K302" s="49">
        <f t="shared" si="53"/>
        <v>747.80000000000052</v>
      </c>
      <c r="L302" s="49">
        <v>2</v>
      </c>
      <c r="M302" s="49">
        <f t="shared" si="54"/>
        <v>549.5</v>
      </c>
      <c r="N302" s="49">
        <f t="shared" si="51"/>
        <v>3.2</v>
      </c>
      <c r="O302" s="50">
        <v>23.500000000000032</v>
      </c>
      <c r="P302" s="49">
        <v>297</v>
      </c>
      <c r="Q302" s="51">
        <f t="shared" si="47"/>
        <v>0.70324675324675323</v>
      </c>
      <c r="R302" s="52">
        <f t="shared" si="48"/>
        <v>1.4064935064935065</v>
      </c>
      <c r="S302" s="52">
        <f t="shared" si="49"/>
        <v>3.7935064935064937</v>
      </c>
      <c r="T302" s="53">
        <f t="shared" si="55"/>
        <v>10.383184245660868</v>
      </c>
      <c r="V302" s="62">
        <v>878.4</v>
      </c>
      <c r="W302" s="49">
        <f t="shared" si="50"/>
        <v>54.559006211180119</v>
      </c>
      <c r="X302" s="49">
        <f t="shared" si="56"/>
        <v>255597.59999999998</v>
      </c>
      <c r="Y302" s="49">
        <f t="shared" si="58"/>
        <v>43119.799999999996</v>
      </c>
      <c r="AA302" s="49">
        <v>16.459738500835499</v>
      </c>
    </row>
    <row r="303" spans="1:27" s="23" customFormat="1" x14ac:dyDescent="0.25">
      <c r="B303" s="44"/>
      <c r="C303" s="22">
        <v>41819</v>
      </c>
      <c r="D303" s="23">
        <v>14.7</v>
      </c>
      <c r="E303" s="23">
        <v>13.3</v>
      </c>
      <c r="F303" s="23">
        <v>17.2</v>
      </c>
      <c r="G303" s="23">
        <f t="shared" si="52"/>
        <v>3098.0000000000009</v>
      </c>
      <c r="H303" s="23">
        <f t="shared" si="57"/>
        <v>418.80000000000007</v>
      </c>
      <c r="J303" s="23">
        <v>3.2</v>
      </c>
      <c r="K303" s="23">
        <f t="shared" si="53"/>
        <v>751.00000000000057</v>
      </c>
      <c r="L303" s="23">
        <v>2.2999999999999998</v>
      </c>
      <c r="M303" s="23">
        <f t="shared" si="54"/>
        <v>551.79999999999995</v>
      </c>
      <c r="N303" s="23">
        <f t="shared" si="51"/>
        <v>0.90000000000000036</v>
      </c>
      <c r="O303" s="45">
        <v>24.400000000000034</v>
      </c>
      <c r="P303" s="23">
        <v>298</v>
      </c>
      <c r="Q303" s="12">
        <f t="shared" si="47"/>
        <v>0.69285714285714284</v>
      </c>
      <c r="R303" s="25">
        <f t="shared" si="48"/>
        <v>1.5935714285714284</v>
      </c>
      <c r="S303" s="25">
        <f t="shared" si="49"/>
        <v>1.6064285714285718</v>
      </c>
      <c r="T303" s="25">
        <f t="shared" si="55"/>
        <v>11.989612817089439</v>
      </c>
      <c r="V303" s="23">
        <v>1060.7</v>
      </c>
      <c r="W303" s="23">
        <f t="shared" si="50"/>
        <v>72.156462585034021</v>
      </c>
      <c r="X303" s="23">
        <f t="shared" si="56"/>
        <v>256658.3</v>
      </c>
      <c r="Y303" s="23">
        <f>Y302+V303</f>
        <v>44180.499999999993</v>
      </c>
      <c r="AA303" s="23">
        <v>16.449356827625301</v>
      </c>
    </row>
    <row r="304" spans="1:27" s="4" customFormat="1" x14ac:dyDescent="0.25">
      <c r="A304" s="39"/>
      <c r="B304" s="38"/>
      <c r="C304" s="6">
        <v>41820</v>
      </c>
      <c r="D304" s="4">
        <v>15.5</v>
      </c>
      <c r="E304" s="4">
        <v>11.1</v>
      </c>
      <c r="F304" s="4">
        <v>18.7</v>
      </c>
      <c r="G304" s="4">
        <f t="shared" si="52"/>
        <v>3113.5000000000009</v>
      </c>
      <c r="H304" s="4">
        <f t="shared" si="57"/>
        <v>434.30000000000007</v>
      </c>
      <c r="J304" s="4">
        <v>1</v>
      </c>
      <c r="K304" s="4">
        <f t="shared" si="53"/>
        <v>752.00000000000057</v>
      </c>
      <c r="L304" s="4">
        <v>2.5</v>
      </c>
      <c r="M304" s="4">
        <f t="shared" si="54"/>
        <v>554.29999999999995</v>
      </c>
      <c r="N304" s="9">
        <f t="shared" si="51"/>
        <v>-1.5</v>
      </c>
      <c r="O304" s="37">
        <v>22.900000000000034</v>
      </c>
      <c r="P304" s="4">
        <v>299</v>
      </c>
      <c r="Q304" s="12">
        <f t="shared" si="47"/>
        <v>0.68246753246753245</v>
      </c>
      <c r="R304" s="10">
        <f t="shared" si="48"/>
        <v>1.706168831168831</v>
      </c>
      <c r="S304" s="10">
        <f t="shared" si="49"/>
        <v>-0.706168831168831</v>
      </c>
      <c r="T304" s="10">
        <f t="shared" si="55"/>
        <v>11.283443985920607</v>
      </c>
      <c r="V304" s="4">
        <v>1285.0999999999999</v>
      </c>
      <c r="W304" s="4">
        <f t="shared" si="50"/>
        <v>82.909677419354836</v>
      </c>
      <c r="X304" s="4">
        <f t="shared" si="56"/>
        <v>257943.4</v>
      </c>
      <c r="Y304" s="4">
        <f t="shared" si="58"/>
        <v>45465.599999999991</v>
      </c>
      <c r="AA304" s="4">
        <v>16.4374114870458</v>
      </c>
    </row>
    <row r="305" spans="1:27" s="4" customFormat="1" x14ac:dyDescent="0.25">
      <c r="A305" s="39"/>
      <c r="B305" s="38"/>
      <c r="C305" s="6">
        <v>41821</v>
      </c>
      <c r="D305" s="4">
        <v>16.100000000000001</v>
      </c>
      <c r="E305" s="4">
        <v>12.9</v>
      </c>
      <c r="F305" s="4">
        <v>19.399999999999999</v>
      </c>
      <c r="G305" s="4">
        <f t="shared" si="52"/>
        <v>3129.6000000000008</v>
      </c>
      <c r="H305" s="4">
        <f t="shared" si="57"/>
        <v>450.40000000000009</v>
      </c>
      <c r="J305" s="4">
        <v>0</v>
      </c>
      <c r="K305" s="4">
        <f t="shared" si="53"/>
        <v>752.00000000000057</v>
      </c>
      <c r="L305" s="4">
        <v>4.9000000000000004</v>
      </c>
      <c r="M305" s="4">
        <f t="shared" si="54"/>
        <v>559.19999999999993</v>
      </c>
      <c r="N305" s="9">
        <f t="shared" si="51"/>
        <v>-4.9000000000000004</v>
      </c>
      <c r="O305" s="37">
        <v>18.000000000000036</v>
      </c>
      <c r="P305" s="4">
        <v>300</v>
      </c>
      <c r="Q305" s="12">
        <f t="shared" si="47"/>
        <v>0.67207792207792205</v>
      </c>
      <c r="R305" s="10">
        <f t="shared" si="48"/>
        <v>3.2931818181818184</v>
      </c>
      <c r="S305" s="10">
        <f t="shared" si="49"/>
        <v>-3.2931818181818184</v>
      </c>
      <c r="T305" s="10">
        <f t="shared" si="55"/>
        <v>7.9902621677387895</v>
      </c>
      <c r="V305" s="4">
        <v>2708.2</v>
      </c>
      <c r="W305" s="4">
        <f t="shared" si="50"/>
        <v>168.21118012422357</v>
      </c>
      <c r="X305" s="4">
        <f t="shared" si="56"/>
        <v>260651.6</v>
      </c>
      <c r="Y305" s="4">
        <f t="shared" si="58"/>
        <v>48173.799999999988</v>
      </c>
      <c r="AA305" s="4">
        <v>16.4239162002015</v>
      </c>
    </row>
    <row r="306" spans="1:27" s="4" customFormat="1" x14ac:dyDescent="0.25">
      <c r="A306" s="39"/>
      <c r="B306" s="38"/>
      <c r="C306" s="6">
        <v>41822</v>
      </c>
      <c r="D306" s="4">
        <v>17.2</v>
      </c>
      <c r="E306" s="4">
        <v>12</v>
      </c>
      <c r="F306" s="4">
        <v>21.2</v>
      </c>
      <c r="G306" s="4">
        <f t="shared" si="52"/>
        <v>3146.8000000000006</v>
      </c>
      <c r="H306" s="4">
        <f t="shared" si="57"/>
        <v>467.60000000000008</v>
      </c>
      <c r="J306" s="4">
        <v>0</v>
      </c>
      <c r="K306" s="4">
        <f t="shared" si="53"/>
        <v>752.00000000000057</v>
      </c>
      <c r="L306" s="4">
        <v>5.0999999999999996</v>
      </c>
      <c r="M306" s="4">
        <f t="shared" si="54"/>
        <v>564.29999999999995</v>
      </c>
      <c r="N306" s="9">
        <f t="shared" si="51"/>
        <v>-5.0999999999999996</v>
      </c>
      <c r="O306" s="37">
        <v>12.900000000000036</v>
      </c>
      <c r="P306" s="4">
        <v>301</v>
      </c>
      <c r="Q306" s="12">
        <f t="shared" si="47"/>
        <v>0.66168831168831166</v>
      </c>
      <c r="R306" s="10">
        <f t="shared" si="48"/>
        <v>3.3746103896103894</v>
      </c>
      <c r="S306" s="10">
        <f t="shared" si="49"/>
        <v>-3.3746103896103894</v>
      </c>
      <c r="T306" s="10">
        <f t="shared" si="55"/>
        <v>4.6156517781284006</v>
      </c>
      <c r="V306" s="4">
        <v>2948.5</v>
      </c>
      <c r="W306" s="4">
        <f t="shared" si="50"/>
        <v>171.42441860465118</v>
      </c>
      <c r="X306" s="4">
        <f t="shared" si="56"/>
        <v>263600.09999999998</v>
      </c>
      <c r="Y306" s="4">
        <f t="shared" si="58"/>
        <v>51122.299999999988</v>
      </c>
      <c r="AA306" s="4">
        <v>16.408886259585</v>
      </c>
    </row>
    <row r="307" spans="1:27" s="4" customFormat="1" x14ac:dyDescent="0.25">
      <c r="A307" s="39"/>
      <c r="B307" s="38"/>
      <c r="C307" s="6">
        <v>41823</v>
      </c>
      <c r="D307" s="4">
        <v>20.5</v>
      </c>
      <c r="E307" s="4">
        <v>14.4</v>
      </c>
      <c r="F307" s="4">
        <v>25.8</v>
      </c>
      <c r="G307" s="4">
        <f t="shared" si="52"/>
        <v>3167.3000000000006</v>
      </c>
      <c r="H307" s="4">
        <f t="shared" si="57"/>
        <v>488.10000000000008</v>
      </c>
      <c r="J307" s="4">
        <v>0</v>
      </c>
      <c r="K307" s="4">
        <f t="shared" si="53"/>
        <v>752.00000000000057</v>
      </c>
      <c r="L307" s="4">
        <v>5.7</v>
      </c>
      <c r="M307" s="4">
        <f t="shared" si="54"/>
        <v>570</v>
      </c>
      <c r="N307" s="9">
        <f t="shared" si="51"/>
        <v>-5.7</v>
      </c>
      <c r="O307" s="37">
        <v>7.2000000000000357</v>
      </c>
      <c r="P307" s="4">
        <v>302</v>
      </c>
      <c r="Q307" s="12">
        <f t="shared" si="47"/>
        <v>0.65129870129870127</v>
      </c>
      <c r="R307" s="10">
        <f t="shared" si="48"/>
        <v>3.7124025974025971</v>
      </c>
      <c r="S307" s="10">
        <f t="shared" si="49"/>
        <v>-3.7124025974025971</v>
      </c>
      <c r="T307" s="10">
        <f t="shared" si="55"/>
        <v>0.9032491807258034</v>
      </c>
      <c r="V307" s="4">
        <v>2834.9</v>
      </c>
      <c r="W307" s="4">
        <f t="shared" si="50"/>
        <v>138.28780487804877</v>
      </c>
      <c r="X307" s="4">
        <f t="shared" si="56"/>
        <v>266435</v>
      </c>
      <c r="Y307" s="4">
        <f t="shared" si="58"/>
        <v>53957.19999999999</v>
      </c>
      <c r="AA307" s="4">
        <v>16.392338467081402</v>
      </c>
    </row>
    <row r="308" spans="1:27" s="4" customFormat="1" x14ac:dyDescent="0.25">
      <c r="A308" s="39"/>
      <c r="B308" s="38"/>
      <c r="C308" s="6">
        <v>41824</v>
      </c>
      <c r="D308" s="4">
        <v>20.8</v>
      </c>
      <c r="E308" s="4">
        <v>16</v>
      </c>
      <c r="F308" s="4">
        <v>24</v>
      </c>
      <c r="G308" s="4">
        <f t="shared" si="52"/>
        <v>3188.1000000000008</v>
      </c>
      <c r="H308" s="4">
        <f t="shared" si="57"/>
        <v>508.90000000000009</v>
      </c>
      <c r="J308" s="4">
        <v>1.6</v>
      </c>
      <c r="K308" s="4">
        <f t="shared" si="53"/>
        <v>753.60000000000059</v>
      </c>
      <c r="L308" s="4">
        <v>2.6</v>
      </c>
      <c r="M308" s="4">
        <f t="shared" si="54"/>
        <v>572.6</v>
      </c>
      <c r="N308" s="9">
        <f t="shared" si="51"/>
        <v>-1</v>
      </c>
      <c r="O308" s="37">
        <v>6.2000000000000357</v>
      </c>
      <c r="P308" s="4">
        <v>303</v>
      </c>
      <c r="Q308" s="12">
        <f t="shared" si="47"/>
        <v>0.64090909090909087</v>
      </c>
      <c r="R308" s="10">
        <f t="shared" si="48"/>
        <v>1.6663636363636363</v>
      </c>
      <c r="S308" s="10">
        <f t="shared" si="49"/>
        <v>-6.636363636363618E-2</v>
      </c>
      <c r="T308" s="10">
        <f t="shared" si="55"/>
        <v>0.83688554436216722</v>
      </c>
      <c r="V308" s="4">
        <v>1270.5999999999999</v>
      </c>
      <c r="W308" s="4">
        <f t="shared" si="50"/>
        <v>61.086538461538453</v>
      </c>
      <c r="X308" s="4">
        <f t="shared" si="56"/>
        <v>267705.59999999998</v>
      </c>
      <c r="Y308" s="4">
        <f t="shared" si="58"/>
        <v>55227.799999999988</v>
      </c>
      <c r="AA308" s="4">
        <v>16.374291066880701</v>
      </c>
    </row>
    <row r="309" spans="1:27" s="4" customFormat="1" x14ac:dyDescent="0.25">
      <c r="A309" s="39"/>
      <c r="B309" s="38"/>
      <c r="C309" s="6">
        <v>41825</v>
      </c>
      <c r="D309" s="4">
        <v>18.5</v>
      </c>
      <c r="E309" s="4">
        <v>17.2</v>
      </c>
      <c r="F309" s="4">
        <v>19.7</v>
      </c>
      <c r="G309" s="4">
        <f t="shared" si="52"/>
        <v>3206.6000000000008</v>
      </c>
      <c r="H309" s="4">
        <f t="shared" si="57"/>
        <v>527.40000000000009</v>
      </c>
      <c r="J309" s="4">
        <v>4.7</v>
      </c>
      <c r="K309" s="4">
        <f t="shared" si="53"/>
        <v>758.30000000000064</v>
      </c>
      <c r="L309" s="4">
        <v>1.3</v>
      </c>
      <c r="M309" s="4">
        <f t="shared" si="54"/>
        <v>573.9</v>
      </c>
      <c r="N309" s="4">
        <f t="shared" si="51"/>
        <v>3.4000000000000004</v>
      </c>
      <c r="O309" s="37">
        <v>9.6000000000000369</v>
      </c>
      <c r="P309" s="4">
        <v>304</v>
      </c>
      <c r="Q309" s="12">
        <f t="shared" si="47"/>
        <v>0.63051948051948048</v>
      </c>
      <c r="R309" s="10">
        <f t="shared" si="48"/>
        <v>0.81967532467532467</v>
      </c>
      <c r="S309" s="10">
        <f t="shared" si="49"/>
        <v>3.8803246753246756</v>
      </c>
      <c r="T309" s="10">
        <f t="shared" si="55"/>
        <v>4.7172102196868426</v>
      </c>
      <c r="V309" s="4">
        <v>471</v>
      </c>
      <c r="W309" s="4">
        <f t="shared" si="50"/>
        <v>25.45945945945946</v>
      </c>
      <c r="X309" s="4">
        <f t="shared" si="56"/>
        <v>268176.59999999998</v>
      </c>
      <c r="Y309" s="4">
        <f t="shared" si="58"/>
        <v>55698.799999999988</v>
      </c>
      <c r="AA309" s="4">
        <v>16.3547636738504</v>
      </c>
    </row>
    <row r="310" spans="1:27" s="4" customFormat="1" x14ac:dyDescent="0.25">
      <c r="A310" s="39"/>
      <c r="B310" s="38"/>
      <c r="C310" s="6">
        <v>41826</v>
      </c>
      <c r="D310" s="4">
        <v>16.600000000000001</v>
      </c>
      <c r="E310" s="4">
        <v>16.399999999999999</v>
      </c>
      <c r="F310" s="4">
        <v>18</v>
      </c>
      <c r="G310" s="4">
        <f t="shared" si="52"/>
        <v>3223.2000000000007</v>
      </c>
      <c r="H310" s="4">
        <f t="shared" si="57"/>
        <v>544.00000000000011</v>
      </c>
      <c r="J310" s="4">
        <v>12.5</v>
      </c>
      <c r="K310" s="4">
        <f t="shared" si="53"/>
        <v>770.80000000000064</v>
      </c>
      <c r="L310" s="4">
        <v>1.7</v>
      </c>
      <c r="M310" s="4">
        <f t="shared" si="54"/>
        <v>575.6</v>
      </c>
      <c r="N310" s="4">
        <f t="shared" si="51"/>
        <v>10.8</v>
      </c>
      <c r="O310" s="37">
        <v>20.400000000000038</v>
      </c>
      <c r="P310" s="4">
        <v>305</v>
      </c>
      <c r="Q310" s="12">
        <f t="shared" si="47"/>
        <v>0.62012987012987009</v>
      </c>
      <c r="R310" s="10">
        <f t="shared" si="48"/>
        <v>1.0542207792207792</v>
      </c>
      <c r="S310" s="10">
        <f t="shared" si="49"/>
        <v>11.445779220779221</v>
      </c>
      <c r="T310" s="10">
        <f t="shared" si="55"/>
        <v>16.162989440466063</v>
      </c>
      <c r="V310" s="4">
        <v>667.6</v>
      </c>
      <c r="W310" s="4">
        <f t="shared" si="50"/>
        <v>40.216867469879517</v>
      </c>
      <c r="X310" s="4">
        <f t="shared" si="56"/>
        <v>268844.19999999995</v>
      </c>
      <c r="Y310" s="4">
        <f t="shared" si="58"/>
        <v>56366.399999999987</v>
      </c>
      <c r="AA310" s="4">
        <v>16.333777197940002</v>
      </c>
    </row>
    <row r="311" spans="1:27" s="4" customFormat="1" x14ac:dyDescent="0.25">
      <c r="A311" s="39"/>
      <c r="B311" s="38"/>
      <c r="C311" s="6">
        <v>41827</v>
      </c>
      <c r="D311" s="4">
        <v>16.899999999999999</v>
      </c>
      <c r="E311" s="4">
        <v>12.1</v>
      </c>
      <c r="F311" s="4">
        <v>20</v>
      </c>
      <c r="G311" s="4">
        <f t="shared" si="52"/>
        <v>3240.1000000000008</v>
      </c>
      <c r="H311" s="4">
        <f t="shared" si="57"/>
        <v>560.90000000000009</v>
      </c>
      <c r="J311" s="4">
        <v>4.9000000000000004</v>
      </c>
      <c r="K311" s="4">
        <f t="shared" si="53"/>
        <v>775.70000000000061</v>
      </c>
      <c r="L311" s="4">
        <v>3</v>
      </c>
      <c r="M311" s="4">
        <f t="shared" si="54"/>
        <v>578.6</v>
      </c>
      <c r="N311" s="4">
        <f t="shared" si="51"/>
        <v>1.9000000000000004</v>
      </c>
      <c r="O311" s="37">
        <v>22.30000000000004</v>
      </c>
      <c r="P311" s="4">
        <v>306</v>
      </c>
      <c r="Q311" s="12">
        <f t="shared" si="47"/>
        <v>0.60974025974025969</v>
      </c>
      <c r="R311" s="10">
        <f t="shared" si="48"/>
        <v>1.8292207792207791</v>
      </c>
      <c r="S311" s="10">
        <f t="shared" si="49"/>
        <v>3.0707792207792215</v>
      </c>
      <c r="T311" s="10">
        <f t="shared" si="55"/>
        <v>19.233768661245286</v>
      </c>
      <c r="V311" s="4">
        <v>1949.1</v>
      </c>
      <c r="W311" s="4">
        <f t="shared" si="50"/>
        <v>115.33136094674556</v>
      </c>
      <c r="X311" s="4">
        <f t="shared" si="56"/>
        <v>270793.29999999993</v>
      </c>
      <c r="Y311" s="4">
        <f t="shared" si="58"/>
        <v>58315.499999999985</v>
      </c>
      <c r="AA311" s="4">
        <v>16.311353765206501</v>
      </c>
    </row>
    <row r="312" spans="1:27" s="4" customFormat="1" x14ac:dyDescent="0.25">
      <c r="A312" s="39"/>
      <c r="B312" s="38"/>
      <c r="C312" s="6">
        <v>41828</v>
      </c>
      <c r="D312" s="4">
        <v>16.100000000000001</v>
      </c>
      <c r="E312" s="4">
        <v>14.3</v>
      </c>
      <c r="F312" s="4">
        <v>17.7</v>
      </c>
      <c r="G312" s="4">
        <f t="shared" si="52"/>
        <v>3256.2000000000007</v>
      </c>
      <c r="H312" s="4">
        <f t="shared" si="57"/>
        <v>577.00000000000011</v>
      </c>
      <c r="J312" s="4">
        <v>7.1</v>
      </c>
      <c r="K312" s="4">
        <f t="shared" si="53"/>
        <v>782.80000000000064</v>
      </c>
      <c r="L312" s="4">
        <v>1.1000000000000001</v>
      </c>
      <c r="M312" s="4">
        <f t="shared" si="54"/>
        <v>579.70000000000005</v>
      </c>
      <c r="N312" s="4">
        <f t="shared" si="51"/>
        <v>6</v>
      </c>
      <c r="O312" s="37">
        <v>28.30000000000004</v>
      </c>
      <c r="P312" s="4">
        <v>307</v>
      </c>
      <c r="Q312" s="12">
        <f t="shared" si="47"/>
        <v>0.5993506493506493</v>
      </c>
      <c r="R312" s="10">
        <f t="shared" si="48"/>
        <v>0.65928571428571425</v>
      </c>
      <c r="S312" s="10">
        <f t="shared" si="49"/>
        <v>6.4407142857142858</v>
      </c>
      <c r="T312" s="10">
        <f t="shared" si="55"/>
        <v>25.674482946959571</v>
      </c>
      <c r="V312" s="4">
        <v>699.6</v>
      </c>
      <c r="W312" s="4">
        <f t="shared" si="50"/>
        <v>43.453416149068318</v>
      </c>
      <c r="X312" s="4">
        <f t="shared" si="56"/>
        <v>271492.89999999991</v>
      </c>
      <c r="Y312" s="4">
        <f t="shared" si="58"/>
        <v>59015.099999999984</v>
      </c>
      <c r="AA312" s="4">
        <v>16.287516636055202</v>
      </c>
    </row>
    <row r="313" spans="1:27" s="4" customFormat="1" x14ac:dyDescent="0.25">
      <c r="A313" s="39"/>
      <c r="B313" s="38"/>
      <c r="C313" s="6">
        <v>41829</v>
      </c>
      <c r="D313" s="4">
        <v>14.5</v>
      </c>
      <c r="E313" s="4">
        <v>14.1</v>
      </c>
      <c r="F313" s="4">
        <v>16.100000000000001</v>
      </c>
      <c r="G313" s="4">
        <f t="shared" si="52"/>
        <v>3270.7000000000007</v>
      </c>
      <c r="H313" s="4">
        <f t="shared" si="57"/>
        <v>591.50000000000011</v>
      </c>
      <c r="J313" s="4">
        <v>23.2</v>
      </c>
      <c r="K313" s="4">
        <f t="shared" si="53"/>
        <v>806.00000000000068</v>
      </c>
      <c r="L313" s="4">
        <v>1.3</v>
      </c>
      <c r="M313" s="4">
        <f t="shared" si="54"/>
        <v>581</v>
      </c>
      <c r="N313" s="4">
        <f t="shared" si="51"/>
        <v>21.9</v>
      </c>
      <c r="O313" s="37">
        <v>50.200000000000038</v>
      </c>
      <c r="P313" s="4">
        <v>308</v>
      </c>
      <c r="Q313" s="12">
        <f t="shared" si="47"/>
        <v>0.58896103896103891</v>
      </c>
      <c r="R313" s="10">
        <f t="shared" si="48"/>
        <v>0.76564935064935058</v>
      </c>
      <c r="S313" s="10">
        <f t="shared" si="49"/>
        <v>22.434350649350648</v>
      </c>
      <c r="T313" s="10">
        <f t="shared" si="55"/>
        <v>48.10883359631022</v>
      </c>
      <c r="V313" s="4">
        <v>460.4</v>
      </c>
      <c r="W313" s="4">
        <f t="shared" si="50"/>
        <v>31.751724137931031</v>
      </c>
      <c r="X313" s="4">
        <f t="shared" si="56"/>
        <v>271953.29999999993</v>
      </c>
      <c r="Y313" s="4">
        <f t="shared" si="58"/>
        <v>59475.499999999985</v>
      </c>
      <c r="AA313" s="4">
        <v>16.2622901212915</v>
      </c>
    </row>
    <row r="314" spans="1:27" s="4" customFormat="1" x14ac:dyDescent="0.25">
      <c r="A314" s="39"/>
      <c r="B314" s="38"/>
      <c r="C314" s="6">
        <v>41830</v>
      </c>
      <c r="D314" s="4">
        <v>16.3</v>
      </c>
      <c r="E314" s="4">
        <v>14.6</v>
      </c>
      <c r="F314" s="4">
        <v>17.2</v>
      </c>
      <c r="G314" s="4">
        <f t="shared" si="52"/>
        <v>3287.0000000000009</v>
      </c>
      <c r="H314" s="4">
        <f t="shared" si="57"/>
        <v>607.80000000000007</v>
      </c>
      <c r="J314" s="4">
        <v>9.1</v>
      </c>
      <c r="K314" s="4">
        <f t="shared" si="53"/>
        <v>815.1000000000007</v>
      </c>
      <c r="L314" s="4">
        <v>0.7</v>
      </c>
      <c r="M314" s="4">
        <f t="shared" si="54"/>
        <v>581.70000000000005</v>
      </c>
      <c r="N314" s="4">
        <f t="shared" si="51"/>
        <v>8.4</v>
      </c>
      <c r="O314" s="4">
        <v>58.600000000000037</v>
      </c>
      <c r="P314" s="4">
        <v>309</v>
      </c>
      <c r="Q314" s="12">
        <f t="shared" si="47"/>
        <v>0.57857142857142851</v>
      </c>
      <c r="R314" s="10">
        <f t="shared" si="48"/>
        <v>0.40499999999999992</v>
      </c>
      <c r="S314" s="10">
        <f t="shared" si="49"/>
        <v>8.6950000000000003</v>
      </c>
      <c r="T314" s="10">
        <f t="shared" si="55"/>
        <v>56.80383359631022</v>
      </c>
      <c r="V314" s="4">
        <v>474.7</v>
      </c>
      <c r="W314" s="4">
        <f t="shared" si="50"/>
        <v>29.122699386503065</v>
      </c>
      <c r="X314" s="4">
        <f t="shared" si="56"/>
        <v>272427.99999999994</v>
      </c>
      <c r="Y314" s="4">
        <f t="shared" si="58"/>
        <v>59950.199999999983</v>
      </c>
      <c r="AA314" s="4">
        <v>16.235699496571499</v>
      </c>
    </row>
    <row r="315" spans="1:27" s="4" customFormat="1" x14ac:dyDescent="0.25">
      <c r="A315" s="39"/>
      <c r="B315" s="38"/>
      <c r="C315" s="6">
        <v>41831</v>
      </c>
      <c r="D315" s="4">
        <v>16.399999999999999</v>
      </c>
      <c r="E315" s="4">
        <v>15.3</v>
      </c>
      <c r="F315" s="4">
        <v>17.3</v>
      </c>
      <c r="G315" s="4">
        <f t="shared" si="52"/>
        <v>3303.400000000001</v>
      </c>
      <c r="H315" s="4">
        <f t="shared" si="57"/>
        <v>624.20000000000005</v>
      </c>
      <c r="J315" s="4">
        <v>1.4</v>
      </c>
      <c r="K315" s="4">
        <f t="shared" si="53"/>
        <v>816.50000000000068</v>
      </c>
      <c r="L315" s="4">
        <v>0.9</v>
      </c>
      <c r="M315" s="4">
        <f t="shared" si="54"/>
        <v>582.6</v>
      </c>
      <c r="N315" s="4">
        <f t="shared" si="51"/>
        <v>0.49999999999999989</v>
      </c>
      <c r="O315" s="4">
        <v>59.100000000000037</v>
      </c>
      <c r="P315" s="4">
        <v>310</v>
      </c>
      <c r="Q315" s="12">
        <f t="shared" si="47"/>
        <v>0.56818181818181812</v>
      </c>
      <c r="R315" s="10">
        <f t="shared" si="48"/>
        <v>0.51136363636363635</v>
      </c>
      <c r="S315" s="10">
        <f t="shared" si="49"/>
        <v>0.88863636363636356</v>
      </c>
      <c r="T315" s="10">
        <f t="shared" si="55"/>
        <v>57.692469959946585</v>
      </c>
      <c r="V315" s="4">
        <v>385.4</v>
      </c>
      <c r="W315" s="4">
        <f t="shared" si="50"/>
        <v>23.5</v>
      </c>
      <c r="X315" s="4">
        <f t="shared" si="56"/>
        <v>272813.39999999997</v>
      </c>
      <c r="Y315" s="4">
        <f t="shared" si="58"/>
        <v>60335.599999999984</v>
      </c>
      <c r="AA315" s="4">
        <v>16.207770915827901</v>
      </c>
    </row>
    <row r="316" spans="1:27" s="4" customFormat="1" x14ac:dyDescent="0.25">
      <c r="A316" s="39"/>
      <c r="B316" s="38"/>
      <c r="C316" s="6">
        <v>41832</v>
      </c>
      <c r="D316" s="4">
        <v>17.600000000000001</v>
      </c>
      <c r="E316" s="4">
        <v>15</v>
      </c>
      <c r="F316" s="4">
        <v>19.8</v>
      </c>
      <c r="G316" s="4">
        <f t="shared" si="52"/>
        <v>3321.0000000000009</v>
      </c>
      <c r="H316" s="4">
        <f t="shared" si="57"/>
        <v>641.80000000000007</v>
      </c>
      <c r="J316" s="4">
        <v>0</v>
      </c>
      <c r="K316" s="4">
        <f t="shared" si="53"/>
        <v>816.50000000000068</v>
      </c>
      <c r="L316" s="4">
        <v>1.6</v>
      </c>
      <c r="M316" s="4">
        <f t="shared" si="54"/>
        <v>584.20000000000005</v>
      </c>
      <c r="N316" s="9">
        <f t="shared" si="51"/>
        <v>-1.6</v>
      </c>
      <c r="O316" s="4">
        <v>57.500000000000036</v>
      </c>
      <c r="P316" s="4">
        <v>311</v>
      </c>
      <c r="Q316" s="12">
        <f t="shared" si="47"/>
        <v>0.55779220779220773</v>
      </c>
      <c r="R316" s="10">
        <f t="shared" si="48"/>
        <v>0.89246753246753241</v>
      </c>
      <c r="S316" s="10">
        <f t="shared" si="49"/>
        <v>-0.89246753246753241</v>
      </c>
      <c r="T316" s="10">
        <f t="shared" si="55"/>
        <v>56.80000242747905</v>
      </c>
      <c r="V316" s="4">
        <v>532.9</v>
      </c>
      <c r="W316" s="4">
        <f t="shared" si="50"/>
        <v>30.278409090909086</v>
      </c>
      <c r="X316" s="4">
        <f t="shared" si="56"/>
        <v>273346.3</v>
      </c>
      <c r="Y316" s="4">
        <f t="shared" si="58"/>
        <v>60868.499999999985</v>
      </c>
      <c r="AA316" s="4">
        <v>16.178531324226</v>
      </c>
    </row>
    <row r="317" spans="1:27" s="4" customFormat="1" x14ac:dyDescent="0.25">
      <c r="A317" s="39"/>
      <c r="B317" s="38"/>
      <c r="C317" s="6">
        <v>41833</v>
      </c>
      <c r="D317" s="4">
        <v>18.2</v>
      </c>
      <c r="E317" s="4">
        <v>16.3</v>
      </c>
      <c r="F317" s="4">
        <v>19.600000000000001</v>
      </c>
      <c r="G317" s="4">
        <f t="shared" si="52"/>
        <v>3339.2000000000007</v>
      </c>
      <c r="H317" s="4">
        <f t="shared" si="57"/>
        <v>660.00000000000011</v>
      </c>
      <c r="J317" s="4">
        <v>2.2999999999999998</v>
      </c>
      <c r="K317" s="4">
        <f t="shared" si="53"/>
        <v>818.80000000000064</v>
      </c>
      <c r="L317" s="4">
        <v>1.8</v>
      </c>
      <c r="M317" s="4">
        <f t="shared" si="54"/>
        <v>586</v>
      </c>
      <c r="N317" s="4">
        <f t="shared" si="51"/>
        <v>0.49999999999999978</v>
      </c>
      <c r="O317" s="4">
        <v>58.000000000000036</v>
      </c>
      <c r="P317" s="4">
        <v>312</v>
      </c>
      <c r="Q317" s="12">
        <f t="shared" si="47"/>
        <v>0.54740259740259734</v>
      </c>
      <c r="R317" s="10">
        <f t="shared" si="48"/>
        <v>0.98532467532467527</v>
      </c>
      <c r="S317" s="10">
        <f t="shared" si="49"/>
        <v>1.3146753246753247</v>
      </c>
      <c r="T317" s="10">
        <f t="shared" si="55"/>
        <v>58.114677752154378</v>
      </c>
      <c r="V317" s="4">
        <v>519.79999999999995</v>
      </c>
      <c r="W317" s="4">
        <f t="shared" si="50"/>
        <v>28.560439560439558</v>
      </c>
      <c r="X317" s="4">
        <f t="shared" si="56"/>
        <v>273866.09999999998</v>
      </c>
      <c r="Y317" s="4">
        <f t="shared" si="58"/>
        <v>61388.299999999988</v>
      </c>
      <c r="AA317" s="4">
        <v>16.148008371183</v>
      </c>
    </row>
    <row r="318" spans="1:27" s="4" customFormat="1" x14ac:dyDescent="0.25">
      <c r="A318" s="39"/>
      <c r="B318" s="38"/>
      <c r="C318" s="6">
        <v>41834</v>
      </c>
      <c r="D318" s="4">
        <v>18.399999999999999</v>
      </c>
      <c r="E318" s="4">
        <v>16.3</v>
      </c>
      <c r="F318" s="4">
        <v>21.7</v>
      </c>
      <c r="G318" s="4">
        <f t="shared" si="52"/>
        <v>3357.6000000000008</v>
      </c>
      <c r="H318" s="4">
        <f t="shared" si="57"/>
        <v>678.40000000000009</v>
      </c>
      <c r="J318" s="4">
        <v>0</v>
      </c>
      <c r="K318" s="4">
        <f t="shared" si="53"/>
        <v>818.80000000000064</v>
      </c>
      <c r="L318" s="4">
        <v>5.0999999999999996</v>
      </c>
      <c r="M318" s="4">
        <f t="shared" si="54"/>
        <v>591.1</v>
      </c>
      <c r="N318" s="9">
        <f t="shared" si="51"/>
        <v>-5.0999999999999996</v>
      </c>
      <c r="O318" s="4">
        <v>52.900000000000034</v>
      </c>
      <c r="P318" s="4">
        <v>313</v>
      </c>
      <c r="Q318" s="12">
        <f t="shared" si="47"/>
        <v>0.53701298701298694</v>
      </c>
      <c r="R318" s="10">
        <f t="shared" si="48"/>
        <v>2.7387662337662331</v>
      </c>
      <c r="S318" s="10">
        <f t="shared" si="49"/>
        <v>-2.7387662337662331</v>
      </c>
      <c r="T318" s="10">
        <f t="shared" si="55"/>
        <v>55.375911518388143</v>
      </c>
      <c r="V318" s="4">
        <v>2309</v>
      </c>
      <c r="W318" s="4">
        <f t="shared" si="50"/>
        <v>125.48913043478262</v>
      </c>
      <c r="X318" s="4">
        <f t="shared" si="56"/>
        <v>276175.09999999998</v>
      </c>
      <c r="Y318" s="4">
        <f t="shared" si="58"/>
        <v>63697.299999999988</v>
      </c>
      <c r="AA318" s="4">
        <v>16.116230323953499</v>
      </c>
    </row>
    <row r="319" spans="1:27" s="4" customFormat="1" x14ac:dyDescent="0.25">
      <c r="A319" s="39"/>
      <c r="B319" s="38"/>
      <c r="C319" s="6">
        <v>41835</v>
      </c>
      <c r="D319" s="4">
        <v>18.399999999999999</v>
      </c>
      <c r="E319" s="4">
        <v>13.4</v>
      </c>
      <c r="F319" s="4">
        <v>22.6</v>
      </c>
      <c r="G319" s="4">
        <f t="shared" si="52"/>
        <v>3376.0000000000009</v>
      </c>
      <c r="H319" s="4">
        <f t="shared" si="57"/>
        <v>696.80000000000007</v>
      </c>
      <c r="J319" s="4">
        <v>0.2</v>
      </c>
      <c r="K319" s="4">
        <f t="shared" si="53"/>
        <v>819.00000000000068</v>
      </c>
      <c r="L319" s="4">
        <v>1.9</v>
      </c>
      <c r="M319" s="4">
        <f t="shared" si="54"/>
        <v>593</v>
      </c>
      <c r="N319" s="9">
        <f t="shared" si="51"/>
        <v>-1.7</v>
      </c>
      <c r="O319" s="4">
        <v>51.200000000000031</v>
      </c>
      <c r="P319" s="4">
        <v>314</v>
      </c>
      <c r="Q319" s="12">
        <f t="shared" si="47"/>
        <v>0.52662337662337655</v>
      </c>
      <c r="R319" s="10">
        <f t="shared" si="48"/>
        <v>1.0005844155844155</v>
      </c>
      <c r="S319" s="10">
        <f t="shared" si="49"/>
        <v>-0.80058441558441551</v>
      </c>
      <c r="T319" s="10">
        <f t="shared" si="55"/>
        <v>54.575327102803726</v>
      </c>
      <c r="V319" s="4">
        <v>806.2</v>
      </c>
      <c r="W319" s="4">
        <f t="shared" si="50"/>
        <v>43.815217391304351</v>
      </c>
      <c r="X319" s="4">
        <f t="shared" si="56"/>
        <v>276981.3</v>
      </c>
      <c r="Y319" s="4">
        <f t="shared" si="58"/>
        <v>64503.499999999985</v>
      </c>
      <c r="AA319" s="4">
        <v>16.083225982254302</v>
      </c>
    </row>
    <row r="320" spans="1:27" s="4" customFormat="1" x14ac:dyDescent="0.25">
      <c r="A320" s="39"/>
      <c r="B320" s="38"/>
      <c r="C320" s="6">
        <v>41836</v>
      </c>
      <c r="D320" s="4">
        <v>21</v>
      </c>
      <c r="E320" s="4">
        <v>15.7</v>
      </c>
      <c r="F320" s="4">
        <v>26.4</v>
      </c>
      <c r="G320" s="4">
        <f t="shared" si="52"/>
        <v>3397.0000000000009</v>
      </c>
      <c r="H320" s="4">
        <f t="shared" si="57"/>
        <v>717.80000000000007</v>
      </c>
      <c r="J320" s="4">
        <v>0</v>
      </c>
      <c r="K320" s="4">
        <f t="shared" si="53"/>
        <v>819.00000000000068</v>
      </c>
      <c r="L320" s="4">
        <v>5.6</v>
      </c>
      <c r="M320" s="4">
        <f t="shared" si="54"/>
        <v>598.6</v>
      </c>
      <c r="N320" s="9">
        <f t="shared" si="51"/>
        <v>-5.6</v>
      </c>
      <c r="O320" s="37">
        <v>45.60000000000003</v>
      </c>
      <c r="P320" s="4">
        <v>315</v>
      </c>
      <c r="Q320" s="12">
        <f t="shared" si="47"/>
        <v>0.51623376623376616</v>
      </c>
      <c r="R320" s="10">
        <f t="shared" si="48"/>
        <v>2.8909090909090902</v>
      </c>
      <c r="S320" s="10">
        <f t="shared" si="49"/>
        <v>-2.8909090909090902</v>
      </c>
      <c r="T320" s="10">
        <f t="shared" si="55"/>
        <v>51.684418011894635</v>
      </c>
      <c r="V320" s="4">
        <v>2696.5</v>
      </c>
      <c r="W320" s="4">
        <f t="shared" si="50"/>
        <v>128.4047619047619</v>
      </c>
      <c r="X320" s="4">
        <f t="shared" si="56"/>
        <v>279677.8</v>
      </c>
      <c r="Y320" s="4">
        <f t="shared" si="58"/>
        <v>67199.999999999985</v>
      </c>
      <c r="AA320" s="4">
        <v>16.0490245943618</v>
      </c>
    </row>
    <row r="321" spans="1:27" s="4" customFormat="1" x14ac:dyDescent="0.25">
      <c r="A321" s="39"/>
      <c r="B321" s="38"/>
      <c r="C321" s="6">
        <v>41837</v>
      </c>
      <c r="D321" s="4">
        <v>23</v>
      </c>
      <c r="E321" s="4">
        <v>17.399999999999999</v>
      </c>
      <c r="F321" s="4">
        <v>27.7</v>
      </c>
      <c r="G321" s="4">
        <f t="shared" si="52"/>
        <v>3420.0000000000009</v>
      </c>
      <c r="H321" s="4">
        <f t="shared" si="57"/>
        <v>740.80000000000007</v>
      </c>
      <c r="J321" s="4">
        <v>0</v>
      </c>
      <c r="K321" s="4">
        <f t="shared" si="53"/>
        <v>819.00000000000068</v>
      </c>
      <c r="L321" s="4">
        <v>5</v>
      </c>
      <c r="M321" s="4">
        <f t="shared" si="54"/>
        <v>603.6</v>
      </c>
      <c r="N321" s="9">
        <f t="shared" si="51"/>
        <v>-5</v>
      </c>
      <c r="O321" s="37">
        <v>40.60000000000003</v>
      </c>
      <c r="P321" s="4">
        <v>316</v>
      </c>
      <c r="Q321" s="12">
        <f t="shared" si="47"/>
        <v>0.50584415584415576</v>
      </c>
      <c r="R321" s="10">
        <f t="shared" si="48"/>
        <v>2.529220779220779</v>
      </c>
      <c r="S321" s="10">
        <f t="shared" si="49"/>
        <v>-2.529220779220779</v>
      </c>
      <c r="T321" s="10">
        <f t="shared" si="55"/>
        <v>49.155197232673856</v>
      </c>
      <c r="V321" s="4">
        <v>2412.9</v>
      </c>
      <c r="W321" s="4">
        <f t="shared" si="50"/>
        <v>104.90869565217392</v>
      </c>
      <c r="X321" s="4">
        <f t="shared" si="56"/>
        <v>282090.7</v>
      </c>
      <c r="Y321" s="4">
        <f t="shared" si="58"/>
        <v>69612.89999999998</v>
      </c>
      <c r="AA321" s="4">
        <v>16.0136557750835</v>
      </c>
    </row>
    <row r="322" spans="1:27" s="4" customFormat="1" x14ac:dyDescent="0.25">
      <c r="A322" s="39"/>
      <c r="B322" s="38"/>
      <c r="C322" s="6">
        <v>41838</v>
      </c>
      <c r="D322" s="4">
        <v>26.7</v>
      </c>
      <c r="E322" s="4">
        <v>20.9</v>
      </c>
      <c r="F322" s="4">
        <v>32.200000000000003</v>
      </c>
      <c r="G322" s="4">
        <f t="shared" si="52"/>
        <v>3446.7000000000007</v>
      </c>
      <c r="H322" s="4">
        <f t="shared" si="57"/>
        <v>767.50000000000011</v>
      </c>
      <c r="J322" s="4">
        <v>0.2</v>
      </c>
      <c r="K322" s="4">
        <f t="shared" si="53"/>
        <v>819.20000000000073</v>
      </c>
      <c r="L322" s="4">
        <v>5.9</v>
      </c>
      <c r="M322" s="4">
        <f t="shared" si="54"/>
        <v>609.5</v>
      </c>
      <c r="N322" s="9">
        <f t="shared" si="51"/>
        <v>-5.7</v>
      </c>
      <c r="O322" s="37">
        <v>34.900000000000027</v>
      </c>
      <c r="P322" s="4">
        <v>317</v>
      </c>
      <c r="Q322" s="12">
        <f t="shared" si="47"/>
        <v>0.49545454545454537</v>
      </c>
      <c r="R322" s="10">
        <f t="shared" si="48"/>
        <v>2.9231818181818179</v>
      </c>
      <c r="S322" s="10">
        <f t="shared" si="49"/>
        <v>-2.7231818181818177</v>
      </c>
      <c r="T322" s="10">
        <f t="shared" si="55"/>
        <v>46.432015414492042</v>
      </c>
      <c r="V322" s="4">
        <v>2555.1999999999998</v>
      </c>
      <c r="W322" s="4">
        <f t="shared" si="50"/>
        <v>95.700374531835209</v>
      </c>
      <c r="X322" s="4">
        <f t="shared" si="56"/>
        <v>284645.90000000002</v>
      </c>
      <c r="Y322" s="4">
        <f t="shared" si="58"/>
        <v>72168.099999999977</v>
      </c>
      <c r="AA322" s="4">
        <v>15.977149425961599</v>
      </c>
    </row>
    <row r="323" spans="1:27" s="4" customFormat="1" x14ac:dyDescent="0.25">
      <c r="A323" s="39"/>
      <c r="B323" s="38"/>
      <c r="C323" s="6">
        <v>41839</v>
      </c>
      <c r="D323" s="4">
        <v>24.1</v>
      </c>
      <c r="E323" s="4">
        <v>22.4</v>
      </c>
      <c r="F323" s="4">
        <v>27.6</v>
      </c>
      <c r="G323" s="4">
        <f t="shared" si="52"/>
        <v>3470.8000000000006</v>
      </c>
      <c r="H323" s="4">
        <f t="shared" si="57"/>
        <v>791.60000000000014</v>
      </c>
      <c r="J323" s="4">
        <v>8</v>
      </c>
      <c r="K323" s="4">
        <f t="shared" si="53"/>
        <v>827.20000000000073</v>
      </c>
      <c r="L323" s="4">
        <v>3.7</v>
      </c>
      <c r="M323" s="4">
        <f t="shared" si="54"/>
        <v>613.20000000000005</v>
      </c>
      <c r="N323" s="4">
        <f t="shared" si="51"/>
        <v>4.3</v>
      </c>
      <c r="O323" s="37">
        <v>39.200000000000024</v>
      </c>
      <c r="P323" s="4">
        <v>318</v>
      </c>
      <c r="Q323" s="12">
        <f t="shared" si="47"/>
        <v>0.48506493506493498</v>
      </c>
      <c r="R323" s="10">
        <f t="shared" si="48"/>
        <v>1.7947402597402595</v>
      </c>
      <c r="S323" s="10">
        <f t="shared" si="49"/>
        <v>6.2052597402597405</v>
      </c>
      <c r="T323" s="10">
        <f t="shared" si="55"/>
        <v>52.637275154751784</v>
      </c>
      <c r="V323" s="4">
        <v>1476</v>
      </c>
      <c r="W323" s="4">
        <f t="shared" si="50"/>
        <v>61.244813278008294</v>
      </c>
      <c r="X323" s="4">
        <f t="shared" si="56"/>
        <v>286121.90000000002</v>
      </c>
      <c r="Y323" s="4">
        <f t="shared" si="58"/>
        <v>73644.099999999977</v>
      </c>
      <c r="AA323" s="4">
        <v>15.9395356580286</v>
      </c>
    </row>
    <row r="324" spans="1:27" s="4" customFormat="1" x14ac:dyDescent="0.25">
      <c r="A324" s="39"/>
      <c r="B324" s="38"/>
      <c r="C324" s="6">
        <v>41840</v>
      </c>
      <c r="D324" s="4">
        <v>19.7</v>
      </c>
      <c r="E324" s="4">
        <v>18.100000000000001</v>
      </c>
      <c r="F324" s="4">
        <v>21.4</v>
      </c>
      <c r="G324" s="4">
        <f t="shared" si="52"/>
        <v>3490.5000000000005</v>
      </c>
      <c r="H324" s="4">
        <f t="shared" si="57"/>
        <v>811.30000000000018</v>
      </c>
      <c r="J324" s="4">
        <v>1.7</v>
      </c>
      <c r="K324" s="4">
        <f t="shared" si="53"/>
        <v>828.90000000000077</v>
      </c>
      <c r="L324" s="4">
        <v>2</v>
      </c>
      <c r="M324" s="4">
        <f t="shared" si="54"/>
        <v>615.20000000000005</v>
      </c>
      <c r="N324" s="9">
        <f t="shared" si="51"/>
        <v>-0.30000000000000004</v>
      </c>
      <c r="O324" s="37">
        <v>38.900000000000027</v>
      </c>
      <c r="P324" s="4">
        <v>319</v>
      </c>
      <c r="Q324" s="12">
        <f t="shared" si="47"/>
        <v>0.47467532467532469</v>
      </c>
      <c r="R324" s="10">
        <f t="shared" si="48"/>
        <v>0.94935064935064939</v>
      </c>
      <c r="S324" s="10">
        <f t="shared" si="49"/>
        <v>0.75064935064935057</v>
      </c>
      <c r="T324" s="10">
        <f t="shared" si="55"/>
        <v>53.387924505401131</v>
      </c>
      <c r="V324" s="4">
        <v>783.2</v>
      </c>
      <c r="W324" s="4">
        <f t="shared" si="50"/>
        <v>39.756345177664976</v>
      </c>
      <c r="X324" s="4">
        <f t="shared" si="56"/>
        <v>286905.10000000003</v>
      </c>
      <c r="Y324" s="4">
        <f t="shared" si="58"/>
        <v>74427.299999999974</v>
      </c>
      <c r="AA324" s="4">
        <v>15.900844717394801</v>
      </c>
    </row>
    <row r="325" spans="1:27" s="4" customFormat="1" x14ac:dyDescent="0.25">
      <c r="A325" s="39"/>
      <c r="B325" s="38"/>
      <c r="C325" s="6">
        <v>41841</v>
      </c>
      <c r="D325" s="4">
        <v>19.7</v>
      </c>
      <c r="E325" s="4">
        <v>18.600000000000001</v>
      </c>
      <c r="F325" s="4">
        <v>21.6</v>
      </c>
      <c r="G325" s="4">
        <f t="shared" si="52"/>
        <v>3510.2000000000003</v>
      </c>
      <c r="H325" s="4">
        <f t="shared" si="57"/>
        <v>831.00000000000023</v>
      </c>
      <c r="J325" s="4">
        <v>0.6</v>
      </c>
      <c r="K325" s="4">
        <f t="shared" si="53"/>
        <v>829.5000000000008</v>
      </c>
      <c r="L325" s="4">
        <v>2.2000000000000002</v>
      </c>
      <c r="M325" s="4">
        <f t="shared" si="54"/>
        <v>617.40000000000009</v>
      </c>
      <c r="N325" s="9">
        <f t="shared" si="51"/>
        <v>-1.6</v>
      </c>
      <c r="O325" s="37">
        <v>37.300000000000026</v>
      </c>
      <c r="P325" s="4">
        <v>320</v>
      </c>
      <c r="Q325" s="12">
        <f t="shared" ref="Q325:Q336" si="59">1.15+((P325-254)/77)*(0.35-1.15)</f>
        <v>0.4642857142857143</v>
      </c>
      <c r="R325" s="10">
        <f t="shared" si="48"/>
        <v>1.0214285714285716</v>
      </c>
      <c r="S325" s="10">
        <f t="shared" si="49"/>
        <v>-0.4214285714285716</v>
      </c>
      <c r="T325" s="10">
        <f t="shared" si="55"/>
        <v>52.96649593397256</v>
      </c>
      <c r="V325" s="4">
        <v>575.70000000000005</v>
      </c>
      <c r="W325" s="4">
        <f t="shared" si="50"/>
        <v>29.223350253807109</v>
      </c>
      <c r="X325" s="4">
        <f t="shared" si="56"/>
        <v>287480.80000000005</v>
      </c>
      <c r="Y325" s="4">
        <f t="shared" si="58"/>
        <v>75002.999999999971</v>
      </c>
      <c r="AA325" s="4">
        <v>15.861106913906299</v>
      </c>
    </row>
    <row r="326" spans="1:27" s="4" customFormat="1" x14ac:dyDescent="0.25">
      <c r="A326" s="39"/>
      <c r="B326" s="38"/>
      <c r="C326" s="6">
        <v>41842</v>
      </c>
      <c r="D326" s="4">
        <v>20.2</v>
      </c>
      <c r="E326" s="4">
        <v>17.8</v>
      </c>
      <c r="F326" s="4">
        <v>23</v>
      </c>
      <c r="G326" s="4">
        <f t="shared" si="52"/>
        <v>3530.4</v>
      </c>
      <c r="H326" s="4">
        <f t="shared" si="57"/>
        <v>851.20000000000027</v>
      </c>
      <c r="J326" s="4">
        <v>0.1</v>
      </c>
      <c r="K326" s="4">
        <f t="shared" si="53"/>
        <v>829.60000000000082</v>
      </c>
      <c r="L326" s="4">
        <v>1.9</v>
      </c>
      <c r="M326" s="4">
        <f t="shared" si="54"/>
        <v>619.30000000000007</v>
      </c>
      <c r="N326" s="9">
        <f t="shared" si="51"/>
        <v>-1.7999999999999998</v>
      </c>
      <c r="O326" s="37">
        <v>35.500000000000028</v>
      </c>
      <c r="P326" s="4">
        <v>321</v>
      </c>
      <c r="Q326" s="12">
        <f t="shared" si="59"/>
        <v>0.45389610389610391</v>
      </c>
      <c r="R326" s="10">
        <f t="shared" ref="R326:R336" si="60">Q326*L326</f>
        <v>0.86240259740259739</v>
      </c>
      <c r="S326" s="10">
        <f t="shared" ref="S326:S336" si="61">J326-R326</f>
        <v>-0.76240259740259742</v>
      </c>
      <c r="T326" s="10">
        <f t="shared" si="55"/>
        <v>52.204093336569962</v>
      </c>
      <c r="V326" s="4">
        <v>682.4</v>
      </c>
      <c r="W326" s="4">
        <f t="shared" ref="W326:W336" si="62">V326/D326</f>
        <v>33.78217821782178</v>
      </c>
      <c r="X326" s="4">
        <f t="shared" si="56"/>
        <v>288163.20000000007</v>
      </c>
      <c r="Y326" s="4">
        <f t="shared" si="58"/>
        <v>75685.399999999965</v>
      </c>
      <c r="AA326" s="4">
        <v>15.8203525530745</v>
      </c>
    </row>
    <row r="327" spans="1:27" s="4" customFormat="1" x14ac:dyDescent="0.25">
      <c r="A327" s="39"/>
      <c r="B327" s="38"/>
      <c r="C327" s="6">
        <v>41843</v>
      </c>
      <c r="D327" s="4">
        <v>23.9</v>
      </c>
      <c r="E327" s="4">
        <v>17.5</v>
      </c>
      <c r="F327" s="4">
        <v>27.9</v>
      </c>
      <c r="G327" s="4">
        <f t="shared" si="52"/>
        <v>3554.3</v>
      </c>
      <c r="H327" s="4">
        <f t="shared" si="57"/>
        <v>875.10000000000025</v>
      </c>
      <c r="J327" s="4">
        <v>0</v>
      </c>
      <c r="K327" s="4">
        <f t="shared" si="53"/>
        <v>829.60000000000082</v>
      </c>
      <c r="L327" s="4">
        <v>4.3</v>
      </c>
      <c r="M327" s="4">
        <f t="shared" si="54"/>
        <v>623.6</v>
      </c>
      <c r="N327" s="9">
        <f t="shared" ref="N327:N336" si="63">J327-L327</f>
        <v>-4.3</v>
      </c>
      <c r="O327" s="37">
        <v>31.200000000000028</v>
      </c>
      <c r="P327" s="4">
        <v>322</v>
      </c>
      <c r="Q327" s="12">
        <f t="shared" si="59"/>
        <v>0.44350649350649352</v>
      </c>
      <c r="R327" s="10">
        <f t="shared" si="60"/>
        <v>1.9070779220779219</v>
      </c>
      <c r="S327" s="10">
        <f t="shared" si="61"/>
        <v>-1.9070779220779219</v>
      </c>
      <c r="T327" s="10">
        <f t="shared" si="55"/>
        <v>50.297015414492037</v>
      </c>
      <c r="V327" s="4">
        <v>2026.4</v>
      </c>
      <c r="W327" s="4">
        <f t="shared" si="62"/>
        <v>84.786610878661094</v>
      </c>
      <c r="X327" s="4">
        <f t="shared" si="56"/>
        <v>290189.60000000009</v>
      </c>
      <c r="Y327" s="4">
        <f t="shared" si="58"/>
        <v>77711.799999999959</v>
      </c>
      <c r="AA327" s="4">
        <v>15.7786118714384</v>
      </c>
    </row>
    <row r="328" spans="1:27" s="4" customFormat="1" x14ac:dyDescent="0.25">
      <c r="A328" s="39"/>
      <c r="B328" s="38"/>
      <c r="C328" s="6">
        <v>41844</v>
      </c>
      <c r="D328" s="4">
        <v>23.4</v>
      </c>
      <c r="E328" s="4">
        <v>20.6</v>
      </c>
      <c r="F328" s="4">
        <v>26.7</v>
      </c>
      <c r="G328" s="4">
        <f t="shared" ref="G328:G336" si="64">G327+D328</f>
        <v>3577.7000000000003</v>
      </c>
      <c r="H328" s="4">
        <f t="shared" si="57"/>
        <v>898.50000000000023</v>
      </c>
      <c r="J328" s="4">
        <v>0</v>
      </c>
      <c r="K328" s="4">
        <f t="shared" ref="K328:K336" si="65">K327+J328</f>
        <v>829.60000000000082</v>
      </c>
      <c r="L328" s="4">
        <v>5.5</v>
      </c>
      <c r="M328" s="4">
        <f t="shared" ref="M328:M336" si="66">M327+L328</f>
        <v>629.1</v>
      </c>
      <c r="N328" s="9">
        <f t="shared" si="63"/>
        <v>-5.5</v>
      </c>
      <c r="O328" s="37">
        <v>25.700000000000028</v>
      </c>
      <c r="P328" s="4">
        <v>323</v>
      </c>
      <c r="Q328" s="12">
        <f t="shared" si="59"/>
        <v>0.43311688311688312</v>
      </c>
      <c r="R328" s="10">
        <f t="shared" si="60"/>
        <v>2.3821428571428571</v>
      </c>
      <c r="S328" s="10">
        <f t="shared" si="61"/>
        <v>-2.3821428571428571</v>
      </c>
      <c r="T328" s="10">
        <f t="shared" ref="T328:T336" si="67">MIN(153.6,(T327+S328))</f>
        <v>47.914872557349177</v>
      </c>
      <c r="V328" s="4">
        <v>2118.8000000000002</v>
      </c>
      <c r="W328" s="4">
        <f t="shared" si="62"/>
        <v>90.547008547008559</v>
      </c>
      <c r="X328" s="4">
        <f t="shared" ref="X328:X336" si="68">X327+V328</f>
        <v>292308.40000000008</v>
      </c>
      <c r="Y328" s="4">
        <f t="shared" si="58"/>
        <v>79830.599999999962</v>
      </c>
      <c r="AA328" s="4">
        <v>15.7359149754865</v>
      </c>
    </row>
    <row r="329" spans="1:27" s="4" customFormat="1" x14ac:dyDescent="0.25">
      <c r="A329" s="39"/>
      <c r="B329" s="38"/>
      <c r="C329" s="6">
        <v>41845</v>
      </c>
      <c r="D329" s="4">
        <v>20.8</v>
      </c>
      <c r="E329" s="4">
        <v>18.2</v>
      </c>
      <c r="F329" s="4">
        <v>24</v>
      </c>
      <c r="G329" s="4">
        <f t="shared" si="64"/>
        <v>3598.5000000000005</v>
      </c>
      <c r="H329" s="4">
        <f t="shared" si="57"/>
        <v>919.30000000000018</v>
      </c>
      <c r="J329" s="4">
        <v>0</v>
      </c>
      <c r="K329" s="4">
        <f t="shared" si="65"/>
        <v>829.60000000000082</v>
      </c>
      <c r="L329" s="4">
        <v>4.9000000000000004</v>
      </c>
      <c r="M329" s="4">
        <f t="shared" si="66"/>
        <v>634</v>
      </c>
      <c r="N329" s="9">
        <f t="shared" si="63"/>
        <v>-4.9000000000000004</v>
      </c>
      <c r="O329" s="37">
        <v>20.800000000000026</v>
      </c>
      <c r="P329" s="4">
        <v>324</v>
      </c>
      <c r="Q329" s="12">
        <f t="shared" si="59"/>
        <v>0.42272727272727273</v>
      </c>
      <c r="R329" s="10">
        <f t="shared" si="60"/>
        <v>2.0713636363636367</v>
      </c>
      <c r="S329" s="10">
        <f t="shared" si="61"/>
        <v>-2.0713636363636367</v>
      </c>
      <c r="T329" s="10">
        <f t="shared" si="67"/>
        <v>45.843508920985542</v>
      </c>
      <c r="V329" s="4">
        <v>2027.3</v>
      </c>
      <c r="W329" s="4">
        <f t="shared" si="62"/>
        <v>97.466346153846146</v>
      </c>
      <c r="X329" s="4">
        <f t="shared" si="68"/>
        <v>294335.70000000007</v>
      </c>
      <c r="Y329" s="4">
        <f t="shared" si="58"/>
        <v>81857.899999999965</v>
      </c>
      <c r="AA329" s="4">
        <v>15.6922917842288</v>
      </c>
    </row>
    <row r="330" spans="1:27" s="4" customFormat="1" x14ac:dyDescent="0.25">
      <c r="A330" s="39"/>
      <c r="B330" s="38"/>
      <c r="C330" s="6">
        <v>41846</v>
      </c>
      <c r="D330" s="4">
        <v>20.6</v>
      </c>
      <c r="E330" s="4">
        <v>17.2</v>
      </c>
      <c r="F330" s="4">
        <v>23.6</v>
      </c>
      <c r="G330" s="4">
        <f t="shared" si="64"/>
        <v>3619.1000000000004</v>
      </c>
      <c r="H330" s="4">
        <f t="shared" si="57"/>
        <v>939.9000000000002</v>
      </c>
      <c r="J330" s="4">
        <v>0</v>
      </c>
      <c r="K330" s="4">
        <f t="shared" si="65"/>
        <v>829.60000000000082</v>
      </c>
      <c r="L330" s="4">
        <v>3.5</v>
      </c>
      <c r="M330" s="4">
        <f t="shared" si="66"/>
        <v>637.5</v>
      </c>
      <c r="N330" s="9">
        <f t="shared" si="63"/>
        <v>-3.5</v>
      </c>
      <c r="O330" s="37">
        <v>17.300000000000026</v>
      </c>
      <c r="P330" s="4">
        <v>325</v>
      </c>
      <c r="Q330" s="12">
        <f t="shared" si="59"/>
        <v>0.41233766233766234</v>
      </c>
      <c r="R330" s="10">
        <f t="shared" si="60"/>
        <v>1.4431818181818181</v>
      </c>
      <c r="S330" s="10">
        <f t="shared" si="61"/>
        <v>-1.4431818181818181</v>
      </c>
      <c r="T330" s="10">
        <f t="shared" si="67"/>
        <v>44.400327102803722</v>
      </c>
      <c r="V330" s="4">
        <v>1450.8</v>
      </c>
      <c r="W330" s="4">
        <f t="shared" si="62"/>
        <v>70.427184466019412</v>
      </c>
      <c r="X330" s="4">
        <f t="shared" si="68"/>
        <v>295786.50000000006</v>
      </c>
      <c r="Y330" s="4">
        <f t="shared" si="58"/>
        <v>83308.699999999968</v>
      </c>
      <c r="AA330" s="4">
        <v>15.647771975478999</v>
      </c>
    </row>
    <row r="331" spans="1:27" s="4" customFormat="1" x14ac:dyDescent="0.25">
      <c r="A331" s="39"/>
      <c r="B331" s="38"/>
      <c r="C331" s="6">
        <v>41847</v>
      </c>
      <c r="D331" s="4">
        <v>21.3</v>
      </c>
      <c r="E331" s="4">
        <v>17.399999999999999</v>
      </c>
      <c r="F331" s="4">
        <v>26.4</v>
      </c>
      <c r="G331" s="4">
        <f t="shared" si="64"/>
        <v>3640.4000000000005</v>
      </c>
      <c r="H331" s="4">
        <f t="shared" si="57"/>
        <v>961.20000000000016</v>
      </c>
      <c r="J331" s="4">
        <v>16.100000000000001</v>
      </c>
      <c r="K331" s="4">
        <f t="shared" si="65"/>
        <v>845.70000000000084</v>
      </c>
      <c r="L331" s="4">
        <v>3.5</v>
      </c>
      <c r="M331" s="4">
        <f t="shared" si="66"/>
        <v>641</v>
      </c>
      <c r="N331" s="4">
        <f t="shared" si="63"/>
        <v>12.600000000000001</v>
      </c>
      <c r="O331" s="37">
        <v>29.900000000000027</v>
      </c>
      <c r="P331" s="4">
        <v>326</v>
      </c>
      <c r="Q331" s="12">
        <f t="shared" si="59"/>
        <v>0.40194805194805194</v>
      </c>
      <c r="R331" s="10">
        <f t="shared" si="60"/>
        <v>1.4068181818181817</v>
      </c>
      <c r="S331" s="10">
        <f t="shared" si="61"/>
        <v>14.69318181818182</v>
      </c>
      <c r="T331" s="10">
        <f t="shared" si="67"/>
        <v>59.093508920985542</v>
      </c>
      <c r="V331" s="4">
        <v>1477.3</v>
      </c>
      <c r="W331" s="4">
        <f t="shared" si="62"/>
        <v>69.356807511737088</v>
      </c>
      <c r="X331" s="4">
        <f t="shared" si="68"/>
        <v>297263.80000000005</v>
      </c>
      <c r="Y331" s="4">
        <f t="shared" si="58"/>
        <v>84785.999999999971</v>
      </c>
      <c r="AA331" s="4">
        <v>15.602384935873999</v>
      </c>
    </row>
    <row r="332" spans="1:27" s="4" customFormat="1" x14ac:dyDescent="0.25">
      <c r="A332" s="39"/>
      <c r="B332" s="38"/>
      <c r="C332" s="6">
        <v>41848</v>
      </c>
      <c r="D332" s="4">
        <v>17.899999999999999</v>
      </c>
      <c r="E332" s="4">
        <v>16.8</v>
      </c>
      <c r="F332" s="4">
        <v>18.899999999999999</v>
      </c>
      <c r="G332" s="4">
        <f t="shared" si="64"/>
        <v>3658.3000000000006</v>
      </c>
      <c r="H332" s="4">
        <f t="shared" si="57"/>
        <v>979.10000000000014</v>
      </c>
      <c r="J332" s="4">
        <v>6.1</v>
      </c>
      <c r="K332" s="4">
        <f t="shared" si="65"/>
        <v>851.80000000000086</v>
      </c>
      <c r="L332" s="4">
        <v>2</v>
      </c>
      <c r="M332" s="4">
        <f t="shared" si="66"/>
        <v>643</v>
      </c>
      <c r="N332" s="4">
        <f t="shared" si="63"/>
        <v>4.0999999999999996</v>
      </c>
      <c r="O332" s="37">
        <v>34.000000000000028</v>
      </c>
      <c r="P332" s="4">
        <v>327</v>
      </c>
      <c r="Q332" s="12">
        <f t="shared" si="59"/>
        <v>0.39155844155844155</v>
      </c>
      <c r="R332" s="10">
        <f t="shared" si="60"/>
        <v>0.7831168831168831</v>
      </c>
      <c r="S332" s="10">
        <f t="shared" si="61"/>
        <v>5.3168831168831163</v>
      </c>
      <c r="T332" s="10">
        <f t="shared" si="67"/>
        <v>64.410392037868661</v>
      </c>
      <c r="V332" s="4">
        <v>785.4</v>
      </c>
      <c r="W332" s="4">
        <f t="shared" si="62"/>
        <v>43.877094972067042</v>
      </c>
      <c r="X332" s="4">
        <f t="shared" si="68"/>
        <v>298049.20000000007</v>
      </c>
      <c r="Y332" s="4">
        <f t="shared" si="58"/>
        <v>85571.399999999965</v>
      </c>
      <c r="AA332" s="4">
        <v>15.5561597146345</v>
      </c>
    </row>
    <row r="333" spans="1:27" s="4" customFormat="1" x14ac:dyDescent="0.25">
      <c r="A333" s="39"/>
      <c r="B333" s="38"/>
      <c r="C333" s="6">
        <v>41849</v>
      </c>
      <c r="D333" s="4">
        <v>18.600000000000001</v>
      </c>
      <c r="E333" s="4">
        <v>15.9</v>
      </c>
      <c r="F333" s="4">
        <v>22.1</v>
      </c>
      <c r="G333" s="4">
        <f t="shared" si="64"/>
        <v>3676.9000000000005</v>
      </c>
      <c r="H333" s="4">
        <f t="shared" si="57"/>
        <v>997.70000000000016</v>
      </c>
      <c r="J333" s="4">
        <v>0.1</v>
      </c>
      <c r="K333" s="4">
        <f t="shared" si="65"/>
        <v>851.90000000000089</v>
      </c>
      <c r="L333" s="4">
        <v>1.7</v>
      </c>
      <c r="M333" s="4">
        <f t="shared" si="66"/>
        <v>644.70000000000005</v>
      </c>
      <c r="N333" s="9">
        <f t="shared" si="63"/>
        <v>-1.5999999999999999</v>
      </c>
      <c r="O333" s="37">
        <v>32.400000000000027</v>
      </c>
      <c r="P333" s="4">
        <v>328</v>
      </c>
      <c r="Q333" s="12">
        <f t="shared" si="59"/>
        <v>0.38116883116883116</v>
      </c>
      <c r="R333" s="10">
        <f t="shared" si="60"/>
        <v>0.647987012987013</v>
      </c>
      <c r="S333" s="10">
        <f t="shared" si="61"/>
        <v>-0.54798701298701302</v>
      </c>
      <c r="T333" s="10">
        <f t="shared" si="67"/>
        <v>63.862405024881646</v>
      </c>
      <c r="V333" s="4">
        <v>612.9</v>
      </c>
      <c r="W333" s="4">
        <f t="shared" si="62"/>
        <v>32.951612903225801</v>
      </c>
      <c r="X333" s="4">
        <f t="shared" si="68"/>
        <v>298662.10000000009</v>
      </c>
      <c r="Y333" s="4">
        <f t="shared" si="58"/>
        <v>86184.299999999959</v>
      </c>
      <c r="AA333" s="4">
        <v>15.509124981041399</v>
      </c>
    </row>
    <row r="334" spans="1:27" s="4" customFormat="1" x14ac:dyDescent="0.25">
      <c r="A334" s="39"/>
      <c r="B334" s="38"/>
      <c r="C334" s="6">
        <v>41850</v>
      </c>
      <c r="D334" s="4">
        <v>17.899999999999999</v>
      </c>
      <c r="E334" s="4">
        <v>14.9</v>
      </c>
      <c r="F334" s="4">
        <v>21.8</v>
      </c>
      <c r="G334" s="4">
        <f t="shared" si="64"/>
        <v>3694.8000000000006</v>
      </c>
      <c r="H334" s="4">
        <f t="shared" si="57"/>
        <v>1015.6000000000001</v>
      </c>
      <c r="J334" s="4">
        <v>0</v>
      </c>
      <c r="K334" s="4">
        <f t="shared" si="65"/>
        <v>851.90000000000089</v>
      </c>
      <c r="L334" s="4">
        <v>4</v>
      </c>
      <c r="M334" s="4">
        <f t="shared" si="66"/>
        <v>648.70000000000005</v>
      </c>
      <c r="N334" s="9">
        <f t="shared" si="63"/>
        <v>-4</v>
      </c>
      <c r="O334" s="37">
        <v>28.400000000000027</v>
      </c>
      <c r="P334" s="4">
        <v>329</v>
      </c>
      <c r="Q334" s="12">
        <f t="shared" si="59"/>
        <v>0.37077922077922076</v>
      </c>
      <c r="R334" s="10">
        <f t="shared" si="60"/>
        <v>1.4831168831168831</v>
      </c>
      <c r="S334" s="10">
        <f t="shared" si="61"/>
        <v>-1.4831168831168831</v>
      </c>
      <c r="T334" s="10">
        <f t="shared" si="67"/>
        <v>62.379288141764761</v>
      </c>
      <c r="V334" s="4">
        <v>2147.3000000000002</v>
      </c>
      <c r="W334" s="4">
        <f t="shared" si="62"/>
        <v>119.96089385474862</v>
      </c>
      <c r="X334" s="4">
        <f t="shared" si="68"/>
        <v>300809.40000000008</v>
      </c>
      <c r="Y334" s="4">
        <f t="shared" si="58"/>
        <v>88331.599999999962</v>
      </c>
      <c r="AA334" s="4">
        <v>15.4613089855818</v>
      </c>
    </row>
    <row r="335" spans="1:27" s="4" customFormat="1" x14ac:dyDescent="0.25">
      <c r="A335" s="39"/>
      <c r="B335" s="38"/>
      <c r="C335" s="6">
        <v>41851</v>
      </c>
      <c r="D335" s="4">
        <v>19.100000000000001</v>
      </c>
      <c r="E335" s="4">
        <v>13.9</v>
      </c>
      <c r="F335" s="4">
        <v>24.4</v>
      </c>
      <c r="G335" s="4">
        <f t="shared" si="64"/>
        <v>3713.9000000000005</v>
      </c>
      <c r="H335" s="4">
        <f t="shared" si="57"/>
        <v>1034.7</v>
      </c>
      <c r="J335" s="4">
        <v>0</v>
      </c>
      <c r="K335" s="4">
        <f t="shared" si="65"/>
        <v>851.90000000000089</v>
      </c>
      <c r="L335" s="4">
        <v>4.2</v>
      </c>
      <c r="M335" s="4">
        <f t="shared" si="66"/>
        <v>652.90000000000009</v>
      </c>
      <c r="N335" s="9">
        <f t="shared" si="63"/>
        <v>-4.2</v>
      </c>
      <c r="O335" s="37">
        <v>24.200000000000028</v>
      </c>
      <c r="P335" s="4">
        <v>330</v>
      </c>
      <c r="Q335" s="12">
        <f t="shared" si="59"/>
        <v>0.36038961038961037</v>
      </c>
      <c r="R335" s="10">
        <f t="shared" si="60"/>
        <v>1.5136363636363637</v>
      </c>
      <c r="S335" s="10">
        <f t="shared" si="61"/>
        <v>-1.5136363636363637</v>
      </c>
      <c r="T335" s="10">
        <f t="shared" si="67"/>
        <v>60.865651778128395</v>
      </c>
      <c r="V335" s="4">
        <v>2180.8000000000002</v>
      </c>
      <c r="W335" s="4">
        <f t="shared" si="62"/>
        <v>114.17801047120419</v>
      </c>
      <c r="X335" s="4">
        <f t="shared" si="68"/>
        <v>302990.20000000007</v>
      </c>
      <c r="Y335" s="4">
        <f t="shared" si="58"/>
        <v>90512.399999999965</v>
      </c>
      <c r="AA335" s="4">
        <v>15.412739524700701</v>
      </c>
    </row>
    <row r="336" spans="1:27" s="4" customFormat="1" x14ac:dyDescent="0.25">
      <c r="A336" s="39"/>
      <c r="B336" s="38"/>
      <c r="C336" s="6">
        <v>41852</v>
      </c>
      <c r="D336" s="4">
        <v>20.6</v>
      </c>
      <c r="E336" s="4">
        <v>13</v>
      </c>
      <c r="F336" s="4">
        <v>25</v>
      </c>
      <c r="G336" s="4">
        <f t="shared" si="64"/>
        <v>3734.5000000000005</v>
      </c>
      <c r="H336" s="4">
        <f t="shared" si="57"/>
        <v>1055.3</v>
      </c>
      <c r="J336" s="4">
        <v>0</v>
      </c>
      <c r="K336" s="4">
        <f t="shared" si="65"/>
        <v>851.90000000000089</v>
      </c>
      <c r="L336" s="4">
        <v>3.8</v>
      </c>
      <c r="M336" s="4">
        <f t="shared" si="66"/>
        <v>656.7</v>
      </c>
      <c r="N336" s="9">
        <f t="shared" si="63"/>
        <v>-3.8</v>
      </c>
      <c r="O336" s="37">
        <v>20.400000000000027</v>
      </c>
      <c r="P336" s="4">
        <v>331</v>
      </c>
      <c r="Q336" s="12">
        <f t="shared" si="59"/>
        <v>0.35</v>
      </c>
      <c r="R336" s="10">
        <f t="shared" si="60"/>
        <v>1.3299999999999998</v>
      </c>
      <c r="S336" s="10">
        <f t="shared" si="61"/>
        <v>-1.3299999999999998</v>
      </c>
      <c r="T336" s="10">
        <f t="shared" si="67"/>
        <v>59.535651778128397</v>
      </c>
      <c r="V336" s="4">
        <v>2149.6</v>
      </c>
      <c r="W336" s="4">
        <f t="shared" si="62"/>
        <v>104.34951456310678</v>
      </c>
      <c r="X336" s="4">
        <f t="shared" si="68"/>
        <v>305139.80000000005</v>
      </c>
      <c r="Y336" s="4">
        <f t="shared" si="58"/>
        <v>92661.999999999971</v>
      </c>
      <c r="AA336" s="4">
        <v>15.3634439090721</v>
      </c>
    </row>
    <row r="337" spans="1:26" s="4" customFormat="1" x14ac:dyDescent="0.25">
      <c r="A337" s="69" t="s">
        <v>48</v>
      </c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</sheetData>
  <mergeCells count="13">
    <mergeCell ref="A337:Z337"/>
    <mergeCell ref="A107:A213"/>
    <mergeCell ref="A235:A259"/>
    <mergeCell ref="A260:A279"/>
    <mergeCell ref="A280:A302"/>
    <mergeCell ref="A6:A81"/>
    <mergeCell ref="A82:A106"/>
    <mergeCell ref="D1:I2"/>
    <mergeCell ref="J1:U2"/>
    <mergeCell ref="V1:Z2"/>
    <mergeCell ref="G4:H4"/>
    <mergeCell ref="X4:Y4"/>
    <mergeCell ref="A5:Z5"/>
  </mergeCells>
  <conditionalFormatting sqref="T1:T4">
    <cfRule type="cellIs" dxfId="4" priority="4" operator="equal">
      <formula>0</formula>
    </cfRule>
    <cfRule type="cellIs" dxfId="3" priority="5" operator="lessThanOrEqual">
      <formula>51.2</formula>
    </cfRule>
  </conditionalFormatting>
  <conditionalFormatting sqref="S6:S336">
    <cfRule type="cellIs" dxfId="2" priority="3" operator="lessThanOrEqual">
      <formula>0</formula>
    </cfRule>
  </conditionalFormatting>
  <conditionalFormatting sqref="T5:T337">
    <cfRule type="cellIs" dxfId="1" priority="1" operator="equal">
      <formula>0</formula>
    </cfRule>
    <cfRule type="cellIs" dxfId="0" priority="2" operator="lessThanOrEqual">
      <formula>51.2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2019-10-22T08:48:01Z</dcterms:created>
  <dcterms:modified xsi:type="dcterms:W3CDTF">2019-11-26T15:37:58Z</dcterms:modified>
</cp:coreProperties>
</file>