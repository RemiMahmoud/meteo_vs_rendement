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" sheetId="1" state="visible" r:id="rId3"/>
    <sheet name="N-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<sst xmlns="http://schemas.openxmlformats.org/spreadsheetml/2006/main" count="330" uniqueCount="62">
  <si>
    <t xml:space="preserve">TEMPERATURE</t>
  </si>
  <si>
    <t xml:space="preserve">ETAT HYDRIQUE</t>
  </si>
  <si>
    <t xml:space="preserve">RAYONNEMENT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</si>
  <si>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</si>
  <si>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</si>
  <si>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</si>
  <si>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</si>
  <si>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</si>
  <si>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</si>
  <si>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</si>
  <si>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</si>
  <si>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</si>
  <si>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</si>
  <si>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</si>
  <si>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</si>
  <si>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</si>
  <si>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</si>
  <si>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</si>
  <si>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</si>
  <si>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</si>
  <si>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</si>
  <si>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</si>
  <si>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</si>
  <si>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</si>
  <si>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</si>
  <si>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RAGT14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</si>
  <si>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</si>
  <si>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</si>
  <si>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</si>
  <si>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</si>
  <si>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</si>
  <si>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</si>
  <si>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</si>
  <si>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</si>
  <si>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</si>
  <si>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</si>
  <si>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</si>
  <si>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</si>
  <si>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</si>
  <si>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</si>
  <si>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</si>
  <si>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</si>
  <si>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gdd_p</t>
  </si>
  <si>
    <t xml:space="preserve">HIVER</t>
  </si>
  <si>
    <t xml:space="preserve">nbj_vern_opti</t>
  </si>
  <si>
    <t xml:space="preserve">MONTAISON</t>
  </si>
  <si>
    <t xml:space="preserve">WSC_I</t>
  </si>
  <si>
    <t xml:space="preserve">BI</t>
  </si>
  <si>
    <t xml:space="preserve">DRF</t>
  </si>
  <si>
    <t xml:space="preserve">TS</t>
  </si>
  <si>
    <t xml:space="preserve">IRF</t>
  </si>
  <si>
    <t xml:space="preserve">N50</t>
  </si>
  <si>
    <t xml:space="preserve">N120</t>
  </si>
  <si>
    <t xml:space="preserve">Montego</t>
  </si>
  <si>
    <t xml:space="preserve">Aviso</t>
  </si>
  <si>
    <t xml:space="preserve">Fin FLO</t>
  </si>
  <si>
    <t xml:space="preserve">RECOLTE</t>
  </si>
  <si>
    <t xml:space="preserve">PRELIQ_Q (mm)</t>
  </si>
  <si>
    <t xml:space="preserve">ETP_Q (mm)</t>
  </si>
  <si>
    <t xml:space="preserve">Etat RU_1</t>
  </si>
  <si>
    <t xml:space="preserve">N30</t>
  </si>
  <si>
    <t xml:space="preserve">N20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</si>
</sst>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FF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DE9D9"/>
        <bgColor rgb="FFEEECE1"/>
      </patternFill>
    </fill>
    <fill>
      <patternFill patternType="solid">
        <fgColor rgb="FFD9D9D9"/>
        <bgColor rgb="FFF2DCDB"/>
      </patternFill>
    </fill>
    <fill>
      <patternFill patternType="solid">
        <fgColor rgb="FFFFC000"/>
        <bgColor rgb="FFF79646"/>
      </patternFill>
    </fill>
    <fill>
      <patternFill patternType="solid">
        <fgColor rgb="FFF2DCDB"/>
        <bgColor rgb="FFFDE9D9"/>
      </patternFill>
    </fill>
    <fill>
      <patternFill patternType="solid">
        <fgColor rgb="FFCCC0DA"/>
        <bgColor rgb="FFC0C0C0"/>
      </patternFill>
    </fill>
    <fill>
      <patternFill patternType="solid">
        <fgColor rgb="FFDAEEF3"/>
        <bgColor rgb="FFEEECE1"/>
      </patternFill>
    </fill>
    <fill>
      <patternFill patternType="solid">
        <fgColor rgb="FFC0C0C0"/>
        <bgColor rgb="FFCCC0DA"/>
      </patternFill>
    </fill>
    <fill>
      <patternFill patternType="solid">
        <fgColor rgb="FFEEECE1"/>
        <bgColor rgb="FFFDE9D9"/>
      </patternFill>
    </fill>
    <fill>
      <patternFill patternType="solid">
        <fgColor rgb="FF0070C0"/>
        <bgColor rgb="FF008080"/>
      </patternFill>
    </fill>
    <fill>
      <patternFill patternType="solid">
        <fgColor rgb="FF4F81BD"/>
        <bgColor rgb="FF808080"/>
      </patternFill>
    </fill>
    <fill>
      <patternFill patternType="solid">
        <fgColor rgb="FF92D050"/>
        <bgColor rgb="FFA9D18E"/>
      </patternFill>
    </fill>
    <fill>
      <patternFill patternType="solid">
        <fgColor rgb="FFF79646"/>
        <bgColor rgb="FFF4B183"/>
      </patternFill>
    </fill>
    <fill>
      <patternFill patternType="solid">
        <fgColor theme="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6B0A"/>
        <bgColor rgb="FFF79646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1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</dxfs>
  <colors>
    <indexedColors>
      <rgbColor rgb="FF000000"/>
      <rgbColor rgb="FFEEECE1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AEEF3"/>
      <rgbColor rgb="FF660066"/>
      <rgbColor rgb="FFDA9694"/>
      <rgbColor rgb="FF0070C0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2DCDB"/>
      <rgbColor rgb="FFA9D18E"/>
      <rgbColor rgb="FFF4B183"/>
      <rgbColor rgb="FFCC99FF"/>
      <rgbColor rgb="FFFABF8F"/>
      <rgbColor rgb="FF3366FF"/>
      <rgbColor rgb="FF33CCCC"/>
      <rgbColor rgb="FF92D050"/>
      <rgbColor rgb="FFFFC000"/>
      <rgbColor rgb="FFF79646"/>
      <rgbColor rgb="FFE26B0A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M337"/>
  <sheetViews>
    <sheetView showFormulas="false" showGridLines="true" showRowColHeaders="true" showZeros="true" rightToLeft="false" tabSelected="true" showOutlineSymbols="true" defaultGridColor="true" view="normal" topLeftCell="J1" colorId="64" zoomScale="80" zoomScaleNormal="80" zoomScalePageLayoutView="100" workbookViewId="0">
      <selection pane="topLeft" activeCell="O4" activeCellId="0" sqref="O4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3</v>
      </c>
      <c r="B4" s="1" t="n">
        <v>5</v>
      </c>
      <c r="C4" s="1" t="s">
        <v>4</v>
      </c>
      <c r="D4" s="1" t="s">
        <v>5</v>
      </c>
      <c r="E4" s="1" t="s">
        <v>6</v>
      </c>
      <c r="F4" s="1" t="s">
        <v>7</v>
      </c>
      <c r="G4" s="5" t="s">
        <v>8</v>
      </c>
      <c r="H4" s="5"/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6" t="s">
        <v>20</v>
      </c>
      <c r="U4" s="1" t="s">
        <v>9</v>
      </c>
      <c r="V4" s="1" t="s">
        <v>21</v>
      </c>
      <c r="W4" s="1" t="s">
        <v>22</v>
      </c>
      <c r="X4" s="5" t="s">
        <v>23</v>
      </c>
      <c r="Y4" s="5"/>
      <c r="Z4" s="1" t="s">
        <v>9</v>
      </c>
      <c r="AA4" s="6" t="s">
        <v>24</v>
      </c>
    </row>
    <row r="5" s="8" customFormat="true" ht="15" hidden="false" customHeight="false" outlineLevel="0" collapsed="false">
      <c r="A5" s="7" t="s">
        <v>25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="8" customFormat="true" ht="15" hidden="false" customHeight="true" outlineLevel="0" collapsed="false">
      <c r="A6" s="9" t="s">
        <v>26</v>
      </c>
      <c r="B6" s="10"/>
      <c r="C6" s="11" t="n">
        <v>41522</v>
      </c>
      <c r="D6" s="8" t="n">
        <v>23.7</v>
      </c>
      <c r="E6" s="8" t="n">
        <v>17</v>
      </c>
      <c r="F6" s="12" t="n">
        <v>31.2</v>
      </c>
      <c r="G6" s="8" t="n">
        <f aca="false">D6</f>
        <v>23.7</v>
      </c>
      <c r="I6" s="13" t="s">
        <v>27</v>
      </c>
      <c r="J6" s="8" t="n">
        <v>0</v>
      </c>
      <c r="K6" s="8" t="n">
        <f aca="false">J6</f>
        <v>0</v>
      </c>
      <c r="L6" s="8" t="n">
        <v>5.5</v>
      </c>
      <c r="M6" s="8" t="n">
        <f aca="false">L6</f>
        <v>5.5</v>
      </c>
      <c r="N6" s="14" t="n">
        <f aca="false">J6-L6</f>
        <v>-5.5</v>
      </c>
      <c r="O6" s="8" t="n">
        <v>0</v>
      </c>
      <c r="P6" s="8" t="n">
        <v>1</v>
      </c>
      <c r="Q6" s="8" t="n">
        <v>0.35</v>
      </c>
      <c r="R6" s="15" t="n">
        <f aca="false">Q6*L6</f>
        <v>1.925</v>
      </c>
      <c r="S6" s="15" t="n">
        <f aca="false">J6-R6</f>
        <v>-1.925</v>
      </c>
      <c r="T6" s="8" t="n">
        <v>0</v>
      </c>
      <c r="U6" s="13" t="s">
        <v>28</v>
      </c>
      <c r="V6" s="8" t="n">
        <v>2221.9</v>
      </c>
      <c r="W6" s="8" t="n">
        <f aca="false">V6/D6</f>
        <v>93.7510548523207</v>
      </c>
      <c r="X6" s="8" t="n">
        <f aca="false">V6</f>
        <v>2221.9</v>
      </c>
      <c r="Z6" s="13" t="s">
        <v>29</v>
      </c>
      <c r="AA6" s="8" t="n">
        <v>13.349400769243</v>
      </c>
    </row>
    <row r="7" s="8" customFormat="true" ht="15" hidden="false" customHeight="false" outlineLevel="0" collapsed="false">
      <c r="A7" s="9"/>
      <c r="B7" s="10"/>
      <c r="C7" s="11" t="n">
        <v>41523</v>
      </c>
      <c r="D7" s="8" t="n">
        <v>17.4</v>
      </c>
      <c r="E7" s="8" t="n">
        <v>15.3</v>
      </c>
      <c r="F7" s="8" t="n">
        <v>20</v>
      </c>
      <c r="G7" s="8" t="n">
        <f aca="false">G6+D7</f>
        <v>41.1</v>
      </c>
      <c r="I7" s="8" t="n">
        <f aca="false">MIN(E6:E81)</f>
        <v>0.5</v>
      </c>
      <c r="J7" s="8" t="n">
        <v>2.2</v>
      </c>
      <c r="K7" s="8" t="n">
        <f aca="false">K6+J7</f>
        <v>2.2</v>
      </c>
      <c r="L7" s="8" t="n">
        <v>1.7</v>
      </c>
      <c r="M7" s="8" t="n">
        <f aca="false">M6+L7</f>
        <v>7.2</v>
      </c>
      <c r="N7" s="8" t="n">
        <f aca="false">J7-L7</f>
        <v>0.5</v>
      </c>
      <c r="O7" s="8" t="n">
        <v>0.5</v>
      </c>
      <c r="P7" s="8" t="n">
        <v>2</v>
      </c>
      <c r="Q7" s="8" t="n">
        <v>0.35</v>
      </c>
      <c r="R7" s="15" t="n">
        <f aca="false">Q7*L7</f>
        <v>0.595</v>
      </c>
      <c r="S7" s="15" t="n">
        <f aca="false">J7-R7</f>
        <v>1.605</v>
      </c>
      <c r="T7" s="15" t="n">
        <f aca="false">MIN(153.6,(T6+S7))</f>
        <v>1.605</v>
      </c>
      <c r="U7" s="8" t="n">
        <v>37</v>
      </c>
      <c r="V7" s="16" t="n">
        <v>723.7</v>
      </c>
      <c r="W7" s="8" t="n">
        <f aca="false">V7/D7</f>
        <v>41.5919540229885</v>
      </c>
      <c r="X7" s="8" t="n">
        <f aca="false">X6+V7</f>
        <v>2945.6</v>
      </c>
      <c r="Z7" s="8" t="n">
        <v>49166.8</v>
      </c>
      <c r="AA7" s="8" t="n">
        <v>13.2871946120391</v>
      </c>
    </row>
    <row r="8" s="8" customFormat="true" ht="15" hidden="false" customHeight="false" outlineLevel="0" collapsed="false">
      <c r="A8" s="9"/>
      <c r="B8" s="10"/>
      <c r="C8" s="11" t="n">
        <v>41524</v>
      </c>
      <c r="D8" s="8" t="n">
        <v>16.4</v>
      </c>
      <c r="E8" s="8" t="n">
        <v>13.9</v>
      </c>
      <c r="F8" s="8" t="n">
        <v>19.8</v>
      </c>
      <c r="G8" s="8" t="n">
        <f aca="false">G7+D8</f>
        <v>57.5</v>
      </c>
      <c r="I8" s="13" t="s">
        <v>30</v>
      </c>
      <c r="J8" s="8" t="n">
        <v>0.4</v>
      </c>
      <c r="K8" s="8" t="n">
        <f aca="false">K7+J8</f>
        <v>2.6</v>
      </c>
      <c r="L8" s="8" t="n">
        <v>3.2</v>
      </c>
      <c r="M8" s="8" t="n">
        <f aca="false">M7+L8</f>
        <v>10.4</v>
      </c>
      <c r="N8" s="14" t="n">
        <f aca="false">J8-L8</f>
        <v>-2.8</v>
      </c>
      <c r="O8" s="8" t="n">
        <v>0</v>
      </c>
      <c r="P8" s="8" t="n">
        <v>3</v>
      </c>
      <c r="Q8" s="8" t="n">
        <v>0.35</v>
      </c>
      <c r="R8" s="15" t="n">
        <f aca="false">Q8*L8</f>
        <v>1.12</v>
      </c>
      <c r="S8" s="15" t="n">
        <f aca="false">J8-R8</f>
        <v>-0.72</v>
      </c>
      <c r="T8" s="15" t="n">
        <f aca="false">MIN(153.6,(T7+S8))</f>
        <v>0.885</v>
      </c>
      <c r="U8" s="13" t="s">
        <v>31</v>
      </c>
      <c r="V8" s="8" t="n">
        <v>1425.8</v>
      </c>
      <c r="W8" s="8" t="n">
        <f aca="false">V8/D8</f>
        <v>86.9390243902439</v>
      </c>
      <c r="X8" s="8" t="n">
        <f aca="false">X7+V8</f>
        <v>4371.4</v>
      </c>
      <c r="Z8" s="13" t="s">
        <v>32</v>
      </c>
      <c r="AA8" s="8" t="n">
        <v>13.2248683582546</v>
      </c>
    </row>
    <row r="9" s="8" customFormat="true" ht="15" hidden="false" customHeight="false" outlineLevel="0" collapsed="false">
      <c r="A9" s="9"/>
      <c r="B9" s="10"/>
      <c r="C9" s="11" t="n">
        <v>41525</v>
      </c>
      <c r="D9" s="8" t="n">
        <v>14.4</v>
      </c>
      <c r="E9" s="8" t="n">
        <v>11.8</v>
      </c>
      <c r="F9" s="8" t="n">
        <v>20.2</v>
      </c>
      <c r="G9" s="8" t="n">
        <f aca="false">G8+D9</f>
        <v>71.9</v>
      </c>
      <c r="I9" s="8" t="n">
        <f aca="false">MAX(F6:F81)</f>
        <v>31.2</v>
      </c>
      <c r="J9" s="8" t="n">
        <v>5.9</v>
      </c>
      <c r="K9" s="8" t="n">
        <f aca="false">K8+J9</f>
        <v>8.5</v>
      </c>
      <c r="L9" s="8" t="n">
        <v>3.1</v>
      </c>
      <c r="M9" s="8" t="n">
        <f aca="false">M8+L9</f>
        <v>13.5</v>
      </c>
      <c r="N9" s="8" t="n">
        <f aca="false">J9-L9</f>
        <v>2.8</v>
      </c>
      <c r="O9" s="8" t="n">
        <v>2.8</v>
      </c>
      <c r="P9" s="8" t="n">
        <v>4</v>
      </c>
      <c r="Q9" s="8" t="n">
        <v>0.35</v>
      </c>
      <c r="R9" s="15" t="n">
        <f aca="false">Q9*L9</f>
        <v>1.085</v>
      </c>
      <c r="S9" s="15" t="n">
        <f aca="false">J9-R9</f>
        <v>4.815</v>
      </c>
      <c r="T9" s="15" t="n">
        <f aca="false">MIN(153.6,(T8+S9))</f>
        <v>5.7</v>
      </c>
      <c r="U9" s="8" t="n">
        <v>1</v>
      </c>
      <c r="V9" s="8" t="n">
        <v>1435</v>
      </c>
      <c r="W9" s="8" t="n">
        <f aca="false">V9/D9</f>
        <v>99.6527777777778</v>
      </c>
      <c r="X9" s="8" t="n">
        <f aca="false">X8+V9</f>
        <v>5806.4</v>
      </c>
      <c r="Z9" s="17" t="n">
        <f aca="false">(Z7/100)/I19</f>
        <v>0.526185787671233</v>
      </c>
      <c r="AA9" s="8" t="n">
        <v>13.1624294353015</v>
      </c>
    </row>
    <row r="10" s="8" customFormat="true" ht="15" hidden="false" customHeight="false" outlineLevel="0" collapsed="false">
      <c r="A10" s="9"/>
      <c r="B10" s="10"/>
      <c r="C10" s="11" t="n">
        <v>41526</v>
      </c>
      <c r="D10" s="8" t="n">
        <v>12.3</v>
      </c>
      <c r="E10" s="8" t="n">
        <v>10</v>
      </c>
      <c r="F10" s="8" t="n">
        <v>16.1</v>
      </c>
      <c r="G10" s="8" t="n">
        <f aca="false">G9+D10</f>
        <v>84.2</v>
      </c>
      <c r="I10" s="13" t="s">
        <v>33</v>
      </c>
      <c r="J10" s="8" t="n">
        <v>7.4</v>
      </c>
      <c r="K10" s="8" t="n">
        <f aca="false">K9+J10</f>
        <v>15.9</v>
      </c>
      <c r="L10" s="8" t="n">
        <v>1.4</v>
      </c>
      <c r="M10" s="8" t="n">
        <f aca="false">M9+L10</f>
        <v>14.9</v>
      </c>
      <c r="N10" s="8" t="n">
        <f aca="false">J10-L10</f>
        <v>6</v>
      </c>
      <c r="O10" s="8" t="n">
        <v>8.8</v>
      </c>
      <c r="P10" s="8" t="n">
        <v>5</v>
      </c>
      <c r="Q10" s="8" t="n">
        <v>0.35</v>
      </c>
      <c r="R10" s="15" t="n">
        <f aca="false">Q10*L10</f>
        <v>0.49</v>
      </c>
      <c r="S10" s="15" t="n">
        <f aca="false">J10-R10</f>
        <v>6.91</v>
      </c>
      <c r="T10" s="15" t="n">
        <f aca="false">MIN(153.6,(T9+S10))</f>
        <v>12.61</v>
      </c>
      <c r="U10" s="13" t="s">
        <v>34</v>
      </c>
      <c r="V10" s="16" t="n">
        <v>405.6</v>
      </c>
      <c r="W10" s="8" t="n">
        <f aca="false">V10/D10</f>
        <v>32.9756097560976</v>
      </c>
      <c r="X10" s="8" t="n">
        <f aca="false">X9+V10</f>
        <v>6212</v>
      </c>
      <c r="Z10" s="13" t="s">
        <v>35</v>
      </c>
      <c r="AA10" s="8" t="n">
        <v>13.0998849979884</v>
      </c>
    </row>
    <row r="11" s="8" customFormat="true" ht="15" hidden="false" customHeight="false" outlineLevel="0" collapsed="false">
      <c r="A11" s="9"/>
      <c r="B11" s="10"/>
      <c r="C11" s="11" t="n">
        <v>41527</v>
      </c>
      <c r="D11" s="8" t="n">
        <v>11.6</v>
      </c>
      <c r="E11" s="8" t="n">
        <v>8.9</v>
      </c>
      <c r="F11" s="8" t="n">
        <v>14.1</v>
      </c>
      <c r="G11" s="8" t="n">
        <f aca="false">G10+D11</f>
        <v>95.8</v>
      </c>
      <c r="I11" s="15" t="n">
        <f aca="false">AVERAGE(D6:D81)</f>
        <v>12.2947368421053</v>
      </c>
      <c r="J11" s="8" t="n">
        <v>12.3</v>
      </c>
      <c r="K11" s="8" t="n">
        <f aca="false">K10+J11</f>
        <v>28.2</v>
      </c>
      <c r="L11" s="8" t="n">
        <v>0.9</v>
      </c>
      <c r="M11" s="8" t="n">
        <f aca="false">M10+L11</f>
        <v>15.8</v>
      </c>
      <c r="N11" s="8" t="n">
        <f aca="false">J11-L11</f>
        <v>11.4</v>
      </c>
      <c r="O11" s="8" t="n">
        <v>20.2</v>
      </c>
      <c r="P11" s="8" t="n">
        <v>6</v>
      </c>
      <c r="Q11" s="8" t="n">
        <v>0.35</v>
      </c>
      <c r="R11" s="15" t="n">
        <f aca="false">Q11*L11</f>
        <v>0.315</v>
      </c>
      <c r="S11" s="15" t="n">
        <f aca="false">J11-R11</f>
        <v>11.985</v>
      </c>
      <c r="T11" s="15" t="n">
        <f aca="false">MIN(153.6,(T10+S11))</f>
        <v>24.595</v>
      </c>
      <c r="U11" s="8" t="n">
        <v>20</v>
      </c>
      <c r="V11" s="16" t="n">
        <v>398.7</v>
      </c>
      <c r="W11" s="8" t="n">
        <f aca="false">V11/D11</f>
        <v>34.3706896551724</v>
      </c>
      <c r="X11" s="8" t="n">
        <f aca="false">X10+V11</f>
        <v>6610.7</v>
      </c>
      <c r="Z11" s="8" t="n">
        <v>56</v>
      </c>
      <c r="AA11" s="8" t="n">
        <v>13.0372419462499</v>
      </c>
    </row>
    <row r="12" s="8" customFormat="true" ht="15" hidden="false" customHeight="false" outlineLevel="0" collapsed="false">
      <c r="A12" s="9"/>
      <c r="B12" s="10"/>
      <c r="C12" s="11" t="n">
        <v>41528</v>
      </c>
      <c r="D12" s="8" t="n">
        <v>13.3</v>
      </c>
      <c r="E12" s="8" t="n">
        <v>11.6</v>
      </c>
      <c r="F12" s="8" t="n">
        <v>14.3</v>
      </c>
      <c r="G12" s="8" t="n">
        <f aca="false">G11+D12</f>
        <v>109.1</v>
      </c>
      <c r="I12" s="13" t="s">
        <v>36</v>
      </c>
      <c r="J12" s="8" t="n">
        <v>5.8</v>
      </c>
      <c r="K12" s="8" t="n">
        <f aca="false">K11+J12</f>
        <v>34</v>
      </c>
      <c r="L12" s="8" t="n">
        <v>0.9</v>
      </c>
      <c r="M12" s="8" t="n">
        <f aca="false">M11+L12</f>
        <v>16.7</v>
      </c>
      <c r="N12" s="8" t="n">
        <f aca="false">J12-L12</f>
        <v>4.9</v>
      </c>
      <c r="O12" s="8" t="n">
        <v>25.1</v>
      </c>
      <c r="P12" s="8" t="n">
        <v>7</v>
      </c>
      <c r="Q12" s="8" t="n">
        <v>0.35</v>
      </c>
      <c r="R12" s="15" t="n">
        <f aca="false">Q12*L12</f>
        <v>0.315</v>
      </c>
      <c r="S12" s="15" t="n">
        <f aca="false">J12-R12</f>
        <v>5.485</v>
      </c>
      <c r="T12" s="15" t="n">
        <f aca="false">MIN(153.6,(T11+S12))</f>
        <v>30.08</v>
      </c>
      <c r="U12" s="13" t="s">
        <v>37</v>
      </c>
      <c r="V12" s="16" t="n">
        <v>317.6</v>
      </c>
      <c r="W12" s="8" t="n">
        <f aca="false">V12/D12</f>
        <v>23.8796992481203</v>
      </c>
      <c r="X12" s="8" t="n">
        <f aca="false">X11+V12</f>
        <v>6928.3</v>
      </c>
      <c r="AA12" s="8" t="n">
        <v>12.9745069428947</v>
      </c>
    </row>
    <row r="13" s="8" customFormat="true" ht="15" hidden="false" customHeight="false" outlineLevel="0" collapsed="false">
      <c r="A13" s="9"/>
      <c r="B13" s="10"/>
      <c r="C13" s="11" t="n">
        <v>41529</v>
      </c>
      <c r="D13" s="8" t="n">
        <v>13.4</v>
      </c>
      <c r="E13" s="8" t="n">
        <v>9.6</v>
      </c>
      <c r="F13" s="8" t="n">
        <v>18.2</v>
      </c>
      <c r="G13" s="8" t="n">
        <f aca="false">G12+D13</f>
        <v>122.5</v>
      </c>
      <c r="I13" s="8" t="n">
        <v>0</v>
      </c>
      <c r="J13" s="8" t="n">
        <v>0.4</v>
      </c>
      <c r="K13" s="8" t="n">
        <f aca="false">K12+J13</f>
        <v>34.4</v>
      </c>
      <c r="L13" s="8" t="n">
        <v>2.6</v>
      </c>
      <c r="M13" s="8" t="n">
        <f aca="false">M12+L13</f>
        <v>19.3</v>
      </c>
      <c r="N13" s="14" t="n">
        <f aca="false">J13-L13</f>
        <v>-2.2</v>
      </c>
      <c r="O13" s="8" t="n">
        <v>22.9</v>
      </c>
      <c r="P13" s="8" t="n">
        <v>8</v>
      </c>
      <c r="Q13" s="8" t="n">
        <v>0.35</v>
      </c>
      <c r="R13" s="15" t="n">
        <f aca="false">Q13*L13</f>
        <v>0.91</v>
      </c>
      <c r="S13" s="15" t="n">
        <f aca="false">J13-R13</f>
        <v>-0.51</v>
      </c>
      <c r="T13" s="15" t="n">
        <f aca="false">MIN(153.6,(T12+S13))</f>
        <v>29.57</v>
      </c>
      <c r="U13" s="8" t="n">
        <v>0</v>
      </c>
      <c r="V13" s="8" t="n">
        <v>1333.7</v>
      </c>
      <c r="W13" s="8" t="n">
        <f aca="false">V13/D13</f>
        <v>99.5298507462687</v>
      </c>
      <c r="X13" s="8" t="n">
        <f aca="false">X12+V13</f>
        <v>8262</v>
      </c>
      <c r="AA13" s="8" t="n">
        <v>12.911686431365</v>
      </c>
    </row>
    <row r="14" s="8" customFormat="true" ht="15" hidden="false" customHeight="false" outlineLevel="0" collapsed="false">
      <c r="A14" s="9"/>
      <c r="B14" s="10"/>
      <c r="C14" s="11" t="n">
        <v>41530</v>
      </c>
      <c r="D14" s="8" t="n">
        <v>14.2</v>
      </c>
      <c r="E14" s="8" t="n">
        <v>9.3</v>
      </c>
      <c r="F14" s="8" t="n">
        <v>18</v>
      </c>
      <c r="G14" s="8" t="n">
        <f aca="false">G13+D14</f>
        <v>136.7</v>
      </c>
      <c r="I14" s="13" t="s">
        <v>38</v>
      </c>
      <c r="J14" s="8" t="n">
        <v>11.7</v>
      </c>
      <c r="K14" s="8" t="n">
        <f aca="false">K13+J14</f>
        <v>46.1</v>
      </c>
      <c r="L14" s="8" t="n">
        <v>0.8</v>
      </c>
      <c r="M14" s="8" t="n">
        <f aca="false">M13+L14</f>
        <v>20.1</v>
      </c>
      <c r="N14" s="8" t="n">
        <f aca="false">J14-L14</f>
        <v>10.9</v>
      </c>
      <c r="O14" s="8" t="n">
        <v>33.8</v>
      </c>
      <c r="P14" s="8" t="n">
        <v>9</v>
      </c>
      <c r="Q14" s="8" t="n">
        <v>0.35</v>
      </c>
      <c r="R14" s="15" t="n">
        <f aca="false">Q14*L14</f>
        <v>0.28</v>
      </c>
      <c r="S14" s="15" t="n">
        <f aca="false">J14-R14</f>
        <v>11.42</v>
      </c>
      <c r="T14" s="15" t="n">
        <f aca="false">MIN(153.6,(T13+S14))</f>
        <v>40.99</v>
      </c>
      <c r="U14" s="13" t="s">
        <v>39</v>
      </c>
      <c r="V14" s="16" t="n">
        <v>393.4</v>
      </c>
      <c r="W14" s="8" t="n">
        <f aca="false">V14/D14</f>
        <v>27.7042253521127</v>
      </c>
      <c r="X14" s="8" t="n">
        <f aca="false">X13+V14</f>
        <v>8655.4</v>
      </c>
      <c r="AA14" s="8" t="n">
        <v>12.8487866535064</v>
      </c>
    </row>
    <row r="15" s="8" customFormat="true" ht="15" hidden="false" customHeight="false" outlineLevel="0" collapsed="false">
      <c r="A15" s="9"/>
      <c r="B15" s="10"/>
      <c r="C15" s="11" t="n">
        <v>41531</v>
      </c>
      <c r="D15" s="8" t="n">
        <v>14.7</v>
      </c>
      <c r="E15" s="8" t="n">
        <v>13.7</v>
      </c>
      <c r="F15" s="8" t="n">
        <v>15.7</v>
      </c>
      <c r="G15" s="8" t="n">
        <f aca="false">G14+D15</f>
        <v>151.4</v>
      </c>
      <c r="I15" s="8" t="n">
        <v>1</v>
      </c>
      <c r="J15" s="8" t="n">
        <v>2.9</v>
      </c>
      <c r="K15" s="8" t="n">
        <f aca="false">K14+J15</f>
        <v>49</v>
      </c>
      <c r="L15" s="8" t="n">
        <v>1.2</v>
      </c>
      <c r="M15" s="8" t="n">
        <f aca="false">M14+L15</f>
        <v>21.3</v>
      </c>
      <c r="N15" s="8" t="n">
        <f aca="false">J15-L15</f>
        <v>1.7</v>
      </c>
      <c r="O15" s="8" t="n">
        <v>35.5</v>
      </c>
      <c r="P15" s="8" t="n">
        <v>10</v>
      </c>
      <c r="Q15" s="8" t="n">
        <f aca="false">0.35+((P15-9)/67)*(1-0.35)</f>
        <v>0.359701492537313</v>
      </c>
      <c r="R15" s="15" t="n">
        <f aca="false">Q15*L15</f>
        <v>0.431641791044776</v>
      </c>
      <c r="S15" s="15" t="n">
        <f aca="false">J15-R15</f>
        <v>2.46835820895522</v>
      </c>
      <c r="T15" s="15" t="n">
        <f aca="false">MIN(153.6,(T14+S15))</f>
        <v>43.4583582089552</v>
      </c>
      <c r="U15" s="8" t="n">
        <f aca="false">MAX(T6:T81)</f>
        <v>153.6</v>
      </c>
      <c r="V15" s="16" t="n">
        <v>378.7</v>
      </c>
      <c r="W15" s="8" t="n">
        <f aca="false">V15/D15</f>
        <v>25.7619047619048</v>
      </c>
      <c r="X15" s="8" t="n">
        <f aca="false">X14+V15</f>
        <v>9034.1</v>
      </c>
      <c r="AA15" s="8" t="n">
        <v>12.785813667348</v>
      </c>
    </row>
    <row r="16" s="8" customFormat="true" ht="15" hidden="false" customHeight="false" outlineLevel="0" collapsed="false">
      <c r="A16" s="9"/>
      <c r="B16" s="10"/>
      <c r="C16" s="11" t="n">
        <v>41532</v>
      </c>
      <c r="D16" s="8" t="n">
        <v>13.9</v>
      </c>
      <c r="E16" s="8" t="n">
        <v>10.4</v>
      </c>
      <c r="F16" s="8" t="n">
        <v>17.3</v>
      </c>
      <c r="G16" s="8" t="n">
        <f aca="false">G15+D16</f>
        <v>165.3</v>
      </c>
      <c r="I16" s="13" t="s">
        <v>40</v>
      </c>
      <c r="J16" s="8" t="n">
        <v>5.4</v>
      </c>
      <c r="K16" s="8" t="n">
        <f aca="false">K15+J16</f>
        <v>54.4</v>
      </c>
      <c r="L16" s="8" t="n">
        <v>3</v>
      </c>
      <c r="M16" s="8" t="n">
        <f aca="false">M15+L16</f>
        <v>24.3</v>
      </c>
      <c r="N16" s="8" t="n">
        <f aca="false">J16-L16</f>
        <v>2.4</v>
      </c>
      <c r="O16" s="8" t="n">
        <v>37.9</v>
      </c>
      <c r="P16" s="8" t="n">
        <v>11</v>
      </c>
      <c r="Q16" s="8" t="n">
        <f aca="false">0.35+((P16-9)/67)*(1-0.35)</f>
        <v>0.369402985074627</v>
      </c>
      <c r="R16" s="15" t="n">
        <f aca="false">Q16*L16</f>
        <v>1.10820895522388</v>
      </c>
      <c r="S16" s="15" t="n">
        <f aca="false">J16-R16</f>
        <v>4.29179104477612</v>
      </c>
      <c r="T16" s="15" t="n">
        <f aca="false">MIN(153.6,(T15+S16))</f>
        <v>47.7501492537313</v>
      </c>
      <c r="U16" s="13" t="s">
        <v>41</v>
      </c>
      <c r="V16" s="8" t="n">
        <v>1202.1</v>
      </c>
      <c r="W16" s="8" t="n">
        <f aca="false">V16/D16</f>
        <v>86.4820143884892</v>
      </c>
      <c r="X16" s="8" t="n">
        <f aca="false">X15+V16</f>
        <v>10236.2</v>
      </c>
      <c r="AA16" s="8" t="n">
        <v>12.7227733648918</v>
      </c>
    </row>
    <row r="17" s="8" customFormat="true" ht="15" hidden="false" customHeight="false" outlineLevel="0" collapsed="false">
      <c r="A17" s="9"/>
      <c r="B17" s="10"/>
      <c r="C17" s="11" t="n">
        <v>41533</v>
      </c>
      <c r="D17" s="8" t="n">
        <v>12</v>
      </c>
      <c r="E17" s="8" t="n">
        <v>10.2</v>
      </c>
      <c r="F17" s="8" t="n">
        <v>16.1</v>
      </c>
      <c r="G17" s="8" t="n">
        <f aca="false">G16+D17</f>
        <v>177.3</v>
      </c>
      <c r="I17" s="8" t="n">
        <v>10</v>
      </c>
      <c r="J17" s="8" t="n">
        <v>1</v>
      </c>
      <c r="K17" s="8" t="n">
        <f aca="false">K16+J17</f>
        <v>55.4</v>
      </c>
      <c r="L17" s="8" t="n">
        <v>3.6</v>
      </c>
      <c r="M17" s="8" t="n">
        <f aca="false">M16+L17</f>
        <v>27.9</v>
      </c>
      <c r="N17" s="14" t="n">
        <f aca="false">J17-L17</f>
        <v>-2.6</v>
      </c>
      <c r="O17" s="8" t="n">
        <v>35.3</v>
      </c>
      <c r="P17" s="8" t="n">
        <v>12</v>
      </c>
      <c r="Q17" s="8" t="n">
        <f aca="false">0.35+((P17-9)/67)*(1-0.35)</f>
        <v>0.37910447761194</v>
      </c>
      <c r="R17" s="15" t="n">
        <f aca="false">Q17*L17</f>
        <v>1.36477611940299</v>
      </c>
      <c r="S17" s="15" t="n">
        <f aca="false">J17-R17</f>
        <v>-0.364776119402985</v>
      </c>
      <c r="T17" s="15" t="n">
        <f aca="false">MIN(153.6,(T16+S17))</f>
        <v>47.3853731343284</v>
      </c>
      <c r="U17" s="17" t="n">
        <f aca="false">AVERAGE(T6:T81)</f>
        <v>96.0748252160252</v>
      </c>
      <c r="V17" s="8" t="n">
        <v>1666.8</v>
      </c>
      <c r="W17" s="8" t="n">
        <f aca="false">V17/D17</f>
        <v>138.9</v>
      </c>
      <c r="X17" s="8" t="n">
        <f aca="false">X16+V17</f>
        <v>11903</v>
      </c>
      <c r="AA17" s="8" t="n">
        <v>12.659671489917</v>
      </c>
    </row>
    <row r="18" s="8" customFormat="true" ht="15" hidden="false" customHeight="false" outlineLevel="0" collapsed="false">
      <c r="A18" s="9"/>
      <c r="B18" s="10"/>
      <c r="C18" s="11" t="n">
        <v>41534</v>
      </c>
      <c r="D18" s="8" t="n">
        <v>11.9</v>
      </c>
      <c r="E18" s="8" t="n">
        <v>7.7</v>
      </c>
      <c r="F18" s="8" t="n">
        <v>15.4</v>
      </c>
      <c r="G18" s="8" t="n">
        <f aca="false">G17+D18</f>
        <v>189.2</v>
      </c>
      <c r="I18" s="13" t="s">
        <v>42</v>
      </c>
      <c r="J18" s="8" t="n">
        <v>14.3</v>
      </c>
      <c r="K18" s="8" t="n">
        <f aca="false">K17+J18</f>
        <v>69.7</v>
      </c>
      <c r="L18" s="8" t="n">
        <v>1.5</v>
      </c>
      <c r="M18" s="8" t="n">
        <f aca="false">M17+L18</f>
        <v>29.4</v>
      </c>
      <c r="N18" s="8" t="n">
        <f aca="false">J18-L18</f>
        <v>12.8</v>
      </c>
      <c r="O18" s="8" t="n">
        <v>48.1</v>
      </c>
      <c r="P18" s="8" t="n">
        <v>13</v>
      </c>
      <c r="Q18" s="8" t="n">
        <f aca="false">0.35+((P18-9)/67)*(1-0.35)</f>
        <v>0.388805970149254</v>
      </c>
      <c r="R18" s="15" t="n">
        <f aca="false">Q18*L18</f>
        <v>0.583208955223881</v>
      </c>
      <c r="S18" s="15" t="n">
        <f aca="false">J18-R18</f>
        <v>13.7167910447761</v>
      </c>
      <c r="T18" s="15" t="n">
        <f aca="false">MIN(153.6,(T17+S18))</f>
        <v>61.1021641791045</v>
      </c>
      <c r="V18" s="16" t="n">
        <v>398</v>
      </c>
      <c r="W18" s="8" t="n">
        <f aca="false">V18/D18</f>
        <v>33.4453781512605</v>
      </c>
      <c r="X18" s="8" t="n">
        <f aca="false">X17+V18</f>
        <v>12301</v>
      </c>
      <c r="AA18" s="8" t="n">
        <v>12.5965136558013</v>
      </c>
    </row>
    <row r="19" s="8" customFormat="true" ht="15" hidden="false" customHeight="false" outlineLevel="0" collapsed="false">
      <c r="A19" s="9"/>
      <c r="B19" s="10"/>
      <c r="C19" s="11" t="n">
        <v>41535</v>
      </c>
      <c r="D19" s="8" t="n">
        <v>13.1</v>
      </c>
      <c r="E19" s="8" t="n">
        <v>12.7</v>
      </c>
      <c r="F19" s="8" t="n">
        <v>14.6</v>
      </c>
      <c r="G19" s="8" t="n">
        <f aca="false">G18+D19</f>
        <v>202.3</v>
      </c>
      <c r="I19" s="8" t="n">
        <v>934.4</v>
      </c>
      <c r="J19" s="8" t="n">
        <v>0.3</v>
      </c>
      <c r="K19" s="8" t="n">
        <f aca="false">K18+J19</f>
        <v>70</v>
      </c>
      <c r="L19" s="8" t="n">
        <v>1.7</v>
      </c>
      <c r="M19" s="8" t="n">
        <f aca="false">M18+L19</f>
        <v>31.1</v>
      </c>
      <c r="N19" s="14" t="n">
        <f aca="false">J19-L19</f>
        <v>-1.4</v>
      </c>
      <c r="O19" s="8" t="n">
        <v>46.7</v>
      </c>
      <c r="P19" s="8" t="n">
        <v>14</v>
      </c>
      <c r="Q19" s="8" t="n">
        <f aca="false">0.35+((P19-9)/67)*(1-0.35)</f>
        <v>0.398507462686567</v>
      </c>
      <c r="R19" s="15" t="n">
        <f aca="false">Q19*L19</f>
        <v>0.677462686567164</v>
      </c>
      <c r="S19" s="15" t="n">
        <f aca="false">J19-R19</f>
        <v>-0.377462686567164</v>
      </c>
      <c r="T19" s="15" t="n">
        <f aca="false">MIN(153.6,(T18+S19))</f>
        <v>60.7247014925373</v>
      </c>
      <c r="U19" s="8" t="n">
        <f aca="false">(U17*100)/153.6</f>
        <v>62.5487143333497</v>
      </c>
      <c r="V19" s="16" t="n">
        <v>414.9</v>
      </c>
      <c r="W19" s="8" t="n">
        <f aca="false">V19/D19</f>
        <v>31.6717557251908</v>
      </c>
      <c r="X19" s="8" t="n">
        <f aca="false">X18+V19</f>
        <v>12715.9</v>
      </c>
      <c r="AA19" s="8" t="n">
        <v>12.533305363366</v>
      </c>
    </row>
    <row r="20" s="8" customFormat="true" ht="15" hidden="false" customHeight="false" outlineLevel="0" collapsed="false">
      <c r="A20" s="9"/>
      <c r="B20" s="10"/>
      <c r="C20" s="11" t="n">
        <v>41536</v>
      </c>
      <c r="D20" s="8" t="n">
        <v>12.2</v>
      </c>
      <c r="E20" s="8" t="n">
        <v>7.8</v>
      </c>
      <c r="F20" s="8" t="n">
        <v>15.1</v>
      </c>
      <c r="G20" s="8" t="n">
        <f aca="false">G19+D20</f>
        <v>214.5</v>
      </c>
      <c r="J20" s="8" t="n">
        <v>1.2</v>
      </c>
      <c r="K20" s="8" t="n">
        <f aca="false">K19+J20</f>
        <v>71.2</v>
      </c>
      <c r="L20" s="8" t="n">
        <v>1.4</v>
      </c>
      <c r="M20" s="8" t="n">
        <f aca="false">M19+L20</f>
        <v>32.5</v>
      </c>
      <c r="N20" s="14" t="n">
        <f aca="false">J20-L20</f>
        <v>-0.2</v>
      </c>
      <c r="O20" s="8" t="n">
        <v>46.5</v>
      </c>
      <c r="P20" s="8" t="n">
        <v>15</v>
      </c>
      <c r="Q20" s="8" t="n">
        <f aca="false">0.35+((P20-9)/67)*(1-0.35)</f>
        <v>0.408208955223881</v>
      </c>
      <c r="R20" s="15" t="n">
        <f aca="false">Q20*L20</f>
        <v>0.571492537313433</v>
      </c>
      <c r="S20" s="15" t="n">
        <f aca="false">J20-R20</f>
        <v>0.628507462686567</v>
      </c>
      <c r="T20" s="15" t="n">
        <f aca="false">MIN(153.6,(T19+S20))</f>
        <v>61.3532089552239</v>
      </c>
      <c r="V20" s="16" t="n">
        <v>602.4</v>
      </c>
      <c r="W20" s="8" t="n">
        <f aca="false">V20/D20</f>
        <v>49.3770491803279</v>
      </c>
      <c r="X20" s="8" t="n">
        <f aca="false">X19+V20</f>
        <v>13318.3</v>
      </c>
      <c r="AA20" s="8" t="n">
        <v>12.4700520187508</v>
      </c>
    </row>
    <row r="21" s="8" customFormat="true" ht="15" hidden="false" customHeight="false" outlineLevel="0" collapsed="false">
      <c r="A21" s="9"/>
      <c r="B21" s="10"/>
      <c r="C21" s="11" t="n">
        <v>41537</v>
      </c>
      <c r="D21" s="8" t="n">
        <v>13.6</v>
      </c>
      <c r="E21" s="8" t="n">
        <v>12</v>
      </c>
      <c r="F21" s="8" t="n">
        <v>16.6</v>
      </c>
      <c r="G21" s="8" t="n">
        <f aca="false">G20+D21</f>
        <v>228.1</v>
      </c>
      <c r="J21" s="8" t="n">
        <v>0</v>
      </c>
      <c r="K21" s="8" t="n">
        <f aca="false">K20+J21</f>
        <v>71.2</v>
      </c>
      <c r="L21" s="8" t="n">
        <v>2</v>
      </c>
      <c r="M21" s="8" t="n">
        <f aca="false">M20+L21</f>
        <v>34.5</v>
      </c>
      <c r="N21" s="14" t="n">
        <f aca="false">J21-L21</f>
        <v>-2</v>
      </c>
      <c r="O21" s="8" t="n">
        <v>44.5</v>
      </c>
      <c r="P21" s="8" t="n">
        <v>16</v>
      </c>
      <c r="Q21" s="8" t="n">
        <f aca="false">0.35+((P21-9)/67)*(1-0.35)</f>
        <v>0.417910447761194</v>
      </c>
      <c r="R21" s="15" t="n">
        <f aca="false">Q21*L21</f>
        <v>0.835820895522388</v>
      </c>
      <c r="S21" s="15" t="n">
        <f aca="false">J21-R21</f>
        <v>-0.835820895522388</v>
      </c>
      <c r="T21" s="15" t="n">
        <f aca="false">MIN(153.6,(T20+S21))</f>
        <v>60.5173880597015</v>
      </c>
      <c r="V21" s="16" t="n">
        <v>616.3</v>
      </c>
      <c r="W21" s="8" t="n">
        <f aca="false">V21/D21</f>
        <v>45.3161764705882</v>
      </c>
      <c r="X21" s="8" t="n">
        <f aca="false">X20+V21</f>
        <v>13934.6</v>
      </c>
      <c r="AA21" s="8" t="n">
        <v>12.4067589513265</v>
      </c>
    </row>
    <row r="22" s="8" customFormat="true" ht="15" hidden="false" customHeight="false" outlineLevel="0" collapsed="false">
      <c r="A22" s="9"/>
      <c r="B22" s="10"/>
      <c r="C22" s="11" t="n">
        <v>41538</v>
      </c>
      <c r="D22" s="8" t="n">
        <v>14.3</v>
      </c>
      <c r="E22" s="8" t="n">
        <v>8.9</v>
      </c>
      <c r="F22" s="8" t="n">
        <v>17.5</v>
      </c>
      <c r="G22" s="8" t="n">
        <f aca="false">G21+D22</f>
        <v>242.4</v>
      </c>
      <c r="J22" s="8" t="n">
        <v>0</v>
      </c>
      <c r="K22" s="8" t="n">
        <f aca="false">K21+J22</f>
        <v>71.2</v>
      </c>
      <c r="L22" s="8" t="n">
        <v>1.7</v>
      </c>
      <c r="M22" s="8" t="n">
        <f aca="false">M21+L22</f>
        <v>36.2</v>
      </c>
      <c r="N22" s="14" t="n">
        <f aca="false">J22-L22</f>
        <v>-1.7</v>
      </c>
      <c r="O22" s="8" t="n">
        <v>42.8</v>
      </c>
      <c r="P22" s="8" t="n">
        <v>17</v>
      </c>
      <c r="Q22" s="8" t="n">
        <f aca="false">0.35+((P22-9)/67)*(1-0.35)</f>
        <v>0.427611940298507</v>
      </c>
      <c r="R22" s="15" t="n">
        <f aca="false">Q22*L22</f>
        <v>0.726940298507463</v>
      </c>
      <c r="S22" s="15" t="n">
        <f aca="false">J22-R22</f>
        <v>-0.726940298507463</v>
      </c>
      <c r="T22" s="15" t="n">
        <f aca="false">MIN(153.6,(T21+S22))</f>
        <v>59.790447761194</v>
      </c>
      <c r="V22" s="16" t="n">
        <v>567.5</v>
      </c>
      <c r="W22" s="8" t="n">
        <f aca="false">V22/D22</f>
        <v>39.6853146853147</v>
      </c>
      <c r="X22" s="8" t="n">
        <f aca="false">X21+V22</f>
        <v>14502.1</v>
      </c>
      <c r="AA22" s="8" t="n">
        <v>12.3434314316542</v>
      </c>
    </row>
    <row r="23" s="8" customFormat="true" ht="15" hidden="false" customHeight="false" outlineLevel="0" collapsed="false">
      <c r="A23" s="9"/>
      <c r="B23" s="10"/>
      <c r="C23" s="11" t="n">
        <v>41539</v>
      </c>
      <c r="D23" s="8" t="n">
        <v>17.5</v>
      </c>
      <c r="E23" s="8" t="n">
        <v>15.4</v>
      </c>
      <c r="F23" s="8" t="n">
        <v>19.7</v>
      </c>
      <c r="G23" s="8" t="n">
        <f aca="false">G22+D23</f>
        <v>259.9</v>
      </c>
      <c r="J23" s="8" t="n">
        <v>0</v>
      </c>
      <c r="K23" s="8" t="n">
        <f aca="false">K22+J23</f>
        <v>71.2</v>
      </c>
      <c r="L23" s="8" t="n">
        <v>1.3</v>
      </c>
      <c r="M23" s="8" t="n">
        <f aca="false">M22+L23</f>
        <v>37.5</v>
      </c>
      <c r="N23" s="14" t="n">
        <f aca="false">J23-L23</f>
        <v>-1.3</v>
      </c>
      <c r="O23" s="8" t="n">
        <v>41.5</v>
      </c>
      <c r="P23" s="8" t="n">
        <v>18</v>
      </c>
      <c r="Q23" s="8" t="n">
        <f aca="false">0.35+((P23-9)/67)*(1-0.35)</f>
        <v>0.437313432835821</v>
      </c>
      <c r="R23" s="15" t="n">
        <f aca="false">Q23*L23</f>
        <v>0.568507462686567</v>
      </c>
      <c r="S23" s="15" t="n">
        <f aca="false">J23-R23</f>
        <v>-0.568507462686567</v>
      </c>
      <c r="T23" s="15" t="n">
        <f aca="false">MIN(153.6,(T22+S23))</f>
        <v>59.2219402985075</v>
      </c>
      <c r="V23" s="16" t="n">
        <v>305.6</v>
      </c>
      <c r="W23" s="8" t="n">
        <f aca="false">V23/D23</f>
        <v>17.4628571428571</v>
      </c>
      <c r="X23" s="8" t="n">
        <f aca="false">X22+V23</f>
        <v>14807.7</v>
      </c>
      <c r="AA23" s="8" t="n">
        <v>12.2800746894998</v>
      </c>
    </row>
    <row r="24" s="8" customFormat="true" ht="15" hidden="false" customHeight="false" outlineLevel="0" collapsed="false">
      <c r="A24" s="9"/>
      <c r="B24" s="10"/>
      <c r="C24" s="11" t="n">
        <v>41540</v>
      </c>
      <c r="D24" s="8" t="n">
        <v>17.2</v>
      </c>
      <c r="E24" s="8" t="n">
        <v>16</v>
      </c>
      <c r="F24" s="8" t="n">
        <v>20.6</v>
      </c>
      <c r="G24" s="8" t="n">
        <f aca="false">G23+D24</f>
        <v>277.1</v>
      </c>
      <c r="J24" s="8" t="n">
        <v>0.1</v>
      </c>
      <c r="K24" s="8" t="n">
        <f aca="false">K23+J24</f>
        <v>71.3</v>
      </c>
      <c r="L24" s="8" t="n">
        <v>2</v>
      </c>
      <c r="M24" s="8" t="n">
        <f aca="false">M23+L24</f>
        <v>39.5</v>
      </c>
      <c r="N24" s="14" t="n">
        <f aca="false">J24-L24</f>
        <v>-1.9</v>
      </c>
      <c r="O24" s="8" t="n">
        <v>39.6</v>
      </c>
      <c r="P24" s="8" t="n">
        <v>19</v>
      </c>
      <c r="Q24" s="8" t="n">
        <f aca="false">0.35+((P24-9)/67)*(1-0.35)</f>
        <v>0.447014925373134</v>
      </c>
      <c r="R24" s="15" t="n">
        <f aca="false">Q24*L24</f>
        <v>0.894029850746269</v>
      </c>
      <c r="S24" s="15" t="n">
        <f aca="false">J24-R24</f>
        <v>-0.794029850746269</v>
      </c>
      <c r="T24" s="15" t="n">
        <f aca="false">MIN(153.6,(T23+S24))</f>
        <v>58.4279104477612</v>
      </c>
      <c r="V24" s="16" t="n">
        <v>616.4</v>
      </c>
      <c r="W24" s="8" t="n">
        <f aca="false">V24/D24</f>
        <v>35.8372093023256</v>
      </c>
      <c r="X24" s="8" t="n">
        <f aca="false">X23+V24</f>
        <v>15424.1</v>
      </c>
      <c r="AA24" s="8" t="n">
        <v>12.2166939319138</v>
      </c>
    </row>
    <row r="25" s="8" customFormat="true" ht="15" hidden="false" customHeight="false" outlineLevel="0" collapsed="false">
      <c r="A25" s="9"/>
      <c r="B25" s="10"/>
      <c r="C25" s="11" t="n">
        <v>41541</v>
      </c>
      <c r="D25" s="8" t="n">
        <v>16.2</v>
      </c>
      <c r="E25" s="8" t="n">
        <v>10.1</v>
      </c>
      <c r="F25" s="8" t="n">
        <v>21.7</v>
      </c>
      <c r="G25" s="8" t="n">
        <f aca="false">G24+D25</f>
        <v>293.3</v>
      </c>
      <c r="J25" s="8" t="n">
        <v>0.2</v>
      </c>
      <c r="K25" s="8" t="n">
        <f aca="false">K24+J25</f>
        <v>71.5</v>
      </c>
      <c r="L25" s="8" t="n">
        <v>2.6</v>
      </c>
      <c r="M25" s="8" t="n">
        <f aca="false">M24+L25</f>
        <v>42.1</v>
      </c>
      <c r="N25" s="14" t="n">
        <f aca="false">J25-L25</f>
        <v>-2.4</v>
      </c>
      <c r="O25" s="8" t="n">
        <v>37.2</v>
      </c>
      <c r="P25" s="8" t="n">
        <v>20</v>
      </c>
      <c r="Q25" s="8" t="n">
        <f aca="false">0.35+((P25-9)/67)*(1-0.35)</f>
        <v>0.456716417910448</v>
      </c>
      <c r="R25" s="15" t="n">
        <f aca="false">Q25*L25</f>
        <v>1.18746268656716</v>
      </c>
      <c r="S25" s="15" t="n">
        <f aca="false">J25-R25</f>
        <v>-0.987462686567164</v>
      </c>
      <c r="T25" s="15" t="n">
        <f aca="false">MIN(153.6,(T24+S25))</f>
        <v>57.440447761194</v>
      </c>
      <c r="V25" s="8" t="n">
        <v>1780.7</v>
      </c>
      <c r="W25" s="8" t="n">
        <f aca="false">V25/D25</f>
        <v>109.91975308642</v>
      </c>
      <c r="X25" s="8" t="n">
        <f aca="false">X24+V25</f>
        <v>17204.8</v>
      </c>
      <c r="AA25" s="8" t="n">
        <v>12.1532943613865</v>
      </c>
    </row>
    <row r="26" s="8" customFormat="true" ht="15" hidden="false" customHeight="false" outlineLevel="0" collapsed="false">
      <c r="A26" s="9"/>
      <c r="B26" s="10"/>
      <c r="C26" s="11" t="n">
        <v>41542</v>
      </c>
      <c r="D26" s="8" t="n">
        <v>16.7</v>
      </c>
      <c r="E26" s="8" t="n">
        <v>10.9</v>
      </c>
      <c r="F26" s="8" t="n">
        <v>20.8</v>
      </c>
      <c r="G26" s="8" t="n">
        <f aca="false">G25+D26</f>
        <v>310</v>
      </c>
      <c r="J26" s="8" t="n">
        <v>0.1</v>
      </c>
      <c r="K26" s="8" t="n">
        <f aca="false">K25+J26</f>
        <v>71.6</v>
      </c>
      <c r="L26" s="8" t="n">
        <v>1.8</v>
      </c>
      <c r="M26" s="8" t="n">
        <f aca="false">M25+L26</f>
        <v>43.9</v>
      </c>
      <c r="N26" s="14" t="n">
        <f aca="false">J26-L26</f>
        <v>-1.7</v>
      </c>
      <c r="O26" s="8" t="n">
        <v>35.5</v>
      </c>
      <c r="P26" s="8" t="n">
        <v>21</v>
      </c>
      <c r="Q26" s="8" t="n">
        <f aca="false">0.35+((P26-9)/67)*(1-0.35)</f>
        <v>0.466417910447761</v>
      </c>
      <c r="R26" s="15" t="n">
        <f aca="false">Q26*L26</f>
        <v>0.83955223880597</v>
      </c>
      <c r="S26" s="15" t="n">
        <f aca="false">J26-R26</f>
        <v>-0.73955223880597</v>
      </c>
      <c r="T26" s="15" t="n">
        <f aca="false">MIN(153.6,(T25+S26))</f>
        <v>56.7008955223881</v>
      </c>
      <c r="V26" s="8" t="n">
        <v>916.5</v>
      </c>
      <c r="W26" s="8" t="n">
        <f aca="false">V26/D26</f>
        <v>54.8802395209581</v>
      </c>
      <c r="X26" s="8" t="n">
        <f aca="false">X25+V26</f>
        <v>18121.3</v>
      </c>
      <c r="AA26" s="8" t="n">
        <v>12.0898811940897</v>
      </c>
    </row>
    <row r="27" s="8" customFormat="true" ht="15" hidden="false" customHeight="false" outlineLevel="0" collapsed="false">
      <c r="A27" s="9"/>
      <c r="B27" s="10"/>
      <c r="C27" s="11" t="n">
        <v>41543</v>
      </c>
      <c r="D27" s="8" t="n">
        <v>15.7</v>
      </c>
      <c r="E27" s="8" t="n">
        <v>15.4</v>
      </c>
      <c r="F27" s="8" t="n">
        <v>18.1</v>
      </c>
      <c r="G27" s="8" t="n">
        <f aca="false">G26+D27</f>
        <v>325.7</v>
      </c>
      <c r="J27" s="8" t="n">
        <v>0.1</v>
      </c>
      <c r="K27" s="8" t="n">
        <f aca="false">K26+J27</f>
        <v>71.7</v>
      </c>
      <c r="L27" s="8" t="n">
        <v>2.1</v>
      </c>
      <c r="M27" s="8" t="n">
        <f aca="false">M26+L27</f>
        <v>46</v>
      </c>
      <c r="N27" s="14" t="n">
        <f aca="false">J27-L27</f>
        <v>-2</v>
      </c>
      <c r="O27" s="8" t="n">
        <v>33.5</v>
      </c>
      <c r="P27" s="8" t="n">
        <v>22</v>
      </c>
      <c r="Q27" s="8" t="n">
        <f aca="false">0.35+((P27-9)/67)*(1-0.35)</f>
        <v>0.476119402985075</v>
      </c>
      <c r="R27" s="15" t="n">
        <f aca="false">Q27*L27</f>
        <v>0.999850746268657</v>
      </c>
      <c r="S27" s="15" t="n">
        <f aca="false">J27-R27</f>
        <v>-0.899850746268657</v>
      </c>
      <c r="T27" s="15" t="n">
        <f aca="false">MIN(153.6,(T26+S27))</f>
        <v>55.8010447761194</v>
      </c>
      <c r="V27" s="8" t="n">
        <v>935</v>
      </c>
      <c r="W27" s="8" t="n">
        <f aca="false">V27/D27</f>
        <v>59.5541401273885</v>
      </c>
      <c r="X27" s="8" t="n">
        <f aca="false">X26+V27</f>
        <v>19056.3</v>
      </c>
      <c r="AA27" s="8" t="n">
        <v>12.0264596782143</v>
      </c>
    </row>
    <row r="28" s="8" customFormat="true" ht="15" hidden="false" customHeight="false" outlineLevel="0" collapsed="false">
      <c r="A28" s="9"/>
      <c r="B28" s="10"/>
      <c r="C28" s="11" t="n">
        <v>41544</v>
      </c>
      <c r="D28" s="8" t="n">
        <v>12.7</v>
      </c>
      <c r="E28" s="8" t="n">
        <v>8.8</v>
      </c>
      <c r="F28" s="8" t="n">
        <v>15.4</v>
      </c>
      <c r="G28" s="8" t="n">
        <f aca="false">G27+D28</f>
        <v>338.4</v>
      </c>
      <c r="J28" s="8" t="n">
        <v>0</v>
      </c>
      <c r="K28" s="8" t="n">
        <f aca="false">K27+J28</f>
        <v>71.7</v>
      </c>
      <c r="L28" s="8" t="n">
        <v>1.3</v>
      </c>
      <c r="M28" s="8" t="n">
        <f aca="false">M27+L28</f>
        <v>47.3</v>
      </c>
      <c r="N28" s="14" t="n">
        <f aca="false">J28-L28</f>
        <v>-1.3</v>
      </c>
      <c r="O28" s="8" t="n">
        <v>32.2</v>
      </c>
      <c r="P28" s="8" t="n">
        <v>23</v>
      </c>
      <c r="Q28" s="8" t="n">
        <f aca="false">0.35+((P28-9)/67)*(1-0.35)</f>
        <v>0.485820895522388</v>
      </c>
      <c r="R28" s="15" t="n">
        <f aca="false">Q28*L28</f>
        <v>0.631567164179105</v>
      </c>
      <c r="S28" s="15" t="n">
        <f aca="false">J28-R28</f>
        <v>-0.631567164179105</v>
      </c>
      <c r="T28" s="15" t="n">
        <f aca="false">MIN(153.6,(T27+S28))</f>
        <v>55.1694776119403</v>
      </c>
      <c r="V28" s="8" t="n">
        <v>1323</v>
      </c>
      <c r="W28" s="8" t="n">
        <f aca="false">V28/D28</f>
        <v>104.173228346457</v>
      </c>
      <c r="X28" s="8" t="n">
        <f aca="false">X27+V28</f>
        <v>20379.3</v>
      </c>
      <c r="AA28" s="8" t="n">
        <v>11.9630351124153</v>
      </c>
    </row>
    <row r="29" s="8" customFormat="true" ht="15" hidden="false" customHeight="false" outlineLevel="0" collapsed="false">
      <c r="A29" s="9"/>
      <c r="B29" s="10"/>
      <c r="C29" s="11" t="n">
        <v>41545</v>
      </c>
      <c r="D29" s="8" t="n">
        <v>14.8</v>
      </c>
      <c r="E29" s="8" t="n">
        <v>10.6</v>
      </c>
      <c r="F29" s="8" t="n">
        <v>18.9</v>
      </c>
      <c r="G29" s="8" t="n">
        <f aca="false">G28+D29</f>
        <v>353.2</v>
      </c>
      <c r="J29" s="8" t="n">
        <v>0</v>
      </c>
      <c r="K29" s="8" t="n">
        <f aca="false">K28+J29</f>
        <v>71.7</v>
      </c>
      <c r="L29" s="8" t="n">
        <v>2.3</v>
      </c>
      <c r="M29" s="8" t="n">
        <f aca="false">M28+L29</f>
        <v>49.6</v>
      </c>
      <c r="N29" s="14" t="n">
        <f aca="false">J29-L29</f>
        <v>-2.3</v>
      </c>
      <c r="O29" s="8" t="n">
        <v>29.9</v>
      </c>
      <c r="P29" s="8" t="n">
        <v>24</v>
      </c>
      <c r="Q29" s="8" t="n">
        <f aca="false">0.35+((P29-9)/67)*(1-0.35)</f>
        <v>0.495522388059702</v>
      </c>
      <c r="R29" s="15" t="n">
        <f aca="false">Q29*L29</f>
        <v>1.13970149253731</v>
      </c>
      <c r="S29" s="15" t="n">
        <f aca="false">J29-R29</f>
        <v>-1.13970149253731</v>
      </c>
      <c r="T29" s="15" t="n">
        <f aca="false">MIN(153.6,(T28+S29))</f>
        <v>54.029776119403</v>
      </c>
      <c r="V29" s="8" t="n">
        <v>1312.5</v>
      </c>
      <c r="W29" s="8" t="n">
        <f aca="false">V29/D29</f>
        <v>88.6824324324324</v>
      </c>
      <c r="X29" s="8" t="n">
        <f aca="false">X28+V29</f>
        <v>21691.8</v>
      </c>
      <c r="AA29" s="8" t="n">
        <v>11.8996128643743</v>
      </c>
    </row>
    <row r="30" s="8" customFormat="true" ht="15" hidden="false" customHeight="false" outlineLevel="0" collapsed="false">
      <c r="A30" s="9"/>
      <c r="B30" s="10"/>
      <c r="C30" s="11" t="n">
        <v>41546</v>
      </c>
      <c r="D30" s="8" t="n">
        <v>14.5</v>
      </c>
      <c r="E30" s="8" t="n">
        <v>10.6</v>
      </c>
      <c r="F30" s="8" t="n">
        <v>17.2</v>
      </c>
      <c r="G30" s="8" t="n">
        <f aca="false">G29+D30</f>
        <v>367.7</v>
      </c>
      <c r="J30" s="8" t="n">
        <v>0</v>
      </c>
      <c r="K30" s="8" t="n">
        <f aca="false">K29+J30</f>
        <v>71.7</v>
      </c>
      <c r="L30" s="8" t="n">
        <v>1.8</v>
      </c>
      <c r="M30" s="8" t="n">
        <f aca="false">M29+L30</f>
        <v>51.4</v>
      </c>
      <c r="N30" s="14" t="n">
        <f aca="false">J30-L30</f>
        <v>-1.8</v>
      </c>
      <c r="O30" s="8" t="n">
        <v>28.1</v>
      </c>
      <c r="P30" s="8" t="n">
        <v>25</v>
      </c>
      <c r="Q30" s="8" t="n">
        <f aca="false">0.35+((P30-9)/67)*(1-0.35)</f>
        <v>0.505223880597015</v>
      </c>
      <c r="R30" s="15" t="n">
        <f aca="false">Q30*L30</f>
        <v>0.909402985074627</v>
      </c>
      <c r="S30" s="15" t="n">
        <f aca="false">J30-R30</f>
        <v>-0.909402985074627</v>
      </c>
      <c r="T30" s="15" t="n">
        <f aca="false">MIN(153.6,(T29+S30))</f>
        <v>53.1203731343284</v>
      </c>
      <c r="V30" s="8" t="n">
        <v>949.5</v>
      </c>
      <c r="W30" s="8" t="n">
        <f aca="false">V30/D30</f>
        <v>65.4827586206897</v>
      </c>
      <c r="X30" s="8" t="n">
        <f aca="false">X29+V30</f>
        <v>22641.3</v>
      </c>
      <c r="AA30" s="8" t="n">
        <v>11.8361983894897</v>
      </c>
    </row>
    <row r="31" s="8" customFormat="true" ht="15" hidden="false" customHeight="false" outlineLevel="0" collapsed="false">
      <c r="A31" s="9"/>
      <c r="B31" s="10"/>
      <c r="C31" s="11" t="n">
        <v>41547</v>
      </c>
      <c r="D31" s="8" t="n">
        <v>13.8</v>
      </c>
      <c r="E31" s="8" t="n">
        <v>10.5</v>
      </c>
      <c r="F31" s="8" t="n">
        <v>18.3</v>
      </c>
      <c r="G31" s="8" t="n">
        <f aca="false">G30+D31</f>
        <v>381.5</v>
      </c>
      <c r="J31" s="8" t="n">
        <v>0</v>
      </c>
      <c r="K31" s="8" t="n">
        <f aca="false">K30+J31</f>
        <v>71.7</v>
      </c>
      <c r="L31" s="8" t="n">
        <v>2.6</v>
      </c>
      <c r="M31" s="8" t="n">
        <f aca="false">M30+L31</f>
        <v>54</v>
      </c>
      <c r="N31" s="14" t="n">
        <f aca="false">J31-L31</f>
        <v>-2.6</v>
      </c>
      <c r="O31" s="8" t="n">
        <v>25.5</v>
      </c>
      <c r="P31" s="8" t="n">
        <v>26</v>
      </c>
      <c r="Q31" s="8" t="n">
        <f aca="false">0.35+((P31-9)/67)*(1-0.35)</f>
        <v>0.514925373134328</v>
      </c>
      <c r="R31" s="15" t="n">
        <f aca="false">Q31*L31</f>
        <v>1.33880597014925</v>
      </c>
      <c r="S31" s="15" t="n">
        <f aca="false">J31-R31</f>
        <v>-1.33880597014925</v>
      </c>
      <c r="T31" s="15" t="n">
        <f aca="false">MIN(153.6,(T30+S31))</f>
        <v>51.7815671641791</v>
      </c>
      <c r="V31" s="8" t="n">
        <v>1513.8</v>
      </c>
      <c r="W31" s="8" t="n">
        <f aca="false">V31/D31</f>
        <v>109.695652173913</v>
      </c>
      <c r="X31" s="8" t="n">
        <f aca="false">X30+V31</f>
        <v>24155.1</v>
      </c>
      <c r="AA31" s="8" t="n">
        <v>11.7727972497032</v>
      </c>
    </row>
    <row r="32" s="8" customFormat="true" ht="15" hidden="false" customHeight="false" outlineLevel="0" collapsed="false">
      <c r="A32" s="9"/>
      <c r="B32" s="10"/>
      <c r="C32" s="11" t="n">
        <v>41548</v>
      </c>
      <c r="D32" s="8" t="n">
        <v>12.8</v>
      </c>
      <c r="E32" s="8" t="n">
        <v>8.8</v>
      </c>
      <c r="F32" s="8" t="n">
        <v>18.1</v>
      </c>
      <c r="G32" s="8" t="n">
        <f aca="false">G31+D32</f>
        <v>394.3</v>
      </c>
      <c r="J32" s="8" t="n">
        <v>0</v>
      </c>
      <c r="K32" s="8" t="n">
        <f aca="false">K31+J32</f>
        <v>71.7</v>
      </c>
      <c r="L32" s="8" t="n">
        <v>2.4</v>
      </c>
      <c r="M32" s="8" t="n">
        <f aca="false">M31+L32</f>
        <v>56.4</v>
      </c>
      <c r="N32" s="14" t="n">
        <f aca="false">J32-L32</f>
        <v>-2.4</v>
      </c>
      <c r="O32" s="8" t="n">
        <v>23.1</v>
      </c>
      <c r="P32" s="8" t="n">
        <v>27</v>
      </c>
      <c r="Q32" s="8" t="n">
        <f aca="false">0.35+((P32-9)/67)*(1-0.35)</f>
        <v>0.524626865671642</v>
      </c>
      <c r="R32" s="15" t="n">
        <f aca="false">Q32*L32</f>
        <v>1.25910447761194</v>
      </c>
      <c r="S32" s="15" t="n">
        <f aca="false">J32-R32</f>
        <v>-1.25910447761194</v>
      </c>
      <c r="T32" s="15" t="n">
        <f aca="false">MIN(153.6,(T31+S32))</f>
        <v>50.5224626865672</v>
      </c>
      <c r="V32" s="8" t="n">
        <v>1375.6</v>
      </c>
      <c r="W32" s="8" t="n">
        <f aca="false">V32/D32</f>
        <v>107.46875</v>
      </c>
      <c r="X32" s="8" t="n">
        <f aca="false">X31+V32</f>
        <v>25530.7</v>
      </c>
      <c r="AA32" s="8" t="n">
        <v>11.7094151324735</v>
      </c>
    </row>
    <row r="33" s="8" customFormat="true" ht="15" hidden="false" customHeight="false" outlineLevel="0" collapsed="false">
      <c r="A33" s="9"/>
      <c r="B33" s="10"/>
      <c r="C33" s="11" t="n">
        <v>41549</v>
      </c>
      <c r="D33" s="8" t="n">
        <v>14.8</v>
      </c>
      <c r="E33" s="8" t="n">
        <v>10</v>
      </c>
      <c r="F33" s="8" t="n">
        <v>20</v>
      </c>
      <c r="G33" s="8" t="n">
        <f aca="false">G32+D33</f>
        <v>409.1</v>
      </c>
      <c r="J33" s="8" t="n">
        <v>0</v>
      </c>
      <c r="K33" s="8" t="n">
        <f aca="false">K32+J33</f>
        <v>71.7</v>
      </c>
      <c r="L33" s="8" t="n">
        <v>2.4</v>
      </c>
      <c r="M33" s="8" t="n">
        <f aca="false">M32+L33</f>
        <v>58.8</v>
      </c>
      <c r="N33" s="14" t="n">
        <f aca="false">J33-L33</f>
        <v>-2.4</v>
      </c>
      <c r="O33" s="8" t="n">
        <v>20.7</v>
      </c>
      <c r="P33" s="8" t="n">
        <v>28</v>
      </c>
      <c r="Q33" s="8" t="n">
        <f aca="false">0.35+((P33-9)/67)*(1-0.35)</f>
        <v>0.534328358208955</v>
      </c>
      <c r="R33" s="15" t="n">
        <f aca="false">Q33*L33</f>
        <v>1.28238805970149</v>
      </c>
      <c r="S33" s="15" t="n">
        <f aca="false">J33-R33</f>
        <v>-1.28238805970149</v>
      </c>
      <c r="T33" s="15" t="n">
        <f aca="false">MIN(153.6,(T32+S33))</f>
        <v>49.2400746268657</v>
      </c>
      <c r="V33" s="8" t="n">
        <v>1092.7</v>
      </c>
      <c r="W33" s="8" t="n">
        <f aca="false">V33/D33</f>
        <v>73.8310810810811</v>
      </c>
      <c r="X33" s="8" t="n">
        <f aca="false">X32+V33</f>
        <v>26623.4</v>
      </c>
      <c r="AA33" s="8" t="n">
        <v>11.646057869903</v>
      </c>
    </row>
    <row r="34" s="8" customFormat="true" ht="15" hidden="false" customHeight="false" outlineLevel="0" collapsed="false">
      <c r="A34" s="9"/>
      <c r="B34" s="10"/>
      <c r="C34" s="11" t="n">
        <v>41550</v>
      </c>
      <c r="D34" s="8" t="n">
        <v>16.4</v>
      </c>
      <c r="E34" s="8" t="n">
        <v>11</v>
      </c>
      <c r="F34" s="8" t="n">
        <v>21.1</v>
      </c>
      <c r="G34" s="8" t="n">
        <f aca="false">G33+D34</f>
        <v>425.5</v>
      </c>
      <c r="J34" s="8" t="n">
        <v>3.2</v>
      </c>
      <c r="K34" s="8" t="n">
        <f aca="false">K33+J34</f>
        <v>74.9</v>
      </c>
      <c r="L34" s="8" t="n">
        <v>2.4</v>
      </c>
      <c r="M34" s="8" t="n">
        <f aca="false">M33+L34</f>
        <v>61.2</v>
      </c>
      <c r="N34" s="8" t="n">
        <f aca="false">J34-L34</f>
        <v>0.8</v>
      </c>
      <c r="O34" s="8" t="n">
        <v>21.5</v>
      </c>
      <c r="P34" s="8" t="n">
        <v>29</v>
      </c>
      <c r="Q34" s="8" t="n">
        <f aca="false">0.35+((P34-9)/67)*(1-0.35)</f>
        <v>0.544029850746269</v>
      </c>
      <c r="R34" s="15" t="n">
        <f aca="false">Q34*L34</f>
        <v>1.30567164179104</v>
      </c>
      <c r="S34" s="15" t="n">
        <f aca="false">J34-R34</f>
        <v>1.89432835820896</v>
      </c>
      <c r="T34" s="15" t="n">
        <f aca="false">MIN(153.6,(T33+S34))</f>
        <v>51.1344029850746</v>
      </c>
      <c r="V34" s="8" t="n">
        <v>1201.8</v>
      </c>
      <c r="W34" s="8" t="n">
        <f aca="false">V34/D34</f>
        <v>73.2804878048781</v>
      </c>
      <c r="X34" s="8" t="n">
        <f aca="false">X33+V34</f>
        <v>27825.2</v>
      </c>
      <c r="AA34" s="8" t="n">
        <v>11.582731458026</v>
      </c>
    </row>
    <row r="35" s="8" customFormat="true" ht="15" hidden="false" customHeight="false" outlineLevel="0" collapsed="false">
      <c r="A35" s="9"/>
      <c r="B35" s="10"/>
      <c r="C35" s="11" t="n">
        <v>41551</v>
      </c>
      <c r="D35" s="8" t="n">
        <v>18</v>
      </c>
      <c r="E35" s="8" t="n">
        <v>17.3</v>
      </c>
      <c r="F35" s="8" t="n">
        <v>20.7</v>
      </c>
      <c r="G35" s="8" t="n">
        <f aca="false">G34+D35</f>
        <v>443.5</v>
      </c>
      <c r="J35" s="8" t="n">
        <v>0.8</v>
      </c>
      <c r="K35" s="8" t="n">
        <f aca="false">K34+J35</f>
        <v>75.7</v>
      </c>
      <c r="L35" s="8" t="n">
        <v>2.5</v>
      </c>
      <c r="M35" s="8" t="n">
        <f aca="false">M34+L35</f>
        <v>63.7</v>
      </c>
      <c r="N35" s="14" t="n">
        <f aca="false">J35-L35</f>
        <v>-1.7</v>
      </c>
      <c r="O35" s="8" t="n">
        <v>19.8</v>
      </c>
      <c r="P35" s="8" t="n">
        <v>30</v>
      </c>
      <c r="Q35" s="8" t="n">
        <f aca="false">0.35+((P35-9)/67)*(1-0.35)</f>
        <v>0.553731343283582</v>
      </c>
      <c r="R35" s="15" t="n">
        <f aca="false">Q35*L35</f>
        <v>1.38432835820896</v>
      </c>
      <c r="S35" s="15" t="n">
        <f aca="false">J35-R35</f>
        <v>-0.584328358208955</v>
      </c>
      <c r="T35" s="15" t="n">
        <f aca="false">MIN(153.6,(T34+S35))</f>
        <v>50.5500746268657</v>
      </c>
      <c r="V35" s="16" t="n">
        <v>744.5</v>
      </c>
      <c r="W35" s="8" t="n">
        <f aca="false">V35/D35</f>
        <v>41.3611111111111</v>
      </c>
      <c r="X35" s="8" t="n">
        <f aca="false">X34+V35</f>
        <v>28569.7</v>
      </c>
      <c r="AA35" s="8" t="n">
        <v>11.5194420762639</v>
      </c>
    </row>
    <row r="36" s="8" customFormat="true" ht="15" hidden="false" customHeight="false" outlineLevel="0" collapsed="false">
      <c r="A36" s="9"/>
      <c r="B36" s="10"/>
      <c r="C36" s="11" t="n">
        <v>41552</v>
      </c>
      <c r="D36" s="8" t="n">
        <v>15.3</v>
      </c>
      <c r="E36" s="8" t="n">
        <v>13.1</v>
      </c>
      <c r="F36" s="8" t="n">
        <v>19.2</v>
      </c>
      <c r="G36" s="8" t="n">
        <f aca="false">G35+D36</f>
        <v>458.8</v>
      </c>
      <c r="J36" s="8" t="n">
        <v>0</v>
      </c>
      <c r="K36" s="8" t="n">
        <f aca="false">K35+J36</f>
        <v>75.7</v>
      </c>
      <c r="L36" s="8" t="n">
        <v>1.4</v>
      </c>
      <c r="M36" s="8" t="n">
        <f aca="false">M35+L36</f>
        <v>65.1</v>
      </c>
      <c r="N36" s="14" t="n">
        <f aca="false">J36-L36</f>
        <v>-1.4</v>
      </c>
      <c r="O36" s="8" t="n">
        <v>18.4</v>
      </c>
      <c r="P36" s="8" t="n">
        <v>31</v>
      </c>
      <c r="Q36" s="8" t="n">
        <f aca="false">0.35+((P36-9)/67)*(1-0.35)</f>
        <v>0.563432835820896</v>
      </c>
      <c r="R36" s="15" t="n">
        <f aca="false">Q36*L36</f>
        <v>0.788805970149254</v>
      </c>
      <c r="S36" s="15" t="n">
        <f aca="false">J36-R36</f>
        <v>-0.788805970149254</v>
      </c>
      <c r="T36" s="15" t="n">
        <f aca="false">MIN(153.6,(T35+S36))</f>
        <v>49.7612686567164</v>
      </c>
      <c r="V36" s="16" t="n">
        <v>414.7</v>
      </c>
      <c r="W36" s="8" t="n">
        <f aca="false">V36/D36</f>
        <v>27.1045751633987</v>
      </c>
      <c r="X36" s="8" t="n">
        <f aca="false">X35+V36</f>
        <v>28984.4</v>
      </c>
      <c r="AA36" s="8" t="n">
        <v>11.4561961070522</v>
      </c>
    </row>
    <row r="37" s="8" customFormat="true" ht="15" hidden="false" customHeight="false" outlineLevel="0" collapsed="false">
      <c r="A37" s="9"/>
      <c r="B37" s="10"/>
      <c r="C37" s="11" t="n">
        <v>41553</v>
      </c>
      <c r="D37" s="8" t="n">
        <v>14.7</v>
      </c>
      <c r="E37" s="8" t="n">
        <v>12.8</v>
      </c>
      <c r="F37" s="8" t="n">
        <v>18.7</v>
      </c>
      <c r="G37" s="8" t="n">
        <f aca="false">G36+D37</f>
        <v>473.5</v>
      </c>
      <c r="J37" s="8" t="n">
        <v>0</v>
      </c>
      <c r="K37" s="8" t="n">
        <f aca="false">K36+J37</f>
        <v>75.7</v>
      </c>
      <c r="L37" s="8" t="n">
        <v>2.4</v>
      </c>
      <c r="M37" s="8" t="n">
        <f aca="false">M36+L37</f>
        <v>67.5</v>
      </c>
      <c r="N37" s="14" t="n">
        <f aca="false">J37-L37</f>
        <v>-2.4</v>
      </c>
      <c r="O37" s="8" t="n">
        <v>16</v>
      </c>
      <c r="P37" s="8" t="n">
        <v>32</v>
      </c>
      <c r="Q37" s="8" t="n">
        <f aca="false">0.35+((P37-9)/67)*(1-0.35)</f>
        <v>0.573134328358209</v>
      </c>
      <c r="R37" s="15" t="n">
        <f aca="false">Q37*L37</f>
        <v>1.3755223880597</v>
      </c>
      <c r="S37" s="15" t="n">
        <f aca="false">J37-R37</f>
        <v>-1.3755223880597</v>
      </c>
      <c r="T37" s="15" t="n">
        <f aca="false">MIN(153.6,(T36+S37))</f>
        <v>48.3857462686567</v>
      </c>
      <c r="V37" s="8" t="n">
        <v>1022.1</v>
      </c>
      <c r="W37" s="8" t="n">
        <f aca="false">V37/D37</f>
        <v>69.530612244898</v>
      </c>
      <c r="X37" s="8" t="n">
        <f aca="false">X36+V37</f>
        <v>30006.5</v>
      </c>
      <c r="AA37" s="8" t="n">
        <v>11.3930001556411</v>
      </c>
    </row>
    <row r="38" s="8" customFormat="true" ht="15" hidden="false" customHeight="false" outlineLevel="0" collapsed="false">
      <c r="A38" s="9"/>
      <c r="B38" s="10"/>
      <c r="C38" s="11" t="n">
        <v>41554</v>
      </c>
      <c r="D38" s="8" t="n">
        <v>12.6</v>
      </c>
      <c r="E38" s="8" t="n">
        <v>7.6</v>
      </c>
      <c r="F38" s="8" t="n">
        <v>18</v>
      </c>
      <c r="G38" s="8" t="n">
        <f aca="false">G37+D38</f>
        <v>486.1</v>
      </c>
      <c r="J38" s="8" t="n">
        <v>0.2</v>
      </c>
      <c r="K38" s="8" t="n">
        <f aca="false">K37+J38</f>
        <v>75.9</v>
      </c>
      <c r="L38" s="8" t="n">
        <v>2.3</v>
      </c>
      <c r="M38" s="8" t="n">
        <f aca="false">M37+L38</f>
        <v>69.8</v>
      </c>
      <c r="N38" s="14" t="n">
        <f aca="false">J38-L38</f>
        <v>-2.1</v>
      </c>
      <c r="O38" s="8" t="n">
        <v>13.9</v>
      </c>
      <c r="P38" s="8" t="n">
        <v>33</v>
      </c>
      <c r="Q38" s="8" t="n">
        <f aca="false">0.35+((P38-9)/67)*(1-0.35)</f>
        <v>0.582835820895522</v>
      </c>
      <c r="R38" s="15" t="n">
        <f aca="false">Q38*L38</f>
        <v>1.3405223880597</v>
      </c>
      <c r="S38" s="15" t="n">
        <f aca="false">J38-R38</f>
        <v>-1.1405223880597</v>
      </c>
      <c r="T38" s="15" t="n">
        <f aca="false">MIN(153.6,(T37+S38))</f>
        <v>47.245223880597</v>
      </c>
      <c r="V38" s="8" t="n">
        <v>1070.3</v>
      </c>
      <c r="W38" s="8" t="n">
        <f aca="false">V38/D38</f>
        <v>84.9444444444444</v>
      </c>
      <c r="X38" s="8" t="n">
        <f aca="false">X37+V38</f>
        <v>31076.8</v>
      </c>
      <c r="AA38" s="8" t="n">
        <v>11.3298610700723</v>
      </c>
    </row>
    <row r="39" s="8" customFormat="true" ht="15" hidden="false" customHeight="false" outlineLevel="0" collapsed="false">
      <c r="A39" s="9"/>
      <c r="B39" s="10"/>
      <c r="C39" s="11" t="n">
        <v>41555</v>
      </c>
      <c r="D39" s="8" t="n">
        <v>13.7</v>
      </c>
      <c r="E39" s="8" t="n">
        <v>7.7</v>
      </c>
      <c r="F39" s="8" t="n">
        <v>18.9</v>
      </c>
      <c r="G39" s="8" t="n">
        <f aca="false">G38+D39</f>
        <v>499.8</v>
      </c>
      <c r="J39" s="8" t="n">
        <v>1.8</v>
      </c>
      <c r="K39" s="8" t="n">
        <f aca="false">K38+J39</f>
        <v>77.7</v>
      </c>
      <c r="L39" s="8" t="n">
        <v>2.2</v>
      </c>
      <c r="M39" s="8" t="n">
        <f aca="false">M38+L39</f>
        <v>72</v>
      </c>
      <c r="N39" s="14" t="n">
        <f aca="false">J39-L39</f>
        <v>-0.4</v>
      </c>
      <c r="O39" s="8" t="n">
        <v>13.5</v>
      </c>
      <c r="P39" s="8" t="n">
        <v>34</v>
      </c>
      <c r="Q39" s="8" t="n">
        <f aca="false">0.35+((P39-9)/67)*(1-0.35)</f>
        <v>0.592537313432836</v>
      </c>
      <c r="R39" s="15" t="n">
        <f aca="false">Q39*L39</f>
        <v>1.30358208955224</v>
      </c>
      <c r="S39" s="15" t="n">
        <f aca="false">J39-R39</f>
        <v>0.496417910447761</v>
      </c>
      <c r="T39" s="15" t="n">
        <f aca="false">MIN(153.6,(T38+S39))</f>
        <v>47.7416417910448</v>
      </c>
      <c r="V39" s="8" t="n">
        <v>1085.3</v>
      </c>
      <c r="W39" s="8" t="n">
        <f aca="false">V39/D39</f>
        <v>79.2189781021898</v>
      </c>
      <c r="X39" s="8" t="n">
        <f aca="false">X38+V39</f>
        <v>32162.1</v>
      </c>
      <c r="AA39" s="8" t="n">
        <v>11.2667859613301</v>
      </c>
    </row>
    <row r="40" s="8" customFormat="true" ht="15" hidden="false" customHeight="false" outlineLevel="0" collapsed="false">
      <c r="A40" s="9"/>
      <c r="B40" s="10"/>
      <c r="C40" s="11" t="n">
        <v>41556</v>
      </c>
      <c r="D40" s="8" t="n">
        <v>14.2</v>
      </c>
      <c r="E40" s="8" t="n">
        <v>13.3</v>
      </c>
      <c r="F40" s="8" t="n">
        <v>16.2</v>
      </c>
      <c r="G40" s="8" t="n">
        <f aca="false">G39+D40</f>
        <v>514</v>
      </c>
      <c r="J40" s="8" t="n">
        <v>1.1</v>
      </c>
      <c r="K40" s="8" t="n">
        <f aca="false">K39+J40</f>
        <v>78.8</v>
      </c>
      <c r="L40" s="8" t="n">
        <v>1.6</v>
      </c>
      <c r="M40" s="8" t="n">
        <f aca="false">M39+L40</f>
        <v>73.6</v>
      </c>
      <c r="N40" s="14" t="n">
        <f aca="false">J40-L40</f>
        <v>-0.5</v>
      </c>
      <c r="O40" s="8" t="n">
        <v>13</v>
      </c>
      <c r="P40" s="8" t="n">
        <v>35</v>
      </c>
      <c r="Q40" s="8" t="n">
        <f aca="false">0.35+((P40-9)/67)*(1-0.35)</f>
        <v>0.602238805970149</v>
      </c>
      <c r="R40" s="15" t="n">
        <f aca="false">Q40*L40</f>
        <v>0.963582089552239</v>
      </c>
      <c r="S40" s="15" t="n">
        <f aca="false">J40-R40</f>
        <v>0.136417910447761</v>
      </c>
      <c r="T40" s="15" t="n">
        <f aca="false">MIN(153.6,(T39+S40))</f>
        <v>47.8780597014925</v>
      </c>
      <c r="V40" s="16" t="n">
        <v>423.7</v>
      </c>
      <c r="W40" s="8" t="n">
        <f aca="false">V40/D40</f>
        <v>29.8380281690141</v>
      </c>
      <c r="X40" s="8" t="n">
        <f aca="false">X39+V40</f>
        <v>32585.8</v>
      </c>
      <c r="AA40" s="8" t="n">
        <v>11.2037822236643</v>
      </c>
    </row>
    <row r="41" s="8" customFormat="true" ht="15" hidden="false" customHeight="false" outlineLevel="0" collapsed="false">
      <c r="A41" s="9"/>
      <c r="B41" s="10"/>
      <c r="C41" s="11" t="n">
        <v>41557</v>
      </c>
      <c r="D41" s="8" t="n">
        <v>9</v>
      </c>
      <c r="E41" s="8" t="n">
        <v>8.4</v>
      </c>
      <c r="F41" s="8" t="n">
        <v>9.3</v>
      </c>
      <c r="G41" s="8" t="n">
        <f aca="false">G40+D41</f>
        <v>523</v>
      </c>
      <c r="J41" s="8" t="n">
        <v>52.2</v>
      </c>
      <c r="K41" s="8" t="n">
        <f aca="false">K40+J41</f>
        <v>131</v>
      </c>
      <c r="L41" s="8" t="n">
        <v>1.1</v>
      </c>
      <c r="M41" s="8" t="n">
        <f aca="false">M40+L41</f>
        <v>74.7</v>
      </c>
      <c r="N41" s="8" t="n">
        <f aca="false">J41-L41</f>
        <v>51.1</v>
      </c>
      <c r="O41" s="8" t="n">
        <v>64.1</v>
      </c>
      <c r="P41" s="8" t="n">
        <v>36</v>
      </c>
      <c r="Q41" s="8" t="n">
        <f aca="false">0.35+((P41-9)/67)*(1-0.35)</f>
        <v>0.611940298507463</v>
      </c>
      <c r="R41" s="15" t="n">
        <f aca="false">Q41*L41</f>
        <v>0.673134328358209</v>
      </c>
      <c r="S41" s="15" t="n">
        <f aca="false">J41-R41</f>
        <v>51.5268656716418</v>
      </c>
      <c r="T41" s="15" t="n">
        <f aca="false">MIN(153.6,(T40+S41))</f>
        <v>99.4049253731343</v>
      </c>
      <c r="V41" s="16" t="n">
        <v>255.4</v>
      </c>
      <c r="W41" s="8" t="n">
        <f aca="false">V41/D41</f>
        <v>28.3777777777778</v>
      </c>
      <c r="X41" s="8" t="n">
        <f aca="false">X40+V41</f>
        <v>32841.2</v>
      </c>
      <c r="AA41" s="8" t="n">
        <v>11.1408575550779</v>
      </c>
    </row>
    <row r="42" s="8" customFormat="true" ht="15" hidden="false" customHeight="false" outlineLevel="0" collapsed="false">
      <c r="A42" s="9"/>
      <c r="B42" s="10"/>
      <c r="C42" s="11" t="n">
        <v>41558</v>
      </c>
      <c r="D42" s="8" t="n">
        <v>8.6</v>
      </c>
      <c r="E42" s="8" t="n">
        <v>7.4</v>
      </c>
      <c r="F42" s="8" t="n">
        <v>9.7</v>
      </c>
      <c r="G42" s="8" t="n">
        <f aca="false">G41+D42</f>
        <v>531.6</v>
      </c>
      <c r="J42" s="8" t="n">
        <v>3.2</v>
      </c>
      <c r="K42" s="8" t="n">
        <f aca="false">K41+J42</f>
        <v>134.2</v>
      </c>
      <c r="L42" s="8" t="n">
        <v>0.7</v>
      </c>
      <c r="M42" s="8" t="n">
        <f aca="false">M41+L42</f>
        <v>75.4</v>
      </c>
      <c r="N42" s="8" t="n">
        <f aca="false">J42-L42</f>
        <v>2.5</v>
      </c>
      <c r="O42" s="8" t="n">
        <v>66.6</v>
      </c>
      <c r="P42" s="8" t="n">
        <v>37</v>
      </c>
      <c r="Q42" s="8" t="n">
        <f aca="false">0.35+((P42-9)/67)*(1-0.35)</f>
        <v>0.621641791044776</v>
      </c>
      <c r="R42" s="15" t="n">
        <f aca="false">Q42*L42</f>
        <v>0.435149253731343</v>
      </c>
      <c r="S42" s="15" t="n">
        <f aca="false">J42-R42</f>
        <v>2.76485074626866</v>
      </c>
      <c r="T42" s="15" t="n">
        <f aca="false">MIN(153.6,(T41+S42))</f>
        <v>102.169776119403</v>
      </c>
      <c r="V42" s="16" t="n">
        <v>371.9</v>
      </c>
      <c r="W42" s="8" t="n">
        <f aca="false">V42/D42</f>
        <v>43.2441860465116</v>
      </c>
      <c r="X42" s="8" t="n">
        <f aca="false">X41+V42</f>
        <v>33213.1</v>
      </c>
      <c r="AA42" s="8" t="n">
        <v>11.0780199779733</v>
      </c>
    </row>
    <row r="43" s="8" customFormat="true" ht="15" hidden="false" customHeight="false" outlineLevel="0" collapsed="false">
      <c r="A43" s="9"/>
      <c r="B43" s="10"/>
      <c r="C43" s="11" t="n">
        <v>41559</v>
      </c>
      <c r="D43" s="8" t="n">
        <v>8.3</v>
      </c>
      <c r="E43" s="18" t="n">
        <v>4.3</v>
      </c>
      <c r="F43" s="8" t="n">
        <v>11.3</v>
      </c>
      <c r="G43" s="8" t="n">
        <f aca="false">G42+D43</f>
        <v>539.9</v>
      </c>
      <c r="J43" s="8" t="n">
        <v>0.6</v>
      </c>
      <c r="K43" s="8" t="n">
        <f aca="false">K42+J43</f>
        <v>134.8</v>
      </c>
      <c r="L43" s="8" t="n">
        <v>1</v>
      </c>
      <c r="M43" s="8" t="n">
        <f aca="false">M42+L43</f>
        <v>76.4</v>
      </c>
      <c r="N43" s="14" t="n">
        <f aca="false">J43-L43</f>
        <v>-0.4</v>
      </c>
      <c r="O43" s="8" t="n">
        <v>66.2</v>
      </c>
      <c r="P43" s="8" t="n">
        <v>38</v>
      </c>
      <c r="Q43" s="8" t="n">
        <f aca="false">0.35+((P43-9)/67)*(1-0.35)</f>
        <v>0.63134328358209</v>
      </c>
      <c r="R43" s="15" t="n">
        <f aca="false">Q43*L43</f>
        <v>0.63134328358209</v>
      </c>
      <c r="S43" s="15" t="n">
        <f aca="false">J43-R43</f>
        <v>-0.0313432835820896</v>
      </c>
      <c r="T43" s="15" t="n">
        <f aca="false">MIN(153.6,(T42+S43))</f>
        <v>102.138432835821</v>
      </c>
      <c r="V43" s="16" t="n">
        <v>764.3</v>
      </c>
      <c r="W43" s="8" t="n">
        <f aca="false">V43/D43</f>
        <v>92.0843373493976</v>
      </c>
      <c r="X43" s="8" t="n">
        <f aca="false">X42+V43</f>
        <v>33977.4</v>
      </c>
      <c r="AA43" s="8" t="n">
        <v>11.0152778599436</v>
      </c>
    </row>
    <row r="44" s="8" customFormat="true" ht="15" hidden="false" customHeight="false" outlineLevel="0" collapsed="false">
      <c r="A44" s="9"/>
      <c r="B44" s="10"/>
      <c r="C44" s="11" t="n">
        <v>41560</v>
      </c>
      <c r="D44" s="8" t="n">
        <v>8.7</v>
      </c>
      <c r="E44" s="8" t="n">
        <v>8.1</v>
      </c>
      <c r="F44" s="8" t="n">
        <v>9.8</v>
      </c>
      <c r="G44" s="8" t="n">
        <f aca="false">G43+D44</f>
        <v>548.6</v>
      </c>
      <c r="J44" s="8" t="n">
        <v>16.5</v>
      </c>
      <c r="K44" s="8" t="n">
        <f aca="false">K43+J44</f>
        <v>151.3</v>
      </c>
      <c r="L44" s="8" t="n">
        <v>0.9</v>
      </c>
      <c r="M44" s="8" t="n">
        <f aca="false">M43+L44</f>
        <v>77.3</v>
      </c>
      <c r="N44" s="8" t="n">
        <f aca="false">J44-L44</f>
        <v>15.6</v>
      </c>
      <c r="O44" s="8" t="n">
        <v>81.8</v>
      </c>
      <c r="P44" s="8" t="n">
        <v>39</v>
      </c>
      <c r="Q44" s="8" t="n">
        <f aca="false">0.35+((P44-9)/67)*(1-0.35)</f>
        <v>0.641044776119403</v>
      </c>
      <c r="R44" s="15" t="n">
        <f aca="false">Q44*L44</f>
        <v>0.576940298507463</v>
      </c>
      <c r="S44" s="15" t="n">
        <f aca="false">J44-R44</f>
        <v>15.9230597014925</v>
      </c>
      <c r="T44" s="15" t="n">
        <f aca="false">MIN(153.6,(T43+S44))</f>
        <v>118.061492537313</v>
      </c>
      <c r="V44" s="16" t="n">
        <v>149.4</v>
      </c>
      <c r="W44" s="8" t="n">
        <f aca="false">V44/D44</f>
        <v>17.1724137931035</v>
      </c>
      <c r="X44" s="8" t="n">
        <f aca="false">X43+V44</f>
        <v>34126.8</v>
      </c>
      <c r="AA44" s="8" t="n">
        <v>10.9526399346951</v>
      </c>
    </row>
    <row r="45" s="8" customFormat="true" ht="15" hidden="false" customHeight="false" outlineLevel="0" collapsed="false">
      <c r="A45" s="9"/>
      <c r="B45" s="10"/>
      <c r="C45" s="11" t="n">
        <v>41561</v>
      </c>
      <c r="D45" s="8" t="n">
        <v>10.4</v>
      </c>
      <c r="E45" s="8" t="n">
        <v>9.6</v>
      </c>
      <c r="F45" s="8" t="n">
        <v>11.1</v>
      </c>
      <c r="G45" s="8" t="n">
        <f aca="false">G44+D45</f>
        <v>559</v>
      </c>
      <c r="J45" s="8" t="n">
        <v>11.8</v>
      </c>
      <c r="K45" s="8" t="n">
        <f aca="false">K44+J45</f>
        <v>163.1</v>
      </c>
      <c r="L45" s="8" t="n">
        <v>0.6</v>
      </c>
      <c r="M45" s="8" t="n">
        <f aca="false">M44+L45</f>
        <v>77.9</v>
      </c>
      <c r="N45" s="8" t="n">
        <f aca="false">J45-L45</f>
        <v>11.2</v>
      </c>
      <c r="O45" s="8" t="n">
        <v>93</v>
      </c>
      <c r="P45" s="8" t="n">
        <v>40</v>
      </c>
      <c r="Q45" s="8" t="n">
        <f aca="false">0.35+((P45-9)/67)*(1-0.35)</f>
        <v>0.650746268656717</v>
      </c>
      <c r="R45" s="15" t="n">
        <f aca="false">Q45*L45</f>
        <v>0.39044776119403</v>
      </c>
      <c r="S45" s="15" t="n">
        <f aca="false">J45-R45</f>
        <v>11.409552238806</v>
      </c>
      <c r="T45" s="15" t="n">
        <f aca="false">MIN(153.6,(T44+S45))</f>
        <v>129.471044776119</v>
      </c>
      <c r="V45" s="16" t="n">
        <v>151.1</v>
      </c>
      <c r="W45" s="8" t="n">
        <f aca="false">V45/D45</f>
        <v>14.5288461538462</v>
      </c>
      <c r="X45" s="8" t="n">
        <f aca="false">X44+V45</f>
        <v>34277.9</v>
      </c>
      <c r="AA45" s="8" t="n">
        <v>10.8901153230823</v>
      </c>
    </row>
    <row r="46" s="8" customFormat="true" ht="15" hidden="false" customHeight="false" outlineLevel="0" collapsed="false">
      <c r="A46" s="9"/>
      <c r="B46" s="10"/>
      <c r="C46" s="11" t="n">
        <v>41562</v>
      </c>
      <c r="D46" s="8" t="n">
        <v>10.3</v>
      </c>
      <c r="E46" s="8" t="n">
        <v>8.2</v>
      </c>
      <c r="F46" s="8" t="n">
        <v>12.6</v>
      </c>
      <c r="G46" s="8" t="n">
        <f aca="false">G45+D46</f>
        <v>569.3</v>
      </c>
      <c r="J46" s="8" t="n">
        <v>0.2</v>
      </c>
      <c r="K46" s="8" t="n">
        <f aca="false">K45+J46</f>
        <v>163.3</v>
      </c>
      <c r="L46" s="8" t="n">
        <v>1.7</v>
      </c>
      <c r="M46" s="8" t="n">
        <f aca="false">M45+L46</f>
        <v>79.6</v>
      </c>
      <c r="N46" s="14" t="n">
        <f aca="false">J46-L46</f>
        <v>-1.5</v>
      </c>
      <c r="O46" s="8" t="n">
        <v>91.5</v>
      </c>
      <c r="P46" s="8" t="n">
        <v>41</v>
      </c>
      <c r="Q46" s="8" t="n">
        <f aca="false">0.35+((P46-9)/67)*(1-0.35)</f>
        <v>0.66044776119403</v>
      </c>
      <c r="R46" s="15" t="n">
        <f aca="false">Q46*L46</f>
        <v>1.12276119402985</v>
      </c>
      <c r="S46" s="15" t="n">
        <f aca="false">J46-R46</f>
        <v>-0.922761194029851</v>
      </c>
      <c r="T46" s="15" t="n">
        <f aca="false">MIN(153.6,(T45+S46))</f>
        <v>128.54828358209</v>
      </c>
      <c r="V46" s="16" t="n">
        <v>861.3</v>
      </c>
      <c r="W46" s="8" t="n">
        <f aca="false">V46/D46</f>
        <v>83.621359223301</v>
      </c>
      <c r="X46" s="8" t="n">
        <f aca="false">X45+V46</f>
        <v>35139.2</v>
      </c>
      <c r="AA46" s="8" t="n">
        <v>10.8277135542339</v>
      </c>
    </row>
    <row r="47" s="8" customFormat="true" ht="15" hidden="false" customHeight="false" outlineLevel="0" collapsed="false">
      <c r="A47" s="9"/>
      <c r="B47" s="10"/>
      <c r="C47" s="11" t="n">
        <v>41563</v>
      </c>
      <c r="D47" s="8" t="n">
        <v>10.2</v>
      </c>
      <c r="E47" s="8" t="n">
        <v>7.6</v>
      </c>
      <c r="F47" s="8" t="n">
        <v>12.5</v>
      </c>
      <c r="G47" s="8" t="n">
        <f aca="false">G46+D47</f>
        <v>579.5</v>
      </c>
      <c r="J47" s="8" t="n">
        <v>3.6</v>
      </c>
      <c r="K47" s="8" t="n">
        <f aca="false">K46+J47</f>
        <v>166.9</v>
      </c>
      <c r="L47" s="8" t="n">
        <v>0.5</v>
      </c>
      <c r="M47" s="8" t="n">
        <f aca="false">M46+L47</f>
        <v>80.1</v>
      </c>
      <c r="N47" s="8" t="n">
        <f aca="false">J47-L47</f>
        <v>3.1</v>
      </c>
      <c r="O47" s="8" t="n">
        <v>94.6</v>
      </c>
      <c r="P47" s="8" t="n">
        <v>42</v>
      </c>
      <c r="Q47" s="8" t="n">
        <f aca="false">0.35+((P47-9)/67)*(1-0.35)</f>
        <v>0.670149253731343</v>
      </c>
      <c r="R47" s="15" t="n">
        <f aca="false">Q47*L47</f>
        <v>0.335074626865672</v>
      </c>
      <c r="S47" s="15" t="n">
        <f aca="false">J47-R47</f>
        <v>3.26492537313433</v>
      </c>
      <c r="T47" s="15" t="n">
        <f aca="false">MIN(153.6,(T46+S47))</f>
        <v>131.813208955224</v>
      </c>
      <c r="V47" s="16" t="n">
        <v>239.4</v>
      </c>
      <c r="W47" s="8" t="n">
        <f aca="false">V47/D47</f>
        <v>23.4705882352941</v>
      </c>
      <c r="X47" s="8" t="n">
        <f aca="false">X46+V47</f>
        <v>35378.6</v>
      </c>
      <c r="AA47" s="8" t="n">
        <v>10.7654445867412</v>
      </c>
    </row>
    <row r="48" s="8" customFormat="true" ht="15" hidden="false" customHeight="false" outlineLevel="0" collapsed="false">
      <c r="A48" s="9"/>
      <c r="B48" s="10"/>
      <c r="C48" s="11" t="n">
        <v>41564</v>
      </c>
      <c r="D48" s="8" t="n">
        <v>13.2</v>
      </c>
      <c r="E48" s="8" t="n">
        <v>11.5</v>
      </c>
      <c r="F48" s="8" t="n">
        <v>15</v>
      </c>
      <c r="G48" s="8" t="n">
        <f aca="false">G47+D48</f>
        <v>592.7</v>
      </c>
      <c r="J48" s="8" t="n">
        <v>5.2</v>
      </c>
      <c r="K48" s="8" t="n">
        <f aca="false">K47+J48</f>
        <v>172.1</v>
      </c>
      <c r="L48" s="8" t="n">
        <v>1</v>
      </c>
      <c r="M48" s="8" t="n">
        <f aca="false">M47+L48</f>
        <v>81.1</v>
      </c>
      <c r="N48" s="8" t="n">
        <f aca="false">J48-L48</f>
        <v>4.2</v>
      </c>
      <c r="O48" s="8" t="n">
        <v>98.8</v>
      </c>
      <c r="P48" s="8" t="n">
        <v>43</v>
      </c>
      <c r="Q48" s="8" t="n">
        <f aca="false">0.35+((P48-9)/67)*(1-0.35)</f>
        <v>0.679850746268657</v>
      </c>
      <c r="R48" s="15" t="n">
        <f aca="false">Q48*L48</f>
        <v>0.679850746268657</v>
      </c>
      <c r="S48" s="15" t="n">
        <f aca="false">J48-R48</f>
        <v>4.52014925373134</v>
      </c>
      <c r="T48" s="15" t="n">
        <f aca="false">MIN(153.6,(T47+S48))</f>
        <v>136.333358208955</v>
      </c>
      <c r="V48" s="16" t="n">
        <v>381.4</v>
      </c>
      <c r="W48" s="8" t="n">
        <f aca="false">V48/D48</f>
        <v>28.8939393939394</v>
      </c>
      <c r="X48" s="8" t="n">
        <f aca="false">X47+V48</f>
        <v>35760</v>
      </c>
      <c r="AA48" s="8" t="n">
        <v>10.7033188298807</v>
      </c>
    </row>
    <row r="49" s="8" customFormat="true" ht="15" hidden="false" customHeight="false" outlineLevel="0" collapsed="false">
      <c r="A49" s="9"/>
      <c r="B49" s="10"/>
      <c r="C49" s="11" t="n">
        <v>41565</v>
      </c>
      <c r="D49" s="8" t="n">
        <v>11.7</v>
      </c>
      <c r="E49" s="8" t="n">
        <v>10.5</v>
      </c>
      <c r="F49" s="8" t="n">
        <v>12.8</v>
      </c>
      <c r="G49" s="8" t="n">
        <f aca="false">G48+D49</f>
        <v>604.4</v>
      </c>
      <c r="J49" s="8" t="n">
        <v>0</v>
      </c>
      <c r="K49" s="8" t="n">
        <f aca="false">K48+J49</f>
        <v>172.1</v>
      </c>
      <c r="L49" s="8" t="n">
        <v>0.7</v>
      </c>
      <c r="M49" s="8" t="n">
        <f aca="false">M48+L49</f>
        <v>81.8</v>
      </c>
      <c r="N49" s="14" t="n">
        <f aca="false">J49-L49</f>
        <v>-0.7</v>
      </c>
      <c r="O49" s="8" t="n">
        <v>98.1</v>
      </c>
      <c r="P49" s="8" t="n">
        <v>44</v>
      </c>
      <c r="Q49" s="8" t="n">
        <f aca="false">0.35+((P49-9)/67)*(1-0.35)</f>
        <v>0.68955223880597</v>
      </c>
      <c r="R49" s="15" t="n">
        <f aca="false">Q49*L49</f>
        <v>0.482686567164179</v>
      </c>
      <c r="S49" s="15" t="n">
        <f aca="false">J49-R49</f>
        <v>-0.482686567164179</v>
      </c>
      <c r="T49" s="15" t="n">
        <f aca="false">MIN(153.6,(T48+S49))</f>
        <v>135.850671641791</v>
      </c>
      <c r="V49" s="16" t="n">
        <v>468.5</v>
      </c>
      <c r="W49" s="8" t="n">
        <f aca="false">V49/D49</f>
        <v>40.042735042735</v>
      </c>
      <c r="X49" s="8" t="n">
        <f aca="false">X48+V49</f>
        <v>36228.5</v>
      </c>
      <c r="AA49" s="8" t="n">
        <v>10.6413471648317</v>
      </c>
    </row>
    <row r="50" s="8" customFormat="true" ht="15" hidden="false" customHeight="false" outlineLevel="0" collapsed="false">
      <c r="A50" s="9"/>
      <c r="B50" s="10"/>
      <c r="C50" s="11" t="n">
        <v>41566</v>
      </c>
      <c r="D50" s="8" t="n">
        <v>13.4</v>
      </c>
      <c r="E50" s="8" t="n">
        <v>10.3</v>
      </c>
      <c r="F50" s="8" t="n">
        <v>15.7</v>
      </c>
      <c r="G50" s="8" t="n">
        <f aca="false">G49+D50</f>
        <v>617.8</v>
      </c>
      <c r="J50" s="8" t="n">
        <v>1.1</v>
      </c>
      <c r="K50" s="8" t="n">
        <f aca="false">K49+J50</f>
        <v>173.2</v>
      </c>
      <c r="L50" s="8" t="n">
        <v>0.4</v>
      </c>
      <c r="M50" s="8" t="n">
        <f aca="false">M49+L50</f>
        <v>82.2</v>
      </c>
      <c r="N50" s="8" t="n">
        <f aca="false">J50-L50</f>
        <v>0.7</v>
      </c>
      <c r="O50" s="8" t="n">
        <v>98.8</v>
      </c>
      <c r="P50" s="8" t="n">
        <v>45</v>
      </c>
      <c r="Q50" s="8" t="n">
        <f aca="false">0.35+((P50-9)/67)*(1-0.35)</f>
        <v>0.699253731343284</v>
      </c>
      <c r="R50" s="15" t="n">
        <f aca="false">Q50*L50</f>
        <v>0.279701492537313</v>
      </c>
      <c r="S50" s="15" t="n">
        <f aca="false">J50-R50</f>
        <v>0.820298507462687</v>
      </c>
      <c r="T50" s="15" t="n">
        <f aca="false">MIN(153.6,(T49+S50))</f>
        <v>136.670970149254</v>
      </c>
      <c r="V50" s="16" t="n">
        <v>358.4</v>
      </c>
      <c r="W50" s="8" t="n">
        <f aca="false">V50/D50</f>
        <v>26.7462686567164</v>
      </c>
      <c r="X50" s="8" t="n">
        <f aca="false">X49+V50</f>
        <v>36586.9</v>
      </c>
      <c r="AA50" s="8" t="n">
        <v>10.5795409658507</v>
      </c>
    </row>
    <row r="51" s="8" customFormat="true" ht="15" hidden="false" customHeight="false" outlineLevel="0" collapsed="false">
      <c r="A51" s="9"/>
      <c r="B51" s="10"/>
      <c r="C51" s="11" t="n">
        <v>41567</v>
      </c>
      <c r="D51" s="8" t="n">
        <v>14.8</v>
      </c>
      <c r="E51" s="8" t="n">
        <v>13.1</v>
      </c>
      <c r="F51" s="8" t="n">
        <v>17.3</v>
      </c>
      <c r="G51" s="8" t="n">
        <f aca="false">G50+D51</f>
        <v>632.6</v>
      </c>
      <c r="J51" s="8" t="n">
        <v>1.1</v>
      </c>
      <c r="K51" s="8" t="n">
        <f aca="false">K50+J51</f>
        <v>174.3</v>
      </c>
      <c r="L51" s="8" t="n">
        <v>1.3</v>
      </c>
      <c r="M51" s="8" t="n">
        <f aca="false">M50+L51</f>
        <v>83.5</v>
      </c>
      <c r="N51" s="14" t="n">
        <f aca="false">J51-L51</f>
        <v>-0.2</v>
      </c>
      <c r="O51" s="8" t="n">
        <v>98.6</v>
      </c>
      <c r="P51" s="8" t="n">
        <v>46</v>
      </c>
      <c r="Q51" s="8" t="n">
        <f aca="false">0.35+((P51-9)/67)*(1-0.35)</f>
        <v>0.708955223880597</v>
      </c>
      <c r="R51" s="15" t="n">
        <f aca="false">Q51*L51</f>
        <v>0.921641791044776</v>
      </c>
      <c r="S51" s="15" t="n">
        <f aca="false">J51-R51</f>
        <v>0.178358208955224</v>
      </c>
      <c r="T51" s="15" t="n">
        <f aca="false">MIN(153.6,(T50+S51))</f>
        <v>136.849328358209</v>
      </c>
      <c r="V51" s="16" t="n">
        <v>679.5</v>
      </c>
      <c r="W51" s="8" t="n">
        <f aca="false">V51/D51</f>
        <v>45.9121621621622</v>
      </c>
      <c r="X51" s="8" t="n">
        <f aca="false">X50+V51</f>
        <v>37266.4</v>
      </c>
      <c r="AA51" s="8" t="n">
        <v>10.5179121213524</v>
      </c>
    </row>
    <row r="52" s="8" customFormat="true" ht="15" hidden="false" customHeight="false" outlineLevel="0" collapsed="false">
      <c r="A52" s="9"/>
      <c r="B52" s="10"/>
      <c r="C52" s="11" t="n">
        <v>41568</v>
      </c>
      <c r="D52" s="8" t="n">
        <v>15.4</v>
      </c>
      <c r="E52" s="8" t="n">
        <v>13</v>
      </c>
      <c r="F52" s="8" t="n">
        <v>17.4</v>
      </c>
      <c r="G52" s="8" t="n">
        <f aca="false">G51+D52</f>
        <v>648</v>
      </c>
      <c r="J52" s="8" t="n">
        <v>0.2</v>
      </c>
      <c r="K52" s="8" t="n">
        <f aca="false">K51+J52</f>
        <v>174.5</v>
      </c>
      <c r="L52" s="8" t="n">
        <v>1.1</v>
      </c>
      <c r="M52" s="8" t="n">
        <f aca="false">M51+L52</f>
        <v>84.6</v>
      </c>
      <c r="N52" s="14" t="n">
        <f aca="false">J52-L52</f>
        <v>-0.9</v>
      </c>
      <c r="O52" s="8" t="n">
        <v>97.7</v>
      </c>
      <c r="P52" s="8" t="n">
        <v>47</v>
      </c>
      <c r="Q52" s="8" t="n">
        <f aca="false">0.35+((P52-9)/67)*(1-0.35)</f>
        <v>0.71865671641791</v>
      </c>
      <c r="R52" s="15" t="n">
        <f aca="false">Q52*L52</f>
        <v>0.790522388059702</v>
      </c>
      <c r="S52" s="15" t="n">
        <f aca="false">J52-R52</f>
        <v>-0.590522388059702</v>
      </c>
      <c r="T52" s="15" t="n">
        <f aca="false">MIN(153.6,(T51+S52))</f>
        <v>136.258805970149</v>
      </c>
      <c r="V52" s="16" t="n">
        <v>572.2</v>
      </c>
      <c r="W52" s="8" t="n">
        <f aca="false">V52/D52</f>
        <v>37.1558441558442</v>
      </c>
      <c r="X52" s="8" t="n">
        <f aca="false">X51+V52</f>
        <v>37838.6</v>
      </c>
      <c r="AA52" s="8" t="n">
        <v>10.4564730548477</v>
      </c>
    </row>
    <row r="53" s="8" customFormat="true" ht="15" hidden="false" customHeight="false" outlineLevel="0" collapsed="false">
      <c r="A53" s="9"/>
      <c r="B53" s="10"/>
      <c r="C53" s="11" t="n">
        <v>41569</v>
      </c>
      <c r="D53" s="8" t="n">
        <v>17.3</v>
      </c>
      <c r="E53" s="8" t="n">
        <v>15</v>
      </c>
      <c r="F53" s="8" t="n">
        <v>20.8</v>
      </c>
      <c r="G53" s="8" t="n">
        <f aca="false">G52+D53</f>
        <v>665.3</v>
      </c>
      <c r="J53" s="8" t="n">
        <v>0.2</v>
      </c>
      <c r="K53" s="8" t="n">
        <f aca="false">K52+J53</f>
        <v>174.7</v>
      </c>
      <c r="L53" s="8" t="n">
        <v>2.2</v>
      </c>
      <c r="M53" s="8" t="n">
        <f aca="false">M52+L53</f>
        <v>86.8</v>
      </c>
      <c r="N53" s="14" t="n">
        <f aca="false">J53-L53</f>
        <v>-2</v>
      </c>
      <c r="O53" s="8" t="n">
        <v>95.7</v>
      </c>
      <c r="P53" s="8" t="n">
        <v>48</v>
      </c>
      <c r="Q53" s="8" t="n">
        <f aca="false">0.35+((P53-9)/67)*(1-0.35)</f>
        <v>0.728358208955224</v>
      </c>
      <c r="R53" s="15" t="n">
        <f aca="false">Q53*L53</f>
        <v>1.60238805970149</v>
      </c>
      <c r="S53" s="15" t="n">
        <f aca="false">J53-R53</f>
        <v>-1.40238805970149</v>
      </c>
      <c r="T53" s="15" t="n">
        <f aca="false">MIN(153.6,(T52+S53))</f>
        <v>134.856417910448</v>
      </c>
      <c r="V53" s="16" t="n">
        <v>851.4</v>
      </c>
      <c r="W53" s="8" t="n">
        <f aca="false">V53/D53</f>
        <v>49.2138728323699</v>
      </c>
      <c r="X53" s="8" t="n">
        <f aca="false">X52+V53</f>
        <v>38690</v>
      </c>
      <c r="AA53" s="8" t="n">
        <v>10.3952367456766</v>
      </c>
    </row>
    <row r="54" s="8" customFormat="true" ht="15" hidden="false" customHeight="false" outlineLevel="0" collapsed="false">
      <c r="A54" s="9"/>
      <c r="B54" s="10"/>
      <c r="C54" s="11" t="n">
        <v>41570</v>
      </c>
      <c r="D54" s="8" t="n">
        <v>15.6</v>
      </c>
      <c r="E54" s="8" t="n">
        <v>14.2</v>
      </c>
      <c r="F54" s="8" t="n">
        <v>19.2</v>
      </c>
      <c r="G54" s="8" t="n">
        <f aca="false">G53+D54</f>
        <v>680.9</v>
      </c>
      <c r="J54" s="8" t="n">
        <v>2.9</v>
      </c>
      <c r="K54" s="8" t="n">
        <f aca="false">K53+J54</f>
        <v>177.6</v>
      </c>
      <c r="L54" s="8" t="n">
        <v>2.5</v>
      </c>
      <c r="M54" s="8" t="n">
        <f aca="false">M53+L54</f>
        <v>89.3</v>
      </c>
      <c r="N54" s="8" t="n">
        <f aca="false">J54-L54</f>
        <v>0.4</v>
      </c>
      <c r="O54" s="8" t="n">
        <v>96.1</v>
      </c>
      <c r="P54" s="8" t="n">
        <v>49</v>
      </c>
      <c r="Q54" s="8" t="n">
        <f aca="false">0.35+((P54-9)/67)*(1-0.35)</f>
        <v>0.738059701492537</v>
      </c>
      <c r="R54" s="15" t="n">
        <f aca="false">Q54*L54</f>
        <v>1.84514925373134</v>
      </c>
      <c r="S54" s="15" t="n">
        <f aca="false">J54-R54</f>
        <v>1.05485074626866</v>
      </c>
      <c r="T54" s="15" t="n">
        <f aca="false">MIN(153.6,(T53+S54))</f>
        <v>135.911268656716</v>
      </c>
      <c r="V54" s="16" t="n">
        <v>669.1</v>
      </c>
      <c r="W54" s="8" t="n">
        <f aca="false">V54/D54</f>
        <v>42.8910256410256</v>
      </c>
      <c r="X54" s="8" t="n">
        <f aca="false">X53+V54</f>
        <v>39359.1</v>
      </c>
      <c r="AA54" s="8" t="n">
        <v>10.3342167494721</v>
      </c>
    </row>
    <row r="55" s="8" customFormat="true" ht="15" hidden="false" customHeight="false" outlineLevel="0" collapsed="false">
      <c r="A55" s="9"/>
      <c r="B55" s="10"/>
      <c r="C55" s="11" t="n">
        <v>41571</v>
      </c>
      <c r="D55" s="8" t="n">
        <v>11.6</v>
      </c>
      <c r="E55" s="8" t="n">
        <v>8.9</v>
      </c>
      <c r="F55" s="8" t="n">
        <v>14.5</v>
      </c>
      <c r="G55" s="8" t="n">
        <f aca="false">G54+D55</f>
        <v>692.5</v>
      </c>
      <c r="J55" s="8" t="n">
        <v>0.5</v>
      </c>
      <c r="K55" s="8" t="n">
        <f aca="false">K54+J55</f>
        <v>178.1</v>
      </c>
      <c r="L55" s="8" t="n">
        <v>0.9</v>
      </c>
      <c r="M55" s="8" t="n">
        <f aca="false">M54+L55</f>
        <v>90.2</v>
      </c>
      <c r="N55" s="14" t="n">
        <f aca="false">J55-L55</f>
        <v>-0.4</v>
      </c>
      <c r="O55" s="8" t="n">
        <v>95.7</v>
      </c>
      <c r="P55" s="8" t="n">
        <v>50</v>
      </c>
      <c r="Q55" s="8" t="n">
        <f aca="false">0.35+((P55-9)/67)*(1-0.35)</f>
        <v>0.747761194029851</v>
      </c>
      <c r="R55" s="15" t="n">
        <f aca="false">Q55*L55</f>
        <v>0.672985074626866</v>
      </c>
      <c r="S55" s="15" t="n">
        <f aca="false">J55-R55</f>
        <v>-0.172985074626866</v>
      </c>
      <c r="T55" s="15" t="n">
        <f aca="false">MIN(153.6,(T54+S55))</f>
        <v>135.73828358209</v>
      </c>
      <c r="V55" s="16" t="n">
        <v>755.3</v>
      </c>
      <c r="W55" s="8" t="n">
        <f aca="false">V55/D55</f>
        <v>65.1120689655172</v>
      </c>
      <c r="X55" s="8" t="n">
        <f aca="false">X54+V55</f>
        <v>40114.4</v>
      </c>
      <c r="AA55" s="8" t="n">
        <v>10.273427218281</v>
      </c>
    </row>
    <row r="56" s="8" customFormat="true" ht="15" hidden="false" customHeight="false" outlineLevel="0" collapsed="false">
      <c r="A56" s="9"/>
      <c r="B56" s="10"/>
      <c r="C56" s="11" t="n">
        <v>41572</v>
      </c>
      <c r="D56" s="8" t="n">
        <v>15.9</v>
      </c>
      <c r="E56" s="8" t="n">
        <v>12.6</v>
      </c>
      <c r="F56" s="8" t="n">
        <v>18.5</v>
      </c>
      <c r="G56" s="8" t="n">
        <f aca="false">G55+D56</f>
        <v>708.4</v>
      </c>
      <c r="J56" s="8" t="n">
        <v>0.5</v>
      </c>
      <c r="K56" s="8" t="n">
        <f aca="false">K55+J56</f>
        <v>178.6</v>
      </c>
      <c r="L56" s="8" t="n">
        <v>1.4</v>
      </c>
      <c r="M56" s="8" t="n">
        <f aca="false">M55+L56</f>
        <v>91.6</v>
      </c>
      <c r="N56" s="14" t="n">
        <f aca="false">J56-L56</f>
        <v>-0.9</v>
      </c>
      <c r="O56" s="8" t="n">
        <v>94.8</v>
      </c>
      <c r="P56" s="8" t="n">
        <v>51</v>
      </c>
      <c r="Q56" s="8" t="n">
        <f aca="false">0.35+((P56-9)/67)*(1-0.35)</f>
        <v>0.757462686567164</v>
      </c>
      <c r="R56" s="15" t="n">
        <f aca="false">Q56*L56</f>
        <v>1.06044776119403</v>
      </c>
      <c r="S56" s="15" t="n">
        <f aca="false">J56-R56</f>
        <v>-0.56044776119403</v>
      </c>
      <c r="T56" s="15" t="n">
        <f aca="false">MIN(153.6,(T55+S56))</f>
        <v>135.177835820896</v>
      </c>
      <c r="V56" s="16" t="n">
        <v>522.8</v>
      </c>
      <c r="W56" s="8" t="n">
        <f aca="false">V56/D56</f>
        <v>32.8805031446541</v>
      </c>
      <c r="X56" s="8" t="n">
        <f aca="false">X55+V56</f>
        <v>40637.2</v>
      </c>
      <c r="AA56" s="8" t="n">
        <v>10.2128829202618</v>
      </c>
    </row>
    <row r="57" s="8" customFormat="true" ht="15" hidden="false" customHeight="false" outlineLevel="0" collapsed="false">
      <c r="A57" s="9"/>
      <c r="B57" s="10"/>
      <c r="C57" s="11" t="n">
        <v>41573</v>
      </c>
      <c r="D57" s="8" t="n">
        <v>16.3</v>
      </c>
      <c r="E57" s="8" t="n">
        <v>15.2</v>
      </c>
      <c r="F57" s="8" t="n">
        <v>18.2</v>
      </c>
      <c r="G57" s="8" t="n">
        <f aca="false">G56+D57</f>
        <v>724.7</v>
      </c>
      <c r="J57" s="8" t="n">
        <v>0.4</v>
      </c>
      <c r="K57" s="8" t="n">
        <f aca="false">K56+J57</f>
        <v>179</v>
      </c>
      <c r="L57" s="8" t="n">
        <v>1.9</v>
      </c>
      <c r="M57" s="8" t="n">
        <f aca="false">M56+L57</f>
        <v>93.5</v>
      </c>
      <c r="N57" s="14" t="n">
        <f aca="false">J57-L57</f>
        <v>-1.5</v>
      </c>
      <c r="O57" s="8" t="n">
        <v>93.3</v>
      </c>
      <c r="P57" s="8" t="n">
        <v>52</v>
      </c>
      <c r="Q57" s="8" t="n">
        <f aca="false">0.35+((P57-9)/67)*(1-0.35)</f>
        <v>0.767164179104478</v>
      </c>
      <c r="R57" s="15" t="n">
        <f aca="false">Q57*L57</f>
        <v>1.45761194029851</v>
      </c>
      <c r="S57" s="15" t="n">
        <f aca="false">J57-R57</f>
        <v>-1.05761194029851</v>
      </c>
      <c r="T57" s="15" t="n">
        <f aca="false">MIN(153.6,(T56+S57))</f>
        <v>134.120223880597</v>
      </c>
      <c r="V57" s="16" t="n">
        <v>731.9</v>
      </c>
      <c r="W57" s="8" t="n">
        <f aca="false">V57/D57</f>
        <v>44.9018404907975</v>
      </c>
      <c r="X57" s="8" t="n">
        <f aca="false">X56+V57</f>
        <v>41369.1</v>
      </c>
      <c r="AA57" s="8" t="n">
        <v>10.152599258871</v>
      </c>
    </row>
    <row r="58" s="8" customFormat="true" ht="15" hidden="false" customHeight="false" outlineLevel="0" collapsed="false">
      <c r="A58" s="9"/>
      <c r="B58" s="10"/>
      <c r="C58" s="11" t="n">
        <v>41574</v>
      </c>
      <c r="D58" s="8" t="n">
        <v>15.2</v>
      </c>
      <c r="E58" s="8" t="n">
        <v>14.7</v>
      </c>
      <c r="F58" s="8" t="n">
        <v>16.5</v>
      </c>
      <c r="G58" s="8" t="n">
        <f aca="false">G57+D58</f>
        <v>739.9</v>
      </c>
      <c r="J58" s="8" t="n">
        <v>2.7</v>
      </c>
      <c r="K58" s="8" t="n">
        <f aca="false">K57+J58</f>
        <v>181.7</v>
      </c>
      <c r="L58" s="8" t="n">
        <v>2.8</v>
      </c>
      <c r="M58" s="8" t="n">
        <f aca="false">M57+L58</f>
        <v>96.3</v>
      </c>
      <c r="N58" s="14" t="n">
        <f aca="false">J58-L58</f>
        <v>-0.0999999999999996</v>
      </c>
      <c r="O58" s="8" t="n">
        <v>93.2</v>
      </c>
      <c r="P58" s="8" t="n">
        <v>53</v>
      </c>
      <c r="Q58" s="8" t="n">
        <f aca="false">0.35+((P58-9)/67)*(1-0.35)</f>
        <v>0.776865671641791</v>
      </c>
      <c r="R58" s="15" t="n">
        <f aca="false">Q58*L58</f>
        <v>2.17522388059701</v>
      </c>
      <c r="S58" s="15" t="n">
        <f aca="false">J58-R58</f>
        <v>0.524776119402985</v>
      </c>
      <c r="T58" s="15" t="n">
        <f aca="false">MIN(153.6,(T57+S58))</f>
        <v>134.645</v>
      </c>
      <c r="V58" s="16" t="n">
        <v>456.3</v>
      </c>
      <c r="W58" s="8" t="n">
        <f aca="false">V58/D58</f>
        <v>30.0197368421053</v>
      </c>
      <c r="X58" s="8" t="n">
        <f aca="false">X57+V58</f>
        <v>41825.4</v>
      </c>
      <c r="AA58" s="8" t="n">
        <v>10.0925922914425</v>
      </c>
    </row>
    <row r="59" s="8" customFormat="true" ht="15" hidden="false" customHeight="false" outlineLevel="0" collapsed="false">
      <c r="A59" s="9"/>
      <c r="B59" s="10"/>
      <c r="C59" s="11" t="n">
        <v>41575</v>
      </c>
      <c r="D59" s="8" t="n">
        <v>13.5</v>
      </c>
      <c r="E59" s="8" t="n">
        <v>11.5</v>
      </c>
      <c r="F59" s="8" t="n">
        <v>15.8</v>
      </c>
      <c r="G59" s="8" t="n">
        <f aca="false">G58+D59</f>
        <v>753.4</v>
      </c>
      <c r="J59" s="8" t="n">
        <v>4.3</v>
      </c>
      <c r="K59" s="8" t="n">
        <f aca="false">K58+J59</f>
        <v>186</v>
      </c>
      <c r="L59" s="8" t="n">
        <v>2.5</v>
      </c>
      <c r="M59" s="8" t="n">
        <f aca="false">M58+L59</f>
        <v>98.8</v>
      </c>
      <c r="N59" s="8" t="n">
        <f aca="false">J59-L59</f>
        <v>1.8</v>
      </c>
      <c r="O59" s="8" t="n">
        <v>95</v>
      </c>
      <c r="P59" s="8" t="n">
        <v>54</v>
      </c>
      <c r="Q59" s="8" t="n">
        <f aca="false">0.35+((P59-9)/67)*(1-0.35)</f>
        <v>0.786567164179105</v>
      </c>
      <c r="R59" s="15" t="n">
        <f aca="false">Q59*L59</f>
        <v>1.96641791044776</v>
      </c>
      <c r="S59" s="15" t="n">
        <f aca="false">J59-R59</f>
        <v>2.33358208955224</v>
      </c>
      <c r="T59" s="15" t="n">
        <f aca="false">MIN(153.6,(T58+S59))</f>
        <v>136.978582089552</v>
      </c>
      <c r="V59" s="16" t="n">
        <v>432.8</v>
      </c>
      <c r="W59" s="8" t="n">
        <f aca="false">V59/D59</f>
        <v>32.0592592592593</v>
      </c>
      <c r="X59" s="8" t="n">
        <f aca="false">X58+V59</f>
        <v>42258.2</v>
      </c>
      <c r="AA59" s="8" t="n">
        <v>10.0328787470551</v>
      </c>
    </row>
    <row r="60" s="8" customFormat="true" ht="15" hidden="false" customHeight="false" outlineLevel="0" collapsed="false">
      <c r="A60" s="9"/>
      <c r="B60" s="10"/>
      <c r="C60" s="11" t="n">
        <v>41576</v>
      </c>
      <c r="D60" s="8" t="n">
        <v>9.3</v>
      </c>
      <c r="E60" s="8" t="n">
        <v>8.6</v>
      </c>
      <c r="F60" s="8" t="n">
        <v>11.8</v>
      </c>
      <c r="G60" s="8" t="n">
        <f aca="false">G59+D60</f>
        <v>762.7</v>
      </c>
      <c r="J60" s="8" t="n">
        <v>4.3</v>
      </c>
      <c r="K60" s="8" t="n">
        <f aca="false">K59+J60</f>
        <v>190.3</v>
      </c>
      <c r="L60" s="8" t="n">
        <v>1.4</v>
      </c>
      <c r="M60" s="8" t="n">
        <f aca="false">M59+L60</f>
        <v>100.2</v>
      </c>
      <c r="N60" s="8" t="n">
        <f aca="false">J60-L60</f>
        <v>2.9</v>
      </c>
      <c r="O60" s="8" t="n">
        <v>97.9</v>
      </c>
      <c r="P60" s="8" t="n">
        <v>55</v>
      </c>
      <c r="Q60" s="8" t="n">
        <f aca="false">0.35+((P60-9)/67)*(1-0.35)</f>
        <v>0.796268656716418</v>
      </c>
      <c r="R60" s="15" t="n">
        <f aca="false">Q60*L60</f>
        <v>1.11477611940299</v>
      </c>
      <c r="S60" s="15" t="n">
        <f aca="false">J60-R60</f>
        <v>3.18522388059701</v>
      </c>
      <c r="T60" s="15" t="n">
        <f aca="false">MIN(153.6,(T59+S60))</f>
        <v>140.163805970149</v>
      </c>
      <c r="V60" s="16" t="n">
        <v>274.8</v>
      </c>
      <c r="W60" s="8" t="n">
        <f aca="false">V60/D60</f>
        <v>29.5483870967742</v>
      </c>
      <c r="X60" s="8" t="n">
        <f aca="false">X59+V60</f>
        <v>42533</v>
      </c>
      <c r="AA60" s="8" t="n">
        <v>9.97347604357522</v>
      </c>
    </row>
    <row r="61" s="8" customFormat="true" ht="15" hidden="false" customHeight="false" outlineLevel="0" collapsed="false">
      <c r="A61" s="9"/>
      <c r="B61" s="10"/>
      <c r="C61" s="11" t="n">
        <v>41577</v>
      </c>
      <c r="D61" s="8" t="n">
        <v>8.8</v>
      </c>
      <c r="E61" s="18" t="n">
        <v>3.7</v>
      </c>
      <c r="F61" s="8" t="n">
        <v>13.3</v>
      </c>
      <c r="G61" s="8" t="n">
        <f aca="false">G60+D61</f>
        <v>771.5</v>
      </c>
      <c r="J61" s="8" t="n">
        <v>0.3</v>
      </c>
      <c r="K61" s="8" t="n">
        <f aca="false">K60+J61</f>
        <v>190.6</v>
      </c>
      <c r="L61" s="8" t="n">
        <v>1.5</v>
      </c>
      <c r="M61" s="8" t="n">
        <f aca="false">M60+L61</f>
        <v>101.7</v>
      </c>
      <c r="N61" s="14" t="n">
        <f aca="false">J61-L61</f>
        <v>-1.2</v>
      </c>
      <c r="O61" s="8" t="n">
        <v>96.7</v>
      </c>
      <c r="P61" s="8" t="n">
        <v>56</v>
      </c>
      <c r="Q61" s="8" t="n">
        <f aca="false">0.35+((P61-9)/67)*(1-0.35)</f>
        <v>0.805970149253731</v>
      </c>
      <c r="R61" s="15" t="n">
        <f aca="false">Q61*L61</f>
        <v>1.2089552238806</v>
      </c>
      <c r="S61" s="15" t="n">
        <f aca="false">J61-R61</f>
        <v>-0.908955223880597</v>
      </c>
      <c r="T61" s="15" t="n">
        <f aca="false">MIN(153.6,(T60+S61))</f>
        <v>139.254850746269</v>
      </c>
      <c r="V61" s="8" t="n">
        <v>905.6</v>
      </c>
      <c r="W61" s="8" t="n">
        <f aca="false">V61/D61</f>
        <v>102.909090909091</v>
      </c>
      <c r="X61" s="8" t="n">
        <f aca="false">X60+V61</f>
        <v>43438.6</v>
      </c>
      <c r="AA61" s="8" t="n">
        <v>9.91440230375336</v>
      </c>
    </row>
    <row r="62" s="8" customFormat="true" ht="15" hidden="false" customHeight="false" outlineLevel="0" collapsed="false">
      <c r="A62" s="9"/>
      <c r="B62" s="10"/>
      <c r="C62" s="11" t="n">
        <v>41578</v>
      </c>
      <c r="D62" s="8" t="n">
        <v>10.5</v>
      </c>
      <c r="E62" s="8" t="n">
        <v>6.5</v>
      </c>
      <c r="F62" s="8" t="n">
        <v>13.5</v>
      </c>
      <c r="G62" s="8" t="n">
        <f aca="false">G61+D62</f>
        <v>782</v>
      </c>
      <c r="J62" s="8" t="n">
        <v>0</v>
      </c>
      <c r="K62" s="8" t="n">
        <f aca="false">K61+J62</f>
        <v>190.6</v>
      </c>
      <c r="L62" s="8" t="n">
        <v>1.6</v>
      </c>
      <c r="M62" s="8" t="n">
        <f aca="false">M61+L62</f>
        <v>103.3</v>
      </c>
      <c r="N62" s="14" t="n">
        <f aca="false">J62-L62</f>
        <v>-1.6</v>
      </c>
      <c r="O62" s="8" t="n">
        <v>95.1</v>
      </c>
      <c r="P62" s="8" t="n">
        <v>57</v>
      </c>
      <c r="Q62" s="8" t="n">
        <f aca="false">0.35+((P62-9)/67)*(1-0.35)</f>
        <v>0.815671641791045</v>
      </c>
      <c r="R62" s="15" t="n">
        <f aca="false">Q62*L62</f>
        <v>1.30507462686567</v>
      </c>
      <c r="S62" s="15" t="n">
        <f aca="false">J62-R62</f>
        <v>-1.30507462686567</v>
      </c>
      <c r="T62" s="15" t="n">
        <f aca="false">MIN(153.6,(T61+S62))</f>
        <v>137.949776119403</v>
      </c>
      <c r="V62" s="16" t="n">
        <v>766.9</v>
      </c>
      <c r="W62" s="8" t="n">
        <f aca="false">V62/D62</f>
        <v>73.0380952380952</v>
      </c>
      <c r="X62" s="8" t="n">
        <f aca="false">X61+V62</f>
        <v>44205.5</v>
      </c>
      <c r="AA62" s="8" t="n">
        <v>9.85567637024358</v>
      </c>
    </row>
    <row r="63" s="8" customFormat="true" ht="15" hidden="false" customHeight="false" outlineLevel="0" collapsed="false">
      <c r="A63" s="9"/>
      <c r="B63" s="10"/>
      <c r="C63" s="11" t="n">
        <v>41579</v>
      </c>
      <c r="D63" s="8" t="n">
        <v>11.2</v>
      </c>
      <c r="E63" s="8" t="n">
        <v>10.2</v>
      </c>
      <c r="F63" s="8" t="n">
        <v>13.2</v>
      </c>
      <c r="G63" s="8" t="n">
        <f aca="false">G62+D63</f>
        <v>793.2</v>
      </c>
      <c r="J63" s="8" t="n">
        <v>19.9</v>
      </c>
      <c r="K63" s="8" t="n">
        <f aca="false">K62+J63</f>
        <v>210.5</v>
      </c>
      <c r="L63" s="8" t="n">
        <v>1.1</v>
      </c>
      <c r="M63" s="8" t="n">
        <f aca="false">M62+L63</f>
        <v>104.4</v>
      </c>
      <c r="N63" s="8" t="n">
        <f aca="false">J63-L63</f>
        <v>18.8</v>
      </c>
      <c r="O63" s="8" t="n">
        <v>113.9</v>
      </c>
      <c r="P63" s="8" t="n">
        <v>58</v>
      </c>
      <c r="Q63" s="8" t="n">
        <f aca="false">0.35+((P63-9)/67)*(1-0.35)</f>
        <v>0.825373134328358</v>
      </c>
      <c r="R63" s="15" t="n">
        <f aca="false">Q63*L63</f>
        <v>0.907910447761194</v>
      </c>
      <c r="S63" s="15" t="n">
        <f aca="false">J63-R63</f>
        <v>18.9920895522388</v>
      </c>
      <c r="T63" s="15" t="n">
        <f aca="false">MIN(153.6,(T62+S63))</f>
        <v>153.6</v>
      </c>
      <c r="V63" s="16" t="n">
        <v>253.5</v>
      </c>
      <c r="W63" s="8" t="n">
        <f aca="false">V63/D63</f>
        <v>22.6339285714286</v>
      </c>
      <c r="X63" s="8" t="n">
        <f aca="false">X62+V63</f>
        <v>44459</v>
      </c>
      <c r="AA63" s="8" t="n">
        <v>9.79731781940647</v>
      </c>
    </row>
    <row r="64" s="8" customFormat="true" ht="15" hidden="false" customHeight="false" outlineLevel="0" collapsed="false">
      <c r="A64" s="9"/>
      <c r="B64" s="10"/>
      <c r="C64" s="11" t="n">
        <v>41580</v>
      </c>
      <c r="D64" s="8" t="n">
        <v>12.3</v>
      </c>
      <c r="E64" s="8" t="n">
        <v>9.7</v>
      </c>
      <c r="F64" s="8" t="n">
        <v>14.2</v>
      </c>
      <c r="G64" s="8" t="n">
        <f aca="false">G63+D64</f>
        <v>805.5</v>
      </c>
      <c r="J64" s="8" t="n">
        <v>6.9</v>
      </c>
      <c r="K64" s="8" t="n">
        <f aca="false">K63+J64</f>
        <v>217.4</v>
      </c>
      <c r="L64" s="8" t="n">
        <v>0.9</v>
      </c>
      <c r="M64" s="8" t="n">
        <f aca="false">M63+L64</f>
        <v>105.3</v>
      </c>
      <c r="N64" s="8" t="n">
        <f aca="false">J64-L64</f>
        <v>6</v>
      </c>
      <c r="O64" s="8" t="n">
        <v>119.9</v>
      </c>
      <c r="P64" s="8" t="n">
        <v>59</v>
      </c>
      <c r="Q64" s="8" t="n">
        <f aca="false">0.35+((P64-9)/67)*(1-0.35)</f>
        <v>0.835074626865672</v>
      </c>
      <c r="R64" s="15" t="n">
        <f aca="false">Q64*L64</f>
        <v>0.751567164179105</v>
      </c>
      <c r="S64" s="15" t="n">
        <f aca="false">J64-R64</f>
        <v>6.1484328358209</v>
      </c>
      <c r="T64" s="15" t="n">
        <f aca="false">MIN(153.6,(T63+S64))</f>
        <v>153.6</v>
      </c>
      <c r="V64" s="16" t="n">
        <v>256.6</v>
      </c>
      <c r="W64" s="8" t="n">
        <f aca="false">V64/D64</f>
        <v>20.8617886178862</v>
      </c>
      <c r="X64" s="8" t="n">
        <f aca="false">X63+V64</f>
        <v>44715.6</v>
      </c>
      <c r="AA64" s="8" t="n">
        <v>9.73934697374707</v>
      </c>
    </row>
    <row r="65" s="8" customFormat="true" ht="15" hidden="false" customHeight="false" outlineLevel="0" collapsed="false">
      <c r="A65" s="9"/>
      <c r="B65" s="10"/>
      <c r="C65" s="11" t="n">
        <v>41581</v>
      </c>
      <c r="D65" s="8" t="n">
        <v>8.7</v>
      </c>
      <c r="E65" s="8" t="n">
        <v>7.7</v>
      </c>
      <c r="F65" s="8" t="n">
        <v>12.5</v>
      </c>
      <c r="G65" s="8" t="n">
        <f aca="false">G64+D65</f>
        <v>814.2</v>
      </c>
      <c r="J65" s="8" t="n">
        <v>11.9</v>
      </c>
      <c r="K65" s="8" t="n">
        <f aca="false">K64+J65</f>
        <v>229.3</v>
      </c>
      <c r="L65" s="8" t="n">
        <v>1.5</v>
      </c>
      <c r="M65" s="8" t="n">
        <f aca="false">M64+L65</f>
        <v>106.8</v>
      </c>
      <c r="N65" s="8" t="n">
        <f aca="false">J65-L65</f>
        <v>10.4</v>
      </c>
      <c r="O65" s="8" t="n">
        <v>130.3</v>
      </c>
      <c r="P65" s="8" t="n">
        <v>60</v>
      </c>
      <c r="Q65" s="8" t="n">
        <f aca="false">0.35+((P65-9)/67)*(1-0.35)</f>
        <v>0.844776119402985</v>
      </c>
      <c r="R65" s="15" t="n">
        <f aca="false">Q65*L65</f>
        <v>1.26716417910448</v>
      </c>
      <c r="S65" s="15" t="n">
        <f aca="false">J65-R65</f>
        <v>10.6328358208955</v>
      </c>
      <c r="T65" s="15" t="n">
        <f aca="false">MIN(153.6,(T64+S65))</f>
        <v>153.6</v>
      </c>
      <c r="V65" s="16" t="n">
        <v>134.6</v>
      </c>
      <c r="W65" s="8" t="n">
        <f aca="false">V65/D65</f>
        <v>15.4712643678161</v>
      </c>
      <c r="X65" s="8" t="n">
        <f aca="false">X64+V65</f>
        <v>44850.2</v>
      </c>
      <c r="AA65" s="8" t="n">
        <v>9.68178491283044</v>
      </c>
    </row>
    <row r="66" s="8" customFormat="true" ht="15" hidden="false" customHeight="false" outlineLevel="0" collapsed="false">
      <c r="A66" s="9"/>
      <c r="B66" s="10"/>
      <c r="C66" s="11" t="n">
        <v>41582</v>
      </c>
      <c r="D66" s="8" t="n">
        <v>8.6</v>
      </c>
      <c r="E66" s="8" t="n">
        <v>6.4</v>
      </c>
      <c r="F66" s="8" t="n">
        <v>11.9</v>
      </c>
      <c r="G66" s="8" t="n">
        <f aca="false">G65+D66</f>
        <v>822.8</v>
      </c>
      <c r="J66" s="8" t="n">
        <v>2.1</v>
      </c>
      <c r="K66" s="8" t="n">
        <f aca="false">K65+J66</f>
        <v>231.4</v>
      </c>
      <c r="L66" s="8" t="n">
        <v>1</v>
      </c>
      <c r="M66" s="8" t="n">
        <f aca="false">M65+L66</f>
        <v>107.8</v>
      </c>
      <c r="N66" s="8" t="n">
        <f aca="false">J66-L66</f>
        <v>1.1</v>
      </c>
      <c r="O66" s="8" t="n">
        <v>131.4</v>
      </c>
      <c r="P66" s="8" t="n">
        <v>61</v>
      </c>
      <c r="Q66" s="8" t="n">
        <f aca="false">0.35+((P66-9)/67)*(1-0.35)</f>
        <v>0.854477611940299</v>
      </c>
      <c r="R66" s="15" t="n">
        <f aca="false">Q66*L66</f>
        <v>0.854477611940299</v>
      </c>
      <c r="S66" s="15" t="n">
        <f aca="false">J66-R66</f>
        <v>1.2455223880597</v>
      </c>
      <c r="T66" s="15" t="n">
        <f aca="false">MIN(153.6,(T65+S66))</f>
        <v>153.6</v>
      </c>
      <c r="V66" s="16" t="n">
        <v>365.7</v>
      </c>
      <c r="W66" s="8" t="n">
        <f aca="false">V66/D66</f>
        <v>42.5232558139535</v>
      </c>
      <c r="X66" s="8" t="n">
        <f aca="false">X65+V66</f>
        <v>45215.9</v>
      </c>
      <c r="AA66" s="8" t="n">
        <v>9.62465348250865</v>
      </c>
    </row>
    <row r="67" s="8" customFormat="true" ht="15" hidden="false" customHeight="false" outlineLevel="0" collapsed="false">
      <c r="A67" s="9"/>
      <c r="B67" s="10"/>
      <c r="C67" s="11" t="n">
        <v>41583</v>
      </c>
      <c r="D67" s="8" t="n">
        <v>7.7</v>
      </c>
      <c r="E67" s="18" t="n">
        <v>4.1</v>
      </c>
      <c r="F67" s="8" t="n">
        <v>10.6</v>
      </c>
      <c r="G67" s="8" t="n">
        <f aca="false">G66+D67</f>
        <v>830.5</v>
      </c>
      <c r="J67" s="8" t="n">
        <v>12.3</v>
      </c>
      <c r="K67" s="8" t="n">
        <f aca="false">K66+J67</f>
        <v>243.7</v>
      </c>
      <c r="L67" s="8" t="n">
        <v>0.7</v>
      </c>
      <c r="M67" s="8" t="n">
        <f aca="false">M66+L67</f>
        <v>108.5</v>
      </c>
      <c r="N67" s="8" t="n">
        <f aca="false">J67-L67</f>
        <v>11.6</v>
      </c>
      <c r="O67" s="8" t="n">
        <v>143</v>
      </c>
      <c r="P67" s="8" t="n">
        <v>62</v>
      </c>
      <c r="Q67" s="8" t="n">
        <f aca="false">0.35+((P67-9)/67)*(1-0.35)</f>
        <v>0.864179104477612</v>
      </c>
      <c r="R67" s="15" t="n">
        <f aca="false">Q67*L67</f>
        <v>0.604925373134328</v>
      </c>
      <c r="S67" s="15" t="n">
        <f aca="false">J67-R67</f>
        <v>11.6950746268657</v>
      </c>
      <c r="T67" s="15" t="n">
        <f aca="false">MIN(153.6,(T66+S67))</f>
        <v>153.6</v>
      </c>
      <c r="V67" s="16" t="n">
        <v>96.6</v>
      </c>
      <c r="W67" s="8" t="n">
        <f aca="false">V67/D67</f>
        <v>12.5454545454545</v>
      </c>
      <c r="X67" s="8" t="n">
        <f aca="false">X66+V67</f>
        <v>45312.5</v>
      </c>
      <c r="AA67" s="8" t="n">
        <v>9.56797530228475</v>
      </c>
    </row>
    <row r="68" s="8" customFormat="true" ht="15" hidden="false" customHeight="false" outlineLevel="0" collapsed="false">
      <c r="A68" s="9"/>
      <c r="B68" s="10"/>
      <c r="C68" s="11" t="n">
        <v>41584</v>
      </c>
      <c r="D68" s="8" t="n">
        <v>12.3</v>
      </c>
      <c r="E68" s="8" t="n">
        <v>9.8</v>
      </c>
      <c r="F68" s="8" t="n">
        <v>14.7</v>
      </c>
      <c r="G68" s="8" t="n">
        <f aca="false">G67+D68</f>
        <v>842.8</v>
      </c>
      <c r="J68" s="8" t="n">
        <v>7.3</v>
      </c>
      <c r="K68" s="8" t="n">
        <f aca="false">K67+J68</f>
        <v>251</v>
      </c>
      <c r="L68" s="8" t="n">
        <v>0.8</v>
      </c>
      <c r="M68" s="8" t="n">
        <f aca="false">M67+L68</f>
        <v>109.3</v>
      </c>
      <c r="N68" s="8" t="n">
        <f aca="false">J68-L68</f>
        <v>6.5</v>
      </c>
      <c r="O68" s="8" t="n">
        <v>149.5</v>
      </c>
      <c r="P68" s="8" t="n">
        <v>63</v>
      </c>
      <c r="Q68" s="8" t="n">
        <f aca="false">0.35+((P68-9)/67)*(1-0.35)</f>
        <v>0.873880597014925</v>
      </c>
      <c r="R68" s="15" t="n">
        <f aca="false">Q68*L68</f>
        <v>0.69910447761194</v>
      </c>
      <c r="S68" s="15" t="n">
        <f aca="false">J68-R68</f>
        <v>6.60089552238806</v>
      </c>
      <c r="T68" s="15" t="n">
        <f aca="false">MIN(153.6,(T67+S68))</f>
        <v>153.6</v>
      </c>
      <c r="V68" s="16" t="n">
        <v>112.8</v>
      </c>
      <c r="W68" s="8" t="n">
        <f aca="false">V68/D68</f>
        <v>9.17073170731707</v>
      </c>
      <c r="X68" s="8" t="n">
        <f aca="false">X67+V68</f>
        <v>45425.3</v>
      </c>
      <c r="AA68" s="8" t="n">
        <v>9.5117737706313</v>
      </c>
    </row>
    <row r="69" s="8" customFormat="true" ht="15" hidden="false" customHeight="false" outlineLevel="0" collapsed="false">
      <c r="A69" s="9"/>
      <c r="B69" s="10"/>
      <c r="C69" s="11" t="n">
        <v>41585</v>
      </c>
      <c r="D69" s="8" t="n">
        <v>12</v>
      </c>
      <c r="E69" s="8" t="n">
        <v>11.2</v>
      </c>
      <c r="F69" s="8" t="n">
        <v>13.4</v>
      </c>
      <c r="G69" s="8" t="n">
        <f aca="false">G68+D69</f>
        <v>854.8</v>
      </c>
      <c r="J69" s="8" t="n">
        <v>13.7</v>
      </c>
      <c r="K69" s="8" t="n">
        <f aca="false">K68+J69</f>
        <v>264.7</v>
      </c>
      <c r="L69" s="8" t="n">
        <v>0.5</v>
      </c>
      <c r="M69" s="8" t="n">
        <f aca="false">M68+L69</f>
        <v>109.8</v>
      </c>
      <c r="N69" s="8" t="n">
        <f aca="false">J69-L69</f>
        <v>13.2</v>
      </c>
      <c r="O69" s="8" t="n">
        <v>153.6</v>
      </c>
      <c r="P69" s="8" t="n">
        <v>64</v>
      </c>
      <c r="Q69" s="8" t="n">
        <f aca="false">0.35+((P69-9)/67)*(1-0.35)</f>
        <v>0.883582089552239</v>
      </c>
      <c r="R69" s="15" t="n">
        <f aca="false">Q69*L69</f>
        <v>0.441791044776119</v>
      </c>
      <c r="S69" s="15" t="n">
        <f aca="false">J69-R69</f>
        <v>13.2582089552239</v>
      </c>
      <c r="T69" s="15" t="n">
        <f aca="false">MIN(153.6,(T68+S69))</f>
        <v>153.6</v>
      </c>
      <c r="V69" s="16" t="n">
        <v>95.3</v>
      </c>
      <c r="W69" s="8" t="n">
        <f aca="false">V69/D69</f>
        <v>7.94166666666667</v>
      </c>
      <c r="X69" s="8" t="n">
        <f aca="false">X68+V69</f>
        <v>45520.6</v>
      </c>
      <c r="AA69" s="8" t="n">
        <v>9.45607306807339</v>
      </c>
    </row>
    <row r="70" s="8" customFormat="true" ht="15" hidden="false" customHeight="false" outlineLevel="0" collapsed="false">
      <c r="A70" s="9"/>
      <c r="B70" s="10"/>
      <c r="C70" s="11" t="n">
        <v>41586</v>
      </c>
      <c r="D70" s="8" t="n">
        <v>9.1</v>
      </c>
      <c r="E70" s="8" t="n">
        <v>7.7</v>
      </c>
      <c r="F70" s="8" t="n">
        <v>11.5</v>
      </c>
      <c r="G70" s="8" t="n">
        <f aca="false">G69+D70</f>
        <v>863.9</v>
      </c>
      <c r="J70" s="8" t="n">
        <v>13.9</v>
      </c>
      <c r="K70" s="8" t="n">
        <f aca="false">K69+J70</f>
        <v>278.6</v>
      </c>
      <c r="L70" s="8" t="n">
        <v>0.8</v>
      </c>
      <c r="M70" s="8" t="n">
        <f aca="false">M69+L70</f>
        <v>110.6</v>
      </c>
      <c r="N70" s="8" t="n">
        <f aca="false">J70-L70</f>
        <v>13.1</v>
      </c>
      <c r="O70" s="8" t="n">
        <v>153.6</v>
      </c>
      <c r="P70" s="8" t="n">
        <v>65</v>
      </c>
      <c r="Q70" s="8" t="n">
        <f aca="false">0.35+((P70-9)/67)*(1-0.35)</f>
        <v>0.893283582089552</v>
      </c>
      <c r="R70" s="15" t="n">
        <f aca="false">Q70*L70</f>
        <v>0.714626865671642</v>
      </c>
      <c r="S70" s="15" t="n">
        <f aca="false">J70-R70</f>
        <v>13.1853731343284</v>
      </c>
      <c r="T70" s="15" t="n">
        <f aca="false">MIN(153.6,(T69+S70))</f>
        <v>153.6</v>
      </c>
      <c r="V70" s="16" t="n">
        <v>289.1</v>
      </c>
      <c r="W70" s="8" t="n">
        <f aca="false">V70/D70</f>
        <v>31.7692307692308</v>
      </c>
      <c r="X70" s="8" t="n">
        <f aca="false">X69+V70</f>
        <v>45809.7</v>
      </c>
      <c r="AA70" s="8" t="n">
        <v>9.40089815783982</v>
      </c>
    </row>
    <row r="71" s="8" customFormat="true" ht="15" hidden="false" customHeight="false" outlineLevel="0" collapsed="false">
      <c r="A71" s="9"/>
      <c r="B71" s="10"/>
      <c r="C71" s="11" t="n">
        <v>41587</v>
      </c>
      <c r="D71" s="8" t="n">
        <v>8.1</v>
      </c>
      <c r="E71" s="8" t="n">
        <v>7.1</v>
      </c>
      <c r="F71" s="8" t="n">
        <v>9.5</v>
      </c>
      <c r="G71" s="8" t="n">
        <f aca="false">G70+D71</f>
        <v>872</v>
      </c>
      <c r="J71" s="8" t="n">
        <v>3.3</v>
      </c>
      <c r="K71" s="8" t="n">
        <f aca="false">K70+J71</f>
        <v>281.9</v>
      </c>
      <c r="L71" s="8" t="n">
        <v>1.1</v>
      </c>
      <c r="M71" s="8" t="n">
        <f aca="false">M70+L71</f>
        <v>111.7</v>
      </c>
      <c r="N71" s="8" t="n">
        <f aca="false">J71-L71</f>
        <v>2.2</v>
      </c>
      <c r="O71" s="8" t="n">
        <v>153.6</v>
      </c>
      <c r="P71" s="8" t="n">
        <v>66</v>
      </c>
      <c r="Q71" s="8" t="n">
        <f aca="false">0.35+((P71-9)/67)*(1-0.35)</f>
        <v>0.902985074626866</v>
      </c>
      <c r="R71" s="15" t="n">
        <f aca="false">Q71*L71</f>
        <v>0.993283582089552</v>
      </c>
      <c r="S71" s="15" t="n">
        <f aca="false">J71-R71</f>
        <v>2.30671641791045</v>
      </c>
      <c r="T71" s="15" t="n">
        <f aca="false">MIN(153.6,(T70+S71))</f>
        <v>153.6</v>
      </c>
      <c r="V71" s="16" t="n">
        <v>421.5</v>
      </c>
      <c r="W71" s="8" t="n">
        <f aca="false">V71/D71</f>
        <v>52.037037037037</v>
      </c>
      <c r="X71" s="8" t="n">
        <f aca="false">X70+V71</f>
        <v>46231.2</v>
      </c>
      <c r="AA71" s="8" t="n">
        <v>9.34627478387992</v>
      </c>
    </row>
    <row r="72" s="8" customFormat="true" ht="15" hidden="false" customHeight="false" outlineLevel="0" collapsed="false">
      <c r="A72" s="9"/>
      <c r="B72" s="10"/>
      <c r="C72" s="11" t="n">
        <v>41588</v>
      </c>
      <c r="D72" s="8" t="n">
        <v>6.2</v>
      </c>
      <c r="E72" s="8" t="n">
        <v>5.9</v>
      </c>
      <c r="F72" s="8" t="n">
        <v>8.6</v>
      </c>
      <c r="G72" s="8" t="n">
        <f aca="false">G71+D72</f>
        <v>878.2</v>
      </c>
      <c r="J72" s="8" t="n">
        <v>3.8</v>
      </c>
      <c r="K72" s="8" t="n">
        <f aca="false">K71+J72</f>
        <v>285.7</v>
      </c>
      <c r="L72" s="8" t="n">
        <v>1</v>
      </c>
      <c r="M72" s="8" t="n">
        <f aca="false">M71+L72</f>
        <v>112.7</v>
      </c>
      <c r="N72" s="8" t="n">
        <f aca="false">J72-L72</f>
        <v>2.8</v>
      </c>
      <c r="O72" s="8" t="n">
        <v>153.6</v>
      </c>
      <c r="P72" s="8" t="n">
        <v>67</v>
      </c>
      <c r="Q72" s="8" t="n">
        <f aca="false">0.35+((P72-9)/67)*(1-0.35)</f>
        <v>0.912686567164179</v>
      </c>
      <c r="R72" s="15" t="n">
        <f aca="false">Q72*L72</f>
        <v>0.912686567164179</v>
      </c>
      <c r="S72" s="15" t="n">
        <f aca="false">J72-R72</f>
        <v>2.88731343283582</v>
      </c>
      <c r="T72" s="15" t="n">
        <f aca="false">MIN(153.6,(T71+S72))</f>
        <v>153.6</v>
      </c>
      <c r="V72" s="16" t="n">
        <v>205.8</v>
      </c>
      <c r="W72" s="8" t="n">
        <f aca="false">V72/D72</f>
        <v>33.1935483870968</v>
      </c>
      <c r="X72" s="8" t="n">
        <f aca="false">X71+V72</f>
        <v>46437</v>
      </c>
      <c r="AA72" s="8" t="n">
        <v>9.29222946603914</v>
      </c>
    </row>
    <row r="73" s="8" customFormat="true" ht="15" hidden="false" customHeight="false" outlineLevel="0" collapsed="false">
      <c r="A73" s="9"/>
      <c r="B73" s="10"/>
      <c r="C73" s="11" t="n">
        <v>41589</v>
      </c>
      <c r="D73" s="8" t="n">
        <v>5.5</v>
      </c>
      <c r="E73" s="18" t="n">
        <v>0.5</v>
      </c>
      <c r="F73" s="8" t="n">
        <v>8.7</v>
      </c>
      <c r="G73" s="8" t="n">
        <f aca="false">G72+D73</f>
        <v>883.7</v>
      </c>
      <c r="J73" s="8" t="n">
        <v>0</v>
      </c>
      <c r="K73" s="8" t="n">
        <f aca="false">K72+J73</f>
        <v>285.7</v>
      </c>
      <c r="L73" s="8" t="n">
        <v>0.6</v>
      </c>
      <c r="M73" s="8" t="n">
        <f aca="false">M72+L73</f>
        <v>113.3</v>
      </c>
      <c r="N73" s="14" t="n">
        <f aca="false">J73-L73</f>
        <v>-0.6</v>
      </c>
      <c r="O73" s="8" t="n">
        <v>153</v>
      </c>
      <c r="P73" s="8" t="n">
        <v>68</v>
      </c>
      <c r="Q73" s="8" t="n">
        <f aca="false">0.35+((P73-9)/67)*(1-0.35)</f>
        <v>0.922388059701493</v>
      </c>
      <c r="R73" s="15" t="n">
        <f aca="false">Q73*L73</f>
        <v>0.553432835820896</v>
      </c>
      <c r="S73" s="15" t="n">
        <f aca="false">J73-R73</f>
        <v>-0.553432835820896</v>
      </c>
      <c r="T73" s="15" t="n">
        <f aca="false">MIN(153.6,(T72+S73))</f>
        <v>153.046567164179</v>
      </c>
      <c r="V73" s="16" t="n">
        <v>352</v>
      </c>
      <c r="W73" s="8" t="n">
        <f aca="false">V73/D73</f>
        <v>64</v>
      </c>
      <c r="X73" s="8" t="n">
        <f aca="false">X72+V73</f>
        <v>46789</v>
      </c>
      <c r="AA73" s="8" t="n">
        <v>9.23878949218292</v>
      </c>
    </row>
    <row r="74" s="8" customFormat="true" ht="15" hidden="false" customHeight="false" outlineLevel="0" collapsed="false">
      <c r="A74" s="9"/>
      <c r="B74" s="10"/>
      <c r="C74" s="11" t="n">
        <v>41590</v>
      </c>
      <c r="D74" s="8" t="n">
        <v>8.2</v>
      </c>
      <c r="E74" s="8" t="n">
        <v>7.2</v>
      </c>
      <c r="F74" s="8" t="n">
        <v>9.7</v>
      </c>
      <c r="G74" s="8" t="n">
        <f aca="false">G73+D74</f>
        <v>891.9</v>
      </c>
      <c r="J74" s="8" t="n">
        <v>2</v>
      </c>
      <c r="K74" s="8" t="n">
        <f aca="false">K73+J74</f>
        <v>287.7</v>
      </c>
      <c r="L74" s="8" t="n">
        <v>0.5</v>
      </c>
      <c r="M74" s="8" t="n">
        <f aca="false">M73+L74</f>
        <v>113.8</v>
      </c>
      <c r="N74" s="8" t="n">
        <f aca="false">J74-L74</f>
        <v>1.5</v>
      </c>
      <c r="O74" s="8" t="n">
        <v>153.6</v>
      </c>
      <c r="P74" s="8" t="n">
        <v>69</v>
      </c>
      <c r="Q74" s="8" t="n">
        <f aca="false">0.35+((P74-9)/67)*(1-0.35)</f>
        <v>0.932089552238806</v>
      </c>
      <c r="R74" s="15" t="n">
        <f aca="false">Q74*L74</f>
        <v>0.466044776119403</v>
      </c>
      <c r="S74" s="15" t="n">
        <f aca="false">J74-R74</f>
        <v>1.5339552238806</v>
      </c>
      <c r="T74" s="15" t="n">
        <f aca="false">MIN(153.6,(T73+S74))</f>
        <v>153.6</v>
      </c>
      <c r="V74" s="16" t="n">
        <v>138.3</v>
      </c>
      <c r="W74" s="8" t="n">
        <f aca="false">V74/D74</f>
        <v>16.8658536585366</v>
      </c>
      <c r="X74" s="8" t="n">
        <f aca="false">X73+V74</f>
        <v>46927.3</v>
      </c>
      <c r="AA74" s="8" t="n">
        <v>9.18598290705673</v>
      </c>
    </row>
    <row r="75" s="8" customFormat="true" ht="15" hidden="false" customHeight="false" outlineLevel="0" collapsed="false">
      <c r="A75" s="9"/>
      <c r="B75" s="10"/>
      <c r="C75" s="11" t="n">
        <v>41591</v>
      </c>
      <c r="D75" s="8" t="n">
        <v>6.2</v>
      </c>
      <c r="E75" s="18" t="n">
        <v>3.4</v>
      </c>
      <c r="F75" s="8" t="n">
        <v>11.9</v>
      </c>
      <c r="G75" s="8" t="n">
        <f aca="false">G74+D75</f>
        <v>898.1</v>
      </c>
      <c r="J75" s="8" t="n">
        <v>1</v>
      </c>
      <c r="K75" s="8" t="n">
        <f aca="false">K74+J75</f>
        <v>288.7</v>
      </c>
      <c r="L75" s="8" t="n">
        <v>0.9</v>
      </c>
      <c r="M75" s="8" t="n">
        <f aca="false">M74+L75</f>
        <v>114.7</v>
      </c>
      <c r="N75" s="8" t="n">
        <f aca="false">J75-L75</f>
        <v>0.1</v>
      </c>
      <c r="O75" s="8" t="n">
        <v>153.6</v>
      </c>
      <c r="P75" s="8" t="n">
        <v>70</v>
      </c>
      <c r="Q75" s="8" t="n">
        <f aca="false">0.35+((P75-9)/67)*(1-0.35)</f>
        <v>0.941791044776119</v>
      </c>
      <c r="R75" s="15" t="n">
        <f aca="false">Q75*L75</f>
        <v>0.847611940298508</v>
      </c>
      <c r="S75" s="15" t="n">
        <f aca="false">J75-R75</f>
        <v>0.152388059701493</v>
      </c>
      <c r="T75" s="15" t="n">
        <f aca="false">MIN(153.6,(T74+S75))</f>
        <v>153.6</v>
      </c>
      <c r="V75" s="16" t="n">
        <v>630.6</v>
      </c>
      <c r="W75" s="8" t="n">
        <f aca="false">V75/D75</f>
        <v>101.709677419355</v>
      </c>
      <c r="X75" s="8" t="n">
        <f aca="false">X74+V75</f>
        <v>47557.9</v>
      </c>
      <c r="AA75" s="8" t="n">
        <v>9.1338384976699</v>
      </c>
    </row>
    <row r="76" s="8" customFormat="true" ht="15" hidden="false" customHeight="false" outlineLevel="0" collapsed="false">
      <c r="A76" s="9"/>
      <c r="B76" s="10"/>
      <c r="C76" s="11" t="n">
        <v>41592</v>
      </c>
      <c r="D76" s="8" t="n">
        <v>7</v>
      </c>
      <c r="E76" s="18" t="n">
        <v>3.1</v>
      </c>
      <c r="F76" s="8" t="n">
        <v>9.7</v>
      </c>
      <c r="G76" s="8" t="n">
        <f aca="false">G75+D76</f>
        <v>905.1</v>
      </c>
      <c r="J76" s="8" t="n">
        <v>7.8</v>
      </c>
      <c r="K76" s="8" t="n">
        <f aca="false">K75+J76</f>
        <v>296.5</v>
      </c>
      <c r="L76" s="8" t="n">
        <v>0.6</v>
      </c>
      <c r="M76" s="8" t="n">
        <f aca="false">M75+L76</f>
        <v>115.3</v>
      </c>
      <c r="N76" s="8" t="n">
        <f aca="false">J76-L76</f>
        <v>7.2</v>
      </c>
      <c r="O76" s="8" t="n">
        <v>153.6</v>
      </c>
      <c r="P76" s="8" t="n">
        <v>71</v>
      </c>
      <c r="Q76" s="8" t="n">
        <f aca="false">0.35+((P76-9)/67)*(1-0.35)</f>
        <v>0.951492537313433</v>
      </c>
      <c r="R76" s="15" t="n">
        <f aca="false">Q76*L76</f>
        <v>0.57089552238806</v>
      </c>
      <c r="S76" s="15" t="n">
        <f aca="false">J76-R76</f>
        <v>7.22910447761194</v>
      </c>
      <c r="T76" s="15" t="n">
        <f aca="false">MIN(153.6,(T75+S76))</f>
        <v>153.6</v>
      </c>
      <c r="V76" s="16" t="n">
        <v>84.7</v>
      </c>
      <c r="W76" s="8" t="n">
        <f aca="false">V76/D76</f>
        <v>12.1</v>
      </c>
      <c r="X76" s="8" t="n">
        <f aca="false">X75+V76</f>
        <v>47642.6</v>
      </c>
      <c r="AA76" s="8" t="n">
        <v>9.08238577499276</v>
      </c>
    </row>
    <row r="77" s="8" customFormat="true" ht="15" hidden="false" customHeight="false" outlineLevel="0" collapsed="false">
      <c r="A77" s="9"/>
      <c r="B77" s="10"/>
      <c r="C77" s="11" t="n">
        <v>41593</v>
      </c>
      <c r="D77" s="8" t="n">
        <v>7.5</v>
      </c>
      <c r="E77" s="8" t="n">
        <v>6</v>
      </c>
      <c r="F77" s="8" t="n">
        <v>10.5</v>
      </c>
      <c r="G77" s="8" t="n">
        <f aca="false">G76+D77</f>
        <v>912.6</v>
      </c>
      <c r="J77" s="8" t="n">
        <v>0.2</v>
      </c>
      <c r="K77" s="8" t="n">
        <f aca="false">K76+J77</f>
        <v>296.7</v>
      </c>
      <c r="L77" s="8" t="n">
        <v>1.2</v>
      </c>
      <c r="M77" s="8" t="n">
        <f aca="false">M76+L77</f>
        <v>116.5</v>
      </c>
      <c r="N77" s="14" t="n">
        <f aca="false">J77-L77</f>
        <v>-1</v>
      </c>
      <c r="O77" s="8" t="n">
        <v>152.6</v>
      </c>
      <c r="P77" s="8" t="n">
        <v>72</v>
      </c>
      <c r="Q77" s="8" t="n">
        <f aca="false">0.35+((P77-9)/67)*(1-0.35)</f>
        <v>0.961194029850746</v>
      </c>
      <c r="R77" s="15" t="n">
        <f aca="false">Q77*L77</f>
        <v>1.1534328358209</v>
      </c>
      <c r="S77" s="15" t="n">
        <f aca="false">J77-R77</f>
        <v>-0.953432835820896</v>
      </c>
      <c r="T77" s="15" t="n">
        <f aca="false">MIN(153.6,(T76+S77))</f>
        <v>152.646567164179</v>
      </c>
      <c r="V77" s="16" t="n">
        <v>615.6</v>
      </c>
      <c r="W77" s="8" t="n">
        <f aca="false">V77/D77</f>
        <v>82.08</v>
      </c>
      <c r="X77" s="8" t="n">
        <f aca="false">X76+V77</f>
        <v>48258.2</v>
      </c>
      <c r="AA77" s="8" t="n">
        <v>9.03165495176079</v>
      </c>
    </row>
    <row r="78" s="8" customFormat="true" ht="15" hidden="false" customHeight="false" outlineLevel="0" collapsed="false">
      <c r="A78" s="9"/>
      <c r="B78" s="19"/>
      <c r="C78" s="11" t="n">
        <v>41594</v>
      </c>
      <c r="D78" s="18" t="n">
        <v>4.7</v>
      </c>
      <c r="E78" s="18" t="n">
        <v>4</v>
      </c>
      <c r="F78" s="8" t="n">
        <v>5.3</v>
      </c>
      <c r="G78" s="8" t="n">
        <f aca="false">G77+D78</f>
        <v>917.3</v>
      </c>
      <c r="J78" s="8" t="n">
        <v>0</v>
      </c>
      <c r="K78" s="8" t="n">
        <f aca="false">K77+J78</f>
        <v>296.7</v>
      </c>
      <c r="L78" s="8" t="n">
        <v>0.4</v>
      </c>
      <c r="M78" s="8" t="n">
        <f aca="false">M77+L78</f>
        <v>116.9</v>
      </c>
      <c r="N78" s="14" t="n">
        <f aca="false">J78-L78</f>
        <v>-0.4</v>
      </c>
      <c r="O78" s="8" t="n">
        <v>152.2</v>
      </c>
      <c r="P78" s="8" t="n">
        <v>73</v>
      </c>
      <c r="Q78" s="8" t="n">
        <f aca="false">0.35+((P78-9)/67)*(1-0.35)</f>
        <v>0.97089552238806</v>
      </c>
      <c r="R78" s="15" t="n">
        <f aca="false">Q78*L78</f>
        <v>0.388358208955224</v>
      </c>
      <c r="S78" s="15" t="n">
        <f aca="false">J78-R78</f>
        <v>-0.388358208955224</v>
      </c>
      <c r="T78" s="15" t="n">
        <f aca="false">MIN(153.6,(T77+S78))</f>
        <v>152.258208955224</v>
      </c>
      <c r="V78" s="16" t="n">
        <v>273.1</v>
      </c>
      <c r="W78" s="8" t="n">
        <f aca="false">V78/D78</f>
        <v>58.1063829787234</v>
      </c>
      <c r="X78" s="8" t="n">
        <f aca="false">X77+V78</f>
        <v>48531.3</v>
      </c>
      <c r="AA78" s="20" t="n">
        <v>8.98167691618612</v>
      </c>
    </row>
    <row r="79" s="8" customFormat="true" ht="15" hidden="false" customHeight="false" outlineLevel="0" collapsed="false">
      <c r="A79" s="9"/>
      <c r="B79" s="10"/>
      <c r="C79" s="11" t="n">
        <v>41595</v>
      </c>
      <c r="D79" s="8" t="n">
        <v>5.7</v>
      </c>
      <c r="E79" s="18" t="n">
        <v>3.3</v>
      </c>
      <c r="F79" s="8" t="n">
        <v>7</v>
      </c>
      <c r="G79" s="8" t="n">
        <f aca="false">G78+D79</f>
        <v>923</v>
      </c>
      <c r="J79" s="8" t="n">
        <v>0.1</v>
      </c>
      <c r="K79" s="8" t="n">
        <f aca="false">K78+J79</f>
        <v>296.8</v>
      </c>
      <c r="L79" s="8" t="n">
        <v>0.2</v>
      </c>
      <c r="M79" s="8" t="n">
        <f aca="false">M78+L79</f>
        <v>117.1</v>
      </c>
      <c r="N79" s="14" t="n">
        <f aca="false">J79-L79</f>
        <v>-0.1</v>
      </c>
      <c r="O79" s="8" t="n">
        <v>152.1</v>
      </c>
      <c r="P79" s="8" t="n">
        <v>74</v>
      </c>
      <c r="Q79" s="8" t="n">
        <f aca="false">0.35+((P79-9)/67)*(1-0.35)</f>
        <v>0.980597014925373</v>
      </c>
      <c r="R79" s="15" t="n">
        <f aca="false">Q79*L79</f>
        <v>0.196119402985075</v>
      </c>
      <c r="S79" s="15" t="n">
        <f aca="false">J79-R79</f>
        <v>-0.0961194029850746</v>
      </c>
      <c r="T79" s="15" t="n">
        <f aca="false">MIN(153.6,(T78+S79))</f>
        <v>152.162089552239</v>
      </c>
      <c r="V79" s="16" t="n">
        <v>156.7</v>
      </c>
      <c r="W79" s="8" t="n">
        <f aca="false">V79/D79</f>
        <v>27.4912280701754</v>
      </c>
      <c r="X79" s="8" t="n">
        <f aca="false">X78+V79</f>
        <v>48688</v>
      </c>
      <c r="AA79" s="20" t="n">
        <v>8.93248320138579</v>
      </c>
    </row>
    <row r="80" s="8" customFormat="true" ht="15" hidden="false" customHeight="false" outlineLevel="0" collapsed="false">
      <c r="A80" s="9"/>
      <c r="B80" s="10"/>
      <c r="C80" s="11" t="n">
        <v>41596</v>
      </c>
      <c r="D80" s="8" t="n">
        <v>5.3</v>
      </c>
      <c r="E80" s="18" t="n">
        <v>4.8</v>
      </c>
      <c r="F80" s="8" t="n">
        <v>7.3</v>
      </c>
      <c r="G80" s="8" t="n">
        <f aca="false">G79+D80</f>
        <v>928.3</v>
      </c>
      <c r="J80" s="8" t="n">
        <v>0.8</v>
      </c>
      <c r="K80" s="8" t="n">
        <f aca="false">K79+J80</f>
        <v>297.6</v>
      </c>
      <c r="L80" s="8" t="n">
        <v>0.7</v>
      </c>
      <c r="M80" s="8" t="n">
        <f aca="false">M79+L80</f>
        <v>117.8</v>
      </c>
      <c r="N80" s="8" t="n">
        <f aca="false">J80-L80</f>
        <v>0.1</v>
      </c>
      <c r="O80" s="8" t="n">
        <v>152.2</v>
      </c>
      <c r="P80" s="8" t="n">
        <v>75</v>
      </c>
      <c r="Q80" s="8" t="n">
        <f aca="false">0.35+((P80-9)/67)*(1-0.35)</f>
        <v>0.990298507462687</v>
      </c>
      <c r="R80" s="15" t="n">
        <f aca="false">Q80*L80</f>
        <v>0.693208955223881</v>
      </c>
      <c r="S80" s="15" t="n">
        <f aca="false">J80-R80</f>
        <v>0.106791044776119</v>
      </c>
      <c r="T80" s="15" t="n">
        <f aca="false">MIN(153.6,(T79+S80))</f>
        <v>152.268880597015</v>
      </c>
      <c r="V80" s="16" t="n">
        <v>117.6</v>
      </c>
      <c r="W80" s="8" t="n">
        <f aca="false">V80/D80</f>
        <v>22.188679245283</v>
      </c>
      <c r="X80" s="8" t="n">
        <f aca="false">X79+V80</f>
        <v>48805.6</v>
      </c>
      <c r="AA80" s="20" t="n">
        <v>8.88410595034894</v>
      </c>
    </row>
    <row r="81" s="23" customFormat="true" ht="15" hidden="false" customHeight="false" outlineLevel="0" collapsed="false">
      <c r="A81" s="9"/>
      <c r="B81" s="21"/>
      <c r="C81" s="22" t="n">
        <v>41597</v>
      </c>
      <c r="D81" s="23" t="n">
        <v>6.1</v>
      </c>
      <c r="E81" s="23" t="n">
        <v>4.8</v>
      </c>
      <c r="F81" s="23" t="n">
        <v>7.6</v>
      </c>
      <c r="G81" s="23" t="n">
        <f aca="false">G80+D81</f>
        <v>934.4</v>
      </c>
      <c r="J81" s="23" t="n">
        <v>0.7</v>
      </c>
      <c r="K81" s="23" t="n">
        <f aca="false">K80+J81</f>
        <v>298.3</v>
      </c>
      <c r="L81" s="23" t="n">
        <v>1.1</v>
      </c>
      <c r="M81" s="23" t="n">
        <f aca="false">M80+L81</f>
        <v>118.9</v>
      </c>
      <c r="N81" s="23" t="n">
        <f aca="false">J81-L81</f>
        <v>-0.4</v>
      </c>
      <c r="O81" s="23" t="n">
        <v>151.8</v>
      </c>
      <c r="P81" s="23" t="n">
        <v>76</v>
      </c>
      <c r="Q81" s="24" t="n">
        <f aca="false">0.35+((P81-9)/67)*(1-0.35)</f>
        <v>1</v>
      </c>
      <c r="R81" s="25" t="n">
        <f aca="false">Q81*L81</f>
        <v>1.1</v>
      </c>
      <c r="S81" s="25" t="n">
        <f aca="false">J81-R81</f>
        <v>-0.4</v>
      </c>
      <c r="T81" s="26" t="n">
        <f aca="false">MIN(153.6,(T80+S81))</f>
        <v>151.868880597015</v>
      </c>
      <c r="V81" s="23" t="n">
        <v>361.2</v>
      </c>
      <c r="W81" s="23" t="n">
        <f aca="false">V81/D81</f>
        <v>59.2131147540984</v>
      </c>
      <c r="X81" s="23" t="n">
        <f aca="false">X80+V81</f>
        <v>49166.8</v>
      </c>
      <c r="AA81" s="27" t="n">
        <v>8.83657787628017</v>
      </c>
    </row>
    <row r="82" s="8" customFormat="true" ht="15" hidden="false" customHeight="false" outlineLevel="0" collapsed="false">
      <c r="A82" s="28" t="s">
        <v>43</v>
      </c>
      <c r="B82" s="19"/>
      <c r="C82" s="11" t="n">
        <v>41598</v>
      </c>
      <c r="D82" s="18" t="n">
        <v>2.2</v>
      </c>
      <c r="E82" s="18" t="n">
        <v>1.4</v>
      </c>
      <c r="F82" s="18" t="n">
        <v>4.5</v>
      </c>
      <c r="G82" s="8" t="n">
        <f aca="false">G81+D82</f>
        <v>936.6</v>
      </c>
      <c r="H82" s="8" t="n">
        <f aca="false">D82</f>
        <v>2.2</v>
      </c>
      <c r="I82" s="29" t="s">
        <v>27</v>
      </c>
      <c r="J82" s="8" t="n">
        <v>0</v>
      </c>
      <c r="K82" s="8" t="n">
        <f aca="false">K81+J82</f>
        <v>298.3</v>
      </c>
      <c r="L82" s="8" t="n">
        <v>0.7</v>
      </c>
      <c r="M82" s="8" t="n">
        <f aca="false">M81+L82</f>
        <v>119.6</v>
      </c>
      <c r="N82" s="14" t="n">
        <f aca="false">J82-L82</f>
        <v>-0.7</v>
      </c>
      <c r="O82" s="8" t="n">
        <v>151.1</v>
      </c>
      <c r="P82" s="8" t="n">
        <v>77</v>
      </c>
      <c r="Q82" s="8" t="n">
        <v>1</v>
      </c>
      <c r="R82" s="15" t="n">
        <f aca="false">Q82*L82</f>
        <v>0.7</v>
      </c>
      <c r="S82" s="15" t="n">
        <f aca="false">J82-R82</f>
        <v>-0.7</v>
      </c>
      <c r="T82" s="15" t="n">
        <f aca="false">MIN(153.6,(T81+S82))</f>
        <v>151.168880597015</v>
      </c>
      <c r="U82" s="29" t="s">
        <v>28</v>
      </c>
      <c r="V82" s="16" t="n">
        <v>292.5</v>
      </c>
      <c r="W82" s="8" t="n">
        <f aca="false">V82/D82</f>
        <v>132.954545454545</v>
      </c>
      <c r="X82" s="8" t="n">
        <f aca="false">X81+V82</f>
        <v>49459.3</v>
      </c>
      <c r="Y82" s="8" t="n">
        <f aca="false">V82</f>
        <v>292.5</v>
      </c>
      <c r="Z82" s="29" t="s">
        <v>29</v>
      </c>
      <c r="AA82" s="20" t="n">
        <v>8.78993221817549</v>
      </c>
    </row>
    <row r="83" s="8" customFormat="true" ht="15" hidden="false" customHeight="false" outlineLevel="0" collapsed="false">
      <c r="A83" s="28"/>
      <c r="B83" s="19"/>
      <c r="C83" s="11" t="n">
        <v>41599</v>
      </c>
      <c r="D83" s="18" t="n">
        <v>2.1</v>
      </c>
      <c r="E83" s="30" t="n">
        <v>-0.4</v>
      </c>
      <c r="F83" s="18" t="n">
        <v>4.2</v>
      </c>
      <c r="G83" s="8" t="n">
        <f aca="false">G82+D83</f>
        <v>938.7</v>
      </c>
      <c r="H83" s="8" t="n">
        <f aca="false">H82+D83</f>
        <v>4.3</v>
      </c>
      <c r="I83" s="8" t="n">
        <f aca="false">MIN(E82:E106)</f>
        <v>-2.5</v>
      </c>
      <c r="J83" s="8" t="n">
        <v>0.2</v>
      </c>
      <c r="K83" s="8" t="n">
        <f aca="false">K82+J83</f>
        <v>298.5</v>
      </c>
      <c r="L83" s="8" t="n">
        <v>0.2</v>
      </c>
      <c r="M83" s="8" t="n">
        <f aca="false">M82+L83</f>
        <v>119.8</v>
      </c>
      <c r="N83" s="8" t="n">
        <f aca="false">J83-L83</f>
        <v>0</v>
      </c>
      <c r="O83" s="8" t="n">
        <v>151.1</v>
      </c>
      <c r="P83" s="8" t="n">
        <v>78</v>
      </c>
      <c r="Q83" s="8" t="n">
        <v>1</v>
      </c>
      <c r="R83" s="15" t="n">
        <f aca="false">Q83*L83</f>
        <v>0.2</v>
      </c>
      <c r="S83" s="15" t="n">
        <f aca="false">J83-R83</f>
        <v>0</v>
      </c>
      <c r="T83" s="15" t="n">
        <f aca="false">MIN(153.6,(T82+S83))</f>
        <v>151.168880597015</v>
      </c>
      <c r="U83" s="8" t="n">
        <v>21</v>
      </c>
      <c r="V83" s="16" t="n">
        <v>99</v>
      </c>
      <c r="W83" s="8" t="n">
        <f aca="false">V83/D83</f>
        <v>47.1428571428571</v>
      </c>
      <c r="X83" s="8" t="n">
        <f aca="false">X82+V83</f>
        <v>49558.3</v>
      </c>
      <c r="Y83" s="8" t="n">
        <f aca="false">Y82+V83</f>
        <v>391.5</v>
      </c>
      <c r="Z83" s="8" t="n">
        <v>7216.5</v>
      </c>
      <c r="AA83" s="20" t="n">
        <v>8.7442026915099</v>
      </c>
    </row>
    <row r="84" s="8" customFormat="true" ht="15" hidden="false" customHeight="false" outlineLevel="0" collapsed="false">
      <c r="A84" s="28"/>
      <c r="B84" s="19"/>
      <c r="C84" s="11" t="n">
        <v>41600</v>
      </c>
      <c r="D84" s="18" t="n">
        <v>4.3</v>
      </c>
      <c r="E84" s="18" t="n">
        <v>1.6</v>
      </c>
      <c r="F84" s="8" t="n">
        <v>5.9</v>
      </c>
      <c r="G84" s="8" t="n">
        <f aca="false">G83+D84</f>
        <v>943</v>
      </c>
      <c r="H84" s="8" t="n">
        <f aca="false">H83+D84</f>
        <v>8.6</v>
      </c>
      <c r="I84" s="29" t="s">
        <v>30</v>
      </c>
      <c r="J84" s="8" t="n">
        <v>0</v>
      </c>
      <c r="K84" s="8" t="n">
        <f aca="false">K83+J84</f>
        <v>298.5</v>
      </c>
      <c r="L84" s="8" t="n">
        <v>0.9</v>
      </c>
      <c r="M84" s="8" t="n">
        <f aca="false">M83+L84</f>
        <v>120.7</v>
      </c>
      <c r="N84" s="14" t="n">
        <f aca="false">J84-L84</f>
        <v>-0.9</v>
      </c>
      <c r="O84" s="8" t="n">
        <v>150.2</v>
      </c>
      <c r="P84" s="8" t="n">
        <v>79</v>
      </c>
      <c r="Q84" s="8" t="n">
        <v>1</v>
      </c>
      <c r="R84" s="15" t="n">
        <f aca="false">Q84*L84</f>
        <v>0.9</v>
      </c>
      <c r="S84" s="15" t="n">
        <f aca="false">J84-R84</f>
        <v>-0.9</v>
      </c>
      <c r="T84" s="15" t="n">
        <f aca="false">MIN(153.6,(T83+S84))</f>
        <v>150.268880597015</v>
      </c>
      <c r="U84" s="29" t="s">
        <v>31</v>
      </c>
      <c r="V84" s="16" t="n">
        <v>129.5</v>
      </c>
      <c r="W84" s="8" t="n">
        <f aca="false">V84/D84</f>
        <v>30.1162790697674</v>
      </c>
      <c r="X84" s="8" t="n">
        <f aca="false">X83+V84</f>
        <v>49687.8</v>
      </c>
      <c r="Y84" s="8" t="n">
        <f aca="false">Y83+V84</f>
        <v>521</v>
      </c>
      <c r="Z84" s="29" t="s">
        <v>32</v>
      </c>
      <c r="AA84" s="20" t="n">
        <v>8.69942343394161</v>
      </c>
    </row>
    <row r="85" s="8" customFormat="true" ht="15" hidden="false" customHeight="false" outlineLevel="0" collapsed="false">
      <c r="A85" s="28"/>
      <c r="B85" s="10"/>
      <c r="C85" s="11" t="n">
        <v>41601</v>
      </c>
      <c r="D85" s="8" t="n">
        <v>5.1</v>
      </c>
      <c r="E85" s="18" t="n">
        <v>4.1</v>
      </c>
      <c r="F85" s="8" t="n">
        <v>7.2</v>
      </c>
      <c r="G85" s="8" t="n">
        <f aca="false">G84+D85</f>
        <v>948.1</v>
      </c>
      <c r="H85" s="8" t="n">
        <f aca="false">H84+D85</f>
        <v>13.7</v>
      </c>
      <c r="I85" s="8" t="n">
        <f aca="false">MAX(F82:F106)</f>
        <v>9.9</v>
      </c>
      <c r="J85" s="8" t="n">
        <v>0</v>
      </c>
      <c r="K85" s="8" t="n">
        <f aca="false">K84+J85</f>
        <v>298.5</v>
      </c>
      <c r="L85" s="8" t="n">
        <v>1</v>
      </c>
      <c r="M85" s="8" t="n">
        <f aca="false">M84+L85</f>
        <v>121.7</v>
      </c>
      <c r="N85" s="14" t="n">
        <f aca="false">J85-L85</f>
        <v>-1</v>
      </c>
      <c r="O85" s="8" t="n">
        <v>149.2</v>
      </c>
      <c r="P85" s="8" t="n">
        <v>80</v>
      </c>
      <c r="Q85" s="8" t="n">
        <v>1</v>
      </c>
      <c r="R85" s="15" t="n">
        <f aca="false">Q85*L85</f>
        <v>1</v>
      </c>
      <c r="S85" s="15" t="n">
        <f aca="false">J85-R85</f>
        <v>-1</v>
      </c>
      <c r="T85" s="15" t="n">
        <f aca="false">MIN(153.6,(T84+S85))</f>
        <v>149.268880597015</v>
      </c>
      <c r="U85" s="8" t="n">
        <v>0</v>
      </c>
      <c r="V85" s="16" t="n">
        <v>212.5</v>
      </c>
      <c r="W85" s="8" t="n">
        <f aca="false">V85/D85</f>
        <v>41.6666666666667</v>
      </c>
      <c r="X85" s="8" t="n">
        <f aca="false">X84+V85</f>
        <v>49900.3</v>
      </c>
      <c r="Y85" s="8" t="n">
        <f aca="false">Y84+V85</f>
        <v>733.5</v>
      </c>
      <c r="Z85" s="17" t="n">
        <f aca="false">(Z83/100)/I95</f>
        <v>0.589102040816326</v>
      </c>
      <c r="AA85" s="20" t="n">
        <v>8.65562894596853</v>
      </c>
    </row>
    <row r="86" s="8" customFormat="true" ht="15" hidden="false" customHeight="false" outlineLevel="0" collapsed="false">
      <c r="A86" s="28"/>
      <c r="B86" s="10"/>
      <c r="C86" s="11" t="n">
        <v>41602</v>
      </c>
      <c r="D86" s="8" t="n">
        <v>6.3</v>
      </c>
      <c r="E86" s="18" t="n">
        <v>2</v>
      </c>
      <c r="F86" s="8" t="n">
        <v>8.9</v>
      </c>
      <c r="G86" s="8" t="n">
        <f aca="false">G85+D86</f>
        <v>954.4</v>
      </c>
      <c r="H86" s="8" t="n">
        <f aca="false">H85+D86</f>
        <v>20</v>
      </c>
      <c r="I86" s="29" t="s">
        <v>33</v>
      </c>
      <c r="J86" s="8" t="n">
        <v>0.6</v>
      </c>
      <c r="K86" s="8" t="n">
        <f aca="false">K85+J86</f>
        <v>299.1</v>
      </c>
      <c r="L86" s="8" t="n">
        <v>0.6</v>
      </c>
      <c r="M86" s="8" t="n">
        <f aca="false">M85+L86</f>
        <v>122.3</v>
      </c>
      <c r="N86" s="8" t="n">
        <f aca="false">J86-L86</f>
        <v>0</v>
      </c>
      <c r="O86" s="8" t="n">
        <v>149.2</v>
      </c>
      <c r="P86" s="8" t="n">
        <v>81</v>
      </c>
      <c r="Q86" s="8" t="n">
        <v>1</v>
      </c>
      <c r="R86" s="15" t="n">
        <f aca="false">Q86*L86</f>
        <v>0.6</v>
      </c>
      <c r="S86" s="15" t="n">
        <f aca="false">J86-R86</f>
        <v>0</v>
      </c>
      <c r="T86" s="15" t="n">
        <f aca="false">MIN(153.6,(T85+S86))</f>
        <v>149.268880597015</v>
      </c>
      <c r="U86" s="29" t="s">
        <v>34</v>
      </c>
      <c r="V86" s="16" t="n">
        <v>166.6</v>
      </c>
      <c r="W86" s="8" t="n">
        <f aca="false">V86/D86</f>
        <v>26.4444444444444</v>
      </c>
      <c r="X86" s="8" t="n">
        <f aca="false">X85+V86</f>
        <v>50066.9</v>
      </c>
      <c r="Y86" s="8" t="n">
        <f aca="false">Y85+V86</f>
        <v>900.1</v>
      </c>
      <c r="Z86" s="29" t="s">
        <v>35</v>
      </c>
      <c r="AA86" s="20" t="n">
        <v>8.61285402650643</v>
      </c>
    </row>
    <row r="87" s="8" customFormat="true" ht="15" hidden="false" customHeight="false" outlineLevel="0" collapsed="false">
      <c r="A87" s="28"/>
      <c r="B87" s="10"/>
      <c r="C87" s="11" t="n">
        <v>41603</v>
      </c>
      <c r="D87" s="8" t="n">
        <v>5.9</v>
      </c>
      <c r="E87" s="18" t="n">
        <v>4.7</v>
      </c>
      <c r="F87" s="8" t="n">
        <v>7.4</v>
      </c>
      <c r="G87" s="8" t="n">
        <f aca="false">G86+D87</f>
        <v>960.3</v>
      </c>
      <c r="H87" s="8" t="n">
        <f aca="false">H86+D87</f>
        <v>25.9</v>
      </c>
      <c r="I87" s="8" t="n">
        <f aca="false">AVERAGE(D82:D106)</f>
        <v>4.9</v>
      </c>
      <c r="J87" s="8" t="n">
        <v>0.6</v>
      </c>
      <c r="K87" s="8" t="n">
        <f aca="false">K86+J87</f>
        <v>299.7</v>
      </c>
      <c r="L87" s="8" t="n">
        <v>1.1</v>
      </c>
      <c r="M87" s="8" t="n">
        <f aca="false">M86+L87</f>
        <v>123.4</v>
      </c>
      <c r="N87" s="14" t="n">
        <f aca="false">J87-L87</f>
        <v>-0.5</v>
      </c>
      <c r="O87" s="8" t="n">
        <v>148.7</v>
      </c>
      <c r="P87" s="8" t="n">
        <v>82</v>
      </c>
      <c r="Q87" s="8" t="n">
        <v>1</v>
      </c>
      <c r="R87" s="15" t="n">
        <f aca="false">Q87*L87</f>
        <v>1.1</v>
      </c>
      <c r="S87" s="15" t="n">
        <f aca="false">J87-R87</f>
        <v>-0.5</v>
      </c>
      <c r="T87" s="15" t="n">
        <f aca="false">MIN(153.6,(T86+S87))</f>
        <v>148.768880597015</v>
      </c>
      <c r="U87" s="8" t="n">
        <v>0</v>
      </c>
      <c r="V87" s="16" t="n">
        <v>252.6</v>
      </c>
      <c r="W87" s="8" t="n">
        <f aca="false">V87/D87</f>
        <v>42.8135593220339</v>
      </c>
      <c r="X87" s="8" t="n">
        <f aca="false">X86+V87</f>
        <v>50319.5</v>
      </c>
      <c r="Y87" s="8" t="n">
        <f aca="false">Y86+V87</f>
        <v>1152.7</v>
      </c>
      <c r="Z87" s="8" t="n">
        <v>25</v>
      </c>
      <c r="AA87" s="20" t="n">
        <v>8.57113370339635</v>
      </c>
    </row>
    <row r="88" s="8" customFormat="true" ht="15" hidden="false" customHeight="false" outlineLevel="0" collapsed="false">
      <c r="A88" s="28"/>
      <c r="B88" s="10"/>
      <c r="C88" s="11" t="n">
        <v>41604</v>
      </c>
      <c r="D88" s="8" t="n">
        <v>6.1</v>
      </c>
      <c r="E88" s="18" t="n">
        <v>4.5</v>
      </c>
      <c r="F88" s="8" t="n">
        <v>8.1</v>
      </c>
      <c r="G88" s="8" t="n">
        <f aca="false">G87+D88</f>
        <v>966.4</v>
      </c>
      <c r="H88" s="8" t="n">
        <f aca="false">H87+D88</f>
        <v>32</v>
      </c>
      <c r="I88" s="29" t="s">
        <v>36</v>
      </c>
      <c r="J88" s="8" t="n">
        <v>0.7</v>
      </c>
      <c r="K88" s="8" t="n">
        <f aca="false">K87+J88</f>
        <v>300.4</v>
      </c>
      <c r="L88" s="8" t="n">
        <v>0.9</v>
      </c>
      <c r="M88" s="8" t="n">
        <f aca="false">M87+L88</f>
        <v>124.3</v>
      </c>
      <c r="N88" s="14" t="n">
        <f aca="false">J88-L88</f>
        <v>-0.2</v>
      </c>
      <c r="O88" s="8" t="n">
        <v>148.5</v>
      </c>
      <c r="P88" s="8" t="n">
        <v>83</v>
      </c>
      <c r="Q88" s="8" t="n">
        <v>1</v>
      </c>
      <c r="R88" s="15" t="n">
        <f aca="false">Q88*L88</f>
        <v>0.9</v>
      </c>
      <c r="S88" s="15" t="n">
        <f aca="false">J88-R88</f>
        <v>-0.2</v>
      </c>
      <c r="T88" s="15" t="n">
        <f aca="false">MIN(153.6,(T87+S88))</f>
        <v>148.568880597015</v>
      </c>
      <c r="U88" s="29" t="s">
        <v>37</v>
      </c>
      <c r="V88" s="16" t="n">
        <v>315.3</v>
      </c>
      <c r="W88" s="8" t="n">
        <f aca="false">V88/D88</f>
        <v>51.6885245901639</v>
      </c>
      <c r="X88" s="8" t="n">
        <f aca="false">X87+V88</f>
        <v>50634.8</v>
      </c>
      <c r="Y88" s="8" t="n">
        <f aca="false">Y87+V88</f>
        <v>1468</v>
      </c>
      <c r="AA88" s="20" t="n">
        <v>8.53050315889074</v>
      </c>
    </row>
    <row r="89" s="8" customFormat="true" ht="15" hidden="false" customHeight="false" outlineLevel="0" collapsed="false">
      <c r="A89" s="28"/>
      <c r="B89" s="10"/>
      <c r="C89" s="11" t="n">
        <v>41605</v>
      </c>
      <c r="D89" s="8" t="n">
        <v>5.4</v>
      </c>
      <c r="E89" s="18" t="n">
        <v>3.8</v>
      </c>
      <c r="F89" s="8" t="n">
        <v>7.5</v>
      </c>
      <c r="G89" s="8" t="n">
        <f aca="false">G88+D89</f>
        <v>971.8</v>
      </c>
      <c r="H89" s="8" t="n">
        <f aca="false">H88+D89</f>
        <v>37.4</v>
      </c>
      <c r="I89" s="8" t="n">
        <v>6</v>
      </c>
      <c r="J89" s="8" t="n">
        <v>0.3</v>
      </c>
      <c r="K89" s="8" t="n">
        <f aca="false">K88+J89</f>
        <v>300.7</v>
      </c>
      <c r="L89" s="8" t="n">
        <v>0.5</v>
      </c>
      <c r="M89" s="8" t="n">
        <f aca="false">M88+L89</f>
        <v>124.8</v>
      </c>
      <c r="N89" s="14" t="n">
        <f aca="false">J89-L89</f>
        <v>-0.2</v>
      </c>
      <c r="O89" s="8" t="n">
        <v>148.3</v>
      </c>
      <c r="P89" s="8" t="n">
        <v>84</v>
      </c>
      <c r="Q89" s="8" t="n">
        <v>1</v>
      </c>
      <c r="R89" s="15" t="n">
        <f aca="false">Q89*L89</f>
        <v>0.5</v>
      </c>
      <c r="S89" s="15" t="n">
        <f aca="false">J89-R89</f>
        <v>-0.2</v>
      </c>
      <c r="T89" s="15" t="n">
        <f aca="false">MIN(153.6,(T88+S89))</f>
        <v>148.368880597015</v>
      </c>
      <c r="U89" s="15" t="n">
        <f aca="false">MIN(T82:T106)</f>
        <v>142.168880597015</v>
      </c>
      <c r="V89" s="16" t="n">
        <v>225.4</v>
      </c>
      <c r="W89" s="8" t="n">
        <f aca="false">V89/D89</f>
        <v>41.7407407407407</v>
      </c>
      <c r="X89" s="8" t="n">
        <f aca="false">X88+V89</f>
        <v>50860.2</v>
      </c>
      <c r="Y89" s="8" t="n">
        <f aca="false">Y88+V89</f>
        <v>1693.4</v>
      </c>
      <c r="AA89" s="20" t="n">
        <v>8.49099765021329</v>
      </c>
    </row>
    <row r="90" s="8" customFormat="true" ht="15" hidden="false" customHeight="false" outlineLevel="0" collapsed="false">
      <c r="A90" s="28"/>
      <c r="B90" s="10"/>
      <c r="C90" s="11" t="n">
        <v>41606</v>
      </c>
      <c r="D90" s="8" t="n">
        <v>7.5</v>
      </c>
      <c r="E90" s="18" t="n">
        <v>5</v>
      </c>
      <c r="F90" s="8" t="n">
        <v>9.4</v>
      </c>
      <c r="G90" s="8" t="n">
        <f aca="false">G89+D90</f>
        <v>979.3</v>
      </c>
      <c r="H90" s="8" t="n">
        <f aca="false">H89+D90</f>
        <v>44.9</v>
      </c>
      <c r="I90" s="29" t="s">
        <v>38</v>
      </c>
      <c r="J90" s="8" t="n">
        <v>0.2</v>
      </c>
      <c r="K90" s="8" t="n">
        <f aca="false">K89+J90</f>
        <v>300.9</v>
      </c>
      <c r="L90" s="8" t="n">
        <v>0.3</v>
      </c>
      <c r="M90" s="8" t="n">
        <f aca="false">M89+L90</f>
        <v>125.1</v>
      </c>
      <c r="N90" s="14" t="n">
        <f aca="false">J90-L90</f>
        <v>-0.1</v>
      </c>
      <c r="O90" s="8" t="n">
        <v>148.2</v>
      </c>
      <c r="P90" s="8" t="n">
        <v>85</v>
      </c>
      <c r="Q90" s="8" t="n">
        <v>1</v>
      </c>
      <c r="R90" s="15" t="n">
        <f aca="false">Q90*L90</f>
        <v>0.3</v>
      </c>
      <c r="S90" s="15" t="n">
        <f aca="false">J90-R90</f>
        <v>-0.1</v>
      </c>
      <c r="T90" s="15" t="n">
        <f aca="false">MIN(153.6,(T89+S90))</f>
        <v>148.268880597015</v>
      </c>
      <c r="U90" s="29" t="s">
        <v>39</v>
      </c>
      <c r="V90" s="16" t="n">
        <v>83.8</v>
      </c>
      <c r="W90" s="8" t="n">
        <f aca="false">V90/D90</f>
        <v>11.1733333333333</v>
      </c>
      <c r="X90" s="8" t="n">
        <f aca="false">X89+V90</f>
        <v>50944</v>
      </c>
      <c r="Y90" s="8" t="n">
        <f aca="false">Y89+V90</f>
        <v>1777.2</v>
      </c>
      <c r="AA90" s="20" t="n">
        <v>8.45265242533661</v>
      </c>
    </row>
    <row r="91" s="8" customFormat="true" ht="15" hidden="false" customHeight="false" outlineLevel="0" collapsed="false">
      <c r="A91" s="28"/>
      <c r="B91" s="10"/>
      <c r="C91" s="11" t="n">
        <v>41607</v>
      </c>
      <c r="D91" s="8" t="n">
        <v>7.7</v>
      </c>
      <c r="E91" s="8" t="n">
        <v>7</v>
      </c>
      <c r="F91" s="8" t="n">
        <v>9.2</v>
      </c>
      <c r="G91" s="8" t="n">
        <f aca="false">G90+D91</f>
        <v>987</v>
      </c>
      <c r="H91" s="8" t="n">
        <f aca="false">H90+D91</f>
        <v>52.6</v>
      </c>
      <c r="I91" s="8" t="n">
        <v>0</v>
      </c>
      <c r="J91" s="8" t="n">
        <v>1.8</v>
      </c>
      <c r="K91" s="8" t="n">
        <f aca="false">K90+J91</f>
        <v>302.7</v>
      </c>
      <c r="L91" s="8" t="n">
        <v>0.9</v>
      </c>
      <c r="M91" s="8" t="n">
        <f aca="false">M90+L91</f>
        <v>126</v>
      </c>
      <c r="N91" s="8" t="n">
        <f aca="false">J91-L91</f>
        <v>0.9</v>
      </c>
      <c r="O91" s="8" t="n">
        <v>149.1</v>
      </c>
      <c r="P91" s="8" t="n">
        <v>86</v>
      </c>
      <c r="Q91" s="8" t="n">
        <v>1</v>
      </c>
      <c r="R91" s="15" t="n">
        <f aca="false">Q91*L91</f>
        <v>0.9</v>
      </c>
      <c r="S91" s="15" t="n">
        <f aca="false">J91-R91</f>
        <v>0.9</v>
      </c>
      <c r="T91" s="15" t="n">
        <f aca="false">MIN(153.6,(T90+S91))</f>
        <v>149.168880597015</v>
      </c>
      <c r="U91" s="15" t="n">
        <f aca="false">MAX(T82:T106)</f>
        <v>151.168880597015</v>
      </c>
      <c r="V91" s="16" t="n">
        <v>141.5</v>
      </c>
      <c r="W91" s="8" t="n">
        <f aca="false">V91/D91</f>
        <v>18.3766233766234</v>
      </c>
      <c r="X91" s="8" t="n">
        <f aca="false">X90+V91</f>
        <v>51085.5</v>
      </c>
      <c r="Y91" s="8" t="n">
        <f aca="false">Y90+V91</f>
        <v>1918.7</v>
      </c>
      <c r="AA91" s="20" t="n">
        <v>8.41550263417384</v>
      </c>
    </row>
    <row r="92" s="8" customFormat="true" ht="15" hidden="false" customHeight="false" outlineLevel="0" collapsed="false">
      <c r="A92" s="28"/>
      <c r="B92" s="10"/>
      <c r="C92" s="11" t="n">
        <v>41608</v>
      </c>
      <c r="D92" s="8" t="n">
        <v>6.8</v>
      </c>
      <c r="E92" s="8" t="n">
        <v>5.3</v>
      </c>
      <c r="F92" s="8" t="n">
        <v>9.9</v>
      </c>
      <c r="G92" s="8" t="n">
        <f aca="false">G91+D92</f>
        <v>993.8</v>
      </c>
      <c r="H92" s="8" t="n">
        <f aca="false">H91+D92</f>
        <v>59.4</v>
      </c>
      <c r="I92" s="29" t="s">
        <v>40</v>
      </c>
      <c r="J92" s="8" t="n">
        <v>0.3</v>
      </c>
      <c r="K92" s="8" t="n">
        <f aca="false">K91+J92</f>
        <v>303</v>
      </c>
      <c r="L92" s="8" t="n">
        <v>1</v>
      </c>
      <c r="M92" s="8" t="n">
        <f aca="false">M91+L92</f>
        <v>127</v>
      </c>
      <c r="N92" s="14" t="n">
        <f aca="false">J92-L92</f>
        <v>-0.7</v>
      </c>
      <c r="O92" s="8" t="n">
        <v>148.4</v>
      </c>
      <c r="P92" s="8" t="n">
        <v>87</v>
      </c>
      <c r="Q92" s="8" t="n">
        <v>1</v>
      </c>
      <c r="R92" s="15" t="n">
        <f aca="false">Q92*L92</f>
        <v>1</v>
      </c>
      <c r="S92" s="15" t="n">
        <f aca="false">J92-R92</f>
        <v>-0.7</v>
      </c>
      <c r="T92" s="15" t="n">
        <f aca="false">MIN(153.6,(T91+S92))</f>
        <v>148.468880597015</v>
      </c>
      <c r="U92" s="29" t="s">
        <v>41</v>
      </c>
      <c r="V92" s="16" t="n">
        <v>136.1</v>
      </c>
      <c r="W92" s="8" t="n">
        <f aca="false">V92/D92</f>
        <v>20.0147058823529</v>
      </c>
      <c r="X92" s="8" t="n">
        <f aca="false">X91+V92</f>
        <v>51221.6</v>
      </c>
      <c r="Y92" s="8" t="n">
        <f aca="false">Y91+V92</f>
        <v>2054.8</v>
      </c>
      <c r="AA92" s="20" t="n">
        <v>8.3795832354354</v>
      </c>
    </row>
    <row r="93" s="8" customFormat="true" ht="15" hidden="false" customHeight="false" outlineLevel="0" collapsed="false">
      <c r="A93" s="28"/>
      <c r="B93" s="10"/>
      <c r="C93" s="11" t="n">
        <v>41609</v>
      </c>
      <c r="D93" s="8" t="n">
        <v>7.1</v>
      </c>
      <c r="E93" s="18" t="n">
        <v>5</v>
      </c>
      <c r="F93" s="8" t="n">
        <v>9</v>
      </c>
      <c r="G93" s="8" t="n">
        <f aca="false">G92+D93</f>
        <v>1000.9</v>
      </c>
      <c r="H93" s="8" t="n">
        <f aca="false">H92+D93</f>
        <v>66.5</v>
      </c>
      <c r="I93" s="8" t="n">
        <v>15</v>
      </c>
      <c r="J93" s="8" t="n">
        <v>0</v>
      </c>
      <c r="K93" s="8" t="n">
        <f aca="false">K92+J93</f>
        <v>303</v>
      </c>
      <c r="L93" s="8" t="n">
        <v>0.9</v>
      </c>
      <c r="M93" s="8" t="n">
        <f aca="false">M92+L93</f>
        <v>127.9</v>
      </c>
      <c r="N93" s="14" t="n">
        <f aca="false">J93-L93</f>
        <v>-0.9</v>
      </c>
      <c r="O93" s="8" t="n">
        <v>147.5</v>
      </c>
      <c r="P93" s="8" t="n">
        <v>88</v>
      </c>
      <c r="Q93" s="8" t="n">
        <v>1</v>
      </c>
      <c r="R93" s="15" t="n">
        <f aca="false">Q93*L93</f>
        <v>0.9</v>
      </c>
      <c r="S93" s="15" t="n">
        <f aca="false">J93-R93</f>
        <v>-0.9</v>
      </c>
      <c r="T93" s="15" t="n">
        <f aca="false">MIN(153.6,(T92+S93))</f>
        <v>147.568880597015</v>
      </c>
      <c r="U93" s="17" t="n">
        <f aca="false">AVERAGE(T82:T106)</f>
        <v>147.000880597015</v>
      </c>
      <c r="V93" s="16" t="n">
        <v>503.8</v>
      </c>
      <c r="W93" s="8" t="n">
        <f aca="false">V93/D93</f>
        <v>70.9577464788733</v>
      </c>
      <c r="X93" s="8" t="n">
        <f aca="false">X92+V93</f>
        <v>51725.4</v>
      </c>
      <c r="Y93" s="8" t="n">
        <f aca="false">Y92+V93</f>
        <v>2558.6</v>
      </c>
      <c r="AA93" s="20" t="n">
        <v>8.3449288994587</v>
      </c>
    </row>
    <row r="94" s="8" customFormat="true" ht="15" hidden="false" customHeight="false" outlineLevel="0" collapsed="false">
      <c r="A94" s="28"/>
      <c r="B94" s="10"/>
      <c r="C94" s="11" t="n">
        <v>41610</v>
      </c>
      <c r="D94" s="8" t="n">
        <v>6.5</v>
      </c>
      <c r="E94" s="8" t="n">
        <v>5.3</v>
      </c>
      <c r="F94" s="8" t="n">
        <v>8.7</v>
      </c>
      <c r="G94" s="8" t="n">
        <f aca="false">G93+D94</f>
        <v>1007.4</v>
      </c>
      <c r="H94" s="8" t="n">
        <f aca="false">H93+D94</f>
        <v>73</v>
      </c>
      <c r="I94" s="29" t="s">
        <v>42</v>
      </c>
      <c r="J94" s="8" t="n">
        <v>0</v>
      </c>
      <c r="K94" s="8" t="n">
        <f aca="false">K93+J94</f>
        <v>303</v>
      </c>
      <c r="L94" s="8" t="n">
        <v>1</v>
      </c>
      <c r="M94" s="8" t="n">
        <f aca="false">M93+L94</f>
        <v>128.9</v>
      </c>
      <c r="N94" s="14" t="n">
        <f aca="false">J94-L94</f>
        <v>-1</v>
      </c>
      <c r="O94" s="8" t="n">
        <v>146.5</v>
      </c>
      <c r="P94" s="8" t="n">
        <v>89</v>
      </c>
      <c r="Q94" s="8" t="n">
        <v>1</v>
      </c>
      <c r="R94" s="15" t="n">
        <f aca="false">Q94*L94</f>
        <v>1</v>
      </c>
      <c r="S94" s="15" t="n">
        <f aca="false">J94-R94</f>
        <v>-1</v>
      </c>
      <c r="T94" s="15" t="n">
        <f aca="false">MIN(153.6,(T93+S94))</f>
        <v>146.568880597015</v>
      </c>
      <c r="U94" s="29" t="s">
        <v>44</v>
      </c>
      <c r="V94" s="16" t="n">
        <v>477.6</v>
      </c>
      <c r="W94" s="8" t="n">
        <f aca="false">V94/D94</f>
        <v>73.4769230769231</v>
      </c>
      <c r="X94" s="8" t="n">
        <f aca="false">X93+V94</f>
        <v>52203</v>
      </c>
      <c r="Y94" s="8" t="n">
        <f aca="false">Y93+V94</f>
        <v>3036.2</v>
      </c>
      <c r="AA94" s="20" t="n">
        <v>8.31157390737721</v>
      </c>
    </row>
    <row r="95" s="8" customFormat="true" ht="15" hidden="false" customHeight="false" outlineLevel="0" collapsed="false">
      <c r="A95" s="28"/>
      <c r="B95" s="19"/>
      <c r="C95" s="11" t="n">
        <v>41611</v>
      </c>
      <c r="D95" s="18" t="n">
        <v>1.1</v>
      </c>
      <c r="E95" s="30" t="n">
        <v>-2.5</v>
      </c>
      <c r="F95" s="18" t="n">
        <v>4.6</v>
      </c>
      <c r="G95" s="8" t="n">
        <f aca="false">G94+D95</f>
        <v>1008.5</v>
      </c>
      <c r="H95" s="8" t="n">
        <f aca="false">H94+D95</f>
        <v>74.1</v>
      </c>
      <c r="I95" s="8" t="n">
        <v>122.5</v>
      </c>
      <c r="J95" s="8" t="n">
        <v>0.1</v>
      </c>
      <c r="K95" s="8" t="n">
        <f aca="false">K94+J95</f>
        <v>303.1</v>
      </c>
      <c r="L95" s="8" t="n">
        <v>0.2</v>
      </c>
      <c r="M95" s="8" t="n">
        <f aca="false">M94+L95</f>
        <v>129.1</v>
      </c>
      <c r="N95" s="14" t="n">
        <f aca="false">J95-L95</f>
        <v>-0.1</v>
      </c>
      <c r="O95" s="8" t="n">
        <v>146.4</v>
      </c>
      <c r="P95" s="8" t="n">
        <v>90</v>
      </c>
      <c r="Q95" s="8" t="n">
        <v>1</v>
      </c>
      <c r="R95" s="15" t="n">
        <f aca="false">Q95*L95</f>
        <v>0.2</v>
      </c>
      <c r="S95" s="15" t="n">
        <f aca="false">J95-R95</f>
        <v>-0.1</v>
      </c>
      <c r="T95" s="15" t="n">
        <f aca="false">MIN(153.6,(T94+S95))</f>
        <v>146.468880597015</v>
      </c>
      <c r="U95" s="8" t="n">
        <v>12</v>
      </c>
      <c r="V95" s="16" t="n">
        <v>420</v>
      </c>
      <c r="W95" s="8" t="n">
        <f aca="false">V95/D95</f>
        <v>381.818181818182</v>
      </c>
      <c r="X95" s="8" t="n">
        <f aca="false">X94+V95</f>
        <v>52623</v>
      </c>
      <c r="Y95" s="8" t="n">
        <f aca="false">Y94+V95</f>
        <v>3456.2</v>
      </c>
      <c r="AA95" s="20" t="n">
        <v>8.27955204705461</v>
      </c>
    </row>
    <row r="96" s="8" customFormat="true" ht="15" hidden="false" customHeight="false" outlineLevel="0" collapsed="false">
      <c r="A96" s="28"/>
      <c r="B96" s="10"/>
      <c r="C96" s="11" t="n">
        <v>41612</v>
      </c>
      <c r="D96" s="8" t="n">
        <v>5.7</v>
      </c>
      <c r="E96" s="18" t="n">
        <v>1.1</v>
      </c>
      <c r="F96" s="8" t="n">
        <v>8.5</v>
      </c>
      <c r="G96" s="8" t="n">
        <f aca="false">G95+D96</f>
        <v>1014.2</v>
      </c>
      <c r="H96" s="8" t="n">
        <f aca="false">H95+D96</f>
        <v>79.8</v>
      </c>
      <c r="J96" s="8" t="n">
        <v>0.6</v>
      </c>
      <c r="K96" s="8" t="n">
        <f aca="false">K95+J96</f>
        <v>303.7</v>
      </c>
      <c r="L96" s="8" t="n">
        <v>0.4</v>
      </c>
      <c r="M96" s="8" t="n">
        <f aca="false">M95+L96</f>
        <v>129.5</v>
      </c>
      <c r="N96" s="8" t="n">
        <f aca="false">J96-L96</f>
        <v>0.2</v>
      </c>
      <c r="O96" s="8" t="n">
        <v>146.6</v>
      </c>
      <c r="P96" s="8" t="n">
        <v>91</v>
      </c>
      <c r="Q96" s="8" t="n">
        <v>1</v>
      </c>
      <c r="R96" s="15" t="n">
        <f aca="false">Q96*L96</f>
        <v>0.4</v>
      </c>
      <c r="S96" s="15" t="n">
        <f aca="false">J96-R96</f>
        <v>0.2</v>
      </c>
      <c r="T96" s="15" t="n">
        <f aca="false">MIN(153.6,(T95+S96))</f>
        <v>146.668880597015</v>
      </c>
      <c r="V96" s="16" t="n">
        <v>128</v>
      </c>
      <c r="W96" s="8" t="n">
        <f aca="false">V96/D96</f>
        <v>22.4561403508772</v>
      </c>
      <c r="X96" s="8" t="n">
        <f aca="false">X95+V96</f>
        <v>52751</v>
      </c>
      <c r="Y96" s="8" t="n">
        <f aca="false">Y95+V96</f>
        <v>3584.2</v>
      </c>
      <c r="AA96" s="20" t="n">
        <v>8.24889650626823</v>
      </c>
    </row>
    <row r="97" s="8" customFormat="true" ht="15" hidden="false" customHeight="false" outlineLevel="0" collapsed="false">
      <c r="A97" s="28"/>
      <c r="B97" s="19"/>
      <c r="C97" s="11" t="n">
        <v>41613</v>
      </c>
      <c r="D97" s="18" t="n">
        <v>4.6</v>
      </c>
      <c r="E97" s="18" t="n">
        <v>0.9</v>
      </c>
      <c r="F97" s="8" t="n">
        <v>7.3</v>
      </c>
      <c r="G97" s="8" t="n">
        <f aca="false">G96+D97</f>
        <v>1018.8</v>
      </c>
      <c r="H97" s="8" t="n">
        <f aca="false">H96+D97</f>
        <v>84.4</v>
      </c>
      <c r="J97" s="8" t="n">
        <v>0.9</v>
      </c>
      <c r="K97" s="8" t="n">
        <f aca="false">K96+J97</f>
        <v>304.6</v>
      </c>
      <c r="L97" s="8" t="n">
        <v>0.7</v>
      </c>
      <c r="M97" s="8" t="n">
        <f aca="false">M96+L97</f>
        <v>130.2</v>
      </c>
      <c r="N97" s="8" t="n">
        <f aca="false">J97-L97</f>
        <v>0.2</v>
      </c>
      <c r="O97" s="8" t="n">
        <v>146.8</v>
      </c>
      <c r="P97" s="8" t="n">
        <v>92</v>
      </c>
      <c r="Q97" s="8" t="n">
        <v>1</v>
      </c>
      <c r="R97" s="15" t="n">
        <f aca="false">Q97*L97</f>
        <v>0.7</v>
      </c>
      <c r="S97" s="15" t="n">
        <f aca="false">J97-R97</f>
        <v>0.2</v>
      </c>
      <c r="T97" s="15" t="n">
        <f aca="false">MIN(153.6,(T96+S97))</f>
        <v>146.868880597015</v>
      </c>
      <c r="U97" s="8" t="n">
        <f aca="false">(U93*100)/153.6</f>
        <v>95.7036983053483</v>
      </c>
      <c r="V97" s="16" t="n">
        <v>275.3</v>
      </c>
      <c r="W97" s="8" t="n">
        <f aca="false">V97/D97</f>
        <v>59.8478260869565</v>
      </c>
      <c r="X97" s="8" t="n">
        <f aca="false">X96+V97</f>
        <v>53026.3</v>
      </c>
      <c r="Y97" s="8" t="n">
        <f aca="false">Y96+V97</f>
        <v>3859.5</v>
      </c>
      <c r="AA97" s="20" t="n">
        <v>8.21963976368438</v>
      </c>
    </row>
    <row r="98" s="8" customFormat="true" ht="15" hidden="false" customHeight="false" outlineLevel="0" collapsed="false">
      <c r="A98" s="28"/>
      <c r="B98" s="19"/>
      <c r="C98" s="11" t="n">
        <v>41614</v>
      </c>
      <c r="D98" s="18" t="n">
        <v>4.6</v>
      </c>
      <c r="E98" s="18" t="n">
        <v>3.3</v>
      </c>
      <c r="F98" s="8" t="n">
        <v>6.2</v>
      </c>
      <c r="G98" s="8" t="n">
        <f aca="false">G97+D98</f>
        <v>1023.4</v>
      </c>
      <c r="H98" s="8" t="n">
        <f aca="false">H97+D98</f>
        <v>89</v>
      </c>
      <c r="J98" s="8" t="n">
        <v>0.3</v>
      </c>
      <c r="K98" s="8" t="n">
        <f aca="false">K97+J98</f>
        <v>304.9</v>
      </c>
      <c r="L98" s="8" t="n">
        <v>1.1</v>
      </c>
      <c r="M98" s="8" t="n">
        <f aca="false">M97+L98</f>
        <v>131.3</v>
      </c>
      <c r="N98" s="14" t="n">
        <f aca="false">J98-L98</f>
        <v>-0.8</v>
      </c>
      <c r="O98" s="8" t="n">
        <v>146</v>
      </c>
      <c r="P98" s="8" t="n">
        <v>93</v>
      </c>
      <c r="Q98" s="8" t="n">
        <v>1</v>
      </c>
      <c r="R98" s="15" t="n">
        <f aca="false">Q98*L98</f>
        <v>1.1</v>
      </c>
      <c r="S98" s="15" t="n">
        <f aca="false">J98-R98</f>
        <v>-0.8</v>
      </c>
      <c r="T98" s="15" t="n">
        <f aca="false">MIN(153.6,(T97+S98))</f>
        <v>146.068880597015</v>
      </c>
      <c r="V98" s="16" t="n">
        <v>348.4</v>
      </c>
      <c r="W98" s="8" t="n">
        <f aca="false">V98/D98</f>
        <v>75.7391304347826</v>
      </c>
      <c r="X98" s="8" t="n">
        <f aca="false">X97+V98</f>
        <v>53374.7</v>
      </c>
      <c r="Y98" s="8" t="n">
        <f aca="false">Y97+V98</f>
        <v>4207.9</v>
      </c>
      <c r="AA98" s="20" t="n">
        <v>8.19181347822355</v>
      </c>
    </row>
    <row r="99" s="8" customFormat="true" ht="15" hidden="false" customHeight="false" outlineLevel="0" collapsed="false">
      <c r="A99" s="28"/>
      <c r="B99" s="10"/>
      <c r="C99" s="11" t="n">
        <v>41615</v>
      </c>
      <c r="D99" s="8" t="n">
        <v>7.1</v>
      </c>
      <c r="E99" s="18" t="n">
        <v>4.4</v>
      </c>
      <c r="F99" s="8" t="n">
        <v>9.2</v>
      </c>
      <c r="G99" s="8" t="n">
        <f aca="false">G98+D99</f>
        <v>1030.5</v>
      </c>
      <c r="H99" s="8" t="n">
        <f aca="false">H98+D99</f>
        <v>96.1</v>
      </c>
      <c r="J99" s="8" t="n">
        <v>0.1</v>
      </c>
      <c r="K99" s="8" t="n">
        <f aca="false">K98+J99</f>
        <v>305</v>
      </c>
      <c r="L99" s="8" t="n">
        <v>0.8</v>
      </c>
      <c r="M99" s="8" t="n">
        <f aca="false">M98+L99</f>
        <v>132.1</v>
      </c>
      <c r="N99" s="14" t="n">
        <f aca="false">J99-L99</f>
        <v>-0.7</v>
      </c>
      <c r="O99" s="8" t="n">
        <v>145.3</v>
      </c>
      <c r="P99" s="8" t="n">
        <v>94</v>
      </c>
      <c r="Q99" s="8" t="n">
        <v>1</v>
      </c>
      <c r="R99" s="15" t="n">
        <f aca="false">Q99*L99</f>
        <v>0.8</v>
      </c>
      <c r="S99" s="15" t="n">
        <f aca="false">J99-R99</f>
        <v>-0.7</v>
      </c>
      <c r="T99" s="15" t="n">
        <f aca="false">MIN(153.6,(T98+S99))</f>
        <v>145.368880597015</v>
      </c>
      <c r="V99" s="16" t="n">
        <v>272.2</v>
      </c>
      <c r="W99" s="8" t="n">
        <f aca="false">V99/D99</f>
        <v>38.3380281690141</v>
      </c>
      <c r="X99" s="8" t="n">
        <f aca="false">X98+V99</f>
        <v>53646.9</v>
      </c>
      <c r="Y99" s="8" t="n">
        <f aca="false">Y98+V99</f>
        <v>4480.1</v>
      </c>
      <c r="AA99" s="20" t="n">
        <v>8.16544837746624</v>
      </c>
    </row>
    <row r="100" s="8" customFormat="true" ht="15" hidden="false" customHeight="false" outlineLevel="0" collapsed="false">
      <c r="A100" s="28"/>
      <c r="B100" s="10"/>
      <c r="C100" s="11" t="n">
        <v>41616</v>
      </c>
      <c r="D100" s="8" t="n">
        <v>8.1</v>
      </c>
      <c r="E100" s="8" t="n">
        <v>7.1</v>
      </c>
      <c r="F100" s="8" t="n">
        <v>9.9</v>
      </c>
      <c r="G100" s="8" t="n">
        <f aca="false">G99+D100</f>
        <v>1038.6</v>
      </c>
      <c r="H100" s="8" t="n">
        <f aca="false">H99+D100</f>
        <v>104.2</v>
      </c>
      <c r="J100" s="8" t="n">
        <v>0.1</v>
      </c>
      <c r="K100" s="8" t="n">
        <f aca="false">K99+J100</f>
        <v>305.1</v>
      </c>
      <c r="L100" s="8" t="n">
        <v>1.2</v>
      </c>
      <c r="M100" s="8" t="n">
        <f aca="false">M99+L100</f>
        <v>133.3</v>
      </c>
      <c r="N100" s="14" t="n">
        <f aca="false">J100-L100</f>
        <v>-1.1</v>
      </c>
      <c r="O100" s="8" t="n">
        <v>144.2</v>
      </c>
      <c r="P100" s="8" t="n">
        <v>95</v>
      </c>
      <c r="Q100" s="8" t="n">
        <v>1</v>
      </c>
      <c r="R100" s="15" t="n">
        <f aca="false">Q100*L100</f>
        <v>1.2</v>
      </c>
      <c r="S100" s="15" t="n">
        <f aca="false">J100-R100</f>
        <v>-1.1</v>
      </c>
      <c r="T100" s="15" t="n">
        <f aca="false">MIN(153.6,(T99+S100))</f>
        <v>144.268880597015</v>
      </c>
      <c r="V100" s="16" t="n">
        <v>295.6</v>
      </c>
      <c r="W100" s="8" t="n">
        <f aca="false">V100/D100</f>
        <v>36.4938271604938</v>
      </c>
      <c r="X100" s="8" t="n">
        <f aca="false">X99+V100</f>
        <v>53942.5</v>
      </c>
      <c r="Y100" s="8" t="n">
        <f aca="false">Y99+V100</f>
        <v>4775.7</v>
      </c>
      <c r="AA100" s="20" t="n">
        <v>8.14057414579814</v>
      </c>
    </row>
    <row r="101" s="8" customFormat="true" ht="15" hidden="false" customHeight="false" outlineLevel="0" collapsed="false">
      <c r="A101" s="28"/>
      <c r="B101" s="10"/>
      <c r="C101" s="11" t="n">
        <v>41617</v>
      </c>
      <c r="D101" s="8" t="n">
        <v>5.4</v>
      </c>
      <c r="E101" s="18" t="n">
        <v>4.5</v>
      </c>
      <c r="F101" s="8" t="n">
        <v>9.2</v>
      </c>
      <c r="G101" s="8" t="n">
        <f aca="false">G100+D101</f>
        <v>1044</v>
      </c>
      <c r="H101" s="8" t="n">
        <f aca="false">H100+D101</f>
        <v>109.6</v>
      </c>
      <c r="J101" s="8" t="n">
        <v>0</v>
      </c>
      <c r="K101" s="8" t="n">
        <f aca="false">K100+J101</f>
        <v>305.1</v>
      </c>
      <c r="L101" s="8" t="n">
        <v>1</v>
      </c>
      <c r="M101" s="8" t="n">
        <f aca="false">M100+L101</f>
        <v>134.3</v>
      </c>
      <c r="N101" s="14" t="n">
        <f aca="false">J101-L101</f>
        <v>-1</v>
      </c>
      <c r="O101" s="8" t="n">
        <v>143.2</v>
      </c>
      <c r="P101" s="8" t="n">
        <v>96</v>
      </c>
      <c r="Q101" s="8" t="n">
        <v>1</v>
      </c>
      <c r="R101" s="15" t="n">
        <f aca="false">Q101*L101</f>
        <v>1</v>
      </c>
      <c r="S101" s="15" t="n">
        <f aca="false">J101-R101</f>
        <v>-1</v>
      </c>
      <c r="T101" s="15" t="n">
        <f aca="false">MIN(153.6,(T100+S101))</f>
        <v>143.268880597015</v>
      </c>
      <c r="V101" s="16" t="n">
        <v>387.9</v>
      </c>
      <c r="W101" s="8" t="n">
        <f aca="false">V101/D101</f>
        <v>71.8333333333333</v>
      </c>
      <c r="X101" s="8" t="n">
        <f aca="false">X100+V101</f>
        <v>54330.4</v>
      </c>
      <c r="Y101" s="8" t="n">
        <f aca="false">Y100+V101</f>
        <v>5163.6</v>
      </c>
      <c r="AA101" s="20" t="n">
        <v>8.11721931303619</v>
      </c>
    </row>
    <row r="102" s="8" customFormat="true" ht="15" hidden="false" customHeight="false" outlineLevel="0" collapsed="false">
      <c r="A102" s="28"/>
      <c r="B102" s="19"/>
      <c r="C102" s="11" t="n">
        <v>41618</v>
      </c>
      <c r="D102" s="18" t="n">
        <v>2.1</v>
      </c>
      <c r="E102" s="30" t="n">
        <v>-0.9</v>
      </c>
      <c r="F102" s="8" t="n">
        <v>6.3</v>
      </c>
      <c r="G102" s="8" t="n">
        <f aca="false">G101+D102</f>
        <v>1046.1</v>
      </c>
      <c r="H102" s="8" t="n">
        <f aca="false">H101+D102</f>
        <v>111.7</v>
      </c>
      <c r="J102" s="8" t="n">
        <v>0.3</v>
      </c>
      <c r="K102" s="8" t="n">
        <f aca="false">K101+J102</f>
        <v>305.4</v>
      </c>
      <c r="L102" s="8" t="n">
        <v>0.6</v>
      </c>
      <c r="M102" s="8" t="n">
        <f aca="false">M101+L102</f>
        <v>134.9</v>
      </c>
      <c r="N102" s="14" t="n">
        <f aca="false">J102-L102</f>
        <v>-0.3</v>
      </c>
      <c r="O102" s="8" t="n">
        <v>142.9</v>
      </c>
      <c r="P102" s="8" t="n">
        <v>97</v>
      </c>
      <c r="Q102" s="8" t="n">
        <v>1</v>
      </c>
      <c r="R102" s="15" t="n">
        <f aca="false">Q102*L102</f>
        <v>0.6</v>
      </c>
      <c r="S102" s="15" t="n">
        <f aca="false">J102-R102</f>
        <v>-0.3</v>
      </c>
      <c r="T102" s="15" t="n">
        <f aca="false">MIN(153.6,(T101+S102))</f>
        <v>142.968880597015</v>
      </c>
      <c r="V102" s="16" t="n">
        <v>515.9</v>
      </c>
      <c r="W102" s="8" t="n">
        <f aca="false">V102/D102</f>
        <v>245.666666666667</v>
      </c>
      <c r="X102" s="8" t="n">
        <f aca="false">X101+V102</f>
        <v>54846.3</v>
      </c>
      <c r="Y102" s="8" t="n">
        <f aca="false">Y101+V102</f>
        <v>5679.5</v>
      </c>
      <c r="AA102" s="20" t="n">
        <v>8.095411144313</v>
      </c>
    </row>
    <row r="103" s="8" customFormat="true" ht="15" hidden="false" customHeight="false" outlineLevel="0" collapsed="false">
      <c r="A103" s="28"/>
      <c r="B103" s="19"/>
      <c r="C103" s="11" t="n">
        <v>41619</v>
      </c>
      <c r="D103" s="18" t="n">
        <v>1.6</v>
      </c>
      <c r="E103" s="30" t="n">
        <v>-2</v>
      </c>
      <c r="F103" s="8" t="n">
        <v>5.7</v>
      </c>
      <c r="G103" s="8" t="n">
        <f aca="false">G102+D103</f>
        <v>1047.7</v>
      </c>
      <c r="H103" s="8" t="n">
        <f aca="false">H102+D103</f>
        <v>113.3</v>
      </c>
      <c r="J103" s="8" t="n">
        <v>0.1</v>
      </c>
      <c r="K103" s="8" t="n">
        <f aca="false">K102+J103</f>
        <v>305.5</v>
      </c>
      <c r="L103" s="8" t="n">
        <v>0.7</v>
      </c>
      <c r="M103" s="8" t="n">
        <f aca="false">M102+L103</f>
        <v>135.6</v>
      </c>
      <c r="N103" s="14" t="n">
        <f aca="false">J103-L103</f>
        <v>-0.6</v>
      </c>
      <c r="O103" s="8" t="n">
        <v>142.3</v>
      </c>
      <c r="P103" s="8" t="n">
        <v>98</v>
      </c>
      <c r="Q103" s="8" t="n">
        <v>1</v>
      </c>
      <c r="R103" s="15" t="n">
        <f aca="false">Q103*L103</f>
        <v>0.7</v>
      </c>
      <c r="S103" s="15" t="n">
        <f aca="false">J103-R103</f>
        <v>-0.6</v>
      </c>
      <c r="T103" s="15" t="n">
        <f aca="false">MIN(153.6,(T102+S103))</f>
        <v>142.368880597015</v>
      </c>
      <c r="V103" s="16" t="n">
        <v>550.9</v>
      </c>
      <c r="W103" s="8" t="n">
        <f aca="false">V103/D103</f>
        <v>344.3125</v>
      </c>
      <c r="X103" s="8" t="n">
        <f aca="false">X102+V103</f>
        <v>55397.2</v>
      </c>
      <c r="Y103" s="8" t="n">
        <f aca="false">Y102+V103</f>
        <v>6230.4</v>
      </c>
      <c r="AA103" s="20" t="n">
        <v>8.07517553202544</v>
      </c>
    </row>
    <row r="104" s="8" customFormat="true" ht="15" hidden="false" customHeight="false" outlineLevel="0" collapsed="false">
      <c r="A104" s="28"/>
      <c r="B104" s="19"/>
      <c r="C104" s="11" t="n">
        <v>41620</v>
      </c>
      <c r="D104" s="18" t="n">
        <v>0.2</v>
      </c>
      <c r="E104" s="30" t="n">
        <v>-0.7</v>
      </c>
      <c r="F104" s="18" t="n">
        <v>0.9</v>
      </c>
      <c r="G104" s="8" t="n">
        <f aca="false">G103+D104</f>
        <v>1047.9</v>
      </c>
      <c r="H104" s="8" t="n">
        <f aca="false">H103+D104</f>
        <v>113.5</v>
      </c>
      <c r="J104" s="8" t="n">
        <v>0.1</v>
      </c>
      <c r="K104" s="8" t="n">
        <f aca="false">K103+J104</f>
        <v>305.6</v>
      </c>
      <c r="L104" s="8" t="n">
        <v>0.3</v>
      </c>
      <c r="M104" s="8" t="n">
        <f aca="false">M103+L104</f>
        <v>135.9</v>
      </c>
      <c r="N104" s="14" t="n">
        <f aca="false">J104-L104</f>
        <v>-0.2</v>
      </c>
      <c r="O104" s="8" t="n">
        <v>142.1</v>
      </c>
      <c r="P104" s="8" t="n">
        <v>99</v>
      </c>
      <c r="Q104" s="8" t="n">
        <v>1</v>
      </c>
      <c r="R104" s="15" t="n">
        <f aca="false">Q104*L104</f>
        <v>0.3</v>
      </c>
      <c r="S104" s="15" t="n">
        <f aca="false">J104-R104</f>
        <v>-0.2</v>
      </c>
      <c r="T104" s="15" t="n">
        <f aca="false">MIN(153.6,(T103+S104))</f>
        <v>142.168880597015</v>
      </c>
      <c r="V104" s="16" t="n">
        <v>218.4</v>
      </c>
      <c r="W104" s="8" t="n">
        <f aca="false">V104/D104</f>
        <v>1092</v>
      </c>
      <c r="X104" s="8" t="n">
        <f aca="false">X103+V104</f>
        <v>55615.6</v>
      </c>
      <c r="Y104" s="8" t="n">
        <f aca="false">Y103+V104</f>
        <v>6448.8</v>
      </c>
      <c r="AA104" s="20" t="n">
        <v>8.05653689067263</v>
      </c>
    </row>
    <row r="105" s="8" customFormat="true" ht="15" hidden="false" customHeight="false" outlineLevel="0" collapsed="false">
      <c r="A105" s="28"/>
      <c r="B105" s="19"/>
      <c r="C105" s="11" t="n">
        <v>41621</v>
      </c>
      <c r="D105" s="18" t="n">
        <v>2.5</v>
      </c>
      <c r="E105" s="30" t="n">
        <v>-0.3</v>
      </c>
      <c r="F105" s="18" t="n">
        <v>4.5</v>
      </c>
      <c r="G105" s="8" t="n">
        <f aca="false">G104+D105</f>
        <v>1050.4</v>
      </c>
      <c r="H105" s="8" t="n">
        <f aca="false">H104+D105</f>
        <v>116</v>
      </c>
      <c r="J105" s="8" t="n">
        <v>4.2</v>
      </c>
      <c r="K105" s="8" t="n">
        <f aca="false">K104+J105</f>
        <v>309.8</v>
      </c>
      <c r="L105" s="8" t="n">
        <v>0.3</v>
      </c>
      <c r="M105" s="8" t="n">
        <f aca="false">M104+L105</f>
        <v>136.2</v>
      </c>
      <c r="N105" s="8" t="n">
        <f aca="false">J105-L105</f>
        <v>3.9</v>
      </c>
      <c r="O105" s="8" t="n">
        <v>146</v>
      </c>
      <c r="P105" s="8" t="n">
        <v>100</v>
      </c>
      <c r="Q105" s="8" t="n">
        <v>1</v>
      </c>
      <c r="R105" s="15" t="n">
        <f aca="false">Q105*L105</f>
        <v>0.3</v>
      </c>
      <c r="S105" s="15" t="n">
        <f aca="false">J105-R105</f>
        <v>3.9</v>
      </c>
      <c r="T105" s="15" t="n">
        <f aca="false">MIN(153.6,(T104+S105))</f>
        <v>146.068880597015</v>
      </c>
      <c r="V105" s="16" t="n">
        <v>277.4</v>
      </c>
      <c r="W105" s="8" t="n">
        <f aca="false">V105/D105</f>
        <v>110.96</v>
      </c>
      <c r="X105" s="8" t="n">
        <f aca="false">X104+V105</f>
        <v>55893</v>
      </c>
      <c r="Y105" s="8" t="n">
        <f aca="false">Y104+V105</f>
        <v>6726.2</v>
      </c>
      <c r="AA105" s="20" t="n">
        <v>8.03951805541864</v>
      </c>
    </row>
    <row r="106" s="33" customFormat="true" ht="15" hidden="false" customHeight="false" outlineLevel="0" collapsed="false">
      <c r="A106" s="28"/>
      <c r="B106" s="31"/>
      <c r="C106" s="32" t="n">
        <v>41622</v>
      </c>
      <c r="D106" s="33" t="n">
        <v>6.5</v>
      </c>
      <c r="E106" s="33" t="n">
        <v>3.5</v>
      </c>
      <c r="F106" s="33" t="n">
        <v>9.1</v>
      </c>
      <c r="G106" s="33" t="n">
        <f aca="false">G105+D106</f>
        <v>1056.9</v>
      </c>
      <c r="H106" s="23" t="n">
        <f aca="false">H105+D106</f>
        <v>122.5</v>
      </c>
      <c r="J106" s="33" t="n">
        <v>0.2</v>
      </c>
      <c r="K106" s="33" t="n">
        <f aca="false">K105+J106</f>
        <v>310</v>
      </c>
      <c r="L106" s="33" t="n">
        <v>0.7</v>
      </c>
      <c r="M106" s="33" t="n">
        <f aca="false">M105+L106</f>
        <v>136.9</v>
      </c>
      <c r="N106" s="33" t="n">
        <f aca="false">J106-L106</f>
        <v>-0.5</v>
      </c>
      <c r="O106" s="23" t="n">
        <v>145.5</v>
      </c>
      <c r="P106" s="23" t="n">
        <v>101</v>
      </c>
      <c r="Q106" s="23" t="n">
        <v>1</v>
      </c>
      <c r="R106" s="25" t="n">
        <f aca="false">Q106*L106</f>
        <v>0.7</v>
      </c>
      <c r="S106" s="25" t="n">
        <f aca="false">J106-R106</f>
        <v>-0.5</v>
      </c>
      <c r="T106" s="26" t="n">
        <f aca="false">MIN(153.6,(T105+S106))</f>
        <v>145.568880597015</v>
      </c>
      <c r="V106" s="34" t="n">
        <v>490.3</v>
      </c>
      <c r="W106" s="33" t="n">
        <f aca="false">V106/D106</f>
        <v>75.4307692307692</v>
      </c>
      <c r="X106" s="33" t="n">
        <f aca="false">X105+V106</f>
        <v>56383.3</v>
      </c>
      <c r="Y106" s="24" t="n">
        <f aca="false">Y105+V106</f>
        <v>7216.5</v>
      </c>
      <c r="AA106" s="27" t="n">
        <v>8.02414018521425</v>
      </c>
    </row>
    <row r="107" s="8" customFormat="true" ht="15" hidden="false" customHeight="true" outlineLevel="0" collapsed="false">
      <c r="A107" s="35" t="s">
        <v>45</v>
      </c>
      <c r="B107" s="10"/>
      <c r="C107" s="11" t="n">
        <v>41623</v>
      </c>
      <c r="D107" s="8" t="n">
        <v>7.7</v>
      </c>
      <c r="E107" s="8" t="n">
        <v>6.5</v>
      </c>
      <c r="F107" s="8" t="n">
        <v>8.7</v>
      </c>
      <c r="G107" s="8" t="n">
        <f aca="false">G106+D107</f>
        <v>1064.6</v>
      </c>
      <c r="H107" s="8" t="n">
        <v>7.7</v>
      </c>
      <c r="I107" s="36" t="s">
        <v>27</v>
      </c>
      <c r="J107" s="8" t="n">
        <v>0</v>
      </c>
      <c r="K107" s="8" t="n">
        <f aca="false">K106+J107</f>
        <v>310</v>
      </c>
      <c r="L107" s="8" t="n">
        <v>1.2</v>
      </c>
      <c r="M107" s="8" t="n">
        <f aca="false">M106+L107</f>
        <v>138.1</v>
      </c>
      <c r="N107" s="14" t="n">
        <f aca="false">J107-L107</f>
        <v>-1.2</v>
      </c>
      <c r="O107" s="8" t="n">
        <v>144.3</v>
      </c>
      <c r="P107" s="8" t="n">
        <v>102</v>
      </c>
      <c r="Q107" s="17" t="n">
        <f aca="false">1+((P107-101)/108)*(1.15-1)</f>
        <v>1.00138888888889</v>
      </c>
      <c r="R107" s="15" t="n">
        <f aca="false">Q107*L107</f>
        <v>1.20166666666667</v>
      </c>
      <c r="S107" s="15" t="n">
        <f aca="false">J107-R107</f>
        <v>-1.20166666666667</v>
      </c>
      <c r="T107" s="15" t="n">
        <f aca="false">MIN(153.6,(T106+S107))</f>
        <v>144.367213930348</v>
      </c>
      <c r="U107" s="36" t="s">
        <v>28</v>
      </c>
      <c r="V107" s="16" t="n">
        <v>159</v>
      </c>
      <c r="W107" s="8" t="n">
        <f aca="false">V107/D107</f>
        <v>20.6493506493506</v>
      </c>
      <c r="X107" s="8" t="n">
        <f aca="false">X106+V107</f>
        <v>56542.3</v>
      </c>
      <c r="Y107" s="8" t="n">
        <v>159</v>
      </c>
      <c r="Z107" s="36" t="s">
        <v>29</v>
      </c>
      <c r="AA107" s="20" t="n">
        <v>8.01042267130104</v>
      </c>
    </row>
    <row r="108" s="8" customFormat="true" ht="15" hidden="false" customHeight="false" outlineLevel="0" collapsed="false">
      <c r="A108" s="35"/>
      <c r="B108" s="10"/>
      <c r="C108" s="11" t="n">
        <v>41624</v>
      </c>
      <c r="D108" s="8" t="n">
        <v>9.2</v>
      </c>
      <c r="E108" s="8" t="n">
        <v>7.3</v>
      </c>
      <c r="F108" s="8" t="n">
        <v>10.8</v>
      </c>
      <c r="G108" s="8" t="n">
        <f aca="false">G107+D108</f>
        <v>1073.8</v>
      </c>
      <c r="H108" s="8" t="n">
        <f aca="false">H107+D108</f>
        <v>16.9</v>
      </c>
      <c r="I108" s="8" t="n">
        <f aca="false">MIN(E107:E214)</f>
        <v>-1.7</v>
      </c>
      <c r="J108" s="8" t="n">
        <v>0.1</v>
      </c>
      <c r="K108" s="8" t="n">
        <f aca="false">K107+J108</f>
        <v>310.1</v>
      </c>
      <c r="L108" s="8" t="n">
        <v>1.8</v>
      </c>
      <c r="M108" s="8" t="n">
        <f aca="false">M107+L108</f>
        <v>139.9</v>
      </c>
      <c r="N108" s="14" t="n">
        <f aca="false">J108-L108</f>
        <v>-1.7</v>
      </c>
      <c r="O108" s="8" t="n">
        <v>142.6</v>
      </c>
      <c r="P108" s="8" t="n">
        <v>103</v>
      </c>
      <c r="Q108" s="17" t="n">
        <f aca="false">1+((P108-101)/108)*(1.15-1)</f>
        <v>1.00277777777778</v>
      </c>
      <c r="R108" s="15" t="n">
        <f aca="false">Q108*L108</f>
        <v>1.805</v>
      </c>
      <c r="S108" s="15" t="n">
        <f aca="false">J108-R108</f>
        <v>-1.705</v>
      </c>
      <c r="T108" s="15" t="n">
        <f aca="false">MIN(153.6,(T107+S108))</f>
        <v>142.662213930348</v>
      </c>
      <c r="U108" s="8" t="n">
        <v>60</v>
      </c>
      <c r="V108" s="16" t="n">
        <v>306.8</v>
      </c>
      <c r="W108" s="8" t="n">
        <f aca="false">V108/D108</f>
        <v>33.3478260869565</v>
      </c>
      <c r="X108" s="8" t="n">
        <f aca="false">X107+V108</f>
        <v>56849.1</v>
      </c>
      <c r="Y108" s="8" t="n">
        <f aca="false">Y107+V108</f>
        <v>465.8</v>
      </c>
      <c r="Z108" s="8" t="n">
        <v>60514.1</v>
      </c>
      <c r="AA108" s="20" t="n">
        <v>7.99838305189741</v>
      </c>
    </row>
    <row r="109" s="8" customFormat="true" ht="15" hidden="false" customHeight="false" outlineLevel="0" collapsed="false">
      <c r="A109" s="35"/>
      <c r="B109" s="10"/>
      <c r="C109" s="11" t="n">
        <v>41625</v>
      </c>
      <c r="D109" s="8" t="n">
        <v>7.1</v>
      </c>
      <c r="E109" s="8" t="n">
        <v>6.2</v>
      </c>
      <c r="F109" s="8" t="n">
        <v>7.6</v>
      </c>
      <c r="G109" s="8" t="n">
        <f aca="false">G108+D109</f>
        <v>1080.9</v>
      </c>
      <c r="H109" s="8" t="n">
        <f aca="false">H108+D109</f>
        <v>24</v>
      </c>
      <c r="I109" s="36" t="s">
        <v>30</v>
      </c>
      <c r="J109" s="8" t="n">
        <v>0</v>
      </c>
      <c r="K109" s="8" t="n">
        <f aca="false">K108+J109</f>
        <v>310.1</v>
      </c>
      <c r="L109" s="8" t="n">
        <v>0.9</v>
      </c>
      <c r="M109" s="8" t="n">
        <f aca="false">M108+L109</f>
        <v>140.8</v>
      </c>
      <c r="N109" s="14" t="n">
        <f aca="false">J109-L109</f>
        <v>-0.9</v>
      </c>
      <c r="O109" s="8" t="n">
        <v>141.7</v>
      </c>
      <c r="P109" s="8" t="n">
        <v>104</v>
      </c>
      <c r="Q109" s="17" t="n">
        <f aca="false">1+((P109-101)/108)*(1.15-1)</f>
        <v>1.00416666666667</v>
      </c>
      <c r="R109" s="15" t="n">
        <f aca="false">Q109*L109</f>
        <v>0.90375</v>
      </c>
      <c r="S109" s="15" t="n">
        <f aca="false">J109-R109</f>
        <v>-0.90375</v>
      </c>
      <c r="T109" s="15" t="n">
        <f aca="false">MIN(153.6,(T108+S109))</f>
        <v>141.758463930348</v>
      </c>
      <c r="U109" s="36" t="s">
        <v>31</v>
      </c>
      <c r="V109" s="16" t="n">
        <v>188.7</v>
      </c>
      <c r="W109" s="8" t="n">
        <f aca="false">V109/D109</f>
        <v>26.5774647887324</v>
      </c>
      <c r="X109" s="8" t="n">
        <f aca="false">X108+V109</f>
        <v>57037.8</v>
      </c>
      <c r="Y109" s="8" t="n">
        <f aca="false">Y108+V109</f>
        <v>654.5</v>
      </c>
      <c r="Z109" s="36" t="s">
        <v>32</v>
      </c>
      <c r="AA109" s="20" t="n">
        <v>7.98803693383211</v>
      </c>
    </row>
    <row r="110" s="8" customFormat="true" ht="15" hidden="false" customHeight="false" outlineLevel="0" collapsed="false">
      <c r="A110" s="35"/>
      <c r="B110" s="10"/>
      <c r="C110" s="11" t="n">
        <v>41626</v>
      </c>
      <c r="D110" s="8" t="n">
        <v>8</v>
      </c>
      <c r="E110" s="8" t="n">
        <v>6.4</v>
      </c>
      <c r="F110" s="8" t="n">
        <v>9.3</v>
      </c>
      <c r="G110" s="8" t="n">
        <f aca="false">G109+D110</f>
        <v>1088.9</v>
      </c>
      <c r="H110" s="8" t="n">
        <f aca="false">H109+D110</f>
        <v>32</v>
      </c>
      <c r="I110" s="8" t="n">
        <f aca="false">MAX(F107:F214)</f>
        <v>20.5</v>
      </c>
      <c r="J110" s="8" t="n">
        <v>6.5</v>
      </c>
      <c r="K110" s="8" t="n">
        <f aca="false">K109+J110</f>
        <v>316.6</v>
      </c>
      <c r="L110" s="8" t="n">
        <v>0.9</v>
      </c>
      <c r="M110" s="8" t="n">
        <f aca="false">M109+L110</f>
        <v>141.7</v>
      </c>
      <c r="N110" s="8" t="n">
        <f aca="false">J110-L110</f>
        <v>5.6</v>
      </c>
      <c r="O110" s="8" t="n">
        <v>147.3</v>
      </c>
      <c r="P110" s="8" t="n">
        <v>105</v>
      </c>
      <c r="Q110" s="17" t="n">
        <f aca="false">1+((P110-101)/108)*(1.15-1)</f>
        <v>1.00555555555556</v>
      </c>
      <c r="R110" s="15" t="n">
        <f aca="false">Q110*L110</f>
        <v>0.905</v>
      </c>
      <c r="S110" s="15" t="n">
        <f aca="false">J110-R110</f>
        <v>5.595</v>
      </c>
      <c r="T110" s="15" t="n">
        <f aca="false">MIN(153.6,(T109+S110))</f>
        <v>147.353463930348</v>
      </c>
      <c r="U110" s="8" t="n">
        <v>0</v>
      </c>
      <c r="V110" s="16" t="n">
        <v>306.8</v>
      </c>
      <c r="W110" s="8" t="n">
        <f aca="false">V110/D110</f>
        <v>38.35</v>
      </c>
      <c r="X110" s="8" t="n">
        <f aca="false">X109+V110</f>
        <v>57344.6</v>
      </c>
      <c r="Y110" s="8" t="n">
        <f aca="false">Y109+V110</f>
        <v>961.3</v>
      </c>
      <c r="Z110" s="17" t="n">
        <f aca="false">(Z108/100)/I120</f>
        <v>0.77691744768263</v>
      </c>
      <c r="AA110" s="20" t="n">
        <v>7.97939792184437</v>
      </c>
    </row>
    <row r="111" s="8" customFormat="true" ht="15" hidden="false" customHeight="false" outlineLevel="0" collapsed="false">
      <c r="A111" s="35"/>
      <c r="B111" s="10"/>
      <c r="C111" s="11" t="n">
        <v>41627</v>
      </c>
      <c r="D111" s="8" t="n">
        <v>7.4</v>
      </c>
      <c r="E111" s="8" t="n">
        <v>5.2</v>
      </c>
      <c r="F111" s="8" t="n">
        <v>9.4</v>
      </c>
      <c r="G111" s="8" t="n">
        <f aca="false">G110+D111</f>
        <v>1096.3</v>
      </c>
      <c r="H111" s="8" t="n">
        <f aca="false">H110+D111</f>
        <v>39.4</v>
      </c>
      <c r="I111" s="36" t="s">
        <v>33</v>
      </c>
      <c r="J111" s="8" t="n">
        <v>0.7</v>
      </c>
      <c r="K111" s="8" t="n">
        <f aca="false">K110+J111</f>
        <v>317.3</v>
      </c>
      <c r="L111" s="8" t="n">
        <v>0.8</v>
      </c>
      <c r="M111" s="8" t="n">
        <f aca="false">M110+L111</f>
        <v>142.5</v>
      </c>
      <c r="N111" s="14" t="n">
        <f aca="false">J111-L111</f>
        <v>-0.1</v>
      </c>
      <c r="O111" s="8" t="n">
        <v>147.2</v>
      </c>
      <c r="P111" s="8" t="n">
        <v>106</v>
      </c>
      <c r="Q111" s="17" t="n">
        <f aca="false">1+((P111-101)/108)*(1.15-1)</f>
        <v>1.00694444444444</v>
      </c>
      <c r="R111" s="15" t="n">
        <f aca="false">Q111*L111</f>
        <v>0.805555555555556</v>
      </c>
      <c r="S111" s="15" t="n">
        <f aca="false">J111-R111</f>
        <v>-0.105555555555556</v>
      </c>
      <c r="T111" s="15" t="n">
        <f aca="false">MIN(153.6,(T110+S111))</f>
        <v>147.247908374793</v>
      </c>
      <c r="U111" s="36" t="s">
        <v>34</v>
      </c>
      <c r="V111" s="16" t="n">
        <v>392.6</v>
      </c>
      <c r="W111" s="8" t="n">
        <f aca="false">V111/D111</f>
        <v>53.0540540540541</v>
      </c>
      <c r="X111" s="8" t="n">
        <f aca="false">X110+V111</f>
        <v>57737.2</v>
      </c>
      <c r="Y111" s="8" t="n">
        <f aca="false">Y110+V111</f>
        <v>1353.9</v>
      </c>
      <c r="Z111" s="36" t="s">
        <v>35</v>
      </c>
      <c r="AA111" s="20" t="n">
        <v>7.97247755621257</v>
      </c>
    </row>
    <row r="112" s="8" customFormat="true" ht="15" hidden="false" customHeight="false" outlineLevel="0" collapsed="false">
      <c r="A112" s="35"/>
      <c r="B112" s="10"/>
      <c r="C112" s="11" t="n">
        <v>41628</v>
      </c>
      <c r="D112" s="8" t="n">
        <v>5.6</v>
      </c>
      <c r="E112" s="18" t="n">
        <v>2.9</v>
      </c>
      <c r="F112" s="8" t="n">
        <v>8.3</v>
      </c>
      <c r="G112" s="8" t="n">
        <f aca="false">G111+D112</f>
        <v>1101.9</v>
      </c>
      <c r="H112" s="8" t="n">
        <f aca="false">H111+D112</f>
        <v>45</v>
      </c>
      <c r="I112" s="15" t="n">
        <f aca="false">AVERAGE(D107:D214)</f>
        <v>7.21203703703704</v>
      </c>
      <c r="J112" s="8" t="n">
        <v>0</v>
      </c>
      <c r="K112" s="8" t="n">
        <f aca="false">K111+J112</f>
        <v>317.3</v>
      </c>
      <c r="L112" s="8" t="n">
        <v>0.8</v>
      </c>
      <c r="M112" s="8" t="n">
        <f aca="false">M111+L112</f>
        <v>143.3</v>
      </c>
      <c r="N112" s="14" t="n">
        <f aca="false">J112-L112</f>
        <v>-0.8</v>
      </c>
      <c r="O112" s="8" t="n">
        <v>146.4</v>
      </c>
      <c r="P112" s="8" t="n">
        <v>107</v>
      </c>
      <c r="Q112" s="17" t="n">
        <f aca="false">1+((P112-101)/108)*(1.15-1)</f>
        <v>1.00833333333333</v>
      </c>
      <c r="R112" s="15" t="n">
        <f aca="false">Q112*L112</f>
        <v>0.806666666666667</v>
      </c>
      <c r="S112" s="15" t="n">
        <f aca="false">J112-R112</f>
        <v>-0.806666666666667</v>
      </c>
      <c r="T112" s="15" t="n">
        <f aca="false">MIN(153.6,(T111+S112))</f>
        <v>146.441241708126</v>
      </c>
      <c r="U112" s="8" t="n">
        <v>0</v>
      </c>
      <c r="V112" s="16" t="n">
        <v>457</v>
      </c>
      <c r="W112" s="8" t="n">
        <f aca="false">V112/D112</f>
        <v>81.6071428571429</v>
      </c>
      <c r="X112" s="8" t="n">
        <f aca="false">X111+V112</f>
        <v>58194.2</v>
      </c>
      <c r="Y112" s="8" t="n">
        <f aca="false">Y111+V112</f>
        <v>1810.9</v>
      </c>
      <c r="Z112" s="8" t="n">
        <v>83</v>
      </c>
      <c r="AA112" s="20" t="n">
        <v>7.96728525930546</v>
      </c>
    </row>
    <row r="113" s="8" customFormat="true" ht="15" hidden="false" customHeight="false" outlineLevel="0" collapsed="false">
      <c r="A113" s="35"/>
      <c r="B113" s="10"/>
      <c r="C113" s="11" t="n">
        <v>41629</v>
      </c>
      <c r="D113" s="8" t="n">
        <v>7.4</v>
      </c>
      <c r="E113" s="8" t="n">
        <v>5.9</v>
      </c>
      <c r="F113" s="8" t="n">
        <v>8.1</v>
      </c>
      <c r="G113" s="8" t="n">
        <f aca="false">G112+D113</f>
        <v>1109.3</v>
      </c>
      <c r="H113" s="8" t="n">
        <f aca="false">H112+D113</f>
        <v>52.4</v>
      </c>
      <c r="I113" s="36" t="s">
        <v>36</v>
      </c>
      <c r="J113" s="8" t="n">
        <v>1.2</v>
      </c>
      <c r="K113" s="8" t="n">
        <f aca="false">K112+J113</f>
        <v>318.5</v>
      </c>
      <c r="L113" s="8" t="n">
        <v>1.2</v>
      </c>
      <c r="M113" s="8" t="n">
        <f aca="false">M112+L113</f>
        <v>144.5</v>
      </c>
      <c r="N113" s="8" t="n">
        <f aca="false">J113-L113</f>
        <v>0</v>
      </c>
      <c r="O113" s="8" t="n">
        <v>146.4</v>
      </c>
      <c r="P113" s="8" t="n">
        <v>108</v>
      </c>
      <c r="Q113" s="17" t="n">
        <f aca="false">1+((P113-101)/108)*(1.15-1)</f>
        <v>1.00972222222222</v>
      </c>
      <c r="R113" s="15" t="n">
        <f aca="false">Q113*L113</f>
        <v>1.21166666666667</v>
      </c>
      <c r="S113" s="15" t="n">
        <f aca="false">J113-R113</f>
        <v>-0.0116666666666667</v>
      </c>
      <c r="T113" s="15" t="n">
        <f aca="false">MIN(153.6,(T112+S113))</f>
        <v>146.429575041459</v>
      </c>
      <c r="U113" s="36" t="s">
        <v>37</v>
      </c>
      <c r="V113" s="16" t="n">
        <v>132.1</v>
      </c>
      <c r="W113" s="8" t="n">
        <f aca="false">V113/D113</f>
        <v>17.8513513513514</v>
      </c>
      <c r="X113" s="8" t="n">
        <f aca="false">X112+V113</f>
        <v>58326.3</v>
      </c>
      <c r="Y113" s="8" t="n">
        <f aca="false">Y112+V113</f>
        <v>1943</v>
      </c>
      <c r="AA113" s="20" t="n">
        <v>7.9638282915725</v>
      </c>
    </row>
    <row r="114" s="8" customFormat="true" ht="15" hidden="false" customHeight="false" outlineLevel="0" collapsed="false">
      <c r="A114" s="35"/>
      <c r="B114" s="10"/>
      <c r="C114" s="11" t="n">
        <v>41630</v>
      </c>
      <c r="D114" s="8" t="n">
        <v>8.3</v>
      </c>
      <c r="E114" s="8" t="n">
        <v>7.2</v>
      </c>
      <c r="F114" s="8" t="n">
        <v>10.6</v>
      </c>
      <c r="G114" s="8" t="n">
        <f aca="false">G113+D114</f>
        <v>1117.6</v>
      </c>
      <c r="H114" s="8" t="n">
        <f aca="false">H113+D114</f>
        <v>60.7</v>
      </c>
      <c r="I114" s="8" t="n">
        <v>3</v>
      </c>
      <c r="J114" s="8" t="n">
        <v>8</v>
      </c>
      <c r="K114" s="8" t="n">
        <f aca="false">K113+J114</f>
        <v>326.5</v>
      </c>
      <c r="L114" s="8" t="n">
        <v>1.3</v>
      </c>
      <c r="M114" s="8" t="n">
        <f aca="false">M113+L114</f>
        <v>145.8</v>
      </c>
      <c r="N114" s="8" t="n">
        <f aca="false">J114-L114</f>
        <v>6.7</v>
      </c>
      <c r="O114" s="8" t="n">
        <v>153.1</v>
      </c>
      <c r="P114" s="8" t="n">
        <v>109</v>
      </c>
      <c r="Q114" s="17" t="n">
        <f aca="false">1+((P114-101)/108)*(1.15-1)</f>
        <v>1.01111111111111</v>
      </c>
      <c r="R114" s="15" t="n">
        <f aca="false">Q114*L114</f>
        <v>1.31444444444444</v>
      </c>
      <c r="S114" s="15" t="n">
        <f aca="false">J114-R114</f>
        <v>6.68555555555556</v>
      </c>
      <c r="T114" s="15" t="n">
        <f aca="false">MIN(153.6,(T113+S114))</f>
        <v>153.115130597015</v>
      </c>
      <c r="U114" s="15" t="n">
        <f aca="false">MIN(T107:T214)</f>
        <v>105.54</v>
      </c>
      <c r="V114" s="16" t="n">
        <v>202.1</v>
      </c>
      <c r="W114" s="8" t="n">
        <f aca="false">V114/D114</f>
        <v>24.3493975903614</v>
      </c>
      <c r="X114" s="8" t="n">
        <f aca="false">X113+V114</f>
        <v>58528.4</v>
      </c>
      <c r="Y114" s="8" t="n">
        <f aca="false">Y113+V114</f>
        <v>2145.1</v>
      </c>
      <c r="AA114" s="20" t="n">
        <v>7.96211171740381</v>
      </c>
    </row>
    <row r="115" s="8" customFormat="true" ht="15" hidden="false" customHeight="false" outlineLevel="0" collapsed="false">
      <c r="A115" s="35"/>
      <c r="B115" s="10"/>
      <c r="C115" s="11" t="n">
        <v>41631</v>
      </c>
      <c r="D115" s="8" t="n">
        <v>8.9</v>
      </c>
      <c r="E115" s="8" t="n">
        <v>5.8</v>
      </c>
      <c r="F115" s="8" t="n">
        <v>11.4</v>
      </c>
      <c r="G115" s="8" t="n">
        <f aca="false">G114+D115</f>
        <v>1126.5</v>
      </c>
      <c r="H115" s="8" t="n">
        <f aca="false">H114+D115</f>
        <v>69.6</v>
      </c>
      <c r="I115" s="36" t="s">
        <v>38</v>
      </c>
      <c r="J115" s="8" t="n">
        <v>1.7</v>
      </c>
      <c r="K115" s="8" t="n">
        <f aca="false">K114+J115</f>
        <v>328.2</v>
      </c>
      <c r="L115" s="8" t="n">
        <v>1.4</v>
      </c>
      <c r="M115" s="8" t="n">
        <f aca="false">M114+L115</f>
        <v>147.2</v>
      </c>
      <c r="N115" s="8" t="n">
        <f aca="false">J115-L115</f>
        <v>0.3</v>
      </c>
      <c r="O115" s="8" t="n">
        <v>153.4</v>
      </c>
      <c r="P115" s="8" t="n">
        <v>110</v>
      </c>
      <c r="Q115" s="17" t="n">
        <f aca="false">1+((P115-101)/108)*(1.15-1)</f>
        <v>1.0125</v>
      </c>
      <c r="R115" s="15" t="n">
        <f aca="false">Q115*L115</f>
        <v>1.4175</v>
      </c>
      <c r="S115" s="15" t="n">
        <f aca="false">J115-R115</f>
        <v>0.2825</v>
      </c>
      <c r="T115" s="15" t="n">
        <f aca="false">MIN(153.6,(T114+S115))</f>
        <v>153.397630597015</v>
      </c>
      <c r="U115" s="36" t="s">
        <v>39</v>
      </c>
      <c r="V115" s="16" t="n">
        <v>203.3</v>
      </c>
      <c r="W115" s="8" t="n">
        <f aca="false">V115/D115</f>
        <v>22.8426966292135</v>
      </c>
      <c r="X115" s="8" t="n">
        <f aca="false">X114+V115</f>
        <v>58731.7</v>
      </c>
      <c r="Y115" s="8" t="n">
        <f aca="false">Y114+V115</f>
        <v>2348.4</v>
      </c>
      <c r="AA115" s="20" t="n">
        <v>7.96213838119638</v>
      </c>
    </row>
    <row r="116" s="8" customFormat="true" ht="15" hidden="false" customHeight="false" outlineLevel="0" collapsed="false">
      <c r="A116" s="35"/>
      <c r="B116" s="10"/>
      <c r="C116" s="11" t="n">
        <v>41632</v>
      </c>
      <c r="D116" s="8" t="n">
        <v>9.8</v>
      </c>
      <c r="E116" s="8" t="n">
        <v>8.7</v>
      </c>
      <c r="F116" s="8" t="n">
        <v>10.6</v>
      </c>
      <c r="G116" s="8" t="n">
        <f aca="false">G115+D116</f>
        <v>1136.3</v>
      </c>
      <c r="H116" s="8" t="n">
        <f aca="false">H115+D116</f>
        <v>79.4</v>
      </c>
      <c r="I116" s="8" t="n">
        <v>0</v>
      </c>
      <c r="J116" s="8" t="n">
        <v>12.6</v>
      </c>
      <c r="K116" s="8" t="n">
        <f aca="false">K115+J116</f>
        <v>340.8</v>
      </c>
      <c r="L116" s="8" t="n">
        <v>1.1</v>
      </c>
      <c r="M116" s="8" t="n">
        <f aca="false">M115+L116</f>
        <v>148.3</v>
      </c>
      <c r="N116" s="8" t="n">
        <f aca="false">J116-L116</f>
        <v>11.5</v>
      </c>
      <c r="O116" s="8" t="n">
        <v>153.6</v>
      </c>
      <c r="P116" s="8" t="n">
        <v>111</v>
      </c>
      <c r="Q116" s="17" t="n">
        <f aca="false">1+((P116-101)/108)*(1.15-1)</f>
        <v>1.01388888888889</v>
      </c>
      <c r="R116" s="15" t="n">
        <f aca="false">Q116*L116</f>
        <v>1.11527777777778</v>
      </c>
      <c r="S116" s="15" t="n">
        <f aca="false">J116-R116</f>
        <v>11.4847222222222</v>
      </c>
      <c r="T116" s="15" t="n">
        <f aca="false">MIN(153.6,(T115+S116))</f>
        <v>153.6</v>
      </c>
      <c r="U116" s="15" t="n">
        <f aca="false">MAX(T107:T214)</f>
        <v>153.6</v>
      </c>
      <c r="V116" s="16" t="n">
        <v>52.8</v>
      </c>
      <c r="W116" s="8" t="n">
        <f aca="false">V116/D116</f>
        <v>5.38775510204082</v>
      </c>
      <c r="X116" s="8" t="n">
        <f aca="false">X115+V116</f>
        <v>58784.5</v>
      </c>
      <c r="Y116" s="8" t="n">
        <f aca="false">Y115+V116</f>
        <v>2401.2</v>
      </c>
      <c r="AA116" s="20" t="n">
        <v>7.96390889386452</v>
      </c>
    </row>
    <row r="117" s="8" customFormat="true" ht="15" hidden="false" customHeight="false" outlineLevel="0" collapsed="false">
      <c r="A117" s="35"/>
      <c r="B117" s="10"/>
      <c r="C117" s="11" t="n">
        <v>41633</v>
      </c>
      <c r="D117" s="8" t="n">
        <v>6.3</v>
      </c>
      <c r="E117" s="18" t="n">
        <v>4.6</v>
      </c>
      <c r="F117" s="8" t="n">
        <v>8.6</v>
      </c>
      <c r="G117" s="8" t="n">
        <f aca="false">G116+D117</f>
        <v>1142.6</v>
      </c>
      <c r="H117" s="8" t="n">
        <f aca="false">H116+D117</f>
        <v>85.7</v>
      </c>
      <c r="I117" s="36" t="s">
        <v>40</v>
      </c>
      <c r="J117" s="8" t="n">
        <v>0.5</v>
      </c>
      <c r="K117" s="8" t="n">
        <f aca="false">K116+J117</f>
        <v>341.3</v>
      </c>
      <c r="L117" s="8" t="n">
        <v>0.9</v>
      </c>
      <c r="M117" s="8" t="n">
        <f aca="false">M116+L117</f>
        <v>149.2</v>
      </c>
      <c r="N117" s="14" t="n">
        <f aca="false">J117-L117</f>
        <v>-0.4</v>
      </c>
      <c r="O117" s="8" t="n">
        <v>153.2</v>
      </c>
      <c r="P117" s="8" t="n">
        <v>112</v>
      </c>
      <c r="Q117" s="17" t="n">
        <f aca="false">1+((P117-101)/108)*(1.15-1)</f>
        <v>1.01527777777778</v>
      </c>
      <c r="R117" s="15" t="n">
        <f aca="false">Q117*L117</f>
        <v>0.91375</v>
      </c>
      <c r="S117" s="15" t="n">
        <f aca="false">J117-R117</f>
        <v>-0.41375</v>
      </c>
      <c r="T117" s="15" t="n">
        <f aca="false">MIN(153.6,(T116+S117))</f>
        <v>153.18625</v>
      </c>
      <c r="U117" s="36" t="s">
        <v>41</v>
      </c>
      <c r="V117" s="16" t="n">
        <v>416.7</v>
      </c>
      <c r="W117" s="8" t="n">
        <f aca="false">V117/D117</f>
        <v>66.1428571428571</v>
      </c>
      <c r="X117" s="8" t="n">
        <f aca="false">X116+V117</f>
        <v>59201.2</v>
      </c>
      <c r="Y117" s="8" t="n">
        <f aca="false">Y116+V117</f>
        <v>2817.9</v>
      </c>
      <c r="AA117" s="20" t="n">
        <v>7.96742162992889</v>
      </c>
    </row>
    <row r="118" s="8" customFormat="true" ht="15" hidden="false" customHeight="false" outlineLevel="0" collapsed="false">
      <c r="A118" s="35"/>
      <c r="B118" s="10"/>
      <c r="C118" s="11" t="n">
        <v>41634</v>
      </c>
      <c r="D118" s="8" t="n">
        <v>5.1</v>
      </c>
      <c r="E118" s="18" t="n">
        <v>4.2</v>
      </c>
      <c r="F118" s="8" t="n">
        <v>7.2</v>
      </c>
      <c r="G118" s="8" t="n">
        <f aca="false">G117+D118</f>
        <v>1147.7</v>
      </c>
      <c r="H118" s="8" t="n">
        <f aca="false">H117+D118</f>
        <v>90.8</v>
      </c>
      <c r="I118" s="8" t="n">
        <v>55</v>
      </c>
      <c r="J118" s="8" t="n">
        <v>0.5</v>
      </c>
      <c r="K118" s="8" t="n">
        <f aca="false">K117+J118</f>
        <v>341.8</v>
      </c>
      <c r="L118" s="8" t="n">
        <v>0.6</v>
      </c>
      <c r="M118" s="8" t="n">
        <f aca="false">M117+L118</f>
        <v>149.8</v>
      </c>
      <c r="N118" s="14" t="n">
        <f aca="false">J118-L118</f>
        <v>-0.1</v>
      </c>
      <c r="O118" s="8" t="n">
        <v>153.1</v>
      </c>
      <c r="P118" s="8" t="n">
        <v>113</v>
      </c>
      <c r="Q118" s="17" t="n">
        <f aca="false">1+((P118-101)/108)*(1.15-1)</f>
        <v>1.01666666666667</v>
      </c>
      <c r="R118" s="15" t="n">
        <f aca="false">Q118*L118</f>
        <v>0.61</v>
      </c>
      <c r="S118" s="15" t="n">
        <f aca="false">J118-R118</f>
        <v>-0.11</v>
      </c>
      <c r="T118" s="15" t="n">
        <f aca="false">MIN(153.6,(T117+S118))</f>
        <v>153.07625</v>
      </c>
      <c r="U118" s="17" t="n">
        <f aca="false">AVERAGE(T107:T214)</f>
        <v>145.697937837817</v>
      </c>
      <c r="V118" s="16" t="n">
        <v>268</v>
      </c>
      <c r="W118" s="8" t="n">
        <f aca="false">V118/D118</f>
        <v>52.5490196078431</v>
      </c>
      <c r="X118" s="8" t="n">
        <f aca="false">X117+V118</f>
        <v>59469.2</v>
      </c>
      <c r="Y118" s="8" t="n">
        <f aca="false">Y117+V118</f>
        <v>3085.9</v>
      </c>
      <c r="AA118" s="20" t="n">
        <v>7.97267273521279</v>
      </c>
    </row>
    <row r="119" s="8" customFormat="true" ht="15" hidden="false" customHeight="false" outlineLevel="0" collapsed="false">
      <c r="A119" s="35"/>
      <c r="B119" s="10"/>
      <c r="C119" s="11" t="n">
        <v>41635</v>
      </c>
      <c r="D119" s="8" t="n">
        <v>8</v>
      </c>
      <c r="E119" s="18" t="n">
        <v>4.4</v>
      </c>
      <c r="F119" s="8" t="n">
        <v>9.8</v>
      </c>
      <c r="G119" s="8" t="n">
        <f aca="false">G118+D119</f>
        <v>1155.7</v>
      </c>
      <c r="H119" s="8" t="n">
        <f aca="false">H118+D119</f>
        <v>98.8</v>
      </c>
      <c r="I119" s="36" t="s">
        <v>42</v>
      </c>
      <c r="J119" s="8" t="n">
        <v>15</v>
      </c>
      <c r="K119" s="8" t="n">
        <f aca="false">K118+J119</f>
        <v>356.8</v>
      </c>
      <c r="L119" s="8" t="n">
        <v>0.3</v>
      </c>
      <c r="M119" s="8" t="n">
        <f aca="false">M118+L119</f>
        <v>150.1</v>
      </c>
      <c r="N119" s="8" t="n">
        <f aca="false">J119-L119</f>
        <v>14.7</v>
      </c>
      <c r="O119" s="8" t="n">
        <v>153.6</v>
      </c>
      <c r="P119" s="8" t="n">
        <v>114</v>
      </c>
      <c r="Q119" s="17" t="n">
        <f aca="false">1+((P119-101)/108)*(1.15-1)</f>
        <v>1.01805555555556</v>
      </c>
      <c r="R119" s="15" t="n">
        <f aca="false">Q119*L119</f>
        <v>0.305416666666667</v>
      </c>
      <c r="S119" s="15" t="n">
        <f aca="false">J119-R119</f>
        <v>14.6945833333333</v>
      </c>
      <c r="T119" s="15" t="n">
        <f aca="false">MIN(153.6,(T118+S119))</f>
        <v>153.6</v>
      </c>
      <c r="V119" s="16" t="n">
        <v>81.3</v>
      </c>
      <c r="W119" s="8" t="n">
        <f aca="false">V119/D119</f>
        <v>10.1625</v>
      </c>
      <c r="X119" s="8" t="n">
        <f aca="false">X118+V119</f>
        <v>59550.5</v>
      </c>
      <c r="Y119" s="8" t="n">
        <f aca="false">Y118+V119</f>
        <v>3167.2</v>
      </c>
      <c r="AA119" s="20" t="n">
        <v>7.97965614506847</v>
      </c>
    </row>
    <row r="120" s="8" customFormat="true" ht="15" hidden="false" customHeight="false" outlineLevel="0" collapsed="false">
      <c r="A120" s="35"/>
      <c r="B120" s="10"/>
      <c r="C120" s="11" t="n">
        <v>41636</v>
      </c>
      <c r="D120" s="8" t="n">
        <v>6.9</v>
      </c>
      <c r="E120" s="8" t="n">
        <v>6.1</v>
      </c>
      <c r="F120" s="8" t="n">
        <v>8.8</v>
      </c>
      <c r="G120" s="8" t="n">
        <f aca="false">G119+D120</f>
        <v>1162.6</v>
      </c>
      <c r="H120" s="8" t="n">
        <f aca="false">H119+D120</f>
        <v>105.7</v>
      </c>
      <c r="I120" s="8" t="n">
        <v>778.9</v>
      </c>
      <c r="J120" s="8" t="n">
        <v>0.1</v>
      </c>
      <c r="K120" s="8" t="n">
        <f aca="false">K119+J120</f>
        <v>356.9</v>
      </c>
      <c r="L120" s="8" t="n">
        <v>0.7</v>
      </c>
      <c r="M120" s="8" t="n">
        <f aca="false">M119+L120</f>
        <v>150.8</v>
      </c>
      <c r="N120" s="14" t="n">
        <f aca="false">J120-L120</f>
        <v>-0.6</v>
      </c>
      <c r="O120" s="8" t="n">
        <v>153</v>
      </c>
      <c r="P120" s="8" t="n">
        <v>115</v>
      </c>
      <c r="Q120" s="17" t="n">
        <f aca="false">1+((P120-101)/108)*(1.15-1)</f>
        <v>1.01944444444444</v>
      </c>
      <c r="R120" s="15" t="n">
        <f aca="false">Q120*L120</f>
        <v>0.713611111111111</v>
      </c>
      <c r="S120" s="15" t="n">
        <f aca="false">J120-R120</f>
        <v>-0.613611111111111</v>
      </c>
      <c r="T120" s="15" t="n">
        <f aca="false">MIN(153.6,(T119+S120))</f>
        <v>152.986388888889</v>
      </c>
      <c r="U120" s="8" t="n">
        <f aca="false">(U118*100)/153.6</f>
        <v>94.8554282798289</v>
      </c>
      <c r="V120" s="16" t="n">
        <v>266.7</v>
      </c>
      <c r="W120" s="8" t="n">
        <f aca="false">V120/D120</f>
        <v>38.6521739130435</v>
      </c>
      <c r="X120" s="8" t="n">
        <f aca="false">X119+V120</f>
        <v>59817.2</v>
      </c>
      <c r="Y120" s="8" t="n">
        <f aca="false">Y119+V120</f>
        <v>3433.9</v>
      </c>
      <c r="AA120" s="20" t="n">
        <v>7.98836361295121</v>
      </c>
    </row>
    <row r="121" s="8" customFormat="true" ht="15" hidden="false" customHeight="false" outlineLevel="0" collapsed="false">
      <c r="A121" s="35"/>
      <c r="B121" s="19"/>
      <c r="C121" s="11" t="n">
        <v>41637</v>
      </c>
      <c r="D121" s="18" t="n">
        <v>4.9</v>
      </c>
      <c r="E121" s="18" t="n">
        <v>3.6</v>
      </c>
      <c r="F121" s="8" t="n">
        <v>8.3</v>
      </c>
      <c r="G121" s="8" t="n">
        <f aca="false">G120+D121</f>
        <v>1167.5</v>
      </c>
      <c r="H121" s="8" t="n">
        <f aca="false">H120+D121</f>
        <v>110.6</v>
      </c>
      <c r="J121" s="8" t="n">
        <v>0</v>
      </c>
      <c r="K121" s="8" t="n">
        <f aca="false">K120+J121</f>
        <v>356.9</v>
      </c>
      <c r="L121" s="8" t="n">
        <v>0.9</v>
      </c>
      <c r="M121" s="8" t="n">
        <f aca="false">M120+L121</f>
        <v>151.7</v>
      </c>
      <c r="N121" s="14" t="n">
        <f aca="false">J121-L121</f>
        <v>-0.9</v>
      </c>
      <c r="O121" s="8" t="n">
        <v>152.1</v>
      </c>
      <c r="P121" s="8" t="n">
        <v>116</v>
      </c>
      <c r="Q121" s="17" t="n">
        <f aca="false">1+((P121-101)/108)*(1.15-1)</f>
        <v>1.02083333333333</v>
      </c>
      <c r="R121" s="15" t="n">
        <f aca="false">Q121*L121</f>
        <v>0.91875</v>
      </c>
      <c r="S121" s="15" t="n">
        <f aca="false">J121-R121</f>
        <v>-0.91875</v>
      </c>
      <c r="T121" s="15" t="n">
        <f aca="false">MIN(153.6,(T120+S121))</f>
        <v>152.067638888889</v>
      </c>
      <c r="V121" s="16" t="n">
        <v>553.8</v>
      </c>
      <c r="W121" s="8" t="n">
        <f aca="false">V121/D121</f>
        <v>113.020408163265</v>
      </c>
      <c r="X121" s="8" t="n">
        <f aca="false">X120+V121</f>
        <v>60371</v>
      </c>
      <c r="Y121" s="8" t="n">
        <f aca="false">Y120+V121</f>
        <v>3987.7</v>
      </c>
      <c r="AA121" s="20" t="n">
        <v>7.99878474905749</v>
      </c>
    </row>
    <row r="122" s="8" customFormat="true" ht="15" hidden="false" customHeight="false" outlineLevel="0" collapsed="false">
      <c r="A122" s="35"/>
      <c r="B122" s="10"/>
      <c r="C122" s="11" t="n">
        <v>41638</v>
      </c>
      <c r="D122" s="8" t="n">
        <v>5.8</v>
      </c>
      <c r="E122" s="18" t="n">
        <v>3</v>
      </c>
      <c r="F122" s="8" t="n">
        <v>7.3</v>
      </c>
      <c r="G122" s="8" t="n">
        <f aca="false">G121+D122</f>
        <v>1173.3</v>
      </c>
      <c r="H122" s="8" t="n">
        <f aca="false">H121+D122</f>
        <v>116.4</v>
      </c>
      <c r="J122" s="8" t="n">
        <v>1.5</v>
      </c>
      <c r="K122" s="8" t="n">
        <f aca="false">K121+J122</f>
        <v>358.4</v>
      </c>
      <c r="L122" s="8" t="n">
        <v>0.6</v>
      </c>
      <c r="M122" s="8" t="n">
        <f aca="false">M121+L122</f>
        <v>152.3</v>
      </c>
      <c r="N122" s="8" t="n">
        <f aca="false">J122-L122</f>
        <v>0.9</v>
      </c>
      <c r="O122" s="8" t="n">
        <v>153</v>
      </c>
      <c r="P122" s="8" t="n">
        <v>117</v>
      </c>
      <c r="Q122" s="17" t="n">
        <f aca="false">1+((P122-101)/108)*(1.15-1)</f>
        <v>1.02222222222222</v>
      </c>
      <c r="R122" s="15" t="n">
        <f aca="false">Q122*L122</f>
        <v>0.613333333333333</v>
      </c>
      <c r="S122" s="15" t="n">
        <f aca="false">J122-R122</f>
        <v>0.886666666666667</v>
      </c>
      <c r="T122" s="15" t="n">
        <f aca="false">MIN(153.6,(T121+S122))</f>
        <v>152.954305555556</v>
      </c>
      <c r="V122" s="16" t="n">
        <v>118.1</v>
      </c>
      <c r="W122" s="8" t="n">
        <f aca="false">V122/D122</f>
        <v>20.3620689655172</v>
      </c>
      <c r="X122" s="8" t="n">
        <f aca="false">X121+V122</f>
        <v>60489.1</v>
      </c>
      <c r="Y122" s="8" t="n">
        <f aca="false">Y121+V122</f>
        <v>4105.8</v>
      </c>
      <c r="AA122" s="20" t="n">
        <v>8.01090706864678</v>
      </c>
    </row>
    <row r="123" s="8" customFormat="true" ht="15" hidden="false" customHeight="false" outlineLevel="0" collapsed="false">
      <c r="A123" s="35"/>
      <c r="B123" s="10"/>
      <c r="C123" s="11" t="n">
        <v>41639</v>
      </c>
      <c r="D123" s="8" t="n">
        <v>6.7</v>
      </c>
      <c r="E123" s="8" t="n">
        <v>6.1</v>
      </c>
      <c r="F123" s="8" t="n">
        <v>7.2</v>
      </c>
      <c r="G123" s="8" t="n">
        <f aca="false">G122+D123</f>
        <v>1180</v>
      </c>
      <c r="H123" s="8" t="n">
        <f aca="false">H122+D123</f>
        <v>123.1</v>
      </c>
      <c r="J123" s="8" t="n">
        <v>4.3</v>
      </c>
      <c r="K123" s="8" t="n">
        <f aca="false">K122+J123</f>
        <v>362.7</v>
      </c>
      <c r="L123" s="8" t="n">
        <v>0.9</v>
      </c>
      <c r="M123" s="8" t="n">
        <f aca="false">M122+L123</f>
        <v>153.2</v>
      </c>
      <c r="N123" s="8" t="n">
        <f aca="false">J123-L123</f>
        <v>3.4</v>
      </c>
      <c r="O123" s="8" t="n">
        <v>153.6</v>
      </c>
      <c r="P123" s="8" t="n">
        <v>118</v>
      </c>
      <c r="Q123" s="17" t="n">
        <f aca="false">1+((P123-101)/108)*(1.15-1)</f>
        <v>1.02361111111111</v>
      </c>
      <c r="R123" s="15" t="n">
        <f aca="false">Q123*L123</f>
        <v>0.92125</v>
      </c>
      <c r="S123" s="15" t="n">
        <f aca="false">J123-R123</f>
        <v>3.37875</v>
      </c>
      <c r="T123" s="15" t="n">
        <f aca="false">MIN(153.6,(T122+S123))</f>
        <v>153.6</v>
      </c>
      <c r="V123" s="16" t="n">
        <v>166.1</v>
      </c>
      <c r="W123" s="8" t="n">
        <f aca="false">V123/D123</f>
        <v>24.7910447761194</v>
      </c>
      <c r="X123" s="8" t="n">
        <f aca="false">X122+V123</f>
        <v>60655.2</v>
      </c>
      <c r="Y123" s="8" t="n">
        <f aca="false">Y122+V123</f>
        <v>4271.9</v>
      </c>
      <c r="AA123" s="20" t="n">
        <v>8.02471604957635</v>
      </c>
    </row>
    <row r="124" s="8" customFormat="true" ht="15" hidden="false" customHeight="false" outlineLevel="0" collapsed="false">
      <c r="A124" s="35"/>
      <c r="B124" s="10"/>
      <c r="C124" s="11" t="n">
        <v>41640</v>
      </c>
      <c r="D124" s="8" t="n">
        <v>8</v>
      </c>
      <c r="E124" s="8" t="n">
        <v>5.3</v>
      </c>
      <c r="F124" s="8" t="n">
        <v>10.2</v>
      </c>
      <c r="G124" s="8" t="n">
        <f aca="false">G123+D124</f>
        <v>1188</v>
      </c>
      <c r="H124" s="8" t="n">
        <f aca="false">H123+D124</f>
        <v>131.1</v>
      </c>
      <c r="J124" s="8" t="n">
        <v>5.9</v>
      </c>
      <c r="K124" s="8" t="n">
        <f aca="false">K123+J124</f>
        <v>368.6</v>
      </c>
      <c r="L124" s="8" t="n">
        <v>1</v>
      </c>
      <c r="M124" s="8" t="n">
        <f aca="false">M123+L124</f>
        <v>154.2</v>
      </c>
      <c r="N124" s="8" t="n">
        <f aca="false">J124-L124</f>
        <v>4.9</v>
      </c>
      <c r="O124" s="8" t="n">
        <v>153.6</v>
      </c>
      <c r="P124" s="8" t="n">
        <v>119</v>
      </c>
      <c r="Q124" s="17" t="n">
        <f aca="false">1+((P124-101)/108)*(1.15-1)</f>
        <v>1.025</v>
      </c>
      <c r="R124" s="15" t="n">
        <f aca="false">Q124*L124</f>
        <v>1.025</v>
      </c>
      <c r="S124" s="15" t="n">
        <f aca="false">J124-R124</f>
        <v>4.875</v>
      </c>
      <c r="T124" s="15" t="n">
        <f aca="false">MIN(153.6,(T123+S124))</f>
        <v>153.6</v>
      </c>
      <c r="V124" s="16" t="n">
        <v>153.8</v>
      </c>
      <c r="W124" s="8" t="n">
        <f aca="false">V124/D124</f>
        <v>19.225</v>
      </c>
      <c r="X124" s="8" t="n">
        <f aca="false">X123+V124</f>
        <v>60809</v>
      </c>
      <c r="Y124" s="8" t="n">
        <f aca="false">Y123+V124</f>
        <v>4425.7</v>
      </c>
      <c r="AA124" s="20" t="n">
        <v>8.04518664960542</v>
      </c>
    </row>
    <row r="125" s="8" customFormat="true" ht="15" hidden="false" customHeight="false" outlineLevel="0" collapsed="false">
      <c r="A125" s="35"/>
      <c r="B125" s="10"/>
      <c r="C125" s="11" t="n">
        <v>41641</v>
      </c>
      <c r="D125" s="8" t="n">
        <v>9.1</v>
      </c>
      <c r="E125" s="8" t="n">
        <v>7.7</v>
      </c>
      <c r="F125" s="8" t="n">
        <v>10</v>
      </c>
      <c r="G125" s="8" t="n">
        <f aca="false">G124+D125</f>
        <v>1197.1</v>
      </c>
      <c r="H125" s="8" t="n">
        <f aca="false">H124+D125</f>
        <v>140.2</v>
      </c>
      <c r="J125" s="8" t="n">
        <v>2.5</v>
      </c>
      <c r="K125" s="8" t="n">
        <f aca="false">K124+J125</f>
        <v>371.1</v>
      </c>
      <c r="L125" s="8" t="n">
        <v>1.1</v>
      </c>
      <c r="M125" s="8" t="n">
        <f aca="false">M124+L125</f>
        <v>155.3</v>
      </c>
      <c r="N125" s="8" t="n">
        <f aca="false">J125-L125</f>
        <v>1.4</v>
      </c>
      <c r="O125" s="8" t="n">
        <v>153.6</v>
      </c>
      <c r="P125" s="8" t="n">
        <v>120</v>
      </c>
      <c r="Q125" s="17" t="n">
        <f aca="false">1+((P125-101)/108)*(1.15-1)</f>
        <v>1.02638888888889</v>
      </c>
      <c r="R125" s="15" t="n">
        <f aca="false">Q125*L125</f>
        <v>1.12902777777778</v>
      </c>
      <c r="S125" s="15" t="n">
        <f aca="false">J125-R125</f>
        <v>1.37097222222222</v>
      </c>
      <c r="T125" s="15" t="n">
        <f aca="false">MIN(153.6,(T124+S125))</f>
        <v>153.6</v>
      </c>
      <c r="V125" s="16" t="n">
        <v>301.9</v>
      </c>
      <c r="W125" s="8" t="n">
        <f aca="false">V125/D125</f>
        <v>33.1758241758242</v>
      </c>
      <c r="X125" s="8" t="n">
        <f aca="false">X124+V125</f>
        <v>61110.9</v>
      </c>
      <c r="Y125" s="8" t="n">
        <f aca="false">Y124+V125</f>
        <v>4727.6</v>
      </c>
      <c r="AA125" s="20" t="n">
        <v>8.06281165656341</v>
      </c>
    </row>
    <row r="126" s="8" customFormat="true" ht="15" hidden="false" customHeight="false" outlineLevel="0" collapsed="false">
      <c r="A126" s="35"/>
      <c r="B126" s="10"/>
      <c r="C126" s="11" t="n">
        <v>41642</v>
      </c>
      <c r="D126" s="8" t="n">
        <v>9.8</v>
      </c>
      <c r="E126" s="8" t="n">
        <v>7.8</v>
      </c>
      <c r="F126" s="8" t="n">
        <v>12.6</v>
      </c>
      <c r="G126" s="8" t="n">
        <f aca="false">G125+D126</f>
        <v>1206.9</v>
      </c>
      <c r="H126" s="8" t="n">
        <f aca="false">H125+D126</f>
        <v>150</v>
      </c>
      <c r="J126" s="8" t="n">
        <v>5.1</v>
      </c>
      <c r="K126" s="8" t="n">
        <f aca="false">K125+J126</f>
        <v>376.2</v>
      </c>
      <c r="L126" s="8" t="n">
        <v>1.6</v>
      </c>
      <c r="M126" s="8" t="n">
        <f aca="false">M125+L126</f>
        <v>156.9</v>
      </c>
      <c r="N126" s="8" t="n">
        <f aca="false">J126-L126</f>
        <v>3.5</v>
      </c>
      <c r="O126" s="8" t="n">
        <v>153.6</v>
      </c>
      <c r="P126" s="8" t="n">
        <v>121</v>
      </c>
      <c r="Q126" s="17" t="n">
        <f aca="false">1+((P126-101)/108)*(1.15-1)</f>
        <v>1.02777777777778</v>
      </c>
      <c r="R126" s="15" t="n">
        <f aca="false">Q126*L126</f>
        <v>1.64444444444444</v>
      </c>
      <c r="S126" s="15" t="n">
        <f aca="false">J126-R126</f>
        <v>3.45555555555556</v>
      </c>
      <c r="T126" s="15" t="n">
        <f aca="false">MIN(153.6,(T125+S126))</f>
        <v>153.6</v>
      </c>
      <c r="V126" s="16" t="n">
        <v>138</v>
      </c>
      <c r="W126" s="8" t="n">
        <f aca="false">V126/D126</f>
        <v>14.0816326530612</v>
      </c>
      <c r="X126" s="8" t="n">
        <f aca="false">X125+V126</f>
        <v>61248.9</v>
      </c>
      <c r="Y126" s="8" t="n">
        <f aca="false">Y125+V126</f>
        <v>4865.6</v>
      </c>
      <c r="AA126" s="20" t="n">
        <v>8.0820618009672</v>
      </c>
    </row>
    <row r="127" s="8" customFormat="true" ht="15" hidden="false" customHeight="false" outlineLevel="0" collapsed="false">
      <c r="A127" s="35"/>
      <c r="B127" s="10"/>
      <c r="C127" s="11" t="n">
        <v>41643</v>
      </c>
      <c r="D127" s="8" t="n">
        <v>8.2</v>
      </c>
      <c r="E127" s="8" t="n">
        <v>7.2</v>
      </c>
      <c r="F127" s="8" t="n">
        <v>9.5</v>
      </c>
      <c r="G127" s="8" t="n">
        <f aca="false">G126+D127</f>
        <v>1215.1</v>
      </c>
      <c r="H127" s="8" t="n">
        <f aca="false">H126+D127</f>
        <v>158.2</v>
      </c>
      <c r="J127" s="8" t="n">
        <v>2.4</v>
      </c>
      <c r="K127" s="8" t="n">
        <f aca="false">K126+J127</f>
        <v>378.6</v>
      </c>
      <c r="L127" s="8" t="n">
        <v>1.1</v>
      </c>
      <c r="M127" s="8" t="n">
        <f aca="false">M126+L127</f>
        <v>158</v>
      </c>
      <c r="N127" s="8" t="n">
        <f aca="false">J127-L127</f>
        <v>1.3</v>
      </c>
      <c r="O127" s="8" t="n">
        <v>153.6</v>
      </c>
      <c r="P127" s="8" t="n">
        <v>122</v>
      </c>
      <c r="Q127" s="17" t="n">
        <f aca="false">1+((P127-101)/108)*(1.15-1)</f>
        <v>1.02916666666667</v>
      </c>
      <c r="R127" s="15" t="n">
        <f aca="false">Q127*L127</f>
        <v>1.13208333333333</v>
      </c>
      <c r="S127" s="15" t="n">
        <f aca="false">J127-R127</f>
        <v>1.26791666666667</v>
      </c>
      <c r="T127" s="15" t="n">
        <f aca="false">MIN(153.6,(T126+S127))</f>
        <v>153.6</v>
      </c>
      <c r="V127" s="16" t="n">
        <v>163</v>
      </c>
      <c r="W127" s="8" t="n">
        <f aca="false">V127/D127</f>
        <v>19.8780487804878</v>
      </c>
      <c r="X127" s="8" t="n">
        <f aca="false">X126+V127</f>
        <v>61411.9</v>
      </c>
      <c r="Y127" s="8" t="n">
        <f aca="false">Y126+V127</f>
        <v>5028.6</v>
      </c>
      <c r="AA127" s="20" t="n">
        <v>8.10291464734205</v>
      </c>
    </row>
    <row r="128" s="38" customFormat="true" ht="15" hidden="false" customHeight="false" outlineLevel="0" collapsed="false">
      <c r="A128" s="35"/>
      <c r="B128" s="10"/>
      <c r="C128" s="37" t="n">
        <v>41644</v>
      </c>
      <c r="D128" s="8" t="n">
        <v>5.8</v>
      </c>
      <c r="E128" s="8" t="n">
        <v>2.5</v>
      </c>
      <c r="F128" s="8" t="n">
        <v>12.4</v>
      </c>
      <c r="G128" s="8" t="n">
        <f aca="false">G127+D128</f>
        <v>1220.9</v>
      </c>
      <c r="H128" s="8" t="n">
        <f aca="false">H127+D128</f>
        <v>164</v>
      </c>
      <c r="I128" s="8"/>
      <c r="J128" s="8" t="n">
        <v>0.2</v>
      </c>
      <c r="K128" s="8" t="n">
        <f aca="false">K127+J128</f>
        <v>378.8</v>
      </c>
      <c r="L128" s="8" t="n">
        <v>1.2</v>
      </c>
      <c r="M128" s="8" t="n">
        <f aca="false">M127+L128</f>
        <v>159.2</v>
      </c>
      <c r="N128" s="8" t="n">
        <f aca="false">J128-L128</f>
        <v>-1</v>
      </c>
      <c r="O128" s="8" t="n">
        <v>153.6</v>
      </c>
      <c r="P128" s="8" t="n">
        <v>123</v>
      </c>
      <c r="Q128" s="17" t="n">
        <f aca="false">1+((P128-101)/108)*(1.15-1)</f>
        <v>1.03055555555556</v>
      </c>
      <c r="R128" s="15" t="n">
        <f aca="false">Q128*L128</f>
        <v>1.23666666666667</v>
      </c>
      <c r="S128" s="15" t="n">
        <f aca="false">J128-R128</f>
        <v>-1.03666666666667</v>
      </c>
      <c r="T128" s="15" t="n">
        <f aca="false">MIN(153.6,(T127+S128))</f>
        <v>152.563333333333</v>
      </c>
      <c r="U128" s="8"/>
      <c r="V128" s="16" t="n">
        <v>200.5</v>
      </c>
      <c r="W128" s="8" t="n">
        <f aca="false">V128/D128</f>
        <v>34.5689655172414</v>
      </c>
      <c r="X128" s="8" t="n">
        <f aca="false">X127+V128</f>
        <v>61612.4</v>
      </c>
      <c r="Y128" s="8" t="n">
        <f aca="false">Y127+V128</f>
        <v>5229.1</v>
      </c>
      <c r="Z128" s="8"/>
      <c r="AA128" s="20" t="n">
        <v>8.12534615634364</v>
      </c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  <c r="IZ128" s="8"/>
      <c r="JA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L128" s="8"/>
      <c r="JM128" s="8"/>
      <c r="JN128" s="8"/>
      <c r="JO128" s="8"/>
      <c r="JP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A128" s="8"/>
      <c r="KB128" s="8"/>
      <c r="KC128" s="8"/>
      <c r="KD128" s="8"/>
      <c r="KE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  <c r="KP128" s="8"/>
      <c r="KQ128" s="8"/>
      <c r="KR128" s="8"/>
      <c r="KS128" s="8"/>
      <c r="KT128" s="8"/>
      <c r="KU128" s="8"/>
      <c r="KV128" s="8"/>
      <c r="KW128" s="8"/>
      <c r="KX128" s="8"/>
      <c r="KY128" s="8"/>
      <c r="KZ128" s="8"/>
      <c r="LA128" s="8"/>
      <c r="LB128" s="8"/>
      <c r="LC128" s="8"/>
      <c r="LD128" s="8"/>
      <c r="LE128" s="8"/>
      <c r="LF128" s="8"/>
      <c r="LG128" s="8"/>
      <c r="LH128" s="8"/>
      <c r="LI128" s="8"/>
      <c r="LJ128" s="8"/>
      <c r="LK128" s="8"/>
      <c r="LL128" s="8"/>
      <c r="LM128" s="8"/>
      <c r="LN128" s="8"/>
      <c r="LO128" s="8"/>
      <c r="LP128" s="8"/>
      <c r="LQ128" s="8"/>
      <c r="LR128" s="8"/>
      <c r="LS128" s="8"/>
      <c r="LT128" s="8"/>
      <c r="LU128" s="8"/>
      <c r="LV128" s="8"/>
      <c r="LW128" s="8"/>
      <c r="LX128" s="8"/>
      <c r="LY128" s="8"/>
      <c r="LZ128" s="8"/>
      <c r="MA128" s="8"/>
      <c r="MB128" s="8"/>
      <c r="MC128" s="8"/>
      <c r="MD128" s="8"/>
      <c r="ME128" s="8"/>
      <c r="MF128" s="8"/>
      <c r="MG128" s="8"/>
      <c r="MH128" s="8"/>
      <c r="MI128" s="8"/>
      <c r="MJ128" s="8"/>
      <c r="MK128" s="8"/>
      <c r="ML128" s="8"/>
      <c r="MM128" s="8"/>
      <c r="MN128" s="8"/>
      <c r="MO128" s="8"/>
      <c r="MP128" s="8"/>
      <c r="MQ128" s="8"/>
      <c r="MR128" s="8"/>
      <c r="MS128" s="8"/>
      <c r="MT128" s="8"/>
      <c r="MU128" s="8"/>
      <c r="MV128" s="8"/>
      <c r="MW128" s="8"/>
      <c r="MX128" s="8"/>
      <c r="MY128" s="8"/>
      <c r="MZ128" s="8"/>
      <c r="NA128" s="8"/>
      <c r="NB128" s="8"/>
      <c r="NC128" s="8"/>
      <c r="ND128" s="8"/>
      <c r="NE128" s="8"/>
      <c r="NF128" s="8"/>
      <c r="NG128" s="8"/>
      <c r="NH128" s="8"/>
      <c r="NI128" s="8"/>
      <c r="NJ128" s="8"/>
      <c r="NK128" s="8"/>
      <c r="NL128" s="8"/>
      <c r="NM128" s="8"/>
      <c r="NN128" s="8"/>
      <c r="NO128" s="8"/>
      <c r="NP128" s="8"/>
      <c r="NQ128" s="8"/>
      <c r="NR128" s="8"/>
      <c r="NS128" s="8"/>
      <c r="NT128" s="8"/>
      <c r="NU128" s="8"/>
      <c r="NV128" s="8"/>
      <c r="NW128" s="8"/>
      <c r="NX128" s="8"/>
      <c r="NY128" s="8"/>
      <c r="NZ128" s="8"/>
      <c r="OA128" s="8"/>
      <c r="OB128" s="8"/>
      <c r="OC128" s="8"/>
      <c r="OD128" s="8"/>
      <c r="OE128" s="8"/>
      <c r="OF128" s="8"/>
      <c r="OG128" s="8"/>
      <c r="OH128" s="8"/>
      <c r="OI128" s="8"/>
      <c r="OJ128" s="8"/>
      <c r="OK128" s="8"/>
      <c r="OL128" s="8"/>
      <c r="OM128" s="8"/>
      <c r="ON128" s="8"/>
      <c r="OO128" s="8"/>
      <c r="OP128" s="8"/>
      <c r="OQ128" s="8"/>
      <c r="OR128" s="8"/>
      <c r="OS128" s="8"/>
      <c r="OT128" s="8"/>
      <c r="OU128" s="8"/>
      <c r="OV128" s="8"/>
      <c r="OW128" s="8"/>
      <c r="OX128" s="8"/>
      <c r="OY128" s="8"/>
      <c r="OZ128" s="8"/>
      <c r="PA128" s="8"/>
      <c r="PB128" s="8"/>
      <c r="PC128" s="8"/>
      <c r="PD128" s="8"/>
      <c r="PE128" s="8"/>
      <c r="PF128" s="8"/>
      <c r="PG128" s="8"/>
      <c r="PH128" s="8"/>
      <c r="PI128" s="8"/>
      <c r="PJ128" s="8"/>
      <c r="PK128" s="8"/>
      <c r="PL128" s="8"/>
      <c r="PM128" s="8"/>
      <c r="PN128" s="8"/>
      <c r="PO128" s="8"/>
      <c r="PP128" s="8"/>
      <c r="PQ128" s="8"/>
      <c r="PR128" s="8"/>
      <c r="PS128" s="8"/>
      <c r="PT128" s="8"/>
      <c r="PU128" s="8"/>
      <c r="PV128" s="8"/>
      <c r="PW128" s="8"/>
      <c r="PX128" s="8"/>
      <c r="PY128" s="8"/>
      <c r="PZ128" s="8"/>
      <c r="QA128" s="8"/>
      <c r="QB128" s="8"/>
      <c r="QC128" s="8"/>
      <c r="QD128" s="8"/>
      <c r="QE128" s="8"/>
      <c r="QF128" s="8"/>
      <c r="QG128" s="8"/>
      <c r="QH128" s="8"/>
      <c r="QI128" s="8"/>
      <c r="QJ128" s="8"/>
      <c r="QK128" s="8"/>
      <c r="QL128" s="8"/>
      <c r="QM128" s="8"/>
    </row>
    <row r="129" s="8" customFormat="true" ht="15" hidden="false" customHeight="false" outlineLevel="0" collapsed="false">
      <c r="A129" s="35"/>
      <c r="B129" s="10"/>
      <c r="C129" s="11" t="n">
        <v>41645</v>
      </c>
      <c r="D129" s="8" t="n">
        <v>11.8</v>
      </c>
      <c r="E129" s="8" t="n">
        <v>7.4</v>
      </c>
      <c r="F129" s="8" t="n">
        <v>13.6</v>
      </c>
      <c r="G129" s="8" t="n">
        <f aca="false">G128+D129</f>
        <v>1232.7</v>
      </c>
      <c r="H129" s="8" t="n">
        <f aca="false">H128+D129</f>
        <v>175.8</v>
      </c>
      <c r="J129" s="8" t="n">
        <v>3.6</v>
      </c>
      <c r="K129" s="8" t="n">
        <f aca="false">K128+J129</f>
        <v>382.4</v>
      </c>
      <c r="L129" s="8" t="n">
        <v>1</v>
      </c>
      <c r="M129" s="8" t="n">
        <f aca="false">M128+L129</f>
        <v>160.2</v>
      </c>
      <c r="N129" s="8" t="n">
        <f aca="false">J129-L129</f>
        <v>2.6</v>
      </c>
      <c r="O129" s="8" t="n">
        <v>153.6</v>
      </c>
      <c r="P129" s="8" t="n">
        <v>124</v>
      </c>
      <c r="Q129" s="17" t="n">
        <f aca="false">1+((P129-101)/108)*(1.15-1)</f>
        <v>1.03194444444444</v>
      </c>
      <c r="R129" s="15" t="n">
        <f aca="false">Q129*L129</f>
        <v>1.03194444444444</v>
      </c>
      <c r="S129" s="15" t="n">
        <f aca="false">J129-R129</f>
        <v>2.56805555555556</v>
      </c>
      <c r="T129" s="15" t="n">
        <f aca="false">MIN(153.6,(T128+S129))</f>
        <v>153.6</v>
      </c>
      <c r="V129" s="16" t="n">
        <v>200.8</v>
      </c>
      <c r="W129" s="8" t="n">
        <f aca="false">V129/D129</f>
        <v>17.0169491525424</v>
      </c>
      <c r="X129" s="8" t="n">
        <f aca="false">X128+V129</f>
        <v>61813.2</v>
      </c>
      <c r="Y129" s="8" t="n">
        <f aca="false">Y128+V129</f>
        <v>5429.9</v>
      </c>
      <c r="AA129" s="20" t="n">
        <v>8.14933078511595</v>
      </c>
    </row>
    <row r="130" s="8" customFormat="true" ht="15" hidden="false" customHeight="false" outlineLevel="0" collapsed="false">
      <c r="A130" s="35"/>
      <c r="B130" s="10"/>
      <c r="C130" s="11" t="n">
        <v>41646</v>
      </c>
      <c r="D130" s="8" t="n">
        <v>10.5</v>
      </c>
      <c r="E130" s="8" t="n">
        <v>9.2</v>
      </c>
      <c r="F130" s="8" t="n">
        <v>12</v>
      </c>
      <c r="G130" s="8" t="n">
        <f aca="false">G129+D130</f>
        <v>1243.2</v>
      </c>
      <c r="H130" s="8" t="n">
        <f aca="false">H129+D130</f>
        <v>186.3</v>
      </c>
      <c r="J130" s="8" t="n">
        <v>1.5</v>
      </c>
      <c r="K130" s="8" t="n">
        <f aca="false">K129+J130</f>
        <v>383.9</v>
      </c>
      <c r="L130" s="8" t="n">
        <v>1.5</v>
      </c>
      <c r="M130" s="8" t="n">
        <f aca="false">M129+L130</f>
        <v>161.7</v>
      </c>
      <c r="N130" s="8" t="n">
        <f aca="false">J130-L130</f>
        <v>0</v>
      </c>
      <c r="O130" s="8" t="n">
        <v>153.6</v>
      </c>
      <c r="P130" s="8" t="n">
        <v>125</v>
      </c>
      <c r="Q130" s="17" t="n">
        <f aca="false">1+((P130-101)/108)*(1.15-1)</f>
        <v>1.03333333333333</v>
      </c>
      <c r="R130" s="15" t="n">
        <f aca="false">Q130*L130</f>
        <v>1.55</v>
      </c>
      <c r="S130" s="15" t="n">
        <f aca="false">J130-R130</f>
        <v>-0.0499999999999998</v>
      </c>
      <c r="T130" s="15" t="n">
        <f aca="false">MIN(153.6,(T129+S130))</f>
        <v>153.55</v>
      </c>
      <c r="V130" s="16" t="n">
        <v>412.2</v>
      </c>
      <c r="W130" s="8" t="n">
        <f aca="false">V130/D130</f>
        <v>39.2571428571429</v>
      </c>
      <c r="X130" s="8" t="n">
        <f aca="false">X129+V130</f>
        <v>62225.4</v>
      </c>
      <c r="Y130" s="8" t="n">
        <f aca="false">Y129+V130</f>
        <v>5842.1</v>
      </c>
      <c r="AA130" s="20" t="n">
        <v>8.17484159157892</v>
      </c>
    </row>
    <row r="131" s="8" customFormat="true" ht="15" hidden="false" customHeight="false" outlineLevel="0" collapsed="false">
      <c r="A131" s="35"/>
      <c r="B131" s="10"/>
      <c r="C131" s="11" t="n">
        <v>41647</v>
      </c>
      <c r="D131" s="8" t="n">
        <v>9.9</v>
      </c>
      <c r="E131" s="8" t="n">
        <v>9.2</v>
      </c>
      <c r="F131" s="8" t="n">
        <v>11.4</v>
      </c>
      <c r="G131" s="8" t="n">
        <f aca="false">G130+D131</f>
        <v>1253.1</v>
      </c>
      <c r="H131" s="8" t="n">
        <f aca="false">H130+D131</f>
        <v>196.2</v>
      </c>
      <c r="J131" s="8" t="n">
        <v>1.2</v>
      </c>
      <c r="K131" s="8" t="n">
        <f aca="false">K130+J131</f>
        <v>385.1</v>
      </c>
      <c r="L131" s="8" t="n">
        <v>1.1</v>
      </c>
      <c r="M131" s="8" t="n">
        <f aca="false">M130+L131</f>
        <v>162.8</v>
      </c>
      <c r="N131" s="8" t="n">
        <f aca="false">J131-L131</f>
        <v>0.0999999999999999</v>
      </c>
      <c r="O131" s="8" t="n">
        <v>153.6</v>
      </c>
      <c r="P131" s="8" t="n">
        <v>126</v>
      </c>
      <c r="Q131" s="17" t="n">
        <f aca="false">1+((P131-101)/108)*(1.15-1)</f>
        <v>1.03472222222222</v>
      </c>
      <c r="R131" s="15" t="n">
        <f aca="false">Q131*L131</f>
        <v>1.13819444444444</v>
      </c>
      <c r="S131" s="15" t="n">
        <f aca="false">J131-R131</f>
        <v>0.0618055555555555</v>
      </c>
      <c r="T131" s="15" t="n">
        <f aca="false">MIN(153.6,(T130+S131))</f>
        <v>153.6</v>
      </c>
      <c r="V131" s="16" t="n">
        <v>325.5</v>
      </c>
      <c r="W131" s="8" t="n">
        <f aca="false">V131/D131</f>
        <v>32.8787878787879</v>
      </c>
      <c r="X131" s="8" t="n">
        <f aca="false">X130+V131</f>
        <v>62550.9</v>
      </c>
      <c r="Y131" s="8" t="n">
        <f aca="false">Y130+V131</f>
        <v>6167.6</v>
      </c>
      <c r="AA131" s="20" t="n">
        <v>8.20185034181039</v>
      </c>
    </row>
    <row r="132" s="8" customFormat="true" ht="15" hidden="false" customHeight="false" outlineLevel="0" collapsed="false">
      <c r="A132" s="35"/>
      <c r="B132" s="10"/>
      <c r="C132" s="11" t="n">
        <v>41648</v>
      </c>
      <c r="D132" s="8" t="n">
        <v>9.1</v>
      </c>
      <c r="E132" s="8" t="n">
        <v>6.4</v>
      </c>
      <c r="F132" s="8" t="n">
        <v>11.2</v>
      </c>
      <c r="G132" s="8" t="n">
        <f aca="false">G131+D132</f>
        <v>1262.2</v>
      </c>
      <c r="H132" s="8" t="n">
        <f aca="false">H131+D132</f>
        <v>205.3</v>
      </c>
      <c r="J132" s="8" t="n">
        <v>0.9</v>
      </c>
      <c r="K132" s="8" t="n">
        <f aca="false">K131+J132</f>
        <v>386</v>
      </c>
      <c r="L132" s="8" t="n">
        <v>1</v>
      </c>
      <c r="M132" s="8" t="n">
        <f aca="false">M131+L132</f>
        <v>163.8</v>
      </c>
      <c r="N132" s="14" t="n">
        <f aca="false">J132-L132</f>
        <v>-0.1</v>
      </c>
      <c r="O132" s="8" t="n">
        <v>153.5</v>
      </c>
      <c r="P132" s="8" t="n">
        <v>127</v>
      </c>
      <c r="Q132" s="17" t="n">
        <f aca="false">1+((P132-101)/108)*(1.15-1)</f>
        <v>1.03611111111111</v>
      </c>
      <c r="R132" s="15" t="n">
        <f aca="false">Q132*L132</f>
        <v>1.03611111111111</v>
      </c>
      <c r="S132" s="15" t="n">
        <f aca="false">J132-R132</f>
        <v>-0.136111111111111</v>
      </c>
      <c r="T132" s="15" t="n">
        <f aca="false">MIN(153.6,(T131+S132))</f>
        <v>153.463888888889</v>
      </c>
      <c r="V132" s="16" t="n">
        <v>156.7</v>
      </c>
      <c r="W132" s="8" t="n">
        <f aca="false">V132/D132</f>
        <v>17.2197802197802</v>
      </c>
      <c r="X132" s="8" t="n">
        <f aca="false">X131+V132</f>
        <v>62707.6</v>
      </c>
      <c r="Y132" s="8" t="n">
        <f aca="false">Y131+V132</f>
        <v>6324.3</v>
      </c>
      <c r="AA132" s="20" t="n">
        <v>8.23032761969451</v>
      </c>
    </row>
    <row r="133" s="8" customFormat="true" ht="15" hidden="false" customHeight="false" outlineLevel="0" collapsed="false">
      <c r="A133" s="35"/>
      <c r="B133" s="10"/>
      <c r="C133" s="11" t="n">
        <v>41649</v>
      </c>
      <c r="D133" s="8" t="n">
        <v>5.2</v>
      </c>
      <c r="E133" s="18" t="n">
        <v>4.4</v>
      </c>
      <c r="F133" s="8" t="n">
        <v>5.7</v>
      </c>
      <c r="G133" s="8" t="n">
        <f aca="false">G132+D133</f>
        <v>1267.4</v>
      </c>
      <c r="H133" s="8" t="n">
        <f aca="false">H132+D133</f>
        <v>210.5</v>
      </c>
      <c r="J133" s="8" t="n">
        <v>0</v>
      </c>
      <c r="K133" s="8" t="n">
        <f aca="false">K132+J133</f>
        <v>386</v>
      </c>
      <c r="L133" s="8" t="n">
        <v>0.5</v>
      </c>
      <c r="M133" s="8" t="n">
        <f aca="false">M132+L133</f>
        <v>164.3</v>
      </c>
      <c r="N133" s="14" t="n">
        <f aca="false">J133-L133</f>
        <v>-0.5</v>
      </c>
      <c r="O133" s="8" t="n">
        <v>153</v>
      </c>
      <c r="P133" s="8" t="n">
        <v>128</v>
      </c>
      <c r="Q133" s="17" t="n">
        <f aca="false">1+((P133-101)/108)*(1.15-1)</f>
        <v>1.0375</v>
      </c>
      <c r="R133" s="15" t="n">
        <f aca="false">Q133*L133</f>
        <v>0.51875</v>
      </c>
      <c r="S133" s="15" t="n">
        <f aca="false">J133-R133</f>
        <v>-0.51875</v>
      </c>
      <c r="T133" s="15" t="n">
        <f aca="false">MIN(153.6,(T132+S133))</f>
        <v>152.945138888889</v>
      </c>
      <c r="V133" s="16" t="n">
        <v>223.2</v>
      </c>
      <c r="W133" s="8" t="n">
        <f aca="false">V133/D133</f>
        <v>42.9230769230769</v>
      </c>
      <c r="X133" s="8" t="n">
        <f aca="false">X132+V133</f>
        <v>62930.8</v>
      </c>
      <c r="Y133" s="8" t="n">
        <f aca="false">Y132+V133</f>
        <v>6547.5</v>
      </c>
      <c r="AA133" s="20" t="n">
        <v>8.26024293802581</v>
      </c>
    </row>
    <row r="134" s="8" customFormat="true" ht="15" hidden="false" customHeight="false" outlineLevel="0" collapsed="false">
      <c r="A134" s="35"/>
      <c r="B134" s="19"/>
      <c r="C134" s="11" t="n">
        <v>41650</v>
      </c>
      <c r="D134" s="18" t="n">
        <v>4.4</v>
      </c>
      <c r="E134" s="18" t="n">
        <v>3.4</v>
      </c>
      <c r="F134" s="8" t="n">
        <v>8.3</v>
      </c>
      <c r="G134" s="8" t="n">
        <f aca="false">G133+D134</f>
        <v>1271.8</v>
      </c>
      <c r="H134" s="8" t="n">
        <f aca="false">H133+D134</f>
        <v>214.9</v>
      </c>
      <c r="J134" s="8" t="n">
        <v>0</v>
      </c>
      <c r="K134" s="8" t="n">
        <f aca="false">K133+J134</f>
        <v>386</v>
      </c>
      <c r="L134" s="8" t="n">
        <v>0.7</v>
      </c>
      <c r="M134" s="8" t="n">
        <f aca="false">M133+L134</f>
        <v>165</v>
      </c>
      <c r="N134" s="14" t="n">
        <f aca="false">J134-L134</f>
        <v>-0.7</v>
      </c>
      <c r="O134" s="8" t="n">
        <v>152.3</v>
      </c>
      <c r="P134" s="8" t="n">
        <v>129</v>
      </c>
      <c r="Q134" s="17" t="n">
        <f aca="false">1+((P134-101)/108)*(1.15-1)</f>
        <v>1.03888888888889</v>
      </c>
      <c r="R134" s="15" t="n">
        <f aca="false">Q134*L134</f>
        <v>0.727222222222222</v>
      </c>
      <c r="S134" s="15" t="n">
        <f aca="false">J134-R134</f>
        <v>-0.727222222222222</v>
      </c>
      <c r="T134" s="15" t="n">
        <f aca="false">MIN(153.6,(T133+S134))</f>
        <v>152.217916666667</v>
      </c>
      <c r="V134" s="16" t="n">
        <v>177.1</v>
      </c>
      <c r="W134" s="8" t="n">
        <f aca="false">V134/D134</f>
        <v>40.25</v>
      </c>
      <c r="X134" s="8" t="n">
        <f aca="false">X133+V134</f>
        <v>63107.9</v>
      </c>
      <c r="Y134" s="8" t="n">
        <f aca="false">Y133+V134</f>
        <v>6724.6</v>
      </c>
      <c r="AA134" s="20" t="n">
        <v>8.29156485028449</v>
      </c>
    </row>
    <row r="135" s="8" customFormat="true" ht="15" hidden="false" customHeight="false" outlineLevel="0" collapsed="false">
      <c r="A135" s="35"/>
      <c r="B135" s="19"/>
      <c r="C135" s="11" t="n">
        <v>41651</v>
      </c>
      <c r="D135" s="18" t="n">
        <v>2.2</v>
      </c>
      <c r="E135" s="30" t="n">
        <v>-1.7</v>
      </c>
      <c r="F135" s="8" t="n">
        <v>7</v>
      </c>
      <c r="G135" s="8" t="n">
        <f aca="false">G134+D135</f>
        <v>1274</v>
      </c>
      <c r="H135" s="8" t="n">
        <f aca="false">H134+D135</f>
        <v>217.1</v>
      </c>
      <c r="J135" s="8" t="n">
        <v>0.2</v>
      </c>
      <c r="K135" s="8" t="n">
        <f aca="false">K134+J135</f>
        <v>386.2</v>
      </c>
      <c r="L135" s="8" t="n">
        <v>0.4</v>
      </c>
      <c r="M135" s="8" t="n">
        <f aca="false">M134+L135</f>
        <v>165.4</v>
      </c>
      <c r="N135" s="14" t="n">
        <f aca="false">J135-L135</f>
        <v>-0.2</v>
      </c>
      <c r="O135" s="8" t="n">
        <v>152.1</v>
      </c>
      <c r="P135" s="8" t="n">
        <v>130</v>
      </c>
      <c r="Q135" s="17" t="n">
        <f aca="false">1+((P135-101)/108)*(1.15-1)</f>
        <v>1.04027777777778</v>
      </c>
      <c r="R135" s="15" t="n">
        <f aca="false">Q135*L135</f>
        <v>0.416111111111111</v>
      </c>
      <c r="S135" s="15" t="n">
        <f aca="false">J135-R135</f>
        <v>-0.216111111111111</v>
      </c>
      <c r="T135" s="15" t="n">
        <f aca="false">MIN(153.6,(T134+S135))</f>
        <v>152.001805555556</v>
      </c>
      <c r="V135" s="16" t="n">
        <v>200.8</v>
      </c>
      <c r="W135" s="8" t="n">
        <f aca="false">V135/D135</f>
        <v>91.2727272727273</v>
      </c>
      <c r="X135" s="8" t="n">
        <f aca="false">X134+V135</f>
        <v>63308.7</v>
      </c>
      <c r="Y135" s="8" t="n">
        <f aca="false">Y134+V135</f>
        <v>6925.4</v>
      </c>
      <c r="AA135" s="20" t="n">
        <v>8.32426106233243</v>
      </c>
    </row>
    <row r="136" s="8" customFormat="true" ht="15" hidden="false" customHeight="false" outlineLevel="0" collapsed="false">
      <c r="A136" s="35"/>
      <c r="B136" s="10"/>
      <c r="C136" s="11" t="n">
        <v>41652</v>
      </c>
      <c r="D136" s="8" t="n">
        <v>6.7</v>
      </c>
      <c r="E136" s="18" t="n">
        <v>4.4</v>
      </c>
      <c r="F136" s="8" t="n">
        <v>8.9</v>
      </c>
      <c r="G136" s="8" t="n">
        <f aca="false">G135+D136</f>
        <v>1280.7</v>
      </c>
      <c r="H136" s="8" t="n">
        <f aca="false">H135+D136</f>
        <v>223.8</v>
      </c>
      <c r="J136" s="8" t="n">
        <v>3.3</v>
      </c>
      <c r="K136" s="8" t="n">
        <f aca="false">K135+J136</f>
        <v>389.5</v>
      </c>
      <c r="L136" s="8" t="n">
        <v>0.9</v>
      </c>
      <c r="M136" s="8" t="n">
        <f aca="false">M135+L136</f>
        <v>166.3</v>
      </c>
      <c r="N136" s="8" t="n">
        <f aca="false">J136-L136</f>
        <v>2.4</v>
      </c>
      <c r="O136" s="8" t="n">
        <v>153.6</v>
      </c>
      <c r="P136" s="8" t="n">
        <v>131</v>
      </c>
      <c r="Q136" s="17" t="n">
        <f aca="false">1+((P136-101)/108)*(1.15-1)</f>
        <v>1.04166666666667</v>
      </c>
      <c r="R136" s="15" t="n">
        <f aca="false">Q136*L136</f>
        <v>0.9375</v>
      </c>
      <c r="S136" s="15" t="n">
        <f aca="false">J136-R136</f>
        <v>2.3625</v>
      </c>
      <c r="T136" s="15" t="n">
        <f aca="false">MIN(153.6,(T135+S136))</f>
        <v>153.6</v>
      </c>
      <c r="V136" s="16" t="n">
        <v>506</v>
      </c>
      <c r="W136" s="8" t="n">
        <f aca="false">V136/D136</f>
        <v>75.5223880597015</v>
      </c>
      <c r="X136" s="8" t="n">
        <f aca="false">X135+V136</f>
        <v>63814.7</v>
      </c>
      <c r="Y136" s="8" t="n">
        <f aca="false">Y135+V136</f>
        <v>7431.4</v>
      </c>
      <c r="AA136" s="20" t="n">
        <v>8.35829854332072</v>
      </c>
    </row>
    <row r="137" s="8" customFormat="true" ht="15" hidden="false" customHeight="false" outlineLevel="0" collapsed="false">
      <c r="A137" s="35"/>
      <c r="B137" s="10"/>
      <c r="C137" s="11" t="n">
        <v>41653</v>
      </c>
      <c r="D137" s="8" t="n">
        <v>4.5</v>
      </c>
      <c r="E137" s="18" t="n">
        <v>3.8</v>
      </c>
      <c r="F137" s="8" t="n">
        <v>5.7</v>
      </c>
      <c r="G137" s="8" t="n">
        <f aca="false">G136+D137</f>
        <v>1285.2</v>
      </c>
      <c r="H137" s="8" t="n">
        <f aca="false">H136+D137</f>
        <v>228.3</v>
      </c>
      <c r="J137" s="8" t="n">
        <v>6.7</v>
      </c>
      <c r="K137" s="8" t="n">
        <f aca="false">K136+J137</f>
        <v>396.2</v>
      </c>
      <c r="L137" s="8" t="n">
        <v>0.4</v>
      </c>
      <c r="M137" s="8" t="n">
        <f aca="false">M136+L137</f>
        <v>166.7</v>
      </c>
      <c r="N137" s="8" t="n">
        <f aca="false">J137-L137</f>
        <v>6.3</v>
      </c>
      <c r="O137" s="8" t="n">
        <v>153.6</v>
      </c>
      <c r="P137" s="8" t="n">
        <v>132</v>
      </c>
      <c r="Q137" s="17" t="n">
        <f aca="false">1+((P137-101)/108)*(1.15-1)</f>
        <v>1.04305555555556</v>
      </c>
      <c r="R137" s="15" t="n">
        <f aca="false">Q137*L137</f>
        <v>0.417222222222222</v>
      </c>
      <c r="S137" s="15" t="n">
        <f aca="false">J137-R137</f>
        <v>6.28277777777778</v>
      </c>
      <c r="T137" s="15" t="n">
        <f aca="false">MIN(153.6,(T136+S137))</f>
        <v>153.6</v>
      </c>
      <c r="V137" s="16" t="n">
        <v>146.8</v>
      </c>
      <c r="W137" s="8" t="n">
        <f aca="false">V137/D137</f>
        <v>32.6222222222222</v>
      </c>
      <c r="X137" s="8" t="n">
        <f aca="false">X136+V137</f>
        <v>63961.5</v>
      </c>
      <c r="Y137" s="8" t="n">
        <f aca="false">Y136+V137</f>
        <v>7578.2</v>
      </c>
      <c r="AA137" s="20" t="n">
        <v>8.39364363514614</v>
      </c>
    </row>
    <row r="138" s="8" customFormat="true" ht="15" hidden="false" customHeight="false" outlineLevel="0" collapsed="false">
      <c r="A138" s="35"/>
      <c r="B138" s="10"/>
      <c r="C138" s="11" t="n">
        <v>41654</v>
      </c>
      <c r="D138" s="8" t="n">
        <v>5.8</v>
      </c>
      <c r="E138" s="18" t="n">
        <v>2.8</v>
      </c>
      <c r="F138" s="8" t="n">
        <v>9</v>
      </c>
      <c r="G138" s="8" t="n">
        <f aca="false">G137+D138</f>
        <v>1291</v>
      </c>
      <c r="H138" s="8" t="n">
        <f aca="false">H137+D138</f>
        <v>234.1</v>
      </c>
      <c r="J138" s="8" t="n">
        <v>4.2</v>
      </c>
      <c r="K138" s="8" t="n">
        <f aca="false">K137+J138</f>
        <v>400.4</v>
      </c>
      <c r="L138" s="8" t="n">
        <v>0.5</v>
      </c>
      <c r="M138" s="8" t="n">
        <f aca="false">M137+L138</f>
        <v>167.2</v>
      </c>
      <c r="N138" s="8" t="n">
        <f aca="false">J138-L138</f>
        <v>3.7</v>
      </c>
      <c r="O138" s="8" t="n">
        <v>153.6</v>
      </c>
      <c r="P138" s="8" t="n">
        <v>133</v>
      </c>
      <c r="Q138" s="17" t="n">
        <f aca="false">1+((P138-101)/108)*(1.15-1)</f>
        <v>1.04444444444444</v>
      </c>
      <c r="R138" s="15" t="n">
        <f aca="false">Q138*L138</f>
        <v>0.522222222222222</v>
      </c>
      <c r="S138" s="15" t="n">
        <f aca="false">J138-R138</f>
        <v>3.67777777777778</v>
      </c>
      <c r="T138" s="15" t="n">
        <f aca="false">MIN(153.6,(T137+S138))</f>
        <v>153.6</v>
      </c>
      <c r="V138" s="16" t="n">
        <v>122.8</v>
      </c>
      <c r="W138" s="8" t="n">
        <f aca="false">V138/D138</f>
        <v>21.1724137931035</v>
      </c>
      <c r="X138" s="8" t="n">
        <f aca="false">X137+V138</f>
        <v>64084.3</v>
      </c>
      <c r="Y138" s="8" t="n">
        <f aca="false">Y137+V138</f>
        <v>7701</v>
      </c>
      <c r="AA138" s="20" t="n">
        <v>8.43026215984552</v>
      </c>
    </row>
    <row r="139" s="8" customFormat="true" ht="15" hidden="false" customHeight="false" outlineLevel="0" collapsed="false">
      <c r="A139" s="35"/>
      <c r="B139" s="10"/>
      <c r="C139" s="11" t="n">
        <v>41655</v>
      </c>
      <c r="D139" s="8" t="n">
        <v>8.1</v>
      </c>
      <c r="E139" s="8" t="n">
        <v>7.2</v>
      </c>
      <c r="F139" s="8" t="n">
        <v>8.6</v>
      </c>
      <c r="G139" s="8" t="n">
        <f aca="false">G138+D139</f>
        <v>1299.1</v>
      </c>
      <c r="H139" s="8" t="n">
        <f aca="false">H138+D139</f>
        <v>242.2</v>
      </c>
      <c r="J139" s="8" t="n">
        <v>6.5</v>
      </c>
      <c r="K139" s="8" t="n">
        <f aca="false">K138+J139</f>
        <v>406.9</v>
      </c>
      <c r="L139" s="8" t="n">
        <v>0.7</v>
      </c>
      <c r="M139" s="8" t="n">
        <f aca="false">M138+L139</f>
        <v>167.9</v>
      </c>
      <c r="N139" s="8" t="n">
        <f aca="false">J139-L139</f>
        <v>5.8</v>
      </c>
      <c r="O139" s="8" t="n">
        <v>153.6</v>
      </c>
      <c r="P139" s="8" t="n">
        <v>134</v>
      </c>
      <c r="Q139" s="17" t="n">
        <f aca="false">1+((P139-101)/108)*(1.15-1)</f>
        <v>1.04583333333333</v>
      </c>
      <c r="R139" s="15" t="n">
        <f aca="false">Q139*L139</f>
        <v>0.732083333333333</v>
      </c>
      <c r="S139" s="15" t="n">
        <f aca="false">J139-R139</f>
        <v>5.76791666666667</v>
      </c>
      <c r="T139" s="15" t="n">
        <f aca="false">MIN(153.6,(T138+S139))</f>
        <v>153.6</v>
      </c>
      <c r="V139" s="16" t="n">
        <v>72</v>
      </c>
      <c r="W139" s="8" t="n">
        <f aca="false">V139/D139</f>
        <v>8.88888888888889</v>
      </c>
      <c r="X139" s="8" t="n">
        <f aca="false">X138+V139</f>
        <v>64156.3</v>
      </c>
      <c r="Y139" s="8" t="n">
        <f aca="false">Y138+V139</f>
        <v>7773</v>
      </c>
      <c r="AA139" s="20" t="n">
        <v>8.46811952437174</v>
      </c>
    </row>
    <row r="140" s="8" customFormat="true" ht="15" hidden="false" customHeight="false" outlineLevel="0" collapsed="false">
      <c r="A140" s="35"/>
      <c r="B140" s="10"/>
      <c r="C140" s="11" t="n">
        <v>41656</v>
      </c>
      <c r="D140" s="8" t="n">
        <v>7.6</v>
      </c>
      <c r="E140" s="8" t="n">
        <v>7.2</v>
      </c>
      <c r="F140" s="8" t="n">
        <v>8</v>
      </c>
      <c r="G140" s="8" t="n">
        <f aca="false">G139+D140</f>
        <v>1306.7</v>
      </c>
      <c r="H140" s="8" t="n">
        <f aca="false">H139+D140</f>
        <v>249.8</v>
      </c>
      <c r="J140" s="8" t="n">
        <v>6</v>
      </c>
      <c r="K140" s="8" t="n">
        <f aca="false">K139+J140</f>
        <v>412.9</v>
      </c>
      <c r="L140" s="8" t="n">
        <v>0.9</v>
      </c>
      <c r="M140" s="8" t="n">
        <f aca="false">M139+L140</f>
        <v>168.8</v>
      </c>
      <c r="N140" s="8" t="n">
        <f aca="false">J140-L140</f>
        <v>5.1</v>
      </c>
      <c r="O140" s="8" t="n">
        <v>153.6</v>
      </c>
      <c r="P140" s="8" t="n">
        <v>135</v>
      </c>
      <c r="Q140" s="17" t="n">
        <f aca="false">1+((P140-101)/108)*(1.15-1)</f>
        <v>1.04722222222222</v>
      </c>
      <c r="R140" s="15" t="n">
        <f aca="false">Q140*L140</f>
        <v>0.9425</v>
      </c>
      <c r="S140" s="15" t="n">
        <f aca="false">J140-R140</f>
        <v>5.0575</v>
      </c>
      <c r="T140" s="15" t="n">
        <f aca="false">MIN(153.6,(T139+S140))</f>
        <v>153.6</v>
      </c>
      <c r="V140" s="16" t="n">
        <v>95.1</v>
      </c>
      <c r="W140" s="8" t="n">
        <f aca="false">V140/D140</f>
        <v>12.5131578947368</v>
      </c>
      <c r="X140" s="8" t="n">
        <f aca="false">X139+V140</f>
        <v>64251.4</v>
      </c>
      <c r="Y140" s="8" t="n">
        <f aca="false">Y139+V140</f>
        <v>7868.1</v>
      </c>
      <c r="AA140" s="20" t="n">
        <v>8.50718082225267</v>
      </c>
    </row>
    <row r="141" s="8" customFormat="true" ht="15" hidden="false" customHeight="false" outlineLevel="0" collapsed="false">
      <c r="A141" s="35"/>
      <c r="B141" s="10"/>
      <c r="C141" s="11" t="n">
        <v>41657</v>
      </c>
      <c r="D141" s="8" t="n">
        <v>6</v>
      </c>
      <c r="E141" s="18" t="n">
        <v>3.8</v>
      </c>
      <c r="F141" s="8" t="n">
        <v>8.8</v>
      </c>
      <c r="G141" s="8" t="n">
        <f aca="false">G140+D141</f>
        <v>1312.7</v>
      </c>
      <c r="H141" s="8" t="n">
        <f aca="false">H140+D141</f>
        <v>255.8</v>
      </c>
      <c r="J141" s="8" t="n">
        <v>0.1</v>
      </c>
      <c r="K141" s="8" t="n">
        <f aca="false">K140+J141</f>
        <v>413</v>
      </c>
      <c r="L141" s="8" t="n">
        <v>0.8</v>
      </c>
      <c r="M141" s="8" t="n">
        <f aca="false">M140+L141</f>
        <v>169.6</v>
      </c>
      <c r="N141" s="14" t="n">
        <f aca="false">J141-L141</f>
        <v>-0.7</v>
      </c>
      <c r="O141" s="8" t="n">
        <v>152.9</v>
      </c>
      <c r="P141" s="8" t="n">
        <v>136</v>
      </c>
      <c r="Q141" s="17" t="n">
        <f aca="false">1+((P141-101)/108)*(1.15-1)</f>
        <v>1.04861111111111</v>
      </c>
      <c r="R141" s="15" t="n">
        <f aca="false">Q141*L141</f>
        <v>0.838888888888889</v>
      </c>
      <c r="S141" s="15" t="n">
        <f aca="false">J141-R141</f>
        <v>-0.738888888888889</v>
      </c>
      <c r="T141" s="15" t="n">
        <f aca="false">MIN(153.6,(T140+S141))</f>
        <v>152.861111111111</v>
      </c>
      <c r="V141" s="16" t="n">
        <v>271.4</v>
      </c>
      <c r="W141" s="8" t="n">
        <f aca="false">V141/D141</f>
        <v>45.2333333333333</v>
      </c>
      <c r="X141" s="8" t="n">
        <f aca="false">X140+V141</f>
        <v>64522.8</v>
      </c>
      <c r="Y141" s="8" t="n">
        <f aca="false">Y140+V141</f>
        <v>8139.5</v>
      </c>
      <c r="AA141" s="20" t="n">
        <v>8.54741093169257</v>
      </c>
    </row>
    <row r="142" s="8" customFormat="true" ht="15" hidden="false" customHeight="false" outlineLevel="0" collapsed="false">
      <c r="A142" s="35"/>
      <c r="B142" s="10"/>
      <c r="C142" s="11" t="n">
        <v>41658</v>
      </c>
      <c r="D142" s="8" t="n">
        <v>6.9</v>
      </c>
      <c r="E142" s="18" t="n">
        <v>4.9</v>
      </c>
      <c r="F142" s="8" t="n">
        <v>8.7</v>
      </c>
      <c r="G142" s="8" t="n">
        <f aca="false">G141+D142</f>
        <v>1319.6</v>
      </c>
      <c r="H142" s="8" t="n">
        <f aca="false">H141+D142</f>
        <v>262.7</v>
      </c>
      <c r="J142" s="8" t="n">
        <v>0.5</v>
      </c>
      <c r="K142" s="8" t="n">
        <f aca="false">K141+J142</f>
        <v>413.5</v>
      </c>
      <c r="L142" s="8" t="n">
        <v>0.7</v>
      </c>
      <c r="M142" s="8" t="n">
        <f aca="false">M141+L142</f>
        <v>170.3</v>
      </c>
      <c r="N142" s="14" t="n">
        <f aca="false">J142-L142</f>
        <v>-0.2</v>
      </c>
      <c r="O142" s="8" t="n">
        <v>152.7</v>
      </c>
      <c r="P142" s="8" t="n">
        <v>137</v>
      </c>
      <c r="Q142" s="17" t="n">
        <f aca="false">1+((P142-101)/108)*(1.15-1)</f>
        <v>1.05</v>
      </c>
      <c r="R142" s="15" t="n">
        <f aca="false">Q142*L142</f>
        <v>0.735</v>
      </c>
      <c r="S142" s="15" t="n">
        <f aca="false">J142-R142</f>
        <v>-0.235</v>
      </c>
      <c r="T142" s="15" t="n">
        <f aca="false">MIN(153.6,(T141+S142))</f>
        <v>152.626111111111</v>
      </c>
      <c r="V142" s="16" t="n">
        <v>214.8</v>
      </c>
      <c r="W142" s="8" t="n">
        <f aca="false">V142/D142</f>
        <v>31.1304347826087</v>
      </c>
      <c r="X142" s="8" t="n">
        <f aca="false">X141+V142</f>
        <v>64737.6</v>
      </c>
      <c r="Y142" s="8" t="n">
        <f aca="false">Y141+V142</f>
        <v>8354.3</v>
      </c>
      <c r="AA142" s="20" t="n">
        <v>8.58877460973502</v>
      </c>
    </row>
    <row r="143" s="8" customFormat="true" ht="15" hidden="false" customHeight="false" outlineLevel="0" collapsed="false">
      <c r="A143" s="35"/>
      <c r="B143" s="10"/>
      <c r="C143" s="11" t="n">
        <v>41659</v>
      </c>
      <c r="D143" s="8" t="n">
        <v>5.2</v>
      </c>
      <c r="E143" s="18" t="n">
        <v>3.6</v>
      </c>
      <c r="F143" s="8" t="n">
        <v>7.1</v>
      </c>
      <c r="G143" s="8" t="n">
        <f aca="false">G142+D143</f>
        <v>1324.8</v>
      </c>
      <c r="H143" s="8" t="n">
        <f aca="false">H142+D143</f>
        <v>267.9</v>
      </c>
      <c r="J143" s="8" t="n">
        <v>0.1</v>
      </c>
      <c r="K143" s="8" t="n">
        <f aca="false">K142+J143</f>
        <v>413.6</v>
      </c>
      <c r="L143" s="8" t="n">
        <v>0.4</v>
      </c>
      <c r="M143" s="8" t="n">
        <f aca="false">M142+L143</f>
        <v>170.7</v>
      </c>
      <c r="N143" s="14" t="n">
        <f aca="false">J143-L143</f>
        <v>-0.3</v>
      </c>
      <c r="O143" s="8" t="n">
        <v>152.4</v>
      </c>
      <c r="P143" s="8" t="n">
        <v>138</v>
      </c>
      <c r="Q143" s="17" t="n">
        <f aca="false">1+((P143-101)/108)*(1.15-1)</f>
        <v>1.05138888888889</v>
      </c>
      <c r="R143" s="15" t="n">
        <f aca="false">Q143*L143</f>
        <v>0.420555555555556</v>
      </c>
      <c r="S143" s="15" t="n">
        <f aca="false">J143-R143</f>
        <v>-0.320555555555556</v>
      </c>
      <c r="T143" s="15" t="n">
        <f aca="false">MIN(153.6,(T142+S143))</f>
        <v>152.305555555556</v>
      </c>
      <c r="V143" s="16" t="n">
        <v>53.1</v>
      </c>
      <c r="W143" s="8" t="n">
        <f aca="false">V143/D143</f>
        <v>10.2115384615385</v>
      </c>
      <c r="X143" s="8" t="n">
        <f aca="false">X142+V143</f>
        <v>64790.7</v>
      </c>
      <c r="Y143" s="8" t="n">
        <f aca="false">Y142+V143</f>
        <v>8407.4</v>
      </c>
      <c r="AA143" s="20" t="n">
        <v>8.63123658216432</v>
      </c>
    </row>
    <row r="144" s="8" customFormat="true" ht="15" hidden="false" customHeight="false" outlineLevel="0" collapsed="false">
      <c r="A144" s="35"/>
      <c r="B144" s="19"/>
      <c r="C144" s="11" t="n">
        <v>41660</v>
      </c>
      <c r="D144" s="18" t="n">
        <v>4.1</v>
      </c>
      <c r="E144" s="18" t="n">
        <v>3.1</v>
      </c>
      <c r="F144" s="18" t="n">
        <v>4.7</v>
      </c>
      <c r="G144" s="8" t="n">
        <f aca="false">G143+D144</f>
        <v>1328.9</v>
      </c>
      <c r="H144" s="8" t="n">
        <f aca="false">H143+D144</f>
        <v>272</v>
      </c>
      <c r="J144" s="8" t="n">
        <v>0</v>
      </c>
      <c r="K144" s="8" t="n">
        <f aca="false">K143+J144</f>
        <v>413.6</v>
      </c>
      <c r="L144" s="8" t="n">
        <v>0.4</v>
      </c>
      <c r="M144" s="8" t="n">
        <f aca="false">M143+L144</f>
        <v>171.1</v>
      </c>
      <c r="N144" s="14" t="n">
        <f aca="false">J144-L144</f>
        <v>-0.4</v>
      </c>
      <c r="O144" s="8" t="n">
        <v>152</v>
      </c>
      <c r="P144" s="8" t="n">
        <v>139</v>
      </c>
      <c r="Q144" s="17" t="n">
        <f aca="false">1+((P144-101)/108)*(1.15-1)</f>
        <v>1.05277777777778</v>
      </c>
      <c r="R144" s="15" t="n">
        <f aca="false">Q144*L144</f>
        <v>0.421111111111111</v>
      </c>
      <c r="S144" s="15" t="n">
        <f aca="false">J144-R144</f>
        <v>-0.421111111111111</v>
      </c>
      <c r="T144" s="15" t="n">
        <f aca="false">MIN(153.6,(T143+S144))</f>
        <v>151.884444444444</v>
      </c>
      <c r="V144" s="16" t="n">
        <v>252.7</v>
      </c>
      <c r="W144" s="8" t="n">
        <f aca="false">V144/D144</f>
        <v>61.6341463414634</v>
      </c>
      <c r="X144" s="8" t="n">
        <f aca="false">X143+V144</f>
        <v>65043.4</v>
      </c>
      <c r="Y144" s="8" t="n">
        <f aca="false">Y143+V144</f>
        <v>8660.1</v>
      </c>
      <c r="AA144" s="20" t="n">
        <v>8.67476162888025</v>
      </c>
    </row>
    <row r="145" s="8" customFormat="true" ht="15" hidden="false" customHeight="false" outlineLevel="0" collapsed="false">
      <c r="A145" s="35"/>
      <c r="B145" s="19"/>
      <c r="C145" s="11" t="n">
        <v>41661</v>
      </c>
      <c r="D145" s="18" t="n">
        <v>3.8</v>
      </c>
      <c r="E145" s="18" t="n">
        <v>2.8</v>
      </c>
      <c r="F145" s="18" t="n">
        <v>4.7</v>
      </c>
      <c r="G145" s="8" t="n">
        <f aca="false">G144+D145</f>
        <v>1332.7</v>
      </c>
      <c r="H145" s="8" t="n">
        <f aca="false">H144+D145</f>
        <v>275.8</v>
      </c>
      <c r="J145" s="8" t="n">
        <v>4.7</v>
      </c>
      <c r="K145" s="8" t="n">
        <f aca="false">K144+J145</f>
        <v>418.3</v>
      </c>
      <c r="L145" s="8" t="n">
        <v>0.7</v>
      </c>
      <c r="M145" s="8" t="n">
        <f aca="false">M144+L145</f>
        <v>171.8</v>
      </c>
      <c r="N145" s="8" t="n">
        <f aca="false">J145-L145</f>
        <v>4</v>
      </c>
      <c r="O145" s="8" t="n">
        <v>153.6</v>
      </c>
      <c r="P145" s="8" t="n">
        <v>140</v>
      </c>
      <c r="Q145" s="17" t="n">
        <f aca="false">1+((P145-101)/108)*(1.15-1)</f>
        <v>1.05416666666667</v>
      </c>
      <c r="R145" s="15" t="n">
        <f aca="false">Q145*L145</f>
        <v>0.737916666666667</v>
      </c>
      <c r="S145" s="15" t="n">
        <f aca="false">J145-R145</f>
        <v>3.96208333333333</v>
      </c>
      <c r="T145" s="15" t="n">
        <f aca="false">MIN(153.6,(T144+S145))</f>
        <v>153.6</v>
      </c>
      <c r="V145" s="16" t="n">
        <v>221.5</v>
      </c>
      <c r="W145" s="8" t="n">
        <f aca="false">V145/D145</f>
        <v>58.2894736842105</v>
      </c>
      <c r="X145" s="8" t="n">
        <f aca="false">X144+V145</f>
        <v>65264.9</v>
      </c>
      <c r="Y145" s="8" t="n">
        <f aca="false">Y144+V145</f>
        <v>8881.6</v>
      </c>
      <c r="AA145" s="20" t="n">
        <v>8.71931466453562</v>
      </c>
    </row>
    <row r="146" s="8" customFormat="true" ht="15" hidden="false" customHeight="false" outlineLevel="0" collapsed="false">
      <c r="A146" s="35"/>
      <c r="B146" s="10"/>
      <c r="C146" s="11" t="n">
        <v>41662</v>
      </c>
      <c r="D146" s="8" t="n">
        <v>5.6</v>
      </c>
      <c r="E146" s="18" t="n">
        <v>3.9</v>
      </c>
      <c r="F146" s="8" t="n">
        <v>8.7</v>
      </c>
      <c r="G146" s="8" t="n">
        <f aca="false">G145+D146</f>
        <v>1338.3</v>
      </c>
      <c r="H146" s="8" t="n">
        <f aca="false">H145+D146</f>
        <v>281.4</v>
      </c>
      <c r="J146" s="8" t="n">
        <v>5.1</v>
      </c>
      <c r="K146" s="8" t="n">
        <f aca="false">K145+J146</f>
        <v>423.4</v>
      </c>
      <c r="L146" s="8" t="n">
        <v>1</v>
      </c>
      <c r="M146" s="8" t="n">
        <f aca="false">M145+L146</f>
        <v>172.8</v>
      </c>
      <c r="N146" s="8" t="n">
        <f aca="false">J146-L146</f>
        <v>4.1</v>
      </c>
      <c r="O146" s="8" t="n">
        <v>153.6</v>
      </c>
      <c r="P146" s="8" t="n">
        <v>141</v>
      </c>
      <c r="Q146" s="17" t="n">
        <f aca="false">1+((P146-101)/108)*(1.15-1)</f>
        <v>1.05555555555556</v>
      </c>
      <c r="R146" s="15" t="n">
        <f aca="false">Q146*L146</f>
        <v>1.05555555555556</v>
      </c>
      <c r="S146" s="15" t="n">
        <f aca="false">J146-R146</f>
        <v>4.04444444444444</v>
      </c>
      <c r="T146" s="15" t="n">
        <f aca="false">MIN(153.6,(T145+S146))</f>
        <v>153.6</v>
      </c>
      <c r="V146" s="16" t="n">
        <v>363.1</v>
      </c>
      <c r="W146" s="8" t="n">
        <f aca="false">V146/D146</f>
        <v>64.8392857142857</v>
      </c>
      <c r="X146" s="8" t="n">
        <f aca="false">X145+V146</f>
        <v>65628</v>
      </c>
      <c r="Y146" s="8" t="n">
        <f aca="false">Y145+V146</f>
        <v>9244.7</v>
      </c>
      <c r="AA146" s="20" t="n">
        <v>8.76486081427931</v>
      </c>
    </row>
    <row r="147" s="8" customFormat="true" ht="15" hidden="false" customHeight="false" outlineLevel="0" collapsed="false">
      <c r="A147" s="35"/>
      <c r="B147" s="19"/>
      <c r="C147" s="11" t="n">
        <v>41663</v>
      </c>
      <c r="D147" s="18" t="n">
        <v>2.9</v>
      </c>
      <c r="E147" s="30" t="n">
        <v>-0.1</v>
      </c>
      <c r="F147" s="8" t="n">
        <v>6.9</v>
      </c>
      <c r="G147" s="8" t="n">
        <f aca="false">G146+D147</f>
        <v>1341.2</v>
      </c>
      <c r="H147" s="8" t="n">
        <f aca="false">H146+D147</f>
        <v>284.3</v>
      </c>
      <c r="J147" s="8" t="n">
        <v>1.6</v>
      </c>
      <c r="K147" s="8" t="n">
        <f aca="false">K146+J147</f>
        <v>425</v>
      </c>
      <c r="L147" s="8" t="n">
        <v>0.8</v>
      </c>
      <c r="M147" s="8" t="n">
        <f aca="false">M146+L147</f>
        <v>173.6</v>
      </c>
      <c r="N147" s="8" t="n">
        <f aca="false">J147-L147</f>
        <v>0.8</v>
      </c>
      <c r="O147" s="8" t="n">
        <v>153.6</v>
      </c>
      <c r="P147" s="8" t="n">
        <v>142</v>
      </c>
      <c r="Q147" s="17" t="n">
        <f aca="false">1+((P147-101)/108)*(1.15-1)</f>
        <v>1.05694444444444</v>
      </c>
      <c r="R147" s="15" t="n">
        <f aca="false">Q147*L147</f>
        <v>0.845555555555556</v>
      </c>
      <c r="S147" s="15" t="n">
        <f aca="false">J147-R147</f>
        <v>0.754444444444445</v>
      </c>
      <c r="T147" s="15" t="n">
        <f aca="false">MIN(153.6,(T146+S147))</f>
        <v>153.6</v>
      </c>
      <c r="V147" s="16" t="n">
        <v>558.1</v>
      </c>
      <c r="W147" s="8" t="n">
        <f aca="false">V147/D147</f>
        <v>192.448275862069</v>
      </c>
      <c r="X147" s="8" t="n">
        <f aca="false">X146+V147</f>
        <v>66186.1</v>
      </c>
      <c r="Y147" s="8" t="n">
        <f aca="false">Y146+V147</f>
        <v>9802.8</v>
      </c>
      <c r="AA147" s="20" t="n">
        <v>8.81136548449693</v>
      </c>
    </row>
    <row r="148" s="8" customFormat="true" ht="15" hidden="false" customHeight="false" outlineLevel="0" collapsed="false">
      <c r="A148" s="35"/>
      <c r="B148" s="19"/>
      <c r="C148" s="11" t="n">
        <v>41664</v>
      </c>
      <c r="D148" s="18" t="n">
        <v>4.8</v>
      </c>
      <c r="E148" s="18" t="n">
        <v>2.3</v>
      </c>
      <c r="F148" s="8" t="n">
        <v>6.9</v>
      </c>
      <c r="G148" s="8" t="n">
        <f aca="false">G147+D148</f>
        <v>1346</v>
      </c>
      <c r="H148" s="8" t="n">
        <f aca="false">H147+D148</f>
        <v>289.1</v>
      </c>
      <c r="J148" s="8" t="n">
        <v>1.8</v>
      </c>
      <c r="K148" s="8" t="n">
        <f aca="false">K147+J148</f>
        <v>426.8</v>
      </c>
      <c r="L148" s="8" t="n">
        <v>0.8</v>
      </c>
      <c r="M148" s="8" t="n">
        <f aca="false">M147+L148</f>
        <v>174.4</v>
      </c>
      <c r="N148" s="8" t="n">
        <f aca="false">J148-L148</f>
        <v>1</v>
      </c>
      <c r="O148" s="8" t="n">
        <v>153.6</v>
      </c>
      <c r="P148" s="8" t="n">
        <v>143</v>
      </c>
      <c r="Q148" s="17" t="n">
        <f aca="false">1+((P148-101)/108)*(1.15-1)</f>
        <v>1.05833333333333</v>
      </c>
      <c r="R148" s="15" t="n">
        <f aca="false">Q148*L148</f>
        <v>0.846666666666667</v>
      </c>
      <c r="S148" s="15" t="n">
        <f aca="false">J148-R148</f>
        <v>0.953333333333333</v>
      </c>
      <c r="T148" s="15" t="n">
        <f aca="false">MIN(153.6,(T147+S148))</f>
        <v>153.6</v>
      </c>
      <c r="V148" s="16" t="n">
        <v>193.2</v>
      </c>
      <c r="W148" s="8" t="n">
        <f aca="false">V148/D148</f>
        <v>40.25</v>
      </c>
      <c r="X148" s="8" t="n">
        <f aca="false">X147+V148</f>
        <v>66379.3</v>
      </c>
      <c r="Y148" s="8" t="n">
        <f aca="false">Y147+V148</f>
        <v>9996</v>
      </c>
      <c r="AA148" s="20" t="n">
        <v>8.8587944284878</v>
      </c>
    </row>
    <row r="149" s="8" customFormat="true" ht="15" hidden="false" customHeight="false" outlineLevel="0" collapsed="false">
      <c r="A149" s="35"/>
      <c r="B149" s="10"/>
      <c r="C149" s="11" t="n">
        <v>41665</v>
      </c>
      <c r="D149" s="8" t="n">
        <v>5.1</v>
      </c>
      <c r="E149" s="18" t="n">
        <v>2.2</v>
      </c>
      <c r="F149" s="8" t="n">
        <v>7.5</v>
      </c>
      <c r="G149" s="8" t="n">
        <f aca="false">G148+D149</f>
        <v>1351.1</v>
      </c>
      <c r="H149" s="8" t="n">
        <f aca="false">H148+D149</f>
        <v>294.2</v>
      </c>
      <c r="J149" s="8" t="n">
        <v>8.5</v>
      </c>
      <c r="K149" s="8" t="n">
        <f aca="false">K148+J149</f>
        <v>435.3</v>
      </c>
      <c r="L149" s="8" t="n">
        <v>0.8</v>
      </c>
      <c r="M149" s="8" t="n">
        <f aca="false">M148+L149</f>
        <v>175.2</v>
      </c>
      <c r="N149" s="8" t="n">
        <f aca="false">J149-L149</f>
        <v>7.7</v>
      </c>
      <c r="O149" s="8" t="n">
        <v>153.6</v>
      </c>
      <c r="P149" s="8" t="n">
        <v>144</v>
      </c>
      <c r="Q149" s="17" t="n">
        <f aca="false">1+((P149-101)/108)*(1.15-1)</f>
        <v>1.05972222222222</v>
      </c>
      <c r="R149" s="15" t="n">
        <f aca="false">Q149*L149</f>
        <v>0.847777777777778</v>
      </c>
      <c r="S149" s="15" t="n">
        <f aca="false">J149-R149</f>
        <v>7.65222222222222</v>
      </c>
      <c r="T149" s="15" t="n">
        <f aca="false">MIN(153.6,(T148+S149))</f>
        <v>153.6</v>
      </c>
      <c r="V149" s="16" t="n">
        <v>131.6</v>
      </c>
      <c r="W149" s="8" t="n">
        <f aca="false">V149/D149</f>
        <v>25.8039215686275</v>
      </c>
      <c r="X149" s="8" t="n">
        <f aca="false">X148+V149</f>
        <v>66510.9</v>
      </c>
      <c r="Y149" s="8" t="n">
        <f aca="false">Y148+V149</f>
        <v>10127.6</v>
      </c>
      <c r="AA149" s="20" t="n">
        <v>8.9071138070594</v>
      </c>
    </row>
    <row r="150" s="8" customFormat="true" ht="15" hidden="false" customHeight="false" outlineLevel="0" collapsed="false">
      <c r="A150" s="35"/>
      <c r="B150" s="19"/>
      <c r="C150" s="11" t="n">
        <v>41666</v>
      </c>
      <c r="D150" s="18" t="n">
        <v>3.7</v>
      </c>
      <c r="E150" s="18" t="n">
        <v>2.6</v>
      </c>
      <c r="F150" s="18" t="n">
        <v>4.6</v>
      </c>
      <c r="G150" s="8" t="n">
        <f aca="false">G149+D150</f>
        <v>1354.8</v>
      </c>
      <c r="H150" s="8" t="n">
        <f aca="false">H149+D150</f>
        <v>297.9</v>
      </c>
      <c r="J150" s="8" t="n">
        <v>4.8</v>
      </c>
      <c r="K150" s="8" t="n">
        <f aca="false">K149+J150</f>
        <v>440.1</v>
      </c>
      <c r="L150" s="8" t="n">
        <v>0.7</v>
      </c>
      <c r="M150" s="8" t="n">
        <f aca="false">M149+L150</f>
        <v>175.9</v>
      </c>
      <c r="N150" s="8" t="n">
        <f aca="false">J150-L150</f>
        <v>4.1</v>
      </c>
      <c r="O150" s="8" t="n">
        <v>153.6</v>
      </c>
      <c r="P150" s="8" t="n">
        <v>145</v>
      </c>
      <c r="Q150" s="17" t="n">
        <f aca="false">1+((P150-101)/108)*(1.15-1)</f>
        <v>1.06111111111111</v>
      </c>
      <c r="R150" s="15" t="n">
        <f aca="false">Q150*L150</f>
        <v>0.742777777777778</v>
      </c>
      <c r="S150" s="15" t="n">
        <f aca="false">J150-R150</f>
        <v>4.05722222222222</v>
      </c>
      <c r="T150" s="15" t="n">
        <f aca="false">MIN(153.6,(T149+S150))</f>
        <v>153.6</v>
      </c>
      <c r="V150" s="16" t="n">
        <v>131.9</v>
      </c>
      <c r="W150" s="8" t="n">
        <f aca="false">V150/D150</f>
        <v>35.6486486486486</v>
      </c>
      <c r="X150" s="8" t="n">
        <f aca="false">X149+V150</f>
        <v>66642.8</v>
      </c>
      <c r="Y150" s="8" t="n">
        <f aca="false">Y149+V150</f>
        <v>10259.5</v>
      </c>
      <c r="AA150" s="20" t="n">
        <v>8.95629024405983</v>
      </c>
    </row>
    <row r="151" s="8" customFormat="true" ht="15" hidden="false" customHeight="false" outlineLevel="0" collapsed="false">
      <c r="A151" s="35"/>
      <c r="B151" s="10"/>
      <c r="C151" s="11" t="n">
        <v>41667</v>
      </c>
      <c r="D151" s="18" t="n">
        <v>4.3</v>
      </c>
      <c r="E151" s="18" t="n">
        <v>3.2</v>
      </c>
      <c r="F151" s="8" t="n">
        <v>5.1</v>
      </c>
      <c r="G151" s="8" t="n">
        <f aca="false">G150+D151</f>
        <v>1359.1</v>
      </c>
      <c r="H151" s="8" t="n">
        <f aca="false">H150+D151</f>
        <v>302.2</v>
      </c>
      <c r="J151" s="8" t="n">
        <v>3.1</v>
      </c>
      <c r="K151" s="8" t="n">
        <f aca="false">K150+J151</f>
        <v>443.2</v>
      </c>
      <c r="L151" s="8" t="n">
        <v>0.6</v>
      </c>
      <c r="M151" s="8" t="n">
        <f aca="false">M150+L151</f>
        <v>176.5</v>
      </c>
      <c r="N151" s="8" t="n">
        <f aca="false">J151-L151</f>
        <v>2.5</v>
      </c>
      <c r="O151" s="8" t="n">
        <v>153.6</v>
      </c>
      <c r="P151" s="8" t="n">
        <v>146</v>
      </c>
      <c r="Q151" s="17" t="n">
        <f aca="false">1+((P151-101)/108)*(1.15-1)</f>
        <v>1.0625</v>
      </c>
      <c r="R151" s="15" t="n">
        <f aca="false">Q151*L151</f>
        <v>0.6375</v>
      </c>
      <c r="S151" s="15" t="n">
        <f aca="false">J151-R151</f>
        <v>2.4625</v>
      </c>
      <c r="T151" s="15" t="n">
        <f aca="false">MIN(153.6,(T150+S151))</f>
        <v>153.6</v>
      </c>
      <c r="V151" s="16" t="n">
        <v>96.5</v>
      </c>
      <c r="W151" s="8" t="n">
        <f aca="false">V151/D151</f>
        <v>22.4418604651163</v>
      </c>
      <c r="X151" s="8" t="n">
        <f aca="false">X150+V151</f>
        <v>66739.3</v>
      </c>
      <c r="Y151" s="8" t="n">
        <f aca="false">Y150+V151</f>
        <v>10356</v>
      </c>
      <c r="AA151" s="8" t="n">
        <v>9.00629087690335</v>
      </c>
    </row>
    <row r="152" s="8" customFormat="true" ht="15" hidden="false" customHeight="false" outlineLevel="0" collapsed="false">
      <c r="A152" s="35"/>
      <c r="B152" s="10"/>
      <c r="C152" s="11" t="n">
        <v>41668</v>
      </c>
      <c r="D152" s="18" t="n">
        <v>4.3</v>
      </c>
      <c r="E152" s="18" t="n">
        <v>3.5</v>
      </c>
      <c r="F152" s="8" t="n">
        <v>5.6</v>
      </c>
      <c r="G152" s="8" t="n">
        <f aca="false">G151+D152</f>
        <v>1363.4</v>
      </c>
      <c r="H152" s="8" t="n">
        <f aca="false">H151+D152</f>
        <v>306.5</v>
      </c>
      <c r="J152" s="8" t="n">
        <v>3.5</v>
      </c>
      <c r="K152" s="8" t="n">
        <f aca="false">K151+J152</f>
        <v>446.7</v>
      </c>
      <c r="L152" s="8" t="n">
        <v>1.1</v>
      </c>
      <c r="M152" s="8" t="n">
        <f aca="false">M151+L152</f>
        <v>177.6</v>
      </c>
      <c r="N152" s="8" t="n">
        <f aca="false">J152-L152</f>
        <v>2.4</v>
      </c>
      <c r="O152" s="8" t="n">
        <v>153.6</v>
      </c>
      <c r="P152" s="8" t="n">
        <v>147</v>
      </c>
      <c r="Q152" s="17" t="n">
        <f aca="false">1+((P152-101)/108)*(1.15-1)</f>
        <v>1.06388888888889</v>
      </c>
      <c r="R152" s="15" t="n">
        <f aca="false">Q152*L152</f>
        <v>1.17027777777778</v>
      </c>
      <c r="S152" s="15" t="n">
        <f aca="false">J152-R152</f>
        <v>2.32972222222222</v>
      </c>
      <c r="T152" s="15" t="n">
        <f aca="false">MIN(153.6,(T151+S152))</f>
        <v>153.6</v>
      </c>
      <c r="V152" s="16" t="n">
        <v>271.4</v>
      </c>
      <c r="W152" s="8" t="n">
        <f aca="false">V152/D152</f>
        <v>63.1162790697674</v>
      </c>
      <c r="X152" s="8" t="n">
        <f aca="false">X151+V152</f>
        <v>67010.7</v>
      </c>
      <c r="Y152" s="8" t="n">
        <f aca="false">Y151+V152</f>
        <v>10627.4</v>
      </c>
      <c r="AA152" s="8" t="n">
        <v>9.05708340217562</v>
      </c>
    </row>
    <row r="153" s="8" customFormat="true" ht="15" hidden="false" customHeight="false" outlineLevel="0" collapsed="false">
      <c r="A153" s="35"/>
      <c r="B153" s="10"/>
      <c r="C153" s="11" t="n">
        <v>41669</v>
      </c>
      <c r="D153" s="18" t="n">
        <v>4</v>
      </c>
      <c r="E153" s="18" t="n">
        <v>3.1</v>
      </c>
      <c r="F153" s="18" t="n">
        <v>5</v>
      </c>
      <c r="G153" s="8" t="n">
        <f aca="false">G152+D153</f>
        <v>1367.4</v>
      </c>
      <c r="H153" s="8" t="n">
        <f aca="false">H152+D153</f>
        <v>310.5</v>
      </c>
      <c r="J153" s="8" t="n">
        <v>0.4</v>
      </c>
      <c r="K153" s="8" t="n">
        <f aca="false">K152+J153</f>
        <v>447.1</v>
      </c>
      <c r="L153" s="8" t="n">
        <v>0.4</v>
      </c>
      <c r="M153" s="8" t="n">
        <f aca="false">M152+L153</f>
        <v>178</v>
      </c>
      <c r="N153" s="8" t="n">
        <f aca="false">J153-L153</f>
        <v>0</v>
      </c>
      <c r="O153" s="8" t="n">
        <v>153.6</v>
      </c>
      <c r="P153" s="8" t="n">
        <v>148</v>
      </c>
      <c r="Q153" s="17" t="n">
        <f aca="false">1+((P153-101)/108)*(1.15-1)</f>
        <v>1.06527777777778</v>
      </c>
      <c r="R153" s="15" t="n">
        <f aca="false">Q153*L153</f>
        <v>0.426111111111111</v>
      </c>
      <c r="S153" s="15" t="n">
        <f aca="false">J153-R153</f>
        <v>-0.0261111111111111</v>
      </c>
      <c r="T153" s="15" t="n">
        <f aca="false">MIN(153.6,(T152+S153))</f>
        <v>153.573888888889</v>
      </c>
      <c r="V153" s="16" t="n">
        <v>106.1</v>
      </c>
      <c r="W153" s="8" t="n">
        <f aca="false">V153/D153</f>
        <v>26.525</v>
      </c>
      <c r="X153" s="8" t="n">
        <f aca="false">X152+V153</f>
        <v>67116.8</v>
      </c>
      <c r="Y153" s="8" t="n">
        <f aca="false">Y152+V153</f>
        <v>10733.5</v>
      </c>
      <c r="AA153" s="8" t="n">
        <v>9.10863611643238</v>
      </c>
    </row>
    <row r="154" s="8" customFormat="true" ht="15" hidden="false" customHeight="false" outlineLevel="0" collapsed="false">
      <c r="A154" s="35"/>
      <c r="B154" s="10" t="n">
        <v>10</v>
      </c>
      <c r="C154" s="11" t="n">
        <v>41670</v>
      </c>
      <c r="D154" s="8" t="n">
        <v>5.1</v>
      </c>
      <c r="E154" s="18" t="n">
        <v>1.9</v>
      </c>
      <c r="F154" s="8" t="n">
        <v>7.5</v>
      </c>
      <c r="G154" s="8" t="n">
        <f aca="false">G153+D154</f>
        <v>1372.5</v>
      </c>
      <c r="H154" s="8" t="n">
        <f aca="false">H153+D154</f>
        <v>315.6</v>
      </c>
      <c r="J154" s="8" t="n">
        <v>12.1</v>
      </c>
      <c r="K154" s="8" t="n">
        <f aca="false">K153+J154</f>
        <v>459.2</v>
      </c>
      <c r="L154" s="8" t="n">
        <v>1</v>
      </c>
      <c r="M154" s="8" t="n">
        <f aca="false">M153+L154</f>
        <v>179</v>
      </c>
      <c r="N154" s="8" t="n">
        <f aca="false">J154-L154</f>
        <v>11.1</v>
      </c>
      <c r="O154" s="8" t="n">
        <v>153.6</v>
      </c>
      <c r="P154" s="8" t="n">
        <v>149</v>
      </c>
      <c r="Q154" s="17" t="n">
        <f aca="false">1+((P154-101)/108)*(1.15-1)</f>
        <v>1.06666666666667</v>
      </c>
      <c r="R154" s="15" t="n">
        <f aca="false">Q154*L154</f>
        <v>1.06666666666667</v>
      </c>
      <c r="S154" s="15" t="n">
        <f aca="false">J154-R154</f>
        <v>11.0333333333333</v>
      </c>
      <c r="T154" s="15" t="n">
        <f aca="false">MIN(153.6,(T153+S154))</f>
        <v>153.6</v>
      </c>
      <c r="V154" s="16" t="n">
        <v>571.7</v>
      </c>
      <c r="W154" s="8" t="n">
        <f aca="false">V154/D154</f>
        <v>112.098039215686</v>
      </c>
      <c r="X154" s="8" t="n">
        <f aca="false">X153+V154</f>
        <v>67688.5</v>
      </c>
      <c r="Y154" s="8" t="n">
        <f aca="false">Y153+V154</f>
        <v>11305.2</v>
      </c>
      <c r="AA154" s="8" t="n">
        <v>9.16091795232867</v>
      </c>
    </row>
    <row r="155" s="8" customFormat="true" ht="15" hidden="false" customHeight="false" outlineLevel="0" collapsed="false">
      <c r="A155" s="35"/>
      <c r="B155" s="10"/>
      <c r="C155" s="11" t="n">
        <v>41671</v>
      </c>
      <c r="D155" s="8" t="n">
        <v>6.6</v>
      </c>
      <c r="E155" s="8" t="n">
        <v>5.6</v>
      </c>
      <c r="F155" s="8" t="n">
        <v>8.1</v>
      </c>
      <c r="G155" s="8" t="n">
        <f aca="false">G154+D155</f>
        <v>1379.1</v>
      </c>
      <c r="H155" s="8" t="n">
        <f aca="false">H154+D155</f>
        <v>322.2</v>
      </c>
      <c r="J155" s="8" t="n">
        <v>0.9</v>
      </c>
      <c r="K155" s="8" t="n">
        <f aca="false">K154+J155</f>
        <v>460.1</v>
      </c>
      <c r="L155" s="8" t="n">
        <v>1.3</v>
      </c>
      <c r="M155" s="8" t="n">
        <f aca="false">M154+L155</f>
        <v>180.3</v>
      </c>
      <c r="N155" s="14" t="n">
        <f aca="false">J155-L155</f>
        <v>-0.4</v>
      </c>
      <c r="O155" s="8" t="n">
        <v>153.2</v>
      </c>
      <c r="P155" s="8" t="n">
        <v>150</v>
      </c>
      <c r="Q155" s="17" t="n">
        <f aca="false">1+((P155-101)/108)*(1.15-1)</f>
        <v>1.06805555555556</v>
      </c>
      <c r="R155" s="15" t="n">
        <f aca="false">Q155*L155</f>
        <v>1.38847222222222</v>
      </c>
      <c r="S155" s="15" t="n">
        <f aca="false">J155-R155</f>
        <v>-0.488472222222222</v>
      </c>
      <c r="T155" s="15" t="n">
        <f aca="false">MIN(153.6,(T154+S155))</f>
        <v>153.111527777778</v>
      </c>
      <c r="V155" s="16" t="n">
        <v>373.2</v>
      </c>
      <c r="W155" s="8" t="n">
        <f aca="false">V155/D155</f>
        <v>56.5454545454546</v>
      </c>
      <c r="X155" s="8" t="n">
        <f aca="false">X154+V155</f>
        <v>68061.7</v>
      </c>
      <c r="Y155" s="8" t="n">
        <f aca="false">Y154+V155</f>
        <v>11678.4</v>
      </c>
      <c r="AA155" s="8" t="n">
        <v>9.21389851023566</v>
      </c>
    </row>
    <row r="156" s="8" customFormat="true" ht="15" hidden="false" customHeight="false" outlineLevel="0" collapsed="false">
      <c r="A156" s="35"/>
      <c r="B156" s="10"/>
      <c r="C156" s="11" t="n">
        <v>41672</v>
      </c>
      <c r="D156" s="18" t="n">
        <v>5</v>
      </c>
      <c r="E156" s="18" t="n">
        <v>2.9</v>
      </c>
      <c r="F156" s="8" t="n">
        <v>7.4</v>
      </c>
      <c r="G156" s="8" t="n">
        <f aca="false">G155+D156</f>
        <v>1384.1</v>
      </c>
      <c r="H156" s="8" t="n">
        <f aca="false">H155+D156</f>
        <v>327.2</v>
      </c>
      <c r="J156" s="8" t="n">
        <v>0</v>
      </c>
      <c r="K156" s="8" t="n">
        <f aca="false">K155+J156</f>
        <v>460.1</v>
      </c>
      <c r="L156" s="8" t="n">
        <v>1.2</v>
      </c>
      <c r="M156" s="8" t="n">
        <f aca="false">M155+L156</f>
        <v>181.5</v>
      </c>
      <c r="N156" s="14" t="n">
        <f aca="false">J156-L156</f>
        <v>-1.2</v>
      </c>
      <c r="O156" s="8" t="n">
        <v>152</v>
      </c>
      <c r="P156" s="8" t="n">
        <v>151</v>
      </c>
      <c r="Q156" s="17" t="n">
        <f aca="false">1+((P156-101)/108)*(1.15-1)</f>
        <v>1.06944444444444</v>
      </c>
      <c r="R156" s="15" t="n">
        <f aca="false">Q156*L156</f>
        <v>1.28333333333333</v>
      </c>
      <c r="S156" s="15" t="n">
        <f aca="false">J156-R156</f>
        <v>-1.28333333333333</v>
      </c>
      <c r="T156" s="15" t="n">
        <f aca="false">MIN(153.6,(T155+S156))</f>
        <v>151.828194444444</v>
      </c>
      <c r="V156" s="16" t="n">
        <v>761</v>
      </c>
      <c r="W156" s="8" t="n">
        <f aca="false">V156/D156</f>
        <v>152.2</v>
      </c>
      <c r="X156" s="8" t="n">
        <f aca="false">X155+V156</f>
        <v>68822.7</v>
      </c>
      <c r="Y156" s="8" t="n">
        <f aca="false">Y155+V156</f>
        <v>12439.4</v>
      </c>
      <c r="AA156" s="8" t="n">
        <v>9.26754808551864</v>
      </c>
    </row>
    <row r="157" s="8" customFormat="true" ht="15" hidden="false" customHeight="false" outlineLevel="0" collapsed="false">
      <c r="A157" s="35"/>
      <c r="B157" s="10"/>
      <c r="C157" s="11" t="n">
        <v>41673</v>
      </c>
      <c r="D157" s="18" t="n">
        <v>4</v>
      </c>
      <c r="E157" s="18" t="n">
        <v>0.5</v>
      </c>
      <c r="F157" s="8" t="n">
        <v>7.7</v>
      </c>
      <c r="G157" s="8" t="n">
        <f aca="false">G156+D157</f>
        <v>1388.1</v>
      </c>
      <c r="H157" s="8" t="n">
        <f aca="false">H156+D157</f>
        <v>331.2</v>
      </c>
      <c r="J157" s="8" t="n">
        <v>0.2</v>
      </c>
      <c r="K157" s="8" t="n">
        <f aca="false">K156+J157</f>
        <v>460.3</v>
      </c>
      <c r="L157" s="8" t="n">
        <v>1.1</v>
      </c>
      <c r="M157" s="8" t="n">
        <f aca="false">M156+L157</f>
        <v>182.6</v>
      </c>
      <c r="N157" s="14" t="n">
        <f aca="false">J157-L157</f>
        <v>-0.9</v>
      </c>
      <c r="O157" s="8" t="n">
        <v>151.1</v>
      </c>
      <c r="P157" s="8" t="n">
        <v>152</v>
      </c>
      <c r="Q157" s="17" t="n">
        <f aca="false">1+((P157-101)/108)*(1.15-1)</f>
        <v>1.07083333333333</v>
      </c>
      <c r="R157" s="15" t="n">
        <f aca="false">Q157*L157</f>
        <v>1.17791666666667</v>
      </c>
      <c r="S157" s="15" t="n">
        <f aca="false">J157-R157</f>
        <v>-0.977916666666667</v>
      </c>
      <c r="T157" s="15" t="n">
        <f aca="false">MIN(153.6,(T156+S157))</f>
        <v>150.850277777778</v>
      </c>
      <c r="V157" s="16" t="n">
        <v>789.5</v>
      </c>
      <c r="W157" s="8" t="n">
        <f aca="false">V157/D157</f>
        <v>197.375</v>
      </c>
      <c r="X157" s="8" t="n">
        <f aca="false">X156+V157</f>
        <v>69612.2</v>
      </c>
      <c r="Y157" s="8" t="n">
        <f aca="false">Y156+V157</f>
        <v>13228.9</v>
      </c>
      <c r="AA157" s="8" t="n">
        <v>9.32183769166266</v>
      </c>
    </row>
    <row r="158" s="8" customFormat="true" ht="15" hidden="false" customHeight="false" outlineLevel="0" collapsed="false">
      <c r="A158" s="35"/>
      <c r="B158" s="10"/>
      <c r="C158" s="11" t="n">
        <v>41674</v>
      </c>
      <c r="D158" s="8" t="n">
        <v>6.3</v>
      </c>
      <c r="E158" s="18" t="n">
        <v>3.4</v>
      </c>
      <c r="F158" s="8" t="n">
        <v>7.7</v>
      </c>
      <c r="G158" s="8" t="n">
        <f aca="false">G157+D158</f>
        <v>1394.4</v>
      </c>
      <c r="H158" s="8" t="n">
        <f aca="false">H157+D158</f>
        <v>337.5</v>
      </c>
      <c r="J158" s="8" t="n">
        <v>2</v>
      </c>
      <c r="K158" s="8" t="n">
        <f aca="false">K157+J158</f>
        <v>462.3</v>
      </c>
      <c r="L158" s="8" t="n">
        <v>1.2</v>
      </c>
      <c r="M158" s="8" t="n">
        <f aca="false">M157+L158</f>
        <v>183.8</v>
      </c>
      <c r="N158" s="8" t="n">
        <f aca="false">J158-L158</f>
        <v>0.8</v>
      </c>
      <c r="O158" s="8" t="n">
        <v>153.6</v>
      </c>
      <c r="P158" s="8" t="n">
        <v>153</v>
      </c>
      <c r="Q158" s="17" t="n">
        <f aca="false">1+((P158-101)/108)*(1.15-1)</f>
        <v>1.07222222222222</v>
      </c>
      <c r="R158" s="15" t="n">
        <f aca="false">Q158*L158</f>
        <v>1.28666666666667</v>
      </c>
      <c r="S158" s="15" t="n">
        <f aca="false">J158-R158</f>
        <v>0.713333333333333</v>
      </c>
      <c r="T158" s="15" t="n">
        <f aca="false">MIN(153.6,(T157+S158))</f>
        <v>151.563611111111</v>
      </c>
      <c r="V158" s="16" t="n">
        <v>612.4</v>
      </c>
      <c r="W158" s="8" t="n">
        <f aca="false">V158/D158</f>
        <v>97.2063492063492</v>
      </c>
      <c r="X158" s="8" t="n">
        <f aca="false">X157+V158</f>
        <v>70224.6</v>
      </c>
      <c r="Y158" s="8" t="n">
        <f aca="false">Y157+V158</f>
        <v>13841.3</v>
      </c>
      <c r="AA158" s="8" t="n">
        <v>9.37673907944247</v>
      </c>
    </row>
    <row r="159" s="8" customFormat="true" ht="15" hidden="false" customHeight="false" outlineLevel="0" collapsed="false">
      <c r="A159" s="35"/>
      <c r="B159" s="10"/>
      <c r="C159" s="11" t="n">
        <v>41675</v>
      </c>
      <c r="D159" s="8" t="n">
        <v>7.4</v>
      </c>
      <c r="E159" s="8" t="n">
        <v>5.4</v>
      </c>
      <c r="F159" s="8" t="n">
        <v>8.8</v>
      </c>
      <c r="G159" s="8" t="n">
        <f aca="false">G158+D159</f>
        <v>1401.8</v>
      </c>
      <c r="H159" s="8" t="n">
        <f aca="false">H158+D159</f>
        <v>344.9</v>
      </c>
      <c r="J159" s="8" t="n">
        <v>1.1</v>
      </c>
      <c r="K159" s="8" t="n">
        <f aca="false">K158+J159</f>
        <v>463.4</v>
      </c>
      <c r="L159" s="8" t="n">
        <v>1.6</v>
      </c>
      <c r="M159" s="8" t="n">
        <f aca="false">M158+L159</f>
        <v>185.4</v>
      </c>
      <c r="N159" s="14" t="n">
        <f aca="false">J159-L159</f>
        <v>-0.5</v>
      </c>
      <c r="O159" s="8" t="n">
        <v>153.1</v>
      </c>
      <c r="P159" s="8" t="n">
        <v>154</v>
      </c>
      <c r="Q159" s="17" t="n">
        <f aca="false">1+((P159-101)/108)*(1.15-1)</f>
        <v>1.07361111111111</v>
      </c>
      <c r="R159" s="15" t="n">
        <f aca="false">Q159*L159</f>
        <v>1.71777777777778</v>
      </c>
      <c r="S159" s="15" t="n">
        <f aca="false">J159-R159</f>
        <v>-0.617777777777778</v>
      </c>
      <c r="T159" s="15" t="n">
        <f aca="false">MIN(153.6,(T158+S159))</f>
        <v>150.945833333333</v>
      </c>
      <c r="V159" s="16" t="n">
        <v>373.9</v>
      </c>
      <c r="W159" s="8" t="n">
        <f aca="false">V159/D159</f>
        <v>50.527027027027</v>
      </c>
      <c r="X159" s="8" t="n">
        <f aca="false">X158+V159</f>
        <v>70598.5</v>
      </c>
      <c r="Y159" s="8" t="n">
        <f aca="false">Y158+V159</f>
        <v>14215.2</v>
      </c>
      <c r="AA159" s="8" t="n">
        <v>9.43222475234099</v>
      </c>
    </row>
    <row r="160" s="8" customFormat="true" ht="15" hidden="false" customHeight="false" outlineLevel="0" collapsed="false">
      <c r="A160" s="35"/>
      <c r="B160" s="10"/>
      <c r="C160" s="11" t="n">
        <v>41676</v>
      </c>
      <c r="D160" s="8" t="n">
        <v>7.4</v>
      </c>
      <c r="E160" s="8" t="n">
        <v>5.7</v>
      </c>
      <c r="F160" s="8" t="n">
        <v>10.4</v>
      </c>
      <c r="G160" s="8" t="n">
        <f aca="false">G159+D160</f>
        <v>1409.2</v>
      </c>
      <c r="H160" s="8" t="n">
        <f aca="false">H159+D160</f>
        <v>352.3</v>
      </c>
      <c r="J160" s="8" t="n">
        <v>11.9</v>
      </c>
      <c r="K160" s="8" t="n">
        <f aca="false">K159+J160</f>
        <v>475.3</v>
      </c>
      <c r="L160" s="8" t="n">
        <v>1.5</v>
      </c>
      <c r="M160" s="8" t="n">
        <f aca="false">M159+L160</f>
        <v>186.9</v>
      </c>
      <c r="N160" s="8" t="n">
        <f aca="false">J160-L160</f>
        <v>10.4</v>
      </c>
      <c r="O160" s="8" t="n">
        <v>153.6</v>
      </c>
      <c r="P160" s="8" t="n">
        <v>155</v>
      </c>
      <c r="Q160" s="17" t="n">
        <f aca="false">1+((P160-101)/108)*(1.15-1)</f>
        <v>1.075</v>
      </c>
      <c r="R160" s="15" t="n">
        <f aca="false">Q160*L160</f>
        <v>1.6125</v>
      </c>
      <c r="S160" s="15" t="n">
        <f aca="false">J160-R160</f>
        <v>10.2875</v>
      </c>
      <c r="T160" s="15" t="n">
        <f aca="false">MIN(153.6,(T159+S160))</f>
        <v>153.6</v>
      </c>
      <c r="V160" s="16" t="n">
        <v>182.2</v>
      </c>
      <c r="W160" s="8" t="n">
        <f aca="false">V160/D160</f>
        <v>24.6216216216216</v>
      </c>
      <c r="X160" s="8" t="n">
        <f aca="false">X159+V160</f>
        <v>70780.7</v>
      </c>
      <c r="Y160" s="8" t="n">
        <f aca="false">Y159+V160</f>
        <v>14397.4</v>
      </c>
      <c r="AA160" s="8" t="n">
        <v>9.4882679784248</v>
      </c>
    </row>
    <row r="161" s="8" customFormat="true" ht="15" hidden="false" customHeight="false" outlineLevel="0" collapsed="false">
      <c r="A161" s="35"/>
      <c r="B161" s="10"/>
      <c r="C161" s="11" t="n">
        <v>41677</v>
      </c>
      <c r="D161" s="8" t="n">
        <v>7.7</v>
      </c>
      <c r="E161" s="8" t="n">
        <v>5.9</v>
      </c>
      <c r="F161" s="8" t="n">
        <v>9.8</v>
      </c>
      <c r="G161" s="8" t="n">
        <f aca="false">G160+D161</f>
        <v>1416.9</v>
      </c>
      <c r="H161" s="8" t="n">
        <f aca="false">H160+D161</f>
        <v>360</v>
      </c>
      <c r="J161" s="8" t="n">
        <v>7.6</v>
      </c>
      <c r="K161" s="8" t="n">
        <f aca="false">K160+J161</f>
        <v>482.9</v>
      </c>
      <c r="L161" s="8" t="n">
        <v>1.2</v>
      </c>
      <c r="M161" s="8" t="n">
        <f aca="false">M160+L161</f>
        <v>188.1</v>
      </c>
      <c r="N161" s="8" t="n">
        <f aca="false">J161-L161</f>
        <v>6.4</v>
      </c>
      <c r="O161" s="8" t="n">
        <v>153.6</v>
      </c>
      <c r="P161" s="8" t="n">
        <v>156</v>
      </c>
      <c r="Q161" s="17" t="n">
        <f aca="false">1+((P161-101)/108)*(1.15-1)</f>
        <v>1.07638888888889</v>
      </c>
      <c r="R161" s="15" t="n">
        <f aca="false">Q161*L161</f>
        <v>1.29166666666667</v>
      </c>
      <c r="S161" s="15" t="n">
        <f aca="false">J161-R161</f>
        <v>6.30833333333333</v>
      </c>
      <c r="T161" s="15" t="n">
        <f aca="false">MIN(153.6,(T160+S161))</f>
        <v>153.6</v>
      </c>
      <c r="V161" s="16" t="n">
        <v>98.5</v>
      </c>
      <c r="W161" s="8" t="n">
        <f aca="false">V161/D161</f>
        <v>12.7922077922078</v>
      </c>
      <c r="X161" s="8" t="n">
        <f aca="false">X160+V161</f>
        <v>70879.2</v>
      </c>
      <c r="Y161" s="8" t="n">
        <f aca="false">Y160+V161</f>
        <v>14495.9</v>
      </c>
      <c r="AA161" s="8" t="n">
        <v>9.54484279888826</v>
      </c>
    </row>
    <row r="162" s="8" customFormat="true" ht="15" hidden="false" customHeight="false" outlineLevel="0" collapsed="false">
      <c r="A162" s="35"/>
      <c r="B162" s="10"/>
      <c r="C162" s="11" t="n">
        <v>41678</v>
      </c>
      <c r="D162" s="8" t="n">
        <v>7.6</v>
      </c>
      <c r="E162" s="8" t="n">
        <v>6</v>
      </c>
      <c r="F162" s="8" t="n">
        <v>9</v>
      </c>
      <c r="G162" s="8" t="n">
        <f aca="false">G161+D162</f>
        <v>1424.5</v>
      </c>
      <c r="H162" s="8" t="n">
        <f aca="false">H161+D162</f>
        <v>367.6</v>
      </c>
      <c r="J162" s="8" t="n">
        <v>1.6</v>
      </c>
      <c r="K162" s="8" t="n">
        <f aca="false">K161+J162</f>
        <v>484.5</v>
      </c>
      <c r="L162" s="8" t="n">
        <v>1.3</v>
      </c>
      <c r="M162" s="8" t="n">
        <f aca="false">M161+L162</f>
        <v>189.4</v>
      </c>
      <c r="N162" s="8" t="n">
        <f aca="false">J162-L162</f>
        <v>0.3</v>
      </c>
      <c r="O162" s="8" t="n">
        <v>153.6</v>
      </c>
      <c r="P162" s="8" t="n">
        <v>157</v>
      </c>
      <c r="Q162" s="17" t="n">
        <f aca="false">1+((P162-101)/108)*(1.15-1)</f>
        <v>1.07777777777778</v>
      </c>
      <c r="R162" s="15" t="n">
        <f aca="false">Q162*L162</f>
        <v>1.40111111111111</v>
      </c>
      <c r="S162" s="15" t="n">
        <f aca="false">J162-R162</f>
        <v>0.198888888888889</v>
      </c>
      <c r="T162" s="15" t="n">
        <f aca="false">MIN(153.6,(T161+S162))</f>
        <v>153.6</v>
      </c>
      <c r="V162" s="16" t="n">
        <v>274.6</v>
      </c>
      <c r="W162" s="8" t="n">
        <f aca="false">V162/D162</f>
        <v>36.1315789473684</v>
      </c>
      <c r="X162" s="8" t="n">
        <f aca="false">X161+V162</f>
        <v>71153.8</v>
      </c>
      <c r="Y162" s="8" t="n">
        <f aca="false">Y161+V162</f>
        <v>14770.5</v>
      </c>
      <c r="AA162" s="8" t="n">
        <v>9.60192403347783</v>
      </c>
    </row>
    <row r="163" s="8" customFormat="true" ht="15" hidden="false" customHeight="false" outlineLevel="0" collapsed="false">
      <c r="A163" s="35"/>
      <c r="B163" s="10"/>
      <c r="C163" s="11" t="n">
        <v>41679</v>
      </c>
      <c r="D163" s="8" t="n">
        <v>5.8</v>
      </c>
      <c r="E163" s="18" t="n">
        <v>4.6</v>
      </c>
      <c r="F163" s="8" t="n">
        <v>8</v>
      </c>
      <c r="G163" s="8" t="n">
        <f aca="false">G162+D163</f>
        <v>1430.3</v>
      </c>
      <c r="H163" s="8" t="n">
        <f aca="false">H162+D163</f>
        <v>373.4</v>
      </c>
      <c r="J163" s="8" t="n">
        <v>1.2</v>
      </c>
      <c r="K163" s="8" t="n">
        <f aca="false">K162+J163</f>
        <v>485.7</v>
      </c>
      <c r="L163" s="8" t="n">
        <v>1.9</v>
      </c>
      <c r="M163" s="8" t="n">
        <f aca="false">M162+L163</f>
        <v>191.3</v>
      </c>
      <c r="N163" s="14" t="n">
        <f aca="false">J163-L163</f>
        <v>-0.7</v>
      </c>
      <c r="O163" s="8" t="n">
        <v>152.9</v>
      </c>
      <c r="P163" s="8" t="n">
        <v>158</v>
      </c>
      <c r="Q163" s="17" t="n">
        <f aca="false">1+((P163-101)/108)*(1.15-1)</f>
        <v>1.07916666666667</v>
      </c>
      <c r="R163" s="15" t="n">
        <f aca="false">Q163*L163</f>
        <v>2.05041666666667</v>
      </c>
      <c r="S163" s="15" t="n">
        <f aca="false">J163-R163</f>
        <v>-0.850416666666667</v>
      </c>
      <c r="T163" s="15" t="n">
        <f aca="false">MIN(153.6,(T162+S163))</f>
        <v>152.749583333333</v>
      </c>
      <c r="V163" s="16" t="n">
        <v>435.5</v>
      </c>
      <c r="W163" s="8" t="n">
        <f aca="false">V163/D163</f>
        <v>75.0862068965517</v>
      </c>
      <c r="X163" s="8" t="n">
        <f aca="false">X162+V163</f>
        <v>71589.3</v>
      </c>
      <c r="Y163" s="8" t="n">
        <f aca="false">Y162+V163</f>
        <v>15206</v>
      </c>
      <c r="AA163" s="8" t="n">
        <v>9.65948728300696</v>
      </c>
    </row>
    <row r="164" s="8" customFormat="true" ht="15" hidden="false" customHeight="false" outlineLevel="0" collapsed="false">
      <c r="A164" s="35"/>
      <c r="B164" s="10"/>
      <c r="C164" s="11" t="n">
        <v>41680</v>
      </c>
      <c r="D164" s="8" t="n">
        <v>5.4</v>
      </c>
      <c r="E164" s="18" t="n">
        <v>3.8</v>
      </c>
      <c r="F164" s="8" t="n">
        <v>6.4</v>
      </c>
      <c r="G164" s="8" t="n">
        <f aca="false">G163+D164</f>
        <v>1435.7</v>
      </c>
      <c r="H164" s="8" t="n">
        <f aca="false">H163+D164</f>
        <v>378.8</v>
      </c>
      <c r="J164" s="8" t="n">
        <v>0</v>
      </c>
      <c r="K164" s="8" t="n">
        <f aca="false">K163+J164</f>
        <v>485.7</v>
      </c>
      <c r="L164" s="8" t="n">
        <v>0.8</v>
      </c>
      <c r="M164" s="8" t="n">
        <f aca="false">M163+L164</f>
        <v>192.1</v>
      </c>
      <c r="N164" s="14" t="n">
        <f aca="false">J164-L164</f>
        <v>-0.8</v>
      </c>
      <c r="O164" s="8" t="n">
        <v>152.1</v>
      </c>
      <c r="P164" s="8" t="n">
        <v>159</v>
      </c>
      <c r="Q164" s="17" t="n">
        <f aca="false">1+((P164-101)/108)*(1.15-1)</f>
        <v>1.08055555555556</v>
      </c>
      <c r="R164" s="15" t="n">
        <f aca="false">Q164*L164</f>
        <v>0.864444444444445</v>
      </c>
      <c r="S164" s="15" t="n">
        <f aca="false">J164-R164</f>
        <v>-0.864444444444445</v>
      </c>
      <c r="T164" s="15" t="n">
        <f aca="false">MIN(153.6,(T163+S164))</f>
        <v>151.885138888889</v>
      </c>
      <c r="V164" s="16" t="n">
        <v>119.9</v>
      </c>
      <c r="W164" s="8" t="n">
        <f aca="false">V164/D164</f>
        <v>22.2037037037037</v>
      </c>
      <c r="X164" s="8" t="n">
        <f aca="false">X163+V164</f>
        <v>71709.2</v>
      </c>
      <c r="Y164" s="8" t="n">
        <f aca="false">Y163+V164</f>
        <v>15325.9</v>
      </c>
      <c r="AA164" s="8" t="n">
        <v>9.71750892916911</v>
      </c>
    </row>
    <row r="165" s="8" customFormat="true" ht="15" hidden="false" customHeight="false" outlineLevel="0" collapsed="false">
      <c r="A165" s="35"/>
      <c r="B165" s="10"/>
      <c r="C165" s="11" t="n">
        <v>41681</v>
      </c>
      <c r="D165" s="8" t="n">
        <v>5.4</v>
      </c>
      <c r="E165" s="18" t="n">
        <v>3.3</v>
      </c>
      <c r="F165" s="8" t="n">
        <v>7.3</v>
      </c>
      <c r="G165" s="8" t="n">
        <f aca="false">G164+D165</f>
        <v>1441.1</v>
      </c>
      <c r="H165" s="8" t="n">
        <f aca="false">H164+D165</f>
        <v>384.2</v>
      </c>
      <c r="J165" s="8" t="n">
        <v>4</v>
      </c>
      <c r="K165" s="8" t="n">
        <f aca="false">K164+J165</f>
        <v>489.7</v>
      </c>
      <c r="L165" s="8" t="n">
        <v>1</v>
      </c>
      <c r="M165" s="8" t="n">
        <f aca="false">M164+L165</f>
        <v>193.1</v>
      </c>
      <c r="N165" s="8" t="n">
        <f aca="false">J165-L165</f>
        <v>3</v>
      </c>
      <c r="O165" s="8" t="n">
        <v>153.6</v>
      </c>
      <c r="P165" s="8" t="n">
        <v>160</v>
      </c>
      <c r="Q165" s="17" t="n">
        <f aca="false">1+((P165-101)/108)*(1.15-1)</f>
        <v>1.08194444444444</v>
      </c>
      <c r="R165" s="15" t="n">
        <f aca="false">Q165*L165</f>
        <v>1.08194444444444</v>
      </c>
      <c r="S165" s="15" t="n">
        <f aca="false">J165-R165</f>
        <v>2.91805555555556</v>
      </c>
      <c r="T165" s="15" t="n">
        <f aca="false">MIN(153.6,(T164+S165))</f>
        <v>153.6</v>
      </c>
      <c r="V165" s="16" t="n">
        <v>202.3</v>
      </c>
      <c r="W165" s="8" t="n">
        <f aca="false">V165/D165</f>
        <v>37.462962962963</v>
      </c>
      <c r="X165" s="8" t="n">
        <f aca="false">X164+V165</f>
        <v>71911.5</v>
      </c>
      <c r="Y165" s="8" t="n">
        <f aca="false">Y164+V165</f>
        <v>15528.2</v>
      </c>
      <c r="AA165" s="8" t="n">
        <v>9.77596613185194</v>
      </c>
    </row>
    <row r="166" s="8" customFormat="true" ht="15" hidden="false" customHeight="false" outlineLevel="0" collapsed="false">
      <c r="A166" s="35"/>
      <c r="B166" s="10"/>
      <c r="C166" s="11" t="n">
        <v>41682</v>
      </c>
      <c r="D166" s="8" t="n">
        <v>5.7</v>
      </c>
      <c r="E166" s="18" t="n">
        <v>2.4</v>
      </c>
      <c r="F166" s="8" t="n">
        <v>9</v>
      </c>
      <c r="G166" s="8" t="n">
        <f aca="false">G165+D166</f>
        <v>1446.8</v>
      </c>
      <c r="H166" s="8" t="n">
        <f aca="false">H165+D166</f>
        <v>389.9</v>
      </c>
      <c r="J166" s="8" t="n">
        <v>5.5</v>
      </c>
      <c r="K166" s="8" t="n">
        <f aca="false">K165+J166</f>
        <v>495.2</v>
      </c>
      <c r="L166" s="8" t="n">
        <v>1.3</v>
      </c>
      <c r="M166" s="8" t="n">
        <f aca="false">M165+L166</f>
        <v>194.4</v>
      </c>
      <c r="N166" s="8" t="n">
        <f aca="false">J166-L166</f>
        <v>4.2</v>
      </c>
      <c r="O166" s="8" t="n">
        <v>153.6</v>
      </c>
      <c r="P166" s="8" t="n">
        <v>161</v>
      </c>
      <c r="Q166" s="17" t="n">
        <f aca="false">1+((P166-101)/108)*(1.15-1)</f>
        <v>1.08333333333333</v>
      </c>
      <c r="R166" s="15" t="n">
        <f aca="false">Q166*L166</f>
        <v>1.40833333333333</v>
      </c>
      <c r="S166" s="15" t="n">
        <f aca="false">J166-R166</f>
        <v>4.09166666666667</v>
      </c>
      <c r="T166" s="15" t="n">
        <f aca="false">MIN(153.6,(T165+S166))</f>
        <v>153.6</v>
      </c>
      <c r="V166" s="16" t="n">
        <v>469.4</v>
      </c>
      <c r="W166" s="8" t="n">
        <f aca="false">V166/D166</f>
        <v>82.3508771929825</v>
      </c>
      <c r="X166" s="8" t="n">
        <f aca="false">X165+V166</f>
        <v>72380.9</v>
      </c>
      <c r="Y166" s="8" t="n">
        <f aca="false">Y165+V166</f>
        <v>15997.6</v>
      </c>
      <c r="AA166" s="8" t="n">
        <v>9.8348368241504</v>
      </c>
    </row>
    <row r="167" s="8" customFormat="true" ht="15" hidden="false" customHeight="false" outlineLevel="0" collapsed="false">
      <c r="A167" s="35"/>
      <c r="B167" s="10"/>
      <c r="C167" s="11" t="n">
        <v>41683</v>
      </c>
      <c r="D167" s="18" t="n">
        <v>4.9</v>
      </c>
      <c r="E167" s="18" t="n">
        <v>4.6</v>
      </c>
      <c r="F167" s="8" t="n">
        <v>5.4</v>
      </c>
      <c r="G167" s="8" t="n">
        <f aca="false">G166+D167</f>
        <v>1451.7</v>
      </c>
      <c r="H167" s="8" t="n">
        <f aca="false">H166+D167</f>
        <v>394.8</v>
      </c>
      <c r="J167" s="8" t="n">
        <v>3</v>
      </c>
      <c r="K167" s="8" t="n">
        <f aca="false">K166+J167</f>
        <v>498.2</v>
      </c>
      <c r="L167" s="8" t="n">
        <v>0.8</v>
      </c>
      <c r="M167" s="8" t="n">
        <f aca="false">M166+L167</f>
        <v>195.2</v>
      </c>
      <c r="N167" s="8" t="n">
        <f aca="false">J167-L167</f>
        <v>2.2</v>
      </c>
      <c r="O167" s="8" t="n">
        <v>153.6</v>
      </c>
      <c r="P167" s="8" t="n">
        <v>162</v>
      </c>
      <c r="Q167" s="17" t="n">
        <f aca="false">1+((P167-101)/108)*(1.15-1)</f>
        <v>1.08472222222222</v>
      </c>
      <c r="R167" s="15" t="n">
        <f aca="false">Q167*L167</f>
        <v>0.867777777777778</v>
      </c>
      <c r="S167" s="15" t="n">
        <f aca="false">J167-R167</f>
        <v>2.13222222222222</v>
      </c>
      <c r="T167" s="15" t="n">
        <f aca="false">MIN(153.6,(T166+S167))</f>
        <v>153.6</v>
      </c>
      <c r="V167" s="16" t="n">
        <v>156</v>
      </c>
      <c r="W167" s="8" t="n">
        <f aca="false">V167/D167</f>
        <v>31.8367346938776</v>
      </c>
      <c r="X167" s="8" t="n">
        <f aca="false">X166+V167</f>
        <v>72536.9</v>
      </c>
      <c r="Y167" s="8" t="n">
        <f aca="false">Y166+V167</f>
        <v>16153.6</v>
      </c>
      <c r="AA167" s="8" t="n">
        <v>9.89409970527011</v>
      </c>
    </row>
    <row r="168" s="8" customFormat="true" ht="15" hidden="false" customHeight="false" outlineLevel="0" collapsed="false">
      <c r="A168" s="35"/>
      <c r="B168" s="10"/>
      <c r="C168" s="11" t="n">
        <v>41684</v>
      </c>
      <c r="D168" s="8" t="n">
        <v>5.9</v>
      </c>
      <c r="E168" s="18" t="n">
        <v>2.3</v>
      </c>
      <c r="F168" s="8" t="n">
        <v>12</v>
      </c>
      <c r="G168" s="8" t="n">
        <f aca="false">G167+D168</f>
        <v>1457.6</v>
      </c>
      <c r="H168" s="8" t="n">
        <f aca="false">H167+D168</f>
        <v>400.7</v>
      </c>
      <c r="J168" s="8" t="n">
        <v>5.7</v>
      </c>
      <c r="K168" s="8" t="n">
        <f aca="false">K167+J168</f>
        <v>503.9</v>
      </c>
      <c r="L168" s="8" t="n">
        <v>1.5</v>
      </c>
      <c r="M168" s="8" t="n">
        <f aca="false">M167+L168</f>
        <v>196.7</v>
      </c>
      <c r="N168" s="8" t="n">
        <f aca="false">J168-L168</f>
        <v>4.2</v>
      </c>
      <c r="O168" s="8" t="n">
        <v>153.6</v>
      </c>
      <c r="P168" s="8" t="n">
        <v>163</v>
      </c>
      <c r="Q168" s="17" t="n">
        <f aca="false">1+((P168-101)/108)*(1.15-1)</f>
        <v>1.08611111111111</v>
      </c>
      <c r="R168" s="15" t="n">
        <f aca="false">Q168*L168</f>
        <v>1.62916666666667</v>
      </c>
      <c r="S168" s="15" t="n">
        <f aca="false">J168-R168</f>
        <v>4.07083333333333</v>
      </c>
      <c r="T168" s="15" t="n">
        <f aca="false">MIN(153.6,(T167+S168))</f>
        <v>153.6</v>
      </c>
      <c r="V168" s="16" t="n">
        <v>153.9</v>
      </c>
      <c r="W168" s="8" t="n">
        <f aca="false">V168/D168</f>
        <v>26.0847457627119</v>
      </c>
      <c r="X168" s="8" t="n">
        <f aca="false">X167+V168</f>
        <v>72690.8</v>
      </c>
      <c r="Y168" s="8" t="n">
        <f aca="false">Y167+V168</f>
        <v>16307.5</v>
      </c>
      <c r="AA168" s="8" t="n">
        <v>9.95373423150502</v>
      </c>
    </row>
    <row r="169" s="8" customFormat="true" ht="15" hidden="false" customHeight="false" outlineLevel="0" collapsed="false">
      <c r="A169" s="35"/>
      <c r="B169" s="10"/>
      <c r="C169" s="11" t="n">
        <v>41685</v>
      </c>
      <c r="D169" s="8" t="n">
        <v>9.2</v>
      </c>
      <c r="E169" s="8" t="n">
        <v>7.3</v>
      </c>
      <c r="F169" s="8" t="n">
        <v>11.1</v>
      </c>
      <c r="G169" s="8" t="n">
        <f aca="false">G168+D169</f>
        <v>1466.8</v>
      </c>
      <c r="H169" s="8" t="n">
        <f aca="false">H168+D169</f>
        <v>409.9</v>
      </c>
      <c r="J169" s="8" t="n">
        <v>0.5</v>
      </c>
      <c r="K169" s="8" t="n">
        <f aca="false">K168+J169</f>
        <v>504.4</v>
      </c>
      <c r="L169" s="8" t="n">
        <v>2.5</v>
      </c>
      <c r="M169" s="8" t="n">
        <f aca="false">M168+L169</f>
        <v>199.2</v>
      </c>
      <c r="N169" s="14" t="n">
        <f aca="false">J169-L169</f>
        <v>-2</v>
      </c>
      <c r="O169" s="8" t="n">
        <v>151.6</v>
      </c>
      <c r="P169" s="8" t="n">
        <v>164</v>
      </c>
      <c r="Q169" s="17" t="n">
        <f aca="false">1+((P169-101)/108)*(1.15-1)</f>
        <v>1.0875</v>
      </c>
      <c r="R169" s="15" t="n">
        <f aca="false">Q169*L169</f>
        <v>2.71875</v>
      </c>
      <c r="S169" s="15" t="n">
        <f aca="false">J169-R169</f>
        <v>-2.21875</v>
      </c>
      <c r="T169" s="15" t="n">
        <f aca="false">MIN(153.6,(T168+S169))</f>
        <v>151.38125</v>
      </c>
      <c r="V169" s="16" t="n">
        <v>696.5</v>
      </c>
      <c r="W169" s="8" t="n">
        <f aca="false">V169/D169</f>
        <v>75.7065217391304</v>
      </c>
      <c r="X169" s="8" t="n">
        <f aca="false">X168+V169</f>
        <v>73387.3</v>
      </c>
      <c r="Y169" s="8" t="n">
        <f aca="false">Y168+V169</f>
        <v>17004</v>
      </c>
      <c r="AA169" s="8" t="n">
        <v>10.0137206054658</v>
      </c>
    </row>
    <row r="170" s="8" customFormat="true" ht="15" hidden="false" customHeight="false" outlineLevel="0" collapsed="false">
      <c r="A170" s="35"/>
      <c r="B170" s="10"/>
      <c r="C170" s="11" t="n">
        <v>41686</v>
      </c>
      <c r="D170" s="8" t="n">
        <v>6</v>
      </c>
      <c r="E170" s="8" t="n">
        <v>5.2</v>
      </c>
      <c r="F170" s="8" t="n">
        <v>7.9</v>
      </c>
      <c r="G170" s="8" t="n">
        <f aca="false">G169+D170</f>
        <v>1472.8</v>
      </c>
      <c r="H170" s="8" t="n">
        <f aca="false">H169+D170</f>
        <v>415.9</v>
      </c>
      <c r="J170" s="8" t="n">
        <v>0.3</v>
      </c>
      <c r="K170" s="8" t="n">
        <f aca="false">K169+J170</f>
        <v>504.7</v>
      </c>
      <c r="L170" s="8" t="n">
        <v>1.5</v>
      </c>
      <c r="M170" s="8" t="n">
        <f aca="false">M169+L170</f>
        <v>200.7</v>
      </c>
      <c r="N170" s="14" t="n">
        <f aca="false">J170-L170</f>
        <v>-1.2</v>
      </c>
      <c r="O170" s="8" t="n">
        <v>150.4</v>
      </c>
      <c r="P170" s="8" t="n">
        <v>165</v>
      </c>
      <c r="Q170" s="17" t="n">
        <f aca="false">1+((P170-101)/108)*(1.15-1)</f>
        <v>1.08888888888889</v>
      </c>
      <c r="R170" s="15" t="n">
        <f aca="false">Q170*L170</f>
        <v>1.63333333333333</v>
      </c>
      <c r="S170" s="15" t="n">
        <f aca="false">J170-R170</f>
        <v>-1.33333333333333</v>
      </c>
      <c r="T170" s="15" t="n">
        <f aca="false">MIN(153.6,(T169+S170))</f>
        <v>150.047916666667</v>
      </c>
      <c r="V170" s="16" t="n">
        <v>625.5</v>
      </c>
      <c r="W170" s="8" t="n">
        <f aca="false">V170/D170</f>
        <v>104.25</v>
      </c>
      <c r="X170" s="8" t="n">
        <f aca="false">X169+V170</f>
        <v>74012.8</v>
      </c>
      <c r="Y170" s="8" t="n">
        <f aca="false">Y169+V170</f>
        <v>17629.5</v>
      </c>
      <c r="AA170" s="8" t="n">
        <v>10.0740397637269</v>
      </c>
    </row>
    <row r="171" s="8" customFormat="true" ht="15" hidden="false" customHeight="false" outlineLevel="0" collapsed="false">
      <c r="A171" s="35"/>
      <c r="B171" s="10"/>
      <c r="C171" s="11" t="n">
        <v>41687</v>
      </c>
      <c r="D171" s="8" t="n">
        <v>6.2</v>
      </c>
      <c r="E171" s="18" t="n">
        <v>4.5</v>
      </c>
      <c r="F171" s="8" t="n">
        <v>7.9</v>
      </c>
      <c r="G171" s="8" t="n">
        <f aca="false">G170+D171</f>
        <v>1479</v>
      </c>
      <c r="H171" s="8" t="n">
        <f aca="false">H170+D171</f>
        <v>422.1</v>
      </c>
      <c r="J171" s="8" t="n">
        <v>0</v>
      </c>
      <c r="K171" s="8" t="n">
        <f aca="false">K170+J171</f>
        <v>504.7</v>
      </c>
      <c r="L171" s="8" t="n">
        <v>0.8</v>
      </c>
      <c r="M171" s="8" t="n">
        <f aca="false">M170+L171</f>
        <v>201.5</v>
      </c>
      <c r="N171" s="14" t="n">
        <f aca="false">J171-L171</f>
        <v>-0.8</v>
      </c>
      <c r="O171" s="8" t="n">
        <v>149.6</v>
      </c>
      <c r="P171" s="8" t="n">
        <v>166</v>
      </c>
      <c r="Q171" s="17" t="n">
        <f aca="false">1+((P171-101)/108)*(1.15-1)</f>
        <v>1.09027777777778</v>
      </c>
      <c r="R171" s="15" t="n">
        <f aca="false">Q171*L171</f>
        <v>0.872222222222222</v>
      </c>
      <c r="S171" s="15" t="n">
        <f aca="false">J171-R171</f>
        <v>-0.872222222222222</v>
      </c>
      <c r="T171" s="15" t="n">
        <f aca="false">MIN(153.6,(T170+S171))</f>
        <v>149.175694444444</v>
      </c>
      <c r="V171" s="16" t="n">
        <v>277</v>
      </c>
      <c r="W171" s="8" t="n">
        <f aca="false">V171/D171</f>
        <v>44.6774193548387</v>
      </c>
      <c r="X171" s="8" t="n">
        <f aca="false">X170+V171</f>
        <v>74289.8</v>
      </c>
      <c r="Y171" s="8" t="n">
        <f aca="false">Y170+V171</f>
        <v>17906.5</v>
      </c>
      <c r="AA171" s="8" t="n">
        <v>10.134673363052</v>
      </c>
    </row>
    <row r="172" s="8" customFormat="true" ht="15" hidden="false" customHeight="false" outlineLevel="0" collapsed="false">
      <c r="A172" s="35"/>
      <c r="B172" s="10"/>
      <c r="C172" s="11" t="n">
        <v>41688</v>
      </c>
      <c r="D172" s="8" t="n">
        <v>6.2</v>
      </c>
      <c r="E172" s="18" t="n">
        <v>5</v>
      </c>
      <c r="F172" s="8" t="n">
        <v>7</v>
      </c>
      <c r="G172" s="8" t="n">
        <f aca="false">G171+D172</f>
        <v>1485.2</v>
      </c>
      <c r="H172" s="8" t="n">
        <f aca="false">H171+D172</f>
        <v>428.3</v>
      </c>
      <c r="J172" s="8" t="n">
        <v>0.9</v>
      </c>
      <c r="K172" s="8" t="n">
        <f aca="false">K171+J172</f>
        <v>505.6</v>
      </c>
      <c r="L172" s="8" t="n">
        <v>0.7</v>
      </c>
      <c r="M172" s="8" t="n">
        <f aca="false">M171+L172</f>
        <v>202.2</v>
      </c>
      <c r="N172" s="8" t="n">
        <f aca="false">J172-L172</f>
        <v>0.2</v>
      </c>
      <c r="O172" s="8" t="n">
        <v>149.8</v>
      </c>
      <c r="P172" s="8" t="n">
        <v>167</v>
      </c>
      <c r="Q172" s="17" t="n">
        <f aca="false">1+((P172-101)/108)*(1.15-1)</f>
        <v>1.09166666666667</v>
      </c>
      <c r="R172" s="15" t="n">
        <f aca="false">Q172*L172</f>
        <v>0.764166666666667</v>
      </c>
      <c r="S172" s="15" t="n">
        <f aca="false">J172-R172</f>
        <v>0.135833333333333</v>
      </c>
      <c r="T172" s="15" t="n">
        <f aca="false">MIN(153.6,(T171+S172))</f>
        <v>149.311527777778</v>
      </c>
      <c r="V172" s="16" t="n">
        <v>378.5</v>
      </c>
      <c r="W172" s="8" t="n">
        <f aca="false">V172/D172</f>
        <v>61.0483870967742</v>
      </c>
      <c r="X172" s="8" t="n">
        <f aca="false">X171+V172</f>
        <v>74668.3</v>
      </c>
      <c r="Y172" s="8" t="n">
        <f aca="false">Y171+V172</f>
        <v>18285</v>
      </c>
      <c r="AA172" s="8" t="n">
        <v>10.1956037653486</v>
      </c>
    </row>
    <row r="173" s="8" customFormat="true" ht="15" hidden="false" customHeight="false" outlineLevel="0" collapsed="false">
      <c r="A173" s="35"/>
      <c r="B173" s="10"/>
      <c r="C173" s="11" t="n">
        <v>41689</v>
      </c>
      <c r="D173" s="8" t="n">
        <v>7.4</v>
      </c>
      <c r="E173" s="18" t="n">
        <v>4</v>
      </c>
      <c r="F173" s="8" t="n">
        <v>10.5</v>
      </c>
      <c r="G173" s="8" t="n">
        <f aca="false">G172+D173</f>
        <v>1492.6</v>
      </c>
      <c r="H173" s="8" t="n">
        <f aca="false">H172+D173</f>
        <v>435.7</v>
      </c>
      <c r="J173" s="8" t="n">
        <v>0.4</v>
      </c>
      <c r="K173" s="8" t="n">
        <f aca="false">K172+J173</f>
        <v>506</v>
      </c>
      <c r="L173" s="8" t="n">
        <v>1</v>
      </c>
      <c r="M173" s="8" t="n">
        <f aca="false">M172+L173</f>
        <v>203.2</v>
      </c>
      <c r="N173" s="14" t="n">
        <f aca="false">J173-L173</f>
        <v>-0.6</v>
      </c>
      <c r="O173" s="8" t="n">
        <v>149.2</v>
      </c>
      <c r="P173" s="8" t="n">
        <v>168</v>
      </c>
      <c r="Q173" s="17" t="n">
        <f aca="false">1+((P173-101)/108)*(1.15-1)</f>
        <v>1.09305555555556</v>
      </c>
      <c r="R173" s="15" t="n">
        <f aca="false">Q173*L173</f>
        <v>1.09305555555556</v>
      </c>
      <c r="S173" s="15" t="n">
        <f aca="false">J173-R173</f>
        <v>-0.693055555555555</v>
      </c>
      <c r="T173" s="15" t="n">
        <f aca="false">MIN(153.6,(T172+S173))</f>
        <v>148.618472222222</v>
      </c>
      <c r="V173" s="16" t="n">
        <v>393.6</v>
      </c>
      <c r="W173" s="8" t="n">
        <f aca="false">V173/D173</f>
        <v>53.1891891891892</v>
      </c>
      <c r="X173" s="8" t="n">
        <f aca="false">X172+V173</f>
        <v>75061.9</v>
      </c>
      <c r="Y173" s="8" t="n">
        <f aca="false">Y172+V173</f>
        <v>18678.6</v>
      </c>
      <c r="AA173" s="8" t="n">
        <v>10.2568140214922</v>
      </c>
    </row>
    <row r="174" s="8" customFormat="true" ht="15" hidden="false" customHeight="false" outlineLevel="0" collapsed="false">
      <c r="A174" s="35"/>
      <c r="B174" s="10"/>
      <c r="C174" s="11" t="n">
        <v>41690</v>
      </c>
      <c r="D174" s="8" t="n">
        <v>9.3</v>
      </c>
      <c r="E174" s="8" t="n">
        <v>7.7</v>
      </c>
      <c r="F174" s="8" t="n">
        <v>11.1</v>
      </c>
      <c r="G174" s="8" t="n">
        <f aca="false">G173+D174</f>
        <v>1501.9</v>
      </c>
      <c r="H174" s="8" t="n">
        <f aca="false">H173+D174</f>
        <v>445</v>
      </c>
      <c r="J174" s="8" t="n">
        <v>6.3</v>
      </c>
      <c r="K174" s="8" t="n">
        <f aca="false">K173+J174</f>
        <v>512.3</v>
      </c>
      <c r="L174" s="8" t="n">
        <v>0.6</v>
      </c>
      <c r="M174" s="8" t="n">
        <f aca="false">M173+L174</f>
        <v>203.8</v>
      </c>
      <c r="N174" s="8" t="n">
        <f aca="false">J174-L174</f>
        <v>5.7</v>
      </c>
      <c r="O174" s="8" t="n">
        <v>153.6</v>
      </c>
      <c r="P174" s="8" t="n">
        <v>169</v>
      </c>
      <c r="Q174" s="17" t="n">
        <f aca="false">1+((P174-101)/108)*(1.15-1)</f>
        <v>1.09444444444444</v>
      </c>
      <c r="R174" s="15" t="n">
        <f aca="false">Q174*L174</f>
        <v>0.656666666666667</v>
      </c>
      <c r="S174" s="15" t="n">
        <f aca="false">J174-R174</f>
        <v>5.64333333333333</v>
      </c>
      <c r="T174" s="15" t="n">
        <f aca="false">MIN(153.6,(T173+S174))</f>
        <v>153.6</v>
      </c>
      <c r="V174" s="16" t="n">
        <v>176.1</v>
      </c>
      <c r="W174" s="8" t="n">
        <f aca="false">V174/D174</f>
        <v>18.9354838709677</v>
      </c>
      <c r="X174" s="8" t="n">
        <f aca="false">X173+V174</f>
        <v>75238</v>
      </c>
      <c r="Y174" s="8" t="n">
        <f aca="false">Y173+V174</f>
        <v>18854.7</v>
      </c>
      <c r="AA174" s="8" t="n">
        <v>10.3182878541557</v>
      </c>
    </row>
    <row r="175" s="8" customFormat="true" ht="15" hidden="false" customHeight="false" outlineLevel="0" collapsed="false">
      <c r="A175" s="35"/>
      <c r="B175" s="10"/>
      <c r="C175" s="11" t="n">
        <v>41691</v>
      </c>
      <c r="D175" s="8" t="n">
        <v>6.1</v>
      </c>
      <c r="E175" s="8" t="n">
        <v>5.6</v>
      </c>
      <c r="F175" s="8" t="n">
        <v>6.7</v>
      </c>
      <c r="G175" s="8" t="n">
        <f aca="false">G174+D175</f>
        <v>1508</v>
      </c>
      <c r="H175" s="8" t="n">
        <f aca="false">H174+D175</f>
        <v>451.1</v>
      </c>
      <c r="J175" s="8" t="n">
        <v>1.8</v>
      </c>
      <c r="K175" s="8" t="n">
        <f aca="false">K174+J175</f>
        <v>514.1</v>
      </c>
      <c r="L175" s="8" t="n">
        <v>1.2</v>
      </c>
      <c r="M175" s="8" t="n">
        <f aca="false">M174+L175</f>
        <v>205</v>
      </c>
      <c r="N175" s="8" t="n">
        <f aca="false">J175-L175</f>
        <v>0.6</v>
      </c>
      <c r="O175" s="8" t="n">
        <v>153.6</v>
      </c>
      <c r="P175" s="8" t="n">
        <v>170</v>
      </c>
      <c r="Q175" s="17" t="n">
        <f aca="false">1+((P175-101)/108)*(1.15-1)</f>
        <v>1.09583333333333</v>
      </c>
      <c r="R175" s="15" t="n">
        <f aca="false">Q175*L175</f>
        <v>1.315</v>
      </c>
      <c r="S175" s="15" t="n">
        <f aca="false">J175-R175</f>
        <v>0.485</v>
      </c>
      <c r="T175" s="15" t="n">
        <f aca="false">MIN(153.6,(T174+S175))</f>
        <v>153.6</v>
      </c>
      <c r="V175" s="16" t="n">
        <v>625.7</v>
      </c>
      <c r="W175" s="8" t="n">
        <f aca="false">V175/D175</f>
        <v>102.573770491803</v>
      </c>
      <c r="X175" s="8" t="n">
        <f aca="false">X174+V175</f>
        <v>75863.7</v>
      </c>
      <c r="Y175" s="8" t="n">
        <f aca="false">Y174+V175</f>
        <v>19480.4</v>
      </c>
      <c r="AA175" s="8" t="n">
        <v>10.3800096397642</v>
      </c>
    </row>
    <row r="176" s="8" customFormat="true" ht="15" hidden="false" customHeight="false" outlineLevel="0" collapsed="false">
      <c r="A176" s="35"/>
      <c r="B176" s="10"/>
      <c r="C176" s="11" t="n">
        <v>41692</v>
      </c>
      <c r="D176" s="8" t="n">
        <v>6.6</v>
      </c>
      <c r="E176" s="8" t="n">
        <v>4.5</v>
      </c>
      <c r="F176" s="8" t="n">
        <v>9.5</v>
      </c>
      <c r="G176" s="8" t="n">
        <f aca="false">G175+D176</f>
        <v>1514.6</v>
      </c>
      <c r="H176" s="8" t="n">
        <f aca="false">H175+D176</f>
        <v>457.7</v>
      </c>
      <c r="J176" s="8" t="n">
        <v>0</v>
      </c>
      <c r="K176" s="8" t="n">
        <f aca="false">K175+J176</f>
        <v>514.1</v>
      </c>
      <c r="L176" s="8" t="n">
        <v>1.6</v>
      </c>
      <c r="M176" s="8" t="n">
        <f aca="false">M175+L176</f>
        <v>206.6</v>
      </c>
      <c r="N176" s="14" t="n">
        <f aca="false">J176-L176</f>
        <v>-1.6</v>
      </c>
      <c r="O176" s="8" t="n">
        <v>152</v>
      </c>
      <c r="P176" s="8" t="n">
        <v>171</v>
      </c>
      <c r="Q176" s="17" t="n">
        <f aca="false">1+((P176-101)/108)*(1.15-1)</f>
        <v>1.09722222222222</v>
      </c>
      <c r="R176" s="15" t="n">
        <f aca="false">Q176*L176</f>
        <v>1.75555555555556</v>
      </c>
      <c r="S176" s="15" t="n">
        <f aca="false">J176-R176</f>
        <v>-1.75555555555556</v>
      </c>
      <c r="T176" s="15" t="n">
        <f aca="false">MIN(153.6,(T175+S176))</f>
        <v>151.844444444444</v>
      </c>
      <c r="V176" s="8" t="n">
        <v>908.9</v>
      </c>
      <c r="W176" s="8" t="n">
        <f aca="false">V176/D176</f>
        <v>137.712121212121</v>
      </c>
      <c r="X176" s="8" t="n">
        <f aca="false">X175+V176</f>
        <v>76772.6</v>
      </c>
      <c r="Y176" s="8" t="n">
        <f aca="false">Y175+V176</f>
        <v>20389.3</v>
      </c>
      <c r="AA176" s="8" t="n">
        <v>10.4419643896941</v>
      </c>
    </row>
    <row r="177" s="8" customFormat="true" ht="15" hidden="false" customHeight="false" outlineLevel="0" collapsed="false">
      <c r="A177" s="35"/>
      <c r="B177" s="10"/>
      <c r="C177" s="11" t="n">
        <v>41693</v>
      </c>
      <c r="D177" s="8" t="n">
        <v>8.4</v>
      </c>
      <c r="E177" s="8" t="n">
        <v>4.9</v>
      </c>
      <c r="F177" s="8" t="n">
        <v>12</v>
      </c>
      <c r="G177" s="8" t="n">
        <f aca="false">G176+D177</f>
        <v>1523</v>
      </c>
      <c r="H177" s="8" t="n">
        <f aca="false">H176+D177</f>
        <v>466.1</v>
      </c>
      <c r="J177" s="8" t="n">
        <v>0</v>
      </c>
      <c r="K177" s="8" t="n">
        <f aca="false">K176+J177</f>
        <v>514.1</v>
      </c>
      <c r="L177" s="8" t="n">
        <v>1.2</v>
      </c>
      <c r="M177" s="8" t="n">
        <f aca="false">M176+L177</f>
        <v>207.8</v>
      </c>
      <c r="N177" s="14" t="n">
        <f aca="false">J177-L177</f>
        <v>-1.2</v>
      </c>
      <c r="O177" s="8" t="n">
        <v>150.8</v>
      </c>
      <c r="P177" s="8" t="n">
        <v>172</v>
      </c>
      <c r="Q177" s="17" t="n">
        <f aca="false">1+((P177-101)/108)*(1.15-1)</f>
        <v>1.09861111111111</v>
      </c>
      <c r="R177" s="15" t="n">
        <f aca="false">Q177*L177</f>
        <v>1.31833333333333</v>
      </c>
      <c r="S177" s="15" t="n">
        <f aca="false">J177-R177</f>
        <v>-1.31833333333333</v>
      </c>
      <c r="T177" s="15" t="n">
        <f aca="false">MIN(153.6,(T176+S177))</f>
        <v>150.526111111111</v>
      </c>
      <c r="V177" s="16" t="n">
        <v>747.3</v>
      </c>
      <c r="W177" s="8" t="n">
        <f aca="false">V177/D177</f>
        <v>88.9642857142857</v>
      </c>
      <c r="X177" s="8" t="n">
        <f aca="false">X176+V177</f>
        <v>77519.9</v>
      </c>
      <c r="Y177" s="8" t="n">
        <f aca="false">Y176+V177</f>
        <v>21136.6</v>
      </c>
      <c r="AA177" s="8" t="n">
        <v>10.5041377308199</v>
      </c>
    </row>
    <row r="178" s="8" customFormat="true" ht="15" hidden="false" customHeight="false" outlineLevel="0" collapsed="false">
      <c r="A178" s="35"/>
      <c r="B178" s="10"/>
      <c r="C178" s="11" t="n">
        <v>41694</v>
      </c>
      <c r="D178" s="8" t="n">
        <v>8.9</v>
      </c>
      <c r="E178" s="8" t="n">
        <v>5.5</v>
      </c>
      <c r="F178" s="8" t="n">
        <v>11.9</v>
      </c>
      <c r="G178" s="8" t="n">
        <f aca="false">G177+D178</f>
        <v>1531.9</v>
      </c>
      <c r="H178" s="8" t="n">
        <f aca="false">H177+D178</f>
        <v>475</v>
      </c>
      <c r="J178" s="8" t="n">
        <v>0.1</v>
      </c>
      <c r="K178" s="8" t="n">
        <f aca="false">K177+J178</f>
        <v>514.2</v>
      </c>
      <c r="L178" s="8" t="n">
        <v>1.5</v>
      </c>
      <c r="M178" s="8" t="n">
        <f aca="false">M177+L178</f>
        <v>209.3</v>
      </c>
      <c r="N178" s="14" t="n">
        <f aca="false">J178-L178</f>
        <v>-1.4</v>
      </c>
      <c r="O178" s="8" t="n">
        <v>149.4</v>
      </c>
      <c r="P178" s="8" t="n">
        <v>173</v>
      </c>
      <c r="Q178" s="17" t="n">
        <f aca="false">1+((P178-101)/108)*(1.15-1)</f>
        <v>1.1</v>
      </c>
      <c r="R178" s="15" t="n">
        <f aca="false">Q178*L178</f>
        <v>1.65</v>
      </c>
      <c r="S178" s="15" t="n">
        <f aca="false">J178-R178</f>
        <v>-1.55</v>
      </c>
      <c r="T178" s="15" t="n">
        <f aca="false">MIN(153.6,(T177+S178))</f>
        <v>148.976111111111</v>
      </c>
      <c r="V178" s="16" t="n">
        <v>865.5</v>
      </c>
      <c r="W178" s="8" t="n">
        <f aca="false">V178/D178</f>
        <v>97.247191011236</v>
      </c>
      <c r="X178" s="8" t="n">
        <f aca="false">X177+V178</f>
        <v>78385.4</v>
      </c>
      <c r="Y178" s="8" t="n">
        <f aca="false">Y177+V178</f>
        <v>22002.1</v>
      </c>
      <c r="AA178" s="8" t="n">
        <v>10.5665158855088</v>
      </c>
    </row>
    <row r="179" s="8" customFormat="true" ht="15" hidden="false" customHeight="false" outlineLevel="0" collapsed="false">
      <c r="A179" s="35"/>
      <c r="B179" s="10"/>
      <c r="C179" s="11" t="n">
        <v>41695</v>
      </c>
      <c r="D179" s="8" t="n">
        <v>8.2</v>
      </c>
      <c r="E179" s="8" t="n">
        <v>7.1</v>
      </c>
      <c r="F179" s="8" t="n">
        <v>11.5</v>
      </c>
      <c r="G179" s="8" t="n">
        <f aca="false">G178+D179</f>
        <v>1540.1</v>
      </c>
      <c r="H179" s="8" t="n">
        <f aca="false">H178+D179</f>
        <v>483.2</v>
      </c>
      <c r="J179" s="8" t="n">
        <v>5.2</v>
      </c>
      <c r="K179" s="8" t="n">
        <f aca="false">K178+J179</f>
        <v>519.4</v>
      </c>
      <c r="L179" s="8" t="n">
        <v>1.7</v>
      </c>
      <c r="M179" s="8" t="n">
        <f aca="false">M178+L179</f>
        <v>211</v>
      </c>
      <c r="N179" s="8" t="n">
        <f aca="false">J179-L179</f>
        <v>3.5</v>
      </c>
      <c r="O179" s="8" t="n">
        <v>152.9</v>
      </c>
      <c r="P179" s="8" t="n">
        <v>174</v>
      </c>
      <c r="Q179" s="17" t="n">
        <f aca="false">1+((P179-101)/108)*(1.15-1)</f>
        <v>1.10138888888889</v>
      </c>
      <c r="R179" s="15" t="n">
        <f aca="false">Q179*L179</f>
        <v>1.87236111111111</v>
      </c>
      <c r="S179" s="15" t="n">
        <f aca="false">J179-R179</f>
        <v>3.32763888888889</v>
      </c>
      <c r="T179" s="15" t="n">
        <f aca="false">MIN(153.6,(T178+S179))</f>
        <v>152.30375</v>
      </c>
      <c r="V179" s="16" t="n">
        <v>650.7</v>
      </c>
      <c r="W179" s="8" t="n">
        <f aca="false">V179/D179</f>
        <v>79.3536585365854</v>
      </c>
      <c r="X179" s="8" t="n">
        <f aca="false">X178+V179</f>
        <v>79036.1</v>
      </c>
      <c r="Y179" s="8" t="n">
        <f aca="false">Y178+V179</f>
        <v>22652.8</v>
      </c>
      <c r="AA179" s="8" t="n">
        <v>10.6290856511529</v>
      </c>
    </row>
    <row r="180" s="8" customFormat="true" ht="15" hidden="false" customHeight="false" outlineLevel="0" collapsed="false">
      <c r="A180" s="35"/>
      <c r="B180" s="10"/>
      <c r="C180" s="11" t="n">
        <v>41696</v>
      </c>
      <c r="D180" s="8" t="n">
        <v>6.3</v>
      </c>
      <c r="E180" s="18" t="n">
        <v>3.2</v>
      </c>
      <c r="F180" s="8" t="n">
        <v>9.9</v>
      </c>
      <c r="G180" s="8" t="n">
        <f aca="false">G179+D180</f>
        <v>1546.4</v>
      </c>
      <c r="H180" s="8" t="n">
        <f aca="false">H179+D180</f>
        <v>489.5</v>
      </c>
      <c r="J180" s="8" t="n">
        <v>0.1</v>
      </c>
      <c r="K180" s="8" t="n">
        <f aca="false">K179+J180</f>
        <v>519.5</v>
      </c>
      <c r="L180" s="8" t="n">
        <v>1.5</v>
      </c>
      <c r="M180" s="8" t="n">
        <f aca="false">M179+L180</f>
        <v>212.5</v>
      </c>
      <c r="N180" s="14" t="n">
        <f aca="false">J180-L180</f>
        <v>-1.4</v>
      </c>
      <c r="O180" s="8" t="n">
        <v>151.5</v>
      </c>
      <c r="P180" s="8" t="n">
        <v>175</v>
      </c>
      <c r="Q180" s="17" t="n">
        <f aca="false">1+((P180-101)/108)*(1.15-1)</f>
        <v>1.10277777777778</v>
      </c>
      <c r="R180" s="15" t="n">
        <f aca="false">Q180*L180</f>
        <v>1.65416666666667</v>
      </c>
      <c r="S180" s="15" t="n">
        <f aca="false">J180-R180</f>
        <v>-1.55416666666667</v>
      </c>
      <c r="T180" s="15" t="n">
        <f aca="false">MIN(153.6,(T179+S180))</f>
        <v>150.749583333333</v>
      </c>
      <c r="V180" s="8" t="n">
        <v>974.9</v>
      </c>
      <c r="W180" s="8" t="n">
        <f aca="false">V180/D180</f>
        <v>154.746031746032</v>
      </c>
      <c r="X180" s="8" t="n">
        <f aca="false">X179+V180</f>
        <v>80011</v>
      </c>
      <c r="Y180" s="8" t="n">
        <f aca="false">Y179+V180</f>
        <v>23627.7</v>
      </c>
      <c r="AA180" s="8" t="n">
        <v>10.6918343793206</v>
      </c>
    </row>
    <row r="181" s="8" customFormat="true" ht="15" hidden="false" customHeight="false" outlineLevel="0" collapsed="false">
      <c r="A181" s="35"/>
      <c r="B181" s="10"/>
      <c r="C181" s="11" t="n">
        <v>41697</v>
      </c>
      <c r="D181" s="8" t="n">
        <v>5.2</v>
      </c>
      <c r="E181" s="18" t="n">
        <v>3.6</v>
      </c>
      <c r="F181" s="8" t="n">
        <v>7.2</v>
      </c>
      <c r="G181" s="8" t="n">
        <f aca="false">G180+D181</f>
        <v>1551.6</v>
      </c>
      <c r="H181" s="8" t="n">
        <f aca="false">H180+D181</f>
        <v>494.7</v>
      </c>
      <c r="J181" s="8" t="n">
        <v>4.4</v>
      </c>
      <c r="K181" s="8" t="n">
        <f aca="false">K180+J181</f>
        <v>523.9</v>
      </c>
      <c r="L181" s="8" t="n">
        <v>0.7</v>
      </c>
      <c r="M181" s="8" t="n">
        <f aca="false">M180+L181</f>
        <v>213.2</v>
      </c>
      <c r="N181" s="8" t="n">
        <f aca="false">J181-L181</f>
        <v>3.7</v>
      </c>
      <c r="O181" s="8" t="n">
        <v>153.6</v>
      </c>
      <c r="P181" s="8" t="n">
        <v>176</v>
      </c>
      <c r="Q181" s="17" t="n">
        <f aca="false">1+((P181-101)/108)*(1.15-1)</f>
        <v>1.10416666666667</v>
      </c>
      <c r="R181" s="15" t="n">
        <f aca="false">Q181*L181</f>
        <v>0.772916666666667</v>
      </c>
      <c r="S181" s="15" t="n">
        <f aca="false">J181-R181</f>
        <v>3.62708333333333</v>
      </c>
      <c r="T181" s="15" t="n">
        <f aca="false">MIN(153.6,(T180+S181))</f>
        <v>153.6</v>
      </c>
      <c r="V181" s="16" t="n">
        <v>220</v>
      </c>
      <c r="W181" s="8" t="n">
        <f aca="false">V181/D181</f>
        <v>42.3076923076923</v>
      </c>
      <c r="X181" s="8" t="n">
        <f aca="false">X180+V181</f>
        <v>80231</v>
      </c>
      <c r="Y181" s="8" t="n">
        <f aca="false">Y180+V181</f>
        <v>23847.7</v>
      </c>
      <c r="AA181" s="8" t="n">
        <v>10.7547499546026</v>
      </c>
    </row>
    <row r="182" s="8" customFormat="true" ht="15" hidden="false" customHeight="false" outlineLevel="0" collapsed="false">
      <c r="A182" s="35"/>
      <c r="B182" s="10"/>
      <c r="C182" s="11" t="n">
        <v>41698</v>
      </c>
      <c r="D182" s="18" t="n">
        <v>4.3</v>
      </c>
      <c r="E182" s="18" t="n">
        <v>3.2</v>
      </c>
      <c r="F182" s="8" t="n">
        <v>5.8</v>
      </c>
      <c r="G182" s="8" t="n">
        <f aca="false">G181+D182</f>
        <v>1555.9</v>
      </c>
      <c r="H182" s="8" t="n">
        <f aca="false">H181+D182</f>
        <v>499</v>
      </c>
      <c r="J182" s="8" t="n">
        <v>10.7</v>
      </c>
      <c r="K182" s="8" t="n">
        <f aca="false">K181+J182</f>
        <v>534.6</v>
      </c>
      <c r="L182" s="8" t="n">
        <v>0.4</v>
      </c>
      <c r="M182" s="8" t="n">
        <f aca="false">M181+L182</f>
        <v>213.6</v>
      </c>
      <c r="N182" s="8" t="n">
        <f aca="false">J182-L182</f>
        <v>10.3</v>
      </c>
      <c r="O182" s="8" t="n">
        <v>153.6</v>
      </c>
      <c r="P182" s="8" t="n">
        <v>177</v>
      </c>
      <c r="Q182" s="17" t="n">
        <f aca="false">1+((P182-101)/108)*(1.15-1)</f>
        <v>1.10555555555556</v>
      </c>
      <c r="R182" s="15" t="n">
        <f aca="false">Q182*L182</f>
        <v>0.442222222222222</v>
      </c>
      <c r="S182" s="15" t="n">
        <f aca="false">J182-R182</f>
        <v>10.2577777777778</v>
      </c>
      <c r="T182" s="15" t="n">
        <f aca="false">MIN(153.6,(T181+S182))</f>
        <v>153.6</v>
      </c>
      <c r="V182" s="16" t="n">
        <v>184.8</v>
      </c>
      <c r="W182" s="8" t="n">
        <f aca="false">V182/D182</f>
        <v>42.9767441860465</v>
      </c>
      <c r="X182" s="8" t="n">
        <f aca="false">X181+V182</f>
        <v>80415.8</v>
      </c>
      <c r="Y182" s="8" t="n">
        <f aca="false">Y181+V182</f>
        <v>24032.5</v>
      </c>
      <c r="AA182" s="8" t="n">
        <v>10.8178207732204</v>
      </c>
    </row>
    <row r="183" s="8" customFormat="true" ht="15" hidden="false" customHeight="false" outlineLevel="0" collapsed="false">
      <c r="A183" s="35"/>
      <c r="B183" s="10"/>
      <c r="C183" s="11" t="n">
        <v>41699</v>
      </c>
      <c r="D183" s="18" t="n">
        <v>4.6</v>
      </c>
      <c r="E183" s="18" t="n">
        <v>4.1</v>
      </c>
      <c r="F183" s="8" t="n">
        <v>6.1</v>
      </c>
      <c r="G183" s="8" t="n">
        <f aca="false">G182+D183</f>
        <v>1560.5</v>
      </c>
      <c r="H183" s="8" t="n">
        <f aca="false">H182+D183</f>
        <v>503.6</v>
      </c>
      <c r="J183" s="8" t="n">
        <v>2.5</v>
      </c>
      <c r="K183" s="8" t="n">
        <f aca="false">K182+J183</f>
        <v>537.1</v>
      </c>
      <c r="L183" s="8" t="n">
        <v>0.4</v>
      </c>
      <c r="M183" s="8" t="n">
        <f aca="false">M182+L183</f>
        <v>214</v>
      </c>
      <c r="N183" s="8" t="n">
        <f aca="false">J183-L183</f>
        <v>2.1</v>
      </c>
      <c r="O183" s="8" t="n">
        <v>153.6</v>
      </c>
      <c r="P183" s="8" t="n">
        <v>178</v>
      </c>
      <c r="Q183" s="17" t="n">
        <f aca="false">1+((P183-101)/108)*(1.15-1)</f>
        <v>1.10694444444444</v>
      </c>
      <c r="R183" s="15" t="n">
        <f aca="false">Q183*L183</f>
        <v>0.442777777777778</v>
      </c>
      <c r="S183" s="15" t="n">
        <f aca="false">J183-R183</f>
        <v>2.05722222222222</v>
      </c>
      <c r="T183" s="15" t="n">
        <f aca="false">MIN(153.6,(T182+S183))</f>
        <v>153.6</v>
      </c>
      <c r="V183" s="16" t="n">
        <v>210.9</v>
      </c>
      <c r="W183" s="8" t="n">
        <f aca="false">V183/D183</f>
        <v>45.8478260869565</v>
      </c>
      <c r="X183" s="8" t="n">
        <f aca="false">X182+V183</f>
        <v>80626.7</v>
      </c>
      <c r="Y183" s="8" t="n">
        <f aca="false">Y182+V183</f>
        <v>24243.4</v>
      </c>
      <c r="AA183" s="8" t="n">
        <v>10.8810357214578</v>
      </c>
    </row>
    <row r="184" s="8" customFormat="true" ht="15" hidden="false" customHeight="false" outlineLevel="0" collapsed="false">
      <c r="A184" s="35"/>
      <c r="B184" s="10"/>
      <c r="C184" s="11" t="n">
        <v>41700</v>
      </c>
      <c r="D184" s="8" t="n">
        <v>5.3</v>
      </c>
      <c r="E184" s="18" t="n">
        <v>0.2</v>
      </c>
      <c r="F184" s="8" t="n">
        <v>9.6</v>
      </c>
      <c r="G184" s="8" t="n">
        <f aca="false">G183+D184</f>
        <v>1565.8</v>
      </c>
      <c r="H184" s="8" t="n">
        <f aca="false">H183+D184</f>
        <v>508.9</v>
      </c>
      <c r="J184" s="8" t="n">
        <v>5</v>
      </c>
      <c r="K184" s="8" t="n">
        <f aca="false">K183+J184</f>
        <v>542.1</v>
      </c>
      <c r="L184" s="8" t="n">
        <v>1.5</v>
      </c>
      <c r="M184" s="8" t="n">
        <f aca="false">M183+L184</f>
        <v>215.5</v>
      </c>
      <c r="N184" s="8" t="n">
        <f aca="false">J184-L184</f>
        <v>3.5</v>
      </c>
      <c r="O184" s="8" t="n">
        <v>153.6</v>
      </c>
      <c r="P184" s="8" t="n">
        <v>179</v>
      </c>
      <c r="Q184" s="17" t="n">
        <f aca="false">1+((P184-101)/108)*(1.15-1)</f>
        <v>1.10833333333333</v>
      </c>
      <c r="R184" s="15" t="n">
        <f aca="false">Q184*L184</f>
        <v>1.6625</v>
      </c>
      <c r="S184" s="15" t="n">
        <f aca="false">J184-R184</f>
        <v>3.3375</v>
      </c>
      <c r="T184" s="15" t="n">
        <f aca="false">MIN(153.6,(T183+S184))</f>
        <v>153.6</v>
      </c>
      <c r="V184" s="8" t="n">
        <v>973.7</v>
      </c>
      <c r="W184" s="8" t="n">
        <f aca="false">V184/D184</f>
        <v>183.716981132076</v>
      </c>
      <c r="X184" s="8" t="n">
        <f aca="false">X183+V184</f>
        <v>81600.4</v>
      </c>
      <c r="Y184" s="8" t="n">
        <f aca="false">Y183+V184</f>
        <v>25217.1</v>
      </c>
      <c r="AA184" s="8" t="n">
        <v>10.9443841539697</v>
      </c>
    </row>
    <row r="185" s="8" customFormat="true" ht="15" hidden="false" customHeight="false" outlineLevel="0" collapsed="false">
      <c r="A185" s="35"/>
      <c r="B185" s="10"/>
      <c r="C185" s="11" t="n">
        <v>41701</v>
      </c>
      <c r="D185" s="8" t="n">
        <v>6.5</v>
      </c>
      <c r="E185" s="8" t="n">
        <v>5.5</v>
      </c>
      <c r="F185" s="8" t="n">
        <v>8.9</v>
      </c>
      <c r="G185" s="8" t="n">
        <f aca="false">G184+D185</f>
        <v>1572.3</v>
      </c>
      <c r="H185" s="8" t="n">
        <f aca="false">H184+D185</f>
        <v>515.4</v>
      </c>
      <c r="J185" s="8" t="n">
        <v>3.4</v>
      </c>
      <c r="K185" s="8" t="n">
        <f aca="false">K184+J185</f>
        <v>545.5</v>
      </c>
      <c r="L185" s="8" t="n">
        <v>1.6</v>
      </c>
      <c r="M185" s="8" t="n">
        <f aca="false">M184+L185</f>
        <v>217.1</v>
      </c>
      <c r="N185" s="8" t="n">
        <f aca="false">J185-L185</f>
        <v>1.8</v>
      </c>
      <c r="O185" s="8" t="n">
        <v>153.6</v>
      </c>
      <c r="P185" s="8" t="n">
        <v>180</v>
      </c>
      <c r="Q185" s="17" t="n">
        <f aca="false">1+((P185-101)/108)*(1.15-1)</f>
        <v>1.10972222222222</v>
      </c>
      <c r="R185" s="15" t="n">
        <f aca="false">Q185*L185</f>
        <v>1.77555555555556</v>
      </c>
      <c r="S185" s="15" t="n">
        <f aca="false">J185-R185</f>
        <v>1.62444444444444</v>
      </c>
      <c r="T185" s="15" t="n">
        <f aca="false">MIN(153.6,(T184+S185))</f>
        <v>153.6</v>
      </c>
      <c r="V185" s="16" t="n">
        <v>616.1</v>
      </c>
      <c r="W185" s="8" t="n">
        <f aca="false">V185/D185</f>
        <v>94.7846153846154</v>
      </c>
      <c r="X185" s="8" t="n">
        <f aca="false">X184+V185</f>
        <v>82216.5</v>
      </c>
      <c r="Y185" s="8" t="n">
        <f aca="false">Y184+V185</f>
        <v>25833.2</v>
      </c>
      <c r="AA185" s="8" t="n">
        <v>11.0078558720175</v>
      </c>
    </row>
    <row r="186" s="8" customFormat="true" ht="15" hidden="false" customHeight="false" outlineLevel="0" collapsed="false">
      <c r="A186" s="35"/>
      <c r="B186" s="10"/>
      <c r="C186" s="11" t="n">
        <v>41702</v>
      </c>
      <c r="D186" s="8" t="n">
        <v>5.2</v>
      </c>
      <c r="E186" s="18" t="n">
        <v>2.2</v>
      </c>
      <c r="F186" s="8" t="n">
        <v>9.1</v>
      </c>
      <c r="G186" s="8" t="n">
        <f aca="false">G185+D186</f>
        <v>1577.5</v>
      </c>
      <c r="H186" s="8" t="n">
        <f aca="false">H185+D186</f>
        <v>520.6</v>
      </c>
      <c r="J186" s="8" t="n">
        <v>0.2</v>
      </c>
      <c r="K186" s="8" t="n">
        <f aca="false">K185+J186</f>
        <v>545.7</v>
      </c>
      <c r="L186" s="8" t="n">
        <v>1</v>
      </c>
      <c r="M186" s="8" t="n">
        <f aca="false">M185+L186</f>
        <v>218.1</v>
      </c>
      <c r="N186" s="14" t="n">
        <f aca="false">J186-L186</f>
        <v>-0.8</v>
      </c>
      <c r="O186" s="8" t="n">
        <v>152.8</v>
      </c>
      <c r="P186" s="8" t="n">
        <v>181</v>
      </c>
      <c r="Q186" s="17" t="n">
        <f aca="false">1+((P186-101)/108)*(1.15-1)</f>
        <v>1.11111111111111</v>
      </c>
      <c r="R186" s="15" t="n">
        <f aca="false">Q186*L186</f>
        <v>1.11111111111111</v>
      </c>
      <c r="S186" s="15" t="n">
        <f aca="false">J186-R186</f>
        <v>-0.911111111111111</v>
      </c>
      <c r="T186" s="15" t="n">
        <f aca="false">MIN(153.6,(T185+S186))</f>
        <v>152.688888888889</v>
      </c>
      <c r="V186" s="16" t="n">
        <v>492</v>
      </c>
      <c r="W186" s="8" t="n">
        <f aca="false">V186/D186</f>
        <v>94.6153846153846</v>
      </c>
      <c r="X186" s="8" t="n">
        <f aca="false">X185+V186</f>
        <v>82708.5</v>
      </c>
      <c r="Y186" s="8" t="n">
        <f aca="false">Y185+V186</f>
        <v>26325.2</v>
      </c>
      <c r="AA186" s="8" t="n">
        <v>11.0714411016731</v>
      </c>
    </row>
    <row r="187" s="8" customFormat="true" ht="15" hidden="false" customHeight="false" outlineLevel="0" collapsed="false">
      <c r="A187" s="35"/>
      <c r="B187" s="10"/>
      <c r="C187" s="11" t="n">
        <v>41703</v>
      </c>
      <c r="D187" s="8" t="n">
        <v>6</v>
      </c>
      <c r="E187" s="18" t="n">
        <v>0.5</v>
      </c>
      <c r="F187" s="8" t="n">
        <v>11.8</v>
      </c>
      <c r="G187" s="8" t="n">
        <f aca="false">G186+D187</f>
        <v>1583.5</v>
      </c>
      <c r="H187" s="8" t="n">
        <f aca="false">H186+D187</f>
        <v>526.6</v>
      </c>
      <c r="J187" s="39" t="n">
        <v>0</v>
      </c>
      <c r="K187" s="8" t="n">
        <f aca="false">K186+J187</f>
        <v>545.7</v>
      </c>
      <c r="L187" s="8" t="n">
        <v>1.6</v>
      </c>
      <c r="M187" s="8" t="n">
        <f aca="false">M186+L187</f>
        <v>219.7</v>
      </c>
      <c r="N187" s="14" t="n">
        <f aca="false">J187-L187</f>
        <v>-1.6</v>
      </c>
      <c r="O187" s="8" t="n">
        <v>151.2</v>
      </c>
      <c r="P187" s="8" t="n">
        <v>182</v>
      </c>
      <c r="Q187" s="17" t="n">
        <f aca="false">1+((P187-101)/108)*(1.15-1)</f>
        <v>1.1125</v>
      </c>
      <c r="R187" s="15" t="n">
        <f aca="false">Q187*L187</f>
        <v>1.78</v>
      </c>
      <c r="S187" s="15" t="n">
        <f aca="false">J187-R187</f>
        <v>-1.78</v>
      </c>
      <c r="T187" s="15" t="n">
        <f aca="false">MIN(153.6,(T186+S187))</f>
        <v>150.908888888889</v>
      </c>
      <c r="V187" s="8" t="n">
        <v>1017.4</v>
      </c>
      <c r="W187" s="8" t="n">
        <f aca="false">V187/D187</f>
        <v>169.566666666667</v>
      </c>
      <c r="X187" s="8" t="n">
        <f aca="false">X186+V187</f>
        <v>83725.9</v>
      </c>
      <c r="Y187" s="8" t="n">
        <f aca="false">Y186+V187</f>
        <v>27342.6</v>
      </c>
      <c r="AA187" s="8" t="n">
        <v>11.1351304720285</v>
      </c>
      <c r="AB187" s="40" t="s">
        <v>46</v>
      </c>
    </row>
    <row r="188" s="8" customFormat="true" ht="15" hidden="false" customHeight="false" outlineLevel="0" collapsed="false">
      <c r="A188" s="35"/>
      <c r="B188" s="10"/>
      <c r="C188" s="11" t="n">
        <v>41704</v>
      </c>
      <c r="D188" s="8" t="n">
        <v>6.7</v>
      </c>
      <c r="E188" s="18" t="n">
        <v>0.4</v>
      </c>
      <c r="F188" s="8" t="n">
        <v>12.6</v>
      </c>
      <c r="G188" s="8" t="n">
        <f aca="false">G187+D188</f>
        <v>1590.2</v>
      </c>
      <c r="H188" s="8" t="n">
        <f aca="false">H187+D188</f>
        <v>533.3</v>
      </c>
      <c r="J188" s="39" t="n">
        <v>0</v>
      </c>
      <c r="K188" s="8" t="n">
        <f aca="false">K187+J188</f>
        <v>545.7</v>
      </c>
      <c r="L188" s="8" t="n">
        <v>1.9</v>
      </c>
      <c r="M188" s="8" t="n">
        <f aca="false">M187+L188</f>
        <v>221.6</v>
      </c>
      <c r="N188" s="14" t="n">
        <f aca="false">J188-L188</f>
        <v>-1.9</v>
      </c>
      <c r="O188" s="8" t="n">
        <v>149.3</v>
      </c>
      <c r="P188" s="8" t="n">
        <v>183</v>
      </c>
      <c r="Q188" s="17" t="n">
        <f aca="false">1+((P188-101)/108)*(1.15-1)</f>
        <v>1.11388888888889</v>
      </c>
      <c r="R188" s="15" t="n">
        <f aca="false">Q188*L188</f>
        <v>2.11638888888889</v>
      </c>
      <c r="S188" s="15" t="n">
        <f aca="false">J188-R188</f>
        <v>-2.11638888888889</v>
      </c>
      <c r="T188" s="15" t="n">
        <f aca="false">MIN(153.6,(T187+S188))</f>
        <v>148.7925</v>
      </c>
      <c r="V188" s="8" t="n">
        <v>1270.9</v>
      </c>
      <c r="W188" s="8" t="n">
        <f aca="false">V188/D188</f>
        <v>189.686567164179</v>
      </c>
      <c r="X188" s="8" t="n">
        <f aca="false">X187+V188</f>
        <v>84996.8</v>
      </c>
      <c r="Y188" s="8" t="n">
        <f aca="false">Y187+V188</f>
        <v>28613.5</v>
      </c>
      <c r="AA188" s="8" t="n">
        <v>11.1989149934452</v>
      </c>
      <c r="AB188" s="15" t="n">
        <f aca="false">AVERAGE(T194:T207)</f>
        <v>125.810704365079</v>
      </c>
    </row>
    <row r="189" s="8" customFormat="true" ht="15" hidden="false" customHeight="false" outlineLevel="0" collapsed="false">
      <c r="A189" s="35"/>
      <c r="B189" s="10"/>
      <c r="C189" s="11" t="n">
        <v>41705</v>
      </c>
      <c r="D189" s="8" t="n">
        <v>8.4</v>
      </c>
      <c r="E189" s="18" t="n">
        <v>3.7</v>
      </c>
      <c r="F189" s="8" t="n">
        <v>13.6</v>
      </c>
      <c r="G189" s="8" t="n">
        <f aca="false">G188+D189</f>
        <v>1598.6</v>
      </c>
      <c r="H189" s="8" t="n">
        <f aca="false">H188+D189</f>
        <v>541.7</v>
      </c>
      <c r="J189" s="39" t="n">
        <v>0</v>
      </c>
      <c r="K189" s="8" t="n">
        <f aca="false">K188+J189</f>
        <v>545.7</v>
      </c>
      <c r="L189" s="8" t="n">
        <v>1.7</v>
      </c>
      <c r="M189" s="8" t="n">
        <f aca="false">M188+L189</f>
        <v>223.3</v>
      </c>
      <c r="N189" s="14" t="n">
        <f aca="false">J189-L189</f>
        <v>-1.7</v>
      </c>
      <c r="O189" s="8" t="n">
        <v>147.6</v>
      </c>
      <c r="P189" s="8" t="n">
        <v>184</v>
      </c>
      <c r="Q189" s="17" t="n">
        <f aca="false">1+((P189-101)/108)*(1.15-1)</f>
        <v>1.11527777777778</v>
      </c>
      <c r="R189" s="15" t="n">
        <f aca="false">Q189*L189</f>
        <v>1.89597222222222</v>
      </c>
      <c r="S189" s="15" t="n">
        <f aca="false">J189-R189</f>
        <v>-1.89597222222222</v>
      </c>
      <c r="T189" s="15" t="n">
        <f aca="false">MIN(153.6,(T188+S189))</f>
        <v>146.896527777778</v>
      </c>
      <c r="V189" s="8" t="n">
        <v>930.1</v>
      </c>
      <c r="W189" s="8" t="n">
        <f aca="false">V189/D189</f>
        <v>110.72619047619</v>
      </c>
      <c r="X189" s="8" t="n">
        <f aca="false">X188+V189</f>
        <v>85926.9</v>
      </c>
      <c r="Y189" s="8" t="n">
        <f aca="false">Y188+V189</f>
        <v>29543.6</v>
      </c>
      <c r="AA189" s="8" t="n">
        <v>11.2627860358683</v>
      </c>
      <c r="AB189" s="40" t="s">
        <v>47</v>
      </c>
    </row>
    <row r="190" s="8" customFormat="true" ht="15" hidden="false" customHeight="false" outlineLevel="0" collapsed="false">
      <c r="A190" s="35"/>
      <c r="B190" s="10"/>
      <c r="C190" s="11" t="n">
        <v>41706</v>
      </c>
      <c r="D190" s="8" t="n">
        <v>9.8</v>
      </c>
      <c r="E190" s="18" t="n">
        <v>3.6</v>
      </c>
      <c r="F190" s="8" t="n">
        <v>15.7</v>
      </c>
      <c r="G190" s="8" t="n">
        <f aca="false">G189+D190</f>
        <v>1608.4</v>
      </c>
      <c r="H190" s="8" t="n">
        <f aca="false">H189+D190</f>
        <v>551.5</v>
      </c>
      <c r="J190" s="39" t="n">
        <v>0</v>
      </c>
      <c r="K190" s="8" t="n">
        <f aca="false">K189+J190</f>
        <v>545.7</v>
      </c>
      <c r="L190" s="8" t="n">
        <v>2.4</v>
      </c>
      <c r="M190" s="8" t="n">
        <f aca="false">M189+L190</f>
        <v>225.7</v>
      </c>
      <c r="N190" s="14" t="n">
        <f aca="false">J190-L190</f>
        <v>-2.4</v>
      </c>
      <c r="O190" s="8" t="n">
        <v>145.2</v>
      </c>
      <c r="P190" s="8" t="n">
        <v>185</v>
      </c>
      <c r="Q190" s="17" t="n">
        <f aca="false">1+((P190-101)/108)*(1.15-1)</f>
        <v>1.11666666666667</v>
      </c>
      <c r="R190" s="15" t="n">
        <f aca="false">Q190*L190</f>
        <v>2.68</v>
      </c>
      <c r="S190" s="15" t="n">
        <f aca="false">J190-R190</f>
        <v>-2.68</v>
      </c>
      <c r="T190" s="15" t="n">
        <f aca="false">MIN(153.6,(T189+S190))</f>
        <v>144.216527777778</v>
      </c>
      <c r="V190" s="8" t="n">
        <v>1367.3</v>
      </c>
      <c r="W190" s="8" t="n">
        <f aca="false">V190/D190</f>
        <v>139.520408163265</v>
      </c>
      <c r="X190" s="8" t="n">
        <f aca="false">X189+V190</f>
        <v>87294.2</v>
      </c>
      <c r="Y190" s="8" t="n">
        <f aca="false">Y189+V190</f>
        <v>30910.9</v>
      </c>
      <c r="AA190" s="8" t="n">
        <v>11.3267353072316</v>
      </c>
      <c r="AB190" s="8" t="n">
        <v>7</v>
      </c>
    </row>
    <row r="191" s="8" customFormat="true" ht="15" hidden="false" customHeight="false" outlineLevel="0" collapsed="false">
      <c r="A191" s="35"/>
      <c r="B191" s="10"/>
      <c r="C191" s="11" t="n">
        <v>41707</v>
      </c>
      <c r="D191" s="8" t="n">
        <v>10.7</v>
      </c>
      <c r="E191" s="18" t="n">
        <v>2.9</v>
      </c>
      <c r="F191" s="8" t="n">
        <v>17.3</v>
      </c>
      <c r="G191" s="8" t="n">
        <f aca="false">G190+D191</f>
        <v>1619.1</v>
      </c>
      <c r="H191" s="8" t="n">
        <f aca="false">H190+D191</f>
        <v>562.2</v>
      </c>
      <c r="J191" s="39" t="n">
        <v>0</v>
      </c>
      <c r="K191" s="8" t="n">
        <f aca="false">K190+J191</f>
        <v>545.7</v>
      </c>
      <c r="L191" s="8" t="n">
        <v>2.9</v>
      </c>
      <c r="M191" s="8" t="n">
        <f aca="false">M190+L191</f>
        <v>228.6</v>
      </c>
      <c r="N191" s="14" t="n">
        <f aca="false">J191-L191</f>
        <v>-2.9</v>
      </c>
      <c r="O191" s="8" t="n">
        <v>142.3</v>
      </c>
      <c r="P191" s="8" t="n">
        <v>186</v>
      </c>
      <c r="Q191" s="17" t="n">
        <f aca="false">1+((P191-101)/108)*(1.15-1)</f>
        <v>1.11805555555556</v>
      </c>
      <c r="R191" s="15" t="n">
        <f aca="false">Q191*L191</f>
        <v>3.24236111111111</v>
      </c>
      <c r="S191" s="15" t="n">
        <f aca="false">J191-R191</f>
        <v>-3.24236111111111</v>
      </c>
      <c r="T191" s="15" t="n">
        <f aca="false">MIN(153.6,(T190+S191))</f>
        <v>140.974166666667</v>
      </c>
      <c r="V191" s="8" t="n">
        <v>1597.4</v>
      </c>
      <c r="W191" s="8" t="n">
        <f aca="false">V191/D191</f>
        <v>149.289719626168</v>
      </c>
      <c r="X191" s="8" t="n">
        <f aca="false">X190+V191</f>
        <v>88891.6</v>
      </c>
      <c r="Y191" s="8" t="n">
        <f aca="false">Y190+V191</f>
        <v>32508.3</v>
      </c>
      <c r="AA191" s="8" t="n">
        <v>11.3907548319714</v>
      </c>
      <c r="AB191" s="40" t="s">
        <v>48</v>
      </c>
    </row>
    <row r="192" s="8" customFormat="true" ht="15" hidden="false" customHeight="false" outlineLevel="0" collapsed="false">
      <c r="A192" s="35"/>
      <c r="B192" s="10"/>
      <c r="C192" s="11" t="n">
        <v>41708</v>
      </c>
      <c r="D192" s="8" t="n">
        <v>9.2</v>
      </c>
      <c r="E192" s="18" t="n">
        <v>2.3</v>
      </c>
      <c r="F192" s="8" t="n">
        <v>17.6</v>
      </c>
      <c r="G192" s="8" t="n">
        <f aca="false">G191+D192</f>
        <v>1628.3</v>
      </c>
      <c r="H192" s="8" t="n">
        <f aca="false">H191+D192</f>
        <v>571.4</v>
      </c>
      <c r="J192" s="39" t="n">
        <v>0</v>
      </c>
      <c r="K192" s="8" t="n">
        <f aca="false">K191+J192</f>
        <v>545.7</v>
      </c>
      <c r="L192" s="8" t="n">
        <v>2.8</v>
      </c>
      <c r="M192" s="8" t="n">
        <f aca="false">M191+L192</f>
        <v>231.4</v>
      </c>
      <c r="N192" s="14" t="n">
        <f aca="false">J192-L192</f>
        <v>-2.8</v>
      </c>
      <c r="O192" s="8" t="n">
        <v>139.5</v>
      </c>
      <c r="P192" s="8" t="n">
        <v>187</v>
      </c>
      <c r="Q192" s="17" t="n">
        <f aca="false">1+((P192-101)/108)*(1.15-1)</f>
        <v>1.11944444444444</v>
      </c>
      <c r="R192" s="15" t="n">
        <f aca="false">Q192*L192</f>
        <v>3.13444444444444</v>
      </c>
      <c r="S192" s="15" t="n">
        <f aca="false">J192-R192</f>
        <v>-3.13444444444444</v>
      </c>
      <c r="T192" s="15" t="n">
        <f aca="false">MIN(153.6,(T191+S192))</f>
        <v>137.839722222222</v>
      </c>
      <c r="V192" s="8" t="n">
        <v>1443</v>
      </c>
      <c r="W192" s="8" t="n">
        <f aca="false">V192/D192</f>
        <v>156.847826086957</v>
      </c>
      <c r="X192" s="8" t="n">
        <f aca="false">X191+V192</f>
        <v>90334.6</v>
      </c>
      <c r="Y192" s="8" t="n">
        <f aca="false">Y191+V192</f>
        <v>33951.3</v>
      </c>
      <c r="AA192" s="8" t="n">
        <v>11.4548369296644</v>
      </c>
      <c r="AB192" s="8" t="n">
        <v>6</v>
      </c>
    </row>
    <row r="193" s="8" customFormat="true" ht="15" hidden="false" customHeight="false" outlineLevel="0" collapsed="false">
      <c r="A193" s="35"/>
      <c r="B193" s="10"/>
      <c r="C193" s="11" t="n">
        <v>41709</v>
      </c>
      <c r="D193" s="8" t="n">
        <v>9.3</v>
      </c>
      <c r="E193" s="8" t="n">
        <v>7.7</v>
      </c>
      <c r="F193" s="8" t="n">
        <v>11.1</v>
      </c>
      <c r="G193" s="8" t="n">
        <f aca="false">G192+D193</f>
        <v>1637.6</v>
      </c>
      <c r="H193" s="8" t="n">
        <f aca="false">H192+D193</f>
        <v>580.7</v>
      </c>
      <c r="J193" s="39" t="n">
        <v>0</v>
      </c>
      <c r="K193" s="8" t="n">
        <f aca="false">K192+J193</f>
        <v>545.7</v>
      </c>
      <c r="L193" s="8" t="n">
        <v>1.5</v>
      </c>
      <c r="M193" s="8" t="n">
        <f aca="false">M192+L193</f>
        <v>232.9</v>
      </c>
      <c r="N193" s="14" t="n">
        <f aca="false">J193-L193</f>
        <v>-1.5</v>
      </c>
      <c r="O193" s="8" t="n">
        <v>138</v>
      </c>
      <c r="P193" s="8" t="n">
        <v>188</v>
      </c>
      <c r="Q193" s="17" t="n">
        <f aca="false">1+((P193-101)/108)*(1.15-1)</f>
        <v>1.12083333333333</v>
      </c>
      <c r="R193" s="15" t="n">
        <f aca="false">Q193*L193</f>
        <v>1.68125</v>
      </c>
      <c r="S193" s="15" t="n">
        <f aca="false">J193-R193</f>
        <v>-1.68125</v>
      </c>
      <c r="T193" s="15" t="n">
        <f aca="false">MIN(153.6,(T192+S193))</f>
        <v>136.158472222222</v>
      </c>
      <c r="V193" s="16" t="n">
        <v>807.4</v>
      </c>
      <c r="W193" s="8" t="n">
        <f aca="false">V193/D193</f>
        <v>86.8172043010753</v>
      </c>
      <c r="X193" s="8" t="n">
        <f aca="false">X192+V193</f>
        <v>91142</v>
      </c>
      <c r="Y193" s="8" t="n">
        <f aca="false">Y192+V193</f>
        <v>34758.7</v>
      </c>
      <c r="AA193" s="8" t="n">
        <v>11.5189741938043</v>
      </c>
      <c r="AB193" s="40" t="s">
        <v>49</v>
      </c>
    </row>
    <row r="194" s="8" customFormat="true" ht="15" hidden="false" customHeight="false" outlineLevel="0" collapsed="false">
      <c r="A194" s="35"/>
      <c r="B194" s="10"/>
      <c r="C194" s="11" t="n">
        <v>41710</v>
      </c>
      <c r="D194" s="8" t="n">
        <v>9.7</v>
      </c>
      <c r="E194" s="18" t="n">
        <v>2.8</v>
      </c>
      <c r="F194" s="8" t="n">
        <v>15</v>
      </c>
      <c r="G194" s="8" t="n">
        <f aca="false">G193+D194</f>
        <v>1647.3</v>
      </c>
      <c r="H194" s="8" t="n">
        <f aca="false">H193+D194</f>
        <v>590.4</v>
      </c>
      <c r="J194" s="39" t="n">
        <v>0.1</v>
      </c>
      <c r="K194" s="8" t="n">
        <f aca="false">K193+J194</f>
        <v>545.8</v>
      </c>
      <c r="L194" s="8" t="n">
        <v>2.1</v>
      </c>
      <c r="M194" s="8" t="n">
        <f aca="false">M193+L194</f>
        <v>235</v>
      </c>
      <c r="N194" s="14" t="n">
        <f aca="false">J194-L194</f>
        <v>-2</v>
      </c>
      <c r="O194" s="8" t="n">
        <v>136</v>
      </c>
      <c r="P194" s="8" t="n">
        <v>189</v>
      </c>
      <c r="Q194" s="17" t="n">
        <f aca="false">1+((P194-101)/108)*(1.15-1)</f>
        <v>1.12222222222222</v>
      </c>
      <c r="R194" s="15" t="n">
        <f aca="false">Q194*L194</f>
        <v>2.35666666666667</v>
      </c>
      <c r="S194" s="15" t="n">
        <f aca="false">J194-R194</f>
        <v>-2.25666666666667</v>
      </c>
      <c r="T194" s="41" t="n">
        <f aca="false">MIN(153.6,(T193+S194))</f>
        <v>133.901805555556</v>
      </c>
      <c r="V194" s="8" t="n">
        <v>1586.7</v>
      </c>
      <c r="W194" s="8" t="n">
        <f aca="false">V194/D194</f>
        <v>163.577319587629</v>
      </c>
      <c r="X194" s="8" t="n">
        <f aca="false">X193+V194</f>
        <v>92728.7</v>
      </c>
      <c r="Y194" s="8" t="n">
        <f aca="false">Y193+V194</f>
        <v>36345.4</v>
      </c>
      <c r="AA194" s="8" t="n">
        <v>11.5831594707238</v>
      </c>
      <c r="AB194" s="8" t="n">
        <v>0</v>
      </c>
    </row>
    <row r="195" s="8" customFormat="true" ht="15" hidden="false" customHeight="false" outlineLevel="0" collapsed="false">
      <c r="A195" s="35"/>
      <c r="B195" s="10"/>
      <c r="C195" s="11" t="n">
        <v>41711</v>
      </c>
      <c r="D195" s="8" t="n">
        <v>8.2</v>
      </c>
      <c r="E195" s="18" t="n">
        <v>1.6</v>
      </c>
      <c r="F195" s="8" t="n">
        <v>13.5</v>
      </c>
      <c r="G195" s="8" t="n">
        <f aca="false">G194+D195</f>
        <v>1655.5</v>
      </c>
      <c r="H195" s="8" t="n">
        <f aca="false">H194+D195</f>
        <v>598.6</v>
      </c>
      <c r="J195" s="39" t="n">
        <v>0.2</v>
      </c>
      <c r="K195" s="8" t="n">
        <f aca="false">K194+J195</f>
        <v>546</v>
      </c>
      <c r="L195" s="8" t="n">
        <v>1.9</v>
      </c>
      <c r="M195" s="8" t="n">
        <f aca="false">M194+L195</f>
        <v>236.9</v>
      </c>
      <c r="N195" s="14" t="n">
        <f aca="false">J195-L195</f>
        <v>-1.7</v>
      </c>
      <c r="O195" s="8" t="n">
        <v>134.3</v>
      </c>
      <c r="P195" s="8" t="n">
        <v>190</v>
      </c>
      <c r="Q195" s="17" t="n">
        <f aca="false">1+((P195-101)/108)*(1.15-1)</f>
        <v>1.12361111111111</v>
      </c>
      <c r="R195" s="15" t="n">
        <f aca="false">Q195*L195</f>
        <v>2.13486111111111</v>
      </c>
      <c r="S195" s="15" t="n">
        <f aca="false">J195-R195</f>
        <v>-1.93486111111111</v>
      </c>
      <c r="T195" s="41" t="n">
        <f aca="false">MIN(153.6,(T194+S195))</f>
        <v>131.966944444444</v>
      </c>
      <c r="V195" s="8" t="n">
        <v>1511.8</v>
      </c>
      <c r="W195" s="8" t="n">
        <f aca="false">V195/D195</f>
        <v>184.365853658537</v>
      </c>
      <c r="X195" s="8" t="n">
        <f aca="false">X194+V195</f>
        <v>94240.5</v>
      </c>
      <c r="Y195" s="8" t="n">
        <f aca="false">Y194+V195</f>
        <v>37857.2</v>
      </c>
      <c r="AA195" s="8" t="n">
        <v>11.6473858386702</v>
      </c>
      <c r="AB195" s="40" t="s">
        <v>50</v>
      </c>
    </row>
    <row r="196" s="8" customFormat="true" ht="15" hidden="false" customHeight="false" outlineLevel="0" collapsed="false">
      <c r="A196" s="35"/>
      <c r="B196" s="10"/>
      <c r="C196" s="11" t="n">
        <v>41712</v>
      </c>
      <c r="D196" s="8" t="n">
        <v>8</v>
      </c>
      <c r="E196" s="18" t="n">
        <v>1.7</v>
      </c>
      <c r="F196" s="8" t="n">
        <v>12.4</v>
      </c>
      <c r="G196" s="8" t="n">
        <f aca="false">G195+D196</f>
        <v>1663.5</v>
      </c>
      <c r="H196" s="8" t="n">
        <f aca="false">H195+D196</f>
        <v>606.6</v>
      </c>
      <c r="J196" s="39" t="n">
        <v>0</v>
      </c>
      <c r="K196" s="8" t="n">
        <f aca="false">K195+J196</f>
        <v>546</v>
      </c>
      <c r="L196" s="8" t="n">
        <v>1.7</v>
      </c>
      <c r="M196" s="8" t="n">
        <f aca="false">M195+L196</f>
        <v>238.6</v>
      </c>
      <c r="N196" s="14" t="n">
        <f aca="false">J196-L196</f>
        <v>-1.7</v>
      </c>
      <c r="O196" s="8" t="n">
        <v>132.6</v>
      </c>
      <c r="P196" s="8" t="n">
        <v>191</v>
      </c>
      <c r="Q196" s="17" t="n">
        <f aca="false">1+((P196-101)/108)*(1.15-1)</f>
        <v>1.125</v>
      </c>
      <c r="R196" s="15" t="n">
        <f aca="false">Q196*L196</f>
        <v>1.9125</v>
      </c>
      <c r="S196" s="15" t="n">
        <f aca="false">J196-R196</f>
        <v>-1.9125</v>
      </c>
      <c r="T196" s="41" t="n">
        <f aca="false">MIN(153.6,(T195+S196))</f>
        <v>130.054444444444</v>
      </c>
      <c r="V196" s="8" t="n">
        <v>1451.9</v>
      </c>
      <c r="W196" s="8" t="n">
        <f aca="false">V196/D196</f>
        <v>181.4875</v>
      </c>
      <c r="X196" s="8" t="n">
        <f aca="false">X195+V196</f>
        <v>95692.4</v>
      </c>
      <c r="Y196" s="8" t="n">
        <f aca="false">Y195+V196</f>
        <v>39309.1</v>
      </c>
      <c r="AA196" s="8" t="n">
        <v>11.7116465870386</v>
      </c>
      <c r="AB196" s="8" t="n">
        <f aca="false">SUM(J198:J207)</f>
        <v>17.7</v>
      </c>
    </row>
    <row r="197" s="44" customFormat="true" ht="15" hidden="false" customHeight="false" outlineLevel="0" collapsed="false">
      <c r="A197" s="35"/>
      <c r="B197" s="42" t="s">
        <v>51</v>
      </c>
      <c r="C197" s="43" t="n">
        <v>41713</v>
      </c>
      <c r="D197" s="44" t="n">
        <v>10</v>
      </c>
      <c r="E197" s="44" t="n">
        <v>7.5</v>
      </c>
      <c r="F197" s="44" t="n">
        <v>12</v>
      </c>
      <c r="G197" s="44" t="n">
        <f aca="false">G196+D197</f>
        <v>1673.5</v>
      </c>
      <c r="H197" s="44" t="n">
        <f aca="false">H196+D197</f>
        <v>616.6</v>
      </c>
      <c r="J197" s="44" t="n">
        <v>0</v>
      </c>
      <c r="K197" s="44" t="n">
        <f aca="false">K196+J197</f>
        <v>546</v>
      </c>
      <c r="L197" s="44" t="n">
        <v>1.9</v>
      </c>
      <c r="M197" s="44" t="n">
        <f aca="false">M196+L197</f>
        <v>240.5</v>
      </c>
      <c r="N197" s="44" t="n">
        <f aca="false">J197-L197</f>
        <v>-1.9</v>
      </c>
      <c r="O197" s="44" t="n">
        <v>130.7</v>
      </c>
      <c r="P197" s="44" t="n">
        <v>192</v>
      </c>
      <c r="Q197" s="45" t="n">
        <f aca="false">1+((P197-101)/108)*(1.15-1)</f>
        <v>1.12638888888889</v>
      </c>
      <c r="R197" s="46" t="n">
        <f aca="false">Q197*L197</f>
        <v>2.14013888888889</v>
      </c>
      <c r="S197" s="46" t="n">
        <f aca="false">J197-R197</f>
        <v>-2.14013888888889</v>
      </c>
      <c r="T197" s="46" t="n">
        <f aca="false">MIN(153.6,(T196+S197))</f>
        <v>127.914305555556</v>
      </c>
      <c r="V197" s="44" t="n">
        <v>708.5</v>
      </c>
      <c r="W197" s="44" t="n">
        <f aca="false">V197/D197</f>
        <v>70.85</v>
      </c>
      <c r="X197" s="44" t="n">
        <f aca="false">X196+V197</f>
        <v>96400.9</v>
      </c>
      <c r="Y197" s="44" t="n">
        <f aca="false">Y196+V197</f>
        <v>40017.6</v>
      </c>
      <c r="AA197" s="44" t="n">
        <v>11.7759351957624</v>
      </c>
    </row>
    <row r="198" s="8" customFormat="true" ht="15" hidden="false" customHeight="false" outlineLevel="0" collapsed="false">
      <c r="A198" s="35"/>
      <c r="B198" s="10"/>
      <c r="C198" s="11" t="n">
        <v>41714</v>
      </c>
      <c r="D198" s="8" t="n">
        <v>11.3</v>
      </c>
      <c r="E198" s="8" t="n">
        <v>7</v>
      </c>
      <c r="F198" s="8" t="n">
        <v>15.7</v>
      </c>
      <c r="G198" s="8" t="n">
        <f aca="false">G197+D198</f>
        <v>1684.8</v>
      </c>
      <c r="H198" s="8" t="n">
        <f aca="false">H197+D198</f>
        <v>627.9</v>
      </c>
      <c r="J198" s="39" t="n">
        <v>0</v>
      </c>
      <c r="K198" s="8" t="n">
        <f aca="false">K197+J198</f>
        <v>546</v>
      </c>
      <c r="L198" s="8" t="n">
        <v>2.5</v>
      </c>
      <c r="M198" s="8" t="n">
        <f aca="false">M197+L198</f>
        <v>243</v>
      </c>
      <c r="N198" s="14" t="n">
        <f aca="false">J198-L198</f>
        <v>-2.5</v>
      </c>
      <c r="O198" s="8" t="n">
        <v>128.2</v>
      </c>
      <c r="P198" s="8" t="n">
        <v>193</v>
      </c>
      <c r="Q198" s="17" t="n">
        <f aca="false">1+((P198-101)/108)*(1.15-1)</f>
        <v>1.12777777777778</v>
      </c>
      <c r="R198" s="15" t="n">
        <f aca="false">Q198*L198</f>
        <v>2.81944444444444</v>
      </c>
      <c r="S198" s="15" t="n">
        <f aca="false">J198-R198</f>
        <v>-2.81944444444444</v>
      </c>
      <c r="T198" s="41" t="n">
        <f aca="false">MIN(153.6,(T197+S198))</f>
        <v>125.094861111111</v>
      </c>
      <c r="V198" s="8" t="n">
        <v>1581.7</v>
      </c>
      <c r="W198" s="8" t="n">
        <f aca="false">V198/D198</f>
        <v>139.973451327434</v>
      </c>
      <c r="X198" s="8" t="n">
        <f aca="false">X197+V198</f>
        <v>97982.6</v>
      </c>
      <c r="Y198" s="8" t="n">
        <f aca="false">Y197+V198</f>
        <v>41599.3</v>
      </c>
      <c r="AA198" s="8" t="n">
        <v>11.8402453148647</v>
      </c>
    </row>
    <row r="199" s="8" customFormat="true" ht="15" hidden="false" customHeight="false" outlineLevel="0" collapsed="false">
      <c r="A199" s="35"/>
      <c r="B199" s="10"/>
      <c r="C199" s="11" t="n">
        <v>41715</v>
      </c>
      <c r="D199" s="8" t="n">
        <v>10.3</v>
      </c>
      <c r="E199" s="8" t="n">
        <v>8.2</v>
      </c>
      <c r="F199" s="8" t="n">
        <v>13.1</v>
      </c>
      <c r="G199" s="8" t="n">
        <f aca="false">G198+D199</f>
        <v>1695.1</v>
      </c>
      <c r="H199" s="8" t="n">
        <f aca="false">H198+D199</f>
        <v>638.2</v>
      </c>
      <c r="J199" s="39" t="n">
        <v>0</v>
      </c>
      <c r="K199" s="8" t="n">
        <f aca="false">K198+J199</f>
        <v>546</v>
      </c>
      <c r="L199" s="8" t="n">
        <v>1.7</v>
      </c>
      <c r="M199" s="8" t="n">
        <f aca="false">M198+L199</f>
        <v>244.7</v>
      </c>
      <c r="N199" s="14" t="n">
        <f aca="false">J199-L199</f>
        <v>-1.7</v>
      </c>
      <c r="O199" s="8" t="n">
        <v>126.5</v>
      </c>
      <c r="P199" s="8" t="n">
        <v>194</v>
      </c>
      <c r="Q199" s="17" t="n">
        <f aca="false">1+((P199-101)/108)*(1.15-1)</f>
        <v>1.12916666666667</v>
      </c>
      <c r="R199" s="15" t="n">
        <f aca="false">Q199*L199</f>
        <v>1.91958333333333</v>
      </c>
      <c r="S199" s="15" t="n">
        <f aca="false">J199-R199</f>
        <v>-1.91958333333333</v>
      </c>
      <c r="T199" s="41" t="n">
        <f aca="false">MIN(153.6,(T198+S199))</f>
        <v>123.175277777778</v>
      </c>
      <c r="V199" s="16" t="n">
        <v>730.5</v>
      </c>
      <c r="W199" s="8" t="n">
        <f aca="false">V199/D199</f>
        <v>70.9223300970874</v>
      </c>
      <c r="X199" s="8" t="n">
        <f aca="false">X198+V199</f>
        <v>98713.1</v>
      </c>
      <c r="Y199" s="8" t="n">
        <f aca="false">Y198+V199</f>
        <v>42329.8</v>
      </c>
      <c r="AA199" s="8" t="n">
        <v>11.9045707441638</v>
      </c>
      <c r="AD199" s="40" t="s">
        <v>46</v>
      </c>
    </row>
    <row r="200" s="8" customFormat="true" ht="15" hidden="false" customHeight="false" outlineLevel="0" collapsed="false">
      <c r="A200" s="35"/>
      <c r="B200" s="10"/>
      <c r="C200" s="11" t="n">
        <v>41716</v>
      </c>
      <c r="D200" s="8" t="n">
        <v>9.6</v>
      </c>
      <c r="E200" s="8" t="n">
        <v>8.9</v>
      </c>
      <c r="F200" s="8" t="n">
        <v>10</v>
      </c>
      <c r="G200" s="8" t="n">
        <f aca="false">G199+D200</f>
        <v>1704.7</v>
      </c>
      <c r="H200" s="8" t="n">
        <f aca="false">H199+D200</f>
        <v>647.8</v>
      </c>
      <c r="J200" s="39" t="n">
        <v>0</v>
      </c>
      <c r="K200" s="8" t="n">
        <f aca="false">K199+J200</f>
        <v>546</v>
      </c>
      <c r="L200" s="8" t="n">
        <v>1.5</v>
      </c>
      <c r="M200" s="8" t="n">
        <f aca="false">M199+L200</f>
        <v>246.2</v>
      </c>
      <c r="N200" s="14" t="n">
        <f aca="false">J200-L200</f>
        <v>-1.5</v>
      </c>
      <c r="O200" s="8" t="n">
        <v>125</v>
      </c>
      <c r="P200" s="8" t="n">
        <v>195</v>
      </c>
      <c r="Q200" s="17" t="n">
        <f aca="false">1+((P200-101)/108)*(1.15-1)</f>
        <v>1.13055555555556</v>
      </c>
      <c r="R200" s="15" t="n">
        <f aca="false">Q200*L200</f>
        <v>1.69583333333333</v>
      </c>
      <c r="S200" s="15" t="n">
        <f aca="false">J200-R200</f>
        <v>-1.69583333333333</v>
      </c>
      <c r="T200" s="41" t="n">
        <f aca="false">MIN(153.6,(T199+S200))</f>
        <v>121.479444444444</v>
      </c>
      <c r="V200" s="16" t="n">
        <v>238.9</v>
      </c>
      <c r="W200" s="8" t="n">
        <f aca="false">V200/D200</f>
        <v>24.8854166666667</v>
      </c>
      <c r="X200" s="8" t="n">
        <f aca="false">X199+V200</f>
        <v>98952</v>
      </c>
      <c r="Y200" s="8" t="n">
        <f aca="false">Y199+V200</f>
        <v>42568.7</v>
      </c>
      <c r="AA200" s="8" t="n">
        <v>11.9689054131336</v>
      </c>
      <c r="AD200" s="17" t="n">
        <f aca="false">(AB188*(50/170))+(AB204*(120/170))</f>
        <v>108.758722572362</v>
      </c>
    </row>
    <row r="201" s="8" customFormat="true" ht="15" hidden="false" customHeight="false" outlineLevel="0" collapsed="false">
      <c r="A201" s="35"/>
      <c r="B201" s="10"/>
      <c r="C201" s="11" t="n">
        <v>41717</v>
      </c>
      <c r="D201" s="8" t="n">
        <v>10.5</v>
      </c>
      <c r="E201" s="8" t="n">
        <v>6.3</v>
      </c>
      <c r="F201" s="8" t="n">
        <v>14.8</v>
      </c>
      <c r="G201" s="8" t="n">
        <f aca="false">G200+D201</f>
        <v>1715.2</v>
      </c>
      <c r="H201" s="8" t="n">
        <f aca="false">H200+D201</f>
        <v>658.3</v>
      </c>
      <c r="J201" s="39" t="n">
        <v>0</v>
      </c>
      <c r="K201" s="8" t="n">
        <f aca="false">K200+J201</f>
        <v>546</v>
      </c>
      <c r="L201" s="8" t="n">
        <v>2.2</v>
      </c>
      <c r="M201" s="8" t="n">
        <f aca="false">M200+L201</f>
        <v>248.4</v>
      </c>
      <c r="N201" s="14" t="n">
        <f aca="false">J201-L201</f>
        <v>-2.2</v>
      </c>
      <c r="O201" s="8" t="n">
        <v>122.8</v>
      </c>
      <c r="P201" s="8" t="n">
        <v>196</v>
      </c>
      <c r="Q201" s="17" t="n">
        <f aca="false">1+((P201-101)/108)*(1.15-1)</f>
        <v>1.13194444444444</v>
      </c>
      <c r="R201" s="15" t="n">
        <f aca="false">Q201*L201</f>
        <v>2.49027777777778</v>
      </c>
      <c r="S201" s="15" t="n">
        <f aca="false">J201-R201</f>
        <v>-2.49027777777778</v>
      </c>
      <c r="T201" s="41" t="n">
        <f aca="false">MIN(153.6,(T200+S201))</f>
        <v>118.989166666667</v>
      </c>
      <c r="V201" s="8" t="n">
        <v>1485.4</v>
      </c>
      <c r="W201" s="8" t="n">
        <f aca="false">V201/D201</f>
        <v>141.466666666667</v>
      </c>
      <c r="X201" s="8" t="n">
        <f aca="false">X200+V201</f>
        <v>100437.4</v>
      </c>
      <c r="Y201" s="8" t="n">
        <f aca="false">Y200+V201</f>
        <v>44054.1</v>
      </c>
      <c r="AA201" s="8" t="n">
        <v>12.0332433609106</v>
      </c>
      <c r="AD201" s="40" t="s">
        <v>47</v>
      </c>
    </row>
    <row r="202" s="8" customFormat="true" ht="15" hidden="false" customHeight="false" outlineLevel="0" collapsed="false">
      <c r="A202" s="35"/>
      <c r="B202" s="10"/>
      <c r="C202" s="11" t="n">
        <v>41718</v>
      </c>
      <c r="D202" s="8" t="n">
        <v>12.9</v>
      </c>
      <c r="E202" s="8" t="n">
        <v>7.1</v>
      </c>
      <c r="F202" s="8" t="n">
        <v>18.2</v>
      </c>
      <c r="G202" s="8" t="n">
        <f aca="false">G201+D202</f>
        <v>1728.1</v>
      </c>
      <c r="H202" s="8" t="n">
        <f aca="false">H201+D202</f>
        <v>671.2</v>
      </c>
      <c r="J202" s="39" t="n">
        <v>4.6</v>
      </c>
      <c r="K202" s="8" t="n">
        <f aca="false">K201+J202</f>
        <v>550.6</v>
      </c>
      <c r="L202" s="8" t="n">
        <v>3.1</v>
      </c>
      <c r="M202" s="8" t="n">
        <f aca="false">M201+L202</f>
        <v>251.5</v>
      </c>
      <c r="N202" s="8" t="n">
        <f aca="false">J202-L202</f>
        <v>1.5</v>
      </c>
      <c r="O202" s="8" t="n">
        <v>124.3</v>
      </c>
      <c r="P202" s="8" t="n">
        <v>197</v>
      </c>
      <c r="Q202" s="17" t="n">
        <f aca="false">1+((P202-101)/108)*(1.15-1)</f>
        <v>1.13333333333333</v>
      </c>
      <c r="R202" s="15" t="n">
        <f aca="false">Q202*L202</f>
        <v>3.51333333333333</v>
      </c>
      <c r="S202" s="15" t="n">
        <f aca="false">J202-R202</f>
        <v>1.08666666666667</v>
      </c>
      <c r="T202" s="41" t="n">
        <f aca="false">MIN(153.6,(T201+S202))</f>
        <v>120.075833333333</v>
      </c>
      <c r="V202" s="8" t="n">
        <v>1675.4</v>
      </c>
      <c r="W202" s="8" t="n">
        <f aca="false">V202/D202</f>
        <v>129.875968992248</v>
      </c>
      <c r="X202" s="8" t="n">
        <f aca="false">X201+V202</f>
        <v>102112.8</v>
      </c>
      <c r="Y202" s="8" t="n">
        <f aca="false">Y201+V202</f>
        <v>45729.5</v>
      </c>
      <c r="AA202" s="8" t="n">
        <v>12.0975787164433</v>
      </c>
      <c r="AD202" s="15" t="n">
        <f aca="false">(AB190*(50/170))+(AB206*(120/170))</f>
        <v>4.17647058823529</v>
      </c>
    </row>
    <row r="203" s="8" customFormat="true" ht="15" hidden="false" customHeight="false" outlineLevel="0" collapsed="false">
      <c r="A203" s="35"/>
      <c r="B203" s="10"/>
      <c r="C203" s="11" t="n">
        <v>41719</v>
      </c>
      <c r="D203" s="8" t="n">
        <v>8.8</v>
      </c>
      <c r="E203" s="8" t="n">
        <v>8.2</v>
      </c>
      <c r="F203" s="8" t="n">
        <v>9.8</v>
      </c>
      <c r="G203" s="8" t="n">
        <f aca="false">G202+D203</f>
        <v>1736.9</v>
      </c>
      <c r="H203" s="8" t="n">
        <f aca="false">H202+D203</f>
        <v>680</v>
      </c>
      <c r="I203" s="8" t="n">
        <v>10</v>
      </c>
      <c r="J203" s="39" t="n">
        <v>7.6</v>
      </c>
      <c r="K203" s="8" t="n">
        <f aca="false">K202+J203</f>
        <v>558.2</v>
      </c>
      <c r="L203" s="8" t="n">
        <v>1.8</v>
      </c>
      <c r="M203" s="8" t="n">
        <f aca="false">M202+L203</f>
        <v>253.3</v>
      </c>
      <c r="N203" s="8" t="n">
        <f aca="false">J203-L203</f>
        <v>5.8</v>
      </c>
      <c r="O203" s="8" t="n">
        <v>130.1</v>
      </c>
      <c r="P203" s="8" t="n">
        <v>198</v>
      </c>
      <c r="Q203" s="17" t="n">
        <f aca="false">1+((P203-101)/108)*(1.15-1)</f>
        <v>1.13472222222222</v>
      </c>
      <c r="R203" s="15" t="n">
        <f aca="false">Q203*L203</f>
        <v>2.0425</v>
      </c>
      <c r="S203" s="15" t="n">
        <f aca="false">J203-R203</f>
        <v>5.5575</v>
      </c>
      <c r="T203" s="41" t="n">
        <f aca="false">MIN(153.6,(T202+S203))</f>
        <v>125.633333333333</v>
      </c>
      <c r="V203" s="8" t="n">
        <v>936.9</v>
      </c>
      <c r="W203" s="8" t="n">
        <f aca="false">V203/D203</f>
        <v>106.465909090909</v>
      </c>
      <c r="X203" s="8" t="n">
        <f aca="false">X202+V203</f>
        <v>103049.7</v>
      </c>
      <c r="Y203" s="8" t="n">
        <f aca="false">Y202+V203</f>
        <v>46666.4</v>
      </c>
      <c r="AA203" s="8" t="n">
        <v>12.1619056787767</v>
      </c>
      <c r="AB203" s="40" t="s">
        <v>46</v>
      </c>
      <c r="AD203" s="40" t="s">
        <v>48</v>
      </c>
    </row>
    <row r="204" s="8" customFormat="true" ht="15" hidden="false" customHeight="false" outlineLevel="0" collapsed="false">
      <c r="A204" s="35"/>
      <c r="B204" s="10"/>
      <c r="C204" s="11" t="n">
        <v>41720</v>
      </c>
      <c r="D204" s="8" t="n">
        <v>6</v>
      </c>
      <c r="E204" s="8" t="n">
        <v>5.7</v>
      </c>
      <c r="F204" s="8" t="n">
        <v>7.1</v>
      </c>
      <c r="G204" s="8" t="n">
        <f aca="false">G203+D204</f>
        <v>1742.9</v>
      </c>
      <c r="H204" s="8" t="n">
        <f aca="false">H203+D204</f>
        <v>686</v>
      </c>
      <c r="J204" s="39" t="n">
        <v>3.6</v>
      </c>
      <c r="K204" s="8" t="n">
        <f aca="false">K203+J204</f>
        <v>561.8</v>
      </c>
      <c r="L204" s="8" t="n">
        <v>1.5</v>
      </c>
      <c r="M204" s="8" t="n">
        <f aca="false">M203+L204</f>
        <v>254.8</v>
      </c>
      <c r="N204" s="8" t="n">
        <f aca="false">J204-L204</f>
        <v>2.1</v>
      </c>
      <c r="O204" s="8" t="n">
        <v>132.2</v>
      </c>
      <c r="P204" s="8" t="n">
        <v>199</v>
      </c>
      <c r="Q204" s="17" t="n">
        <f aca="false">1+((P204-101)/108)*(1.15-1)</f>
        <v>1.13611111111111</v>
      </c>
      <c r="R204" s="15" t="n">
        <f aca="false">Q204*L204</f>
        <v>1.70416666666667</v>
      </c>
      <c r="S204" s="15" t="n">
        <f aca="false">J204-R204</f>
        <v>1.89583333333333</v>
      </c>
      <c r="T204" s="41" t="n">
        <f aca="false">MIN(153.6,(T203+S204))</f>
        <v>127.529166666667</v>
      </c>
      <c r="V204" s="16" t="n">
        <v>816.7</v>
      </c>
      <c r="W204" s="8" t="n">
        <f aca="false">V204/D204</f>
        <v>136.116666666667</v>
      </c>
      <c r="X204" s="8" t="n">
        <f aca="false">X203+V204</f>
        <v>103866.4</v>
      </c>
      <c r="Y204" s="8" t="n">
        <f aca="false">Y203+V204</f>
        <v>47483.1</v>
      </c>
      <c r="AA204" s="8" t="n">
        <v>12.2262184974628</v>
      </c>
      <c r="AB204" s="15" t="n">
        <f aca="false">AVERAGE(T210:T223)</f>
        <v>101.65373015873</v>
      </c>
      <c r="AD204" s="15" t="n">
        <f aca="false">(AB192*(50/170))+(AB208*(120/170))</f>
        <v>6.70588235294118</v>
      </c>
    </row>
    <row r="205" s="49" customFormat="true" ht="15" hidden="false" customHeight="false" outlineLevel="0" collapsed="false">
      <c r="A205" s="35"/>
      <c r="B205" s="47"/>
      <c r="C205" s="48" t="n">
        <v>41721</v>
      </c>
      <c r="D205" s="49" t="n">
        <v>5.8</v>
      </c>
      <c r="E205" s="50" t="n">
        <v>2.6</v>
      </c>
      <c r="F205" s="49" t="n">
        <v>10.4</v>
      </c>
      <c r="G205" s="49" t="n">
        <f aca="false">G204+D205</f>
        <v>1748.7</v>
      </c>
      <c r="H205" s="49" t="n">
        <f aca="false">H204+D205</f>
        <v>691.8</v>
      </c>
      <c r="J205" s="51" t="n">
        <v>1.9</v>
      </c>
      <c r="K205" s="49" t="n">
        <f aca="false">K204+J205</f>
        <v>563.7</v>
      </c>
      <c r="L205" s="49" t="n">
        <v>1.6</v>
      </c>
      <c r="M205" s="49" t="n">
        <f aca="false">M204+L205</f>
        <v>256.4</v>
      </c>
      <c r="N205" s="49" t="n">
        <f aca="false">J205-L205</f>
        <v>0.3</v>
      </c>
      <c r="O205" s="49" t="n">
        <v>132.5</v>
      </c>
      <c r="P205" s="49" t="n">
        <v>200</v>
      </c>
      <c r="Q205" s="17" t="n">
        <f aca="false">1+((P205-101)/108)*(1.15-1)</f>
        <v>1.1375</v>
      </c>
      <c r="R205" s="52" t="n">
        <f aca="false">Q205*L205</f>
        <v>1.82</v>
      </c>
      <c r="S205" s="52" t="n">
        <f aca="false">J205-R205</f>
        <v>0.0799999999999999</v>
      </c>
      <c r="T205" s="41" t="n">
        <f aca="false">MIN(153.6,(T204+S205))</f>
        <v>127.609166666667</v>
      </c>
      <c r="V205" s="53" t="n">
        <v>645</v>
      </c>
      <c r="W205" s="49" t="n">
        <f aca="false">V205/D205</f>
        <v>111.206896551724</v>
      </c>
      <c r="X205" s="49" t="n">
        <f aca="false">X204+V205</f>
        <v>104511.4</v>
      </c>
      <c r="Y205" s="8" t="n">
        <f aca="false">Y204+V205</f>
        <v>48128.1</v>
      </c>
      <c r="AA205" s="8" t="n">
        <v>12.2905114530911</v>
      </c>
      <c r="AB205" s="40" t="s">
        <v>47</v>
      </c>
      <c r="AD205" s="40" t="s">
        <v>49</v>
      </c>
    </row>
    <row r="206" s="8" customFormat="true" ht="15" hidden="false" customHeight="false" outlineLevel="0" collapsed="false">
      <c r="A206" s="35"/>
      <c r="B206" s="54"/>
      <c r="C206" s="48" t="n">
        <v>41722</v>
      </c>
      <c r="D206" s="8" t="n">
        <v>5.9</v>
      </c>
      <c r="E206" s="8" t="n">
        <v>1.9</v>
      </c>
      <c r="F206" s="8" t="n">
        <v>10.4</v>
      </c>
      <c r="G206" s="8" t="n">
        <f aca="false">G205+D206</f>
        <v>1754.6</v>
      </c>
      <c r="H206" s="8" t="n">
        <f aca="false">H205+D206</f>
        <v>697.7</v>
      </c>
      <c r="J206" s="39" t="n">
        <v>0</v>
      </c>
      <c r="K206" s="8" t="n">
        <f aca="false">K205+J206</f>
        <v>563.7</v>
      </c>
      <c r="L206" s="8" t="n">
        <v>2</v>
      </c>
      <c r="M206" s="8" t="n">
        <f aca="false">M205+L206</f>
        <v>258.4</v>
      </c>
      <c r="N206" s="8" t="n">
        <f aca="false">J206-L206</f>
        <v>-2</v>
      </c>
      <c r="O206" s="8" t="n">
        <v>130.5</v>
      </c>
      <c r="P206" s="8" t="n">
        <v>201</v>
      </c>
      <c r="Q206" s="17" t="n">
        <f aca="false">1+((P206-101)/108)*(1.15-1)</f>
        <v>1.13888888888889</v>
      </c>
      <c r="R206" s="15" t="n">
        <f aca="false">Q206*L206</f>
        <v>2.27777777777778</v>
      </c>
      <c r="S206" s="15" t="n">
        <f aca="false">J206-R206</f>
        <v>-2.27777777777778</v>
      </c>
      <c r="T206" s="41" t="n">
        <f aca="false">MIN(153.6,(T205+S206))</f>
        <v>125.331388888889</v>
      </c>
      <c r="V206" s="8" t="n">
        <v>1415.6</v>
      </c>
      <c r="W206" s="8" t="n">
        <f aca="false">V206/D206</f>
        <v>239.93220338983</v>
      </c>
      <c r="X206" s="8" t="n">
        <f aca="false">X205+V206</f>
        <v>105927</v>
      </c>
      <c r="Y206" s="8" t="n">
        <f aca="false">Y205+V206</f>
        <v>49543.7</v>
      </c>
      <c r="AA206" s="8" t="n">
        <v>12.3547788379283</v>
      </c>
      <c r="AB206" s="8" t="n">
        <v>3</v>
      </c>
      <c r="AD206" s="8" t="n">
        <f aca="false">(AB194*(50/170))+(AB210*(120/170))</f>
        <v>0</v>
      </c>
    </row>
    <row r="207" s="8" customFormat="true" ht="15" hidden="false" customHeight="false" outlineLevel="0" collapsed="false">
      <c r="A207" s="35"/>
      <c r="B207" s="54"/>
      <c r="C207" s="11" t="n">
        <v>41723</v>
      </c>
      <c r="D207" s="8" t="n">
        <v>6.6</v>
      </c>
      <c r="E207" s="18" t="n">
        <v>1</v>
      </c>
      <c r="F207" s="8" t="n">
        <v>11.1</v>
      </c>
      <c r="G207" s="8" t="n">
        <f aca="false">G206+D207</f>
        <v>1761.2</v>
      </c>
      <c r="H207" s="8" t="n">
        <f aca="false">H206+D207</f>
        <v>704.3</v>
      </c>
      <c r="I207" s="8" t="n">
        <v>-10</v>
      </c>
      <c r="J207" s="39" t="n">
        <v>0</v>
      </c>
      <c r="K207" s="8" t="n">
        <f aca="false">K206+J207</f>
        <v>563.7</v>
      </c>
      <c r="L207" s="8" t="n">
        <v>2.4</v>
      </c>
      <c r="M207" s="8" t="n">
        <f aca="false">M206+L207</f>
        <v>260.8</v>
      </c>
      <c r="N207" s="14" t="n">
        <f aca="false">J207-L207</f>
        <v>-2.4</v>
      </c>
      <c r="O207" s="8" t="n">
        <v>128.1</v>
      </c>
      <c r="P207" s="8" t="n">
        <v>202</v>
      </c>
      <c r="Q207" s="17" t="n">
        <f aca="false">1+((P207-101)/108)*(1.15-1)</f>
        <v>1.14027777777778</v>
      </c>
      <c r="R207" s="15" t="n">
        <f aca="false">Q207*L207</f>
        <v>2.73666666666667</v>
      </c>
      <c r="S207" s="15" t="n">
        <f aca="false">J207-R207</f>
        <v>-2.73666666666667</v>
      </c>
      <c r="T207" s="41" t="n">
        <f aca="false">MIN(153.6,(T206+S207))</f>
        <v>122.594722222222</v>
      </c>
      <c r="U207" s="55"/>
      <c r="V207" s="8" t="n">
        <v>1358.3</v>
      </c>
      <c r="W207" s="8" t="n">
        <f aca="false">V207/D207</f>
        <v>205.80303030303</v>
      </c>
      <c r="X207" s="8" t="n">
        <f aca="false">X206+V207</f>
        <v>107285.3</v>
      </c>
      <c r="Y207" s="8" t="n">
        <f aca="false">Y206+V207</f>
        <v>50902</v>
      </c>
      <c r="AA207" s="8" t="n">
        <v>12.4190149366591</v>
      </c>
      <c r="AB207" s="40" t="s">
        <v>48</v>
      </c>
      <c r="AD207" s="40" t="s">
        <v>50</v>
      </c>
    </row>
    <row r="208" s="8" customFormat="true" ht="15" hidden="false" customHeight="false" outlineLevel="0" collapsed="false">
      <c r="A208" s="35"/>
      <c r="B208" s="54"/>
      <c r="C208" s="11" t="n">
        <v>41724</v>
      </c>
      <c r="D208" s="8" t="n">
        <v>5.5</v>
      </c>
      <c r="E208" s="18" t="n">
        <v>2.2</v>
      </c>
      <c r="F208" s="8" t="n">
        <v>9.2</v>
      </c>
      <c r="G208" s="8" t="n">
        <f aca="false">G207+D208</f>
        <v>1766.7</v>
      </c>
      <c r="H208" s="8" t="n">
        <f aca="false">H207+D208</f>
        <v>709.8</v>
      </c>
      <c r="J208" s="39" t="n">
        <v>1</v>
      </c>
      <c r="K208" s="8" t="n">
        <f aca="false">K207+J208</f>
        <v>564.7</v>
      </c>
      <c r="L208" s="8" t="n">
        <v>1.9</v>
      </c>
      <c r="M208" s="8" t="n">
        <f aca="false">M207+L208</f>
        <v>262.7</v>
      </c>
      <c r="N208" s="14" t="n">
        <f aca="false">J208-L208</f>
        <v>-0.9</v>
      </c>
      <c r="O208" s="8" t="n">
        <v>127.2</v>
      </c>
      <c r="P208" s="8" t="n">
        <v>203</v>
      </c>
      <c r="Q208" s="17" t="n">
        <f aca="false">1+((P208-101)/108)*(1.15-1)</f>
        <v>1.14166666666667</v>
      </c>
      <c r="R208" s="15" t="n">
        <f aca="false">Q208*L208</f>
        <v>2.16916666666667</v>
      </c>
      <c r="S208" s="15" t="n">
        <f aca="false">J208-R208</f>
        <v>-1.16916666666667</v>
      </c>
      <c r="T208" s="15" t="n">
        <f aca="false">MIN(153.6,(T207+S208))</f>
        <v>121.425555555556</v>
      </c>
      <c r="V208" s="8" t="n">
        <v>951.5</v>
      </c>
      <c r="W208" s="8" t="n">
        <f aca="false">V208/D208</f>
        <v>173</v>
      </c>
      <c r="X208" s="8" t="n">
        <f aca="false">X207+V208</f>
        <v>108236.8</v>
      </c>
      <c r="Y208" s="8" t="n">
        <f aca="false">Y207+V208</f>
        <v>51853.5</v>
      </c>
      <c r="AA208" s="8" t="n">
        <v>12.4832140072194</v>
      </c>
      <c r="AB208" s="8" t="n">
        <v>7</v>
      </c>
      <c r="AD208" s="15" t="n">
        <f aca="false">(AB196*(50/170))+(AB212*(120/170))</f>
        <v>10.9941176470588</v>
      </c>
    </row>
    <row r="209" s="8" customFormat="true" ht="15" hidden="false" customHeight="false" outlineLevel="0" collapsed="false">
      <c r="A209" s="35"/>
      <c r="B209" s="54"/>
      <c r="C209" s="11" t="n">
        <v>41725</v>
      </c>
      <c r="D209" s="8" t="n">
        <v>5.9</v>
      </c>
      <c r="E209" s="30" t="n">
        <v>-0.3</v>
      </c>
      <c r="F209" s="8" t="n">
        <v>10.4</v>
      </c>
      <c r="G209" s="8" t="n">
        <f aca="false">G208+D209</f>
        <v>1772.6</v>
      </c>
      <c r="H209" s="8" t="n">
        <f aca="false">H208+D209</f>
        <v>715.7</v>
      </c>
      <c r="J209" s="39" t="n">
        <v>0.4</v>
      </c>
      <c r="K209" s="8" t="n">
        <f aca="false">K208+J209</f>
        <v>565.1</v>
      </c>
      <c r="L209" s="8" t="n">
        <v>1.8</v>
      </c>
      <c r="M209" s="8" t="n">
        <f aca="false">M208+L209</f>
        <v>264.5</v>
      </c>
      <c r="N209" s="14" t="n">
        <f aca="false">J209-L209</f>
        <v>-1.4</v>
      </c>
      <c r="O209" s="8" t="n">
        <v>125.8</v>
      </c>
      <c r="P209" s="8" t="n">
        <v>204</v>
      </c>
      <c r="Q209" s="17" t="n">
        <f aca="false">1+((P209-101)/108)*(1.15-1)</f>
        <v>1.14305555555556</v>
      </c>
      <c r="R209" s="15" t="n">
        <f aca="false">Q209*L209</f>
        <v>2.0575</v>
      </c>
      <c r="S209" s="15" t="n">
        <f aca="false">J209-R209</f>
        <v>-1.6575</v>
      </c>
      <c r="T209" s="15" t="n">
        <f aca="false">MIN(153.6,(T208+S209))</f>
        <v>119.768055555556</v>
      </c>
      <c r="V209" s="8" t="n">
        <v>1374.9</v>
      </c>
      <c r="W209" s="8" t="n">
        <f aca="false">V209/D209</f>
        <v>233.033898305085</v>
      </c>
      <c r="X209" s="8" t="n">
        <f aca="false">X208+V209</f>
        <v>109611.7</v>
      </c>
      <c r="Y209" s="8" t="n">
        <f aca="false">Y208+V209</f>
        <v>53228.4</v>
      </c>
      <c r="AA209" s="8" t="n">
        <v>12.5473702617134</v>
      </c>
      <c r="AB209" s="40" t="s">
        <v>49</v>
      </c>
    </row>
    <row r="210" s="8" customFormat="true" ht="15" hidden="false" customHeight="false" outlineLevel="0" collapsed="false">
      <c r="A210" s="35"/>
      <c r="B210" s="54"/>
      <c r="C210" s="11" t="n">
        <v>41726</v>
      </c>
      <c r="D210" s="8" t="n">
        <v>8.6</v>
      </c>
      <c r="E210" s="18" t="n">
        <v>0.9</v>
      </c>
      <c r="F210" s="8" t="n">
        <v>14.2</v>
      </c>
      <c r="G210" s="8" t="n">
        <f aca="false">G209+D210</f>
        <v>1781.2</v>
      </c>
      <c r="H210" s="8" t="n">
        <f aca="false">H209+D210</f>
        <v>724.3</v>
      </c>
      <c r="J210" s="39" t="n">
        <v>0</v>
      </c>
      <c r="K210" s="8" t="n">
        <f aca="false">K209+J210</f>
        <v>565.1</v>
      </c>
      <c r="L210" s="8" t="n">
        <v>1.5</v>
      </c>
      <c r="M210" s="8" t="n">
        <f aca="false">M209+L210</f>
        <v>266</v>
      </c>
      <c r="N210" s="14" t="n">
        <f aca="false">J210-L210</f>
        <v>-1.5</v>
      </c>
      <c r="O210" s="8" t="n">
        <v>124.3</v>
      </c>
      <c r="P210" s="8" t="n">
        <v>205</v>
      </c>
      <c r="Q210" s="17" t="n">
        <f aca="false">1+((P210-101)/108)*(1.15-1)</f>
        <v>1.14444444444444</v>
      </c>
      <c r="R210" s="15" t="n">
        <f aca="false">Q210*L210</f>
        <v>1.71666666666667</v>
      </c>
      <c r="S210" s="15" t="n">
        <f aca="false">J210-R210</f>
        <v>-1.71666666666667</v>
      </c>
      <c r="T210" s="41" t="n">
        <f aca="false">MIN(153.6,(T209+S210))</f>
        <v>118.051388888889</v>
      </c>
      <c r="V210" s="8" t="n">
        <v>1132.2</v>
      </c>
      <c r="W210" s="8" t="n">
        <f aca="false">V210/D210</f>
        <v>131.651162790698</v>
      </c>
      <c r="X210" s="8" t="n">
        <f aca="false">X209+V210</f>
        <v>110743.9</v>
      </c>
      <c r="Y210" s="8" t="n">
        <f aca="false">Y209+V210</f>
        <v>54360.6</v>
      </c>
      <c r="AA210" s="8" t="n">
        <v>12.6114778474041</v>
      </c>
      <c r="AB210" s="8" t="n">
        <v>0</v>
      </c>
    </row>
    <row r="211" s="8" customFormat="true" ht="15" hidden="false" customHeight="false" outlineLevel="0" collapsed="false">
      <c r="A211" s="35"/>
      <c r="B211" s="54"/>
      <c r="C211" s="11" t="n">
        <v>41727</v>
      </c>
      <c r="D211" s="8" t="n">
        <v>11.9</v>
      </c>
      <c r="E211" s="18" t="n">
        <v>3.6</v>
      </c>
      <c r="F211" s="8" t="n">
        <v>18.6</v>
      </c>
      <c r="G211" s="8" t="n">
        <f aca="false">G210+D211</f>
        <v>1793.1</v>
      </c>
      <c r="H211" s="8" t="n">
        <f aca="false">H210+D211</f>
        <v>736.2</v>
      </c>
      <c r="J211" s="39" t="n">
        <v>0</v>
      </c>
      <c r="K211" s="8" t="n">
        <f aca="false">K210+J211</f>
        <v>565.1</v>
      </c>
      <c r="L211" s="8" t="n">
        <v>3.1</v>
      </c>
      <c r="M211" s="8" t="n">
        <f aca="false">M210+L211</f>
        <v>269.1</v>
      </c>
      <c r="N211" s="14" t="n">
        <f aca="false">J211-L211</f>
        <v>-3.1</v>
      </c>
      <c r="O211" s="8" t="n">
        <v>121.2</v>
      </c>
      <c r="P211" s="8" t="n">
        <v>206</v>
      </c>
      <c r="Q211" s="17" t="n">
        <f aca="false">1+((P211-101)/108)*(1.15-1)</f>
        <v>1.14583333333333</v>
      </c>
      <c r="R211" s="15" t="n">
        <f aca="false">Q211*L211</f>
        <v>3.55208333333333</v>
      </c>
      <c r="S211" s="15" t="n">
        <f aca="false">J211-R211</f>
        <v>-3.55208333333333</v>
      </c>
      <c r="T211" s="41" t="n">
        <f aca="false">MIN(153.6,(T210+S211))</f>
        <v>114.499305555556</v>
      </c>
      <c r="V211" s="8" t="n">
        <v>1709.6</v>
      </c>
      <c r="W211" s="8" t="n">
        <f aca="false">V211/D211</f>
        <v>143.663865546219</v>
      </c>
      <c r="X211" s="8" t="n">
        <f aca="false">X210+V211</f>
        <v>112453.5</v>
      </c>
      <c r="Y211" s="8" t="n">
        <f aca="false">Y210+V211</f>
        <v>56070.2</v>
      </c>
      <c r="AA211" s="8" t="n">
        <v>12.6755308277724</v>
      </c>
      <c r="AB211" s="40" t="s">
        <v>50</v>
      </c>
    </row>
    <row r="212" s="8" customFormat="true" ht="15" hidden="false" customHeight="false" outlineLevel="0" collapsed="false">
      <c r="A212" s="35"/>
      <c r="B212" s="54"/>
      <c r="C212" s="11" t="n">
        <v>41728</v>
      </c>
      <c r="D212" s="8" t="n">
        <v>13.6</v>
      </c>
      <c r="E212" s="8" t="n">
        <v>7.8</v>
      </c>
      <c r="F212" s="8" t="n">
        <v>19.5</v>
      </c>
      <c r="G212" s="8" t="n">
        <f aca="false">G211+D212</f>
        <v>1806.7</v>
      </c>
      <c r="H212" s="8" t="n">
        <f aca="false">H211+D212</f>
        <v>749.8</v>
      </c>
      <c r="J212" s="39" t="n">
        <v>0</v>
      </c>
      <c r="K212" s="8" t="n">
        <f aca="false">K211+J212</f>
        <v>565.1</v>
      </c>
      <c r="L212" s="8" t="n">
        <v>2.6</v>
      </c>
      <c r="M212" s="8" t="n">
        <f aca="false">M211+L212</f>
        <v>271.7</v>
      </c>
      <c r="N212" s="14" t="n">
        <f aca="false">J212-L212</f>
        <v>-2.6</v>
      </c>
      <c r="O212" s="8" t="n">
        <v>118.6</v>
      </c>
      <c r="P212" s="8" t="n">
        <v>207</v>
      </c>
      <c r="Q212" s="17" t="n">
        <f aca="false">1+((P212-101)/108)*(1.15-1)</f>
        <v>1.14722222222222</v>
      </c>
      <c r="R212" s="15" t="n">
        <f aca="false">Q212*L212</f>
        <v>2.98277777777778</v>
      </c>
      <c r="S212" s="15" t="n">
        <f aca="false">J212-R212</f>
        <v>-2.98277777777778</v>
      </c>
      <c r="T212" s="41" t="n">
        <f aca="false">MIN(153.6,(T211+S212))</f>
        <v>111.516527777778</v>
      </c>
      <c r="V212" s="8" t="n">
        <v>1485.8</v>
      </c>
      <c r="W212" s="8" t="n">
        <f aca="false">V212/D212</f>
        <v>109.25</v>
      </c>
      <c r="X212" s="8" t="n">
        <f aca="false">X211+V212</f>
        <v>113939.3</v>
      </c>
      <c r="Y212" s="8" t="n">
        <f aca="false">Y211+V212</f>
        <v>57556</v>
      </c>
      <c r="AA212" s="8" t="n">
        <v>12.7395231636344</v>
      </c>
      <c r="AB212" s="8" t="n">
        <f aca="false">SUM(J214:J223)</f>
        <v>8.2</v>
      </c>
    </row>
    <row r="213" s="44" customFormat="true" ht="15" hidden="false" customHeight="false" outlineLevel="0" collapsed="false">
      <c r="A213" s="35"/>
      <c r="B213" s="56" t="s">
        <v>52</v>
      </c>
      <c r="C213" s="43" t="n">
        <v>41729</v>
      </c>
      <c r="D213" s="44" t="n">
        <v>14.5</v>
      </c>
      <c r="E213" s="44" t="n">
        <v>7.6</v>
      </c>
      <c r="F213" s="44" t="n">
        <v>20.5</v>
      </c>
      <c r="G213" s="44" t="n">
        <f aca="false">G212+D213</f>
        <v>1821.2</v>
      </c>
      <c r="H213" s="44" t="n">
        <f aca="false">H212+D213</f>
        <v>764.3</v>
      </c>
      <c r="J213" s="44" t="n">
        <v>0</v>
      </c>
      <c r="K213" s="44" t="n">
        <f aca="false">K212+J213</f>
        <v>565.1</v>
      </c>
      <c r="L213" s="44" t="n">
        <v>2.5</v>
      </c>
      <c r="M213" s="44" t="n">
        <f aca="false">M212+L213</f>
        <v>274.2</v>
      </c>
      <c r="N213" s="44" t="n">
        <f aca="false">J213-L213</f>
        <v>-2.5</v>
      </c>
      <c r="O213" s="44" t="n">
        <v>116.1</v>
      </c>
      <c r="P213" s="44" t="n">
        <v>208</v>
      </c>
      <c r="Q213" s="45" t="n">
        <f aca="false">1+((P213-101)/108)*(1.15-1)</f>
        <v>1.14861111111111</v>
      </c>
      <c r="R213" s="46" t="n">
        <f aca="false">Q213*L213</f>
        <v>2.87152777777778</v>
      </c>
      <c r="S213" s="46" t="n">
        <f aca="false">J213-R213</f>
        <v>-2.87152777777778</v>
      </c>
      <c r="T213" s="46" t="n">
        <f aca="false">MIN(153.6,(T212+S213))</f>
        <v>108.645</v>
      </c>
      <c r="V213" s="44" t="n">
        <v>1456.4</v>
      </c>
      <c r="W213" s="44" t="n">
        <f aca="false">V213/D213</f>
        <v>100.441379310345</v>
      </c>
      <c r="X213" s="44" t="n">
        <f aca="false">X212+V213</f>
        <v>115395.7</v>
      </c>
      <c r="Y213" s="44" t="n">
        <f aca="false">Y212+V213</f>
        <v>59012.4</v>
      </c>
      <c r="AA213" s="44" t="n">
        <v>12.8034486943122</v>
      </c>
    </row>
    <row r="214" s="23" customFormat="true" ht="15" hidden="false" customHeight="false" outlineLevel="0" collapsed="false">
      <c r="A214" s="35"/>
      <c r="B214" s="57"/>
      <c r="C214" s="58" t="n">
        <v>41730</v>
      </c>
      <c r="D214" s="23" t="n">
        <v>14.6</v>
      </c>
      <c r="E214" s="23" t="n">
        <v>8.9</v>
      </c>
      <c r="F214" s="23" t="n">
        <v>20</v>
      </c>
      <c r="G214" s="23" t="n">
        <f aca="false">G213+D214</f>
        <v>1835.8</v>
      </c>
      <c r="H214" s="23" t="n">
        <f aca="false">H213+D214</f>
        <v>778.9</v>
      </c>
      <c r="J214" s="59" t="n">
        <v>0</v>
      </c>
      <c r="K214" s="23" t="n">
        <f aca="false">K213+J214</f>
        <v>565.1</v>
      </c>
      <c r="L214" s="23" t="n">
        <v>2.7</v>
      </c>
      <c r="M214" s="23" t="n">
        <f aca="false">M213+L214</f>
        <v>276.9</v>
      </c>
      <c r="N214" s="60" t="n">
        <f aca="false">J214-L214</f>
        <v>-2.7</v>
      </c>
      <c r="O214" s="23" t="n">
        <v>113.4</v>
      </c>
      <c r="P214" s="23" t="n">
        <v>209</v>
      </c>
      <c r="Q214" s="61" t="n">
        <f aca="false">1+((P214-101)/108)*(1.15-1)</f>
        <v>1.15</v>
      </c>
      <c r="R214" s="25" t="n">
        <f aca="false">Q214*L214</f>
        <v>3.105</v>
      </c>
      <c r="S214" s="25" t="n">
        <f aca="false">J214-R214</f>
        <v>-3.105</v>
      </c>
      <c r="T214" s="62" t="n">
        <f aca="false">MIN(153.6,(T213+S214))</f>
        <v>105.54</v>
      </c>
      <c r="V214" s="23" t="n">
        <v>1501.7</v>
      </c>
      <c r="W214" s="23" t="n">
        <f aca="false">V214/D214</f>
        <v>102.856164383562</v>
      </c>
      <c r="X214" s="23" t="n">
        <f aca="false">X213+V214</f>
        <v>116897.4</v>
      </c>
      <c r="Y214" s="24" t="n">
        <f aca="false">Y213+V214</f>
        <v>60514.1</v>
      </c>
      <c r="AA214" s="24" t="n">
        <v>12.8673011188519</v>
      </c>
    </row>
    <row r="215" s="8" customFormat="true" ht="15" hidden="false" customHeight="false" outlineLevel="0" collapsed="false">
      <c r="A215" s="63" t="s">
        <v>53</v>
      </c>
      <c r="C215" s="11" t="n">
        <v>41731</v>
      </c>
      <c r="D215" s="8" t="n">
        <v>15</v>
      </c>
      <c r="E215" s="8" t="n">
        <v>8.4</v>
      </c>
      <c r="F215" s="8" t="n">
        <v>19.9</v>
      </c>
      <c r="G215" s="8" t="n">
        <f aca="false">G214+D215</f>
        <v>1850.8</v>
      </c>
      <c r="H215" s="64" t="n">
        <v>15</v>
      </c>
      <c r="I215" s="65" t="s">
        <v>27</v>
      </c>
      <c r="J215" s="39" t="n">
        <v>0</v>
      </c>
      <c r="K215" s="8" t="n">
        <f aca="false">K214+J215</f>
        <v>565.1</v>
      </c>
      <c r="L215" s="8" t="n">
        <v>2.3</v>
      </c>
      <c r="M215" s="8" t="n">
        <f aca="false">M214+L215</f>
        <v>279.2</v>
      </c>
      <c r="N215" s="14" t="n">
        <f aca="false">J215-L215</f>
        <v>-2.3</v>
      </c>
      <c r="O215" s="8" t="n">
        <v>111.1</v>
      </c>
      <c r="P215" s="8" t="n">
        <v>210</v>
      </c>
      <c r="Q215" s="8" t="n">
        <v>1.15</v>
      </c>
      <c r="R215" s="15" t="n">
        <f aca="false">Q215*L215</f>
        <v>2.645</v>
      </c>
      <c r="S215" s="15" t="n">
        <f aca="false">J215-R215</f>
        <v>-2.645</v>
      </c>
      <c r="T215" s="41" t="n">
        <f aca="false">MIN(153.6,(T214+S215))</f>
        <v>102.895</v>
      </c>
      <c r="U215" s="65" t="s">
        <v>28</v>
      </c>
      <c r="V215" s="8" t="n">
        <v>1503.5</v>
      </c>
      <c r="W215" s="8" t="n">
        <f aca="false">V215/D215</f>
        <v>100.233333333333</v>
      </c>
      <c r="X215" s="8" t="n">
        <f aca="false">X214+V215</f>
        <v>118400.9</v>
      </c>
      <c r="Y215" s="8" t="n">
        <v>1503.5</v>
      </c>
      <c r="Z215" s="65" t="s">
        <v>29</v>
      </c>
      <c r="AA215" s="8" t="n">
        <v>12.9310739772844</v>
      </c>
    </row>
    <row r="216" s="8" customFormat="true" ht="15" hidden="false" customHeight="false" outlineLevel="0" collapsed="false">
      <c r="A216" s="63"/>
      <c r="C216" s="11" t="n">
        <v>41732</v>
      </c>
      <c r="D216" s="8" t="n">
        <v>15.3</v>
      </c>
      <c r="E216" s="8" t="n">
        <v>11.4</v>
      </c>
      <c r="F216" s="8" t="n">
        <v>19.6</v>
      </c>
      <c r="G216" s="8" t="n">
        <f aca="false">G215+D216</f>
        <v>1866.1</v>
      </c>
      <c r="H216" s="8" t="n">
        <f aca="false">H215+D216</f>
        <v>30.3</v>
      </c>
      <c r="I216" s="8" t="n">
        <f aca="false">MIN(E215:E235)</f>
        <v>3.6</v>
      </c>
      <c r="J216" s="39" t="n">
        <v>0</v>
      </c>
      <c r="K216" s="8" t="n">
        <f aca="false">K215+J216</f>
        <v>565.1</v>
      </c>
      <c r="L216" s="8" t="n">
        <v>2</v>
      </c>
      <c r="M216" s="8" t="n">
        <f aca="false">M215+L216</f>
        <v>281.2</v>
      </c>
      <c r="N216" s="14" t="n">
        <f aca="false">J216-L216</f>
        <v>-2</v>
      </c>
      <c r="O216" s="8" t="n">
        <v>109.1</v>
      </c>
      <c r="P216" s="8" t="n">
        <v>211</v>
      </c>
      <c r="Q216" s="8" t="n">
        <v>1.15</v>
      </c>
      <c r="R216" s="15" t="n">
        <f aca="false">Q216*L216</f>
        <v>2.3</v>
      </c>
      <c r="S216" s="15" t="n">
        <f aca="false">J216-R216</f>
        <v>-2.3</v>
      </c>
      <c r="T216" s="41" t="n">
        <f aca="false">MIN(153.6,(T215+S216))</f>
        <v>100.595</v>
      </c>
      <c r="U216" s="8" t="n">
        <v>18</v>
      </c>
      <c r="V216" s="16" t="n">
        <v>659.4</v>
      </c>
      <c r="W216" s="8" t="n">
        <f aca="false">V216/D216</f>
        <v>43.0980392156863</v>
      </c>
      <c r="X216" s="8" t="n">
        <f aca="false">X215+V216</f>
        <v>119060.3</v>
      </c>
      <c r="Y216" s="8" t="n">
        <f aca="false">Y215+V216</f>
        <v>2162.9</v>
      </c>
      <c r="Z216" s="8" t="n">
        <v>28736.3</v>
      </c>
      <c r="AA216" s="8" t="n">
        <v>12.9947606319252</v>
      </c>
    </row>
    <row r="217" s="8" customFormat="true" ht="15" hidden="false" customHeight="false" outlineLevel="0" collapsed="false">
      <c r="A217" s="63" t="s">
        <v>54</v>
      </c>
      <c r="C217" s="11" t="n">
        <v>41733</v>
      </c>
      <c r="D217" s="8" t="n">
        <v>11.8</v>
      </c>
      <c r="E217" s="8" t="n">
        <v>11.2</v>
      </c>
      <c r="F217" s="8" t="n">
        <v>13.8</v>
      </c>
      <c r="G217" s="8" t="n">
        <f aca="false">G216+D217</f>
        <v>1877.9</v>
      </c>
      <c r="H217" s="8" t="n">
        <f aca="false">H216+D217</f>
        <v>42.1</v>
      </c>
      <c r="I217" s="65" t="s">
        <v>30</v>
      </c>
      <c r="J217" s="39" t="n">
        <v>0</v>
      </c>
      <c r="K217" s="8" t="n">
        <f aca="false">K216+J217</f>
        <v>565.1</v>
      </c>
      <c r="L217" s="8" t="n">
        <v>1.3</v>
      </c>
      <c r="M217" s="8" t="n">
        <f aca="false">M216+L217</f>
        <v>282.5</v>
      </c>
      <c r="N217" s="14" t="n">
        <f aca="false">J217-L217</f>
        <v>-1.3</v>
      </c>
      <c r="O217" s="8" t="n">
        <v>107.8</v>
      </c>
      <c r="P217" s="8" t="n">
        <v>212</v>
      </c>
      <c r="Q217" s="8" t="n">
        <v>1.15</v>
      </c>
      <c r="R217" s="15" t="n">
        <f aca="false">Q217*L217</f>
        <v>1.495</v>
      </c>
      <c r="S217" s="15" t="n">
        <f aca="false">J217-R217</f>
        <v>-1.495</v>
      </c>
      <c r="T217" s="41" t="n">
        <f aca="false">MIN(153.6,(T216+S217))</f>
        <v>99.1</v>
      </c>
      <c r="U217" s="65" t="s">
        <v>31</v>
      </c>
      <c r="V217" s="16" t="n">
        <v>383.5</v>
      </c>
      <c r="W217" s="8" t="n">
        <f aca="false">V217/D217</f>
        <v>32.5</v>
      </c>
      <c r="X217" s="8" t="n">
        <f aca="false">X216+V217</f>
        <v>119443.8</v>
      </c>
      <c r="Y217" s="8" t="n">
        <f aca="false">Y216+V217</f>
        <v>2546.4</v>
      </c>
      <c r="Z217" s="65" t="s">
        <v>32</v>
      </c>
      <c r="AA217" s="8" t="n">
        <v>13.0583542487133</v>
      </c>
    </row>
    <row r="218" s="8" customFormat="true" ht="15" hidden="false" customHeight="false" outlineLevel="0" collapsed="false">
      <c r="A218" s="63"/>
      <c r="C218" s="11" t="n">
        <v>41734</v>
      </c>
      <c r="D218" s="8" t="n">
        <v>12.6</v>
      </c>
      <c r="E218" s="8" t="n">
        <v>6</v>
      </c>
      <c r="F218" s="8" t="n">
        <v>17.3</v>
      </c>
      <c r="G218" s="8" t="n">
        <f aca="false">G217+D218</f>
        <v>1890.5</v>
      </c>
      <c r="H218" s="8" t="n">
        <f aca="false">H217+D218</f>
        <v>54.7</v>
      </c>
      <c r="I218" s="8" t="n">
        <f aca="false">MAX(F215:F235)</f>
        <v>21</v>
      </c>
      <c r="J218" s="39" t="n">
        <v>0</v>
      </c>
      <c r="K218" s="8" t="n">
        <f aca="false">K217+J218</f>
        <v>565.1</v>
      </c>
      <c r="L218" s="8" t="n">
        <v>3.1</v>
      </c>
      <c r="M218" s="8" t="n">
        <f aca="false">M217+L218</f>
        <v>285.6</v>
      </c>
      <c r="N218" s="14" t="n">
        <f aca="false">J218-L218</f>
        <v>-3.1</v>
      </c>
      <c r="O218" s="8" t="n">
        <v>104.7</v>
      </c>
      <c r="P218" s="8" t="n">
        <v>213</v>
      </c>
      <c r="Q218" s="8" t="n">
        <v>1.15</v>
      </c>
      <c r="R218" s="15" t="n">
        <f aca="false">Q218*L218</f>
        <v>3.565</v>
      </c>
      <c r="S218" s="15" t="n">
        <f aca="false">J218-R218</f>
        <v>-3.565</v>
      </c>
      <c r="T218" s="41" t="n">
        <f aca="false">MIN(153.6,(T217+S218))</f>
        <v>95.535</v>
      </c>
      <c r="U218" s="8" t="n">
        <v>0</v>
      </c>
      <c r="V218" s="8" t="n">
        <v>1774.5</v>
      </c>
      <c r="W218" s="8" t="n">
        <f aca="false">V218/D218</f>
        <v>140.833333333333</v>
      </c>
      <c r="X218" s="8" t="n">
        <f aca="false">X217+V218</f>
        <v>121218.3</v>
      </c>
      <c r="Y218" s="8" t="n">
        <f aca="false">Y217+V218</f>
        <v>4320.9</v>
      </c>
      <c r="Z218" s="17" t="n">
        <f aca="false">(Z216/100)/I228</f>
        <v>1.17291020408163</v>
      </c>
      <c r="AA218" s="8" t="n">
        <v>13.1218477785862</v>
      </c>
    </row>
    <row r="219" s="8" customFormat="true" ht="15" hidden="false" customHeight="false" outlineLevel="0" collapsed="false">
      <c r="A219" s="63"/>
      <c r="C219" s="11" t="n">
        <v>41735</v>
      </c>
      <c r="D219" s="8" t="n">
        <v>14.8</v>
      </c>
      <c r="E219" s="8" t="n">
        <v>11.8</v>
      </c>
      <c r="F219" s="8" t="n">
        <v>17.6</v>
      </c>
      <c r="G219" s="8" t="n">
        <f aca="false">G218+D219</f>
        <v>1905.3</v>
      </c>
      <c r="H219" s="8" t="n">
        <f aca="false">H218+D219</f>
        <v>69.5</v>
      </c>
      <c r="I219" s="65" t="s">
        <v>33</v>
      </c>
      <c r="J219" s="39" t="n">
        <v>0.5</v>
      </c>
      <c r="K219" s="8" t="n">
        <f aca="false">K218+J219</f>
        <v>565.6</v>
      </c>
      <c r="L219" s="8" t="n">
        <v>1.4</v>
      </c>
      <c r="M219" s="8" t="n">
        <f aca="false">M218+L219</f>
        <v>287</v>
      </c>
      <c r="N219" s="14" t="n">
        <f aca="false">J219-L219</f>
        <v>-0.9</v>
      </c>
      <c r="O219" s="8" t="n">
        <v>103.8</v>
      </c>
      <c r="P219" s="8" t="n">
        <v>214</v>
      </c>
      <c r="Q219" s="8" t="n">
        <v>1.15</v>
      </c>
      <c r="R219" s="15" t="n">
        <f aca="false">Q219*L219</f>
        <v>1.61</v>
      </c>
      <c r="S219" s="15" t="n">
        <f aca="false">J219-R219</f>
        <v>-1.11</v>
      </c>
      <c r="T219" s="41" t="n">
        <f aca="false">MIN(153.6,(T218+S219))</f>
        <v>94.425</v>
      </c>
      <c r="U219" s="65" t="s">
        <v>34</v>
      </c>
      <c r="V219" s="16" t="n">
        <v>475.3</v>
      </c>
      <c r="W219" s="8" t="n">
        <f aca="false">V219/D219</f>
        <v>32.1148648648649</v>
      </c>
      <c r="X219" s="8" t="n">
        <f aca="false">X218+V219</f>
        <v>121693.6</v>
      </c>
      <c r="Y219" s="8" t="n">
        <f aca="false">Y218+V219</f>
        <v>4796.2</v>
      </c>
      <c r="Z219" s="65" t="s">
        <v>35</v>
      </c>
      <c r="AA219" s="8" t="n">
        <v>13.185233938896</v>
      </c>
    </row>
    <row r="220" s="8" customFormat="true" ht="15" hidden="false" customHeight="false" outlineLevel="0" collapsed="false">
      <c r="A220" s="63"/>
      <c r="C220" s="11" t="n">
        <v>41736</v>
      </c>
      <c r="D220" s="8" t="n">
        <v>15.5</v>
      </c>
      <c r="E220" s="8" t="n">
        <v>13.6</v>
      </c>
      <c r="F220" s="8" t="n">
        <v>21</v>
      </c>
      <c r="G220" s="8" t="n">
        <f aca="false">G219+D220</f>
        <v>1920.8</v>
      </c>
      <c r="H220" s="8" t="n">
        <f aca="false">H219+D220</f>
        <v>85</v>
      </c>
      <c r="I220" s="15" t="n">
        <f aca="false">AVERAGE(D215:D235)</f>
        <v>11.6666666666667</v>
      </c>
      <c r="J220" s="39" t="n">
        <v>7.2</v>
      </c>
      <c r="K220" s="8" t="n">
        <f aca="false">K219+J220</f>
        <v>572.8</v>
      </c>
      <c r="L220" s="8" t="n">
        <v>3.7</v>
      </c>
      <c r="M220" s="8" t="n">
        <f aca="false">M219+L220</f>
        <v>290.7</v>
      </c>
      <c r="N220" s="14" t="n">
        <f aca="false">J220-L220</f>
        <v>3.5</v>
      </c>
      <c r="O220" s="8" t="n">
        <v>107.3</v>
      </c>
      <c r="P220" s="8" t="n">
        <v>215</v>
      </c>
      <c r="Q220" s="8" t="n">
        <v>1.15</v>
      </c>
      <c r="R220" s="15" t="n">
        <f aca="false">Q220*L220</f>
        <v>4.255</v>
      </c>
      <c r="S220" s="15" t="n">
        <f aca="false">J220-R220</f>
        <v>2.945</v>
      </c>
      <c r="T220" s="41" t="n">
        <f aca="false">MIN(153.6,(T219+S220))</f>
        <v>97.37</v>
      </c>
      <c r="U220" s="8" t="n">
        <v>0</v>
      </c>
      <c r="V220" s="8" t="n">
        <v>1203.7</v>
      </c>
      <c r="W220" s="8" t="n">
        <f aca="false">V220/D220</f>
        <v>77.658064516129</v>
      </c>
      <c r="X220" s="8" t="n">
        <f aca="false">X219+V220</f>
        <v>122897.3</v>
      </c>
      <c r="Y220" s="8" t="n">
        <f aca="false">Y219+V220</f>
        <v>5999.9</v>
      </c>
      <c r="Z220" s="8" t="n">
        <v>5</v>
      </c>
      <c r="AA220" s="8" t="n">
        <v>13.2485051948674</v>
      </c>
    </row>
    <row r="221" s="8" customFormat="true" ht="15" hidden="false" customHeight="false" outlineLevel="0" collapsed="false">
      <c r="A221" s="63"/>
      <c r="C221" s="11" t="n">
        <v>41737</v>
      </c>
      <c r="D221" s="8" t="n">
        <v>9.7</v>
      </c>
      <c r="E221" s="8" t="n">
        <v>8.1</v>
      </c>
      <c r="F221" s="8" t="n">
        <v>12</v>
      </c>
      <c r="G221" s="8" t="n">
        <f aca="false">G220+D221</f>
        <v>1930.5</v>
      </c>
      <c r="H221" s="8" t="n">
        <f aca="false">H220+D221</f>
        <v>94.7</v>
      </c>
      <c r="I221" s="65" t="s">
        <v>36</v>
      </c>
      <c r="J221" s="39" t="n">
        <v>0.5</v>
      </c>
      <c r="K221" s="8" t="n">
        <f aca="false">K220+J221</f>
        <v>573.3</v>
      </c>
      <c r="L221" s="8" t="n">
        <v>2.9</v>
      </c>
      <c r="M221" s="8" t="n">
        <f aca="false">M220+L221</f>
        <v>293.6</v>
      </c>
      <c r="N221" s="14" t="n">
        <f aca="false">J221-L221</f>
        <v>-2.4</v>
      </c>
      <c r="O221" s="8" t="n">
        <v>104.9</v>
      </c>
      <c r="P221" s="8" t="n">
        <v>216</v>
      </c>
      <c r="Q221" s="8" t="n">
        <v>1.15</v>
      </c>
      <c r="R221" s="15" t="n">
        <f aca="false">Q221*L221</f>
        <v>3.335</v>
      </c>
      <c r="S221" s="15" t="n">
        <f aca="false">J221-R221</f>
        <v>-2.835</v>
      </c>
      <c r="T221" s="41" t="n">
        <f aca="false">MIN(153.6,(T220+S221))</f>
        <v>94.535</v>
      </c>
      <c r="U221" s="65" t="s">
        <v>37</v>
      </c>
      <c r="V221" s="8" t="n">
        <v>1514.2</v>
      </c>
      <c r="W221" s="8" t="n">
        <f aca="false">V221/D221</f>
        <v>156.103092783505</v>
      </c>
      <c r="X221" s="8" t="n">
        <f aca="false">X220+V221</f>
        <v>124411.5</v>
      </c>
      <c r="Y221" s="8" t="n">
        <f aca="false">Y220+V221</f>
        <v>7514.1</v>
      </c>
      <c r="AA221" s="8" t="n">
        <v>13.3116537411061</v>
      </c>
    </row>
    <row r="222" s="8" customFormat="true" ht="15" hidden="false" customHeight="false" outlineLevel="0" collapsed="false">
      <c r="A222" s="63"/>
      <c r="C222" s="11" t="n">
        <v>41738</v>
      </c>
      <c r="D222" s="8" t="n">
        <v>9.5</v>
      </c>
      <c r="E222" s="18" t="n">
        <v>3.6</v>
      </c>
      <c r="F222" s="8" t="n">
        <v>13.8</v>
      </c>
      <c r="G222" s="8" t="n">
        <f aca="false">G221+D222</f>
        <v>1940</v>
      </c>
      <c r="H222" s="8" t="n">
        <f aca="false">H221+D222</f>
        <v>104.2</v>
      </c>
      <c r="I222" s="8" t="n">
        <v>0</v>
      </c>
      <c r="J222" s="39" t="n">
        <v>0</v>
      </c>
      <c r="K222" s="8" t="n">
        <f aca="false">K221+J222</f>
        <v>573.3</v>
      </c>
      <c r="L222" s="8" t="n">
        <v>2.6</v>
      </c>
      <c r="M222" s="8" t="n">
        <f aca="false">M221+L222</f>
        <v>296.2</v>
      </c>
      <c r="N222" s="14" t="n">
        <f aca="false">J222-L222</f>
        <v>-2.6</v>
      </c>
      <c r="O222" s="8" t="n">
        <v>102.3</v>
      </c>
      <c r="P222" s="8" t="n">
        <v>217</v>
      </c>
      <c r="Q222" s="8" t="n">
        <v>1.15</v>
      </c>
      <c r="R222" s="15" t="n">
        <f aca="false">Q222*L222</f>
        <v>2.99</v>
      </c>
      <c r="S222" s="15" t="n">
        <f aca="false">J222-R222</f>
        <v>-2.99</v>
      </c>
      <c r="T222" s="41" t="n">
        <f aca="false">MIN(153.6,(T221+S222))</f>
        <v>91.545</v>
      </c>
      <c r="U222" s="15" t="n">
        <f aca="false">MIN(T215:T235)</f>
        <v>57.0950000000001</v>
      </c>
      <c r="V222" s="8" t="n">
        <v>1576.3</v>
      </c>
      <c r="W222" s="8" t="n">
        <f aca="false">V222/D222</f>
        <v>165.926315789474</v>
      </c>
      <c r="X222" s="8" t="n">
        <f aca="false">X221+V222</f>
        <v>125987.8</v>
      </c>
      <c r="Y222" s="8" t="n">
        <f aca="false">Y221+V222</f>
        <v>9090.4</v>
      </c>
      <c r="AA222" s="8" t="n">
        <v>13.3746714831632</v>
      </c>
    </row>
    <row r="223" s="8" customFormat="true" ht="15" hidden="false" customHeight="false" outlineLevel="0" collapsed="false">
      <c r="A223" s="63"/>
      <c r="C223" s="11" t="n">
        <v>41739</v>
      </c>
      <c r="D223" s="8" t="n">
        <v>10.1</v>
      </c>
      <c r="E223" s="18" t="n">
        <v>4.4</v>
      </c>
      <c r="F223" s="8" t="n">
        <v>14.7</v>
      </c>
      <c r="G223" s="8" t="n">
        <f aca="false">G222+D223</f>
        <v>1950.1</v>
      </c>
      <c r="H223" s="8" t="n">
        <f aca="false">H222+D223</f>
        <v>114.3</v>
      </c>
      <c r="I223" s="65" t="s">
        <v>38</v>
      </c>
      <c r="J223" s="39" t="n">
        <v>0</v>
      </c>
      <c r="K223" s="8" t="n">
        <f aca="false">K222+J223</f>
        <v>573.3</v>
      </c>
      <c r="L223" s="8" t="n">
        <v>2.3</v>
      </c>
      <c r="M223" s="8" t="n">
        <f aca="false">M222+L223</f>
        <v>298.5</v>
      </c>
      <c r="N223" s="14" t="n">
        <f aca="false">J223-L223</f>
        <v>-2.3</v>
      </c>
      <c r="O223" s="8" t="n">
        <v>100</v>
      </c>
      <c r="P223" s="8" t="n">
        <v>218</v>
      </c>
      <c r="Q223" s="8" t="n">
        <v>1.15</v>
      </c>
      <c r="R223" s="15" t="n">
        <f aca="false">Q223*L223</f>
        <v>2.645</v>
      </c>
      <c r="S223" s="15" t="n">
        <f aca="false">J223-R223</f>
        <v>-2.645</v>
      </c>
      <c r="T223" s="41" t="n">
        <f aca="false">MIN(153.6,(T222+S223))</f>
        <v>88.9000000000001</v>
      </c>
      <c r="U223" s="65" t="s">
        <v>39</v>
      </c>
      <c r="V223" s="8" t="n">
        <v>1504.7</v>
      </c>
      <c r="W223" s="8" t="n">
        <f aca="false">V223/D223</f>
        <v>148.980198019802</v>
      </c>
      <c r="X223" s="8" t="n">
        <f aca="false">X222+V223</f>
        <v>127492.5</v>
      </c>
      <c r="Y223" s="8" t="n">
        <f aca="false">Y222+V223</f>
        <v>10595.1</v>
      </c>
      <c r="AA223" s="8" t="n">
        <v>13.4375500191694</v>
      </c>
    </row>
    <row r="224" s="49" customFormat="true" ht="15" hidden="false" customHeight="false" outlineLevel="0" collapsed="false">
      <c r="A224" s="63"/>
      <c r="C224" s="11" t="n">
        <v>41740</v>
      </c>
      <c r="D224" s="49" t="n">
        <v>10.3</v>
      </c>
      <c r="E224" s="49" t="n">
        <v>5.1</v>
      </c>
      <c r="F224" s="49" t="n">
        <v>14.8</v>
      </c>
      <c r="G224" s="49" t="n">
        <f aca="false">G223+D224</f>
        <v>1960.4</v>
      </c>
      <c r="H224" s="49" t="n">
        <f aca="false">H223+D224</f>
        <v>124.6</v>
      </c>
      <c r="I224" s="49" t="n">
        <v>0</v>
      </c>
      <c r="J224" s="49" t="n">
        <v>0</v>
      </c>
      <c r="K224" s="49" t="n">
        <f aca="false">K223+J224</f>
        <v>573.3</v>
      </c>
      <c r="L224" s="49" t="n">
        <v>2.1</v>
      </c>
      <c r="M224" s="49" t="n">
        <f aca="false">M223+L224</f>
        <v>300.6</v>
      </c>
      <c r="N224" s="49" t="n">
        <f aca="false">J224-L224</f>
        <v>-2.1</v>
      </c>
      <c r="O224" s="49" t="n">
        <v>97.9</v>
      </c>
      <c r="P224" s="49" t="n">
        <v>219</v>
      </c>
      <c r="Q224" s="8" t="n">
        <v>1.15</v>
      </c>
      <c r="R224" s="52" t="n">
        <f aca="false">Q224*L224</f>
        <v>2.415</v>
      </c>
      <c r="S224" s="52" t="n">
        <f aca="false">J224-R224</f>
        <v>-2.415</v>
      </c>
      <c r="T224" s="15" t="n">
        <f aca="false">MIN(153.6,(T223+S224))</f>
        <v>86.485</v>
      </c>
      <c r="U224" s="15" t="n">
        <f aca="false">MAX(T215:T235)</f>
        <v>102.895</v>
      </c>
      <c r="V224" s="49" t="n">
        <v>1090</v>
      </c>
      <c r="W224" s="49" t="n">
        <f aca="false">V224/D224</f>
        <v>105.825242718447</v>
      </c>
      <c r="X224" s="49" t="n">
        <f aca="false">X223+V224</f>
        <v>128582.5</v>
      </c>
      <c r="Y224" s="8" t="n">
        <f aca="false">Y223+V224</f>
        <v>11685.1</v>
      </c>
      <c r="AA224" s="8" t="n">
        <v>13.5002806215506</v>
      </c>
    </row>
    <row r="225" s="8" customFormat="true" ht="15" hidden="false" customHeight="false" outlineLevel="0" collapsed="false">
      <c r="A225" s="63"/>
      <c r="C225" s="11" t="n">
        <v>41741</v>
      </c>
      <c r="D225" s="8" t="n">
        <v>10.6</v>
      </c>
      <c r="E225" s="8" t="n">
        <v>6.5</v>
      </c>
      <c r="F225" s="8" t="n">
        <v>14.8</v>
      </c>
      <c r="G225" s="8" t="n">
        <f aca="false">G224+D225</f>
        <v>1971</v>
      </c>
      <c r="H225" s="8" t="n">
        <f aca="false">H224+D225</f>
        <v>135.2</v>
      </c>
      <c r="I225" s="65" t="s">
        <v>40</v>
      </c>
      <c r="J225" s="8" t="n">
        <v>0</v>
      </c>
      <c r="K225" s="8" t="n">
        <f aca="false">K224+J225</f>
        <v>573.3</v>
      </c>
      <c r="L225" s="8" t="n">
        <v>2.5</v>
      </c>
      <c r="M225" s="8" t="n">
        <f aca="false">M224+L225</f>
        <v>303.1</v>
      </c>
      <c r="N225" s="14" t="n">
        <f aca="false">J225-L225</f>
        <v>-2.5</v>
      </c>
      <c r="O225" s="8" t="n">
        <v>95.4</v>
      </c>
      <c r="P225" s="8" t="n">
        <v>220</v>
      </c>
      <c r="Q225" s="8" t="n">
        <v>1.15</v>
      </c>
      <c r="R225" s="15" t="n">
        <f aca="false">Q225*L225</f>
        <v>2.875</v>
      </c>
      <c r="S225" s="15" t="n">
        <f aca="false">J225-R225</f>
        <v>-2.875</v>
      </c>
      <c r="T225" s="15" t="n">
        <f aca="false">MIN(153.6,(T224+S225))</f>
        <v>83.61</v>
      </c>
      <c r="U225" s="65" t="s">
        <v>41</v>
      </c>
      <c r="V225" s="8" t="n">
        <v>1586.8</v>
      </c>
      <c r="W225" s="8" t="n">
        <f aca="false">V225/D225</f>
        <v>149.698113207547</v>
      </c>
      <c r="X225" s="8" t="n">
        <f aca="false">X224+V225</f>
        <v>130169.3</v>
      </c>
      <c r="Y225" s="8" t="n">
        <f aca="false">Y224+V225</f>
        <v>13271.9</v>
      </c>
      <c r="AA225" s="8" t="n">
        <v>13.5628542188418</v>
      </c>
    </row>
    <row r="226" s="8" customFormat="true" ht="15" hidden="false" customHeight="false" outlineLevel="0" collapsed="false">
      <c r="A226" s="63"/>
      <c r="C226" s="11" t="n">
        <v>41742</v>
      </c>
      <c r="D226" s="8" t="n">
        <v>11.1</v>
      </c>
      <c r="E226" s="8" t="n">
        <v>7.7</v>
      </c>
      <c r="F226" s="8" t="n">
        <v>14.3</v>
      </c>
      <c r="G226" s="8" t="n">
        <f aca="false">G225+D226</f>
        <v>1982.1</v>
      </c>
      <c r="H226" s="8" t="n">
        <f aca="false">H225+D226</f>
        <v>146.3</v>
      </c>
      <c r="I226" s="8" t="n">
        <v>4</v>
      </c>
      <c r="J226" s="8" t="n">
        <v>0</v>
      </c>
      <c r="K226" s="8" t="n">
        <f aca="false">K225+J226</f>
        <v>573.3</v>
      </c>
      <c r="L226" s="8" t="n">
        <v>2</v>
      </c>
      <c r="M226" s="8" t="n">
        <f aca="false">M225+L226</f>
        <v>305.1</v>
      </c>
      <c r="N226" s="14" t="n">
        <f aca="false">J226-L226</f>
        <v>-2</v>
      </c>
      <c r="O226" s="8" t="n">
        <v>93.4</v>
      </c>
      <c r="P226" s="8" t="n">
        <v>221</v>
      </c>
      <c r="Q226" s="8" t="n">
        <v>1.15</v>
      </c>
      <c r="R226" s="15" t="n">
        <f aca="false">Q226*L226</f>
        <v>2.3</v>
      </c>
      <c r="S226" s="15" t="n">
        <f aca="false">J226-R226</f>
        <v>-2.3</v>
      </c>
      <c r="T226" s="15" t="n">
        <f aca="false">MIN(153.6,(T225+S226))</f>
        <v>81.31</v>
      </c>
      <c r="U226" s="17" t="n">
        <f aca="false">AVERAGE(T215:T235)</f>
        <v>82.2680952380953</v>
      </c>
      <c r="V226" s="16" t="n">
        <v>671.7</v>
      </c>
      <c r="W226" s="8" t="n">
        <f aca="false">V226/D226</f>
        <v>60.5135135135135</v>
      </c>
      <c r="X226" s="8" t="n">
        <f aca="false">X225+V226</f>
        <v>130841</v>
      </c>
      <c r="Y226" s="8" t="n">
        <f aca="false">Y225+V226</f>
        <v>13943.6</v>
      </c>
      <c r="AA226" s="8" t="n">
        <v>13.6252613776202</v>
      </c>
    </row>
    <row r="227" s="8" customFormat="true" ht="15" hidden="false" customHeight="false" outlineLevel="0" collapsed="false">
      <c r="A227" s="63"/>
      <c r="C227" s="11" t="n">
        <v>41743</v>
      </c>
      <c r="D227" s="8" t="n">
        <v>8.8</v>
      </c>
      <c r="E227" s="8" t="n">
        <v>7.4</v>
      </c>
      <c r="F227" s="8" t="n">
        <v>12</v>
      </c>
      <c r="G227" s="8" t="n">
        <f aca="false">G226+D227</f>
        <v>1990.9</v>
      </c>
      <c r="H227" s="8" t="n">
        <f aca="false">H226+D227</f>
        <v>155.1</v>
      </c>
      <c r="I227" s="65" t="s">
        <v>42</v>
      </c>
      <c r="J227" s="8" t="n">
        <v>0</v>
      </c>
      <c r="K227" s="8" t="n">
        <f aca="false">K226+J227</f>
        <v>573.3</v>
      </c>
      <c r="L227" s="8" t="n">
        <v>2.9</v>
      </c>
      <c r="M227" s="8" t="n">
        <f aca="false">M226+L227</f>
        <v>308</v>
      </c>
      <c r="N227" s="14" t="n">
        <f aca="false">J227-L227</f>
        <v>-2.9</v>
      </c>
      <c r="O227" s="8" t="n">
        <v>90.5</v>
      </c>
      <c r="P227" s="8" t="n">
        <v>222</v>
      </c>
      <c r="Q227" s="8" t="n">
        <v>1.15</v>
      </c>
      <c r="R227" s="15" t="n">
        <f aca="false">Q227*L227</f>
        <v>3.335</v>
      </c>
      <c r="S227" s="15" t="n">
        <f aca="false">J227-R227</f>
        <v>-3.335</v>
      </c>
      <c r="T227" s="15" t="n">
        <f aca="false">MIN(153.6,(T226+S227))</f>
        <v>77.9750000000001</v>
      </c>
      <c r="V227" s="8" t="n">
        <v>1817.8</v>
      </c>
      <c r="W227" s="8" t="n">
        <f aca="false">V227/D227</f>
        <v>206.568181818182</v>
      </c>
      <c r="X227" s="8" t="n">
        <f aca="false">X226+V227</f>
        <v>132658.8</v>
      </c>
      <c r="Y227" s="8" t="n">
        <f aca="false">Y226+V227</f>
        <v>15761.4</v>
      </c>
      <c r="AA227" s="8" t="n">
        <v>13.6874922845799</v>
      </c>
    </row>
    <row r="228" s="8" customFormat="true" ht="15" hidden="false" customHeight="false" outlineLevel="0" collapsed="false">
      <c r="A228" s="63"/>
      <c r="C228" s="11" t="n">
        <v>41744</v>
      </c>
      <c r="D228" s="8" t="n">
        <v>7.5</v>
      </c>
      <c r="E228" s="18" t="n">
        <v>4.6</v>
      </c>
      <c r="F228" s="8" t="n">
        <v>11.1</v>
      </c>
      <c r="G228" s="8" t="n">
        <f aca="false">G227+D228</f>
        <v>1998.4</v>
      </c>
      <c r="H228" s="8" t="n">
        <f aca="false">H227+D228</f>
        <v>162.6</v>
      </c>
      <c r="I228" s="8" t="n">
        <v>245</v>
      </c>
      <c r="J228" s="8" t="n">
        <v>0</v>
      </c>
      <c r="K228" s="8" t="n">
        <f aca="false">K227+J228</f>
        <v>573.3</v>
      </c>
      <c r="L228" s="8" t="n">
        <v>3.1</v>
      </c>
      <c r="M228" s="8" t="n">
        <f aca="false">M227+L228</f>
        <v>311.1</v>
      </c>
      <c r="N228" s="14" t="n">
        <f aca="false">J228-L228</f>
        <v>-3.1</v>
      </c>
      <c r="O228" s="8" t="n">
        <v>87.4</v>
      </c>
      <c r="P228" s="8" t="n">
        <v>223</v>
      </c>
      <c r="Q228" s="8" t="n">
        <v>1.15</v>
      </c>
      <c r="R228" s="15" t="n">
        <f aca="false">Q228*L228</f>
        <v>3.565</v>
      </c>
      <c r="S228" s="15" t="n">
        <f aca="false">J228-R228</f>
        <v>-3.565</v>
      </c>
      <c r="T228" s="15" t="n">
        <f aca="false">MIN(153.6,(T227+S228))</f>
        <v>74.4100000000001</v>
      </c>
      <c r="U228" s="8" t="n">
        <f aca="false">(U226*100)/153.6</f>
        <v>53.5599578373016</v>
      </c>
      <c r="V228" s="8" t="n">
        <v>1864.2</v>
      </c>
      <c r="W228" s="8" t="n">
        <f aca="false">V228/D228</f>
        <v>248.56</v>
      </c>
      <c r="X228" s="8" t="n">
        <f aca="false">X227+V228</f>
        <v>134523</v>
      </c>
      <c r="Y228" s="8" t="n">
        <f aca="false">Y227+V228</f>
        <v>17625.6</v>
      </c>
      <c r="AA228" s="8" t="n">
        <v>13.7495367287754</v>
      </c>
    </row>
    <row r="229" s="8" customFormat="true" ht="15" hidden="false" customHeight="false" outlineLevel="0" collapsed="false">
      <c r="A229" s="63"/>
      <c r="C229" s="11" t="n">
        <v>41745</v>
      </c>
      <c r="D229" s="8" t="n">
        <v>9.3</v>
      </c>
      <c r="E229" s="18" t="n">
        <v>4.1</v>
      </c>
      <c r="F229" s="8" t="n">
        <v>14.4</v>
      </c>
      <c r="G229" s="8" t="n">
        <f aca="false">G228+D229</f>
        <v>2007.7</v>
      </c>
      <c r="H229" s="8" t="n">
        <f aca="false">H228+D229</f>
        <v>171.9</v>
      </c>
      <c r="J229" s="8" t="n">
        <v>0</v>
      </c>
      <c r="K229" s="8" t="n">
        <f aca="false">K228+J229</f>
        <v>573.3</v>
      </c>
      <c r="L229" s="8" t="n">
        <v>3.1</v>
      </c>
      <c r="M229" s="8" t="n">
        <f aca="false">M228+L229</f>
        <v>314.2</v>
      </c>
      <c r="N229" s="14" t="n">
        <f aca="false">J229-L229</f>
        <v>-3.1</v>
      </c>
      <c r="O229" s="8" t="n">
        <v>84.3</v>
      </c>
      <c r="P229" s="8" t="n">
        <v>224</v>
      </c>
      <c r="Q229" s="8" t="n">
        <v>1.15</v>
      </c>
      <c r="R229" s="15" t="n">
        <f aca="false">Q229*L229</f>
        <v>3.565</v>
      </c>
      <c r="S229" s="15" t="n">
        <f aca="false">J229-R229</f>
        <v>-3.565</v>
      </c>
      <c r="T229" s="15" t="n">
        <f aca="false">MIN(153.6,(T228+S229))</f>
        <v>70.8450000000001</v>
      </c>
      <c r="V229" s="8" t="n">
        <v>2267</v>
      </c>
      <c r="W229" s="8" t="n">
        <f aca="false">V229/D229</f>
        <v>243.763440860215</v>
      </c>
      <c r="X229" s="8" t="n">
        <f aca="false">X228+V229</f>
        <v>136790</v>
      </c>
      <c r="Y229" s="8" t="n">
        <f aca="false">Y228+V229</f>
        <v>19892.6</v>
      </c>
      <c r="AA229" s="8" t="n">
        <v>13.8113840840643</v>
      </c>
    </row>
    <row r="230" s="8" customFormat="true" ht="15" hidden="false" customHeight="false" outlineLevel="0" collapsed="false">
      <c r="A230" s="63"/>
      <c r="C230" s="11" t="n">
        <v>41746</v>
      </c>
      <c r="D230" s="8" t="n">
        <v>11.8</v>
      </c>
      <c r="E230" s="8" t="n">
        <v>5.4</v>
      </c>
      <c r="F230" s="8" t="n">
        <v>17.5</v>
      </c>
      <c r="G230" s="8" t="n">
        <f aca="false">G229+D230</f>
        <v>2019.5</v>
      </c>
      <c r="H230" s="8" t="n">
        <f aca="false">H229+D230</f>
        <v>183.7</v>
      </c>
      <c r="J230" s="8" t="n">
        <v>0</v>
      </c>
      <c r="K230" s="8" t="n">
        <f aca="false">K229+J230</f>
        <v>573.3</v>
      </c>
      <c r="L230" s="8" t="n">
        <v>4</v>
      </c>
      <c r="M230" s="8" t="n">
        <f aca="false">M229+L230</f>
        <v>318.2</v>
      </c>
      <c r="N230" s="14" t="n">
        <f aca="false">J230-L230</f>
        <v>-4</v>
      </c>
      <c r="O230" s="8" t="n">
        <v>80.3</v>
      </c>
      <c r="P230" s="8" t="n">
        <v>225</v>
      </c>
      <c r="Q230" s="8" t="n">
        <v>1.15</v>
      </c>
      <c r="R230" s="15" t="n">
        <f aca="false">Q230*L230</f>
        <v>4.6</v>
      </c>
      <c r="S230" s="15" t="n">
        <f aca="false">J230-R230</f>
        <v>-4.6</v>
      </c>
      <c r="T230" s="15" t="n">
        <f aca="false">MIN(153.6,(T229+S230))</f>
        <v>66.2450000000001</v>
      </c>
      <c r="V230" s="8" t="n">
        <v>2103.7</v>
      </c>
      <c r="W230" s="8" t="n">
        <f aca="false">V230/D230</f>
        <v>178.279661016949</v>
      </c>
      <c r="X230" s="8" t="n">
        <f aca="false">X229+V230</f>
        <v>138893.7</v>
      </c>
      <c r="Y230" s="8" t="n">
        <f aca="false">Y229+V230</f>
        <v>21996.3</v>
      </c>
      <c r="AA230" s="8" t="n">
        <v>13.8730232917844</v>
      </c>
    </row>
    <row r="231" s="8" customFormat="true" ht="15" hidden="false" customHeight="false" outlineLevel="0" collapsed="false">
      <c r="A231" s="63"/>
      <c r="C231" s="11" t="n">
        <v>41747</v>
      </c>
      <c r="D231" s="8" t="n">
        <v>9.9</v>
      </c>
      <c r="E231" s="8" t="n">
        <v>9</v>
      </c>
      <c r="F231" s="8" t="n">
        <v>12.1</v>
      </c>
      <c r="G231" s="8" t="n">
        <f aca="false">G230+D231</f>
        <v>2029.4</v>
      </c>
      <c r="H231" s="8" t="n">
        <f aca="false">H230+D231</f>
        <v>193.6</v>
      </c>
      <c r="J231" s="8" t="n">
        <v>0</v>
      </c>
      <c r="K231" s="8" t="n">
        <f aca="false">K230+J231</f>
        <v>573.3</v>
      </c>
      <c r="L231" s="8" t="n">
        <v>3.5</v>
      </c>
      <c r="M231" s="8" t="n">
        <f aca="false">M230+L231</f>
        <v>321.7</v>
      </c>
      <c r="N231" s="14" t="n">
        <f aca="false">J231-L231</f>
        <v>-3.5</v>
      </c>
      <c r="O231" s="8" t="n">
        <v>76.8</v>
      </c>
      <c r="P231" s="8" t="n">
        <v>226</v>
      </c>
      <c r="Q231" s="8" t="n">
        <v>1.15</v>
      </c>
      <c r="R231" s="15" t="n">
        <f aca="false">Q231*L231</f>
        <v>4.025</v>
      </c>
      <c r="S231" s="15" t="n">
        <f aca="false">J231-R231</f>
        <v>-4.025</v>
      </c>
      <c r="T231" s="15" t="n">
        <f aca="false">MIN(153.6,(T230+S231))</f>
        <v>62.2200000000001</v>
      </c>
      <c r="V231" s="8" t="n">
        <v>1297.4</v>
      </c>
      <c r="W231" s="8" t="n">
        <f aca="false">V231/D231</f>
        <v>131.050505050505</v>
      </c>
      <c r="X231" s="8" t="n">
        <f aca="false">X230+V231</f>
        <v>140191.1</v>
      </c>
      <c r="Y231" s="8" t="n">
        <f aca="false">Y230+V231</f>
        <v>23293.7</v>
      </c>
      <c r="AA231" s="8" t="n">
        <v>13.9344428437046</v>
      </c>
    </row>
    <row r="232" s="8" customFormat="true" ht="15" hidden="false" customHeight="false" outlineLevel="0" collapsed="false">
      <c r="A232" s="63"/>
      <c r="C232" s="11" t="n">
        <v>41748</v>
      </c>
      <c r="D232" s="8" t="n">
        <v>10.9</v>
      </c>
      <c r="E232" s="8" t="n">
        <v>6.7</v>
      </c>
      <c r="F232" s="8" t="n">
        <v>13.4</v>
      </c>
      <c r="G232" s="8" t="n">
        <f aca="false">G231+D232</f>
        <v>2040.3</v>
      </c>
      <c r="H232" s="8" t="n">
        <f aca="false">H231+D232</f>
        <v>204.5</v>
      </c>
      <c r="J232" s="8" t="n">
        <v>0</v>
      </c>
      <c r="K232" s="8" t="n">
        <f aca="false">K231+J232</f>
        <v>573.3</v>
      </c>
      <c r="L232" s="8" t="n">
        <v>3.2</v>
      </c>
      <c r="M232" s="8" t="n">
        <f aca="false">M231+L232</f>
        <v>324.9</v>
      </c>
      <c r="N232" s="14" t="n">
        <f aca="false">J232-L232</f>
        <v>-3.2</v>
      </c>
      <c r="O232" s="8" t="n">
        <v>73.6</v>
      </c>
      <c r="P232" s="8" t="n">
        <v>227</v>
      </c>
      <c r="Q232" s="8" t="n">
        <v>1.15</v>
      </c>
      <c r="R232" s="15" t="n">
        <f aca="false">Q232*L232</f>
        <v>3.68</v>
      </c>
      <c r="S232" s="15" t="n">
        <f aca="false">J232-R232</f>
        <v>-3.68</v>
      </c>
      <c r="T232" s="15" t="n">
        <f aca="false">MIN(153.6,(T231+S232))</f>
        <v>58.5400000000001</v>
      </c>
      <c r="V232" s="8" t="n">
        <v>1698.5</v>
      </c>
      <c r="W232" s="8" t="n">
        <f aca="false">V232/D232</f>
        <v>155.825688073395</v>
      </c>
      <c r="X232" s="8" t="n">
        <f aca="false">X231+V232</f>
        <v>141889.6</v>
      </c>
      <c r="Y232" s="8" t="n">
        <f aca="false">Y231+V232</f>
        <v>24992.2</v>
      </c>
      <c r="AA232" s="8" t="n">
        <v>13.995630765292</v>
      </c>
    </row>
    <row r="233" s="8" customFormat="true" ht="15" hidden="false" customHeight="false" outlineLevel="0" collapsed="false">
      <c r="A233" s="63"/>
      <c r="C233" s="11" t="n">
        <v>41749</v>
      </c>
      <c r="D233" s="8" t="n">
        <v>14.3</v>
      </c>
      <c r="E233" s="8" t="n">
        <v>11.5</v>
      </c>
      <c r="F233" s="8" t="n">
        <v>17.2</v>
      </c>
      <c r="G233" s="8" t="n">
        <f aca="false">G232+D233</f>
        <v>2054.6</v>
      </c>
      <c r="H233" s="8" t="n">
        <f aca="false">H232+D233</f>
        <v>218.8</v>
      </c>
      <c r="J233" s="8" t="n">
        <v>1.2</v>
      </c>
      <c r="K233" s="8" t="n">
        <f aca="false">K232+J233</f>
        <v>574.500000000001</v>
      </c>
      <c r="L233" s="8" t="n">
        <v>2.3</v>
      </c>
      <c r="M233" s="8" t="n">
        <f aca="false">M232+L233</f>
        <v>327.2</v>
      </c>
      <c r="N233" s="14" t="n">
        <f aca="false">J233-L233</f>
        <v>-1.1</v>
      </c>
      <c r="O233" s="8" t="n">
        <v>72.5</v>
      </c>
      <c r="P233" s="8" t="n">
        <v>228</v>
      </c>
      <c r="Q233" s="8" t="n">
        <v>1.15</v>
      </c>
      <c r="R233" s="15" t="n">
        <f aca="false">Q233*L233</f>
        <v>2.645</v>
      </c>
      <c r="S233" s="15" t="n">
        <f aca="false">J233-R233</f>
        <v>-1.445</v>
      </c>
      <c r="T233" s="15" t="n">
        <f aca="false">MIN(153.6,(T232+S233))</f>
        <v>57.0950000000001</v>
      </c>
      <c r="V233" s="16" t="n">
        <v>661.9</v>
      </c>
      <c r="W233" s="8" t="n">
        <f aca="false">V233/D233</f>
        <v>46.2867132867133</v>
      </c>
      <c r="X233" s="8" t="n">
        <f aca="false">X232+V233</f>
        <v>142551.5</v>
      </c>
      <c r="Y233" s="8" t="n">
        <f aca="false">Y232+V233</f>
        <v>25654.1</v>
      </c>
      <c r="AA233" s="8" t="n">
        <v>14.0565745993449</v>
      </c>
    </row>
    <row r="234" s="8" customFormat="true" ht="15" hidden="false" customHeight="false" outlineLevel="0" collapsed="false">
      <c r="A234" s="63"/>
      <c r="C234" s="11" t="n">
        <v>41750</v>
      </c>
      <c r="D234" s="8" t="n">
        <v>12.9</v>
      </c>
      <c r="E234" s="8" t="n">
        <v>9.6</v>
      </c>
      <c r="F234" s="8" t="n">
        <v>19.6</v>
      </c>
      <c r="G234" s="8" t="n">
        <f aca="false">G233+D234</f>
        <v>2067.5</v>
      </c>
      <c r="H234" s="8" t="n">
        <f aca="false">H233+D234</f>
        <v>231.7</v>
      </c>
      <c r="J234" s="8" t="n">
        <v>17.1</v>
      </c>
      <c r="K234" s="8" t="n">
        <f aca="false">K233+J234</f>
        <v>591.600000000001</v>
      </c>
      <c r="L234" s="8" t="n">
        <v>3.3</v>
      </c>
      <c r="M234" s="8" t="n">
        <f aca="false">M233+L234</f>
        <v>330.5</v>
      </c>
      <c r="N234" s="8" t="n">
        <f aca="false">J234-L234</f>
        <v>13.8</v>
      </c>
      <c r="O234" s="8" t="n">
        <v>86.3</v>
      </c>
      <c r="P234" s="8" t="n">
        <v>229</v>
      </c>
      <c r="Q234" s="8" t="n">
        <v>1.15</v>
      </c>
      <c r="R234" s="15" t="n">
        <f aca="false">Q234*L234</f>
        <v>3.795</v>
      </c>
      <c r="S234" s="15" t="n">
        <f aca="false">J234-R234</f>
        <v>13.305</v>
      </c>
      <c r="T234" s="15" t="n">
        <f aca="false">MIN(153.6,(T233+S234))</f>
        <v>70.4000000000001</v>
      </c>
      <c r="V234" s="8" t="n">
        <v>1607.5</v>
      </c>
      <c r="W234" s="8" t="n">
        <f aca="false">V234/D234</f>
        <v>124.612403100775</v>
      </c>
      <c r="X234" s="8" t="n">
        <f aca="false">X233+V234</f>
        <v>144159</v>
      </c>
      <c r="Y234" s="8" t="n">
        <f aca="false">Y233+V234</f>
        <v>27261.6</v>
      </c>
      <c r="AA234" s="8" t="n">
        <v>14.1172613900444</v>
      </c>
    </row>
    <row r="235" s="23" customFormat="true" ht="15" hidden="false" customHeight="false" outlineLevel="0" collapsed="false">
      <c r="A235" s="66" t="s">
        <v>55</v>
      </c>
      <c r="C235" s="58" t="n">
        <v>41751</v>
      </c>
      <c r="D235" s="23" t="n">
        <v>13.3</v>
      </c>
      <c r="E235" s="23" t="n">
        <v>9.7</v>
      </c>
      <c r="F235" s="23" t="n">
        <v>16.6</v>
      </c>
      <c r="G235" s="23" t="n">
        <f aca="false">G234+D235</f>
        <v>2080.8</v>
      </c>
      <c r="H235" s="23" t="n">
        <f aca="false">H234+D235</f>
        <v>245</v>
      </c>
      <c r="J235" s="23" t="n">
        <v>6.3</v>
      </c>
      <c r="K235" s="23" t="n">
        <f aca="false">K234+J235</f>
        <v>597.9</v>
      </c>
      <c r="L235" s="23" t="n">
        <v>2.7</v>
      </c>
      <c r="M235" s="23" t="n">
        <f aca="false">M234+L235</f>
        <v>333.2</v>
      </c>
      <c r="N235" s="23" t="n">
        <f aca="false">J235-L235</f>
        <v>3.6</v>
      </c>
      <c r="O235" s="23" t="n">
        <v>89.9</v>
      </c>
      <c r="P235" s="23" t="n">
        <v>230</v>
      </c>
      <c r="Q235" s="24" t="n">
        <v>1.15</v>
      </c>
      <c r="R235" s="25" t="n">
        <f aca="false">Q235*L235</f>
        <v>3.105</v>
      </c>
      <c r="S235" s="25" t="n">
        <f aca="false">J235-R235</f>
        <v>3.195</v>
      </c>
      <c r="T235" s="26" t="n">
        <f aca="false">MIN(153.6,(T234+S235))</f>
        <v>73.5950000000001</v>
      </c>
      <c r="V235" s="23" t="n">
        <v>1474.7</v>
      </c>
      <c r="W235" s="23" t="n">
        <f aca="false">V235/D235</f>
        <v>110.87969924812</v>
      </c>
      <c r="X235" s="23" t="n">
        <f aca="false">X234+V235</f>
        <v>145633.7</v>
      </c>
      <c r="Y235" s="24" t="n">
        <f aca="false">Y234+V235</f>
        <v>28736.3</v>
      </c>
      <c r="AA235" s="24" t="n">
        <v>14.1776776674823</v>
      </c>
    </row>
    <row r="236" s="8" customFormat="true" ht="15" hidden="false" customHeight="false" outlineLevel="0" collapsed="false">
      <c r="A236" s="67" t="n">
        <v>300</v>
      </c>
      <c r="B236" s="54"/>
      <c r="C236" s="11" t="n">
        <v>41752</v>
      </c>
      <c r="D236" s="8" t="n">
        <v>13.4</v>
      </c>
      <c r="E236" s="8" t="n">
        <v>6.8</v>
      </c>
      <c r="F236" s="8" t="n">
        <v>18.1</v>
      </c>
      <c r="G236" s="8" t="n">
        <f aca="false">G235+D236</f>
        <v>2094.2</v>
      </c>
      <c r="H236" s="8" t="n">
        <v>13.4</v>
      </c>
      <c r="I236" s="68" t="s">
        <v>27</v>
      </c>
      <c r="J236" s="8" t="n">
        <v>0</v>
      </c>
      <c r="K236" s="8" t="n">
        <f aca="false">K235+J236</f>
        <v>597.9</v>
      </c>
      <c r="L236" s="8" t="n">
        <v>2.1</v>
      </c>
      <c r="M236" s="8" t="n">
        <f aca="false">M235+L236</f>
        <v>335.3</v>
      </c>
      <c r="N236" s="14" t="n">
        <f aca="false">J236-L236</f>
        <v>-2.1</v>
      </c>
      <c r="O236" s="8" t="n">
        <v>87.8</v>
      </c>
      <c r="P236" s="8" t="n">
        <v>231</v>
      </c>
      <c r="Q236" s="8" t="n">
        <v>1.15</v>
      </c>
      <c r="R236" s="15" t="n">
        <f aca="false">Q236*L236</f>
        <v>2.415</v>
      </c>
      <c r="S236" s="15" t="n">
        <f aca="false">J236-R236</f>
        <v>-2.415</v>
      </c>
      <c r="T236" s="15" t="n">
        <f aca="false">MIN(153.6,(T235+S236))</f>
        <v>71.1800000000001</v>
      </c>
      <c r="U236" s="68" t="s">
        <v>28</v>
      </c>
      <c r="V236" s="8" t="n">
        <v>1439.7</v>
      </c>
      <c r="W236" s="8" t="n">
        <f aca="false">V236/D236</f>
        <v>107.440298507463</v>
      </c>
      <c r="X236" s="8" t="n">
        <f aca="false">X235+V236</f>
        <v>147073.4</v>
      </c>
      <c r="Y236" s="8" t="n">
        <v>1439.7</v>
      </c>
      <c r="Z236" s="68" t="s">
        <v>29</v>
      </c>
      <c r="AA236" s="8" t="n">
        <v>14.2378094327304</v>
      </c>
    </row>
    <row r="237" s="8" customFormat="true" ht="15" hidden="false" customHeight="false" outlineLevel="0" collapsed="false">
      <c r="A237" s="67"/>
      <c r="B237" s="54"/>
      <c r="C237" s="11" t="n">
        <v>41753</v>
      </c>
      <c r="D237" s="8" t="n">
        <v>14</v>
      </c>
      <c r="E237" s="8" t="n">
        <v>11.3</v>
      </c>
      <c r="F237" s="8" t="n">
        <v>16.2</v>
      </c>
      <c r="G237" s="8" t="n">
        <f aca="false">G236+D237</f>
        <v>2108.2</v>
      </c>
      <c r="H237" s="8" t="n">
        <f aca="false">H236+D237</f>
        <v>27.4</v>
      </c>
      <c r="I237" s="8" t="n">
        <f aca="false">MIN(E236:E260)</f>
        <v>5.7</v>
      </c>
      <c r="J237" s="8" t="n">
        <v>2.3</v>
      </c>
      <c r="K237" s="8" t="n">
        <f aca="false">K236+J237</f>
        <v>600.2</v>
      </c>
      <c r="L237" s="8" t="n">
        <v>1.2</v>
      </c>
      <c r="M237" s="8" t="n">
        <f aca="false">M236+L237</f>
        <v>336.5</v>
      </c>
      <c r="N237" s="8" t="n">
        <f aca="false">J237-L237</f>
        <v>1.1</v>
      </c>
      <c r="O237" s="8" t="n">
        <v>88.9</v>
      </c>
      <c r="P237" s="8" t="n">
        <v>232</v>
      </c>
      <c r="Q237" s="8" t="n">
        <v>1.15</v>
      </c>
      <c r="R237" s="15" t="n">
        <f aca="false">Q237*L237</f>
        <v>1.38</v>
      </c>
      <c r="S237" s="15" t="n">
        <f aca="false">J237-R237</f>
        <v>0.92</v>
      </c>
      <c r="T237" s="15" t="n">
        <f aca="false">MIN(153.6,(T236+S237))</f>
        <v>72.1000000000001</v>
      </c>
      <c r="U237" s="8" t="n">
        <v>18</v>
      </c>
      <c r="V237" s="16" t="n">
        <v>757.1</v>
      </c>
      <c r="W237" s="8" t="n">
        <f aca="false">V237/D237</f>
        <v>54.0785714285714</v>
      </c>
      <c r="X237" s="8" t="n">
        <f aca="false">X236+V237</f>
        <v>147830.5</v>
      </c>
      <c r="Y237" s="8" t="n">
        <f aca="false">Y236+V237</f>
        <v>2196.8</v>
      </c>
      <c r="Z237" s="8" t="n">
        <v>37313</v>
      </c>
      <c r="AA237" s="8" t="n">
        <v>14.2976421435191</v>
      </c>
    </row>
    <row r="238" s="8" customFormat="true" ht="15" hidden="false" customHeight="false" outlineLevel="0" collapsed="false">
      <c r="A238" s="67"/>
      <c r="B238" s="54"/>
      <c r="C238" s="11" t="n">
        <v>41754</v>
      </c>
      <c r="D238" s="8" t="n">
        <v>13.8</v>
      </c>
      <c r="E238" s="8" t="n">
        <v>12.3</v>
      </c>
      <c r="F238" s="8" t="n">
        <v>18.4</v>
      </c>
      <c r="G238" s="8" t="n">
        <f aca="false">G237+D238</f>
        <v>2122</v>
      </c>
      <c r="H238" s="8" t="n">
        <f aca="false">H237+D238</f>
        <v>41.2</v>
      </c>
      <c r="I238" s="68" t="s">
        <v>30</v>
      </c>
      <c r="J238" s="8" t="n">
        <v>0.6</v>
      </c>
      <c r="K238" s="8" t="n">
        <f aca="false">K237+J238</f>
        <v>600.8</v>
      </c>
      <c r="L238" s="8" t="n">
        <v>1.8</v>
      </c>
      <c r="M238" s="8" t="n">
        <f aca="false">M237+L238</f>
        <v>338.3</v>
      </c>
      <c r="N238" s="14" t="n">
        <f aca="false">J238-L238</f>
        <v>-1.2</v>
      </c>
      <c r="O238" s="8" t="n">
        <v>87.7</v>
      </c>
      <c r="P238" s="8" t="n">
        <v>233</v>
      </c>
      <c r="Q238" s="8" t="n">
        <v>1.15</v>
      </c>
      <c r="R238" s="15" t="n">
        <f aca="false">Q238*L238</f>
        <v>2.07</v>
      </c>
      <c r="S238" s="15" t="n">
        <f aca="false">J238-R238</f>
        <v>-1.47</v>
      </c>
      <c r="T238" s="15" t="n">
        <f aca="false">MIN(153.6,(T237+S238))</f>
        <v>70.6300000000001</v>
      </c>
      <c r="U238" s="68" t="s">
        <v>31</v>
      </c>
      <c r="V238" s="16" t="n">
        <v>756.6</v>
      </c>
      <c r="W238" s="8" t="n">
        <f aca="false">V238/D238</f>
        <v>54.8260869565217</v>
      </c>
      <c r="X238" s="8" t="n">
        <f aca="false">X237+V238</f>
        <v>148587.1</v>
      </c>
      <c r="Y238" s="8" t="n">
        <f aca="false">Y237+V238</f>
        <v>2953.4</v>
      </c>
      <c r="Z238" s="68" t="s">
        <v>32</v>
      </c>
      <c r="AA238" s="8" t="n">
        <v>14.3571607006006</v>
      </c>
    </row>
    <row r="239" s="8" customFormat="true" ht="15" hidden="false" customHeight="false" outlineLevel="0" collapsed="false">
      <c r="A239" s="67"/>
      <c r="B239" s="54"/>
      <c r="C239" s="11" t="n">
        <v>41755</v>
      </c>
      <c r="D239" s="8" t="n">
        <v>10.3</v>
      </c>
      <c r="E239" s="8" t="n">
        <v>8.1</v>
      </c>
      <c r="F239" s="8" t="n">
        <v>11.9</v>
      </c>
      <c r="G239" s="8" t="n">
        <f aca="false">G238+D239</f>
        <v>2132.3</v>
      </c>
      <c r="H239" s="8" t="n">
        <f aca="false">H238+D239</f>
        <v>51.5</v>
      </c>
      <c r="I239" s="8" t="n">
        <f aca="false">MAX(F236:F260)</f>
        <v>20.6</v>
      </c>
      <c r="J239" s="8" t="n">
        <v>2.2</v>
      </c>
      <c r="K239" s="8" t="n">
        <f aca="false">K238+J239</f>
        <v>603.000000000001</v>
      </c>
      <c r="L239" s="8" t="n">
        <v>1.1</v>
      </c>
      <c r="M239" s="8" t="n">
        <f aca="false">M238+L239</f>
        <v>339.4</v>
      </c>
      <c r="N239" s="8" t="n">
        <f aca="false">J239-L239</f>
        <v>1.1</v>
      </c>
      <c r="O239" s="8" t="n">
        <v>88.8</v>
      </c>
      <c r="P239" s="8" t="n">
        <v>234</v>
      </c>
      <c r="Q239" s="8" t="n">
        <v>1.15</v>
      </c>
      <c r="R239" s="15" t="n">
        <f aca="false">Q239*L239</f>
        <v>1.265</v>
      </c>
      <c r="S239" s="15" t="n">
        <f aca="false">J239-R239</f>
        <v>0.935</v>
      </c>
      <c r="T239" s="15" t="n">
        <f aca="false">MIN(153.6,(T238+S239))</f>
        <v>71.5650000000001</v>
      </c>
      <c r="U239" s="8" t="n">
        <v>0</v>
      </c>
      <c r="V239" s="16" t="n">
        <v>678.9</v>
      </c>
      <c r="W239" s="8" t="n">
        <f aca="false">V239/D239</f>
        <v>65.9126213592233</v>
      </c>
      <c r="X239" s="8" t="n">
        <f aca="false">X238+V239</f>
        <v>149266</v>
      </c>
      <c r="Y239" s="8" t="n">
        <f aca="false">Y238+V239</f>
        <v>3632.3</v>
      </c>
      <c r="Z239" s="17" t="n">
        <f aca="false">(Z237/100)/I249</f>
        <v>1.2024814695456</v>
      </c>
      <c r="AA239" s="8" t="n">
        <v>14.4163494348774</v>
      </c>
    </row>
    <row r="240" s="8" customFormat="true" ht="15" hidden="false" customHeight="false" outlineLevel="0" collapsed="false">
      <c r="A240" s="67"/>
      <c r="B240" s="54"/>
      <c r="C240" s="11" t="n">
        <v>41756</v>
      </c>
      <c r="D240" s="8" t="n">
        <v>10.8</v>
      </c>
      <c r="E240" s="8" t="n">
        <v>7.6</v>
      </c>
      <c r="F240" s="8" t="n">
        <v>13.5</v>
      </c>
      <c r="G240" s="8" t="n">
        <f aca="false">G239+D240</f>
        <v>2143.1</v>
      </c>
      <c r="H240" s="8" t="n">
        <f aca="false">H239+D240</f>
        <v>62.3</v>
      </c>
      <c r="I240" s="68" t="s">
        <v>33</v>
      </c>
      <c r="J240" s="8" t="n">
        <v>0.3</v>
      </c>
      <c r="K240" s="8" t="n">
        <f aca="false">K239+J240</f>
        <v>603.3</v>
      </c>
      <c r="L240" s="8" t="n">
        <v>1.8</v>
      </c>
      <c r="M240" s="8" t="n">
        <f aca="false">M239+L240</f>
        <v>341.2</v>
      </c>
      <c r="N240" s="14" t="n">
        <f aca="false">J240-L240</f>
        <v>-1.5</v>
      </c>
      <c r="O240" s="8" t="n">
        <v>87.3</v>
      </c>
      <c r="P240" s="8" t="n">
        <v>235</v>
      </c>
      <c r="Q240" s="8" t="n">
        <v>1.15</v>
      </c>
      <c r="R240" s="15" t="n">
        <f aca="false">Q240*L240</f>
        <v>2.07</v>
      </c>
      <c r="S240" s="15" t="n">
        <f aca="false">J240-R240</f>
        <v>-1.77</v>
      </c>
      <c r="T240" s="15" t="n">
        <f aca="false">MIN(153.6,(T239+S240))</f>
        <v>69.7950000000001</v>
      </c>
      <c r="U240" s="68" t="s">
        <v>34</v>
      </c>
      <c r="V240" s="8" t="n">
        <v>1118.1</v>
      </c>
      <c r="W240" s="8" t="n">
        <f aca="false">V240/D240</f>
        <v>103.527777777778</v>
      </c>
      <c r="X240" s="8" t="n">
        <f aca="false">X239+V240</f>
        <v>150384.1</v>
      </c>
      <c r="Y240" s="8" t="n">
        <f aca="false">Y239+V240</f>
        <v>4750.4</v>
      </c>
      <c r="Z240" s="68" t="s">
        <v>35</v>
      </c>
      <c r="AA240" s="8" t="n">
        <v>14.475192095382</v>
      </c>
    </row>
    <row r="241" s="8" customFormat="true" ht="15" hidden="false" customHeight="false" outlineLevel="0" collapsed="false">
      <c r="A241" s="67"/>
      <c r="B241" s="54"/>
      <c r="C241" s="11" t="n">
        <v>41757</v>
      </c>
      <c r="D241" s="8" t="n">
        <v>12.2</v>
      </c>
      <c r="E241" s="8" t="n">
        <v>8.2</v>
      </c>
      <c r="F241" s="8" t="n">
        <v>15.9</v>
      </c>
      <c r="G241" s="8" t="n">
        <f aca="false">G240+D241</f>
        <v>2155.3</v>
      </c>
      <c r="H241" s="8" t="n">
        <f aca="false">H240+D241</f>
        <v>74.5</v>
      </c>
      <c r="I241" s="15" t="n">
        <f aca="false">AVERAGE(D236:D260)</f>
        <v>12.412</v>
      </c>
      <c r="J241" s="8" t="n">
        <v>0</v>
      </c>
      <c r="K241" s="8" t="n">
        <f aca="false">K240+J241</f>
        <v>603.3</v>
      </c>
      <c r="L241" s="8" t="n">
        <v>2.2</v>
      </c>
      <c r="M241" s="8" t="n">
        <f aca="false">M240+L241</f>
        <v>343.4</v>
      </c>
      <c r="N241" s="14" t="n">
        <f aca="false">J241-L241</f>
        <v>-2.2</v>
      </c>
      <c r="O241" s="8" t="n">
        <v>85.1</v>
      </c>
      <c r="P241" s="8" t="n">
        <v>236</v>
      </c>
      <c r="Q241" s="8" t="n">
        <v>1.15</v>
      </c>
      <c r="R241" s="15" t="n">
        <f aca="false">Q241*L241</f>
        <v>2.53</v>
      </c>
      <c r="S241" s="15" t="n">
        <f aca="false">J241-R241</f>
        <v>-2.53</v>
      </c>
      <c r="T241" s="15" t="n">
        <f aca="false">MIN(153.6,(T240+S241))</f>
        <v>67.2650000000001</v>
      </c>
      <c r="U241" s="8" t="n">
        <v>6</v>
      </c>
      <c r="V241" s="8" t="n">
        <v>1291.7</v>
      </c>
      <c r="W241" s="8" t="n">
        <f aca="false">V241/D241</f>
        <v>105.877049180328</v>
      </c>
      <c r="X241" s="8" t="n">
        <f aca="false">X240+V241</f>
        <v>151675.8</v>
      </c>
      <c r="Y241" s="8" t="n">
        <f aca="false">Y240+V241</f>
        <v>6042.1</v>
      </c>
      <c r="Z241" s="8" t="n">
        <v>6</v>
      </c>
      <c r="AA241" s="8" t="n">
        <v>14.5336718382007</v>
      </c>
    </row>
    <row r="242" s="8" customFormat="true" ht="15" hidden="false" customHeight="false" outlineLevel="0" collapsed="false">
      <c r="A242" s="67"/>
      <c r="B242" s="54"/>
      <c r="C242" s="11" t="n">
        <v>41758</v>
      </c>
      <c r="D242" s="8" t="n">
        <v>13.1</v>
      </c>
      <c r="E242" s="8" t="n">
        <v>10.3</v>
      </c>
      <c r="F242" s="8" t="n">
        <v>16.7</v>
      </c>
      <c r="G242" s="8" t="n">
        <f aca="false">G241+D242</f>
        <v>2168.4</v>
      </c>
      <c r="H242" s="8" t="n">
        <f aca="false">H241+D242</f>
        <v>87.6</v>
      </c>
      <c r="I242" s="68" t="s">
        <v>36</v>
      </c>
      <c r="J242" s="8" t="n">
        <v>0.6</v>
      </c>
      <c r="K242" s="8" t="n">
        <f aca="false">K241+J242</f>
        <v>603.9</v>
      </c>
      <c r="L242" s="8" t="n">
        <v>1.7</v>
      </c>
      <c r="M242" s="8" t="n">
        <f aca="false">M241+L242</f>
        <v>345.1</v>
      </c>
      <c r="N242" s="14" t="n">
        <f aca="false">J242-L242</f>
        <v>-1.1</v>
      </c>
      <c r="O242" s="8" t="n">
        <v>84</v>
      </c>
      <c r="P242" s="8" t="n">
        <v>237</v>
      </c>
      <c r="Q242" s="8" t="n">
        <v>1.15</v>
      </c>
      <c r="R242" s="15" t="n">
        <f aca="false">Q242*L242</f>
        <v>1.955</v>
      </c>
      <c r="S242" s="15" t="n">
        <f aca="false">J242-R242</f>
        <v>-1.355</v>
      </c>
      <c r="T242" s="15" t="n">
        <f aca="false">MIN(153.6,(T241+S242))</f>
        <v>65.9100000000001</v>
      </c>
      <c r="U242" s="68" t="s">
        <v>37</v>
      </c>
      <c r="V242" s="8" t="n">
        <v>977.1</v>
      </c>
      <c r="W242" s="8" t="n">
        <f aca="false">V242/D242</f>
        <v>74.587786259542</v>
      </c>
      <c r="X242" s="8" t="n">
        <f aca="false">X241+V242</f>
        <v>152652.9</v>
      </c>
      <c r="Y242" s="8" t="n">
        <f aca="false">Y241+V242</f>
        <v>7019.2</v>
      </c>
      <c r="AA242" s="8" t="n">
        <v>14.5917712164388</v>
      </c>
    </row>
    <row r="243" s="8" customFormat="true" ht="15" hidden="false" customHeight="false" outlineLevel="0" collapsed="false">
      <c r="A243" s="67"/>
      <c r="B243" s="54"/>
      <c r="C243" s="11" t="n">
        <v>41759</v>
      </c>
      <c r="D243" s="8" t="n">
        <v>12.9</v>
      </c>
      <c r="E243" s="8" t="n">
        <v>10</v>
      </c>
      <c r="F243" s="8" t="n">
        <v>15.9</v>
      </c>
      <c r="G243" s="8" t="n">
        <f aca="false">G242+D243</f>
        <v>2181.3</v>
      </c>
      <c r="H243" s="8" t="n">
        <f aca="false">H242+D243</f>
        <v>100.5</v>
      </c>
      <c r="I243" s="8" t="n">
        <v>0</v>
      </c>
      <c r="J243" s="8" t="n">
        <v>0</v>
      </c>
      <c r="K243" s="8" t="n">
        <f aca="false">K242+J243</f>
        <v>603.9</v>
      </c>
      <c r="L243" s="8" t="n">
        <v>3</v>
      </c>
      <c r="M243" s="8" t="n">
        <f aca="false">M242+L243</f>
        <v>348.1</v>
      </c>
      <c r="N243" s="14" t="n">
        <f aca="false">J243-L243</f>
        <v>-3</v>
      </c>
      <c r="O243" s="8" t="n">
        <v>81</v>
      </c>
      <c r="P243" s="8" t="n">
        <v>238</v>
      </c>
      <c r="Q243" s="8" t="n">
        <v>1.15</v>
      </c>
      <c r="R243" s="15" t="n">
        <f aca="false">Q243*L243</f>
        <v>3.45</v>
      </c>
      <c r="S243" s="15" t="n">
        <f aca="false">J243-R243</f>
        <v>-3.45</v>
      </c>
      <c r="T243" s="15" t="n">
        <f aca="false">MIN(153.6,(T242+S243))</f>
        <v>62.4600000000001</v>
      </c>
      <c r="U243" s="15" t="n">
        <f aca="false">MIN(T236:T260)</f>
        <v>40.0700000000001</v>
      </c>
      <c r="V243" s="8" t="n">
        <v>2006.8</v>
      </c>
      <c r="W243" s="8" t="n">
        <f aca="false">V243/D243</f>
        <v>155.565891472868</v>
      </c>
      <c r="X243" s="8" t="n">
        <f aca="false">X242+V243</f>
        <v>154659.7</v>
      </c>
      <c r="Y243" s="8" t="n">
        <f aca="false">Y242+V243</f>
        <v>9026</v>
      </c>
      <c r="AA243" s="8" t="n">
        <v>14.6494721713323</v>
      </c>
    </row>
    <row r="244" s="8" customFormat="true" ht="15" hidden="false" customHeight="false" outlineLevel="0" collapsed="false">
      <c r="A244" s="67"/>
      <c r="B244" s="54"/>
      <c r="C244" s="11" t="n">
        <v>41760</v>
      </c>
      <c r="D244" s="8" t="n">
        <v>13</v>
      </c>
      <c r="E244" s="8" t="n">
        <v>8.9</v>
      </c>
      <c r="F244" s="8" t="n">
        <v>19</v>
      </c>
      <c r="G244" s="8" t="n">
        <f aca="false">G243+D244</f>
        <v>2194.3</v>
      </c>
      <c r="H244" s="8" t="n">
        <f aca="false">H243+D244</f>
        <v>113.5</v>
      </c>
      <c r="I244" s="68" t="s">
        <v>38</v>
      </c>
      <c r="J244" s="8" t="n">
        <v>3.9</v>
      </c>
      <c r="K244" s="8" t="n">
        <f aca="false">K243+J244</f>
        <v>607.8</v>
      </c>
      <c r="L244" s="8" t="n">
        <v>3</v>
      </c>
      <c r="M244" s="8" t="n">
        <f aca="false">M243+L244</f>
        <v>351.1</v>
      </c>
      <c r="N244" s="8" t="n">
        <f aca="false">J244-L244</f>
        <v>0.9</v>
      </c>
      <c r="O244" s="8" t="n">
        <v>81.9</v>
      </c>
      <c r="P244" s="8" t="n">
        <v>239</v>
      </c>
      <c r="Q244" s="8" t="n">
        <v>1.15</v>
      </c>
      <c r="R244" s="15" t="n">
        <f aca="false">Q244*L244</f>
        <v>3.45</v>
      </c>
      <c r="S244" s="15" t="n">
        <f aca="false">J244-R244</f>
        <v>0.45</v>
      </c>
      <c r="T244" s="15" t="n">
        <f aca="false">MIN(153.6,(T243+S244))</f>
        <v>62.9100000000001</v>
      </c>
      <c r="U244" s="68" t="s">
        <v>39</v>
      </c>
      <c r="V244" s="8" t="n">
        <v>1392.5</v>
      </c>
      <c r="W244" s="8" t="n">
        <f aca="false">V244/D244</f>
        <v>107.115384615385</v>
      </c>
      <c r="X244" s="8" t="n">
        <f aca="false">X243+V244</f>
        <v>156052.2</v>
      </c>
      <c r="Y244" s="8" t="n">
        <f aca="false">Y243+V244</f>
        <v>10418.5</v>
      </c>
      <c r="AA244" s="8" t="n">
        <v>14.7067560246155</v>
      </c>
    </row>
    <row r="245" s="8" customFormat="true" ht="15" hidden="false" customHeight="false" outlineLevel="0" collapsed="false">
      <c r="A245" s="67"/>
      <c r="B245" s="54"/>
      <c r="C245" s="11" t="n">
        <v>41761</v>
      </c>
      <c r="D245" s="8" t="n">
        <v>11.9</v>
      </c>
      <c r="E245" s="8" t="n">
        <v>11.5</v>
      </c>
      <c r="F245" s="8" t="n">
        <v>14.4</v>
      </c>
      <c r="G245" s="8" t="n">
        <f aca="false">G244+D245</f>
        <v>2206.2</v>
      </c>
      <c r="H245" s="8" t="n">
        <f aca="false">H244+D245</f>
        <v>125.4</v>
      </c>
      <c r="I245" s="8" t="n">
        <v>0</v>
      </c>
      <c r="J245" s="8" t="n">
        <v>0</v>
      </c>
      <c r="K245" s="8" t="n">
        <f aca="false">K244+J245</f>
        <v>607.8</v>
      </c>
      <c r="L245" s="8" t="n">
        <v>2.4</v>
      </c>
      <c r="M245" s="8" t="n">
        <f aca="false">M244+L245</f>
        <v>353.5</v>
      </c>
      <c r="N245" s="14" t="n">
        <f aca="false">J245-L245</f>
        <v>-2.4</v>
      </c>
      <c r="O245" s="8" t="n">
        <v>79.5</v>
      </c>
      <c r="P245" s="8" t="n">
        <v>240</v>
      </c>
      <c r="Q245" s="8" t="n">
        <v>1.15</v>
      </c>
      <c r="R245" s="15" t="n">
        <f aca="false">Q245*L245</f>
        <v>2.76</v>
      </c>
      <c r="S245" s="15" t="n">
        <f aca="false">J245-R245</f>
        <v>-2.76</v>
      </c>
      <c r="T245" s="15" t="n">
        <f aca="false">MIN(153.6,(T244+S245))</f>
        <v>60.1500000000001</v>
      </c>
      <c r="U245" s="15" t="n">
        <f aca="false">MAX(T236:T260)</f>
        <v>72.1000000000001</v>
      </c>
      <c r="V245" s="16" t="n">
        <v>644.6</v>
      </c>
      <c r="W245" s="8" t="n">
        <f aca="false">V245/D245</f>
        <v>54.1680672268908</v>
      </c>
      <c r="X245" s="8" t="n">
        <f aca="false">X244+V245</f>
        <v>156696.8</v>
      </c>
      <c r="Y245" s="8" t="n">
        <f aca="false">Y244+V245</f>
        <v>11063.1</v>
      </c>
      <c r="AA245" s="8" t="n">
        <v>14.7636034722596</v>
      </c>
    </row>
    <row r="246" s="8" customFormat="true" ht="15" hidden="false" customHeight="false" outlineLevel="0" collapsed="false">
      <c r="A246" s="67"/>
      <c r="B246" s="54"/>
      <c r="C246" s="11" t="n">
        <v>41762</v>
      </c>
      <c r="D246" s="8" t="n">
        <v>9.8</v>
      </c>
      <c r="E246" s="8" t="n">
        <v>7.7</v>
      </c>
      <c r="F246" s="8" t="n">
        <v>12.6</v>
      </c>
      <c r="G246" s="8" t="n">
        <f aca="false">G245+D246</f>
        <v>2216</v>
      </c>
      <c r="H246" s="8" t="n">
        <f aca="false">H245+D246</f>
        <v>135.2</v>
      </c>
      <c r="I246" s="68" t="s">
        <v>40</v>
      </c>
      <c r="J246" s="8" t="n">
        <v>0</v>
      </c>
      <c r="K246" s="8" t="n">
        <f aca="false">K245+J246</f>
        <v>607.8</v>
      </c>
      <c r="L246" s="8" t="n">
        <v>3.7</v>
      </c>
      <c r="M246" s="8" t="n">
        <f aca="false">M245+L246</f>
        <v>357.2</v>
      </c>
      <c r="N246" s="14" t="n">
        <f aca="false">J246-L246</f>
        <v>-3.7</v>
      </c>
      <c r="O246" s="8" t="n">
        <v>75.8</v>
      </c>
      <c r="P246" s="8" t="n">
        <v>241</v>
      </c>
      <c r="Q246" s="8" t="n">
        <v>1.15</v>
      </c>
      <c r="R246" s="15" t="n">
        <f aca="false">Q246*L246</f>
        <v>4.255</v>
      </c>
      <c r="S246" s="15" t="n">
        <f aca="false">J246-R246</f>
        <v>-4.255</v>
      </c>
      <c r="T246" s="15" t="n">
        <f aca="false">MIN(153.6,(T245+S246))</f>
        <v>55.8950000000001</v>
      </c>
      <c r="U246" s="68" t="s">
        <v>41</v>
      </c>
      <c r="V246" s="8" t="n">
        <v>2090</v>
      </c>
      <c r="W246" s="8" t="n">
        <f aca="false">V246/D246</f>
        <v>213.265306122449</v>
      </c>
      <c r="X246" s="8" t="n">
        <f aca="false">X245+V246</f>
        <v>158786.8</v>
      </c>
      <c r="Y246" s="8" t="n">
        <f aca="false">Y245+V246</f>
        <v>13153.1</v>
      </c>
      <c r="AA246" s="8" t="n">
        <v>14.8199945797039</v>
      </c>
    </row>
    <row r="247" s="8" customFormat="true" ht="15" hidden="false" customHeight="false" outlineLevel="0" collapsed="false">
      <c r="A247" s="67"/>
      <c r="B247" s="54"/>
      <c r="C247" s="11" t="n">
        <v>41763</v>
      </c>
      <c r="D247" s="8" t="n">
        <v>10.6</v>
      </c>
      <c r="E247" s="8" t="n">
        <v>5.7</v>
      </c>
      <c r="F247" s="8" t="n">
        <v>15</v>
      </c>
      <c r="G247" s="8" t="n">
        <f aca="false">G246+D247</f>
        <v>2226.6</v>
      </c>
      <c r="H247" s="8" t="n">
        <f aca="false">H246+D247</f>
        <v>145.8</v>
      </c>
      <c r="I247" s="8" t="n">
        <v>0</v>
      </c>
      <c r="J247" s="8" t="n">
        <v>0</v>
      </c>
      <c r="K247" s="8" t="n">
        <f aca="false">K246+J247</f>
        <v>607.8</v>
      </c>
      <c r="L247" s="8" t="n">
        <v>3.7</v>
      </c>
      <c r="M247" s="8" t="n">
        <f aca="false">M246+L247</f>
        <v>360.9</v>
      </c>
      <c r="N247" s="14" t="n">
        <f aca="false">J247-L247</f>
        <v>-3.7</v>
      </c>
      <c r="O247" s="8" t="n">
        <v>72.1</v>
      </c>
      <c r="P247" s="8" t="n">
        <v>242</v>
      </c>
      <c r="Q247" s="8" t="n">
        <v>1.15</v>
      </c>
      <c r="R247" s="15" t="n">
        <f aca="false">Q247*L247</f>
        <v>4.255</v>
      </c>
      <c r="S247" s="15" t="n">
        <f aca="false">J247-R247</f>
        <v>-4.255</v>
      </c>
      <c r="T247" s="15" t="n">
        <f aca="false">MIN(153.6,(T246+S247))</f>
        <v>51.6400000000001</v>
      </c>
      <c r="U247" s="17" t="n">
        <f aca="false">AVERAGE(T236:T260)</f>
        <v>58.5486000000001</v>
      </c>
      <c r="V247" s="8" t="n">
        <v>2580.8</v>
      </c>
      <c r="W247" s="8" t="n">
        <f aca="false">V247/D247</f>
        <v>243.471698113208</v>
      </c>
      <c r="X247" s="8" t="n">
        <f aca="false">X246+V247</f>
        <v>161367.6</v>
      </c>
      <c r="Y247" s="8" t="n">
        <f aca="false">Y246+V247</f>
        <v>15733.9</v>
      </c>
      <c r="AA247" s="8" t="n">
        <v>14.8759087787058</v>
      </c>
    </row>
    <row r="248" s="8" customFormat="true" ht="15" hidden="false" customHeight="false" outlineLevel="0" collapsed="false">
      <c r="A248" s="67"/>
      <c r="B248" s="54"/>
      <c r="C248" s="11" t="n">
        <v>41764</v>
      </c>
      <c r="D248" s="8" t="n">
        <v>13.9</v>
      </c>
      <c r="E248" s="8" t="n">
        <v>7.5</v>
      </c>
      <c r="F248" s="8" t="n">
        <v>18.9</v>
      </c>
      <c r="G248" s="8" t="n">
        <f aca="false">G247+D248</f>
        <v>2240.5</v>
      </c>
      <c r="H248" s="8" t="n">
        <f aca="false">H247+D248</f>
        <v>159.7</v>
      </c>
      <c r="I248" s="68" t="s">
        <v>42</v>
      </c>
      <c r="J248" s="8" t="n">
        <v>0</v>
      </c>
      <c r="K248" s="8" t="n">
        <f aca="false">K247+J248</f>
        <v>607.8</v>
      </c>
      <c r="L248" s="8" t="n">
        <v>3.6</v>
      </c>
      <c r="M248" s="8" t="n">
        <f aca="false">M247+L248</f>
        <v>364.5</v>
      </c>
      <c r="N248" s="14" t="n">
        <f aca="false">J248-L248</f>
        <v>-3.6</v>
      </c>
      <c r="O248" s="8" t="n">
        <v>68.5</v>
      </c>
      <c r="P248" s="8" t="n">
        <v>243</v>
      </c>
      <c r="Q248" s="8" t="n">
        <v>1.15</v>
      </c>
      <c r="R248" s="15" t="n">
        <f aca="false">Q248*L248</f>
        <v>4.14</v>
      </c>
      <c r="S248" s="15" t="n">
        <f aca="false">J248-R248</f>
        <v>-4.14</v>
      </c>
      <c r="T248" s="15" t="n">
        <f aca="false">MIN(153.6,(T247+S248))</f>
        <v>47.5000000000001</v>
      </c>
      <c r="V248" s="8" t="n">
        <v>2291.8</v>
      </c>
      <c r="W248" s="8" t="n">
        <f aca="false">V248/D248</f>
        <v>164.877697841727</v>
      </c>
      <c r="X248" s="8" t="n">
        <f aca="false">X247+V248</f>
        <v>163659.4</v>
      </c>
      <c r="Y248" s="8" t="n">
        <f aca="false">Y247+V248</f>
        <v>18025.7</v>
      </c>
      <c r="AA248" s="8" t="n">
        <v>14.9313248659396</v>
      </c>
    </row>
    <row r="249" s="8" customFormat="true" ht="15" hidden="false" customHeight="false" outlineLevel="0" collapsed="false">
      <c r="A249" s="67"/>
      <c r="B249" s="54"/>
      <c r="C249" s="11" t="n">
        <v>41765</v>
      </c>
      <c r="D249" s="8" t="n">
        <v>14.3</v>
      </c>
      <c r="E249" s="8" t="n">
        <v>11.9</v>
      </c>
      <c r="F249" s="8" t="n">
        <v>19.2</v>
      </c>
      <c r="G249" s="8" t="n">
        <f aca="false">G248+D249</f>
        <v>2254.8</v>
      </c>
      <c r="H249" s="8" t="n">
        <f aca="false">H248+D249</f>
        <v>174</v>
      </c>
      <c r="I249" s="8" t="n">
        <v>310.3</v>
      </c>
      <c r="J249" s="8" t="n">
        <v>7.2</v>
      </c>
      <c r="K249" s="8" t="n">
        <f aca="false">K248+J249</f>
        <v>615.000000000001</v>
      </c>
      <c r="L249" s="8" t="n">
        <v>3.3</v>
      </c>
      <c r="M249" s="8" t="n">
        <f aca="false">M248+L249</f>
        <v>367.8</v>
      </c>
      <c r="N249" s="8" t="n">
        <f aca="false">J249-L249</f>
        <v>3.9</v>
      </c>
      <c r="O249" s="8" t="n">
        <v>72.4</v>
      </c>
      <c r="P249" s="8" t="n">
        <v>244</v>
      </c>
      <c r="Q249" s="8" t="n">
        <v>1.15</v>
      </c>
      <c r="R249" s="15" t="n">
        <f aca="false">Q249*L249</f>
        <v>3.795</v>
      </c>
      <c r="S249" s="15" t="n">
        <f aca="false">J249-R249</f>
        <v>3.405</v>
      </c>
      <c r="T249" s="15" t="n">
        <f aca="false">MIN(153.6,(T248+S249))</f>
        <v>50.9050000000001</v>
      </c>
      <c r="U249" s="8" t="n">
        <f aca="false">(U247*100)/153.6</f>
        <v>38.117578125</v>
      </c>
      <c r="V249" s="8" t="n">
        <v>1206.8</v>
      </c>
      <c r="W249" s="8" t="n">
        <f aca="false">V249/D249</f>
        <v>84.3916083916084</v>
      </c>
      <c r="X249" s="8" t="n">
        <f aca="false">X248+V249</f>
        <v>164866.2</v>
      </c>
      <c r="Y249" s="8" t="n">
        <f aca="false">Y248+V249</f>
        <v>19232.5</v>
      </c>
      <c r="AA249" s="8" t="n">
        <v>14.9862210034795</v>
      </c>
    </row>
    <row r="250" s="49" customFormat="true" ht="15" hidden="false" customHeight="false" outlineLevel="0" collapsed="false">
      <c r="A250" s="67"/>
      <c r="B250" s="69"/>
      <c r="C250" s="11" t="n">
        <v>41766</v>
      </c>
      <c r="D250" s="49" t="n">
        <v>12.6</v>
      </c>
      <c r="E250" s="49" t="n">
        <v>10.3</v>
      </c>
      <c r="F250" s="49" t="n">
        <v>14.8</v>
      </c>
      <c r="G250" s="49" t="n">
        <f aca="false">G249+D250</f>
        <v>2267.4</v>
      </c>
      <c r="H250" s="49" t="n">
        <f aca="false">H249+D250</f>
        <v>186.6</v>
      </c>
      <c r="J250" s="49" t="n">
        <v>1.1</v>
      </c>
      <c r="K250" s="49" t="n">
        <f aca="false">K249+J250</f>
        <v>616.100000000001</v>
      </c>
      <c r="L250" s="49" t="n">
        <v>3.1</v>
      </c>
      <c r="M250" s="49" t="n">
        <f aca="false">M249+L250</f>
        <v>370.9</v>
      </c>
      <c r="N250" s="49" t="n">
        <f aca="false">J250-L250</f>
        <v>-2</v>
      </c>
      <c r="O250" s="49" t="n">
        <v>70.4</v>
      </c>
      <c r="P250" s="49" t="n">
        <v>245</v>
      </c>
      <c r="Q250" s="8" t="n">
        <v>1.15</v>
      </c>
      <c r="R250" s="52" t="n">
        <f aca="false">Q250*L250</f>
        <v>3.565</v>
      </c>
      <c r="S250" s="52" t="n">
        <f aca="false">J250-R250</f>
        <v>-2.465</v>
      </c>
      <c r="T250" s="15" t="n">
        <f aca="false">MIN(153.6,(T249+S250))</f>
        <v>48.4400000000001</v>
      </c>
      <c r="V250" s="49" t="n">
        <v>1367.5</v>
      </c>
      <c r="W250" s="49" t="n">
        <f aca="false">V250/D250</f>
        <v>108.531746031746</v>
      </c>
      <c r="X250" s="49" t="n">
        <f aca="false">X249+V250</f>
        <v>166233.7</v>
      </c>
      <c r="Y250" s="8" t="n">
        <f aca="false">Y249+V250</f>
        <v>20600</v>
      </c>
      <c r="AA250" s="8" t="n">
        <v>15.0405747213068</v>
      </c>
    </row>
    <row r="251" s="8" customFormat="true" ht="15" hidden="false" customHeight="false" outlineLevel="0" collapsed="false">
      <c r="A251" s="67"/>
      <c r="B251" s="54"/>
      <c r="C251" s="11" t="n">
        <v>41767</v>
      </c>
      <c r="D251" s="8" t="n">
        <v>12.3</v>
      </c>
      <c r="E251" s="8" t="n">
        <v>10.7</v>
      </c>
      <c r="F251" s="8" t="n">
        <v>13.9</v>
      </c>
      <c r="G251" s="8" t="n">
        <f aca="false">G250+D251</f>
        <v>2279.7</v>
      </c>
      <c r="H251" s="8" t="n">
        <f aca="false">H250+D251</f>
        <v>198.9</v>
      </c>
      <c r="J251" s="8" t="n">
        <v>8.9</v>
      </c>
      <c r="K251" s="8" t="n">
        <f aca="false">K250+J251</f>
        <v>625.000000000001</v>
      </c>
      <c r="L251" s="8" t="n">
        <v>1.5</v>
      </c>
      <c r="M251" s="8" t="n">
        <f aca="false">M250+L251</f>
        <v>372.4</v>
      </c>
      <c r="N251" s="8" t="n">
        <f aca="false">J251-L251</f>
        <v>7.4</v>
      </c>
      <c r="O251" s="8" t="n">
        <v>77.8</v>
      </c>
      <c r="P251" s="8" t="n">
        <v>246</v>
      </c>
      <c r="Q251" s="8" t="n">
        <v>1.15</v>
      </c>
      <c r="R251" s="15" t="n">
        <f aca="false">Q251*L251</f>
        <v>1.725</v>
      </c>
      <c r="S251" s="15" t="n">
        <f aca="false">J251-R251</f>
        <v>7.175</v>
      </c>
      <c r="T251" s="15" t="n">
        <f aca="false">MIN(153.6,(T250+S251))</f>
        <v>55.6150000000001</v>
      </c>
      <c r="U251" s="55"/>
      <c r="V251" s="16" t="n">
        <v>349.4</v>
      </c>
      <c r="W251" s="8" t="n">
        <f aca="false">V251/D251</f>
        <v>28.4065040650406</v>
      </c>
      <c r="X251" s="8" t="n">
        <f aca="false">X250+V251</f>
        <v>166583.1</v>
      </c>
      <c r="Y251" s="8" t="n">
        <f aca="false">Y250+V251</f>
        <v>20949.4</v>
      </c>
      <c r="AA251" s="8" t="n">
        <v>15.0943629219799</v>
      </c>
    </row>
    <row r="252" s="8" customFormat="true" ht="15" hidden="false" customHeight="false" outlineLevel="0" collapsed="false">
      <c r="A252" s="67"/>
      <c r="B252" s="54"/>
      <c r="C252" s="11" t="n">
        <v>41768</v>
      </c>
      <c r="D252" s="8" t="n">
        <v>13</v>
      </c>
      <c r="E252" s="8" t="n">
        <v>12</v>
      </c>
      <c r="F252" s="8" t="n">
        <v>14.5</v>
      </c>
      <c r="G252" s="8" t="n">
        <f aca="false">G251+D252</f>
        <v>2292.7</v>
      </c>
      <c r="H252" s="8" t="n">
        <f aca="false">H251+D252</f>
        <v>211.9</v>
      </c>
      <c r="J252" s="8" t="n">
        <v>2</v>
      </c>
      <c r="K252" s="8" t="n">
        <f aca="false">K251+J252</f>
        <v>627.000000000001</v>
      </c>
      <c r="L252" s="8" t="n">
        <v>2.8</v>
      </c>
      <c r="M252" s="8" t="n">
        <f aca="false">M251+L252</f>
        <v>375.2</v>
      </c>
      <c r="N252" s="14" t="n">
        <f aca="false">J252-L252</f>
        <v>-0.8</v>
      </c>
      <c r="O252" s="8" t="n">
        <v>77</v>
      </c>
      <c r="P252" s="8" t="n">
        <v>247</v>
      </c>
      <c r="Q252" s="8" t="n">
        <v>1.15</v>
      </c>
      <c r="R252" s="15" t="n">
        <f aca="false">Q252*L252</f>
        <v>3.22</v>
      </c>
      <c r="S252" s="15" t="n">
        <f aca="false">J252-R252</f>
        <v>-1.22</v>
      </c>
      <c r="T252" s="15" t="n">
        <f aca="false">MIN(153.6,(T251+S252))</f>
        <v>54.3950000000001</v>
      </c>
      <c r="V252" s="8" t="n">
        <v>1111.1</v>
      </c>
      <c r="W252" s="8" t="n">
        <f aca="false">V252/D252</f>
        <v>85.4692307692308</v>
      </c>
      <c r="X252" s="8" t="n">
        <f aca="false">X251+V252</f>
        <v>167694.2</v>
      </c>
      <c r="Y252" s="8" t="n">
        <f aca="false">Y251+V252</f>
        <v>22060.5</v>
      </c>
      <c r="AA252" s="8" t="n">
        <v>15.1475618876151</v>
      </c>
    </row>
    <row r="253" s="8" customFormat="true" ht="15" hidden="false" customHeight="false" outlineLevel="0" collapsed="false">
      <c r="A253" s="67"/>
      <c r="B253" s="54"/>
      <c r="C253" s="11" t="n">
        <v>41769</v>
      </c>
      <c r="D253" s="8" t="n">
        <v>11.8</v>
      </c>
      <c r="E253" s="8" t="n">
        <v>10</v>
      </c>
      <c r="F253" s="8" t="n">
        <v>13.3</v>
      </c>
      <c r="G253" s="8" t="n">
        <f aca="false">G252+D253</f>
        <v>2304.5</v>
      </c>
      <c r="H253" s="8" t="n">
        <f aca="false">H252+D253</f>
        <v>223.7</v>
      </c>
      <c r="J253" s="8" t="n">
        <v>7.5</v>
      </c>
      <c r="K253" s="8" t="n">
        <f aca="false">K252+J253</f>
        <v>634.500000000001</v>
      </c>
      <c r="L253" s="8" t="n">
        <v>1.6</v>
      </c>
      <c r="M253" s="8" t="n">
        <f aca="false">M252+L253</f>
        <v>376.8</v>
      </c>
      <c r="N253" s="8" t="n">
        <f aca="false">J253-L253</f>
        <v>5.9</v>
      </c>
      <c r="O253" s="8" t="n">
        <v>82.9</v>
      </c>
      <c r="P253" s="8" t="n">
        <v>248</v>
      </c>
      <c r="Q253" s="8" t="n">
        <v>1.15</v>
      </c>
      <c r="R253" s="15" t="n">
        <f aca="false">Q253*L253</f>
        <v>1.84</v>
      </c>
      <c r="S253" s="15" t="n">
        <f aca="false">J253-R253</f>
        <v>5.66</v>
      </c>
      <c r="T253" s="15" t="n">
        <f aca="false">MIN(153.6,(T252+S253))</f>
        <v>60.0550000000001</v>
      </c>
      <c r="V253" s="16" t="n">
        <v>489.2</v>
      </c>
      <c r="W253" s="8" t="n">
        <f aca="false">V253/D253</f>
        <v>41.4576271186441</v>
      </c>
      <c r="X253" s="8" t="n">
        <f aca="false">X252+V253</f>
        <v>168183.4</v>
      </c>
      <c r="Y253" s="8" t="n">
        <f aca="false">Y252+V253</f>
        <v>22549.7</v>
      </c>
      <c r="AA253" s="8" t="n">
        <v>15.2001472893189</v>
      </c>
    </row>
    <row r="254" s="8" customFormat="true" ht="15" hidden="false" customHeight="false" outlineLevel="0" collapsed="false">
      <c r="A254" s="67"/>
      <c r="B254" s="54"/>
      <c r="C254" s="11" t="n">
        <v>41770</v>
      </c>
      <c r="D254" s="8" t="n">
        <v>11.2</v>
      </c>
      <c r="E254" s="8" t="n">
        <v>9.4</v>
      </c>
      <c r="F254" s="8" t="n">
        <v>13.8</v>
      </c>
      <c r="G254" s="8" t="n">
        <f aca="false">G253+D254</f>
        <v>2315.7</v>
      </c>
      <c r="H254" s="8" t="n">
        <f aca="false">H253+D254</f>
        <v>234.9</v>
      </c>
      <c r="J254" s="8" t="n">
        <v>1.6</v>
      </c>
      <c r="K254" s="8" t="n">
        <f aca="false">K253+J254</f>
        <v>636.100000000001</v>
      </c>
      <c r="L254" s="8" t="n">
        <v>3.6</v>
      </c>
      <c r="M254" s="8" t="n">
        <f aca="false">M253+L254</f>
        <v>380.4</v>
      </c>
      <c r="N254" s="14" t="n">
        <f aca="false">J254-L254</f>
        <v>-2</v>
      </c>
      <c r="O254" s="8" t="n">
        <v>80.9</v>
      </c>
      <c r="P254" s="8" t="n">
        <v>249</v>
      </c>
      <c r="Q254" s="8" t="n">
        <v>1.15</v>
      </c>
      <c r="R254" s="15" t="n">
        <f aca="false">Q254*L254</f>
        <v>4.14</v>
      </c>
      <c r="S254" s="15" t="n">
        <f aca="false">J254-R254</f>
        <v>-2.54</v>
      </c>
      <c r="T254" s="15" t="n">
        <f aca="false">MIN(153.6,(T253+S254))</f>
        <v>57.5150000000001</v>
      </c>
      <c r="V254" s="8" t="n">
        <v>1666.2</v>
      </c>
      <c r="W254" s="8" t="n">
        <f aca="false">V254/D254</f>
        <v>148.767857142857</v>
      </c>
      <c r="X254" s="8" t="n">
        <f aca="false">X253+V254</f>
        <v>169849.6</v>
      </c>
      <c r="Y254" s="8" t="n">
        <f aca="false">Y253+V254</f>
        <v>24215.9</v>
      </c>
      <c r="AA254" s="8" t="n">
        <v>15.2520941992197</v>
      </c>
    </row>
    <row r="255" s="8" customFormat="true" ht="15" hidden="false" customHeight="false" outlineLevel="0" collapsed="false">
      <c r="A255" s="67"/>
      <c r="B255" s="54"/>
      <c r="C255" s="11" t="n">
        <v>41771</v>
      </c>
      <c r="D255" s="8" t="n">
        <v>11.6</v>
      </c>
      <c r="E255" s="8" t="n">
        <v>8.9</v>
      </c>
      <c r="F255" s="8" t="n">
        <v>15.3</v>
      </c>
      <c r="G255" s="8" t="n">
        <f aca="false">G254+D255</f>
        <v>2327.3</v>
      </c>
      <c r="H255" s="8" t="n">
        <f aca="false">H254+D255</f>
        <v>246.5</v>
      </c>
      <c r="J255" s="8" t="n">
        <v>2.4</v>
      </c>
      <c r="K255" s="8" t="n">
        <f aca="false">K254+J255</f>
        <v>638.500000000001</v>
      </c>
      <c r="L255" s="8" t="n">
        <v>3.4</v>
      </c>
      <c r="M255" s="8" t="n">
        <f aca="false">M254+L255</f>
        <v>383.8</v>
      </c>
      <c r="N255" s="14" t="n">
        <f aca="false">J255-L255</f>
        <v>-1</v>
      </c>
      <c r="O255" s="8" t="n">
        <v>79.9</v>
      </c>
      <c r="P255" s="8" t="n">
        <v>250</v>
      </c>
      <c r="Q255" s="8" t="n">
        <v>1.15</v>
      </c>
      <c r="R255" s="15" t="n">
        <f aca="false">Q255*L255</f>
        <v>3.91</v>
      </c>
      <c r="S255" s="15" t="n">
        <f aca="false">J255-R255</f>
        <v>-1.51</v>
      </c>
      <c r="T255" s="15" t="n">
        <f aca="false">MIN(153.6,(T254+S255))</f>
        <v>56.0050000000001</v>
      </c>
      <c r="V255" s="8" t="n">
        <v>1698.5</v>
      </c>
      <c r="W255" s="8" t="n">
        <f aca="false">V255/D255</f>
        <v>146.422413793103</v>
      </c>
      <c r="X255" s="8" t="n">
        <f aca="false">X254+V255</f>
        <v>171548.1</v>
      </c>
      <c r="Y255" s="8" t="n">
        <f aca="false">Y254+V255</f>
        <v>25914.4</v>
      </c>
      <c r="AA255" s="8" t="n">
        <v>15.3033771052422</v>
      </c>
    </row>
    <row r="256" s="8" customFormat="true" ht="15" hidden="false" customHeight="false" outlineLevel="0" collapsed="false">
      <c r="A256" s="67"/>
      <c r="B256" s="54"/>
      <c r="C256" s="11" t="n">
        <v>41772</v>
      </c>
      <c r="D256" s="8" t="n">
        <v>10.9</v>
      </c>
      <c r="E256" s="8" t="n">
        <v>8</v>
      </c>
      <c r="F256" s="8" t="n">
        <v>13.6</v>
      </c>
      <c r="G256" s="8" t="n">
        <f aca="false">G255+D256</f>
        <v>2338.2</v>
      </c>
      <c r="H256" s="8" t="n">
        <f aca="false">H255+D256</f>
        <v>257.4</v>
      </c>
      <c r="J256" s="8" t="n">
        <v>5.6</v>
      </c>
      <c r="K256" s="8" t="n">
        <f aca="false">K255+J256</f>
        <v>644.100000000001</v>
      </c>
      <c r="L256" s="8" t="n">
        <v>1.7</v>
      </c>
      <c r="M256" s="8" t="n">
        <f aca="false">M255+L256</f>
        <v>385.5</v>
      </c>
      <c r="N256" s="8" t="n">
        <f aca="false">J256-L256</f>
        <v>3.9</v>
      </c>
      <c r="O256" s="8" t="n">
        <v>83.8</v>
      </c>
      <c r="P256" s="8" t="n">
        <v>251</v>
      </c>
      <c r="Q256" s="8" t="n">
        <v>1.15</v>
      </c>
      <c r="R256" s="15" t="n">
        <f aca="false">Q256*L256</f>
        <v>1.955</v>
      </c>
      <c r="S256" s="15" t="n">
        <f aca="false">J256-R256</f>
        <v>3.645</v>
      </c>
      <c r="T256" s="15" t="n">
        <f aca="false">MIN(153.6,(T255+S256))</f>
        <v>59.6500000000001</v>
      </c>
      <c r="V256" s="8" t="n">
        <v>956.7</v>
      </c>
      <c r="W256" s="8" t="n">
        <f aca="false">V256/D256</f>
        <v>87.7706422018349</v>
      </c>
      <c r="X256" s="8" t="n">
        <f aca="false">X255+V256</f>
        <v>172504.8</v>
      </c>
      <c r="Y256" s="8" t="n">
        <f aca="false">Y255+V256</f>
        <v>26871.1</v>
      </c>
      <c r="AA256" s="8" t="n">
        <v>15.3539699287636</v>
      </c>
    </row>
    <row r="257" s="8" customFormat="true" ht="15" hidden="false" customHeight="false" outlineLevel="0" collapsed="false">
      <c r="A257" s="67"/>
      <c r="B257" s="54"/>
      <c r="C257" s="11" t="n">
        <v>41773</v>
      </c>
      <c r="D257" s="8" t="n">
        <v>11.1</v>
      </c>
      <c r="E257" s="8" t="n">
        <v>6.5</v>
      </c>
      <c r="F257" s="8" t="n">
        <v>16.5</v>
      </c>
      <c r="G257" s="8" t="n">
        <f aca="false">G256+D257</f>
        <v>2349.3</v>
      </c>
      <c r="H257" s="8" t="n">
        <f aca="false">H256+D257</f>
        <v>268.5</v>
      </c>
      <c r="J257" s="8" t="n">
        <v>0.2</v>
      </c>
      <c r="K257" s="8" t="n">
        <f aca="false">K256+J257</f>
        <v>644.300000000001</v>
      </c>
      <c r="L257" s="8" t="n">
        <v>3.6</v>
      </c>
      <c r="M257" s="8" t="n">
        <f aca="false">M256+L257</f>
        <v>389.1</v>
      </c>
      <c r="N257" s="14" t="n">
        <f aca="false">J257-L257</f>
        <v>-3.4</v>
      </c>
      <c r="O257" s="8" t="n">
        <v>80.4</v>
      </c>
      <c r="P257" s="8" t="n">
        <v>252</v>
      </c>
      <c r="Q257" s="8" t="n">
        <v>1.15</v>
      </c>
      <c r="R257" s="15" t="n">
        <f aca="false">Q257*L257</f>
        <v>4.14</v>
      </c>
      <c r="S257" s="15" t="n">
        <f aca="false">J257-R257</f>
        <v>-3.94</v>
      </c>
      <c r="T257" s="15" t="n">
        <f aca="false">MIN(153.6,(T256+S257))</f>
        <v>55.7100000000001</v>
      </c>
      <c r="V257" s="8" t="n">
        <v>2084.4</v>
      </c>
      <c r="W257" s="8" t="n">
        <f aca="false">V257/D257</f>
        <v>187.783783783784</v>
      </c>
      <c r="X257" s="8" t="n">
        <f aca="false">X256+V257</f>
        <v>174589.2</v>
      </c>
      <c r="Y257" s="8" t="n">
        <f aca="false">Y256+V257</f>
        <v>28955.5</v>
      </c>
      <c r="AA257" s="8" t="n">
        <v>15.4038460452922</v>
      </c>
    </row>
    <row r="258" s="8" customFormat="true" ht="15" hidden="false" customHeight="false" outlineLevel="0" collapsed="false">
      <c r="A258" s="67"/>
      <c r="B258" s="54"/>
      <c r="C258" s="11" t="n">
        <v>41774</v>
      </c>
      <c r="D258" s="8" t="n">
        <v>11.9</v>
      </c>
      <c r="E258" s="8" t="n">
        <v>7.3</v>
      </c>
      <c r="F258" s="8" t="n">
        <v>15.3</v>
      </c>
      <c r="G258" s="8" t="n">
        <f aca="false">G257+D258</f>
        <v>2361.2</v>
      </c>
      <c r="H258" s="8" t="n">
        <f aca="false">H257+D258</f>
        <v>280.4</v>
      </c>
      <c r="J258" s="8" t="n">
        <v>0</v>
      </c>
      <c r="K258" s="8" t="n">
        <f aca="false">K257+J258</f>
        <v>644.300000000001</v>
      </c>
      <c r="L258" s="8" t="n">
        <v>4.3</v>
      </c>
      <c r="M258" s="8" t="n">
        <f aca="false">M257+L258</f>
        <v>393.4</v>
      </c>
      <c r="N258" s="14" t="n">
        <f aca="false">J258-L258</f>
        <v>-4.3</v>
      </c>
      <c r="O258" s="8" t="n">
        <v>76.1</v>
      </c>
      <c r="P258" s="8" t="n">
        <v>253</v>
      </c>
      <c r="Q258" s="8" t="n">
        <v>1.15</v>
      </c>
      <c r="R258" s="15" t="n">
        <f aca="false">Q258*L258</f>
        <v>4.945</v>
      </c>
      <c r="S258" s="15" t="n">
        <f aca="false">J258-R258</f>
        <v>-4.945</v>
      </c>
      <c r="T258" s="15" t="n">
        <f aca="false">MIN(153.6,(T257+S258))</f>
        <v>50.7650000000001</v>
      </c>
      <c r="V258" s="8" t="n">
        <v>2824.5</v>
      </c>
      <c r="W258" s="8" t="n">
        <f aca="false">V258/D258</f>
        <v>237.352941176471</v>
      </c>
      <c r="X258" s="8" t="n">
        <f aca="false">X257+V258</f>
        <v>177413.7</v>
      </c>
      <c r="Y258" s="8" t="n">
        <f aca="false">Y257+V258</f>
        <v>31780</v>
      </c>
      <c r="AA258" s="8" t="n">
        <v>15.4529783082962</v>
      </c>
    </row>
    <row r="259" s="8" customFormat="true" ht="15" hidden="false" customHeight="false" outlineLevel="0" collapsed="false">
      <c r="A259" s="67"/>
      <c r="B259" s="54"/>
      <c r="C259" s="11" t="n">
        <v>41775</v>
      </c>
      <c r="D259" s="8" t="n">
        <v>13.9</v>
      </c>
      <c r="E259" s="8" t="n">
        <v>8.4</v>
      </c>
      <c r="F259" s="8" t="n">
        <v>17.9</v>
      </c>
      <c r="G259" s="8" t="n">
        <f aca="false">G258+D259</f>
        <v>2375.1</v>
      </c>
      <c r="H259" s="8" t="n">
        <f aca="false">H258+D259</f>
        <v>294.3</v>
      </c>
      <c r="J259" s="8" t="n">
        <v>0</v>
      </c>
      <c r="K259" s="8" t="n">
        <f aca="false">K258+J259</f>
        <v>644.300000000001</v>
      </c>
      <c r="L259" s="8" t="n">
        <v>4.5</v>
      </c>
      <c r="M259" s="8" t="n">
        <f aca="false">M258+L259</f>
        <v>397.9</v>
      </c>
      <c r="N259" s="14" t="n">
        <f aca="false">J259-L259</f>
        <v>-4.5</v>
      </c>
      <c r="O259" s="8" t="n">
        <v>71.6</v>
      </c>
      <c r="P259" s="8" t="n">
        <v>254</v>
      </c>
      <c r="Q259" s="8" t="n">
        <v>1.15</v>
      </c>
      <c r="R259" s="15" t="n">
        <f aca="false">Q259*L259</f>
        <v>5.175</v>
      </c>
      <c r="S259" s="15" t="n">
        <f aca="false">J259-R259</f>
        <v>-5.175</v>
      </c>
      <c r="T259" s="15" t="n">
        <f aca="false">MIN(153.6,(T258+S259))</f>
        <v>45.5900000000001</v>
      </c>
      <c r="V259" s="8" t="n">
        <v>2759.4</v>
      </c>
      <c r="W259" s="8" t="n">
        <f aca="false">V259/D259</f>
        <v>198.517985611511</v>
      </c>
      <c r="X259" s="8" t="n">
        <f aca="false">X258+V259</f>
        <v>180173.1</v>
      </c>
      <c r="Y259" s="8" t="n">
        <f aca="false">Y258+V259</f>
        <v>34539.4</v>
      </c>
      <c r="AA259" s="8" t="n">
        <v>15.5013390763079</v>
      </c>
    </row>
    <row r="260" s="23" customFormat="true" ht="15" hidden="false" customHeight="false" outlineLevel="0" collapsed="false">
      <c r="A260" s="67"/>
      <c r="B260" s="57" t="n">
        <v>300</v>
      </c>
      <c r="C260" s="58" t="n">
        <v>41776</v>
      </c>
      <c r="D260" s="23" t="n">
        <v>16</v>
      </c>
      <c r="E260" s="23" t="n">
        <v>10.6</v>
      </c>
      <c r="F260" s="23" t="n">
        <v>20.6</v>
      </c>
      <c r="G260" s="23" t="n">
        <f aca="false">G259+D260</f>
        <v>2391.1</v>
      </c>
      <c r="H260" s="23" t="n">
        <f aca="false">H259+D260</f>
        <v>310.3</v>
      </c>
      <c r="J260" s="23" t="n">
        <v>0</v>
      </c>
      <c r="K260" s="23" t="n">
        <f aca="false">K259+J260</f>
        <v>644.300000000001</v>
      </c>
      <c r="L260" s="23" t="n">
        <v>4.8</v>
      </c>
      <c r="M260" s="23" t="n">
        <f aca="false">M259+L260</f>
        <v>402.7</v>
      </c>
      <c r="N260" s="60" t="n">
        <f aca="false">J260-L260</f>
        <v>-4.8</v>
      </c>
      <c r="O260" s="23" t="n">
        <v>66.8</v>
      </c>
      <c r="P260" s="23" t="n">
        <v>255</v>
      </c>
      <c r="Q260" s="24" t="n">
        <v>1.15</v>
      </c>
      <c r="R260" s="25" t="n">
        <f aca="false">Q260*L260</f>
        <v>5.52</v>
      </c>
      <c r="S260" s="25" t="n">
        <f aca="false">J260-R260</f>
        <v>-5.52</v>
      </c>
      <c r="T260" s="26" t="n">
        <f aca="false">MIN(153.6,(T259+S260))</f>
        <v>40.0700000000001</v>
      </c>
      <c r="V260" s="23" t="n">
        <v>2773.6</v>
      </c>
      <c r="W260" s="23" t="n">
        <f aca="false">V260/D260</f>
        <v>173.35</v>
      </c>
      <c r="X260" s="23" t="n">
        <f aca="false">X259+V260</f>
        <v>182946.7</v>
      </c>
      <c r="Y260" s="24" t="n">
        <f aca="false">Y259+V260</f>
        <v>37313</v>
      </c>
      <c r="AA260" s="24" t="n">
        <v>15.5489002434172</v>
      </c>
    </row>
    <row r="261" s="8" customFormat="true" ht="15" hidden="false" customHeight="false" outlineLevel="0" collapsed="false">
      <c r="A261" s="70" t="n">
        <v>600</v>
      </c>
      <c r="B261" s="54"/>
      <c r="C261" s="11" t="n">
        <v>41777</v>
      </c>
      <c r="D261" s="8" t="n">
        <v>17.9</v>
      </c>
      <c r="E261" s="8" t="n">
        <v>13.2</v>
      </c>
      <c r="F261" s="8" t="n">
        <v>22.3</v>
      </c>
      <c r="G261" s="8" t="n">
        <f aca="false">G260+D261</f>
        <v>2409</v>
      </c>
      <c r="H261" s="8" t="n">
        <v>17.9</v>
      </c>
      <c r="I261" s="71" t="s">
        <v>27</v>
      </c>
      <c r="J261" s="8" t="n">
        <v>0</v>
      </c>
      <c r="K261" s="8" t="n">
        <f aca="false">K260+J261</f>
        <v>644.300000000001</v>
      </c>
      <c r="L261" s="8" t="n">
        <v>5</v>
      </c>
      <c r="M261" s="8" t="n">
        <f aca="false">M260+L261</f>
        <v>407.7</v>
      </c>
      <c r="N261" s="14" t="n">
        <f aca="false">J261-L261</f>
        <v>-5</v>
      </c>
      <c r="O261" s="8" t="n">
        <v>61.8</v>
      </c>
      <c r="P261" s="8" t="n">
        <v>256</v>
      </c>
      <c r="Q261" s="17" t="n">
        <f aca="false">1.15+((P261-255)/76)*(0.35-1.15)</f>
        <v>1.13947368421053</v>
      </c>
      <c r="R261" s="15" t="n">
        <f aca="false">Q261*L261</f>
        <v>5.69736842105263</v>
      </c>
      <c r="S261" s="15" t="n">
        <f aca="false">J261-R261</f>
        <v>-5.69736842105263</v>
      </c>
      <c r="T261" s="15" t="n">
        <f aca="false">MIN(153.6,(T260+S261))</f>
        <v>34.3726315789474</v>
      </c>
      <c r="U261" s="71" t="s">
        <v>28</v>
      </c>
      <c r="V261" s="8" t="n">
        <v>2723.6</v>
      </c>
      <c r="W261" s="8" t="n">
        <f aca="false">V261/D261</f>
        <v>152.156424581006</v>
      </c>
      <c r="X261" s="8" t="n">
        <f aca="false">X260+V261</f>
        <v>185670.3</v>
      </c>
      <c r="Y261" s="8" t="n">
        <v>2723.6</v>
      </c>
      <c r="Z261" s="71" t="s">
        <v>29</v>
      </c>
      <c r="AA261" s="8" t="n">
        <v>15.595633273255</v>
      </c>
    </row>
    <row r="262" s="8" customFormat="true" ht="15" hidden="false" customHeight="false" outlineLevel="0" collapsed="false">
      <c r="A262" s="70"/>
      <c r="B262" s="54"/>
      <c r="C262" s="11" t="n">
        <v>41778</v>
      </c>
      <c r="D262" s="8" t="n">
        <v>19.6</v>
      </c>
      <c r="E262" s="8" t="n">
        <v>13.9</v>
      </c>
      <c r="F262" s="8" t="n">
        <v>24.6</v>
      </c>
      <c r="G262" s="8" t="n">
        <f aca="false">G261+D262</f>
        <v>2428.6</v>
      </c>
      <c r="H262" s="8" t="n">
        <f aca="false">H261+D262</f>
        <v>37.5</v>
      </c>
      <c r="I262" s="8" t="n">
        <f aca="false">MIN(E261:E280)</f>
        <v>8.6</v>
      </c>
      <c r="J262" s="8" t="n">
        <v>0</v>
      </c>
      <c r="K262" s="8" t="n">
        <f aca="false">K261+J262</f>
        <v>644.300000000001</v>
      </c>
      <c r="L262" s="8" t="n">
        <v>5.6</v>
      </c>
      <c r="M262" s="8" t="n">
        <f aca="false">M261+L262</f>
        <v>413.3</v>
      </c>
      <c r="N262" s="14" t="n">
        <f aca="false">J262-L262</f>
        <v>-5.6</v>
      </c>
      <c r="O262" s="8" t="n">
        <v>56.2</v>
      </c>
      <c r="P262" s="8" t="n">
        <v>257</v>
      </c>
      <c r="Q262" s="17" t="n">
        <f aca="false">1.15+((P262-255)/76)*(0.35-1.15)</f>
        <v>1.12894736842105</v>
      </c>
      <c r="R262" s="15" t="n">
        <f aca="false">Q262*L262</f>
        <v>6.32210526315789</v>
      </c>
      <c r="S262" s="15" t="n">
        <f aca="false">J262-R262</f>
        <v>-6.32210526315789</v>
      </c>
      <c r="T262" s="15" t="n">
        <f aca="false">MIN(153.6,(T261+S262))</f>
        <v>28.0505263157895</v>
      </c>
      <c r="U262" s="8" t="n">
        <v>13</v>
      </c>
      <c r="V262" s="8" t="n">
        <v>2582.1</v>
      </c>
      <c r="W262" s="8" t="n">
        <f aca="false">V262/D262</f>
        <v>131.739795918367</v>
      </c>
      <c r="X262" s="8" t="n">
        <f aca="false">X261+V262</f>
        <v>188252.4</v>
      </c>
      <c r="Y262" s="8" t="n">
        <f aca="false">Y261+V262</f>
        <v>5305.7</v>
      </c>
      <c r="Z262" s="8" t="n">
        <v>32337.8</v>
      </c>
      <c r="AA262" s="8" t="n">
        <v>15.6415092365555</v>
      </c>
    </row>
    <row r="263" s="8" customFormat="true" ht="15" hidden="false" customHeight="false" outlineLevel="0" collapsed="false">
      <c r="A263" s="70"/>
      <c r="B263" s="54"/>
      <c r="C263" s="11" t="n">
        <v>41779</v>
      </c>
      <c r="D263" s="8" t="n">
        <v>17.8</v>
      </c>
      <c r="E263" s="8" t="n">
        <v>15.7</v>
      </c>
      <c r="F263" s="8" t="n">
        <v>24</v>
      </c>
      <c r="G263" s="8" t="n">
        <f aca="false">G262+D263</f>
        <v>2446.4</v>
      </c>
      <c r="H263" s="8" t="n">
        <f aca="false">H262+D263</f>
        <v>55.3</v>
      </c>
      <c r="I263" s="71" t="s">
        <v>30</v>
      </c>
      <c r="J263" s="8" t="n">
        <v>12.2</v>
      </c>
      <c r="K263" s="8" t="n">
        <f aca="false">K262+J263</f>
        <v>656.500000000001</v>
      </c>
      <c r="L263" s="8" t="n">
        <v>5</v>
      </c>
      <c r="M263" s="8" t="n">
        <f aca="false">M262+L263</f>
        <v>418.3</v>
      </c>
      <c r="N263" s="8" t="n">
        <f aca="false">J263-L263</f>
        <v>7.2</v>
      </c>
      <c r="O263" s="8" t="n">
        <v>63.4</v>
      </c>
      <c r="P263" s="8" t="n">
        <v>258</v>
      </c>
      <c r="Q263" s="17" t="n">
        <f aca="false">1.15+((P263-255)/76)*(0.35-1.15)</f>
        <v>1.11842105263158</v>
      </c>
      <c r="R263" s="15" t="n">
        <f aca="false">Q263*L263</f>
        <v>5.59210526315789</v>
      </c>
      <c r="S263" s="15" t="n">
        <f aca="false">J263-R263</f>
        <v>6.60789473684211</v>
      </c>
      <c r="T263" s="15" t="n">
        <f aca="false">MIN(153.6,(T262+S263))</f>
        <v>34.6584210526316</v>
      </c>
      <c r="U263" s="71" t="s">
        <v>31</v>
      </c>
      <c r="V263" s="8" t="n">
        <v>1759.7</v>
      </c>
      <c r="W263" s="8" t="n">
        <f aca="false">V263/D263</f>
        <v>98.8595505617978</v>
      </c>
      <c r="X263" s="8" t="n">
        <f aca="false">X262+V263</f>
        <v>190012.1</v>
      </c>
      <c r="Y263" s="8" t="n">
        <f aca="false">Y262+V263</f>
        <v>7065.4</v>
      </c>
      <c r="Z263" s="71" t="s">
        <v>32</v>
      </c>
      <c r="AA263" s="8" t="n">
        <v>15.6864988523675</v>
      </c>
    </row>
    <row r="264" s="8" customFormat="true" ht="15" hidden="false" customHeight="false" outlineLevel="0" collapsed="false">
      <c r="A264" s="70"/>
      <c r="B264" s="54"/>
      <c r="C264" s="11" t="n">
        <v>41780</v>
      </c>
      <c r="D264" s="8" t="n">
        <v>15.5</v>
      </c>
      <c r="E264" s="8" t="n">
        <v>13.4</v>
      </c>
      <c r="F264" s="8" t="n">
        <v>17.6</v>
      </c>
      <c r="G264" s="8" t="n">
        <f aca="false">G263+D264</f>
        <v>2461.9</v>
      </c>
      <c r="H264" s="8" t="n">
        <f aca="false">H263+D264</f>
        <v>70.8</v>
      </c>
      <c r="I264" s="8" t="n">
        <f aca="false">MAX(F261:F280)</f>
        <v>24.6</v>
      </c>
      <c r="J264" s="8" t="n">
        <v>8.3</v>
      </c>
      <c r="K264" s="8" t="n">
        <f aca="false">K263+J264</f>
        <v>664.800000000001</v>
      </c>
      <c r="L264" s="8" t="n">
        <v>1.3</v>
      </c>
      <c r="M264" s="8" t="n">
        <f aca="false">M263+L264</f>
        <v>419.6</v>
      </c>
      <c r="N264" s="8" t="n">
        <f aca="false">J264-L264</f>
        <v>7</v>
      </c>
      <c r="O264" s="8" t="n">
        <v>70.4</v>
      </c>
      <c r="P264" s="8" t="n">
        <v>259</v>
      </c>
      <c r="Q264" s="17" t="n">
        <f aca="false">1.15+((P264-255)/76)*(0.35-1.15)</f>
        <v>1.10789473684211</v>
      </c>
      <c r="R264" s="15" t="n">
        <f aca="false">Q264*L264</f>
        <v>1.44026315789474</v>
      </c>
      <c r="S264" s="15" t="n">
        <f aca="false">J264-R264</f>
        <v>6.85973684210526</v>
      </c>
      <c r="T264" s="15" t="n">
        <f aca="false">MIN(153.6,(T263+S264))</f>
        <v>41.5181578947369</v>
      </c>
      <c r="U264" s="8" t="n">
        <v>0</v>
      </c>
      <c r="V264" s="16" t="n">
        <v>575.2</v>
      </c>
      <c r="W264" s="8" t="n">
        <f aca="false">V264/D264</f>
        <v>37.1096774193548</v>
      </c>
      <c r="X264" s="8" t="n">
        <f aca="false">X263+V264</f>
        <v>190587.3</v>
      </c>
      <c r="Y264" s="8" t="n">
        <f aca="false">Y263+V264</f>
        <v>7640.6</v>
      </c>
      <c r="Z264" s="17" t="n">
        <f aca="false">(Z262/100)/I274</f>
        <v>1.05437887186175</v>
      </c>
      <c r="AA264" s="8" t="n">
        <v>15.7305725329682</v>
      </c>
    </row>
    <row r="265" s="8" customFormat="true" ht="15" hidden="false" customHeight="false" outlineLevel="0" collapsed="false">
      <c r="A265" s="70"/>
      <c r="B265" s="54"/>
      <c r="C265" s="11" t="n">
        <v>41781</v>
      </c>
      <c r="D265" s="8" t="n">
        <v>15.8</v>
      </c>
      <c r="E265" s="8" t="n">
        <v>13.1</v>
      </c>
      <c r="F265" s="8" t="n">
        <v>19.7</v>
      </c>
      <c r="G265" s="8" t="n">
        <f aca="false">G264+D265</f>
        <v>2477.7</v>
      </c>
      <c r="H265" s="8" t="n">
        <f aca="false">H264+D265</f>
        <v>86.6</v>
      </c>
      <c r="I265" s="71" t="s">
        <v>33</v>
      </c>
      <c r="J265" s="8" t="n">
        <v>3.6</v>
      </c>
      <c r="K265" s="8" t="n">
        <f aca="false">K264+J265</f>
        <v>668.400000000001</v>
      </c>
      <c r="L265" s="8" t="n">
        <v>3.1</v>
      </c>
      <c r="M265" s="8" t="n">
        <f aca="false">M264+L265</f>
        <v>422.7</v>
      </c>
      <c r="N265" s="8" t="n">
        <f aca="false">J265-L265</f>
        <v>0.5</v>
      </c>
      <c r="O265" s="8" t="n">
        <v>70.9</v>
      </c>
      <c r="P265" s="8" t="n">
        <v>260</v>
      </c>
      <c r="Q265" s="17" t="n">
        <f aca="false">1.15+((P265-255)/76)*(0.35-1.15)</f>
        <v>1.09736842105263</v>
      </c>
      <c r="R265" s="15" t="n">
        <f aca="false">Q265*L265</f>
        <v>3.40184210526316</v>
      </c>
      <c r="S265" s="15" t="n">
        <f aca="false">J265-R265</f>
        <v>0.198157894736842</v>
      </c>
      <c r="T265" s="15" t="n">
        <f aca="false">MIN(153.6,(T264+S265))</f>
        <v>41.7163157894737</v>
      </c>
      <c r="U265" s="71" t="s">
        <v>34</v>
      </c>
      <c r="V265" s="8" t="n">
        <v>1529.8</v>
      </c>
      <c r="W265" s="8" t="n">
        <f aca="false">V265/D265</f>
        <v>96.8227848101266</v>
      </c>
      <c r="X265" s="8" t="n">
        <f aca="false">X264+V265</f>
        <v>192117.1</v>
      </c>
      <c r="Y265" s="8" t="n">
        <f aca="false">Y264+V265</f>
        <v>9170.4</v>
      </c>
      <c r="Z265" s="71" t="s">
        <v>35</v>
      </c>
      <c r="AA265" s="8" t="n">
        <v>15.773700432509</v>
      </c>
    </row>
    <row r="266" s="8" customFormat="true" ht="15" hidden="false" customHeight="false" outlineLevel="0" collapsed="false">
      <c r="A266" s="70"/>
      <c r="B266" s="54"/>
      <c r="C266" s="11" t="n">
        <v>41782</v>
      </c>
      <c r="D266" s="8" t="n">
        <v>14.4</v>
      </c>
      <c r="E266" s="8" t="n">
        <v>11.2</v>
      </c>
      <c r="F266" s="8" t="n">
        <v>17.9</v>
      </c>
      <c r="G266" s="8" t="n">
        <f aca="false">G265+D266</f>
        <v>2492.1</v>
      </c>
      <c r="H266" s="8" t="n">
        <f aca="false">H265+D266</f>
        <v>101</v>
      </c>
      <c r="I266" s="15" t="n">
        <f aca="false">AVERAGE(D261:D280)</f>
        <v>15.335</v>
      </c>
      <c r="J266" s="8" t="n">
        <v>10.8</v>
      </c>
      <c r="K266" s="8" t="n">
        <f aca="false">K265+J266</f>
        <v>679.200000000001</v>
      </c>
      <c r="L266" s="8" t="n">
        <v>3</v>
      </c>
      <c r="M266" s="8" t="n">
        <f aca="false">M265+L266</f>
        <v>425.7</v>
      </c>
      <c r="N266" s="8" t="n">
        <f aca="false">J266-L266</f>
        <v>7.8</v>
      </c>
      <c r="O266" s="8" t="n">
        <v>78.7</v>
      </c>
      <c r="P266" s="8" t="n">
        <v>261</v>
      </c>
      <c r="Q266" s="17" t="n">
        <f aca="false">1.15+((P266-255)/76)*(0.35-1.15)</f>
        <v>1.08684210526316</v>
      </c>
      <c r="R266" s="15" t="n">
        <f aca="false">Q266*L266</f>
        <v>3.26052631578947</v>
      </c>
      <c r="S266" s="15" t="n">
        <f aca="false">J266-R266</f>
        <v>7.53947368421053</v>
      </c>
      <c r="T266" s="15" t="n">
        <f aca="false">MIN(153.6,(T265+S266))</f>
        <v>49.2557894736843</v>
      </c>
      <c r="U266" s="8" t="n">
        <v>17</v>
      </c>
      <c r="V266" s="8" t="n">
        <v>1858.5</v>
      </c>
      <c r="W266" s="8" t="n">
        <f aca="false">V266/D266</f>
        <v>129.0625</v>
      </c>
      <c r="X266" s="8" t="n">
        <f aca="false">X265+V266</f>
        <v>193975.6</v>
      </c>
      <c r="Y266" s="8" t="n">
        <f aca="false">Y265+V266</f>
        <v>11028.9</v>
      </c>
      <c r="Z266" s="8" t="n">
        <v>3</v>
      </c>
      <c r="AA266" s="8" t="n">
        <v>15.8158524994008</v>
      </c>
    </row>
    <row r="267" s="8" customFormat="true" ht="15" hidden="false" customHeight="false" outlineLevel="0" collapsed="false">
      <c r="A267" s="70"/>
      <c r="B267" s="54"/>
      <c r="C267" s="11" t="n">
        <v>41783</v>
      </c>
      <c r="D267" s="8" t="n">
        <v>13.6</v>
      </c>
      <c r="E267" s="8" t="n">
        <v>12</v>
      </c>
      <c r="F267" s="8" t="n">
        <v>15.6</v>
      </c>
      <c r="G267" s="8" t="n">
        <f aca="false">G266+D267</f>
        <v>2505.7</v>
      </c>
      <c r="H267" s="8" t="n">
        <f aca="false">H266+D267</f>
        <v>114.6</v>
      </c>
      <c r="I267" s="71" t="s">
        <v>36</v>
      </c>
      <c r="J267" s="8" t="n">
        <v>2.6</v>
      </c>
      <c r="K267" s="8" t="n">
        <f aca="false">K266+J267</f>
        <v>681.800000000001</v>
      </c>
      <c r="L267" s="8" t="n">
        <v>2.9</v>
      </c>
      <c r="M267" s="8" t="n">
        <f aca="false">M266+L267</f>
        <v>428.6</v>
      </c>
      <c r="N267" s="14" t="n">
        <f aca="false">J267-L267</f>
        <v>-0.3</v>
      </c>
      <c r="O267" s="8" t="n">
        <v>78.4</v>
      </c>
      <c r="P267" s="8" t="n">
        <v>262</v>
      </c>
      <c r="Q267" s="17" t="n">
        <f aca="false">1.15+((P267-255)/76)*(0.35-1.15)</f>
        <v>1.07631578947368</v>
      </c>
      <c r="R267" s="15" t="n">
        <f aca="false">Q267*L267</f>
        <v>3.12131578947368</v>
      </c>
      <c r="S267" s="15" t="n">
        <f aca="false">J267-R267</f>
        <v>-0.521315789473684</v>
      </c>
      <c r="T267" s="15" t="n">
        <f aca="false">MIN(153.6,(T266+S267))</f>
        <v>48.7344736842106</v>
      </c>
      <c r="U267" s="71" t="s">
        <v>37</v>
      </c>
      <c r="V267" s="8" t="n">
        <v>1627.8</v>
      </c>
      <c r="W267" s="8" t="n">
        <f aca="false">V267/D267</f>
        <v>119.691176470588</v>
      </c>
      <c r="X267" s="8" t="n">
        <f aca="false">X266+V267</f>
        <v>195603.4</v>
      </c>
      <c r="Y267" s="8" t="n">
        <f aca="false">Y266+V267</f>
        <v>12656.7</v>
      </c>
      <c r="AA267" s="8" t="n">
        <v>15.8569985324188</v>
      </c>
    </row>
    <row r="268" s="8" customFormat="true" ht="15" hidden="false" customHeight="false" outlineLevel="0" collapsed="false">
      <c r="A268" s="70"/>
      <c r="B268" s="54"/>
      <c r="C268" s="11" t="n">
        <v>41784</v>
      </c>
      <c r="D268" s="8" t="n">
        <v>14.8</v>
      </c>
      <c r="E268" s="8" t="n">
        <v>10.4</v>
      </c>
      <c r="F268" s="8" t="n">
        <v>18</v>
      </c>
      <c r="G268" s="8" t="n">
        <f aca="false">G267+D268</f>
        <v>2520.5</v>
      </c>
      <c r="H268" s="8" t="n">
        <f aca="false">H267+D268</f>
        <v>129.4</v>
      </c>
      <c r="I268" s="8" t="n">
        <v>0</v>
      </c>
      <c r="J268" s="8" t="n">
        <v>0</v>
      </c>
      <c r="K268" s="8" t="n">
        <f aca="false">K267+J268</f>
        <v>681.800000000001</v>
      </c>
      <c r="L268" s="8" t="n">
        <v>3</v>
      </c>
      <c r="M268" s="8" t="n">
        <f aca="false">M267+L268</f>
        <v>431.6</v>
      </c>
      <c r="N268" s="14" t="n">
        <f aca="false">J268-L268</f>
        <v>-3</v>
      </c>
      <c r="O268" s="8" t="n">
        <v>75.4</v>
      </c>
      <c r="P268" s="8" t="n">
        <v>263</v>
      </c>
      <c r="Q268" s="17" t="n">
        <f aca="false">1.15+((P268-255)/76)*(0.35-1.15)</f>
        <v>1.06578947368421</v>
      </c>
      <c r="R268" s="15" t="n">
        <f aca="false">Q268*L268</f>
        <v>3.19736842105263</v>
      </c>
      <c r="S268" s="15" t="n">
        <f aca="false">J268-R268</f>
        <v>-3.19736842105263</v>
      </c>
      <c r="T268" s="15" t="n">
        <f aca="false">MIN(153.6,(T267+S268))</f>
        <v>45.537105263158</v>
      </c>
      <c r="U268" s="15" t="n">
        <f aca="false">MIN(T261:T280)</f>
        <v>28.0505263157895</v>
      </c>
      <c r="V268" s="8" t="n">
        <v>1895.8</v>
      </c>
      <c r="W268" s="8" t="n">
        <f aca="false">V268/D268</f>
        <v>128.094594594595</v>
      </c>
      <c r="X268" s="8" t="n">
        <f aca="false">X267+V268</f>
        <v>197499.2</v>
      </c>
      <c r="Y268" s="8" t="n">
        <f aca="false">Y267+V268</f>
        <v>14552.5</v>
      </c>
      <c r="AA268" s="8" t="n">
        <v>15.8971082404776</v>
      </c>
    </row>
    <row r="269" s="8" customFormat="true" ht="15" hidden="false" customHeight="false" outlineLevel="0" collapsed="false">
      <c r="A269" s="70"/>
      <c r="B269" s="54"/>
      <c r="C269" s="11" t="n">
        <v>41785</v>
      </c>
      <c r="D269" s="8" t="n">
        <v>15.2</v>
      </c>
      <c r="E269" s="8" t="n">
        <v>13.6</v>
      </c>
      <c r="F269" s="8" t="n">
        <v>18.2</v>
      </c>
      <c r="G269" s="8" t="n">
        <f aca="false">G268+D269</f>
        <v>2535.7</v>
      </c>
      <c r="H269" s="8" t="n">
        <f aca="false">H268+D269</f>
        <v>144.6</v>
      </c>
      <c r="I269" s="71" t="s">
        <v>38</v>
      </c>
      <c r="J269" s="8" t="n">
        <v>11.3</v>
      </c>
      <c r="K269" s="8" t="n">
        <f aca="false">K268+J269</f>
        <v>693.100000000001</v>
      </c>
      <c r="L269" s="8" t="n">
        <v>2</v>
      </c>
      <c r="M269" s="8" t="n">
        <f aca="false">M268+L269</f>
        <v>433.6</v>
      </c>
      <c r="N269" s="8" t="n">
        <f aca="false">J269-L269</f>
        <v>9.3</v>
      </c>
      <c r="O269" s="8" t="n">
        <v>84.7</v>
      </c>
      <c r="P269" s="8" t="n">
        <v>264</v>
      </c>
      <c r="Q269" s="17" t="n">
        <f aca="false">1.15+((P269-255)/76)*(0.35-1.15)</f>
        <v>1.05526315789474</v>
      </c>
      <c r="R269" s="15" t="n">
        <f aca="false">Q269*L269</f>
        <v>2.11052631578947</v>
      </c>
      <c r="S269" s="15" t="n">
        <f aca="false">J269-R269</f>
        <v>9.18947368421053</v>
      </c>
      <c r="T269" s="15" t="n">
        <f aca="false">MIN(153.6,(T268+S269))</f>
        <v>54.7265789473685</v>
      </c>
      <c r="U269" s="71" t="s">
        <v>39</v>
      </c>
      <c r="V269" s="8" t="n">
        <v>955.9</v>
      </c>
      <c r="W269" s="8" t="n">
        <f aca="false">V269/D269</f>
        <v>62.8881578947368</v>
      </c>
      <c r="X269" s="8" t="n">
        <f aca="false">X268+V269</f>
        <v>198455.1</v>
      </c>
      <c r="Y269" s="8" t="n">
        <f aca="false">Y268+V269</f>
        <v>15508.4</v>
      </c>
      <c r="AA269" s="8" t="n">
        <v>15.9361513059972</v>
      </c>
    </row>
    <row r="270" s="8" customFormat="true" ht="15" hidden="false" customHeight="false" outlineLevel="0" collapsed="false">
      <c r="A270" s="70"/>
      <c r="B270" s="54"/>
      <c r="C270" s="11" t="n">
        <v>41786</v>
      </c>
      <c r="D270" s="8" t="n">
        <v>13.7</v>
      </c>
      <c r="E270" s="8" t="n">
        <v>13.6</v>
      </c>
      <c r="F270" s="8" t="n">
        <v>14.4</v>
      </c>
      <c r="G270" s="8" t="n">
        <f aca="false">G269+D270</f>
        <v>2549.4</v>
      </c>
      <c r="H270" s="8" t="n">
        <f aca="false">H269+D270</f>
        <v>158.3</v>
      </c>
      <c r="I270" s="8" t="n">
        <v>0</v>
      </c>
      <c r="J270" s="8" t="n">
        <v>0.6</v>
      </c>
      <c r="K270" s="8" t="n">
        <f aca="false">K269+J270</f>
        <v>693.700000000001</v>
      </c>
      <c r="L270" s="8" t="n">
        <v>1.1</v>
      </c>
      <c r="M270" s="8" t="n">
        <f aca="false">M269+L270</f>
        <v>434.7</v>
      </c>
      <c r="N270" s="14" t="n">
        <f aca="false">J270-L270</f>
        <v>-0.5</v>
      </c>
      <c r="O270" s="8" t="n">
        <v>84.2</v>
      </c>
      <c r="P270" s="8" t="n">
        <v>265</v>
      </c>
      <c r="Q270" s="17" t="n">
        <f aca="false">1.15+((P270-255)/76)*(0.35-1.15)</f>
        <v>1.04473684210526</v>
      </c>
      <c r="R270" s="15" t="n">
        <f aca="false">Q270*L270</f>
        <v>1.14921052631579</v>
      </c>
      <c r="S270" s="15" t="n">
        <f aca="false">J270-R270</f>
        <v>-0.54921052631579</v>
      </c>
      <c r="T270" s="15" t="n">
        <f aca="false">MIN(153.6,(T269+S270))</f>
        <v>54.1773684210527</v>
      </c>
      <c r="U270" s="15" t="n">
        <f aca="false">MAX(T261:T280)</f>
        <v>54.7265789473685</v>
      </c>
      <c r="V270" s="16" t="n">
        <v>413.2</v>
      </c>
      <c r="W270" s="8" t="n">
        <f aca="false">V270/D270</f>
        <v>30.1605839416058</v>
      </c>
      <c r="X270" s="8" t="n">
        <f aca="false">X269+V270</f>
        <v>198868.3</v>
      </c>
      <c r="Y270" s="8" t="n">
        <f aca="false">Y269+V270</f>
        <v>15921.6</v>
      </c>
      <c r="AA270" s="8" t="n">
        <v>15.9740974517452</v>
      </c>
    </row>
    <row r="271" s="8" customFormat="true" ht="15" hidden="false" customHeight="false" outlineLevel="0" collapsed="false">
      <c r="A271" s="70"/>
      <c r="B271" s="54"/>
      <c r="C271" s="11" t="n">
        <v>41787</v>
      </c>
      <c r="D271" s="8" t="n">
        <v>13.5</v>
      </c>
      <c r="E271" s="8" t="n">
        <v>12.8</v>
      </c>
      <c r="F271" s="8" t="n">
        <v>14.5</v>
      </c>
      <c r="G271" s="8" t="n">
        <f aca="false">G270+D271</f>
        <v>2562.9</v>
      </c>
      <c r="H271" s="8" t="n">
        <f aca="false">H270+D271</f>
        <v>171.8</v>
      </c>
      <c r="I271" s="71" t="s">
        <v>40</v>
      </c>
      <c r="J271" s="8" t="n">
        <v>0</v>
      </c>
      <c r="K271" s="8" t="n">
        <f aca="false">K270+J271</f>
        <v>693.700000000001</v>
      </c>
      <c r="L271" s="8" t="n">
        <v>1.5</v>
      </c>
      <c r="M271" s="8" t="n">
        <f aca="false">M270+L271</f>
        <v>436.2</v>
      </c>
      <c r="N271" s="14" t="n">
        <f aca="false">J271-L271</f>
        <v>-1.5</v>
      </c>
      <c r="O271" s="8" t="n">
        <v>82.7</v>
      </c>
      <c r="P271" s="8" t="n">
        <v>266</v>
      </c>
      <c r="Q271" s="17" t="n">
        <f aca="false">1.15+((P271-255)/76)*(0.35-1.15)</f>
        <v>1.03421052631579</v>
      </c>
      <c r="R271" s="15" t="n">
        <f aca="false">Q271*L271</f>
        <v>1.55131578947368</v>
      </c>
      <c r="S271" s="15" t="n">
        <f aca="false">J271-R271</f>
        <v>-1.55131578947368</v>
      </c>
      <c r="T271" s="15" t="n">
        <f aca="false">MIN(153.6,(T270+S271))</f>
        <v>52.626052631579</v>
      </c>
      <c r="U271" s="71" t="s">
        <v>41</v>
      </c>
      <c r="V271" s="16" t="n">
        <v>537.4</v>
      </c>
      <c r="W271" s="8" t="n">
        <f aca="false">V271/D271</f>
        <v>39.8074074074074</v>
      </c>
      <c r="X271" s="8" t="n">
        <f aca="false">X270+V271</f>
        <v>199405.7</v>
      </c>
      <c r="Y271" s="8" t="n">
        <f aca="false">Y270+V271</f>
        <v>16459</v>
      </c>
      <c r="AA271" s="8" t="n">
        <v>16.0109165110057</v>
      </c>
    </row>
    <row r="272" s="49" customFormat="true" ht="15" hidden="false" customHeight="false" outlineLevel="0" collapsed="false">
      <c r="A272" s="70"/>
      <c r="B272" s="69"/>
      <c r="C272" s="11" t="n">
        <v>41788</v>
      </c>
      <c r="D272" s="49" t="n">
        <v>15.3</v>
      </c>
      <c r="E272" s="49" t="n">
        <v>12.8</v>
      </c>
      <c r="F272" s="49" t="n">
        <v>17.5</v>
      </c>
      <c r="G272" s="49" t="n">
        <f aca="false">G271+D272</f>
        <v>2578.2</v>
      </c>
      <c r="H272" s="49" t="n">
        <f aca="false">H271+D272</f>
        <v>187.1</v>
      </c>
      <c r="I272" s="49" t="n">
        <v>0</v>
      </c>
      <c r="J272" s="49" t="n">
        <v>0</v>
      </c>
      <c r="K272" s="49" t="n">
        <f aca="false">K271+J272</f>
        <v>693.700000000001</v>
      </c>
      <c r="L272" s="49" t="n">
        <v>2.6</v>
      </c>
      <c r="M272" s="49" t="n">
        <f aca="false">M271+L272</f>
        <v>438.8</v>
      </c>
      <c r="N272" s="49" t="n">
        <f aca="false">J272-L272</f>
        <v>-2.6</v>
      </c>
      <c r="O272" s="49" t="n">
        <v>80.1</v>
      </c>
      <c r="P272" s="49" t="n">
        <v>267</v>
      </c>
      <c r="Q272" s="17" t="n">
        <f aca="false">1.15+((P272-255)/76)*(0.35-1.15)</f>
        <v>1.02368421052632</v>
      </c>
      <c r="R272" s="52" t="n">
        <f aca="false">Q272*L272</f>
        <v>2.66157894736842</v>
      </c>
      <c r="S272" s="52" t="n">
        <f aca="false">J272-R272</f>
        <v>-2.66157894736842</v>
      </c>
      <c r="T272" s="15" t="n">
        <f aca="false">MIN(153.6,(T271+S272))</f>
        <v>49.9644736842106</v>
      </c>
      <c r="U272" s="17" t="n">
        <f aca="false">AVERAGE(T261:T280)</f>
        <v>43.9469078947369</v>
      </c>
      <c r="V272" s="49" t="n">
        <v>1410.8</v>
      </c>
      <c r="W272" s="49" t="n">
        <f aca="false">V272/D272</f>
        <v>92.2091503267974</v>
      </c>
      <c r="X272" s="49" t="n">
        <f aca="false">X271+V272</f>
        <v>200816.5</v>
      </c>
      <c r="Y272" s="8" t="n">
        <f aca="false">Y271+V272</f>
        <v>17869.8</v>
      </c>
      <c r="AA272" s="8" t="n">
        <v>16.0465785008894</v>
      </c>
    </row>
    <row r="273" s="8" customFormat="true" ht="15" hidden="false" customHeight="false" outlineLevel="0" collapsed="false">
      <c r="A273" s="70"/>
      <c r="B273" s="54"/>
      <c r="C273" s="11" t="n">
        <v>41789</v>
      </c>
      <c r="D273" s="8" t="n">
        <v>14.7</v>
      </c>
      <c r="E273" s="8" t="n">
        <v>12.1</v>
      </c>
      <c r="F273" s="8" t="n">
        <v>17.3</v>
      </c>
      <c r="G273" s="8" t="n">
        <f aca="false">G272+D273</f>
        <v>2592.9</v>
      </c>
      <c r="H273" s="8" t="n">
        <f aca="false">H272+D273</f>
        <v>201.8</v>
      </c>
      <c r="I273" s="71" t="s">
        <v>42</v>
      </c>
      <c r="J273" s="8" t="n">
        <v>0</v>
      </c>
      <c r="K273" s="8" t="n">
        <f aca="false">K272+J273</f>
        <v>693.700000000001</v>
      </c>
      <c r="L273" s="8" t="n">
        <v>3.3</v>
      </c>
      <c r="M273" s="8" t="n">
        <f aca="false">M272+L273</f>
        <v>442.1</v>
      </c>
      <c r="N273" s="14" t="n">
        <f aca="false">J273-L273</f>
        <v>-3.3</v>
      </c>
      <c r="O273" s="8" t="n">
        <v>76.8</v>
      </c>
      <c r="P273" s="8" t="n">
        <v>268</v>
      </c>
      <c r="Q273" s="17" t="n">
        <f aca="false">1.15+((P273-255)/76)*(0.35-1.15)</f>
        <v>1.01315789473684</v>
      </c>
      <c r="R273" s="15" t="n">
        <f aca="false">Q273*L273</f>
        <v>3.34342105263158</v>
      </c>
      <c r="S273" s="15" t="n">
        <f aca="false">J273-R273</f>
        <v>-3.34342105263158</v>
      </c>
      <c r="T273" s="15" t="n">
        <f aca="false">MIN(153.6,(T272+S273))</f>
        <v>46.621052631579</v>
      </c>
      <c r="U273" s="8" t="n">
        <f aca="false">(U272*100)/153.6</f>
        <v>28.611268160636</v>
      </c>
      <c r="V273" s="8" t="n">
        <v>1718.4</v>
      </c>
      <c r="W273" s="8" t="n">
        <f aca="false">V273/D273</f>
        <v>116.897959183673</v>
      </c>
      <c r="X273" s="8" t="n">
        <f aca="false">X272+V273</f>
        <v>202534.9</v>
      </c>
      <c r="Y273" s="8" t="n">
        <f aca="false">Y272+V273</f>
        <v>19588.2</v>
      </c>
      <c r="AA273" s="8" t="n">
        <v>16.081053698558</v>
      </c>
    </row>
    <row r="274" s="8" customFormat="true" ht="15" hidden="false" customHeight="false" outlineLevel="0" collapsed="false">
      <c r="A274" s="70"/>
      <c r="B274" s="54"/>
      <c r="C274" s="11" t="n">
        <v>41790</v>
      </c>
      <c r="D274" s="8" t="n">
        <v>14.6</v>
      </c>
      <c r="E274" s="8" t="n">
        <v>11.7</v>
      </c>
      <c r="F274" s="8" t="n">
        <v>18</v>
      </c>
      <c r="G274" s="8" t="n">
        <f aca="false">G273+D274</f>
        <v>2607.5</v>
      </c>
      <c r="H274" s="8" t="n">
        <f aca="false">H273+D274</f>
        <v>216.4</v>
      </c>
      <c r="I274" s="8" t="n">
        <v>306.7</v>
      </c>
      <c r="J274" s="8" t="n">
        <v>0</v>
      </c>
      <c r="K274" s="8" t="n">
        <f aca="false">K273+J274</f>
        <v>693.700000000001</v>
      </c>
      <c r="L274" s="8" t="n">
        <v>4.6</v>
      </c>
      <c r="M274" s="8" t="n">
        <f aca="false">M273+L274</f>
        <v>446.7</v>
      </c>
      <c r="N274" s="14" t="n">
        <f aca="false">J274-L274</f>
        <v>-4.6</v>
      </c>
      <c r="O274" s="8" t="n">
        <v>72.2</v>
      </c>
      <c r="P274" s="8" t="n">
        <v>269</v>
      </c>
      <c r="Q274" s="17" t="n">
        <f aca="false">1.15+((P274-255)/76)*(0.35-1.15)</f>
        <v>1.00263157894737</v>
      </c>
      <c r="R274" s="15" t="n">
        <f aca="false">Q274*L274</f>
        <v>4.61210526315789</v>
      </c>
      <c r="S274" s="15" t="n">
        <f aca="false">J274-R274</f>
        <v>-4.61210526315789</v>
      </c>
      <c r="T274" s="15" t="n">
        <f aca="false">MIN(153.6,(T273+S274))</f>
        <v>42.0089473684211</v>
      </c>
      <c r="V274" s="8" t="n">
        <v>2552.3</v>
      </c>
      <c r="W274" s="8" t="n">
        <f aca="false">V274/D274</f>
        <v>174.815068493151</v>
      </c>
      <c r="X274" s="8" t="n">
        <f aca="false">X273+V274</f>
        <v>205087.2</v>
      </c>
      <c r="Y274" s="8" t="n">
        <f aca="false">Y273+V274</f>
        <v>22140.5</v>
      </c>
      <c r="AA274" s="8" t="n">
        <v>16.1143127200993</v>
      </c>
    </row>
    <row r="275" s="8" customFormat="true" ht="15" hidden="false" customHeight="false" outlineLevel="0" collapsed="false">
      <c r="A275" s="70"/>
      <c r="B275" s="54"/>
      <c r="C275" s="11" t="n">
        <v>41791</v>
      </c>
      <c r="D275" s="8" t="n">
        <v>14.4</v>
      </c>
      <c r="E275" s="8" t="n">
        <v>10.3</v>
      </c>
      <c r="F275" s="8" t="n">
        <v>18.1</v>
      </c>
      <c r="G275" s="8" t="n">
        <f aca="false">G274+D275</f>
        <v>2621.9</v>
      </c>
      <c r="H275" s="8" t="n">
        <f aca="false">H274+D275</f>
        <v>230.8</v>
      </c>
      <c r="J275" s="8" t="n">
        <v>0.1</v>
      </c>
      <c r="K275" s="8" t="n">
        <f aca="false">K274+J275</f>
        <v>693.800000000001</v>
      </c>
      <c r="L275" s="8" t="n">
        <v>3.5</v>
      </c>
      <c r="M275" s="8" t="n">
        <f aca="false">M274+L275</f>
        <v>450.2</v>
      </c>
      <c r="N275" s="14" t="n">
        <f aca="false">J275-L275</f>
        <v>-3.4</v>
      </c>
      <c r="O275" s="8" t="n">
        <v>68.8</v>
      </c>
      <c r="P275" s="8" t="n">
        <v>270</v>
      </c>
      <c r="Q275" s="17" t="n">
        <f aca="false">1.15+((P275-255)/76)*(0.35-1.15)</f>
        <v>0.992105263157895</v>
      </c>
      <c r="R275" s="15" t="n">
        <f aca="false">Q275*L275</f>
        <v>3.47236842105263</v>
      </c>
      <c r="S275" s="15" t="n">
        <f aca="false">J275-R275</f>
        <v>-3.37236842105263</v>
      </c>
      <c r="T275" s="15" t="n">
        <f aca="false">MIN(153.6,(T274+S275))</f>
        <v>38.6365789473685</v>
      </c>
      <c r="V275" s="8" t="n">
        <v>2006.2</v>
      </c>
      <c r="W275" s="8" t="n">
        <f aca="false">V275/D275</f>
        <v>139.319444444444</v>
      </c>
      <c r="X275" s="8" t="n">
        <f aca="false">X274+V275</f>
        <v>207093.4</v>
      </c>
      <c r="Y275" s="8" t="n">
        <f aca="false">Y274+V275</f>
        <v>24146.7</v>
      </c>
      <c r="AA275" s="8" t="n">
        <v>16.146326601747</v>
      </c>
    </row>
    <row r="276" s="8" customFormat="true" ht="15" hidden="false" customHeight="false" outlineLevel="0" collapsed="false">
      <c r="A276" s="70"/>
      <c r="B276" s="54"/>
      <c r="C276" s="11" t="n">
        <v>41792</v>
      </c>
      <c r="D276" s="8" t="n">
        <v>14.9</v>
      </c>
      <c r="E276" s="8" t="n">
        <v>10.3</v>
      </c>
      <c r="F276" s="8" t="n">
        <v>18.8</v>
      </c>
      <c r="G276" s="8" t="n">
        <f aca="false">G275+D276</f>
        <v>2636.8</v>
      </c>
      <c r="H276" s="8" t="n">
        <f aca="false">H275+D276</f>
        <v>245.7</v>
      </c>
      <c r="J276" s="8" t="n">
        <v>0.1</v>
      </c>
      <c r="K276" s="8" t="n">
        <f aca="false">K275+J276</f>
        <v>693.900000000001</v>
      </c>
      <c r="L276" s="8" t="n">
        <v>3.1</v>
      </c>
      <c r="M276" s="8" t="n">
        <f aca="false">M275+L276</f>
        <v>453.3</v>
      </c>
      <c r="N276" s="14" t="n">
        <f aca="false">J276-L276</f>
        <v>-3</v>
      </c>
      <c r="O276" s="8" t="n">
        <v>65.8</v>
      </c>
      <c r="P276" s="8" t="n">
        <v>271</v>
      </c>
      <c r="Q276" s="17" t="n">
        <f aca="false">1.15+((P276-255)/76)*(0.35-1.15)</f>
        <v>0.981578947368421</v>
      </c>
      <c r="R276" s="15" t="n">
        <f aca="false">Q276*L276</f>
        <v>3.04289473684211</v>
      </c>
      <c r="S276" s="15" t="n">
        <f aca="false">J276-R276</f>
        <v>-2.94289473684211</v>
      </c>
      <c r="T276" s="15" t="n">
        <f aca="false">MIN(153.6,(T275+S276))</f>
        <v>35.6936842105264</v>
      </c>
      <c r="V276" s="8" t="n">
        <v>1770.8</v>
      </c>
      <c r="W276" s="8" t="n">
        <f aca="false">V276/D276</f>
        <v>118.845637583893</v>
      </c>
      <c r="X276" s="8" t="n">
        <f aca="false">X275+V276</f>
        <v>208864.2</v>
      </c>
      <c r="Y276" s="8" t="n">
        <f aca="false">Y275+V276</f>
        <v>25917.5</v>
      </c>
      <c r="AA276" s="8" t="n">
        <v>16.1770668831014</v>
      </c>
    </row>
    <row r="277" s="8" customFormat="true" ht="15" hidden="false" customHeight="false" outlineLevel="0" collapsed="false">
      <c r="A277" s="70"/>
      <c r="B277" s="54"/>
      <c r="C277" s="11" t="n">
        <v>41793</v>
      </c>
      <c r="D277" s="8" t="n">
        <v>16</v>
      </c>
      <c r="E277" s="8" t="n">
        <v>13.1</v>
      </c>
      <c r="F277" s="8" t="n">
        <v>20.1</v>
      </c>
      <c r="G277" s="8" t="n">
        <f aca="false">G276+D277</f>
        <v>2652.8</v>
      </c>
      <c r="H277" s="8" t="n">
        <f aca="false">H276+D277</f>
        <v>261.7</v>
      </c>
      <c r="J277" s="8" t="n">
        <v>5.4</v>
      </c>
      <c r="K277" s="8" t="n">
        <f aca="false">K276+J277</f>
        <v>699.300000000001</v>
      </c>
      <c r="L277" s="8" t="n">
        <v>2.4</v>
      </c>
      <c r="M277" s="8" t="n">
        <f aca="false">M276+L277</f>
        <v>455.7</v>
      </c>
      <c r="N277" s="8" t="n">
        <f aca="false">J277-L277</f>
        <v>3</v>
      </c>
      <c r="O277" s="8" t="n">
        <v>68.8</v>
      </c>
      <c r="P277" s="8" t="n">
        <v>272</v>
      </c>
      <c r="Q277" s="17" t="n">
        <f aca="false">1.15+((P277-255)/76)*(0.35-1.15)</f>
        <v>0.971052631578947</v>
      </c>
      <c r="R277" s="15" t="n">
        <f aca="false">Q277*L277</f>
        <v>2.33052631578947</v>
      </c>
      <c r="S277" s="15" t="n">
        <f aca="false">J277-R277</f>
        <v>3.06947368421053</v>
      </c>
      <c r="T277" s="15" t="n">
        <f aca="false">MIN(153.6,(T276+S277))</f>
        <v>38.7631578947369</v>
      </c>
      <c r="V277" s="8" t="n">
        <v>1089</v>
      </c>
      <c r="W277" s="8" t="n">
        <f aca="false">V277/D277</f>
        <v>68.0625</v>
      </c>
      <c r="X277" s="8" t="n">
        <f aca="false">X276+V277</f>
        <v>209953.2</v>
      </c>
      <c r="Y277" s="8" t="n">
        <f aca="false">Y276+V277</f>
        <v>27006.5</v>
      </c>
      <c r="AA277" s="8" t="n">
        <v>16.2065056919656</v>
      </c>
    </row>
    <row r="278" s="8" customFormat="true" ht="15" hidden="false" customHeight="false" outlineLevel="0" collapsed="false">
      <c r="A278" s="70"/>
      <c r="B278" s="54"/>
      <c r="C278" s="11" t="n">
        <v>41794</v>
      </c>
      <c r="D278" s="8" t="n">
        <v>13</v>
      </c>
      <c r="E278" s="8" t="n">
        <v>12</v>
      </c>
      <c r="F278" s="8" t="n">
        <v>15.6</v>
      </c>
      <c r="G278" s="8" t="n">
        <f aca="false">G277+D278</f>
        <v>2665.8</v>
      </c>
      <c r="H278" s="8" t="n">
        <f aca="false">H277+D278</f>
        <v>274.7</v>
      </c>
      <c r="J278" s="8" t="n">
        <v>13.6</v>
      </c>
      <c r="K278" s="8" t="n">
        <f aca="false">K277+J278</f>
        <v>712.900000000001</v>
      </c>
      <c r="L278" s="8" t="n">
        <v>1.9</v>
      </c>
      <c r="M278" s="8" t="n">
        <f aca="false">M277+L278</f>
        <v>457.6</v>
      </c>
      <c r="N278" s="8" t="n">
        <f aca="false">J278-L278</f>
        <v>11.7</v>
      </c>
      <c r="O278" s="8" t="n">
        <v>80.5</v>
      </c>
      <c r="P278" s="8" t="n">
        <v>273</v>
      </c>
      <c r="Q278" s="17" t="n">
        <f aca="false">1.15+((P278-255)/76)*(0.35-1.15)</f>
        <v>0.960526315789474</v>
      </c>
      <c r="R278" s="15" t="n">
        <f aca="false">Q278*L278</f>
        <v>1.825</v>
      </c>
      <c r="S278" s="15" t="n">
        <f aca="false">J278-R278</f>
        <v>11.775</v>
      </c>
      <c r="T278" s="15" t="n">
        <f aca="false">MIN(153.6,(T277+S278))</f>
        <v>50.5381578947369</v>
      </c>
      <c r="V278" s="8" t="n">
        <v>973.7</v>
      </c>
      <c r="W278" s="8" t="n">
        <f aca="false">V278/D278</f>
        <v>74.9</v>
      </c>
      <c r="X278" s="8" t="n">
        <f aca="false">X277+V278</f>
        <v>210926.9</v>
      </c>
      <c r="Y278" s="8" t="n">
        <f aca="false">Y277+V278</f>
        <v>27980.2</v>
      </c>
      <c r="AA278" s="8" t="n">
        <v>16.2346158303758</v>
      </c>
    </row>
    <row r="279" s="8" customFormat="true" ht="15" hidden="false" customHeight="false" outlineLevel="0" collapsed="false">
      <c r="A279" s="70"/>
      <c r="B279" s="54"/>
      <c r="C279" s="11" t="n">
        <v>41795</v>
      </c>
      <c r="D279" s="8" t="n">
        <v>13.4</v>
      </c>
      <c r="E279" s="8" t="n">
        <v>8.6</v>
      </c>
      <c r="F279" s="8" t="n">
        <v>17.6</v>
      </c>
      <c r="G279" s="8" t="n">
        <f aca="false">G278+D279</f>
        <v>2679.2</v>
      </c>
      <c r="H279" s="8" t="n">
        <f aca="false">H278+D279</f>
        <v>288.1</v>
      </c>
      <c r="J279" s="8" t="n">
        <v>0</v>
      </c>
      <c r="K279" s="8" t="n">
        <f aca="false">K278+J279</f>
        <v>712.900000000001</v>
      </c>
      <c r="L279" s="8" t="n">
        <v>2.9</v>
      </c>
      <c r="M279" s="8" t="n">
        <f aca="false">M278+L279</f>
        <v>460.5</v>
      </c>
      <c r="N279" s="14" t="n">
        <f aca="false">J279-L279</f>
        <v>-2.9</v>
      </c>
      <c r="O279" s="8" t="n">
        <v>77.6</v>
      </c>
      <c r="P279" s="8" t="n">
        <v>274</v>
      </c>
      <c r="Q279" s="17" t="n">
        <f aca="false">1.15+((P279-255)/76)*(0.35-1.15)</f>
        <v>0.95</v>
      </c>
      <c r="R279" s="15" t="n">
        <f aca="false">Q279*L279</f>
        <v>2.755</v>
      </c>
      <c r="S279" s="15" t="n">
        <f aca="false">J279-R279</f>
        <v>-2.755</v>
      </c>
      <c r="T279" s="15" t="n">
        <f aca="false">MIN(153.6,(T278+S279))</f>
        <v>47.7831578947369</v>
      </c>
      <c r="V279" s="8" t="n">
        <v>1550.9</v>
      </c>
      <c r="W279" s="8" t="n">
        <f aca="false">V279/D279</f>
        <v>115.738805970149</v>
      </c>
      <c r="X279" s="8" t="n">
        <f aca="false">X278+V279</f>
        <v>212477.8</v>
      </c>
      <c r="Y279" s="8" t="n">
        <f aca="false">Y278+V279</f>
        <v>29531.1</v>
      </c>
      <c r="AA279" s="8" t="n">
        <v>16.2613708613668</v>
      </c>
    </row>
    <row r="280" s="23" customFormat="true" ht="15" hidden="false" customHeight="false" outlineLevel="0" collapsed="false">
      <c r="A280" s="70"/>
      <c r="B280" s="57" t="n">
        <v>600</v>
      </c>
      <c r="C280" s="58" t="n">
        <v>41796</v>
      </c>
      <c r="D280" s="23" t="n">
        <v>18.6</v>
      </c>
      <c r="E280" s="23" t="n">
        <v>8.9</v>
      </c>
      <c r="F280" s="23" t="n">
        <v>24.5</v>
      </c>
      <c r="G280" s="23" t="n">
        <f aca="false">G279+D280</f>
        <v>2697.8</v>
      </c>
      <c r="H280" s="23" t="n">
        <f aca="false">H279+D280</f>
        <v>306.7</v>
      </c>
      <c r="J280" s="23" t="n">
        <v>0</v>
      </c>
      <c r="K280" s="23" t="n">
        <f aca="false">K279+J280</f>
        <v>712.900000000001</v>
      </c>
      <c r="L280" s="23" t="n">
        <v>4.5</v>
      </c>
      <c r="M280" s="23" t="n">
        <f aca="false">M279+L280</f>
        <v>465</v>
      </c>
      <c r="N280" s="60" t="n">
        <f aca="false">J280-L280</f>
        <v>-4.5</v>
      </c>
      <c r="O280" s="23" t="n">
        <v>73.1</v>
      </c>
      <c r="P280" s="23" t="n">
        <v>275</v>
      </c>
      <c r="Q280" s="61" t="n">
        <f aca="false">1.15+((P280-255)/76)*(0.35-1.15)</f>
        <v>0.939473684210526</v>
      </c>
      <c r="R280" s="25" t="n">
        <f aca="false">Q280*L280</f>
        <v>4.22763157894737</v>
      </c>
      <c r="S280" s="25" t="n">
        <f aca="false">J280-R280</f>
        <v>-4.22763157894737</v>
      </c>
      <c r="T280" s="26" t="n">
        <f aca="false">MIN(153.6,(T279+S280))</f>
        <v>43.5555263157895</v>
      </c>
      <c r="V280" s="23" t="n">
        <v>2806.7</v>
      </c>
      <c r="W280" s="23" t="n">
        <f aca="false">V280/D280</f>
        <v>150.897849462366</v>
      </c>
      <c r="X280" s="23" t="n">
        <f aca="false">X279+V280</f>
        <v>215284.5</v>
      </c>
      <c r="Y280" s="24" t="n">
        <f aca="false">Y279+V280</f>
        <v>32337.8</v>
      </c>
      <c r="AA280" s="24" t="n">
        <v>16.2867451959825</v>
      </c>
    </row>
    <row r="281" s="8" customFormat="true" ht="15" hidden="false" customHeight="false" outlineLevel="0" collapsed="false">
      <c r="A281" s="72" t="n">
        <v>1000</v>
      </c>
      <c r="B281" s="54"/>
      <c r="C281" s="11" t="n">
        <v>41797</v>
      </c>
      <c r="D281" s="8" t="n">
        <v>22</v>
      </c>
      <c r="E281" s="8" t="n">
        <v>17.8</v>
      </c>
      <c r="F281" s="12" t="n">
        <v>26.3</v>
      </c>
      <c r="G281" s="8" t="n">
        <f aca="false">G280+D281</f>
        <v>2719.8</v>
      </c>
      <c r="H281" s="8" t="n">
        <v>22</v>
      </c>
      <c r="I281" s="73" t="s">
        <v>27</v>
      </c>
      <c r="J281" s="8" t="n">
        <v>0.6</v>
      </c>
      <c r="K281" s="8" t="n">
        <f aca="false">K280+J281</f>
        <v>713.500000000001</v>
      </c>
      <c r="L281" s="8" t="n">
        <v>3.9</v>
      </c>
      <c r="M281" s="8" t="n">
        <f aca="false">M280+L281</f>
        <v>468.9</v>
      </c>
      <c r="N281" s="14" t="n">
        <f aca="false">J281-L281</f>
        <v>-3.3</v>
      </c>
      <c r="O281" s="8" t="n">
        <v>69.8</v>
      </c>
      <c r="P281" s="8" t="n">
        <v>276</v>
      </c>
      <c r="Q281" s="17" t="n">
        <f aca="false">1.15+((P281-255)/76)*(0.35-1.15)</f>
        <v>0.928947368421053</v>
      </c>
      <c r="R281" s="15" t="n">
        <f aca="false">Q281*L281</f>
        <v>3.6228947368421</v>
      </c>
      <c r="S281" s="15" t="n">
        <f aca="false">J281-R281</f>
        <v>-3.0228947368421</v>
      </c>
      <c r="T281" s="15" t="n">
        <f aca="false">MIN(153.6,(T280+S281))</f>
        <v>40.5326315789474</v>
      </c>
      <c r="U281" s="73" t="s">
        <v>28</v>
      </c>
      <c r="V281" s="8" t="n">
        <v>1718.6</v>
      </c>
      <c r="W281" s="8" t="n">
        <f aca="false">V281/D281</f>
        <v>78.1181818181818</v>
      </c>
      <c r="X281" s="8" t="n">
        <f aca="false">X280+V281</f>
        <v>217003.1</v>
      </c>
      <c r="Y281" s="8" t="n">
        <v>1718.6</v>
      </c>
      <c r="Z281" s="73" t="s">
        <v>29</v>
      </c>
      <c r="AA281" s="8" t="n">
        <v>16.3107141800076</v>
      </c>
    </row>
    <row r="282" s="8" customFormat="true" ht="15" hidden="false" customHeight="false" outlineLevel="0" collapsed="false">
      <c r="A282" s="72"/>
      <c r="B282" s="54"/>
      <c r="C282" s="11" t="n">
        <v>41798</v>
      </c>
      <c r="D282" s="8" t="n">
        <v>21</v>
      </c>
      <c r="E282" s="8" t="n">
        <v>16.1</v>
      </c>
      <c r="F282" s="8" t="n">
        <v>24.9</v>
      </c>
      <c r="G282" s="8" t="n">
        <f aca="false">G281+D282</f>
        <v>2740.8</v>
      </c>
      <c r="H282" s="8" t="n">
        <f aca="false">H281+D282</f>
        <v>43</v>
      </c>
      <c r="I282" s="8" t="n">
        <f aca="false">MIN(E281:E303)</f>
        <v>10.6</v>
      </c>
      <c r="J282" s="8" t="n">
        <v>0</v>
      </c>
      <c r="K282" s="8" t="n">
        <f aca="false">K281+J282</f>
        <v>713.500000000001</v>
      </c>
      <c r="L282" s="8" t="n">
        <v>4.3</v>
      </c>
      <c r="M282" s="8" t="n">
        <f aca="false">M281+L282</f>
        <v>473.2</v>
      </c>
      <c r="N282" s="14" t="n">
        <f aca="false">J282-L282</f>
        <v>-4.3</v>
      </c>
      <c r="O282" s="8" t="n">
        <v>65.5</v>
      </c>
      <c r="P282" s="8" t="n">
        <v>277</v>
      </c>
      <c r="Q282" s="17" t="n">
        <f aca="false">1.15+((P282-255)/76)*(0.35-1.15)</f>
        <v>0.918421052631579</v>
      </c>
      <c r="R282" s="15" t="n">
        <f aca="false">Q282*L282</f>
        <v>3.94921052631579</v>
      </c>
      <c r="S282" s="15" t="n">
        <f aca="false">J282-R282</f>
        <v>-3.94921052631579</v>
      </c>
      <c r="T282" s="15" t="n">
        <f aca="false">MIN(153.6,(T281+S282))</f>
        <v>36.5834210526316</v>
      </c>
      <c r="U282" s="8" t="n">
        <v>18</v>
      </c>
      <c r="V282" s="8" t="n">
        <v>2103.7</v>
      </c>
      <c r="W282" s="8" t="n">
        <f aca="false">V282/D282</f>
        <v>100.17619047619</v>
      </c>
      <c r="X282" s="8" t="n">
        <f aca="false">X281+V282</f>
        <v>219106.8</v>
      </c>
      <c r="Y282" s="8" t="n">
        <f aca="false">Y281+V282</f>
        <v>3822.3</v>
      </c>
      <c r="Z282" s="8" t="n">
        <v>41373.8</v>
      </c>
      <c r="AA282" s="8" t="n">
        <v>16.3332541798759</v>
      </c>
    </row>
    <row r="283" s="8" customFormat="true" ht="15" hidden="false" customHeight="false" outlineLevel="0" collapsed="false">
      <c r="A283" s="72"/>
      <c r="B283" s="54"/>
      <c r="C283" s="11" t="n">
        <v>41799</v>
      </c>
      <c r="D283" s="8" t="n">
        <v>20.9</v>
      </c>
      <c r="E283" s="8" t="n">
        <v>19</v>
      </c>
      <c r="F283" s="8" t="n">
        <v>22.4</v>
      </c>
      <c r="G283" s="8" t="n">
        <f aca="false">G282+D283</f>
        <v>2761.7</v>
      </c>
      <c r="H283" s="8" t="n">
        <f aca="false">H282+D283</f>
        <v>63.9</v>
      </c>
      <c r="I283" s="73" t="s">
        <v>30</v>
      </c>
      <c r="J283" s="8" t="n">
        <v>16.9</v>
      </c>
      <c r="K283" s="8" t="n">
        <f aca="false">K282+J283</f>
        <v>730.400000000001</v>
      </c>
      <c r="L283" s="8" t="n">
        <v>2.9</v>
      </c>
      <c r="M283" s="8" t="n">
        <f aca="false">M282+L283</f>
        <v>476.1</v>
      </c>
      <c r="N283" s="8" t="n">
        <f aca="false">J283-L283</f>
        <v>14</v>
      </c>
      <c r="O283" s="8" t="n">
        <v>79.5</v>
      </c>
      <c r="P283" s="8" t="n">
        <v>278</v>
      </c>
      <c r="Q283" s="17" t="n">
        <f aca="false">1.15+((P283-255)/76)*(0.35-1.15)</f>
        <v>0.907894736842105</v>
      </c>
      <c r="R283" s="15" t="n">
        <f aca="false">Q283*L283</f>
        <v>2.63289473684211</v>
      </c>
      <c r="S283" s="15" t="n">
        <f aca="false">J283-R283</f>
        <v>14.2671052631579</v>
      </c>
      <c r="T283" s="15" t="n">
        <f aca="false">MIN(153.6,(T282+S283))</f>
        <v>50.8505263157895</v>
      </c>
      <c r="U283" s="73" t="s">
        <v>31</v>
      </c>
      <c r="V283" s="8" t="n">
        <v>1455.4</v>
      </c>
      <c r="W283" s="8" t="n">
        <f aca="false">V283/D283</f>
        <v>69.6363636363636</v>
      </c>
      <c r="X283" s="8" t="n">
        <f aca="false">X282+V283</f>
        <v>220562.2</v>
      </c>
      <c r="Y283" s="8" t="n">
        <f aca="false">Y282+V283</f>
        <v>5277.7</v>
      </c>
      <c r="Z283" s="73" t="s">
        <v>32</v>
      </c>
      <c r="AA283" s="8" t="n">
        <v>16.3543426671852</v>
      </c>
    </row>
    <row r="284" s="8" customFormat="true" ht="15" hidden="false" customHeight="false" outlineLevel="0" collapsed="false">
      <c r="A284" s="72"/>
      <c r="B284" s="54"/>
      <c r="C284" s="11" t="n">
        <v>41800</v>
      </c>
      <c r="D284" s="8" t="n">
        <v>18.2</v>
      </c>
      <c r="E284" s="8" t="n">
        <v>18</v>
      </c>
      <c r="F284" s="8" t="n">
        <v>20.5</v>
      </c>
      <c r="G284" s="8" t="n">
        <f aca="false">G283+D284</f>
        <v>2779.9</v>
      </c>
      <c r="H284" s="8" t="n">
        <f aca="false">H283+D284</f>
        <v>82.1</v>
      </c>
      <c r="I284" s="8" t="n">
        <f aca="false">MAX(F281:F303)</f>
        <v>26.3</v>
      </c>
      <c r="J284" s="8" t="n">
        <v>3.8</v>
      </c>
      <c r="K284" s="8" t="n">
        <f aca="false">K283+J284</f>
        <v>734.200000000001</v>
      </c>
      <c r="L284" s="8" t="n">
        <v>2.1</v>
      </c>
      <c r="M284" s="8" t="n">
        <f aca="false">M283+L284</f>
        <v>478.2</v>
      </c>
      <c r="N284" s="8" t="n">
        <f aca="false">J284-L284</f>
        <v>1.7</v>
      </c>
      <c r="O284" s="8" t="n">
        <v>81.2</v>
      </c>
      <c r="P284" s="8" t="n">
        <v>279</v>
      </c>
      <c r="Q284" s="17" t="n">
        <f aca="false">1.15+((P284-255)/76)*(0.35-1.15)</f>
        <v>0.897368421052632</v>
      </c>
      <c r="R284" s="15" t="n">
        <f aca="false">Q284*L284</f>
        <v>1.88447368421053</v>
      </c>
      <c r="S284" s="15" t="n">
        <f aca="false">J284-R284</f>
        <v>1.91552631578947</v>
      </c>
      <c r="T284" s="15" t="n">
        <f aca="false">MIN(153.6,(T283+S284))</f>
        <v>52.766052631579</v>
      </c>
      <c r="U284" s="8" t="n">
        <v>1</v>
      </c>
      <c r="V284" s="16" t="n">
        <v>808.4</v>
      </c>
      <c r="W284" s="8" t="n">
        <f aca="false">V284/D284</f>
        <v>44.4175824175824</v>
      </c>
      <c r="X284" s="8" t="n">
        <f aca="false">X283+V284</f>
        <v>221370.6</v>
      </c>
      <c r="Y284" s="8" t="n">
        <f aca="false">Y283+V284</f>
        <v>6086.1</v>
      </c>
      <c r="Z284" s="17" t="n">
        <f aca="false">(Z282/100)/I294</f>
        <v>1.03382808595702</v>
      </c>
      <c r="AA284" s="8" t="n">
        <v>16.373958301237</v>
      </c>
    </row>
    <row r="285" s="8" customFormat="true" ht="15" hidden="false" customHeight="false" outlineLevel="0" collapsed="false">
      <c r="A285" s="72"/>
      <c r="B285" s="54"/>
      <c r="C285" s="11" t="n">
        <v>41801</v>
      </c>
      <c r="D285" s="8" t="n">
        <v>18</v>
      </c>
      <c r="E285" s="8" t="n">
        <v>13.7</v>
      </c>
      <c r="F285" s="8" t="n">
        <v>21.4</v>
      </c>
      <c r="G285" s="8" t="n">
        <f aca="false">G284+D285</f>
        <v>2797.9</v>
      </c>
      <c r="H285" s="8" t="n">
        <f aca="false">H284+D285</f>
        <v>100.1</v>
      </c>
      <c r="I285" s="73" t="s">
        <v>33</v>
      </c>
      <c r="J285" s="8" t="n">
        <v>0</v>
      </c>
      <c r="K285" s="8" t="n">
        <f aca="false">K284+J285</f>
        <v>734.200000000001</v>
      </c>
      <c r="L285" s="8" t="n">
        <v>4.7</v>
      </c>
      <c r="M285" s="8" t="n">
        <f aca="false">M284+L285</f>
        <v>482.9</v>
      </c>
      <c r="N285" s="14" t="n">
        <f aca="false">J285-L285</f>
        <v>-4.7</v>
      </c>
      <c r="O285" s="8" t="n">
        <v>76.5</v>
      </c>
      <c r="P285" s="8" t="n">
        <v>280</v>
      </c>
      <c r="Q285" s="17" t="n">
        <f aca="false">1.15+((P285-255)/76)*(0.35-1.15)</f>
        <v>0.886842105263158</v>
      </c>
      <c r="R285" s="15" t="n">
        <f aca="false">Q285*L285</f>
        <v>4.16815789473684</v>
      </c>
      <c r="S285" s="15" t="n">
        <f aca="false">J285-R285</f>
        <v>-4.16815789473684</v>
      </c>
      <c r="T285" s="15" t="n">
        <f aca="false">MIN(153.6,(T284+S285))</f>
        <v>48.5978947368422</v>
      </c>
      <c r="U285" s="73" t="s">
        <v>34</v>
      </c>
      <c r="V285" s="8" t="n">
        <v>2434.8</v>
      </c>
      <c r="W285" s="8" t="n">
        <f aca="false">V285/D285</f>
        <v>135.266666666667</v>
      </c>
      <c r="X285" s="8" t="n">
        <f aca="false">X284+V285</f>
        <v>223805.4</v>
      </c>
      <c r="Y285" s="8" t="n">
        <f aca="false">Y284+V285</f>
        <v>8520.9</v>
      </c>
      <c r="Z285" s="73" t="s">
        <v>35</v>
      </c>
      <c r="AA285" s="8" t="n">
        <v>16.3920810090065</v>
      </c>
    </row>
    <row r="286" s="8" customFormat="true" ht="15" hidden="false" customHeight="false" outlineLevel="0" collapsed="false">
      <c r="A286" s="72"/>
      <c r="B286" s="54"/>
      <c r="C286" s="11" t="n">
        <v>41802</v>
      </c>
      <c r="D286" s="8" t="n">
        <v>18.6</v>
      </c>
      <c r="E286" s="8" t="n">
        <v>13.7</v>
      </c>
      <c r="F286" s="8" t="n">
        <v>22.1</v>
      </c>
      <c r="G286" s="8" t="n">
        <f aca="false">G285+D286</f>
        <v>2816.5</v>
      </c>
      <c r="H286" s="8" t="n">
        <f aca="false">H285+D286</f>
        <v>118.7</v>
      </c>
      <c r="I286" s="15" t="n">
        <f aca="false">AVERAGE(D281:D303)</f>
        <v>17.4</v>
      </c>
      <c r="J286" s="8" t="n">
        <v>0</v>
      </c>
      <c r="K286" s="8" t="n">
        <f aca="false">K285+J286</f>
        <v>734.200000000001</v>
      </c>
      <c r="L286" s="8" t="n">
        <v>5.3</v>
      </c>
      <c r="M286" s="8" t="n">
        <f aca="false">M285+L286</f>
        <v>488.2</v>
      </c>
      <c r="N286" s="14" t="n">
        <f aca="false">J286-L286</f>
        <v>-5.3</v>
      </c>
      <c r="O286" s="8" t="n">
        <v>71.2</v>
      </c>
      <c r="P286" s="8" t="n">
        <v>281</v>
      </c>
      <c r="Q286" s="17" t="n">
        <f aca="false">1.15+((P286-255)/76)*(0.35-1.15)</f>
        <v>0.876315789473684</v>
      </c>
      <c r="R286" s="15" t="n">
        <f aca="false">Q286*L286</f>
        <v>4.64447368421053</v>
      </c>
      <c r="S286" s="15" t="n">
        <f aca="false">J286-R286</f>
        <v>-4.64447368421053</v>
      </c>
      <c r="T286" s="15" t="n">
        <f aca="false">MIN(153.6,(T285+S286))</f>
        <v>43.9534210526316</v>
      </c>
      <c r="U286" s="8" t="n">
        <v>21</v>
      </c>
      <c r="V286" s="8" t="n">
        <v>2875.3</v>
      </c>
      <c r="W286" s="8" t="n">
        <f aca="false">V286/D286</f>
        <v>154.586021505376</v>
      </c>
      <c r="X286" s="8" t="n">
        <f aca="false">X285+V286</f>
        <v>226680.7</v>
      </c>
      <c r="Y286" s="8" t="n">
        <f aca="false">Y285+V286</f>
        <v>11396.2</v>
      </c>
      <c r="Z286" s="8" t="n">
        <v>4</v>
      </c>
      <c r="AA286" s="8" t="n">
        <v>16.4086920619501</v>
      </c>
    </row>
    <row r="287" s="8" customFormat="true" ht="15" hidden="false" customHeight="false" outlineLevel="0" collapsed="false">
      <c r="A287" s="72"/>
      <c r="B287" s="54"/>
      <c r="C287" s="11" t="n">
        <v>41803</v>
      </c>
      <c r="D287" s="8" t="n">
        <v>18.5</v>
      </c>
      <c r="E287" s="8" t="n">
        <v>15.1</v>
      </c>
      <c r="F287" s="8" t="n">
        <v>22.4</v>
      </c>
      <c r="G287" s="8" t="n">
        <f aca="false">G286+D287</f>
        <v>2835</v>
      </c>
      <c r="H287" s="8" t="n">
        <f aca="false">H286+D287</f>
        <v>137.2</v>
      </c>
      <c r="I287" s="73" t="s">
        <v>36</v>
      </c>
      <c r="J287" s="8" t="n">
        <v>0</v>
      </c>
      <c r="K287" s="8" t="n">
        <f aca="false">K286+J287</f>
        <v>734.200000000001</v>
      </c>
      <c r="L287" s="8" t="n">
        <v>4.7</v>
      </c>
      <c r="M287" s="8" t="n">
        <f aca="false">M286+L287</f>
        <v>492.9</v>
      </c>
      <c r="N287" s="14" t="n">
        <f aca="false">J287-L287</f>
        <v>-4.7</v>
      </c>
      <c r="O287" s="8" t="n">
        <v>66.5</v>
      </c>
      <c r="P287" s="8" t="n">
        <v>282</v>
      </c>
      <c r="Q287" s="17" t="n">
        <f aca="false">1.15+((P287-255)/76)*(0.35-1.15)</f>
        <v>0.86578947368421</v>
      </c>
      <c r="R287" s="15" t="n">
        <f aca="false">Q287*L287</f>
        <v>4.06921052631579</v>
      </c>
      <c r="S287" s="15" t="n">
        <f aca="false">J287-R287</f>
        <v>-4.06921052631579</v>
      </c>
      <c r="T287" s="15" t="n">
        <f aca="false">MIN(153.6,(T286+S287))</f>
        <v>39.8842105263159</v>
      </c>
      <c r="U287" s="73" t="s">
        <v>37</v>
      </c>
      <c r="V287" s="8" t="n">
        <v>2320.9</v>
      </c>
      <c r="W287" s="8" t="n">
        <f aca="false">V287/D287</f>
        <v>125.454054054054</v>
      </c>
      <c r="X287" s="8" t="n">
        <f aca="false">X286+V287</f>
        <v>229001.6</v>
      </c>
      <c r="Y287" s="8" t="n">
        <f aca="false">Y286+V287</f>
        <v>13717.1</v>
      </c>
      <c r="AA287" s="8" t="n">
        <v>16.4237741490577</v>
      </c>
    </row>
    <row r="288" s="8" customFormat="true" ht="15" hidden="false" customHeight="false" outlineLevel="0" collapsed="false">
      <c r="A288" s="72"/>
      <c r="B288" s="54"/>
      <c r="C288" s="11" t="n">
        <v>41804</v>
      </c>
      <c r="D288" s="8" t="n">
        <v>16.3</v>
      </c>
      <c r="E288" s="8" t="n">
        <v>14.6</v>
      </c>
      <c r="F288" s="8" t="n">
        <v>19.6</v>
      </c>
      <c r="G288" s="8" t="n">
        <f aca="false">G287+D288</f>
        <v>2851.3</v>
      </c>
      <c r="H288" s="8" t="n">
        <f aca="false">H287+D288</f>
        <v>153.5</v>
      </c>
      <c r="I288" s="8" t="n">
        <v>0</v>
      </c>
      <c r="J288" s="8" t="n">
        <v>0</v>
      </c>
      <c r="K288" s="8" t="n">
        <f aca="false">K287+J288</f>
        <v>734.200000000001</v>
      </c>
      <c r="L288" s="8" t="n">
        <v>4.3</v>
      </c>
      <c r="M288" s="8" t="n">
        <f aca="false">M287+L288</f>
        <v>497.2</v>
      </c>
      <c r="N288" s="14" t="n">
        <f aca="false">J288-L288</f>
        <v>-4.3</v>
      </c>
      <c r="O288" s="8" t="n">
        <v>62.2</v>
      </c>
      <c r="P288" s="8" t="n">
        <v>283</v>
      </c>
      <c r="Q288" s="17" t="n">
        <f aca="false">1.15+((P288-255)/76)*(0.35-1.15)</f>
        <v>0.855263157894737</v>
      </c>
      <c r="R288" s="15" t="n">
        <f aca="false">Q288*L288</f>
        <v>3.67763157894737</v>
      </c>
      <c r="S288" s="15" t="n">
        <f aca="false">J288-R288</f>
        <v>-3.67763157894737</v>
      </c>
      <c r="T288" s="15" t="n">
        <f aca="false">MIN(153.6,(T287+S288))</f>
        <v>36.2065789473685</v>
      </c>
      <c r="U288" s="15" t="n">
        <v>0</v>
      </c>
      <c r="V288" s="8" t="n">
        <v>2027.6</v>
      </c>
      <c r="W288" s="8" t="n">
        <f aca="false">V288/D288</f>
        <v>124.39263803681</v>
      </c>
      <c r="X288" s="8" t="n">
        <f aca="false">X287+V288</f>
        <v>231029.2</v>
      </c>
      <c r="Y288" s="8" t="n">
        <f aca="false">Y287+V288</f>
        <v>15744.7</v>
      </c>
      <c r="AA288" s="8" t="n">
        <v>16.4373114455725</v>
      </c>
    </row>
    <row r="289" s="8" customFormat="true" ht="15" hidden="false" customHeight="false" outlineLevel="0" collapsed="false">
      <c r="A289" s="72"/>
      <c r="B289" s="54"/>
      <c r="C289" s="11" t="n">
        <v>41805</v>
      </c>
      <c r="D289" s="8" t="n">
        <v>15.3</v>
      </c>
      <c r="E289" s="8" t="n">
        <v>12.3</v>
      </c>
      <c r="F289" s="8" t="n">
        <v>17.4</v>
      </c>
      <c r="G289" s="8" t="n">
        <f aca="false">G288+D289</f>
        <v>2866.6</v>
      </c>
      <c r="H289" s="8" t="n">
        <f aca="false">H288+D289</f>
        <v>168.8</v>
      </c>
      <c r="I289" s="73" t="s">
        <v>38</v>
      </c>
      <c r="J289" s="8" t="n">
        <v>0</v>
      </c>
      <c r="K289" s="8" t="n">
        <f aca="false">K288+J289</f>
        <v>734.200000000001</v>
      </c>
      <c r="L289" s="8" t="n">
        <v>2.9</v>
      </c>
      <c r="M289" s="8" t="n">
        <f aca="false">M288+L289</f>
        <v>500.1</v>
      </c>
      <c r="N289" s="14" t="n">
        <f aca="false">J289-L289</f>
        <v>-2.9</v>
      </c>
      <c r="O289" s="8" t="n">
        <v>59.3</v>
      </c>
      <c r="P289" s="8" t="n">
        <v>284</v>
      </c>
      <c r="Q289" s="17" t="n">
        <f aca="false">1.15+((P289-255)/76)*(0.35-1.15)</f>
        <v>0.844736842105263</v>
      </c>
      <c r="R289" s="15" t="n">
        <f aca="false">Q289*L289</f>
        <v>2.44973684210526</v>
      </c>
      <c r="S289" s="15" t="n">
        <f aca="false">J289-R289</f>
        <v>-2.44973684210526</v>
      </c>
      <c r="T289" s="15" t="n">
        <f aca="false">MIN(153.6,(T288+S289))</f>
        <v>33.7568421052632</v>
      </c>
      <c r="U289" s="73" t="s">
        <v>39</v>
      </c>
      <c r="V289" s="8" t="n">
        <v>1361</v>
      </c>
      <c r="W289" s="8" t="n">
        <f aca="false">V289/D289</f>
        <v>88.9542483660131</v>
      </c>
      <c r="X289" s="8" t="n">
        <f aca="false">X288+V289</f>
        <v>232390.2</v>
      </c>
      <c r="Y289" s="8" t="n">
        <f aca="false">Y288+V289</f>
        <v>17105.7</v>
      </c>
      <c r="AA289" s="8" t="n">
        <v>16.4492896768186</v>
      </c>
    </row>
    <row r="290" s="8" customFormat="true" ht="15" hidden="false" customHeight="false" outlineLevel="0" collapsed="false">
      <c r="A290" s="72"/>
      <c r="B290" s="54"/>
      <c r="C290" s="11" t="n">
        <v>41806</v>
      </c>
      <c r="D290" s="8" t="n">
        <v>14.5</v>
      </c>
      <c r="E290" s="8" t="n">
        <v>12.1</v>
      </c>
      <c r="F290" s="8" t="n">
        <v>15.9</v>
      </c>
      <c r="G290" s="8" t="n">
        <f aca="false">G289+D290</f>
        <v>2881.1</v>
      </c>
      <c r="H290" s="8" t="n">
        <f aca="false">H289+D290</f>
        <v>183.3</v>
      </c>
      <c r="I290" s="8" t="n">
        <v>1</v>
      </c>
      <c r="J290" s="8" t="n">
        <v>0.1</v>
      </c>
      <c r="K290" s="8" t="n">
        <f aca="false">K289+J290</f>
        <v>734.300000000001</v>
      </c>
      <c r="L290" s="8" t="n">
        <v>2.3</v>
      </c>
      <c r="M290" s="8" t="n">
        <f aca="false">M289+L290</f>
        <v>502.4</v>
      </c>
      <c r="N290" s="14" t="n">
        <f aca="false">J290-L290</f>
        <v>-2.2</v>
      </c>
      <c r="O290" s="8" t="n">
        <v>57.1</v>
      </c>
      <c r="P290" s="8" t="n">
        <v>285</v>
      </c>
      <c r="Q290" s="17" t="n">
        <f aca="false">1.15+((P290-255)/76)*(0.35-1.15)</f>
        <v>0.834210526315789</v>
      </c>
      <c r="R290" s="15" t="n">
        <f aca="false">Q290*L290</f>
        <v>1.91868421052632</v>
      </c>
      <c r="S290" s="15" t="n">
        <f aca="false">J290-R290</f>
        <v>-1.81868421052632</v>
      </c>
      <c r="T290" s="15" t="n">
        <f aca="false">MIN(153.6,(T289+S290))</f>
        <v>31.9381578947369</v>
      </c>
      <c r="U290" s="15" t="n">
        <f aca="false">MAX(T281:T303)</f>
        <v>52.766052631579</v>
      </c>
      <c r="V290" s="16" t="n">
        <v>876.7</v>
      </c>
      <c r="W290" s="8" t="n">
        <f aca="false">V290/D290</f>
        <v>60.4620689655173</v>
      </c>
      <c r="X290" s="8" t="n">
        <f aca="false">X289+V290</f>
        <v>233266.9</v>
      </c>
      <c r="Y290" s="8" t="n">
        <f aca="false">Y289+V290</f>
        <v>17982.4</v>
      </c>
      <c r="AA290" s="8" t="n">
        <v>16.4596961766044</v>
      </c>
    </row>
    <row r="291" s="8" customFormat="true" ht="15" hidden="false" customHeight="false" outlineLevel="0" collapsed="false">
      <c r="A291" s="72"/>
      <c r="B291" s="54"/>
      <c r="C291" s="11" t="n">
        <v>41807</v>
      </c>
      <c r="D291" s="8" t="n">
        <v>15.2</v>
      </c>
      <c r="E291" s="8" t="n">
        <v>13.7</v>
      </c>
      <c r="F291" s="8" t="n">
        <v>17.2</v>
      </c>
      <c r="G291" s="8" t="n">
        <f aca="false">G290+D291</f>
        <v>2896.3</v>
      </c>
      <c r="H291" s="8" t="n">
        <f aca="false">H290+D291</f>
        <v>198.5</v>
      </c>
      <c r="I291" s="73" t="s">
        <v>40</v>
      </c>
      <c r="J291" s="8" t="n">
        <v>0</v>
      </c>
      <c r="K291" s="8" t="n">
        <f aca="false">K290+J291</f>
        <v>734.300000000001</v>
      </c>
      <c r="L291" s="8" t="n">
        <v>2.9</v>
      </c>
      <c r="M291" s="8" t="n">
        <f aca="false">M290+L291</f>
        <v>505.3</v>
      </c>
      <c r="N291" s="14" t="n">
        <f aca="false">J291-L291</f>
        <v>-2.9</v>
      </c>
      <c r="O291" s="8" t="n">
        <v>54.2</v>
      </c>
      <c r="P291" s="8" t="n">
        <v>286</v>
      </c>
      <c r="Q291" s="17" t="n">
        <f aca="false">1.15+((P291-255)/76)*(0.35-1.15)</f>
        <v>0.823684210526316</v>
      </c>
      <c r="R291" s="15" t="n">
        <f aca="false">Q291*L291</f>
        <v>2.38868421052632</v>
      </c>
      <c r="S291" s="15" t="n">
        <f aca="false">J291-R291</f>
        <v>-2.38868421052632</v>
      </c>
      <c r="T291" s="15" t="n">
        <f aca="false">MIN(153.6,(T290+S291))</f>
        <v>29.5494736842106</v>
      </c>
      <c r="U291" s="73" t="s">
        <v>41</v>
      </c>
      <c r="V291" s="16" t="n">
        <v>805</v>
      </c>
      <c r="W291" s="8" t="n">
        <f aca="false">V291/D291</f>
        <v>52.9605263157895</v>
      </c>
      <c r="X291" s="8" t="n">
        <f aca="false">X290+V291</f>
        <v>234071.9</v>
      </c>
      <c r="Y291" s="8" t="n">
        <f aca="false">Y290+V291</f>
        <v>18787.4</v>
      </c>
      <c r="AA291" s="8" t="n">
        <v>16.4685199397054</v>
      </c>
    </row>
    <row r="292" s="8" customFormat="true" ht="15" hidden="false" customHeight="false" outlineLevel="0" collapsed="false">
      <c r="A292" s="72"/>
      <c r="B292" s="54"/>
      <c r="C292" s="11" t="n">
        <v>41808</v>
      </c>
      <c r="D292" s="8" t="n">
        <v>15.7</v>
      </c>
      <c r="E292" s="8" t="n">
        <v>13.5</v>
      </c>
      <c r="F292" s="8" t="n">
        <v>18.5</v>
      </c>
      <c r="G292" s="8" t="n">
        <f aca="false">G291+D292</f>
        <v>2912</v>
      </c>
      <c r="H292" s="8" t="n">
        <f aca="false">H291+D292</f>
        <v>214.2</v>
      </c>
      <c r="I292" s="8" t="n">
        <v>0</v>
      </c>
      <c r="J292" s="8" t="n">
        <v>0</v>
      </c>
      <c r="K292" s="8" t="n">
        <f aca="false">K291+J292</f>
        <v>734.300000000001</v>
      </c>
      <c r="L292" s="8" t="n">
        <v>3.2</v>
      </c>
      <c r="M292" s="8" t="n">
        <f aca="false">M291+L292</f>
        <v>508.5</v>
      </c>
      <c r="N292" s="14" t="n">
        <f aca="false">J292-L292</f>
        <v>-3.2</v>
      </c>
      <c r="O292" s="74" t="n">
        <v>51</v>
      </c>
      <c r="P292" s="8" t="n">
        <v>287</v>
      </c>
      <c r="Q292" s="17" t="n">
        <f aca="false">1.15+((P292-255)/76)*(0.35-1.15)</f>
        <v>0.813157894736842</v>
      </c>
      <c r="R292" s="15" t="n">
        <f aca="false">Q292*L292</f>
        <v>2.6021052631579</v>
      </c>
      <c r="S292" s="15" t="n">
        <f aca="false">J292-R292</f>
        <v>-2.6021052631579</v>
      </c>
      <c r="T292" s="15" t="n">
        <f aca="false">MIN(153.6,(T291+S292))</f>
        <v>26.9473684210527</v>
      </c>
      <c r="U292" s="17" t="n">
        <f aca="false">AVERAGE(T281:T303)</f>
        <v>25.7056064073227</v>
      </c>
      <c r="V292" s="8" t="n">
        <v>1168</v>
      </c>
      <c r="W292" s="8" t="n">
        <f aca="false">V292/D292</f>
        <v>74.3949044585987</v>
      </c>
      <c r="X292" s="8" t="n">
        <f aca="false">X291+V292</f>
        <v>235239.9</v>
      </c>
      <c r="Y292" s="8" t="n">
        <f aca="false">Y291+V292</f>
        <v>19955.4</v>
      </c>
      <c r="AA292" s="8" t="n">
        <v>16.4757516679702</v>
      </c>
    </row>
    <row r="293" s="8" customFormat="true" ht="15" hidden="false" customHeight="false" outlineLevel="0" collapsed="false">
      <c r="A293" s="72"/>
      <c r="B293" s="54"/>
      <c r="C293" s="11" t="n">
        <v>41809</v>
      </c>
      <c r="D293" s="8" t="n">
        <v>15.8</v>
      </c>
      <c r="E293" s="8" t="n">
        <v>13.2</v>
      </c>
      <c r="F293" s="8" t="n">
        <v>19.1</v>
      </c>
      <c r="G293" s="8" t="n">
        <f aca="false">G292+D293</f>
        <v>2927.8</v>
      </c>
      <c r="H293" s="8" t="n">
        <f aca="false">H292+D293</f>
        <v>230</v>
      </c>
      <c r="I293" s="73" t="s">
        <v>42</v>
      </c>
      <c r="J293" s="8" t="n">
        <v>0</v>
      </c>
      <c r="K293" s="8" t="n">
        <f aca="false">K292+J293</f>
        <v>734.300000000001</v>
      </c>
      <c r="L293" s="8" t="n">
        <v>4.1</v>
      </c>
      <c r="M293" s="8" t="n">
        <f aca="false">M292+L293</f>
        <v>512.6</v>
      </c>
      <c r="N293" s="14" t="n">
        <f aca="false">J293-L293</f>
        <v>-4.1</v>
      </c>
      <c r="O293" s="74" t="n">
        <v>46.9</v>
      </c>
      <c r="P293" s="8" t="n">
        <v>288</v>
      </c>
      <c r="Q293" s="17" t="n">
        <f aca="false">1.15+((P293-255)/76)*(0.35-1.15)</f>
        <v>0.802631578947368</v>
      </c>
      <c r="R293" s="15" t="n">
        <f aca="false">Q293*L293</f>
        <v>3.29078947368421</v>
      </c>
      <c r="S293" s="15" t="n">
        <f aca="false">J293-R293</f>
        <v>-3.29078947368421</v>
      </c>
      <c r="T293" s="15" t="n">
        <f aca="false">MIN(153.6,(T292+S293))</f>
        <v>23.6565789473685</v>
      </c>
      <c r="U293" s="8" t="n">
        <f aca="false">(U292*100)/153.6</f>
        <v>16.7354208381007</v>
      </c>
      <c r="V293" s="8" t="n">
        <v>1943.7</v>
      </c>
      <c r="W293" s="8" t="n">
        <f aca="false">V293/D293</f>
        <v>123.018987341772</v>
      </c>
      <c r="X293" s="8" t="n">
        <f aca="false">X292+V293</f>
        <v>237183.6</v>
      </c>
      <c r="Y293" s="8" t="n">
        <f aca="false">Y292+V293</f>
        <v>21899.1</v>
      </c>
      <c r="AA293" s="8" t="n">
        <v>16.4813838096435</v>
      </c>
    </row>
    <row r="294" s="8" customFormat="true" ht="15" hidden="false" customHeight="false" outlineLevel="0" collapsed="false">
      <c r="A294" s="72"/>
      <c r="B294" s="54"/>
      <c r="C294" s="11" t="n">
        <v>41810</v>
      </c>
      <c r="D294" s="8" t="n">
        <v>15</v>
      </c>
      <c r="E294" s="8" t="n">
        <v>12.8</v>
      </c>
      <c r="F294" s="8" t="n">
        <v>17.4</v>
      </c>
      <c r="G294" s="8" t="n">
        <f aca="false">G293+D294</f>
        <v>2942.8</v>
      </c>
      <c r="H294" s="8" t="n">
        <f aca="false">H293+D294</f>
        <v>245</v>
      </c>
      <c r="I294" s="8" t="n">
        <v>400.2</v>
      </c>
      <c r="J294" s="8" t="n">
        <v>0</v>
      </c>
      <c r="K294" s="8" t="n">
        <f aca="false">K293+J294</f>
        <v>734.300000000001</v>
      </c>
      <c r="L294" s="8" t="n">
        <v>3.8</v>
      </c>
      <c r="M294" s="8" t="n">
        <f aca="false">M293+L294</f>
        <v>516.4</v>
      </c>
      <c r="N294" s="14" t="n">
        <f aca="false">J294-L294</f>
        <v>-3.8</v>
      </c>
      <c r="O294" s="74" t="n">
        <v>43.1</v>
      </c>
      <c r="P294" s="8" t="n">
        <v>289</v>
      </c>
      <c r="Q294" s="17" t="n">
        <f aca="false">1.15+((P294-255)/76)*(0.35-1.15)</f>
        <v>0.792105263157895</v>
      </c>
      <c r="R294" s="15" t="n">
        <f aca="false">Q294*L294</f>
        <v>3.01</v>
      </c>
      <c r="S294" s="15" t="n">
        <f aca="false">J294-R294</f>
        <v>-3.01</v>
      </c>
      <c r="T294" s="15" t="n">
        <f aca="false">MIN(153.6,(T293+S294))</f>
        <v>20.6465789473685</v>
      </c>
      <c r="V294" s="8" t="n">
        <v>1841.9</v>
      </c>
      <c r="W294" s="8" t="n">
        <f aca="false">V294/D294</f>
        <v>122.793333333333</v>
      </c>
      <c r="X294" s="8" t="n">
        <f aca="false">X293+V294</f>
        <v>239025.5</v>
      </c>
      <c r="Y294" s="8" t="n">
        <f aca="false">Y293+V294</f>
        <v>23741</v>
      </c>
      <c r="AA294" s="8" t="n">
        <v>16.4854105915546</v>
      </c>
    </row>
    <row r="295" s="8" customFormat="true" ht="15" hidden="false" customHeight="false" outlineLevel="0" collapsed="false">
      <c r="A295" s="72"/>
      <c r="B295" s="54"/>
      <c r="C295" s="11" t="n">
        <v>41811</v>
      </c>
      <c r="D295" s="8" t="n">
        <v>17</v>
      </c>
      <c r="E295" s="8" t="n">
        <v>10.6</v>
      </c>
      <c r="F295" s="8" t="n">
        <v>21.6</v>
      </c>
      <c r="G295" s="8" t="n">
        <f aca="false">G294+D295</f>
        <v>2959.8</v>
      </c>
      <c r="H295" s="8" t="n">
        <f aca="false">H294+D295</f>
        <v>262</v>
      </c>
      <c r="J295" s="8" t="n">
        <v>0</v>
      </c>
      <c r="K295" s="8" t="n">
        <f aca="false">K294+J295</f>
        <v>734.300000000001</v>
      </c>
      <c r="L295" s="8" t="n">
        <v>4.5</v>
      </c>
      <c r="M295" s="8" t="n">
        <f aca="false">M294+L295</f>
        <v>520.9</v>
      </c>
      <c r="N295" s="14" t="n">
        <f aca="false">J295-L295</f>
        <v>-4.5</v>
      </c>
      <c r="O295" s="74" t="n">
        <v>38.6</v>
      </c>
      <c r="P295" s="8" t="n">
        <v>290</v>
      </c>
      <c r="Q295" s="17" t="n">
        <f aca="false">1.15+((P295-255)/76)*(0.35-1.15)</f>
        <v>0.781578947368421</v>
      </c>
      <c r="R295" s="15" t="n">
        <f aca="false">Q295*L295</f>
        <v>3.51710526315789</v>
      </c>
      <c r="S295" s="15" t="n">
        <f aca="false">J295-R295</f>
        <v>-3.51710526315789</v>
      </c>
      <c r="T295" s="15" t="n">
        <f aca="false">MIN(153.6,(T294+S295))</f>
        <v>17.1294736842106</v>
      </c>
      <c r="V295" s="8" t="n">
        <v>2749.1</v>
      </c>
      <c r="W295" s="8" t="n">
        <f aca="false">V295/D295</f>
        <v>161.711764705882</v>
      </c>
      <c r="X295" s="8" t="n">
        <f aca="false">X294+V295</f>
        <v>241774.6</v>
      </c>
      <c r="Y295" s="8" t="n">
        <f aca="false">Y294+V295</f>
        <v>26490.1</v>
      </c>
      <c r="AA295" s="8" t="n">
        <v>16.4878280438807</v>
      </c>
    </row>
    <row r="296" s="8" customFormat="true" ht="15" hidden="false" customHeight="false" outlineLevel="0" collapsed="false">
      <c r="A296" s="72"/>
      <c r="B296" s="54"/>
      <c r="C296" s="11" t="n">
        <v>41812</v>
      </c>
      <c r="D296" s="8" t="n">
        <v>18.2</v>
      </c>
      <c r="E296" s="8" t="n">
        <v>14</v>
      </c>
      <c r="F296" s="8" t="n">
        <v>22.3</v>
      </c>
      <c r="G296" s="8" t="n">
        <f aca="false">G295+D296</f>
        <v>2978</v>
      </c>
      <c r="H296" s="8" t="n">
        <f aca="false">H295+D296</f>
        <v>280.2</v>
      </c>
      <c r="J296" s="8" t="n">
        <v>0</v>
      </c>
      <c r="K296" s="8" t="n">
        <f aca="false">K295+J296</f>
        <v>734.300000000001</v>
      </c>
      <c r="L296" s="8" t="n">
        <v>4.9</v>
      </c>
      <c r="M296" s="8" t="n">
        <f aca="false">M295+L296</f>
        <v>525.8</v>
      </c>
      <c r="N296" s="14" t="n">
        <f aca="false">J296-L296</f>
        <v>-4.9</v>
      </c>
      <c r="O296" s="74" t="n">
        <v>33.7</v>
      </c>
      <c r="P296" s="8" t="n">
        <v>291</v>
      </c>
      <c r="Q296" s="17" t="n">
        <f aca="false">1.15+((P296-255)/76)*(0.35-1.15)</f>
        <v>0.771052631578947</v>
      </c>
      <c r="R296" s="15" t="n">
        <f aca="false">Q296*L296</f>
        <v>3.77815789473684</v>
      </c>
      <c r="S296" s="15" t="n">
        <f aca="false">J296-R296</f>
        <v>-3.77815789473684</v>
      </c>
      <c r="T296" s="15" t="n">
        <f aca="false">MIN(153.6,(T295+S296))</f>
        <v>13.3513157894738</v>
      </c>
      <c r="V296" s="8" t="n">
        <v>2420.6</v>
      </c>
      <c r="W296" s="8" t="n">
        <f aca="false">V296/D296</f>
        <v>133</v>
      </c>
      <c r="X296" s="8" t="n">
        <f aca="false">X295+V296</f>
        <v>244195.2</v>
      </c>
      <c r="Y296" s="8" t="n">
        <f aca="false">Y295+V296</f>
        <v>28910.7</v>
      </c>
      <c r="AA296" s="8" t="n">
        <v>16.488634017258</v>
      </c>
    </row>
    <row r="297" s="49" customFormat="true" ht="15" hidden="false" customHeight="false" outlineLevel="0" collapsed="false">
      <c r="A297" s="72"/>
      <c r="B297" s="69"/>
      <c r="C297" s="11" t="n">
        <v>41813</v>
      </c>
      <c r="D297" s="49" t="n">
        <v>18.1</v>
      </c>
      <c r="E297" s="49" t="n">
        <v>14.7</v>
      </c>
      <c r="F297" s="49" t="n">
        <v>21.6</v>
      </c>
      <c r="G297" s="49" t="n">
        <f aca="false">G296+D297</f>
        <v>2996.1</v>
      </c>
      <c r="H297" s="49" t="n">
        <f aca="false">H296+D297</f>
        <v>298.3</v>
      </c>
      <c r="J297" s="49" t="n">
        <v>0</v>
      </c>
      <c r="K297" s="49" t="n">
        <f aca="false">K296+J297</f>
        <v>734.300000000001</v>
      </c>
      <c r="L297" s="49" t="n">
        <v>5.3</v>
      </c>
      <c r="M297" s="49" t="n">
        <f aca="false">M296+L297</f>
        <v>531.1</v>
      </c>
      <c r="N297" s="49" t="n">
        <f aca="false">J297-L297</f>
        <v>-5.3</v>
      </c>
      <c r="O297" s="49" t="n">
        <v>28.4</v>
      </c>
      <c r="P297" s="49" t="n">
        <v>292</v>
      </c>
      <c r="Q297" s="17" t="n">
        <f aca="false">1.15+((P297-255)/76)*(0.35-1.15)</f>
        <v>0.760526315789474</v>
      </c>
      <c r="R297" s="52" t="n">
        <f aca="false">Q297*L297</f>
        <v>4.03078947368421</v>
      </c>
      <c r="S297" s="52" t="n">
        <f aca="false">J297-R297</f>
        <v>-4.03078947368421</v>
      </c>
      <c r="T297" s="15" t="n">
        <f aca="false">MIN(153.6,(T296+S297))</f>
        <v>9.32052631578955</v>
      </c>
      <c r="V297" s="49" t="n">
        <v>2756.5</v>
      </c>
      <c r="W297" s="49" t="n">
        <f aca="false">V297/D297</f>
        <v>152.292817679558</v>
      </c>
      <c r="X297" s="49" t="n">
        <f aca="false">X296+V297</f>
        <v>246951.7</v>
      </c>
      <c r="Y297" s="8" t="n">
        <f aca="false">Y296+V297</f>
        <v>31667.2</v>
      </c>
      <c r="AA297" s="8" t="n">
        <v>16.4878281920837</v>
      </c>
    </row>
    <row r="298" s="8" customFormat="true" ht="15" hidden="false" customHeight="true" outlineLevel="0" collapsed="false">
      <c r="A298" s="72"/>
      <c r="B298" s="75"/>
      <c r="C298" s="11" t="n">
        <v>41814</v>
      </c>
      <c r="D298" s="8" t="n">
        <v>19.2</v>
      </c>
      <c r="E298" s="8" t="n">
        <v>14.7</v>
      </c>
      <c r="F298" s="8" t="n">
        <v>23.6</v>
      </c>
      <c r="G298" s="8" t="n">
        <f aca="false">G297+D298</f>
        <v>3015.3</v>
      </c>
      <c r="H298" s="8" t="n">
        <f aca="false">H297+D298</f>
        <v>317.5</v>
      </c>
      <c r="J298" s="8" t="n">
        <v>0</v>
      </c>
      <c r="K298" s="8" t="n">
        <f aca="false">K297+J298</f>
        <v>734.300000000001</v>
      </c>
      <c r="L298" s="8" t="n">
        <v>4.8</v>
      </c>
      <c r="M298" s="8" t="n">
        <f aca="false">M297+L298</f>
        <v>535.9</v>
      </c>
      <c r="N298" s="14" t="n">
        <f aca="false">J298-L298</f>
        <v>-4.8</v>
      </c>
      <c r="O298" s="74" t="n">
        <v>23.6</v>
      </c>
      <c r="P298" s="8" t="n">
        <v>293</v>
      </c>
      <c r="Q298" s="17" t="n">
        <f aca="false">1.15+((P298-255)/76)*(0.35-1.15)</f>
        <v>0.75</v>
      </c>
      <c r="R298" s="15" t="n">
        <f aca="false">Q298*L298</f>
        <v>3.6</v>
      </c>
      <c r="S298" s="15" t="n">
        <f aca="false">J298-R298</f>
        <v>-3.6</v>
      </c>
      <c r="T298" s="15" t="n">
        <f aca="false">MIN(153.6,(T297+S298))</f>
        <v>5.72052631578955</v>
      </c>
      <c r="V298" s="8" t="n">
        <v>2248.7</v>
      </c>
      <c r="W298" s="8" t="n">
        <f aca="false">V298/D298</f>
        <v>117.119791666667</v>
      </c>
      <c r="X298" s="8" t="n">
        <f aca="false">X297+V298</f>
        <v>249200.4</v>
      </c>
      <c r="Y298" s="8" t="n">
        <f aca="false">Y297+V298</f>
        <v>33915.9</v>
      </c>
      <c r="AA298" s="8" t="n">
        <v>16.4854120799234</v>
      </c>
    </row>
    <row r="299" s="8" customFormat="true" ht="15" hidden="false" customHeight="false" outlineLevel="0" collapsed="false">
      <c r="A299" s="72"/>
      <c r="B299" s="75"/>
      <c r="C299" s="11" t="n">
        <v>41815</v>
      </c>
      <c r="D299" s="8" t="n">
        <v>16.3</v>
      </c>
      <c r="E299" s="8" t="n">
        <v>14.5</v>
      </c>
      <c r="F299" s="8" t="n">
        <v>18.3</v>
      </c>
      <c r="G299" s="8" t="n">
        <f aca="false">G298+D299</f>
        <v>3031.6</v>
      </c>
      <c r="H299" s="8" t="n">
        <f aca="false">H298+D299</f>
        <v>333.8</v>
      </c>
      <c r="J299" s="8" t="n">
        <v>0</v>
      </c>
      <c r="K299" s="8" t="n">
        <f aca="false">K298+J299</f>
        <v>734.300000000001</v>
      </c>
      <c r="L299" s="8" t="n">
        <v>5</v>
      </c>
      <c r="M299" s="8" t="n">
        <f aca="false">M298+L299</f>
        <v>540.9</v>
      </c>
      <c r="N299" s="14" t="n">
        <f aca="false">J299-L299</f>
        <v>-5</v>
      </c>
      <c r="O299" s="74" t="n">
        <v>18.6</v>
      </c>
      <c r="P299" s="8" t="n">
        <v>294</v>
      </c>
      <c r="Q299" s="17" t="n">
        <f aca="false">1.15+((P299-255)/76)*(0.35-1.15)</f>
        <v>0.739473684210526</v>
      </c>
      <c r="R299" s="15" t="n">
        <f aca="false">Q299*L299</f>
        <v>3.69736842105263</v>
      </c>
      <c r="S299" s="15" t="n">
        <f aca="false">J299-R299</f>
        <v>-3.69736842105263</v>
      </c>
      <c r="T299" s="15" t="n">
        <f aca="false">MIN(153.6,(T298+S299))</f>
        <v>2.02315789473692</v>
      </c>
      <c r="V299" s="8" t="n">
        <v>2312.1</v>
      </c>
      <c r="W299" s="8" t="n">
        <f aca="false">V299/D299</f>
        <v>141.846625766871</v>
      </c>
      <c r="X299" s="8" t="n">
        <f aca="false">X298+V299</f>
        <v>251512.5</v>
      </c>
      <c r="Y299" s="8" t="n">
        <f aca="false">Y298+V299</f>
        <v>36228</v>
      </c>
      <c r="AA299" s="8" t="n">
        <v>16.4813890170086</v>
      </c>
    </row>
    <row r="300" s="8" customFormat="true" ht="15" hidden="false" customHeight="false" outlineLevel="0" collapsed="false">
      <c r="A300" s="72"/>
      <c r="B300" s="75"/>
      <c r="C300" s="11" t="n">
        <v>41816</v>
      </c>
      <c r="D300" s="8" t="n">
        <v>18</v>
      </c>
      <c r="E300" s="8" t="n">
        <v>13.1</v>
      </c>
      <c r="F300" s="8" t="n">
        <v>21.5</v>
      </c>
      <c r="G300" s="8" t="n">
        <f aca="false">G299+D300</f>
        <v>3049.6</v>
      </c>
      <c r="H300" s="8" t="n">
        <f aca="false">H299+D300</f>
        <v>351.8</v>
      </c>
      <c r="J300" s="8" t="n">
        <v>0</v>
      </c>
      <c r="K300" s="8" t="n">
        <f aca="false">K299+J300</f>
        <v>734.300000000001</v>
      </c>
      <c r="L300" s="8" t="n">
        <v>3.7</v>
      </c>
      <c r="M300" s="8" t="n">
        <f aca="false">M299+L300</f>
        <v>544.6</v>
      </c>
      <c r="N300" s="14" t="n">
        <f aca="false">J300-L300</f>
        <v>-3.7</v>
      </c>
      <c r="O300" s="74" t="n">
        <v>14.9</v>
      </c>
      <c r="P300" s="8" t="n">
        <v>295</v>
      </c>
      <c r="Q300" s="17" t="n">
        <f aca="false">1.15+((P300-255)/76)*(0.35-1.15)</f>
        <v>0.728947368421053</v>
      </c>
      <c r="R300" s="15" t="n">
        <f aca="false">Q300*L300</f>
        <v>2.69710526315789</v>
      </c>
      <c r="S300" s="15" t="n">
        <f aca="false">J300-R300</f>
        <v>-2.69710526315789</v>
      </c>
      <c r="T300" s="15" t="n">
        <v>0</v>
      </c>
      <c r="V300" s="8" t="n">
        <v>2018.3</v>
      </c>
      <c r="W300" s="8" t="n">
        <f aca="false">V300/D300</f>
        <v>112.127777777778</v>
      </c>
      <c r="X300" s="8" t="n">
        <f aca="false">X299+V300</f>
        <v>253530.8</v>
      </c>
      <c r="Y300" s="8" t="n">
        <f aca="false">Y299+V300</f>
        <v>38246.3</v>
      </c>
      <c r="AA300" s="8" t="n">
        <v>16.4757641498855</v>
      </c>
    </row>
    <row r="301" s="8" customFormat="true" ht="15" hidden="false" customHeight="false" outlineLevel="0" collapsed="false">
      <c r="A301" s="72"/>
      <c r="B301" s="75"/>
      <c r="C301" s="11" t="n">
        <v>41817</v>
      </c>
      <c r="D301" s="8" t="n">
        <v>17.6</v>
      </c>
      <c r="E301" s="8" t="n">
        <v>16.7</v>
      </c>
      <c r="F301" s="8" t="n">
        <v>20.7</v>
      </c>
      <c r="G301" s="8" t="n">
        <f aca="false">G300+D301</f>
        <v>3067.2</v>
      </c>
      <c r="H301" s="8" t="n">
        <f aca="false">H300+D301</f>
        <v>369.4</v>
      </c>
      <c r="J301" s="8" t="n">
        <v>8.3</v>
      </c>
      <c r="K301" s="8" t="n">
        <f aca="false">K300+J301</f>
        <v>742.600000000001</v>
      </c>
      <c r="L301" s="8" t="n">
        <v>2.9</v>
      </c>
      <c r="M301" s="8" t="n">
        <f aca="false">M300+L301</f>
        <v>547.5</v>
      </c>
      <c r="N301" s="8" t="n">
        <f aca="false">J301-L301</f>
        <v>5.4</v>
      </c>
      <c r="O301" s="74" t="n">
        <v>20.3</v>
      </c>
      <c r="P301" s="8" t="n">
        <v>296</v>
      </c>
      <c r="Q301" s="17" t="n">
        <f aca="false">1.15+((P301-255)/76)*(0.35-1.15)</f>
        <v>0.718421052631579</v>
      </c>
      <c r="R301" s="15" t="n">
        <f aca="false">Q301*L301</f>
        <v>2.08342105263158</v>
      </c>
      <c r="S301" s="15" t="n">
        <f aca="false">J301-R301</f>
        <v>6.21657894736842</v>
      </c>
      <c r="T301" s="15" t="n">
        <f aca="false">MIN(153.6,(T300+S301))</f>
        <v>6.21657894736842</v>
      </c>
      <c r="V301" s="8" t="n">
        <v>1188.4</v>
      </c>
      <c r="W301" s="8" t="n">
        <f aca="false">V301/D301</f>
        <v>67.5227272727273</v>
      </c>
      <c r="X301" s="8" t="n">
        <f aca="false">X300+V301</f>
        <v>254719.2</v>
      </c>
      <c r="Y301" s="8" t="n">
        <f aca="false">Y300+V301</f>
        <v>39434.7</v>
      </c>
      <c r="AA301" s="8" t="n">
        <v>16.468544413345</v>
      </c>
    </row>
    <row r="302" s="8" customFormat="true" ht="15" hidden="false" customHeight="false" outlineLevel="0" collapsed="false">
      <c r="A302" s="72"/>
      <c r="B302" s="75"/>
      <c r="C302" s="11" t="n">
        <v>41818</v>
      </c>
      <c r="D302" s="8" t="n">
        <v>16.1</v>
      </c>
      <c r="E302" s="8" t="n">
        <v>14.5</v>
      </c>
      <c r="F302" s="8" t="n">
        <v>19.8</v>
      </c>
      <c r="G302" s="8" t="n">
        <f aca="false">G301+D302</f>
        <v>3083.3</v>
      </c>
      <c r="H302" s="8" t="n">
        <f aca="false">H301+D302</f>
        <v>385.5</v>
      </c>
      <c r="J302" s="8" t="n">
        <v>5.2</v>
      </c>
      <c r="K302" s="8" t="n">
        <f aca="false">K301+J302</f>
        <v>747.800000000001</v>
      </c>
      <c r="L302" s="8" t="n">
        <v>2</v>
      </c>
      <c r="M302" s="8" t="n">
        <f aca="false">M301+L302</f>
        <v>549.5</v>
      </c>
      <c r="N302" s="8" t="n">
        <f aca="false">J302-L302</f>
        <v>3.2</v>
      </c>
      <c r="O302" s="74" t="n">
        <v>23.5</v>
      </c>
      <c r="P302" s="8" t="n">
        <v>297</v>
      </c>
      <c r="Q302" s="17" t="n">
        <f aca="false">1.15+((P302-255)/76)*(0.35-1.15)</f>
        <v>0.707894736842105</v>
      </c>
      <c r="R302" s="15" t="n">
        <f aca="false">Q302*L302</f>
        <v>1.41578947368421</v>
      </c>
      <c r="S302" s="15" t="n">
        <f aca="false">J302-R302</f>
        <v>3.78421052631579</v>
      </c>
      <c r="T302" s="15" t="n">
        <f aca="false">MIN(153.6,(T301+S302))</f>
        <v>10.0007894736842</v>
      </c>
      <c r="V302" s="16" t="n">
        <v>878.4</v>
      </c>
      <c r="W302" s="8" t="n">
        <f aca="false">V302/D302</f>
        <v>54.5590062111801</v>
      </c>
      <c r="X302" s="8" t="n">
        <f aca="false">X301+V302</f>
        <v>255597.6</v>
      </c>
      <c r="Y302" s="8" t="n">
        <f aca="false">Y301+V302</f>
        <v>40313.1</v>
      </c>
      <c r="AA302" s="8" t="n">
        <v>16.4597385008355</v>
      </c>
    </row>
    <row r="303" s="23" customFormat="true" ht="15" hidden="false" customHeight="false" outlineLevel="0" collapsed="false">
      <c r="A303" s="72"/>
      <c r="B303" s="76" t="n">
        <v>1000</v>
      </c>
      <c r="C303" s="58" t="n">
        <v>41819</v>
      </c>
      <c r="D303" s="23" t="n">
        <v>14.7</v>
      </c>
      <c r="E303" s="23" t="n">
        <v>13.3</v>
      </c>
      <c r="F303" s="23" t="n">
        <v>17.2</v>
      </c>
      <c r="G303" s="23" t="n">
        <f aca="false">G302+D303</f>
        <v>3098</v>
      </c>
      <c r="H303" s="23" t="n">
        <f aca="false">H302+D303</f>
        <v>400.2</v>
      </c>
      <c r="J303" s="23" t="n">
        <v>3.2</v>
      </c>
      <c r="K303" s="23" t="n">
        <f aca="false">K302+J303</f>
        <v>751.000000000001</v>
      </c>
      <c r="L303" s="23" t="n">
        <v>2.3</v>
      </c>
      <c r="M303" s="23" t="n">
        <f aca="false">M302+L303</f>
        <v>551.8</v>
      </c>
      <c r="N303" s="23" t="n">
        <f aca="false">J303-L303</f>
        <v>0.9</v>
      </c>
      <c r="O303" s="77" t="n">
        <v>24.4</v>
      </c>
      <c r="P303" s="23" t="n">
        <v>298</v>
      </c>
      <c r="Q303" s="61" t="n">
        <f aca="false">1.15+((P303-255)/76)*(0.35-1.15)</f>
        <v>0.697368421052632</v>
      </c>
      <c r="R303" s="25" t="n">
        <f aca="false">Q303*L303</f>
        <v>1.60394736842105</v>
      </c>
      <c r="S303" s="25" t="n">
        <f aca="false">J303-R303</f>
        <v>1.59605263157895</v>
      </c>
      <c r="T303" s="26" t="n">
        <f aca="false">MIN(153.6,(T302+S303))</f>
        <v>11.5968421052632</v>
      </c>
      <c r="V303" s="23" t="n">
        <v>1060.7</v>
      </c>
      <c r="W303" s="23" t="n">
        <f aca="false">V303/D303</f>
        <v>72.156462585034</v>
      </c>
      <c r="X303" s="23" t="n">
        <f aca="false">X302+V303</f>
        <v>256658.3</v>
      </c>
      <c r="Y303" s="24" t="n">
        <f aca="false">Y302+V303</f>
        <v>41373.8</v>
      </c>
      <c r="AA303" s="24" t="n">
        <v>16.4493568276253</v>
      </c>
    </row>
    <row r="304" s="8" customFormat="true" ht="15" hidden="false" customHeight="false" outlineLevel="0" collapsed="false">
      <c r="A304" s="78"/>
      <c r="B304" s="75"/>
      <c r="C304" s="11" t="n">
        <v>41820</v>
      </c>
      <c r="D304" s="8" t="n">
        <v>15.5</v>
      </c>
      <c r="E304" s="8" t="n">
        <v>11.1</v>
      </c>
      <c r="F304" s="8" t="n">
        <v>18.7</v>
      </c>
      <c r="G304" s="8" t="n">
        <f aca="false">G303+D304</f>
        <v>3113.5</v>
      </c>
      <c r="H304" s="8" t="n">
        <f aca="false">H303+D304</f>
        <v>415.7</v>
      </c>
      <c r="J304" s="8" t="n">
        <v>1</v>
      </c>
      <c r="K304" s="8" t="n">
        <f aca="false">K303+J304</f>
        <v>752.000000000001</v>
      </c>
      <c r="L304" s="8" t="n">
        <v>2.5</v>
      </c>
      <c r="M304" s="8" t="n">
        <f aca="false">M303+L304</f>
        <v>554.3</v>
      </c>
      <c r="N304" s="14" t="n">
        <f aca="false">J304-L304</f>
        <v>-1.5</v>
      </c>
      <c r="O304" s="74" t="n">
        <v>22.9</v>
      </c>
      <c r="P304" s="8" t="n">
        <v>299</v>
      </c>
      <c r="Q304" s="17" t="n">
        <f aca="false">1.15+((P304-255)/76)*(0.35-1.15)</f>
        <v>0.686842105263158</v>
      </c>
      <c r="R304" s="15" t="n">
        <f aca="false">Q304*L304</f>
        <v>1.71710526315789</v>
      </c>
      <c r="S304" s="15" t="n">
        <f aca="false">J304-R304</f>
        <v>-0.717105263157895</v>
      </c>
      <c r="T304" s="15" t="n">
        <f aca="false">MIN(153.6,(T303+S304))</f>
        <v>10.8797368421053</v>
      </c>
      <c r="V304" s="8" t="n">
        <v>1285.1</v>
      </c>
      <c r="W304" s="8" t="n">
        <f aca="false">V304/D304</f>
        <v>82.9096774193548</v>
      </c>
      <c r="X304" s="8" t="n">
        <f aca="false">X303+V304</f>
        <v>257943.4</v>
      </c>
      <c r="Y304" s="8" t="n">
        <f aca="false">Y303+V304</f>
        <v>42658.9</v>
      </c>
      <c r="AA304" s="8" t="n">
        <v>16.4374114870458</v>
      </c>
    </row>
    <row r="305" s="8" customFormat="true" ht="15" hidden="false" customHeight="false" outlineLevel="0" collapsed="false">
      <c r="A305" s="78"/>
      <c r="B305" s="75"/>
      <c r="C305" s="11" t="n">
        <v>41821</v>
      </c>
      <c r="D305" s="8" t="n">
        <v>16.1</v>
      </c>
      <c r="E305" s="8" t="n">
        <v>12.9</v>
      </c>
      <c r="F305" s="8" t="n">
        <v>19.4</v>
      </c>
      <c r="G305" s="8" t="n">
        <f aca="false">G304+D305</f>
        <v>3129.6</v>
      </c>
      <c r="H305" s="8" t="n">
        <f aca="false">H304+D305</f>
        <v>431.8</v>
      </c>
      <c r="J305" s="8" t="n">
        <v>0</v>
      </c>
      <c r="K305" s="8" t="n">
        <f aca="false">K304+J305</f>
        <v>752.000000000001</v>
      </c>
      <c r="L305" s="8" t="n">
        <v>4.9</v>
      </c>
      <c r="M305" s="8" t="n">
        <f aca="false">M304+L305</f>
        <v>559.2</v>
      </c>
      <c r="N305" s="14" t="n">
        <f aca="false">J305-L305</f>
        <v>-4.9</v>
      </c>
      <c r="O305" s="74" t="n">
        <v>18</v>
      </c>
      <c r="P305" s="8" t="n">
        <v>300</v>
      </c>
      <c r="Q305" s="17" t="n">
        <f aca="false">1.15+((P305-255)/76)*(0.35-1.15)</f>
        <v>0.676315789473684</v>
      </c>
      <c r="R305" s="15" t="n">
        <f aca="false">Q305*L305</f>
        <v>3.31394736842105</v>
      </c>
      <c r="S305" s="15" t="n">
        <f aca="false">J305-R305</f>
        <v>-3.31394736842105</v>
      </c>
      <c r="T305" s="15" t="n">
        <f aca="false">MIN(153.6,(T304+S305))</f>
        <v>7.56578947368421</v>
      </c>
      <c r="V305" s="8" t="n">
        <v>2708.2</v>
      </c>
      <c r="W305" s="8" t="n">
        <f aca="false">V305/D305</f>
        <v>168.211180124224</v>
      </c>
      <c r="X305" s="8" t="n">
        <f aca="false">X304+V305</f>
        <v>260651.6</v>
      </c>
      <c r="Y305" s="8" t="n">
        <f aca="false">Y304+V305</f>
        <v>45367.1</v>
      </c>
      <c r="AA305" s="8" t="n">
        <v>16.4239162002015</v>
      </c>
    </row>
    <row r="306" s="8" customFormat="true" ht="15" hidden="false" customHeight="false" outlineLevel="0" collapsed="false">
      <c r="A306" s="78"/>
      <c r="B306" s="75"/>
      <c r="C306" s="11" t="n">
        <v>41822</v>
      </c>
      <c r="D306" s="8" t="n">
        <v>17.2</v>
      </c>
      <c r="E306" s="8" t="n">
        <v>12</v>
      </c>
      <c r="F306" s="8" t="n">
        <v>21.2</v>
      </c>
      <c r="G306" s="8" t="n">
        <f aca="false">G305+D306</f>
        <v>3146.8</v>
      </c>
      <c r="H306" s="8" t="n">
        <f aca="false">H305+D306</f>
        <v>449</v>
      </c>
      <c r="J306" s="8" t="n">
        <v>0</v>
      </c>
      <c r="K306" s="8" t="n">
        <f aca="false">K305+J306</f>
        <v>752.000000000001</v>
      </c>
      <c r="L306" s="8" t="n">
        <v>5.1</v>
      </c>
      <c r="M306" s="8" t="n">
        <f aca="false">M305+L306</f>
        <v>564.3</v>
      </c>
      <c r="N306" s="14" t="n">
        <f aca="false">J306-L306</f>
        <v>-5.1</v>
      </c>
      <c r="O306" s="74" t="n">
        <v>12.9</v>
      </c>
      <c r="P306" s="8" t="n">
        <v>301</v>
      </c>
      <c r="Q306" s="17" t="n">
        <f aca="false">1.15+((P306-255)/76)*(0.35-1.15)</f>
        <v>0.665789473684211</v>
      </c>
      <c r="R306" s="15" t="n">
        <f aca="false">Q306*L306</f>
        <v>3.39552631578947</v>
      </c>
      <c r="S306" s="15" t="n">
        <f aca="false">J306-R306</f>
        <v>-3.39552631578947</v>
      </c>
      <c r="T306" s="15" t="n">
        <f aca="false">MIN(153.6,(T305+S306))</f>
        <v>4.17026315789474</v>
      </c>
      <c r="V306" s="8" t="n">
        <v>2948.5</v>
      </c>
      <c r="W306" s="8" t="n">
        <f aca="false">V306/D306</f>
        <v>171.424418604651</v>
      </c>
      <c r="X306" s="8" t="n">
        <f aca="false">X305+V306</f>
        <v>263600.1</v>
      </c>
      <c r="Y306" s="8" t="n">
        <f aca="false">Y305+V306</f>
        <v>48315.6</v>
      </c>
      <c r="AA306" s="8" t="n">
        <v>16.408886259585</v>
      </c>
    </row>
    <row r="307" s="8" customFormat="true" ht="15" hidden="false" customHeight="false" outlineLevel="0" collapsed="false">
      <c r="A307" s="78"/>
      <c r="B307" s="75"/>
      <c r="C307" s="11" t="n">
        <v>41823</v>
      </c>
      <c r="D307" s="8" t="n">
        <v>20.5</v>
      </c>
      <c r="E307" s="8" t="n">
        <v>14.4</v>
      </c>
      <c r="F307" s="8" t="n">
        <v>25.8</v>
      </c>
      <c r="G307" s="8" t="n">
        <f aca="false">G306+D307</f>
        <v>3167.3</v>
      </c>
      <c r="H307" s="8" t="n">
        <f aca="false">H306+D307</f>
        <v>469.5</v>
      </c>
      <c r="J307" s="8" t="n">
        <v>0</v>
      </c>
      <c r="K307" s="8" t="n">
        <f aca="false">K306+J307</f>
        <v>752.000000000001</v>
      </c>
      <c r="L307" s="8" t="n">
        <v>5.7</v>
      </c>
      <c r="M307" s="8" t="n">
        <f aca="false">M306+L307</f>
        <v>570</v>
      </c>
      <c r="N307" s="14" t="n">
        <f aca="false">J307-L307</f>
        <v>-5.7</v>
      </c>
      <c r="O307" s="74" t="n">
        <v>7.20000000000004</v>
      </c>
      <c r="P307" s="8" t="n">
        <v>302</v>
      </c>
      <c r="Q307" s="17" t="n">
        <f aca="false">1.15+((P307-255)/76)*(0.35-1.15)</f>
        <v>0.655263157894737</v>
      </c>
      <c r="R307" s="15" t="n">
        <f aca="false">Q307*L307</f>
        <v>3.735</v>
      </c>
      <c r="S307" s="15" t="n">
        <f aca="false">J307-R307</f>
        <v>-3.735</v>
      </c>
      <c r="T307" s="15" t="n">
        <f aca="false">MIN(153.6,(T306+S307))</f>
        <v>0.435263157894739</v>
      </c>
      <c r="V307" s="8" t="n">
        <v>2834.9</v>
      </c>
      <c r="W307" s="8" t="n">
        <f aca="false">V307/D307</f>
        <v>138.287804878049</v>
      </c>
      <c r="X307" s="8" t="n">
        <f aca="false">X306+V307</f>
        <v>266435</v>
      </c>
      <c r="Y307" s="8" t="n">
        <f aca="false">Y306+V307</f>
        <v>51150.5</v>
      </c>
      <c r="AA307" s="8" t="n">
        <v>16.3923384670814</v>
      </c>
    </row>
    <row r="308" s="8" customFormat="true" ht="15" hidden="false" customHeight="false" outlineLevel="0" collapsed="false">
      <c r="A308" s="78"/>
      <c r="B308" s="75"/>
      <c r="C308" s="11" t="n">
        <v>41824</v>
      </c>
      <c r="D308" s="8" t="n">
        <v>20.8</v>
      </c>
      <c r="E308" s="8" t="n">
        <v>16</v>
      </c>
      <c r="F308" s="8" t="n">
        <v>24</v>
      </c>
      <c r="G308" s="8" t="n">
        <f aca="false">G307+D308</f>
        <v>3188.1</v>
      </c>
      <c r="H308" s="8" t="n">
        <f aca="false">H307+D308</f>
        <v>490.3</v>
      </c>
      <c r="J308" s="8" t="n">
        <v>1.6</v>
      </c>
      <c r="K308" s="8" t="n">
        <f aca="false">K307+J308</f>
        <v>753.600000000001</v>
      </c>
      <c r="L308" s="8" t="n">
        <v>2.6</v>
      </c>
      <c r="M308" s="8" t="n">
        <f aca="false">M307+L308</f>
        <v>572.6</v>
      </c>
      <c r="N308" s="14" t="n">
        <f aca="false">J308-L308</f>
        <v>-1</v>
      </c>
      <c r="O308" s="74" t="n">
        <v>6.20000000000004</v>
      </c>
      <c r="P308" s="8" t="n">
        <v>303</v>
      </c>
      <c r="Q308" s="17" t="n">
        <f aca="false">1.15+((P308-255)/76)*(0.35-1.15)</f>
        <v>0.644736842105263</v>
      </c>
      <c r="R308" s="15" t="n">
        <f aca="false">Q308*L308</f>
        <v>1.67631578947368</v>
      </c>
      <c r="S308" s="15" t="n">
        <f aca="false">J308-R308</f>
        <v>-0.0763157894736841</v>
      </c>
      <c r="T308" s="15" t="n">
        <f aca="false">MIN(153.6,(T307+S308))</f>
        <v>0.358947368421055</v>
      </c>
      <c r="V308" s="8" t="n">
        <v>1270.6</v>
      </c>
      <c r="W308" s="8" t="n">
        <f aca="false">V308/D308</f>
        <v>61.0865384615385</v>
      </c>
      <c r="X308" s="8" t="n">
        <f aca="false">X307+V308</f>
        <v>267705.6</v>
      </c>
      <c r="Y308" s="8" t="n">
        <f aca="false">Y307+V308</f>
        <v>52421.1</v>
      </c>
      <c r="AA308" s="8" t="n">
        <v>16.3742910668807</v>
      </c>
    </row>
    <row r="309" s="8" customFormat="true" ht="15" hidden="false" customHeight="false" outlineLevel="0" collapsed="false">
      <c r="A309" s="78"/>
      <c r="B309" s="75"/>
      <c r="C309" s="11" t="n">
        <v>41825</v>
      </c>
      <c r="D309" s="8" t="n">
        <v>18.5</v>
      </c>
      <c r="E309" s="8" t="n">
        <v>17.2</v>
      </c>
      <c r="F309" s="8" t="n">
        <v>19.7</v>
      </c>
      <c r="G309" s="8" t="n">
        <f aca="false">G308+D309</f>
        <v>3206.6</v>
      </c>
      <c r="H309" s="8" t="n">
        <f aca="false">H308+D309</f>
        <v>508.8</v>
      </c>
      <c r="J309" s="8" t="n">
        <v>4.7</v>
      </c>
      <c r="K309" s="8" t="n">
        <f aca="false">K308+J309</f>
        <v>758.300000000001</v>
      </c>
      <c r="L309" s="8" t="n">
        <v>1.3</v>
      </c>
      <c r="M309" s="8" t="n">
        <f aca="false">M308+L309</f>
        <v>573.9</v>
      </c>
      <c r="N309" s="8" t="n">
        <f aca="false">J309-L309</f>
        <v>3.4</v>
      </c>
      <c r="O309" s="74" t="n">
        <v>9.60000000000004</v>
      </c>
      <c r="P309" s="8" t="n">
        <v>304</v>
      </c>
      <c r="Q309" s="17" t="n">
        <f aca="false">1.15+((P309-255)/76)*(0.35-1.15)</f>
        <v>0.634210526315789</v>
      </c>
      <c r="R309" s="15" t="n">
        <f aca="false">Q309*L309</f>
        <v>0.824473684210526</v>
      </c>
      <c r="S309" s="15" t="n">
        <f aca="false">J309-R309</f>
        <v>3.87552631578947</v>
      </c>
      <c r="T309" s="15" t="n">
        <f aca="false">MIN(153.6,(T308+S309))</f>
        <v>4.23447368421053</v>
      </c>
      <c r="V309" s="8" t="n">
        <v>471</v>
      </c>
      <c r="W309" s="8" t="n">
        <f aca="false">V309/D309</f>
        <v>25.4594594594595</v>
      </c>
      <c r="X309" s="8" t="n">
        <f aca="false">X308+V309</f>
        <v>268176.6</v>
      </c>
      <c r="Y309" s="8" t="n">
        <f aca="false">Y308+V309</f>
        <v>52892.1</v>
      </c>
      <c r="AA309" s="8" t="n">
        <v>16.3547636738504</v>
      </c>
    </row>
    <row r="310" s="8" customFormat="true" ht="15" hidden="false" customHeight="false" outlineLevel="0" collapsed="false">
      <c r="A310" s="78"/>
      <c r="B310" s="75"/>
      <c r="C310" s="11" t="n">
        <v>41826</v>
      </c>
      <c r="D310" s="8" t="n">
        <v>16.6</v>
      </c>
      <c r="E310" s="8" t="n">
        <v>16.4</v>
      </c>
      <c r="F310" s="8" t="n">
        <v>18</v>
      </c>
      <c r="G310" s="8" t="n">
        <f aca="false">G309+D310</f>
        <v>3223.2</v>
      </c>
      <c r="H310" s="8" t="n">
        <f aca="false">H309+D310</f>
        <v>525.4</v>
      </c>
      <c r="J310" s="8" t="n">
        <v>12.5</v>
      </c>
      <c r="K310" s="8" t="n">
        <f aca="false">K309+J310</f>
        <v>770.800000000001</v>
      </c>
      <c r="L310" s="8" t="n">
        <v>1.7</v>
      </c>
      <c r="M310" s="8" t="n">
        <f aca="false">M309+L310</f>
        <v>575.6</v>
      </c>
      <c r="N310" s="8" t="n">
        <f aca="false">J310-L310</f>
        <v>10.8</v>
      </c>
      <c r="O310" s="74" t="n">
        <v>20.4</v>
      </c>
      <c r="P310" s="8" t="n">
        <v>305</v>
      </c>
      <c r="Q310" s="17" t="n">
        <f aca="false">1.15+((P310-255)/76)*(0.35-1.15)</f>
        <v>0.623684210526316</v>
      </c>
      <c r="R310" s="15" t="n">
        <f aca="false">Q310*L310</f>
        <v>1.06026315789474</v>
      </c>
      <c r="S310" s="15" t="n">
        <f aca="false">J310-R310</f>
        <v>11.4397368421053</v>
      </c>
      <c r="T310" s="15" t="n">
        <f aca="false">MIN(153.6,(T309+S310))</f>
        <v>15.6742105263158</v>
      </c>
      <c r="V310" s="8" t="n">
        <v>667.6</v>
      </c>
      <c r="W310" s="8" t="n">
        <f aca="false">V310/D310</f>
        <v>40.2168674698795</v>
      </c>
      <c r="X310" s="8" t="n">
        <f aca="false">X309+V310</f>
        <v>268844.2</v>
      </c>
      <c r="Y310" s="8" t="n">
        <f aca="false">Y309+V310</f>
        <v>53559.7</v>
      </c>
      <c r="AA310" s="8" t="n">
        <v>16.33377719794</v>
      </c>
    </row>
    <row r="311" s="8" customFormat="true" ht="15" hidden="false" customHeight="false" outlineLevel="0" collapsed="false">
      <c r="A311" s="78"/>
      <c r="B311" s="75"/>
      <c r="C311" s="11" t="n">
        <v>41827</v>
      </c>
      <c r="D311" s="8" t="n">
        <v>16.9</v>
      </c>
      <c r="E311" s="8" t="n">
        <v>12.1</v>
      </c>
      <c r="F311" s="8" t="n">
        <v>20</v>
      </c>
      <c r="G311" s="8" t="n">
        <f aca="false">G310+D311</f>
        <v>3240.1</v>
      </c>
      <c r="H311" s="8" t="n">
        <f aca="false">H310+D311</f>
        <v>542.3</v>
      </c>
      <c r="J311" s="8" t="n">
        <v>4.9</v>
      </c>
      <c r="K311" s="8" t="n">
        <f aca="false">K310+J311</f>
        <v>775.700000000001</v>
      </c>
      <c r="L311" s="8" t="n">
        <v>3</v>
      </c>
      <c r="M311" s="8" t="n">
        <f aca="false">M310+L311</f>
        <v>578.6</v>
      </c>
      <c r="N311" s="8" t="n">
        <f aca="false">J311-L311</f>
        <v>1.9</v>
      </c>
      <c r="O311" s="74" t="n">
        <v>22.3</v>
      </c>
      <c r="P311" s="8" t="n">
        <v>306</v>
      </c>
      <c r="Q311" s="17" t="n">
        <f aca="false">1.15+((P311-255)/76)*(0.35-1.15)</f>
        <v>0.613157894736842</v>
      </c>
      <c r="R311" s="15" t="n">
        <f aca="false">Q311*L311</f>
        <v>1.83947368421053</v>
      </c>
      <c r="S311" s="15" t="n">
        <f aca="false">J311-R311</f>
        <v>3.06052631578947</v>
      </c>
      <c r="T311" s="15" t="n">
        <f aca="false">MIN(153.6,(T310+S311))</f>
        <v>18.7347368421053</v>
      </c>
      <c r="V311" s="8" t="n">
        <v>1949.1</v>
      </c>
      <c r="W311" s="8" t="n">
        <f aca="false">V311/D311</f>
        <v>115.331360946746</v>
      </c>
      <c r="X311" s="8" t="n">
        <f aca="false">X310+V311</f>
        <v>270793.3</v>
      </c>
      <c r="Y311" s="8" t="n">
        <f aca="false">Y310+V311</f>
        <v>55508.8</v>
      </c>
      <c r="AA311" s="8" t="n">
        <v>16.3113537652065</v>
      </c>
    </row>
    <row r="312" s="8" customFormat="true" ht="15" hidden="false" customHeight="false" outlineLevel="0" collapsed="false">
      <c r="A312" s="78"/>
      <c r="B312" s="75"/>
      <c r="C312" s="11" t="n">
        <v>41828</v>
      </c>
      <c r="D312" s="8" t="n">
        <v>16.1</v>
      </c>
      <c r="E312" s="8" t="n">
        <v>14.3</v>
      </c>
      <c r="F312" s="8" t="n">
        <v>17.7</v>
      </c>
      <c r="G312" s="8" t="n">
        <f aca="false">G311+D312</f>
        <v>3256.2</v>
      </c>
      <c r="H312" s="8" t="n">
        <f aca="false">H311+D312</f>
        <v>558.4</v>
      </c>
      <c r="J312" s="8" t="n">
        <v>7.1</v>
      </c>
      <c r="K312" s="8" t="n">
        <f aca="false">K311+J312</f>
        <v>782.800000000001</v>
      </c>
      <c r="L312" s="8" t="n">
        <v>1.1</v>
      </c>
      <c r="M312" s="8" t="n">
        <f aca="false">M311+L312</f>
        <v>579.7</v>
      </c>
      <c r="N312" s="8" t="n">
        <f aca="false">J312-L312</f>
        <v>6</v>
      </c>
      <c r="O312" s="74" t="n">
        <v>28.3</v>
      </c>
      <c r="P312" s="8" t="n">
        <v>307</v>
      </c>
      <c r="Q312" s="17" t="n">
        <f aca="false">1.15+((P312-255)/76)*(0.35-1.15)</f>
        <v>0.602631578947368</v>
      </c>
      <c r="R312" s="15" t="n">
        <f aca="false">Q312*L312</f>
        <v>0.662894736842105</v>
      </c>
      <c r="S312" s="15" t="n">
        <f aca="false">J312-R312</f>
        <v>6.43710526315789</v>
      </c>
      <c r="T312" s="15" t="n">
        <f aca="false">MIN(153.6,(T311+S312))</f>
        <v>25.1718421052632</v>
      </c>
      <c r="V312" s="8" t="n">
        <v>699.6</v>
      </c>
      <c r="W312" s="8" t="n">
        <f aca="false">V312/D312</f>
        <v>43.4534161490683</v>
      </c>
      <c r="X312" s="8" t="n">
        <f aca="false">X311+V312</f>
        <v>271492.9</v>
      </c>
      <c r="Y312" s="8" t="n">
        <f aca="false">Y311+V312</f>
        <v>56208.4</v>
      </c>
      <c r="AA312" s="8" t="n">
        <v>16.2875166360552</v>
      </c>
    </row>
    <row r="313" s="8" customFormat="true" ht="15" hidden="false" customHeight="false" outlineLevel="0" collapsed="false">
      <c r="A313" s="78"/>
      <c r="B313" s="75"/>
      <c r="C313" s="11" t="n">
        <v>41829</v>
      </c>
      <c r="D313" s="8" t="n">
        <v>14.5</v>
      </c>
      <c r="E313" s="8" t="n">
        <v>14.1</v>
      </c>
      <c r="F313" s="8" t="n">
        <v>16.1</v>
      </c>
      <c r="G313" s="8" t="n">
        <f aca="false">G312+D313</f>
        <v>3270.7</v>
      </c>
      <c r="H313" s="8" t="n">
        <f aca="false">H312+D313</f>
        <v>572.9</v>
      </c>
      <c r="J313" s="8" t="n">
        <v>23.2</v>
      </c>
      <c r="K313" s="8" t="n">
        <f aca="false">K312+J313</f>
        <v>806.000000000001</v>
      </c>
      <c r="L313" s="8" t="n">
        <v>1.3</v>
      </c>
      <c r="M313" s="8" t="n">
        <f aca="false">M312+L313</f>
        <v>581</v>
      </c>
      <c r="N313" s="8" t="n">
        <f aca="false">J313-L313</f>
        <v>21.9</v>
      </c>
      <c r="O313" s="74" t="n">
        <v>50.2</v>
      </c>
      <c r="P313" s="8" t="n">
        <v>308</v>
      </c>
      <c r="Q313" s="17" t="n">
        <f aca="false">1.15+((P313-255)/76)*(0.35-1.15)</f>
        <v>0.592105263157895</v>
      </c>
      <c r="R313" s="15" t="n">
        <f aca="false">Q313*L313</f>
        <v>0.769736842105263</v>
      </c>
      <c r="S313" s="15" t="n">
        <f aca="false">J313-R313</f>
        <v>22.4302631578947</v>
      </c>
      <c r="T313" s="15" t="n">
        <f aca="false">MIN(153.6,(T312+S313))</f>
        <v>47.6021052631579</v>
      </c>
      <c r="V313" s="8" t="n">
        <v>460.4</v>
      </c>
      <c r="W313" s="8" t="n">
        <f aca="false">V313/D313</f>
        <v>31.751724137931</v>
      </c>
      <c r="X313" s="8" t="n">
        <f aca="false">X312+V313</f>
        <v>271953.3</v>
      </c>
      <c r="Y313" s="8" t="n">
        <f aca="false">Y312+V313</f>
        <v>56668.8</v>
      </c>
      <c r="AA313" s="8" t="n">
        <v>16.2622901212915</v>
      </c>
    </row>
    <row r="314" s="8" customFormat="true" ht="15" hidden="false" customHeight="false" outlineLevel="0" collapsed="false">
      <c r="A314" s="78"/>
      <c r="B314" s="75"/>
      <c r="C314" s="11" t="n">
        <v>41830</v>
      </c>
      <c r="D314" s="8" t="n">
        <v>16.3</v>
      </c>
      <c r="E314" s="8" t="n">
        <v>14.6</v>
      </c>
      <c r="F314" s="8" t="n">
        <v>17.2</v>
      </c>
      <c r="G314" s="8" t="n">
        <f aca="false">G313+D314</f>
        <v>3287</v>
      </c>
      <c r="H314" s="8" t="n">
        <f aca="false">H313+D314</f>
        <v>589.2</v>
      </c>
      <c r="J314" s="8" t="n">
        <v>9.1</v>
      </c>
      <c r="K314" s="8" t="n">
        <f aca="false">K313+J314</f>
        <v>815.100000000001</v>
      </c>
      <c r="L314" s="8" t="n">
        <v>0.7</v>
      </c>
      <c r="M314" s="8" t="n">
        <f aca="false">M313+L314</f>
        <v>581.7</v>
      </c>
      <c r="N314" s="8" t="n">
        <f aca="false">J314-L314</f>
        <v>8.4</v>
      </c>
      <c r="O314" s="8" t="n">
        <v>58.6</v>
      </c>
      <c r="P314" s="8" t="n">
        <v>309</v>
      </c>
      <c r="Q314" s="17" t="n">
        <f aca="false">1.15+((P314-255)/76)*(0.35-1.15)</f>
        <v>0.581578947368421</v>
      </c>
      <c r="R314" s="15" t="n">
        <f aca="false">Q314*L314</f>
        <v>0.407105263157895</v>
      </c>
      <c r="S314" s="15" t="n">
        <f aca="false">J314-R314</f>
        <v>8.69289473684211</v>
      </c>
      <c r="T314" s="15" t="n">
        <f aca="false">MIN(153.6,(T313+S314))</f>
        <v>56.295</v>
      </c>
      <c r="V314" s="8" t="n">
        <v>474.7</v>
      </c>
      <c r="W314" s="8" t="n">
        <f aca="false">V314/D314</f>
        <v>29.1226993865031</v>
      </c>
      <c r="X314" s="8" t="n">
        <f aca="false">X313+V314</f>
        <v>272428</v>
      </c>
      <c r="Y314" s="8" t="n">
        <f aca="false">Y313+V314</f>
        <v>57143.5</v>
      </c>
      <c r="AA314" s="8" t="n">
        <v>16.2356994965715</v>
      </c>
    </row>
    <row r="315" s="8" customFormat="true" ht="15" hidden="false" customHeight="false" outlineLevel="0" collapsed="false">
      <c r="A315" s="78"/>
      <c r="B315" s="75"/>
      <c r="C315" s="11" t="n">
        <v>41831</v>
      </c>
      <c r="D315" s="8" t="n">
        <v>16.4</v>
      </c>
      <c r="E315" s="8" t="n">
        <v>15.3</v>
      </c>
      <c r="F315" s="8" t="n">
        <v>17.3</v>
      </c>
      <c r="G315" s="8" t="n">
        <f aca="false">G314+D315</f>
        <v>3303.4</v>
      </c>
      <c r="H315" s="8" t="n">
        <f aca="false">H314+D315</f>
        <v>605.6</v>
      </c>
      <c r="J315" s="8" t="n">
        <v>1.4</v>
      </c>
      <c r="K315" s="8" t="n">
        <f aca="false">K314+J315</f>
        <v>816.500000000001</v>
      </c>
      <c r="L315" s="8" t="n">
        <v>0.9</v>
      </c>
      <c r="M315" s="8" t="n">
        <f aca="false">M314+L315</f>
        <v>582.6</v>
      </c>
      <c r="N315" s="8" t="n">
        <f aca="false">J315-L315</f>
        <v>0.5</v>
      </c>
      <c r="O315" s="8" t="n">
        <v>59.1</v>
      </c>
      <c r="P315" s="8" t="n">
        <v>310</v>
      </c>
      <c r="Q315" s="17" t="n">
        <f aca="false">1.15+((P315-255)/76)*(0.35-1.15)</f>
        <v>0.571052631578947</v>
      </c>
      <c r="R315" s="15" t="n">
        <f aca="false">Q315*L315</f>
        <v>0.513947368421053</v>
      </c>
      <c r="S315" s="15" t="n">
        <f aca="false">J315-R315</f>
        <v>0.886052631578947</v>
      </c>
      <c r="T315" s="15" t="n">
        <f aca="false">MIN(153.6,(T314+S315))</f>
        <v>57.181052631579</v>
      </c>
      <c r="V315" s="8" t="n">
        <v>385.4</v>
      </c>
      <c r="W315" s="8" t="n">
        <f aca="false">V315/D315</f>
        <v>23.5</v>
      </c>
      <c r="X315" s="8" t="n">
        <f aca="false">X314+V315</f>
        <v>272813.4</v>
      </c>
      <c r="Y315" s="8" t="n">
        <f aca="false">Y314+V315</f>
        <v>57528.9</v>
      </c>
      <c r="AA315" s="8" t="n">
        <v>16.2077709158279</v>
      </c>
    </row>
    <row r="316" s="8" customFormat="true" ht="15" hidden="false" customHeight="false" outlineLevel="0" collapsed="false">
      <c r="A316" s="78"/>
      <c r="B316" s="75"/>
      <c r="C316" s="11" t="n">
        <v>41832</v>
      </c>
      <c r="D316" s="8" t="n">
        <v>17.6</v>
      </c>
      <c r="E316" s="8" t="n">
        <v>15</v>
      </c>
      <c r="F316" s="8" t="n">
        <v>19.8</v>
      </c>
      <c r="G316" s="8" t="n">
        <f aca="false">G315+D316</f>
        <v>3321</v>
      </c>
      <c r="H316" s="8" t="n">
        <f aca="false">H315+D316</f>
        <v>623.2</v>
      </c>
      <c r="J316" s="8" t="n">
        <v>0</v>
      </c>
      <c r="K316" s="8" t="n">
        <f aca="false">K315+J316</f>
        <v>816.500000000001</v>
      </c>
      <c r="L316" s="8" t="n">
        <v>1.6</v>
      </c>
      <c r="M316" s="8" t="n">
        <f aca="false">M315+L316</f>
        <v>584.2</v>
      </c>
      <c r="N316" s="14" t="n">
        <f aca="false">J316-L316</f>
        <v>-1.6</v>
      </c>
      <c r="O316" s="8" t="n">
        <v>57.5</v>
      </c>
      <c r="P316" s="8" t="n">
        <v>311</v>
      </c>
      <c r="Q316" s="17" t="n">
        <f aca="false">1.15+((P316-255)/76)*(0.35-1.15)</f>
        <v>0.560526315789474</v>
      </c>
      <c r="R316" s="15" t="n">
        <f aca="false">Q316*L316</f>
        <v>0.896842105263158</v>
      </c>
      <c r="S316" s="15" t="n">
        <f aca="false">J316-R316</f>
        <v>-0.896842105263158</v>
      </c>
      <c r="T316" s="15" t="n">
        <f aca="false">MIN(153.6,(T315+S316))</f>
        <v>56.2842105263158</v>
      </c>
      <c r="V316" s="8" t="n">
        <v>532.9</v>
      </c>
      <c r="W316" s="8" t="n">
        <f aca="false">V316/D316</f>
        <v>30.2784090909091</v>
      </c>
      <c r="X316" s="8" t="n">
        <f aca="false">X315+V316</f>
        <v>273346.3</v>
      </c>
      <c r="Y316" s="8" t="n">
        <f aca="false">Y315+V316</f>
        <v>58061.8</v>
      </c>
      <c r="AA316" s="8" t="n">
        <v>16.178531324226</v>
      </c>
    </row>
    <row r="317" s="8" customFormat="true" ht="15" hidden="false" customHeight="false" outlineLevel="0" collapsed="false">
      <c r="A317" s="78"/>
      <c r="B317" s="75"/>
      <c r="C317" s="11" t="n">
        <v>41833</v>
      </c>
      <c r="D317" s="8" t="n">
        <v>18.2</v>
      </c>
      <c r="E317" s="8" t="n">
        <v>16.3</v>
      </c>
      <c r="F317" s="8" t="n">
        <v>19.6</v>
      </c>
      <c r="G317" s="8" t="n">
        <f aca="false">G316+D317</f>
        <v>3339.2</v>
      </c>
      <c r="H317" s="8" t="n">
        <f aca="false">H316+D317</f>
        <v>641.4</v>
      </c>
      <c r="J317" s="8" t="n">
        <v>2.3</v>
      </c>
      <c r="K317" s="8" t="n">
        <f aca="false">K316+J317</f>
        <v>818.800000000001</v>
      </c>
      <c r="L317" s="8" t="n">
        <v>1.8</v>
      </c>
      <c r="M317" s="8" t="n">
        <f aca="false">M316+L317</f>
        <v>586</v>
      </c>
      <c r="N317" s="8" t="n">
        <f aca="false">J317-L317</f>
        <v>0.5</v>
      </c>
      <c r="O317" s="8" t="n">
        <v>58</v>
      </c>
      <c r="P317" s="8" t="n">
        <v>312</v>
      </c>
      <c r="Q317" s="17" t="n">
        <f aca="false">1.15+((P317-255)/76)*(0.35-1.15)</f>
        <v>0.55</v>
      </c>
      <c r="R317" s="15" t="n">
        <f aca="false">Q317*L317</f>
        <v>0.99</v>
      </c>
      <c r="S317" s="15" t="n">
        <f aca="false">J317-R317</f>
        <v>1.31</v>
      </c>
      <c r="T317" s="15" t="n">
        <f aca="false">MIN(153.6,(T316+S317))</f>
        <v>57.5942105263158</v>
      </c>
      <c r="V317" s="8" t="n">
        <v>519.8</v>
      </c>
      <c r="W317" s="8" t="n">
        <f aca="false">V317/D317</f>
        <v>28.5604395604396</v>
      </c>
      <c r="X317" s="8" t="n">
        <f aca="false">X316+V317</f>
        <v>273866.1</v>
      </c>
      <c r="Y317" s="8" t="n">
        <f aca="false">Y316+V317</f>
        <v>58581.6</v>
      </c>
      <c r="AA317" s="8" t="n">
        <v>16.148008371183</v>
      </c>
    </row>
    <row r="318" s="8" customFormat="true" ht="15" hidden="false" customHeight="false" outlineLevel="0" collapsed="false">
      <c r="A318" s="78"/>
      <c r="B318" s="75"/>
      <c r="C318" s="11" t="n">
        <v>41834</v>
      </c>
      <c r="D318" s="8" t="n">
        <v>18.4</v>
      </c>
      <c r="E318" s="8" t="n">
        <v>16.3</v>
      </c>
      <c r="F318" s="8" t="n">
        <v>21.7</v>
      </c>
      <c r="G318" s="8" t="n">
        <f aca="false">G317+D318</f>
        <v>3357.6</v>
      </c>
      <c r="H318" s="8" t="n">
        <f aca="false">H317+D318</f>
        <v>659.8</v>
      </c>
      <c r="J318" s="8" t="n">
        <v>0</v>
      </c>
      <c r="K318" s="8" t="n">
        <f aca="false">K317+J318</f>
        <v>818.800000000001</v>
      </c>
      <c r="L318" s="8" t="n">
        <v>5.1</v>
      </c>
      <c r="M318" s="8" t="n">
        <f aca="false">M317+L318</f>
        <v>591.1</v>
      </c>
      <c r="N318" s="14" t="n">
        <f aca="false">J318-L318</f>
        <v>-5.1</v>
      </c>
      <c r="O318" s="8" t="n">
        <v>52.9</v>
      </c>
      <c r="P318" s="8" t="n">
        <v>313</v>
      </c>
      <c r="Q318" s="17" t="n">
        <f aca="false">1.15+((P318-255)/76)*(0.35-1.15)</f>
        <v>0.539473684210526</v>
      </c>
      <c r="R318" s="15" t="n">
        <f aca="false">Q318*L318</f>
        <v>2.75131578947368</v>
      </c>
      <c r="S318" s="15" t="n">
        <f aca="false">J318-R318</f>
        <v>-2.75131578947368</v>
      </c>
      <c r="T318" s="15" t="n">
        <f aca="false">MIN(153.6,(T317+S318))</f>
        <v>54.8428947368421</v>
      </c>
      <c r="V318" s="8" t="n">
        <v>2309</v>
      </c>
      <c r="W318" s="8" t="n">
        <f aca="false">V318/D318</f>
        <v>125.489130434783</v>
      </c>
      <c r="X318" s="8" t="n">
        <f aca="false">X317+V318</f>
        <v>276175.1</v>
      </c>
      <c r="Y318" s="8" t="n">
        <f aca="false">Y317+V318</f>
        <v>60890.6</v>
      </c>
      <c r="AA318" s="8" t="n">
        <v>16.1162303239535</v>
      </c>
    </row>
    <row r="319" s="8" customFormat="true" ht="15" hidden="false" customHeight="false" outlineLevel="0" collapsed="false">
      <c r="A319" s="78"/>
      <c r="B319" s="75"/>
      <c r="C319" s="11" t="n">
        <v>41835</v>
      </c>
      <c r="D319" s="8" t="n">
        <v>18.4</v>
      </c>
      <c r="E319" s="8" t="n">
        <v>13.4</v>
      </c>
      <c r="F319" s="8" t="n">
        <v>22.6</v>
      </c>
      <c r="G319" s="8" t="n">
        <f aca="false">G318+D319</f>
        <v>3376</v>
      </c>
      <c r="H319" s="8" t="n">
        <f aca="false">H318+D319</f>
        <v>678.2</v>
      </c>
      <c r="J319" s="8" t="n">
        <v>0.2</v>
      </c>
      <c r="K319" s="8" t="n">
        <f aca="false">K318+J319</f>
        <v>819.000000000001</v>
      </c>
      <c r="L319" s="8" t="n">
        <v>1.9</v>
      </c>
      <c r="M319" s="8" t="n">
        <f aca="false">M318+L319</f>
        <v>593</v>
      </c>
      <c r="N319" s="14" t="n">
        <f aca="false">J319-L319</f>
        <v>-1.7</v>
      </c>
      <c r="O319" s="8" t="n">
        <v>51.2</v>
      </c>
      <c r="P319" s="8" t="n">
        <v>314</v>
      </c>
      <c r="Q319" s="17" t="n">
        <f aca="false">1.15+((P319-255)/76)*(0.35-1.15)</f>
        <v>0.528947368421053</v>
      </c>
      <c r="R319" s="15" t="n">
        <f aca="false">Q319*L319</f>
        <v>1.005</v>
      </c>
      <c r="S319" s="15" t="n">
        <f aca="false">J319-R319</f>
        <v>-0.805</v>
      </c>
      <c r="T319" s="15" t="n">
        <f aca="false">MIN(153.6,(T318+S319))</f>
        <v>54.0378947368421</v>
      </c>
      <c r="V319" s="8" t="n">
        <v>806.2</v>
      </c>
      <c r="W319" s="8" t="n">
        <f aca="false">V319/D319</f>
        <v>43.8152173913044</v>
      </c>
      <c r="X319" s="8" t="n">
        <f aca="false">X318+V319</f>
        <v>276981.3</v>
      </c>
      <c r="Y319" s="8" t="n">
        <f aca="false">Y318+V319</f>
        <v>61696.8</v>
      </c>
      <c r="AA319" s="8" t="n">
        <v>16.0832259822543</v>
      </c>
    </row>
    <row r="320" s="8" customFormat="true" ht="15" hidden="false" customHeight="false" outlineLevel="0" collapsed="false">
      <c r="A320" s="78"/>
      <c r="B320" s="75"/>
      <c r="C320" s="11" t="n">
        <v>41836</v>
      </c>
      <c r="D320" s="8" t="n">
        <v>21</v>
      </c>
      <c r="E320" s="8" t="n">
        <v>15.7</v>
      </c>
      <c r="F320" s="8" t="n">
        <v>26.4</v>
      </c>
      <c r="G320" s="8" t="n">
        <f aca="false">G319+D320</f>
        <v>3397</v>
      </c>
      <c r="H320" s="8" t="n">
        <f aca="false">H319+D320</f>
        <v>699.2</v>
      </c>
      <c r="J320" s="8" t="n">
        <v>0</v>
      </c>
      <c r="K320" s="8" t="n">
        <f aca="false">K319+J320</f>
        <v>819.000000000001</v>
      </c>
      <c r="L320" s="8" t="n">
        <v>5.6</v>
      </c>
      <c r="M320" s="8" t="n">
        <f aca="false">M319+L320</f>
        <v>598.6</v>
      </c>
      <c r="N320" s="14" t="n">
        <f aca="false">J320-L320</f>
        <v>-5.6</v>
      </c>
      <c r="O320" s="74" t="n">
        <v>45.6</v>
      </c>
      <c r="P320" s="8" t="n">
        <v>315</v>
      </c>
      <c r="Q320" s="17" t="n">
        <f aca="false">1.15+((P320-255)/76)*(0.35-1.15)</f>
        <v>0.518421052631579</v>
      </c>
      <c r="R320" s="15" t="n">
        <f aca="false">Q320*L320</f>
        <v>2.90315789473684</v>
      </c>
      <c r="S320" s="15" t="n">
        <f aca="false">J320-R320</f>
        <v>-2.90315789473684</v>
      </c>
      <c r="T320" s="15" t="n">
        <f aca="false">MIN(153.6,(T319+S320))</f>
        <v>51.1347368421053</v>
      </c>
      <c r="V320" s="8" t="n">
        <v>2696.5</v>
      </c>
      <c r="W320" s="8" t="n">
        <f aca="false">V320/D320</f>
        <v>128.404761904762</v>
      </c>
      <c r="X320" s="8" t="n">
        <f aca="false">X319+V320</f>
        <v>279677.8</v>
      </c>
      <c r="Y320" s="8" t="n">
        <f aca="false">Y319+V320</f>
        <v>64393.3</v>
      </c>
      <c r="AA320" s="8" t="n">
        <v>16.0490245943618</v>
      </c>
    </row>
    <row r="321" s="8" customFormat="true" ht="15" hidden="false" customHeight="false" outlineLevel="0" collapsed="false">
      <c r="A321" s="78"/>
      <c r="B321" s="75"/>
      <c r="C321" s="11" t="n">
        <v>41837</v>
      </c>
      <c r="D321" s="8" t="n">
        <v>23</v>
      </c>
      <c r="E321" s="8" t="n">
        <v>17.4</v>
      </c>
      <c r="F321" s="8" t="n">
        <v>27.7</v>
      </c>
      <c r="G321" s="8" t="n">
        <f aca="false">G320+D321</f>
        <v>3420</v>
      </c>
      <c r="H321" s="8" t="n">
        <f aca="false">H320+D321</f>
        <v>722.2</v>
      </c>
      <c r="J321" s="8" t="n">
        <v>0</v>
      </c>
      <c r="K321" s="8" t="n">
        <f aca="false">K320+J321</f>
        <v>819.000000000001</v>
      </c>
      <c r="L321" s="8" t="n">
        <v>5</v>
      </c>
      <c r="M321" s="8" t="n">
        <f aca="false">M320+L321</f>
        <v>603.6</v>
      </c>
      <c r="N321" s="14" t="n">
        <f aca="false">J321-L321</f>
        <v>-5</v>
      </c>
      <c r="O321" s="74" t="n">
        <v>40.6</v>
      </c>
      <c r="P321" s="8" t="n">
        <v>316</v>
      </c>
      <c r="Q321" s="17" t="n">
        <f aca="false">1.15+((P321-255)/76)*(0.35-1.15)</f>
        <v>0.507894736842105</v>
      </c>
      <c r="R321" s="15" t="n">
        <f aca="false">Q321*L321</f>
        <v>2.53947368421053</v>
      </c>
      <c r="S321" s="15" t="n">
        <f aca="false">J321-R321</f>
        <v>-2.53947368421053</v>
      </c>
      <c r="T321" s="15" t="n">
        <f aca="false">MIN(153.6,(T320+S321))</f>
        <v>48.5952631578947</v>
      </c>
      <c r="V321" s="8" t="n">
        <v>2412.9</v>
      </c>
      <c r="W321" s="8" t="n">
        <f aca="false">V321/D321</f>
        <v>104.908695652174</v>
      </c>
      <c r="X321" s="8" t="n">
        <f aca="false">X320+V321</f>
        <v>282090.7</v>
      </c>
      <c r="Y321" s="8" t="n">
        <f aca="false">Y320+V321</f>
        <v>66806.2</v>
      </c>
      <c r="AA321" s="8" t="n">
        <v>16.0136557750835</v>
      </c>
    </row>
    <row r="322" s="8" customFormat="true" ht="15" hidden="false" customHeight="false" outlineLevel="0" collapsed="false">
      <c r="A322" s="78"/>
      <c r="B322" s="75"/>
      <c r="C322" s="11" t="n">
        <v>41838</v>
      </c>
      <c r="D322" s="8" t="n">
        <v>26.7</v>
      </c>
      <c r="E322" s="8" t="n">
        <v>20.9</v>
      </c>
      <c r="F322" s="8" t="n">
        <v>32.2</v>
      </c>
      <c r="G322" s="8" t="n">
        <f aca="false">G321+D322</f>
        <v>3446.7</v>
      </c>
      <c r="H322" s="8" t="n">
        <f aca="false">H321+D322</f>
        <v>748.9</v>
      </c>
      <c r="J322" s="8" t="n">
        <v>0.2</v>
      </c>
      <c r="K322" s="8" t="n">
        <f aca="false">K321+J322</f>
        <v>819.200000000001</v>
      </c>
      <c r="L322" s="8" t="n">
        <v>5.9</v>
      </c>
      <c r="M322" s="8" t="n">
        <f aca="false">M321+L322</f>
        <v>609.5</v>
      </c>
      <c r="N322" s="14" t="n">
        <f aca="false">J322-L322</f>
        <v>-5.7</v>
      </c>
      <c r="O322" s="74" t="n">
        <v>34.9</v>
      </c>
      <c r="P322" s="8" t="n">
        <v>317</v>
      </c>
      <c r="Q322" s="17" t="n">
        <f aca="false">1.15+((P322-255)/76)*(0.35-1.15)</f>
        <v>0.497368421052632</v>
      </c>
      <c r="R322" s="15" t="n">
        <f aca="false">Q322*L322</f>
        <v>2.93447368421053</v>
      </c>
      <c r="S322" s="15" t="n">
        <f aca="false">J322-R322</f>
        <v>-2.73447368421053</v>
      </c>
      <c r="T322" s="15" t="n">
        <f aca="false">MIN(153.6,(T321+S322))</f>
        <v>45.8607894736842</v>
      </c>
      <c r="V322" s="8" t="n">
        <v>2555.2</v>
      </c>
      <c r="W322" s="8" t="n">
        <f aca="false">V322/D322</f>
        <v>95.7003745318352</v>
      </c>
      <c r="X322" s="8" t="n">
        <f aca="false">X321+V322</f>
        <v>284645.9</v>
      </c>
      <c r="Y322" s="8" t="n">
        <f aca="false">Y321+V322</f>
        <v>69361.4</v>
      </c>
      <c r="AA322" s="8" t="n">
        <v>15.9771494259616</v>
      </c>
    </row>
    <row r="323" s="8" customFormat="true" ht="15" hidden="false" customHeight="false" outlineLevel="0" collapsed="false">
      <c r="A323" s="78"/>
      <c r="B323" s="75"/>
      <c r="C323" s="11" t="n">
        <v>41839</v>
      </c>
      <c r="D323" s="8" t="n">
        <v>24.1</v>
      </c>
      <c r="E323" s="8" t="n">
        <v>22.4</v>
      </c>
      <c r="F323" s="8" t="n">
        <v>27.6</v>
      </c>
      <c r="G323" s="8" t="n">
        <f aca="false">G322+D323</f>
        <v>3470.8</v>
      </c>
      <c r="H323" s="8" t="n">
        <f aca="false">H322+D323</f>
        <v>773</v>
      </c>
      <c r="J323" s="8" t="n">
        <v>8</v>
      </c>
      <c r="K323" s="8" t="n">
        <f aca="false">K322+J323</f>
        <v>827.200000000001</v>
      </c>
      <c r="L323" s="8" t="n">
        <v>3.7</v>
      </c>
      <c r="M323" s="8" t="n">
        <f aca="false">M322+L323</f>
        <v>613.2</v>
      </c>
      <c r="N323" s="8" t="n">
        <f aca="false">J323-L323</f>
        <v>4.3</v>
      </c>
      <c r="O323" s="74" t="n">
        <v>39.2</v>
      </c>
      <c r="P323" s="8" t="n">
        <v>318</v>
      </c>
      <c r="Q323" s="17" t="n">
        <f aca="false">1.15+((P323-255)/76)*(0.35-1.15)</f>
        <v>0.486842105263158</v>
      </c>
      <c r="R323" s="15" t="n">
        <f aca="false">Q323*L323</f>
        <v>1.80131578947368</v>
      </c>
      <c r="S323" s="15" t="n">
        <f aca="false">J323-R323</f>
        <v>6.19868421052632</v>
      </c>
      <c r="T323" s="15" t="n">
        <f aca="false">MIN(153.6,(T322+S323))</f>
        <v>52.0594736842105</v>
      </c>
      <c r="V323" s="8" t="n">
        <v>1476</v>
      </c>
      <c r="W323" s="8" t="n">
        <f aca="false">V323/D323</f>
        <v>61.2448132780083</v>
      </c>
      <c r="X323" s="8" t="n">
        <f aca="false">X322+V323</f>
        <v>286121.9</v>
      </c>
      <c r="Y323" s="8" t="n">
        <f aca="false">Y322+V323</f>
        <v>70837.4</v>
      </c>
      <c r="AA323" s="8" t="n">
        <v>15.9395356580286</v>
      </c>
    </row>
    <row r="324" s="8" customFormat="true" ht="15" hidden="false" customHeight="false" outlineLevel="0" collapsed="false">
      <c r="A324" s="78"/>
      <c r="B324" s="75"/>
      <c r="C324" s="11" t="n">
        <v>41840</v>
      </c>
      <c r="D324" s="8" t="n">
        <v>19.7</v>
      </c>
      <c r="E324" s="8" t="n">
        <v>18.1</v>
      </c>
      <c r="F324" s="8" t="n">
        <v>21.4</v>
      </c>
      <c r="G324" s="8" t="n">
        <f aca="false">G323+D324</f>
        <v>3490.5</v>
      </c>
      <c r="H324" s="8" t="n">
        <f aca="false">H323+D324</f>
        <v>792.7</v>
      </c>
      <c r="J324" s="8" t="n">
        <v>1.7</v>
      </c>
      <c r="K324" s="8" t="n">
        <f aca="false">K323+J324</f>
        <v>828.900000000001</v>
      </c>
      <c r="L324" s="8" t="n">
        <v>2</v>
      </c>
      <c r="M324" s="8" t="n">
        <f aca="false">M323+L324</f>
        <v>615.2</v>
      </c>
      <c r="N324" s="14" t="n">
        <f aca="false">J324-L324</f>
        <v>-0.3</v>
      </c>
      <c r="O324" s="74" t="n">
        <v>38.9</v>
      </c>
      <c r="P324" s="8" t="n">
        <v>319</v>
      </c>
      <c r="Q324" s="17" t="n">
        <f aca="false">1.15+((P324-255)/76)*(0.35-1.15)</f>
        <v>0.476315789473684</v>
      </c>
      <c r="R324" s="15" t="n">
        <f aca="false">Q324*L324</f>
        <v>0.952631578947369</v>
      </c>
      <c r="S324" s="15" t="n">
        <f aca="false">J324-R324</f>
        <v>0.747368421052632</v>
      </c>
      <c r="T324" s="15" t="n">
        <f aca="false">MIN(153.6,(T323+S324))</f>
        <v>52.8068421052632</v>
      </c>
      <c r="V324" s="8" t="n">
        <v>783.2</v>
      </c>
      <c r="W324" s="8" t="n">
        <f aca="false">V324/D324</f>
        <v>39.756345177665</v>
      </c>
      <c r="X324" s="8" t="n">
        <f aca="false">X323+V324</f>
        <v>286905.1</v>
      </c>
      <c r="Y324" s="8" t="n">
        <f aca="false">Y323+V324</f>
        <v>71620.6</v>
      </c>
      <c r="AA324" s="8" t="n">
        <v>15.9008447173948</v>
      </c>
    </row>
    <row r="325" s="8" customFormat="true" ht="15" hidden="false" customHeight="false" outlineLevel="0" collapsed="false">
      <c r="A325" s="78"/>
      <c r="B325" s="75"/>
      <c r="C325" s="11" t="n">
        <v>41841</v>
      </c>
      <c r="D325" s="8" t="n">
        <v>19.7</v>
      </c>
      <c r="E325" s="8" t="n">
        <v>18.6</v>
      </c>
      <c r="F325" s="8" t="n">
        <v>21.6</v>
      </c>
      <c r="G325" s="8" t="n">
        <f aca="false">G324+D325</f>
        <v>3510.2</v>
      </c>
      <c r="H325" s="8" t="n">
        <f aca="false">H324+D325</f>
        <v>812.4</v>
      </c>
      <c r="J325" s="8" t="n">
        <v>0.6</v>
      </c>
      <c r="K325" s="8" t="n">
        <f aca="false">K324+J325</f>
        <v>829.500000000001</v>
      </c>
      <c r="L325" s="8" t="n">
        <v>2.2</v>
      </c>
      <c r="M325" s="8" t="n">
        <f aca="false">M324+L325</f>
        <v>617.4</v>
      </c>
      <c r="N325" s="14" t="n">
        <f aca="false">J325-L325</f>
        <v>-1.6</v>
      </c>
      <c r="O325" s="74" t="n">
        <v>37.3</v>
      </c>
      <c r="P325" s="8" t="n">
        <v>320</v>
      </c>
      <c r="Q325" s="17" t="n">
        <f aca="false">1.15+((P325-255)/76)*(0.35-1.15)</f>
        <v>0.465789473684211</v>
      </c>
      <c r="R325" s="15" t="n">
        <f aca="false">Q325*L325</f>
        <v>1.02473684210526</v>
      </c>
      <c r="S325" s="15" t="n">
        <f aca="false">J325-R325</f>
        <v>-0.424736842105263</v>
      </c>
      <c r="T325" s="15" t="n">
        <f aca="false">MIN(153.6,(T324+S325))</f>
        <v>52.3821052631579</v>
      </c>
      <c r="V325" s="8" t="n">
        <v>575.7</v>
      </c>
      <c r="W325" s="8" t="n">
        <f aca="false">V325/D325</f>
        <v>29.2233502538071</v>
      </c>
      <c r="X325" s="8" t="n">
        <f aca="false">X324+V325</f>
        <v>287480.8</v>
      </c>
      <c r="Y325" s="8" t="n">
        <f aca="false">Y324+V325</f>
        <v>72196.3</v>
      </c>
      <c r="AA325" s="8" t="n">
        <v>15.8611069139063</v>
      </c>
    </row>
    <row r="326" s="8" customFormat="true" ht="15" hidden="false" customHeight="false" outlineLevel="0" collapsed="false">
      <c r="A326" s="78"/>
      <c r="B326" s="75"/>
      <c r="C326" s="11" t="n">
        <v>41842</v>
      </c>
      <c r="D326" s="8" t="n">
        <v>20.2</v>
      </c>
      <c r="E326" s="8" t="n">
        <v>17.8</v>
      </c>
      <c r="F326" s="8" t="n">
        <v>23</v>
      </c>
      <c r="G326" s="8" t="n">
        <f aca="false">G325+D326</f>
        <v>3530.4</v>
      </c>
      <c r="H326" s="8" t="n">
        <f aca="false">H325+D326</f>
        <v>832.6</v>
      </c>
      <c r="J326" s="8" t="n">
        <v>0.1</v>
      </c>
      <c r="K326" s="8" t="n">
        <f aca="false">K325+J326</f>
        <v>829.600000000001</v>
      </c>
      <c r="L326" s="8" t="n">
        <v>1.9</v>
      </c>
      <c r="M326" s="8" t="n">
        <f aca="false">M325+L326</f>
        <v>619.3</v>
      </c>
      <c r="N326" s="14" t="n">
        <f aca="false">J326-L326</f>
        <v>-1.8</v>
      </c>
      <c r="O326" s="74" t="n">
        <v>35.5</v>
      </c>
      <c r="P326" s="8" t="n">
        <v>321</v>
      </c>
      <c r="Q326" s="17" t="n">
        <f aca="false">1.15+((P326-255)/76)*(0.35-1.15)</f>
        <v>0.455263157894737</v>
      </c>
      <c r="R326" s="15" t="n">
        <f aca="false">Q326*L326</f>
        <v>0.865</v>
      </c>
      <c r="S326" s="15" t="n">
        <f aca="false">J326-R326</f>
        <v>-0.765</v>
      </c>
      <c r="T326" s="15" t="n">
        <f aca="false">MIN(153.6,(T325+S326))</f>
        <v>51.6171052631579</v>
      </c>
      <c r="V326" s="8" t="n">
        <v>682.4</v>
      </c>
      <c r="W326" s="8" t="n">
        <f aca="false">V326/D326</f>
        <v>33.7821782178218</v>
      </c>
      <c r="X326" s="8" t="n">
        <f aca="false">X325+V326</f>
        <v>288163.2</v>
      </c>
      <c r="Y326" s="8" t="n">
        <f aca="false">Y325+V326</f>
        <v>72878.7</v>
      </c>
      <c r="AA326" s="8" t="n">
        <v>15.8203525530745</v>
      </c>
    </row>
    <row r="327" s="8" customFormat="true" ht="15" hidden="false" customHeight="false" outlineLevel="0" collapsed="false">
      <c r="A327" s="78"/>
      <c r="B327" s="75"/>
      <c r="C327" s="11" t="n">
        <v>41843</v>
      </c>
      <c r="D327" s="8" t="n">
        <v>23.9</v>
      </c>
      <c r="E327" s="8" t="n">
        <v>17.5</v>
      </c>
      <c r="F327" s="8" t="n">
        <v>27.9</v>
      </c>
      <c r="G327" s="8" t="n">
        <f aca="false">G326+D327</f>
        <v>3554.3</v>
      </c>
      <c r="H327" s="8" t="n">
        <f aca="false">H326+D327</f>
        <v>856.5</v>
      </c>
      <c r="J327" s="8" t="n">
        <v>0</v>
      </c>
      <c r="K327" s="8" t="n">
        <f aca="false">K326+J327</f>
        <v>829.600000000001</v>
      </c>
      <c r="L327" s="8" t="n">
        <v>4.3</v>
      </c>
      <c r="M327" s="8" t="n">
        <f aca="false">M326+L327</f>
        <v>623.6</v>
      </c>
      <c r="N327" s="14" t="n">
        <f aca="false">J327-L327</f>
        <v>-4.3</v>
      </c>
      <c r="O327" s="74" t="n">
        <v>31.2</v>
      </c>
      <c r="P327" s="8" t="n">
        <v>322</v>
      </c>
      <c r="Q327" s="17" t="n">
        <f aca="false">1.15+((P327-255)/76)*(0.35-1.15)</f>
        <v>0.444736842105263</v>
      </c>
      <c r="R327" s="15" t="n">
        <f aca="false">Q327*L327</f>
        <v>1.91236842105263</v>
      </c>
      <c r="S327" s="15" t="n">
        <f aca="false">J327-R327</f>
        <v>-1.91236842105263</v>
      </c>
      <c r="T327" s="15" t="n">
        <f aca="false">MIN(153.6,(T326+S327))</f>
        <v>49.7047368421053</v>
      </c>
      <c r="V327" s="8" t="n">
        <v>2026.4</v>
      </c>
      <c r="W327" s="8" t="n">
        <f aca="false">V327/D327</f>
        <v>84.7866108786611</v>
      </c>
      <c r="X327" s="8" t="n">
        <f aca="false">X326+V327</f>
        <v>290189.6</v>
      </c>
      <c r="Y327" s="8" t="n">
        <f aca="false">Y326+V327</f>
        <v>74905.1</v>
      </c>
      <c r="AA327" s="8" t="n">
        <v>15.7786118714384</v>
      </c>
    </row>
    <row r="328" s="8" customFormat="true" ht="15" hidden="false" customHeight="false" outlineLevel="0" collapsed="false">
      <c r="A328" s="78"/>
      <c r="B328" s="75"/>
      <c r="C328" s="11" t="n">
        <v>41844</v>
      </c>
      <c r="D328" s="8" t="n">
        <v>23.4</v>
      </c>
      <c r="E328" s="8" t="n">
        <v>20.6</v>
      </c>
      <c r="F328" s="8" t="n">
        <v>26.7</v>
      </c>
      <c r="G328" s="8" t="n">
        <f aca="false">G327+D328</f>
        <v>3577.7</v>
      </c>
      <c r="H328" s="8" t="n">
        <f aca="false">H327+D328</f>
        <v>879.9</v>
      </c>
      <c r="J328" s="8" t="n">
        <v>0</v>
      </c>
      <c r="K328" s="8" t="n">
        <f aca="false">K327+J328</f>
        <v>829.600000000001</v>
      </c>
      <c r="L328" s="8" t="n">
        <v>5.5</v>
      </c>
      <c r="M328" s="8" t="n">
        <f aca="false">M327+L328</f>
        <v>629.1</v>
      </c>
      <c r="N328" s="14" t="n">
        <f aca="false">J328-L328</f>
        <v>-5.5</v>
      </c>
      <c r="O328" s="74" t="n">
        <v>25.7</v>
      </c>
      <c r="P328" s="8" t="n">
        <v>323</v>
      </c>
      <c r="Q328" s="17" t="n">
        <f aca="false">1.15+((P328-255)/76)*(0.35-1.15)</f>
        <v>0.43421052631579</v>
      </c>
      <c r="R328" s="15" t="n">
        <f aca="false">Q328*L328</f>
        <v>2.38815789473684</v>
      </c>
      <c r="S328" s="15" t="n">
        <f aca="false">J328-R328</f>
        <v>-2.38815789473684</v>
      </c>
      <c r="T328" s="15" t="n">
        <f aca="false">MIN(153.6,(T327+S328))</f>
        <v>47.3165789473684</v>
      </c>
      <c r="V328" s="8" t="n">
        <v>2118.8</v>
      </c>
      <c r="W328" s="8" t="n">
        <f aca="false">V328/D328</f>
        <v>90.5470085470086</v>
      </c>
      <c r="X328" s="8" t="n">
        <f aca="false">X327+V328</f>
        <v>292308.4</v>
      </c>
      <c r="Y328" s="8" t="n">
        <f aca="false">Y327+V328</f>
        <v>77023.9</v>
      </c>
      <c r="AA328" s="8" t="n">
        <v>15.7359149754865</v>
      </c>
    </row>
    <row r="329" s="8" customFormat="true" ht="15" hidden="false" customHeight="false" outlineLevel="0" collapsed="false">
      <c r="A329" s="78"/>
      <c r="B329" s="75"/>
      <c r="C329" s="11" t="n">
        <v>41845</v>
      </c>
      <c r="D329" s="8" t="n">
        <v>20.8</v>
      </c>
      <c r="E329" s="8" t="n">
        <v>18.2</v>
      </c>
      <c r="F329" s="8" t="n">
        <v>24</v>
      </c>
      <c r="G329" s="8" t="n">
        <f aca="false">G328+D329</f>
        <v>3598.5</v>
      </c>
      <c r="H329" s="8" t="n">
        <f aca="false">H328+D329</f>
        <v>900.7</v>
      </c>
      <c r="J329" s="8" t="n">
        <v>0</v>
      </c>
      <c r="K329" s="8" t="n">
        <f aca="false">K328+J329</f>
        <v>829.600000000001</v>
      </c>
      <c r="L329" s="8" t="n">
        <v>4.9</v>
      </c>
      <c r="M329" s="8" t="n">
        <f aca="false">M328+L329</f>
        <v>634</v>
      </c>
      <c r="N329" s="14" t="n">
        <f aca="false">J329-L329</f>
        <v>-4.9</v>
      </c>
      <c r="O329" s="74" t="n">
        <v>20.8</v>
      </c>
      <c r="P329" s="8" t="n">
        <v>324</v>
      </c>
      <c r="Q329" s="17" t="n">
        <f aca="false">1.15+((P329-255)/76)*(0.35-1.15)</f>
        <v>0.423684210526316</v>
      </c>
      <c r="R329" s="15" t="n">
        <f aca="false">Q329*L329</f>
        <v>2.07605263157895</v>
      </c>
      <c r="S329" s="15" t="n">
        <f aca="false">J329-R329</f>
        <v>-2.07605263157895</v>
      </c>
      <c r="T329" s="15" t="n">
        <f aca="false">MIN(153.6,(T328+S329))</f>
        <v>45.2405263157895</v>
      </c>
      <c r="V329" s="8" t="n">
        <v>2027.3</v>
      </c>
      <c r="W329" s="8" t="n">
        <f aca="false">V329/D329</f>
        <v>97.4663461538462</v>
      </c>
      <c r="X329" s="8" t="n">
        <f aca="false">X328+V329</f>
        <v>294335.7</v>
      </c>
      <c r="Y329" s="8" t="n">
        <f aca="false">Y328+V329</f>
        <v>79051.2</v>
      </c>
      <c r="AA329" s="8" t="n">
        <v>15.6922917842288</v>
      </c>
    </row>
    <row r="330" s="8" customFormat="true" ht="15" hidden="false" customHeight="false" outlineLevel="0" collapsed="false">
      <c r="A330" s="78"/>
      <c r="B330" s="75"/>
      <c r="C330" s="11" t="n">
        <v>41846</v>
      </c>
      <c r="D330" s="8" t="n">
        <v>20.6</v>
      </c>
      <c r="E330" s="8" t="n">
        <v>17.2</v>
      </c>
      <c r="F330" s="8" t="n">
        <v>23.6</v>
      </c>
      <c r="G330" s="8" t="n">
        <f aca="false">G329+D330</f>
        <v>3619.1</v>
      </c>
      <c r="H330" s="8" t="n">
        <f aca="false">H329+D330</f>
        <v>921.3</v>
      </c>
      <c r="J330" s="8" t="n">
        <v>0</v>
      </c>
      <c r="K330" s="8" t="n">
        <f aca="false">K329+J330</f>
        <v>829.600000000001</v>
      </c>
      <c r="L330" s="8" t="n">
        <v>3.5</v>
      </c>
      <c r="M330" s="8" t="n">
        <f aca="false">M329+L330</f>
        <v>637.5</v>
      </c>
      <c r="N330" s="14" t="n">
        <f aca="false">J330-L330</f>
        <v>-3.5</v>
      </c>
      <c r="O330" s="74" t="n">
        <v>17.3</v>
      </c>
      <c r="P330" s="8" t="n">
        <v>325</v>
      </c>
      <c r="Q330" s="17" t="n">
        <f aca="false">1.15+((P330-255)/76)*(0.35-1.15)</f>
        <v>0.413157894736842</v>
      </c>
      <c r="R330" s="15" t="n">
        <f aca="false">Q330*L330</f>
        <v>1.44605263157895</v>
      </c>
      <c r="S330" s="15" t="n">
        <f aca="false">J330-R330</f>
        <v>-1.44605263157895</v>
      </c>
      <c r="T330" s="15" t="n">
        <f aca="false">MIN(153.6,(T329+S330))</f>
        <v>43.7944736842105</v>
      </c>
      <c r="V330" s="8" t="n">
        <v>1450.8</v>
      </c>
      <c r="W330" s="8" t="n">
        <f aca="false">V330/D330</f>
        <v>70.4271844660194</v>
      </c>
      <c r="X330" s="8" t="n">
        <f aca="false">X329+V330</f>
        <v>295786.5</v>
      </c>
      <c r="Y330" s="8" t="n">
        <f aca="false">Y329+V330</f>
        <v>80502</v>
      </c>
      <c r="AA330" s="8" t="n">
        <v>15.647771975479</v>
      </c>
    </row>
    <row r="331" s="8" customFormat="true" ht="15" hidden="false" customHeight="false" outlineLevel="0" collapsed="false">
      <c r="A331" s="78"/>
      <c r="B331" s="75"/>
      <c r="C331" s="11" t="n">
        <v>41847</v>
      </c>
      <c r="D331" s="8" t="n">
        <v>21.3</v>
      </c>
      <c r="E331" s="8" t="n">
        <v>17.4</v>
      </c>
      <c r="F331" s="8" t="n">
        <v>26.4</v>
      </c>
      <c r="G331" s="8" t="n">
        <f aca="false">G330+D331</f>
        <v>3640.4</v>
      </c>
      <c r="H331" s="8" t="n">
        <f aca="false">H330+D331</f>
        <v>942.6</v>
      </c>
      <c r="J331" s="8" t="n">
        <v>16.1</v>
      </c>
      <c r="K331" s="8" t="n">
        <f aca="false">K330+J331</f>
        <v>845.700000000001</v>
      </c>
      <c r="L331" s="8" t="n">
        <v>3.5</v>
      </c>
      <c r="M331" s="8" t="n">
        <f aca="false">M330+L331</f>
        <v>641</v>
      </c>
      <c r="N331" s="8" t="n">
        <f aca="false">J331-L331</f>
        <v>12.6</v>
      </c>
      <c r="O331" s="74" t="n">
        <v>29.9</v>
      </c>
      <c r="P331" s="8" t="n">
        <v>326</v>
      </c>
      <c r="Q331" s="17" t="n">
        <f aca="false">1.15+((P331-255)/76)*(0.35-1.15)</f>
        <v>0.402631578947368</v>
      </c>
      <c r="R331" s="15" t="n">
        <f aca="false">Q331*L331</f>
        <v>1.40921052631579</v>
      </c>
      <c r="S331" s="15" t="n">
        <f aca="false">J331-R331</f>
        <v>14.6907894736842</v>
      </c>
      <c r="T331" s="15" t="n">
        <f aca="false">MIN(153.6,(T330+S331))</f>
        <v>58.4852631578947</v>
      </c>
      <c r="V331" s="8" t="n">
        <v>1477.3</v>
      </c>
      <c r="W331" s="8" t="n">
        <f aca="false">V331/D331</f>
        <v>69.3568075117371</v>
      </c>
      <c r="X331" s="8" t="n">
        <f aca="false">X330+V331</f>
        <v>297263.8</v>
      </c>
      <c r="Y331" s="8" t="n">
        <f aca="false">Y330+V331</f>
        <v>81979.3</v>
      </c>
      <c r="AA331" s="8" t="n">
        <v>15.602384935874</v>
      </c>
    </row>
    <row r="332" s="8" customFormat="true" ht="15" hidden="false" customHeight="false" outlineLevel="0" collapsed="false">
      <c r="A332" s="78"/>
      <c r="B332" s="75"/>
      <c r="C332" s="11" t="n">
        <v>41848</v>
      </c>
      <c r="D332" s="8" t="n">
        <v>17.9</v>
      </c>
      <c r="E332" s="8" t="n">
        <v>16.8</v>
      </c>
      <c r="F332" s="8" t="n">
        <v>18.9</v>
      </c>
      <c r="G332" s="8" t="n">
        <f aca="false">G331+D332</f>
        <v>3658.3</v>
      </c>
      <c r="H332" s="8" t="n">
        <f aca="false">H331+D332</f>
        <v>960.5</v>
      </c>
      <c r="J332" s="8" t="n">
        <v>6.1</v>
      </c>
      <c r="K332" s="8" t="n">
        <f aca="false">K331+J332</f>
        <v>851.800000000001</v>
      </c>
      <c r="L332" s="8" t="n">
        <v>2</v>
      </c>
      <c r="M332" s="8" t="n">
        <f aca="false">M331+L332</f>
        <v>643</v>
      </c>
      <c r="N332" s="8" t="n">
        <f aca="false">J332-L332</f>
        <v>4.1</v>
      </c>
      <c r="O332" s="74" t="n">
        <v>34</v>
      </c>
      <c r="P332" s="8" t="n">
        <v>327</v>
      </c>
      <c r="Q332" s="17" t="n">
        <f aca="false">1.15+((P332-255)/76)*(0.35-1.15)</f>
        <v>0.392105263157895</v>
      </c>
      <c r="R332" s="15" t="n">
        <f aca="false">Q332*L332</f>
        <v>0.78421052631579</v>
      </c>
      <c r="S332" s="15" t="n">
        <f aca="false">J332-R332</f>
        <v>5.31578947368421</v>
      </c>
      <c r="T332" s="15" t="n">
        <f aca="false">MIN(153.6,(T331+S332))</f>
        <v>63.801052631579</v>
      </c>
      <c r="V332" s="8" t="n">
        <v>785.4</v>
      </c>
      <c r="W332" s="8" t="n">
        <f aca="false">V332/D332</f>
        <v>43.877094972067</v>
      </c>
      <c r="X332" s="8" t="n">
        <f aca="false">X331+V332</f>
        <v>298049.2</v>
      </c>
      <c r="Y332" s="8" t="n">
        <f aca="false">Y331+V332</f>
        <v>82764.7</v>
      </c>
      <c r="AA332" s="8" t="n">
        <v>15.5561597146345</v>
      </c>
    </row>
    <row r="333" s="8" customFormat="true" ht="15" hidden="false" customHeight="false" outlineLevel="0" collapsed="false">
      <c r="A333" s="78"/>
      <c r="B333" s="75"/>
      <c r="C333" s="11" t="n">
        <v>41849</v>
      </c>
      <c r="D333" s="8" t="n">
        <v>18.6</v>
      </c>
      <c r="E333" s="8" t="n">
        <v>15.9</v>
      </c>
      <c r="F333" s="8" t="n">
        <v>22.1</v>
      </c>
      <c r="G333" s="8" t="n">
        <f aca="false">G332+D333</f>
        <v>3676.9</v>
      </c>
      <c r="H333" s="8" t="n">
        <f aca="false">H332+D333</f>
        <v>979.1</v>
      </c>
      <c r="J333" s="8" t="n">
        <v>0.1</v>
      </c>
      <c r="K333" s="8" t="n">
        <f aca="false">K332+J333</f>
        <v>851.900000000001</v>
      </c>
      <c r="L333" s="8" t="n">
        <v>1.7</v>
      </c>
      <c r="M333" s="8" t="n">
        <f aca="false">M332+L333</f>
        <v>644.7</v>
      </c>
      <c r="N333" s="14" t="n">
        <f aca="false">J333-L333</f>
        <v>-1.6</v>
      </c>
      <c r="O333" s="74" t="n">
        <v>32.4</v>
      </c>
      <c r="P333" s="8" t="n">
        <v>328</v>
      </c>
      <c r="Q333" s="17" t="n">
        <f aca="false">1.15+((P333-255)/76)*(0.35-1.15)</f>
        <v>0.381578947368421</v>
      </c>
      <c r="R333" s="15" t="n">
        <f aca="false">Q333*L333</f>
        <v>0.648684210526316</v>
      </c>
      <c r="S333" s="15" t="n">
        <f aca="false">J333-R333</f>
        <v>-0.548684210526316</v>
      </c>
      <c r="T333" s="15" t="n">
        <f aca="false">MIN(153.6,(T332+S333))</f>
        <v>63.2523684210526</v>
      </c>
      <c r="V333" s="8" t="n">
        <v>612.9</v>
      </c>
      <c r="W333" s="8" t="n">
        <f aca="false">V333/D333</f>
        <v>32.9516129032258</v>
      </c>
      <c r="X333" s="8" t="n">
        <f aca="false">X332+V333</f>
        <v>298662.1</v>
      </c>
      <c r="Y333" s="8" t="n">
        <f aca="false">Y332+V333</f>
        <v>83377.6</v>
      </c>
      <c r="AA333" s="8" t="n">
        <v>15.5091249810414</v>
      </c>
    </row>
    <row r="334" s="8" customFormat="true" ht="15" hidden="false" customHeight="false" outlineLevel="0" collapsed="false">
      <c r="A334" s="78"/>
      <c r="B334" s="75"/>
      <c r="C334" s="11" t="n">
        <v>41850</v>
      </c>
      <c r="D334" s="8" t="n">
        <v>17.9</v>
      </c>
      <c r="E334" s="8" t="n">
        <v>14.9</v>
      </c>
      <c r="F334" s="8" t="n">
        <v>21.8</v>
      </c>
      <c r="G334" s="8" t="n">
        <f aca="false">G333+D334</f>
        <v>3694.8</v>
      </c>
      <c r="H334" s="8" t="n">
        <f aca="false">H333+D334</f>
        <v>997</v>
      </c>
      <c r="J334" s="8" t="n">
        <v>0</v>
      </c>
      <c r="K334" s="8" t="n">
        <f aca="false">K333+J334</f>
        <v>851.900000000001</v>
      </c>
      <c r="L334" s="8" t="n">
        <v>4</v>
      </c>
      <c r="M334" s="8" t="n">
        <f aca="false">M333+L334</f>
        <v>648.7</v>
      </c>
      <c r="N334" s="14" t="n">
        <f aca="false">J334-L334</f>
        <v>-4</v>
      </c>
      <c r="O334" s="74" t="n">
        <v>28.4</v>
      </c>
      <c r="P334" s="8" t="n">
        <v>329</v>
      </c>
      <c r="Q334" s="17" t="n">
        <f aca="false">1.15+((P334-255)/76)*(0.35-1.15)</f>
        <v>0.371052631578947</v>
      </c>
      <c r="R334" s="15" t="n">
        <f aca="false">Q334*L334</f>
        <v>1.48421052631579</v>
      </c>
      <c r="S334" s="15" t="n">
        <f aca="false">J334-R334</f>
        <v>-1.48421052631579</v>
      </c>
      <c r="T334" s="15" t="n">
        <f aca="false">MIN(153.6,(T333+S334))</f>
        <v>61.7681578947368</v>
      </c>
      <c r="V334" s="8" t="n">
        <v>2147.3</v>
      </c>
      <c r="W334" s="8" t="n">
        <f aca="false">V334/D334</f>
        <v>119.960893854749</v>
      </c>
      <c r="X334" s="8" t="n">
        <f aca="false">X333+V334</f>
        <v>300809.4</v>
      </c>
      <c r="Y334" s="8" t="n">
        <f aca="false">Y333+V334</f>
        <v>85524.9</v>
      </c>
      <c r="AA334" s="8" t="n">
        <v>15.4613089855818</v>
      </c>
    </row>
    <row r="335" s="8" customFormat="true" ht="15" hidden="false" customHeight="false" outlineLevel="0" collapsed="false">
      <c r="A335" s="78"/>
      <c r="B335" s="75"/>
      <c r="C335" s="11" t="n">
        <v>41851</v>
      </c>
      <c r="D335" s="8" t="n">
        <v>19.1</v>
      </c>
      <c r="E335" s="8" t="n">
        <v>13.9</v>
      </c>
      <c r="F335" s="8" t="n">
        <v>24.4</v>
      </c>
      <c r="G335" s="8" t="n">
        <f aca="false">G334+D335</f>
        <v>3713.9</v>
      </c>
      <c r="H335" s="8" t="n">
        <f aca="false">H334+D335</f>
        <v>1016.1</v>
      </c>
      <c r="J335" s="8" t="n">
        <v>0</v>
      </c>
      <c r="K335" s="8" t="n">
        <f aca="false">K334+J335</f>
        <v>851.900000000001</v>
      </c>
      <c r="L335" s="8" t="n">
        <v>4.2</v>
      </c>
      <c r="M335" s="8" t="n">
        <f aca="false">M334+L335</f>
        <v>652.9</v>
      </c>
      <c r="N335" s="14" t="n">
        <f aca="false">J335-L335</f>
        <v>-4.2</v>
      </c>
      <c r="O335" s="74" t="n">
        <v>24.2</v>
      </c>
      <c r="P335" s="8" t="n">
        <v>330</v>
      </c>
      <c r="Q335" s="17" t="n">
        <f aca="false">1.15+((P335-255)/76)*(0.35-1.15)</f>
        <v>0.360526315789474</v>
      </c>
      <c r="R335" s="15" t="n">
        <f aca="false">Q335*L335</f>
        <v>1.51421052631579</v>
      </c>
      <c r="S335" s="15" t="n">
        <f aca="false">J335-R335</f>
        <v>-1.51421052631579</v>
      </c>
      <c r="T335" s="15" t="n">
        <f aca="false">MIN(153.6,(T334+S335))</f>
        <v>60.2539473684211</v>
      </c>
      <c r="V335" s="8" t="n">
        <v>2180.8</v>
      </c>
      <c r="W335" s="8" t="n">
        <f aca="false">V335/D335</f>
        <v>114.178010471204</v>
      </c>
      <c r="X335" s="8" t="n">
        <f aca="false">X334+V335</f>
        <v>302990.2</v>
      </c>
      <c r="Y335" s="8" t="n">
        <f aca="false">Y334+V335</f>
        <v>87705.7</v>
      </c>
      <c r="AA335" s="8" t="n">
        <v>15.4127395247007</v>
      </c>
    </row>
    <row r="336" s="8" customFormat="true" ht="15" hidden="false" customHeight="false" outlineLevel="0" collapsed="false">
      <c r="A336" s="78"/>
      <c r="B336" s="75"/>
      <c r="C336" s="11" t="n">
        <v>41852</v>
      </c>
      <c r="D336" s="8" t="n">
        <v>20.6</v>
      </c>
      <c r="E336" s="8" t="n">
        <v>13</v>
      </c>
      <c r="F336" s="8" t="n">
        <v>25</v>
      </c>
      <c r="G336" s="8" t="n">
        <f aca="false">G335+D336</f>
        <v>3734.5</v>
      </c>
      <c r="H336" s="8" t="n">
        <f aca="false">H335+D336</f>
        <v>1036.7</v>
      </c>
      <c r="J336" s="8" t="n">
        <v>0</v>
      </c>
      <c r="K336" s="8" t="n">
        <f aca="false">K335+J336</f>
        <v>851.900000000001</v>
      </c>
      <c r="L336" s="8" t="n">
        <v>3.8</v>
      </c>
      <c r="M336" s="8" t="n">
        <f aca="false">M335+L336</f>
        <v>656.7</v>
      </c>
      <c r="N336" s="14" t="n">
        <f aca="false">J336-L336</f>
        <v>-3.8</v>
      </c>
      <c r="O336" s="74" t="n">
        <v>20.4</v>
      </c>
      <c r="P336" s="8" t="n">
        <v>331</v>
      </c>
      <c r="Q336" s="17" t="n">
        <f aca="false">1.15+((P336-255)/76)*(0.35-1.15)</f>
        <v>0.35</v>
      </c>
      <c r="R336" s="15" t="n">
        <f aca="false">Q336*L336</f>
        <v>1.33</v>
      </c>
      <c r="S336" s="15" t="n">
        <f aca="false">J336-R336</f>
        <v>-1.33</v>
      </c>
      <c r="T336" s="15" t="n">
        <f aca="false">MIN(153.6,(T335+S336))</f>
        <v>58.9239473684211</v>
      </c>
      <c r="V336" s="8" t="n">
        <v>2149.6</v>
      </c>
      <c r="W336" s="8" t="n">
        <f aca="false">V336/D336</f>
        <v>104.349514563107</v>
      </c>
      <c r="X336" s="8" t="n">
        <f aca="false">X335+V336</f>
        <v>305139.8</v>
      </c>
      <c r="Y336" s="8" t="n">
        <f aca="false">Y335+V336</f>
        <v>89855.3</v>
      </c>
      <c r="AA336" s="8" t="n">
        <v>15.3634439090721</v>
      </c>
    </row>
    <row r="337" s="8" customFormat="true" ht="15" hidden="false" customHeight="false" outlineLevel="0" collapsed="false">
      <c r="A337" s="79" t="s">
        <v>56</v>
      </c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</sheetData>
  <mergeCells count="13">
    <mergeCell ref="D1:I2"/>
    <mergeCell ref="J1:U2"/>
    <mergeCell ref="V1:Z2"/>
    <mergeCell ref="G4:H4"/>
    <mergeCell ref="X4:Y4"/>
    <mergeCell ref="A5:Z5"/>
    <mergeCell ref="A6:A81"/>
    <mergeCell ref="A82:A106"/>
    <mergeCell ref="A107:A214"/>
    <mergeCell ref="A236:A260"/>
    <mergeCell ref="A261:A280"/>
    <mergeCell ref="A281:A303"/>
    <mergeCell ref="A337:Z337"/>
  </mergeCells>
  <conditionalFormatting sqref="T5:T337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51.2</formula>
    </cfRule>
  </conditionalFormatting>
  <conditionalFormatting sqref="S6:S336">
    <cfRule type="cellIs" priority="4" operator="lessThanOrEqual" aboveAverage="0" equalAverage="0" bottom="0" percent="0" rank="0" text="" dxfId="2">
      <formula>0</formula>
    </cfRule>
  </conditionalFormatting>
  <conditionalFormatting sqref="T1:T4">
    <cfRule type="cellIs" priority="5" operator="equal" aboveAverage="0" equalAverage="0" bottom="0" percent="0" rank="0" text="" dxfId="3">
      <formula>0</formula>
    </cfRule>
    <cfRule type="cellIs" priority="6" operator="lessThanOrEqual" aboveAverage="0" equalAverage="0" bottom="0" percent="0" rank="0" text="" dxfId="4">
      <formula>51.2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M337"/>
  <sheetViews>
    <sheetView showFormulas="false" showGridLines="true" showRowColHeaders="true" showZeros="true" rightToLeft="false" tabSelected="false" showOutlineSymbols="true" defaultGridColor="true" view="normal" topLeftCell="T1" colorId="64" zoomScale="70" zoomScaleNormal="70" zoomScalePageLayoutView="100" workbookViewId="0">
      <selection pane="topLeft" activeCell="AA4" activeCellId="0" sqref="AA4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3</v>
      </c>
      <c r="B4" s="1" t="n">
        <v>5</v>
      </c>
      <c r="C4" s="1" t="s">
        <v>4</v>
      </c>
      <c r="D4" s="1" t="s">
        <v>5</v>
      </c>
      <c r="E4" s="1" t="s">
        <v>6</v>
      </c>
      <c r="F4" s="1" t="s">
        <v>7</v>
      </c>
      <c r="G4" s="5" t="s">
        <v>8</v>
      </c>
      <c r="H4" s="5"/>
      <c r="I4" s="1" t="s">
        <v>9</v>
      </c>
      <c r="J4" s="1" t="s">
        <v>57</v>
      </c>
      <c r="K4" s="1" t="s">
        <v>11</v>
      </c>
      <c r="L4" s="1" t="s">
        <v>58</v>
      </c>
      <c r="M4" s="1" t="s">
        <v>13</v>
      </c>
      <c r="N4" s="1" t="s">
        <v>14</v>
      </c>
      <c r="O4" s="1" t="s">
        <v>59</v>
      </c>
      <c r="P4" s="1" t="s">
        <v>16</v>
      </c>
      <c r="Q4" s="1" t="s">
        <v>17</v>
      </c>
      <c r="R4" s="1" t="s">
        <v>18</v>
      </c>
      <c r="S4" s="1" t="s">
        <v>19</v>
      </c>
      <c r="T4" s="6" t="s">
        <v>20</v>
      </c>
      <c r="U4" s="1" t="s">
        <v>9</v>
      </c>
      <c r="V4" s="1" t="s">
        <v>21</v>
      </c>
      <c r="W4" s="1" t="s">
        <v>22</v>
      </c>
      <c r="X4" s="5" t="s">
        <v>23</v>
      </c>
      <c r="Y4" s="5"/>
      <c r="Z4" s="1" t="s">
        <v>9</v>
      </c>
      <c r="AA4" s="1" t="s">
        <v>24</v>
      </c>
    </row>
    <row r="5" s="8" customFormat="true" ht="15" hidden="false" customHeight="false" outlineLevel="0" collapsed="false">
      <c r="A5" s="7" t="s">
        <v>25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="8" customFormat="true" ht="15" hidden="false" customHeight="true" outlineLevel="0" collapsed="false">
      <c r="A6" s="9" t="s">
        <v>26</v>
      </c>
      <c r="B6" s="10"/>
      <c r="C6" s="11" t="n">
        <v>41522</v>
      </c>
      <c r="D6" s="8" t="n">
        <v>23.7</v>
      </c>
      <c r="E6" s="8" t="n">
        <v>17</v>
      </c>
      <c r="F6" s="12" t="n">
        <v>31.2</v>
      </c>
      <c r="G6" s="8" t="n">
        <f aca="false">D6</f>
        <v>23.7</v>
      </c>
      <c r="I6" s="13" t="s">
        <v>27</v>
      </c>
      <c r="J6" s="8" t="n">
        <v>0</v>
      </c>
      <c r="K6" s="8" t="n">
        <f aca="false">J6</f>
        <v>0</v>
      </c>
      <c r="L6" s="8" t="n">
        <v>5.5</v>
      </c>
      <c r="M6" s="8" t="n">
        <f aca="false">L6</f>
        <v>5.5</v>
      </c>
      <c r="N6" s="14" t="n">
        <f aca="false">J6-L6</f>
        <v>-5.5</v>
      </c>
      <c r="O6" s="8" t="n">
        <v>0</v>
      </c>
      <c r="P6" s="8" t="n">
        <v>1</v>
      </c>
      <c r="Q6" s="8" t="n">
        <v>0.35</v>
      </c>
      <c r="R6" s="15" t="n">
        <f aca="false">Q6*L6</f>
        <v>1.925</v>
      </c>
      <c r="S6" s="15" t="n">
        <f aca="false">J6-R6</f>
        <v>-1.925</v>
      </c>
      <c r="T6" s="8" t="n">
        <v>0</v>
      </c>
      <c r="U6" s="13" t="s">
        <v>28</v>
      </c>
      <c r="V6" s="8" t="n">
        <v>2221.9</v>
      </c>
      <c r="W6" s="8" t="n">
        <f aca="false">V6/D6</f>
        <v>93.7510548523207</v>
      </c>
      <c r="X6" s="8" t="n">
        <f aca="false">V6</f>
        <v>2221.9</v>
      </c>
      <c r="Z6" s="13" t="s">
        <v>29</v>
      </c>
      <c r="AA6" s="8" t="n">
        <v>13.349400769243</v>
      </c>
    </row>
    <row r="7" s="8" customFormat="true" ht="15" hidden="false" customHeight="false" outlineLevel="0" collapsed="false">
      <c r="A7" s="9"/>
      <c r="B7" s="10"/>
      <c r="C7" s="11" t="n">
        <v>41523</v>
      </c>
      <c r="D7" s="8" t="n">
        <v>17.4</v>
      </c>
      <c r="E7" s="8" t="n">
        <v>15.3</v>
      </c>
      <c r="F7" s="8" t="n">
        <v>20</v>
      </c>
      <c r="G7" s="8" t="n">
        <f aca="false">G6+D7</f>
        <v>41.1</v>
      </c>
      <c r="I7" s="8" t="n">
        <f aca="false">MIN(E6:E81)</f>
        <v>0.5</v>
      </c>
      <c r="J7" s="8" t="n">
        <v>2.2</v>
      </c>
      <c r="K7" s="8" t="n">
        <f aca="false">K6+J7</f>
        <v>2.2</v>
      </c>
      <c r="L7" s="8" t="n">
        <v>1.7</v>
      </c>
      <c r="M7" s="8" t="n">
        <f aca="false">M6+L7</f>
        <v>7.2</v>
      </c>
      <c r="N7" s="8" t="n">
        <f aca="false">J7-L7</f>
        <v>0.5</v>
      </c>
      <c r="O7" s="8" t="n">
        <v>0.5</v>
      </c>
      <c r="P7" s="8" t="n">
        <v>2</v>
      </c>
      <c r="Q7" s="8" t="n">
        <v>0.35</v>
      </c>
      <c r="R7" s="15" t="n">
        <f aca="false">Q7*L7</f>
        <v>0.595</v>
      </c>
      <c r="S7" s="15" t="n">
        <f aca="false">J7-R7</f>
        <v>1.605</v>
      </c>
      <c r="T7" s="15" t="n">
        <f aca="false">MIN(153.6,(T6+S7))</f>
        <v>1.605</v>
      </c>
      <c r="U7" s="8" t="n">
        <v>37</v>
      </c>
      <c r="V7" s="16" t="n">
        <v>723.7</v>
      </c>
      <c r="W7" s="8" t="n">
        <f aca="false">V7/D7</f>
        <v>41.5919540229885</v>
      </c>
      <c r="X7" s="8" t="n">
        <f aca="false">X6+V7</f>
        <v>2945.6</v>
      </c>
      <c r="Z7" s="8" t="n">
        <v>49166.8</v>
      </c>
      <c r="AA7" s="8" t="n">
        <v>13.2871946120391</v>
      </c>
    </row>
    <row r="8" s="8" customFormat="true" ht="15" hidden="false" customHeight="false" outlineLevel="0" collapsed="false">
      <c r="A8" s="9"/>
      <c r="B8" s="10"/>
      <c r="C8" s="11" t="n">
        <v>41524</v>
      </c>
      <c r="D8" s="8" t="n">
        <v>16.4</v>
      </c>
      <c r="E8" s="8" t="n">
        <v>13.9</v>
      </c>
      <c r="F8" s="8" t="n">
        <v>19.8</v>
      </c>
      <c r="G8" s="8" t="n">
        <f aca="false">G7+D8</f>
        <v>57.5</v>
      </c>
      <c r="I8" s="13" t="s">
        <v>30</v>
      </c>
      <c r="J8" s="8" t="n">
        <v>0.4</v>
      </c>
      <c r="K8" s="8" t="n">
        <f aca="false">K7+J8</f>
        <v>2.6</v>
      </c>
      <c r="L8" s="8" t="n">
        <v>3.2</v>
      </c>
      <c r="M8" s="8" t="n">
        <f aca="false">M7+L8</f>
        <v>10.4</v>
      </c>
      <c r="N8" s="14" t="n">
        <f aca="false">J8-L8</f>
        <v>-2.8</v>
      </c>
      <c r="O8" s="8" t="n">
        <v>0</v>
      </c>
      <c r="P8" s="8" t="n">
        <v>3</v>
      </c>
      <c r="Q8" s="8" t="n">
        <v>0.35</v>
      </c>
      <c r="R8" s="15" t="n">
        <f aca="false">Q8*L8</f>
        <v>1.12</v>
      </c>
      <c r="S8" s="15" t="n">
        <f aca="false">J8-R8</f>
        <v>-0.72</v>
      </c>
      <c r="T8" s="15" t="n">
        <f aca="false">MIN(153.6,(T7+S8))</f>
        <v>0.885</v>
      </c>
      <c r="U8" s="13" t="s">
        <v>31</v>
      </c>
      <c r="V8" s="8" t="n">
        <v>1425.8</v>
      </c>
      <c r="W8" s="8" t="n">
        <f aca="false">V8/D8</f>
        <v>86.9390243902439</v>
      </c>
      <c r="X8" s="8" t="n">
        <f aca="false">X7+V8</f>
        <v>4371.4</v>
      </c>
      <c r="Z8" s="13" t="s">
        <v>32</v>
      </c>
      <c r="AA8" s="8" t="n">
        <v>13.2248683582546</v>
      </c>
    </row>
    <row r="9" s="8" customFormat="true" ht="15" hidden="false" customHeight="false" outlineLevel="0" collapsed="false">
      <c r="A9" s="9"/>
      <c r="B9" s="10"/>
      <c r="C9" s="11" t="n">
        <v>41525</v>
      </c>
      <c r="D9" s="8" t="n">
        <v>14.4</v>
      </c>
      <c r="E9" s="8" t="n">
        <v>11.8</v>
      </c>
      <c r="F9" s="8" t="n">
        <v>20.2</v>
      </c>
      <c r="G9" s="8" t="n">
        <f aca="false">G8+D9</f>
        <v>71.9</v>
      </c>
      <c r="I9" s="8" t="n">
        <f aca="false">MAX(F6:F81)</f>
        <v>31.2</v>
      </c>
      <c r="J9" s="8" t="n">
        <v>5.9</v>
      </c>
      <c r="K9" s="8" t="n">
        <f aca="false">K8+J9</f>
        <v>8.5</v>
      </c>
      <c r="L9" s="8" t="n">
        <v>3.1</v>
      </c>
      <c r="M9" s="8" t="n">
        <f aca="false">M8+L9</f>
        <v>13.5</v>
      </c>
      <c r="N9" s="8" t="n">
        <f aca="false">J9-L9</f>
        <v>2.8</v>
      </c>
      <c r="O9" s="8" t="n">
        <v>2.8</v>
      </c>
      <c r="P9" s="8" t="n">
        <v>4</v>
      </c>
      <c r="Q9" s="8" t="n">
        <v>0.35</v>
      </c>
      <c r="R9" s="15" t="n">
        <f aca="false">Q9*L9</f>
        <v>1.085</v>
      </c>
      <c r="S9" s="15" t="n">
        <f aca="false">J9-R9</f>
        <v>4.815</v>
      </c>
      <c r="T9" s="15" t="n">
        <f aca="false">MIN(153.6,(T8+S9))</f>
        <v>5.7</v>
      </c>
      <c r="U9" s="8" t="n">
        <v>1</v>
      </c>
      <c r="V9" s="8" t="n">
        <v>1435</v>
      </c>
      <c r="W9" s="8" t="n">
        <f aca="false">V9/D9</f>
        <v>99.6527777777778</v>
      </c>
      <c r="X9" s="8" t="n">
        <f aca="false">X8+V9</f>
        <v>5806.4</v>
      </c>
      <c r="Z9" s="17" t="n">
        <f aca="false">(Z7/100)/I19</f>
        <v>0.526185787671233</v>
      </c>
      <c r="AA9" s="8" t="n">
        <v>13.1624294353015</v>
      </c>
    </row>
    <row r="10" s="8" customFormat="true" ht="15" hidden="false" customHeight="false" outlineLevel="0" collapsed="false">
      <c r="A10" s="9"/>
      <c r="B10" s="10"/>
      <c r="C10" s="11" t="n">
        <v>41526</v>
      </c>
      <c r="D10" s="8" t="n">
        <v>12.3</v>
      </c>
      <c r="E10" s="8" t="n">
        <v>10</v>
      </c>
      <c r="F10" s="8" t="n">
        <v>16.1</v>
      </c>
      <c r="G10" s="8" t="n">
        <f aca="false">G9+D10</f>
        <v>84.2</v>
      </c>
      <c r="I10" s="13" t="s">
        <v>33</v>
      </c>
      <c r="J10" s="8" t="n">
        <v>7.4</v>
      </c>
      <c r="K10" s="8" t="n">
        <f aca="false">K9+J10</f>
        <v>15.9</v>
      </c>
      <c r="L10" s="8" t="n">
        <v>1.4</v>
      </c>
      <c r="M10" s="8" t="n">
        <f aca="false">M9+L10</f>
        <v>14.9</v>
      </c>
      <c r="N10" s="8" t="n">
        <f aca="false">J10-L10</f>
        <v>6</v>
      </c>
      <c r="O10" s="8" t="n">
        <v>8.8</v>
      </c>
      <c r="P10" s="8" t="n">
        <v>5</v>
      </c>
      <c r="Q10" s="8" t="n">
        <v>0.35</v>
      </c>
      <c r="R10" s="15" t="n">
        <f aca="false">Q10*L10</f>
        <v>0.49</v>
      </c>
      <c r="S10" s="15" t="n">
        <f aca="false">J10-R10</f>
        <v>6.91</v>
      </c>
      <c r="T10" s="15" t="n">
        <f aca="false">MIN(153.6,(T9+S10))</f>
        <v>12.61</v>
      </c>
      <c r="U10" s="13" t="s">
        <v>34</v>
      </c>
      <c r="V10" s="16" t="n">
        <v>405.6</v>
      </c>
      <c r="W10" s="8" t="n">
        <f aca="false">V10/D10</f>
        <v>32.9756097560976</v>
      </c>
      <c r="X10" s="8" t="n">
        <f aca="false">X9+V10</f>
        <v>6212</v>
      </c>
      <c r="Z10" s="13" t="s">
        <v>35</v>
      </c>
      <c r="AA10" s="8" t="n">
        <v>13.0998849979884</v>
      </c>
    </row>
    <row r="11" s="8" customFormat="true" ht="15" hidden="false" customHeight="false" outlineLevel="0" collapsed="false">
      <c r="A11" s="9"/>
      <c r="B11" s="10"/>
      <c r="C11" s="11" t="n">
        <v>41527</v>
      </c>
      <c r="D11" s="8" t="n">
        <v>11.6</v>
      </c>
      <c r="E11" s="8" t="n">
        <v>8.9</v>
      </c>
      <c r="F11" s="8" t="n">
        <v>14.1</v>
      </c>
      <c r="G11" s="8" t="n">
        <f aca="false">G10+D11</f>
        <v>95.8</v>
      </c>
      <c r="I11" s="15" t="n">
        <f aca="false">AVERAGE(D6:D81)</f>
        <v>12.2947368421053</v>
      </c>
      <c r="J11" s="8" t="n">
        <v>12.3</v>
      </c>
      <c r="K11" s="8" t="n">
        <f aca="false">K10+J11</f>
        <v>28.2</v>
      </c>
      <c r="L11" s="8" t="n">
        <v>0.9</v>
      </c>
      <c r="M11" s="8" t="n">
        <f aca="false">M10+L11</f>
        <v>15.8</v>
      </c>
      <c r="N11" s="8" t="n">
        <f aca="false">J11-L11</f>
        <v>11.4</v>
      </c>
      <c r="O11" s="8" t="n">
        <v>20.2</v>
      </c>
      <c r="P11" s="8" t="n">
        <v>6</v>
      </c>
      <c r="Q11" s="8" t="n">
        <v>0.35</v>
      </c>
      <c r="R11" s="15" t="n">
        <f aca="false">Q11*L11</f>
        <v>0.315</v>
      </c>
      <c r="S11" s="15" t="n">
        <f aca="false">J11-R11</f>
        <v>11.985</v>
      </c>
      <c r="T11" s="15" t="n">
        <f aca="false">MIN(153.6,(T10+S11))</f>
        <v>24.595</v>
      </c>
      <c r="U11" s="8" t="n">
        <v>20</v>
      </c>
      <c r="V11" s="16" t="n">
        <v>398.7</v>
      </c>
      <c r="W11" s="8" t="n">
        <f aca="false">V11/D11</f>
        <v>34.3706896551724</v>
      </c>
      <c r="X11" s="8" t="n">
        <f aca="false">X10+V11</f>
        <v>6610.7</v>
      </c>
      <c r="Z11" s="8" t="n">
        <v>56</v>
      </c>
      <c r="AA11" s="8" t="n">
        <v>13.0372419462499</v>
      </c>
    </row>
    <row r="12" s="8" customFormat="true" ht="15" hidden="false" customHeight="false" outlineLevel="0" collapsed="false">
      <c r="A12" s="9"/>
      <c r="B12" s="10"/>
      <c r="C12" s="11" t="n">
        <v>41528</v>
      </c>
      <c r="D12" s="8" t="n">
        <v>13.3</v>
      </c>
      <c r="E12" s="8" t="n">
        <v>11.6</v>
      </c>
      <c r="F12" s="8" t="n">
        <v>14.3</v>
      </c>
      <c r="G12" s="8" t="n">
        <f aca="false">G11+D12</f>
        <v>109.1</v>
      </c>
      <c r="I12" s="13" t="s">
        <v>36</v>
      </c>
      <c r="J12" s="8" t="n">
        <v>5.8</v>
      </c>
      <c r="K12" s="8" t="n">
        <f aca="false">K11+J12</f>
        <v>34</v>
      </c>
      <c r="L12" s="8" t="n">
        <v>0.9</v>
      </c>
      <c r="M12" s="8" t="n">
        <f aca="false">M11+L12</f>
        <v>16.7</v>
      </c>
      <c r="N12" s="8" t="n">
        <f aca="false">J12-L12</f>
        <v>4.9</v>
      </c>
      <c r="O12" s="8" t="n">
        <v>25.1</v>
      </c>
      <c r="P12" s="8" t="n">
        <v>7</v>
      </c>
      <c r="Q12" s="8" t="n">
        <v>0.35</v>
      </c>
      <c r="R12" s="15" t="n">
        <f aca="false">Q12*L12</f>
        <v>0.315</v>
      </c>
      <c r="S12" s="15" t="n">
        <f aca="false">J12-R12</f>
        <v>5.485</v>
      </c>
      <c r="T12" s="15" t="n">
        <f aca="false">MIN(153.6,(T11+S12))</f>
        <v>30.08</v>
      </c>
      <c r="U12" s="13" t="s">
        <v>37</v>
      </c>
      <c r="V12" s="16" t="n">
        <v>317.6</v>
      </c>
      <c r="W12" s="8" t="n">
        <f aca="false">V12/D12</f>
        <v>23.8796992481203</v>
      </c>
      <c r="X12" s="8" t="n">
        <f aca="false">X11+V12</f>
        <v>6928.3</v>
      </c>
      <c r="AA12" s="8" t="n">
        <v>12.9745069428947</v>
      </c>
    </row>
    <row r="13" s="8" customFormat="true" ht="15" hidden="false" customHeight="false" outlineLevel="0" collapsed="false">
      <c r="A13" s="9"/>
      <c r="B13" s="10"/>
      <c r="C13" s="11" t="n">
        <v>41529</v>
      </c>
      <c r="D13" s="8" t="n">
        <v>13.4</v>
      </c>
      <c r="E13" s="8" t="n">
        <v>9.6</v>
      </c>
      <c r="F13" s="8" t="n">
        <v>18.2</v>
      </c>
      <c r="G13" s="8" t="n">
        <f aca="false">G12+D13</f>
        <v>122.5</v>
      </c>
      <c r="I13" s="8" t="n">
        <v>0</v>
      </c>
      <c r="J13" s="8" t="n">
        <v>0.4</v>
      </c>
      <c r="K13" s="8" t="n">
        <f aca="false">K12+J13</f>
        <v>34.4</v>
      </c>
      <c r="L13" s="8" t="n">
        <v>2.6</v>
      </c>
      <c r="M13" s="8" t="n">
        <f aca="false">M12+L13</f>
        <v>19.3</v>
      </c>
      <c r="N13" s="14" t="n">
        <f aca="false">J13-L13</f>
        <v>-2.2</v>
      </c>
      <c r="O13" s="8" t="n">
        <v>22.9</v>
      </c>
      <c r="P13" s="8" t="n">
        <v>8</v>
      </c>
      <c r="Q13" s="8" t="n">
        <v>0.35</v>
      </c>
      <c r="R13" s="15" t="n">
        <f aca="false">Q13*L13</f>
        <v>0.91</v>
      </c>
      <c r="S13" s="15" t="n">
        <f aca="false">J13-R13</f>
        <v>-0.51</v>
      </c>
      <c r="T13" s="15" t="n">
        <f aca="false">MIN(153.6,(T12+S13))</f>
        <v>29.57</v>
      </c>
      <c r="U13" s="8" t="n">
        <v>0</v>
      </c>
      <c r="V13" s="8" t="n">
        <v>1333.7</v>
      </c>
      <c r="W13" s="8" t="n">
        <f aca="false">V13/D13</f>
        <v>99.5298507462687</v>
      </c>
      <c r="X13" s="8" t="n">
        <f aca="false">X12+V13</f>
        <v>8262</v>
      </c>
      <c r="AA13" s="8" t="n">
        <v>12.911686431365</v>
      </c>
    </row>
    <row r="14" s="8" customFormat="true" ht="15" hidden="false" customHeight="false" outlineLevel="0" collapsed="false">
      <c r="A14" s="9"/>
      <c r="B14" s="10"/>
      <c r="C14" s="11" t="n">
        <v>41530</v>
      </c>
      <c r="D14" s="8" t="n">
        <v>14.2</v>
      </c>
      <c r="E14" s="8" t="n">
        <v>9.3</v>
      </c>
      <c r="F14" s="8" t="n">
        <v>18</v>
      </c>
      <c r="G14" s="8" t="n">
        <f aca="false">G13+D14</f>
        <v>136.7</v>
      </c>
      <c r="I14" s="13" t="s">
        <v>38</v>
      </c>
      <c r="J14" s="8" t="n">
        <v>11.7</v>
      </c>
      <c r="K14" s="8" t="n">
        <f aca="false">K13+J14</f>
        <v>46.1</v>
      </c>
      <c r="L14" s="8" t="n">
        <v>0.8</v>
      </c>
      <c r="M14" s="8" t="n">
        <f aca="false">M13+L14</f>
        <v>20.1</v>
      </c>
      <c r="N14" s="8" t="n">
        <f aca="false">J14-L14</f>
        <v>10.9</v>
      </c>
      <c r="O14" s="8" t="n">
        <v>33.8</v>
      </c>
      <c r="P14" s="8" t="n">
        <v>9</v>
      </c>
      <c r="Q14" s="8" t="n">
        <v>0.35</v>
      </c>
      <c r="R14" s="15" t="n">
        <f aca="false">Q14*L14</f>
        <v>0.28</v>
      </c>
      <c r="S14" s="15" t="n">
        <f aca="false">J14-R14</f>
        <v>11.42</v>
      </c>
      <c r="T14" s="15" t="n">
        <f aca="false">MIN(153.6,(T13+S14))</f>
        <v>40.99</v>
      </c>
      <c r="U14" s="13" t="s">
        <v>39</v>
      </c>
      <c r="V14" s="16" t="n">
        <v>393.4</v>
      </c>
      <c r="W14" s="8" t="n">
        <f aca="false">V14/D14</f>
        <v>27.7042253521127</v>
      </c>
      <c r="X14" s="8" t="n">
        <f aca="false">X13+V14</f>
        <v>8655.4</v>
      </c>
      <c r="AA14" s="8" t="n">
        <v>12.8487866535064</v>
      </c>
    </row>
    <row r="15" s="8" customFormat="true" ht="15" hidden="false" customHeight="false" outlineLevel="0" collapsed="false">
      <c r="A15" s="9"/>
      <c r="B15" s="10"/>
      <c r="C15" s="11" t="n">
        <v>41531</v>
      </c>
      <c r="D15" s="8" t="n">
        <v>14.7</v>
      </c>
      <c r="E15" s="8" t="n">
        <v>13.7</v>
      </c>
      <c r="F15" s="8" t="n">
        <v>15.7</v>
      </c>
      <c r="G15" s="8" t="n">
        <f aca="false">G14+D15</f>
        <v>151.4</v>
      </c>
      <c r="I15" s="8" t="n">
        <v>1</v>
      </c>
      <c r="J15" s="8" t="n">
        <v>2.9</v>
      </c>
      <c r="K15" s="8" t="n">
        <f aca="false">K14+J15</f>
        <v>49</v>
      </c>
      <c r="L15" s="8" t="n">
        <v>1.2</v>
      </c>
      <c r="M15" s="8" t="n">
        <f aca="false">M14+L15</f>
        <v>21.3</v>
      </c>
      <c r="N15" s="8" t="n">
        <f aca="false">J15-L15</f>
        <v>1.7</v>
      </c>
      <c r="O15" s="8" t="n">
        <v>35.5</v>
      </c>
      <c r="P15" s="8" t="n">
        <v>10</v>
      </c>
      <c r="Q15" s="8" t="n">
        <f aca="false">0.35+((P15-9)/67)*(1-0.35)</f>
        <v>0.359701492537313</v>
      </c>
      <c r="R15" s="15" t="n">
        <f aca="false">Q15*L15</f>
        <v>0.431641791044776</v>
      </c>
      <c r="S15" s="15" t="n">
        <f aca="false">J15-R15</f>
        <v>2.46835820895522</v>
      </c>
      <c r="T15" s="15" t="n">
        <f aca="false">MIN(153.6,(T14+S15))</f>
        <v>43.4583582089552</v>
      </c>
      <c r="U15" s="8" t="n">
        <f aca="false">MAX(T6:T81)</f>
        <v>153.6</v>
      </c>
      <c r="V15" s="16" t="n">
        <v>378.7</v>
      </c>
      <c r="W15" s="8" t="n">
        <f aca="false">V15/D15</f>
        <v>25.7619047619048</v>
      </c>
      <c r="X15" s="8" t="n">
        <f aca="false">X14+V15</f>
        <v>9034.1</v>
      </c>
      <c r="AA15" s="8" t="n">
        <v>12.785813667348</v>
      </c>
    </row>
    <row r="16" s="8" customFormat="true" ht="15" hidden="false" customHeight="false" outlineLevel="0" collapsed="false">
      <c r="A16" s="9"/>
      <c r="B16" s="10"/>
      <c r="C16" s="11" t="n">
        <v>41532</v>
      </c>
      <c r="D16" s="8" t="n">
        <v>13.9</v>
      </c>
      <c r="E16" s="8" t="n">
        <v>10.4</v>
      </c>
      <c r="F16" s="8" t="n">
        <v>17.3</v>
      </c>
      <c r="G16" s="8" t="n">
        <f aca="false">G15+D16</f>
        <v>165.3</v>
      </c>
      <c r="I16" s="13" t="s">
        <v>40</v>
      </c>
      <c r="J16" s="8" t="n">
        <v>5.4</v>
      </c>
      <c r="K16" s="8" t="n">
        <f aca="false">K15+J16</f>
        <v>54.4</v>
      </c>
      <c r="L16" s="8" t="n">
        <v>3</v>
      </c>
      <c r="M16" s="8" t="n">
        <f aca="false">M15+L16</f>
        <v>24.3</v>
      </c>
      <c r="N16" s="8" t="n">
        <f aca="false">J16-L16</f>
        <v>2.4</v>
      </c>
      <c r="O16" s="8" t="n">
        <v>37.9</v>
      </c>
      <c r="P16" s="8" t="n">
        <v>11</v>
      </c>
      <c r="Q16" s="8" t="n">
        <f aca="false">0.35+((P16-9)/67)*(1-0.35)</f>
        <v>0.369402985074627</v>
      </c>
      <c r="R16" s="15" t="n">
        <f aca="false">Q16*L16</f>
        <v>1.10820895522388</v>
      </c>
      <c r="S16" s="15" t="n">
        <f aca="false">J16-R16</f>
        <v>4.29179104477612</v>
      </c>
      <c r="T16" s="15" t="n">
        <f aca="false">MIN(153.6,(T15+S16))</f>
        <v>47.7501492537313</v>
      </c>
      <c r="U16" s="13" t="s">
        <v>41</v>
      </c>
      <c r="V16" s="8" t="n">
        <v>1202.1</v>
      </c>
      <c r="W16" s="8" t="n">
        <f aca="false">V16/D16</f>
        <v>86.4820143884892</v>
      </c>
      <c r="X16" s="8" t="n">
        <f aca="false">X15+V16</f>
        <v>10236.2</v>
      </c>
      <c r="AA16" s="8" t="n">
        <v>12.7227733648918</v>
      </c>
    </row>
    <row r="17" s="8" customFormat="true" ht="15" hidden="false" customHeight="false" outlineLevel="0" collapsed="false">
      <c r="A17" s="9"/>
      <c r="B17" s="10"/>
      <c r="C17" s="11" t="n">
        <v>41533</v>
      </c>
      <c r="D17" s="8" t="n">
        <v>12</v>
      </c>
      <c r="E17" s="8" t="n">
        <v>10.2</v>
      </c>
      <c r="F17" s="8" t="n">
        <v>16.1</v>
      </c>
      <c r="G17" s="8" t="n">
        <f aca="false">G16+D17</f>
        <v>177.3</v>
      </c>
      <c r="I17" s="8" t="n">
        <v>10</v>
      </c>
      <c r="J17" s="8" t="n">
        <v>1</v>
      </c>
      <c r="K17" s="8" t="n">
        <f aca="false">K16+J17</f>
        <v>55.4</v>
      </c>
      <c r="L17" s="8" t="n">
        <v>3.6</v>
      </c>
      <c r="M17" s="8" t="n">
        <f aca="false">M16+L17</f>
        <v>27.9</v>
      </c>
      <c r="N17" s="14" t="n">
        <f aca="false">J17-L17</f>
        <v>-2.6</v>
      </c>
      <c r="O17" s="8" t="n">
        <v>35.3</v>
      </c>
      <c r="P17" s="8" t="n">
        <v>12</v>
      </c>
      <c r="Q17" s="8" t="n">
        <f aca="false">0.35+((P17-9)/67)*(1-0.35)</f>
        <v>0.37910447761194</v>
      </c>
      <c r="R17" s="15" t="n">
        <f aca="false">Q17*L17</f>
        <v>1.36477611940299</v>
      </c>
      <c r="S17" s="15" t="n">
        <f aca="false">J17-R17</f>
        <v>-0.364776119402985</v>
      </c>
      <c r="T17" s="15" t="n">
        <f aca="false">MIN(153.6,(T16+S17))</f>
        <v>47.3853731343284</v>
      </c>
      <c r="U17" s="17" t="n">
        <f aca="false">AVERAGE(T6:T81)</f>
        <v>96.0748252160252</v>
      </c>
      <c r="V17" s="8" t="n">
        <v>1666.8</v>
      </c>
      <c r="W17" s="8" t="n">
        <f aca="false">V17/D17</f>
        <v>138.9</v>
      </c>
      <c r="X17" s="8" t="n">
        <f aca="false">X16+V17</f>
        <v>11903</v>
      </c>
      <c r="AA17" s="8" t="n">
        <v>12.659671489917</v>
      </c>
    </row>
    <row r="18" s="8" customFormat="true" ht="15" hidden="false" customHeight="false" outlineLevel="0" collapsed="false">
      <c r="A18" s="9"/>
      <c r="B18" s="10"/>
      <c r="C18" s="11" t="n">
        <v>41534</v>
      </c>
      <c r="D18" s="8" t="n">
        <v>11.9</v>
      </c>
      <c r="E18" s="8" t="n">
        <v>7.7</v>
      </c>
      <c r="F18" s="8" t="n">
        <v>15.4</v>
      </c>
      <c r="G18" s="8" t="n">
        <f aca="false">G17+D18</f>
        <v>189.2</v>
      </c>
      <c r="I18" s="13" t="s">
        <v>42</v>
      </c>
      <c r="J18" s="8" t="n">
        <v>14.3</v>
      </c>
      <c r="K18" s="8" t="n">
        <f aca="false">K17+J18</f>
        <v>69.7</v>
      </c>
      <c r="L18" s="8" t="n">
        <v>1.5</v>
      </c>
      <c r="M18" s="8" t="n">
        <f aca="false">M17+L18</f>
        <v>29.4</v>
      </c>
      <c r="N18" s="8" t="n">
        <f aca="false">J18-L18</f>
        <v>12.8</v>
      </c>
      <c r="O18" s="8" t="n">
        <v>48.1</v>
      </c>
      <c r="P18" s="8" t="n">
        <v>13</v>
      </c>
      <c r="Q18" s="8" t="n">
        <f aca="false">0.35+((P18-9)/67)*(1-0.35)</f>
        <v>0.388805970149254</v>
      </c>
      <c r="R18" s="15" t="n">
        <f aca="false">Q18*L18</f>
        <v>0.583208955223881</v>
      </c>
      <c r="S18" s="15" t="n">
        <f aca="false">J18-R18</f>
        <v>13.7167910447761</v>
      </c>
      <c r="T18" s="15" t="n">
        <f aca="false">MIN(153.6,(T17+S18))</f>
        <v>61.1021641791045</v>
      </c>
      <c r="V18" s="16" t="n">
        <v>398</v>
      </c>
      <c r="W18" s="8" t="n">
        <f aca="false">V18/D18</f>
        <v>33.4453781512605</v>
      </c>
      <c r="X18" s="8" t="n">
        <f aca="false">X17+V18</f>
        <v>12301</v>
      </c>
      <c r="AA18" s="8" t="n">
        <v>12.5965136558013</v>
      </c>
    </row>
    <row r="19" s="8" customFormat="true" ht="15" hidden="false" customHeight="false" outlineLevel="0" collapsed="false">
      <c r="A19" s="9"/>
      <c r="B19" s="10"/>
      <c r="C19" s="11" t="n">
        <v>41535</v>
      </c>
      <c r="D19" s="8" t="n">
        <v>13.1</v>
      </c>
      <c r="E19" s="8" t="n">
        <v>12.7</v>
      </c>
      <c r="F19" s="8" t="n">
        <v>14.6</v>
      </c>
      <c r="G19" s="8" t="n">
        <f aca="false">G18+D19</f>
        <v>202.3</v>
      </c>
      <c r="I19" s="8" t="n">
        <v>934.4</v>
      </c>
      <c r="J19" s="8" t="n">
        <v>0.3</v>
      </c>
      <c r="K19" s="8" t="n">
        <f aca="false">K18+J19</f>
        <v>70</v>
      </c>
      <c r="L19" s="8" t="n">
        <v>1.7</v>
      </c>
      <c r="M19" s="8" t="n">
        <f aca="false">M18+L19</f>
        <v>31.1</v>
      </c>
      <c r="N19" s="14" t="n">
        <f aca="false">J19-L19</f>
        <v>-1.4</v>
      </c>
      <c r="O19" s="8" t="n">
        <v>46.7</v>
      </c>
      <c r="P19" s="8" t="n">
        <v>14</v>
      </c>
      <c r="Q19" s="8" t="n">
        <f aca="false">0.35+((P19-9)/67)*(1-0.35)</f>
        <v>0.398507462686567</v>
      </c>
      <c r="R19" s="15" t="n">
        <f aca="false">Q19*L19</f>
        <v>0.677462686567164</v>
      </c>
      <c r="S19" s="15" t="n">
        <f aca="false">J19-R19</f>
        <v>-0.377462686567164</v>
      </c>
      <c r="T19" s="15" t="n">
        <f aca="false">MIN(153.6,(T18+S19))</f>
        <v>60.7247014925373</v>
      </c>
      <c r="U19" s="8" t="n">
        <f aca="false">(U17*100)/153.6</f>
        <v>62.5487143333497</v>
      </c>
      <c r="V19" s="16" t="n">
        <v>414.9</v>
      </c>
      <c r="W19" s="8" t="n">
        <f aca="false">V19/D19</f>
        <v>31.6717557251908</v>
      </c>
      <c r="X19" s="8" t="n">
        <f aca="false">X18+V19</f>
        <v>12715.9</v>
      </c>
      <c r="AA19" s="8" t="n">
        <v>12.533305363366</v>
      </c>
    </row>
    <row r="20" s="8" customFormat="true" ht="15" hidden="false" customHeight="false" outlineLevel="0" collapsed="false">
      <c r="A20" s="9"/>
      <c r="B20" s="10"/>
      <c r="C20" s="11" t="n">
        <v>41536</v>
      </c>
      <c r="D20" s="8" t="n">
        <v>12.2</v>
      </c>
      <c r="E20" s="8" t="n">
        <v>7.8</v>
      </c>
      <c r="F20" s="8" t="n">
        <v>15.1</v>
      </c>
      <c r="G20" s="8" t="n">
        <f aca="false">G19+D20</f>
        <v>214.5</v>
      </c>
      <c r="J20" s="8" t="n">
        <v>1.2</v>
      </c>
      <c r="K20" s="8" t="n">
        <f aca="false">K19+J20</f>
        <v>71.2</v>
      </c>
      <c r="L20" s="8" t="n">
        <v>1.4</v>
      </c>
      <c r="M20" s="8" t="n">
        <f aca="false">M19+L20</f>
        <v>32.5</v>
      </c>
      <c r="N20" s="14" t="n">
        <f aca="false">J20-L20</f>
        <v>-0.2</v>
      </c>
      <c r="O20" s="8" t="n">
        <v>46.5</v>
      </c>
      <c r="P20" s="8" t="n">
        <v>15</v>
      </c>
      <c r="Q20" s="8" t="n">
        <f aca="false">0.35+((P20-9)/67)*(1-0.35)</f>
        <v>0.408208955223881</v>
      </c>
      <c r="R20" s="15" t="n">
        <f aca="false">Q20*L20</f>
        <v>0.571492537313433</v>
      </c>
      <c r="S20" s="15" t="n">
        <f aca="false">J20-R20</f>
        <v>0.628507462686567</v>
      </c>
      <c r="T20" s="15" t="n">
        <f aca="false">MIN(153.6,(T19+S20))</f>
        <v>61.3532089552239</v>
      </c>
      <c r="V20" s="16" t="n">
        <v>602.4</v>
      </c>
      <c r="W20" s="8" t="n">
        <f aca="false">V20/D20</f>
        <v>49.3770491803279</v>
      </c>
      <c r="X20" s="8" t="n">
        <f aca="false">X19+V20</f>
        <v>13318.3</v>
      </c>
      <c r="AA20" s="8" t="n">
        <v>12.4700520187508</v>
      </c>
    </row>
    <row r="21" s="8" customFormat="true" ht="15" hidden="false" customHeight="false" outlineLevel="0" collapsed="false">
      <c r="A21" s="9"/>
      <c r="B21" s="10"/>
      <c r="C21" s="11" t="n">
        <v>41537</v>
      </c>
      <c r="D21" s="8" t="n">
        <v>13.6</v>
      </c>
      <c r="E21" s="8" t="n">
        <v>12</v>
      </c>
      <c r="F21" s="8" t="n">
        <v>16.6</v>
      </c>
      <c r="G21" s="8" t="n">
        <f aca="false">G20+D21</f>
        <v>228.1</v>
      </c>
      <c r="J21" s="8" t="n">
        <v>0</v>
      </c>
      <c r="K21" s="8" t="n">
        <f aca="false">K20+J21</f>
        <v>71.2</v>
      </c>
      <c r="L21" s="8" t="n">
        <v>2</v>
      </c>
      <c r="M21" s="8" t="n">
        <f aca="false">M20+L21</f>
        <v>34.5</v>
      </c>
      <c r="N21" s="14" t="n">
        <f aca="false">J21-L21</f>
        <v>-2</v>
      </c>
      <c r="O21" s="8" t="n">
        <v>44.5</v>
      </c>
      <c r="P21" s="8" t="n">
        <v>16</v>
      </c>
      <c r="Q21" s="8" t="n">
        <f aca="false">0.35+((P21-9)/67)*(1-0.35)</f>
        <v>0.417910447761194</v>
      </c>
      <c r="R21" s="15" t="n">
        <f aca="false">Q21*L21</f>
        <v>0.835820895522388</v>
      </c>
      <c r="S21" s="15" t="n">
        <f aca="false">J21-R21</f>
        <v>-0.835820895522388</v>
      </c>
      <c r="T21" s="15" t="n">
        <f aca="false">MIN(153.6,(T20+S21))</f>
        <v>60.5173880597015</v>
      </c>
      <c r="V21" s="16" t="n">
        <v>616.3</v>
      </c>
      <c r="W21" s="8" t="n">
        <f aca="false">V21/D21</f>
        <v>45.3161764705882</v>
      </c>
      <c r="X21" s="8" t="n">
        <f aca="false">X20+V21</f>
        <v>13934.6</v>
      </c>
      <c r="AA21" s="8" t="n">
        <v>12.4067589513265</v>
      </c>
    </row>
    <row r="22" s="8" customFormat="true" ht="15" hidden="false" customHeight="false" outlineLevel="0" collapsed="false">
      <c r="A22" s="9"/>
      <c r="B22" s="10"/>
      <c r="C22" s="11" t="n">
        <v>41538</v>
      </c>
      <c r="D22" s="8" t="n">
        <v>14.3</v>
      </c>
      <c r="E22" s="8" t="n">
        <v>8.9</v>
      </c>
      <c r="F22" s="8" t="n">
        <v>17.5</v>
      </c>
      <c r="G22" s="8" t="n">
        <f aca="false">G21+D22</f>
        <v>242.4</v>
      </c>
      <c r="J22" s="8" t="n">
        <v>0</v>
      </c>
      <c r="K22" s="8" t="n">
        <f aca="false">K21+J22</f>
        <v>71.2</v>
      </c>
      <c r="L22" s="8" t="n">
        <v>1.7</v>
      </c>
      <c r="M22" s="8" t="n">
        <f aca="false">M21+L22</f>
        <v>36.2</v>
      </c>
      <c r="N22" s="14" t="n">
        <f aca="false">J22-L22</f>
        <v>-1.7</v>
      </c>
      <c r="O22" s="8" t="n">
        <v>42.8</v>
      </c>
      <c r="P22" s="8" t="n">
        <v>17</v>
      </c>
      <c r="Q22" s="8" t="n">
        <f aca="false">0.35+((P22-9)/67)*(1-0.35)</f>
        <v>0.427611940298507</v>
      </c>
      <c r="R22" s="15" t="n">
        <f aca="false">Q22*L22</f>
        <v>0.726940298507463</v>
      </c>
      <c r="S22" s="15" t="n">
        <f aca="false">J22-R22</f>
        <v>-0.726940298507463</v>
      </c>
      <c r="T22" s="15" t="n">
        <f aca="false">MIN(153.6,(T21+S22))</f>
        <v>59.790447761194</v>
      </c>
      <c r="V22" s="16" t="n">
        <v>567.5</v>
      </c>
      <c r="W22" s="8" t="n">
        <f aca="false">V22/D22</f>
        <v>39.6853146853147</v>
      </c>
      <c r="X22" s="8" t="n">
        <f aca="false">X21+V22</f>
        <v>14502.1</v>
      </c>
      <c r="AA22" s="8" t="n">
        <v>12.3434314316542</v>
      </c>
    </row>
    <row r="23" s="8" customFormat="true" ht="15" hidden="false" customHeight="false" outlineLevel="0" collapsed="false">
      <c r="A23" s="9"/>
      <c r="B23" s="10"/>
      <c r="C23" s="11" t="n">
        <v>41539</v>
      </c>
      <c r="D23" s="8" t="n">
        <v>17.5</v>
      </c>
      <c r="E23" s="8" t="n">
        <v>15.4</v>
      </c>
      <c r="F23" s="8" t="n">
        <v>19.7</v>
      </c>
      <c r="G23" s="8" t="n">
        <f aca="false">G22+D23</f>
        <v>259.9</v>
      </c>
      <c r="J23" s="8" t="n">
        <v>0</v>
      </c>
      <c r="K23" s="8" t="n">
        <f aca="false">K22+J23</f>
        <v>71.2</v>
      </c>
      <c r="L23" s="8" t="n">
        <v>1.3</v>
      </c>
      <c r="M23" s="8" t="n">
        <f aca="false">M22+L23</f>
        <v>37.5</v>
      </c>
      <c r="N23" s="14" t="n">
        <f aca="false">J23-L23</f>
        <v>-1.3</v>
      </c>
      <c r="O23" s="8" t="n">
        <v>41.5</v>
      </c>
      <c r="P23" s="8" t="n">
        <v>18</v>
      </c>
      <c r="Q23" s="8" t="n">
        <f aca="false">0.35+((P23-9)/67)*(1-0.35)</f>
        <v>0.437313432835821</v>
      </c>
      <c r="R23" s="15" t="n">
        <f aca="false">Q23*L23</f>
        <v>0.568507462686567</v>
      </c>
      <c r="S23" s="15" t="n">
        <f aca="false">J23-R23</f>
        <v>-0.568507462686567</v>
      </c>
      <c r="T23" s="15" t="n">
        <f aca="false">MIN(153.6,(T22+S23))</f>
        <v>59.2219402985075</v>
      </c>
      <c r="V23" s="16" t="n">
        <v>305.6</v>
      </c>
      <c r="W23" s="8" t="n">
        <f aca="false">V23/D23</f>
        <v>17.4628571428571</v>
      </c>
      <c r="X23" s="8" t="n">
        <f aca="false">X22+V23</f>
        <v>14807.7</v>
      </c>
      <c r="AA23" s="8" t="n">
        <v>12.2800746894998</v>
      </c>
    </row>
    <row r="24" s="8" customFormat="true" ht="15" hidden="false" customHeight="false" outlineLevel="0" collapsed="false">
      <c r="A24" s="9"/>
      <c r="B24" s="10"/>
      <c r="C24" s="11" t="n">
        <v>41540</v>
      </c>
      <c r="D24" s="8" t="n">
        <v>17.2</v>
      </c>
      <c r="E24" s="8" t="n">
        <v>16</v>
      </c>
      <c r="F24" s="8" t="n">
        <v>20.6</v>
      </c>
      <c r="G24" s="8" t="n">
        <f aca="false">G23+D24</f>
        <v>277.1</v>
      </c>
      <c r="J24" s="8" t="n">
        <v>0.1</v>
      </c>
      <c r="K24" s="8" t="n">
        <f aca="false">K23+J24</f>
        <v>71.3</v>
      </c>
      <c r="L24" s="8" t="n">
        <v>2</v>
      </c>
      <c r="M24" s="8" t="n">
        <f aca="false">M23+L24</f>
        <v>39.5</v>
      </c>
      <c r="N24" s="14" t="n">
        <f aca="false">J24-L24</f>
        <v>-1.9</v>
      </c>
      <c r="O24" s="8" t="n">
        <v>39.6</v>
      </c>
      <c r="P24" s="8" t="n">
        <v>19</v>
      </c>
      <c r="Q24" s="8" t="n">
        <f aca="false">0.35+((P24-9)/67)*(1-0.35)</f>
        <v>0.447014925373134</v>
      </c>
      <c r="R24" s="15" t="n">
        <f aca="false">Q24*L24</f>
        <v>0.894029850746269</v>
      </c>
      <c r="S24" s="15" t="n">
        <f aca="false">J24-R24</f>
        <v>-0.794029850746269</v>
      </c>
      <c r="T24" s="15" t="n">
        <f aca="false">MIN(153.6,(T23+S24))</f>
        <v>58.4279104477612</v>
      </c>
      <c r="V24" s="16" t="n">
        <v>616.4</v>
      </c>
      <c r="W24" s="8" t="n">
        <f aca="false">V24/D24</f>
        <v>35.8372093023256</v>
      </c>
      <c r="X24" s="8" t="n">
        <f aca="false">X23+V24</f>
        <v>15424.1</v>
      </c>
      <c r="AA24" s="8" t="n">
        <v>12.2166939319138</v>
      </c>
    </row>
    <row r="25" s="8" customFormat="true" ht="15" hidden="false" customHeight="false" outlineLevel="0" collapsed="false">
      <c r="A25" s="9"/>
      <c r="B25" s="10"/>
      <c r="C25" s="11" t="n">
        <v>41541</v>
      </c>
      <c r="D25" s="8" t="n">
        <v>16.2</v>
      </c>
      <c r="E25" s="8" t="n">
        <v>10.1</v>
      </c>
      <c r="F25" s="8" t="n">
        <v>21.7</v>
      </c>
      <c r="G25" s="8" t="n">
        <f aca="false">G24+D25</f>
        <v>293.3</v>
      </c>
      <c r="J25" s="8" t="n">
        <v>0.2</v>
      </c>
      <c r="K25" s="8" t="n">
        <f aca="false">K24+J25</f>
        <v>71.5</v>
      </c>
      <c r="L25" s="8" t="n">
        <v>2.6</v>
      </c>
      <c r="M25" s="8" t="n">
        <f aca="false">M24+L25</f>
        <v>42.1</v>
      </c>
      <c r="N25" s="14" t="n">
        <f aca="false">J25-L25</f>
        <v>-2.4</v>
      </c>
      <c r="O25" s="8" t="n">
        <v>37.2</v>
      </c>
      <c r="P25" s="8" t="n">
        <v>20</v>
      </c>
      <c r="Q25" s="8" t="n">
        <f aca="false">0.35+((P25-9)/67)*(1-0.35)</f>
        <v>0.456716417910448</v>
      </c>
      <c r="R25" s="15" t="n">
        <f aca="false">Q25*L25</f>
        <v>1.18746268656716</v>
      </c>
      <c r="S25" s="15" t="n">
        <f aca="false">J25-R25</f>
        <v>-0.987462686567164</v>
      </c>
      <c r="T25" s="15" t="n">
        <f aca="false">MIN(153.6,(T24+S25))</f>
        <v>57.440447761194</v>
      </c>
      <c r="V25" s="8" t="n">
        <v>1780.7</v>
      </c>
      <c r="W25" s="8" t="n">
        <f aca="false">V25/D25</f>
        <v>109.91975308642</v>
      </c>
      <c r="X25" s="8" t="n">
        <f aca="false">X24+V25</f>
        <v>17204.8</v>
      </c>
      <c r="AA25" s="8" t="n">
        <v>12.1532943613865</v>
      </c>
    </row>
    <row r="26" s="8" customFormat="true" ht="15" hidden="false" customHeight="false" outlineLevel="0" collapsed="false">
      <c r="A26" s="9"/>
      <c r="B26" s="10"/>
      <c r="C26" s="11" t="n">
        <v>41542</v>
      </c>
      <c r="D26" s="8" t="n">
        <v>16.7</v>
      </c>
      <c r="E26" s="8" t="n">
        <v>10.9</v>
      </c>
      <c r="F26" s="8" t="n">
        <v>20.8</v>
      </c>
      <c r="G26" s="8" t="n">
        <f aca="false">G25+D26</f>
        <v>310</v>
      </c>
      <c r="J26" s="8" t="n">
        <v>0.1</v>
      </c>
      <c r="K26" s="8" t="n">
        <f aca="false">K25+J26</f>
        <v>71.6</v>
      </c>
      <c r="L26" s="8" t="n">
        <v>1.8</v>
      </c>
      <c r="M26" s="8" t="n">
        <f aca="false">M25+L26</f>
        <v>43.9</v>
      </c>
      <c r="N26" s="14" t="n">
        <f aca="false">J26-L26</f>
        <v>-1.7</v>
      </c>
      <c r="O26" s="8" t="n">
        <v>35.5</v>
      </c>
      <c r="P26" s="8" t="n">
        <v>21</v>
      </c>
      <c r="Q26" s="8" t="n">
        <f aca="false">0.35+((P26-9)/67)*(1-0.35)</f>
        <v>0.466417910447761</v>
      </c>
      <c r="R26" s="15" t="n">
        <f aca="false">Q26*L26</f>
        <v>0.83955223880597</v>
      </c>
      <c r="S26" s="15" t="n">
        <f aca="false">J26-R26</f>
        <v>-0.73955223880597</v>
      </c>
      <c r="T26" s="15" t="n">
        <f aca="false">MIN(153.6,(T25+S26))</f>
        <v>56.7008955223881</v>
      </c>
      <c r="V26" s="8" t="n">
        <v>916.5</v>
      </c>
      <c r="W26" s="8" t="n">
        <f aca="false">V26/D26</f>
        <v>54.8802395209581</v>
      </c>
      <c r="X26" s="8" t="n">
        <f aca="false">X25+V26</f>
        <v>18121.3</v>
      </c>
      <c r="AA26" s="8" t="n">
        <v>12.0898811940897</v>
      </c>
    </row>
    <row r="27" s="8" customFormat="true" ht="15" hidden="false" customHeight="false" outlineLevel="0" collapsed="false">
      <c r="A27" s="9"/>
      <c r="B27" s="10"/>
      <c r="C27" s="11" t="n">
        <v>41543</v>
      </c>
      <c r="D27" s="8" t="n">
        <v>15.7</v>
      </c>
      <c r="E27" s="8" t="n">
        <v>15.4</v>
      </c>
      <c r="F27" s="8" t="n">
        <v>18.1</v>
      </c>
      <c r="G27" s="8" t="n">
        <f aca="false">G26+D27</f>
        <v>325.7</v>
      </c>
      <c r="J27" s="8" t="n">
        <v>0.1</v>
      </c>
      <c r="K27" s="8" t="n">
        <f aca="false">K26+J27</f>
        <v>71.7</v>
      </c>
      <c r="L27" s="8" t="n">
        <v>2.1</v>
      </c>
      <c r="M27" s="8" t="n">
        <f aca="false">M26+L27</f>
        <v>46</v>
      </c>
      <c r="N27" s="14" t="n">
        <f aca="false">J27-L27</f>
        <v>-2</v>
      </c>
      <c r="O27" s="8" t="n">
        <v>33.5</v>
      </c>
      <c r="P27" s="8" t="n">
        <v>22</v>
      </c>
      <c r="Q27" s="8" t="n">
        <f aca="false">0.35+((P27-9)/67)*(1-0.35)</f>
        <v>0.476119402985075</v>
      </c>
      <c r="R27" s="15" t="n">
        <f aca="false">Q27*L27</f>
        <v>0.999850746268657</v>
      </c>
      <c r="S27" s="15" t="n">
        <f aca="false">J27-R27</f>
        <v>-0.899850746268657</v>
      </c>
      <c r="T27" s="15" t="n">
        <f aca="false">MIN(153.6,(T26+S27))</f>
        <v>55.8010447761194</v>
      </c>
      <c r="V27" s="8" t="n">
        <v>935</v>
      </c>
      <c r="W27" s="8" t="n">
        <f aca="false">V27/D27</f>
        <v>59.5541401273885</v>
      </c>
      <c r="X27" s="8" t="n">
        <f aca="false">X26+V27</f>
        <v>19056.3</v>
      </c>
      <c r="AA27" s="8" t="n">
        <v>12.0264596782143</v>
      </c>
    </row>
    <row r="28" s="8" customFormat="true" ht="15" hidden="false" customHeight="false" outlineLevel="0" collapsed="false">
      <c r="A28" s="9"/>
      <c r="B28" s="10"/>
      <c r="C28" s="11" t="n">
        <v>41544</v>
      </c>
      <c r="D28" s="8" t="n">
        <v>12.7</v>
      </c>
      <c r="E28" s="8" t="n">
        <v>8.8</v>
      </c>
      <c r="F28" s="8" t="n">
        <v>15.4</v>
      </c>
      <c r="G28" s="8" t="n">
        <f aca="false">G27+D28</f>
        <v>338.4</v>
      </c>
      <c r="J28" s="8" t="n">
        <v>0</v>
      </c>
      <c r="K28" s="8" t="n">
        <f aca="false">K27+J28</f>
        <v>71.7</v>
      </c>
      <c r="L28" s="8" t="n">
        <v>1.3</v>
      </c>
      <c r="M28" s="8" t="n">
        <f aca="false">M27+L28</f>
        <v>47.3</v>
      </c>
      <c r="N28" s="14" t="n">
        <f aca="false">J28-L28</f>
        <v>-1.3</v>
      </c>
      <c r="O28" s="8" t="n">
        <v>32.2</v>
      </c>
      <c r="P28" s="8" t="n">
        <v>23</v>
      </c>
      <c r="Q28" s="8" t="n">
        <f aca="false">0.35+((P28-9)/67)*(1-0.35)</f>
        <v>0.485820895522388</v>
      </c>
      <c r="R28" s="15" t="n">
        <f aca="false">Q28*L28</f>
        <v>0.631567164179105</v>
      </c>
      <c r="S28" s="15" t="n">
        <f aca="false">J28-R28</f>
        <v>-0.631567164179105</v>
      </c>
      <c r="T28" s="15" t="n">
        <f aca="false">MIN(153.6,(T27+S28))</f>
        <v>55.1694776119403</v>
      </c>
      <c r="V28" s="8" t="n">
        <v>1323</v>
      </c>
      <c r="W28" s="8" t="n">
        <f aca="false">V28/D28</f>
        <v>104.173228346457</v>
      </c>
      <c r="X28" s="8" t="n">
        <f aca="false">X27+V28</f>
        <v>20379.3</v>
      </c>
      <c r="AA28" s="8" t="n">
        <v>11.9630351124153</v>
      </c>
    </row>
    <row r="29" s="8" customFormat="true" ht="15" hidden="false" customHeight="false" outlineLevel="0" collapsed="false">
      <c r="A29" s="9"/>
      <c r="B29" s="10"/>
      <c r="C29" s="11" t="n">
        <v>41545</v>
      </c>
      <c r="D29" s="8" t="n">
        <v>14.8</v>
      </c>
      <c r="E29" s="8" t="n">
        <v>10.6</v>
      </c>
      <c r="F29" s="8" t="n">
        <v>18.9</v>
      </c>
      <c r="G29" s="8" t="n">
        <f aca="false">G28+D29</f>
        <v>353.2</v>
      </c>
      <c r="J29" s="8" t="n">
        <v>0</v>
      </c>
      <c r="K29" s="8" t="n">
        <f aca="false">K28+J29</f>
        <v>71.7</v>
      </c>
      <c r="L29" s="8" t="n">
        <v>2.3</v>
      </c>
      <c r="M29" s="8" t="n">
        <f aca="false">M28+L29</f>
        <v>49.6</v>
      </c>
      <c r="N29" s="14" t="n">
        <f aca="false">J29-L29</f>
        <v>-2.3</v>
      </c>
      <c r="O29" s="8" t="n">
        <v>29.9</v>
      </c>
      <c r="P29" s="8" t="n">
        <v>24</v>
      </c>
      <c r="Q29" s="8" t="n">
        <f aca="false">0.35+((P29-9)/67)*(1-0.35)</f>
        <v>0.495522388059702</v>
      </c>
      <c r="R29" s="15" t="n">
        <f aca="false">Q29*L29</f>
        <v>1.13970149253731</v>
      </c>
      <c r="S29" s="15" t="n">
        <f aca="false">J29-R29</f>
        <v>-1.13970149253731</v>
      </c>
      <c r="T29" s="15" t="n">
        <f aca="false">MIN(153.6,(T28+S29))</f>
        <v>54.029776119403</v>
      </c>
      <c r="V29" s="8" t="n">
        <v>1312.5</v>
      </c>
      <c r="W29" s="8" t="n">
        <f aca="false">V29/D29</f>
        <v>88.6824324324324</v>
      </c>
      <c r="X29" s="8" t="n">
        <f aca="false">X28+V29</f>
        <v>21691.8</v>
      </c>
      <c r="AA29" s="8" t="n">
        <v>11.8996128643743</v>
      </c>
    </row>
    <row r="30" s="8" customFormat="true" ht="15" hidden="false" customHeight="false" outlineLevel="0" collapsed="false">
      <c r="A30" s="9"/>
      <c r="B30" s="10"/>
      <c r="C30" s="11" t="n">
        <v>41546</v>
      </c>
      <c r="D30" s="8" t="n">
        <v>14.5</v>
      </c>
      <c r="E30" s="8" t="n">
        <v>10.6</v>
      </c>
      <c r="F30" s="8" t="n">
        <v>17.2</v>
      </c>
      <c r="G30" s="8" t="n">
        <f aca="false">G29+D30</f>
        <v>367.7</v>
      </c>
      <c r="J30" s="8" t="n">
        <v>0</v>
      </c>
      <c r="K30" s="8" t="n">
        <f aca="false">K29+J30</f>
        <v>71.7</v>
      </c>
      <c r="L30" s="8" t="n">
        <v>1.8</v>
      </c>
      <c r="M30" s="8" t="n">
        <f aca="false">M29+L30</f>
        <v>51.4</v>
      </c>
      <c r="N30" s="14" t="n">
        <f aca="false">J30-L30</f>
        <v>-1.8</v>
      </c>
      <c r="O30" s="8" t="n">
        <v>28.1</v>
      </c>
      <c r="P30" s="8" t="n">
        <v>25</v>
      </c>
      <c r="Q30" s="8" t="n">
        <f aca="false">0.35+((P30-9)/67)*(1-0.35)</f>
        <v>0.505223880597015</v>
      </c>
      <c r="R30" s="15" t="n">
        <f aca="false">Q30*L30</f>
        <v>0.909402985074627</v>
      </c>
      <c r="S30" s="15" t="n">
        <f aca="false">J30-R30</f>
        <v>-0.909402985074627</v>
      </c>
      <c r="T30" s="15" t="n">
        <f aca="false">MIN(153.6,(T29+S30))</f>
        <v>53.1203731343284</v>
      </c>
      <c r="V30" s="8" t="n">
        <v>949.5</v>
      </c>
      <c r="W30" s="8" t="n">
        <f aca="false">V30/D30</f>
        <v>65.4827586206897</v>
      </c>
      <c r="X30" s="8" t="n">
        <f aca="false">X29+V30</f>
        <v>22641.3</v>
      </c>
      <c r="AA30" s="8" t="n">
        <v>11.8361983894897</v>
      </c>
    </row>
    <row r="31" s="8" customFormat="true" ht="15" hidden="false" customHeight="false" outlineLevel="0" collapsed="false">
      <c r="A31" s="9"/>
      <c r="B31" s="10"/>
      <c r="C31" s="11" t="n">
        <v>41547</v>
      </c>
      <c r="D31" s="8" t="n">
        <v>13.8</v>
      </c>
      <c r="E31" s="8" t="n">
        <v>10.5</v>
      </c>
      <c r="F31" s="8" t="n">
        <v>18.3</v>
      </c>
      <c r="G31" s="8" t="n">
        <f aca="false">G30+D31</f>
        <v>381.5</v>
      </c>
      <c r="J31" s="8" t="n">
        <v>0</v>
      </c>
      <c r="K31" s="8" t="n">
        <f aca="false">K30+J31</f>
        <v>71.7</v>
      </c>
      <c r="L31" s="8" t="n">
        <v>2.6</v>
      </c>
      <c r="M31" s="8" t="n">
        <f aca="false">M30+L31</f>
        <v>54</v>
      </c>
      <c r="N31" s="14" t="n">
        <f aca="false">J31-L31</f>
        <v>-2.6</v>
      </c>
      <c r="O31" s="8" t="n">
        <v>25.5</v>
      </c>
      <c r="P31" s="8" t="n">
        <v>26</v>
      </c>
      <c r="Q31" s="8" t="n">
        <f aca="false">0.35+((P31-9)/67)*(1-0.35)</f>
        <v>0.514925373134328</v>
      </c>
      <c r="R31" s="15" t="n">
        <f aca="false">Q31*L31</f>
        <v>1.33880597014925</v>
      </c>
      <c r="S31" s="15" t="n">
        <f aca="false">J31-R31</f>
        <v>-1.33880597014925</v>
      </c>
      <c r="T31" s="15" t="n">
        <f aca="false">MIN(153.6,(T30+S31))</f>
        <v>51.7815671641791</v>
      </c>
      <c r="V31" s="8" t="n">
        <v>1513.8</v>
      </c>
      <c r="W31" s="8" t="n">
        <f aca="false">V31/D31</f>
        <v>109.695652173913</v>
      </c>
      <c r="X31" s="8" t="n">
        <f aca="false">X30+V31</f>
        <v>24155.1</v>
      </c>
      <c r="AA31" s="8" t="n">
        <v>11.7727972497032</v>
      </c>
    </row>
    <row r="32" s="8" customFormat="true" ht="15" hidden="false" customHeight="false" outlineLevel="0" collapsed="false">
      <c r="A32" s="9"/>
      <c r="B32" s="10"/>
      <c r="C32" s="11" t="n">
        <v>41548</v>
      </c>
      <c r="D32" s="8" t="n">
        <v>12.8</v>
      </c>
      <c r="E32" s="8" t="n">
        <v>8.8</v>
      </c>
      <c r="F32" s="8" t="n">
        <v>18.1</v>
      </c>
      <c r="G32" s="8" t="n">
        <f aca="false">G31+D32</f>
        <v>394.3</v>
      </c>
      <c r="J32" s="8" t="n">
        <v>0</v>
      </c>
      <c r="K32" s="8" t="n">
        <f aca="false">K31+J32</f>
        <v>71.7</v>
      </c>
      <c r="L32" s="8" t="n">
        <v>2.4</v>
      </c>
      <c r="M32" s="8" t="n">
        <f aca="false">M31+L32</f>
        <v>56.4</v>
      </c>
      <c r="N32" s="14" t="n">
        <f aca="false">J32-L32</f>
        <v>-2.4</v>
      </c>
      <c r="O32" s="8" t="n">
        <v>23.1</v>
      </c>
      <c r="P32" s="8" t="n">
        <v>27</v>
      </c>
      <c r="Q32" s="8" t="n">
        <f aca="false">0.35+((P32-9)/67)*(1-0.35)</f>
        <v>0.524626865671642</v>
      </c>
      <c r="R32" s="15" t="n">
        <f aca="false">Q32*L32</f>
        <v>1.25910447761194</v>
      </c>
      <c r="S32" s="15" t="n">
        <f aca="false">J32-R32</f>
        <v>-1.25910447761194</v>
      </c>
      <c r="T32" s="15" t="n">
        <f aca="false">MIN(153.6,(T31+S32))</f>
        <v>50.5224626865672</v>
      </c>
      <c r="V32" s="8" t="n">
        <v>1375.6</v>
      </c>
      <c r="W32" s="8" t="n">
        <f aca="false">V32/D32</f>
        <v>107.46875</v>
      </c>
      <c r="X32" s="8" t="n">
        <f aca="false">X31+V32</f>
        <v>25530.7</v>
      </c>
      <c r="AA32" s="8" t="n">
        <v>11.7094151324735</v>
      </c>
    </row>
    <row r="33" s="8" customFormat="true" ht="15" hidden="false" customHeight="false" outlineLevel="0" collapsed="false">
      <c r="A33" s="9"/>
      <c r="B33" s="10"/>
      <c r="C33" s="11" t="n">
        <v>41549</v>
      </c>
      <c r="D33" s="8" t="n">
        <v>14.8</v>
      </c>
      <c r="E33" s="8" t="n">
        <v>10</v>
      </c>
      <c r="F33" s="8" t="n">
        <v>20</v>
      </c>
      <c r="G33" s="8" t="n">
        <f aca="false">G32+D33</f>
        <v>409.1</v>
      </c>
      <c r="J33" s="8" t="n">
        <v>0</v>
      </c>
      <c r="K33" s="8" t="n">
        <f aca="false">K32+J33</f>
        <v>71.7</v>
      </c>
      <c r="L33" s="8" t="n">
        <v>2.4</v>
      </c>
      <c r="M33" s="8" t="n">
        <f aca="false">M32+L33</f>
        <v>58.8</v>
      </c>
      <c r="N33" s="14" t="n">
        <f aca="false">J33-L33</f>
        <v>-2.4</v>
      </c>
      <c r="O33" s="8" t="n">
        <v>20.7</v>
      </c>
      <c r="P33" s="8" t="n">
        <v>28</v>
      </c>
      <c r="Q33" s="8" t="n">
        <f aca="false">0.35+((P33-9)/67)*(1-0.35)</f>
        <v>0.534328358208955</v>
      </c>
      <c r="R33" s="15" t="n">
        <f aca="false">Q33*L33</f>
        <v>1.28238805970149</v>
      </c>
      <c r="S33" s="15" t="n">
        <f aca="false">J33-R33</f>
        <v>-1.28238805970149</v>
      </c>
      <c r="T33" s="15" t="n">
        <f aca="false">MIN(153.6,(T32+S33))</f>
        <v>49.2400746268657</v>
      </c>
      <c r="V33" s="8" t="n">
        <v>1092.7</v>
      </c>
      <c r="W33" s="8" t="n">
        <f aca="false">V33/D33</f>
        <v>73.8310810810811</v>
      </c>
      <c r="X33" s="8" t="n">
        <f aca="false">X32+V33</f>
        <v>26623.4</v>
      </c>
      <c r="AA33" s="8" t="n">
        <v>11.646057869903</v>
      </c>
    </row>
    <row r="34" s="8" customFormat="true" ht="15" hidden="false" customHeight="false" outlineLevel="0" collapsed="false">
      <c r="A34" s="9"/>
      <c r="B34" s="10"/>
      <c r="C34" s="11" t="n">
        <v>41550</v>
      </c>
      <c r="D34" s="8" t="n">
        <v>16.4</v>
      </c>
      <c r="E34" s="8" t="n">
        <v>11</v>
      </c>
      <c r="F34" s="8" t="n">
        <v>21.1</v>
      </c>
      <c r="G34" s="8" t="n">
        <f aca="false">G33+D34</f>
        <v>425.5</v>
      </c>
      <c r="J34" s="8" t="n">
        <v>3.2</v>
      </c>
      <c r="K34" s="8" t="n">
        <f aca="false">K33+J34</f>
        <v>74.9</v>
      </c>
      <c r="L34" s="8" t="n">
        <v>2.4</v>
      </c>
      <c r="M34" s="8" t="n">
        <f aca="false">M33+L34</f>
        <v>61.2</v>
      </c>
      <c r="N34" s="8" t="n">
        <f aca="false">J34-L34</f>
        <v>0.8</v>
      </c>
      <c r="O34" s="8" t="n">
        <v>21.5</v>
      </c>
      <c r="P34" s="8" t="n">
        <v>29</v>
      </c>
      <c r="Q34" s="8" t="n">
        <f aca="false">0.35+((P34-9)/67)*(1-0.35)</f>
        <v>0.544029850746269</v>
      </c>
      <c r="R34" s="15" t="n">
        <f aca="false">Q34*L34</f>
        <v>1.30567164179104</v>
      </c>
      <c r="S34" s="15" t="n">
        <f aca="false">J34-R34</f>
        <v>1.89432835820896</v>
      </c>
      <c r="T34" s="15" t="n">
        <f aca="false">MIN(153.6,(T33+S34))</f>
        <v>51.1344029850746</v>
      </c>
      <c r="V34" s="8" t="n">
        <v>1201.8</v>
      </c>
      <c r="W34" s="8" t="n">
        <f aca="false">V34/D34</f>
        <v>73.2804878048781</v>
      </c>
      <c r="X34" s="8" t="n">
        <f aca="false">X33+V34</f>
        <v>27825.2</v>
      </c>
      <c r="AA34" s="8" t="n">
        <v>11.582731458026</v>
      </c>
    </row>
    <row r="35" s="8" customFormat="true" ht="15" hidden="false" customHeight="false" outlineLevel="0" collapsed="false">
      <c r="A35" s="9"/>
      <c r="B35" s="10"/>
      <c r="C35" s="11" t="n">
        <v>41551</v>
      </c>
      <c r="D35" s="8" t="n">
        <v>18</v>
      </c>
      <c r="E35" s="8" t="n">
        <v>17.3</v>
      </c>
      <c r="F35" s="8" t="n">
        <v>20.7</v>
      </c>
      <c r="G35" s="8" t="n">
        <f aca="false">G34+D35</f>
        <v>443.5</v>
      </c>
      <c r="J35" s="8" t="n">
        <v>0.8</v>
      </c>
      <c r="K35" s="8" t="n">
        <f aca="false">K34+J35</f>
        <v>75.7</v>
      </c>
      <c r="L35" s="8" t="n">
        <v>2.5</v>
      </c>
      <c r="M35" s="8" t="n">
        <f aca="false">M34+L35</f>
        <v>63.7</v>
      </c>
      <c r="N35" s="14" t="n">
        <f aca="false">J35-L35</f>
        <v>-1.7</v>
      </c>
      <c r="O35" s="8" t="n">
        <v>19.8</v>
      </c>
      <c r="P35" s="8" t="n">
        <v>30</v>
      </c>
      <c r="Q35" s="8" t="n">
        <f aca="false">0.35+((P35-9)/67)*(1-0.35)</f>
        <v>0.553731343283582</v>
      </c>
      <c r="R35" s="15" t="n">
        <f aca="false">Q35*L35</f>
        <v>1.38432835820896</v>
      </c>
      <c r="S35" s="15" t="n">
        <f aca="false">J35-R35</f>
        <v>-0.584328358208955</v>
      </c>
      <c r="T35" s="15" t="n">
        <f aca="false">MIN(153.6,(T34+S35))</f>
        <v>50.5500746268657</v>
      </c>
      <c r="V35" s="16" t="n">
        <v>744.5</v>
      </c>
      <c r="W35" s="8" t="n">
        <f aca="false">V35/D35</f>
        <v>41.3611111111111</v>
      </c>
      <c r="X35" s="8" t="n">
        <f aca="false">X34+V35</f>
        <v>28569.7</v>
      </c>
      <c r="AA35" s="8" t="n">
        <v>11.5194420762639</v>
      </c>
    </row>
    <row r="36" s="8" customFormat="true" ht="15" hidden="false" customHeight="false" outlineLevel="0" collapsed="false">
      <c r="A36" s="9"/>
      <c r="B36" s="10"/>
      <c r="C36" s="11" t="n">
        <v>41552</v>
      </c>
      <c r="D36" s="8" t="n">
        <v>15.3</v>
      </c>
      <c r="E36" s="8" t="n">
        <v>13.1</v>
      </c>
      <c r="F36" s="8" t="n">
        <v>19.2</v>
      </c>
      <c r="G36" s="8" t="n">
        <f aca="false">G35+D36</f>
        <v>458.8</v>
      </c>
      <c r="J36" s="8" t="n">
        <v>0</v>
      </c>
      <c r="K36" s="8" t="n">
        <f aca="false">K35+J36</f>
        <v>75.7</v>
      </c>
      <c r="L36" s="8" t="n">
        <v>1.4</v>
      </c>
      <c r="M36" s="8" t="n">
        <f aca="false">M35+L36</f>
        <v>65.1</v>
      </c>
      <c r="N36" s="14" t="n">
        <f aca="false">J36-L36</f>
        <v>-1.4</v>
      </c>
      <c r="O36" s="8" t="n">
        <v>18.4</v>
      </c>
      <c r="P36" s="8" t="n">
        <v>31</v>
      </c>
      <c r="Q36" s="8" t="n">
        <f aca="false">0.35+((P36-9)/67)*(1-0.35)</f>
        <v>0.563432835820896</v>
      </c>
      <c r="R36" s="15" t="n">
        <f aca="false">Q36*L36</f>
        <v>0.788805970149254</v>
      </c>
      <c r="S36" s="15" t="n">
        <f aca="false">J36-R36</f>
        <v>-0.788805970149254</v>
      </c>
      <c r="T36" s="15" t="n">
        <f aca="false">MIN(153.6,(T35+S36))</f>
        <v>49.7612686567164</v>
      </c>
      <c r="V36" s="16" t="n">
        <v>414.7</v>
      </c>
      <c r="W36" s="8" t="n">
        <f aca="false">V36/D36</f>
        <v>27.1045751633987</v>
      </c>
      <c r="X36" s="8" t="n">
        <f aca="false">X35+V36</f>
        <v>28984.4</v>
      </c>
      <c r="AA36" s="8" t="n">
        <v>11.4561961070522</v>
      </c>
    </row>
    <row r="37" s="8" customFormat="true" ht="15" hidden="false" customHeight="false" outlineLevel="0" collapsed="false">
      <c r="A37" s="9"/>
      <c r="B37" s="10"/>
      <c r="C37" s="11" t="n">
        <v>41553</v>
      </c>
      <c r="D37" s="8" t="n">
        <v>14.7</v>
      </c>
      <c r="E37" s="8" t="n">
        <v>12.8</v>
      </c>
      <c r="F37" s="8" t="n">
        <v>18.7</v>
      </c>
      <c r="G37" s="8" t="n">
        <f aca="false">G36+D37</f>
        <v>473.5</v>
      </c>
      <c r="J37" s="8" t="n">
        <v>0</v>
      </c>
      <c r="K37" s="8" t="n">
        <f aca="false">K36+J37</f>
        <v>75.7</v>
      </c>
      <c r="L37" s="8" t="n">
        <v>2.4</v>
      </c>
      <c r="M37" s="8" t="n">
        <f aca="false">M36+L37</f>
        <v>67.5</v>
      </c>
      <c r="N37" s="14" t="n">
        <f aca="false">J37-L37</f>
        <v>-2.4</v>
      </c>
      <c r="O37" s="8" t="n">
        <v>16</v>
      </c>
      <c r="P37" s="8" t="n">
        <v>32</v>
      </c>
      <c r="Q37" s="8" t="n">
        <f aca="false">0.35+((P37-9)/67)*(1-0.35)</f>
        <v>0.573134328358209</v>
      </c>
      <c r="R37" s="15" t="n">
        <f aca="false">Q37*L37</f>
        <v>1.3755223880597</v>
      </c>
      <c r="S37" s="15" t="n">
        <f aca="false">J37-R37</f>
        <v>-1.3755223880597</v>
      </c>
      <c r="T37" s="15" t="n">
        <f aca="false">MIN(153.6,(T36+S37))</f>
        <v>48.3857462686567</v>
      </c>
      <c r="V37" s="8" t="n">
        <v>1022.1</v>
      </c>
      <c r="W37" s="8" t="n">
        <f aca="false">V37/D37</f>
        <v>69.530612244898</v>
      </c>
      <c r="X37" s="8" t="n">
        <f aca="false">X36+V37</f>
        <v>30006.5</v>
      </c>
      <c r="AA37" s="8" t="n">
        <v>11.3930001556411</v>
      </c>
    </row>
    <row r="38" s="8" customFormat="true" ht="15" hidden="false" customHeight="false" outlineLevel="0" collapsed="false">
      <c r="A38" s="9"/>
      <c r="B38" s="10"/>
      <c r="C38" s="11" t="n">
        <v>41554</v>
      </c>
      <c r="D38" s="8" t="n">
        <v>12.6</v>
      </c>
      <c r="E38" s="8" t="n">
        <v>7.6</v>
      </c>
      <c r="F38" s="8" t="n">
        <v>18</v>
      </c>
      <c r="G38" s="8" t="n">
        <f aca="false">G37+D38</f>
        <v>486.1</v>
      </c>
      <c r="J38" s="8" t="n">
        <v>0.2</v>
      </c>
      <c r="K38" s="8" t="n">
        <f aca="false">K37+J38</f>
        <v>75.9</v>
      </c>
      <c r="L38" s="8" t="n">
        <v>2.3</v>
      </c>
      <c r="M38" s="8" t="n">
        <f aca="false">M37+L38</f>
        <v>69.8</v>
      </c>
      <c r="N38" s="14" t="n">
        <f aca="false">J38-L38</f>
        <v>-2.1</v>
      </c>
      <c r="O38" s="8" t="n">
        <v>13.9</v>
      </c>
      <c r="P38" s="8" t="n">
        <v>33</v>
      </c>
      <c r="Q38" s="8" t="n">
        <f aca="false">0.35+((P38-9)/67)*(1-0.35)</f>
        <v>0.582835820895522</v>
      </c>
      <c r="R38" s="15" t="n">
        <f aca="false">Q38*L38</f>
        <v>1.3405223880597</v>
      </c>
      <c r="S38" s="15" t="n">
        <f aca="false">J38-R38</f>
        <v>-1.1405223880597</v>
      </c>
      <c r="T38" s="15" t="n">
        <f aca="false">MIN(153.6,(T37+S38))</f>
        <v>47.245223880597</v>
      </c>
      <c r="V38" s="8" t="n">
        <v>1070.3</v>
      </c>
      <c r="W38" s="8" t="n">
        <f aca="false">V38/D38</f>
        <v>84.9444444444444</v>
      </c>
      <c r="X38" s="8" t="n">
        <f aca="false">X37+V38</f>
        <v>31076.8</v>
      </c>
      <c r="AA38" s="8" t="n">
        <v>11.3298610700723</v>
      </c>
    </row>
    <row r="39" s="8" customFormat="true" ht="15" hidden="false" customHeight="false" outlineLevel="0" collapsed="false">
      <c r="A39" s="9"/>
      <c r="B39" s="10"/>
      <c r="C39" s="11" t="n">
        <v>41555</v>
      </c>
      <c r="D39" s="8" t="n">
        <v>13.7</v>
      </c>
      <c r="E39" s="8" t="n">
        <v>7.7</v>
      </c>
      <c r="F39" s="8" t="n">
        <v>18.9</v>
      </c>
      <c r="G39" s="8" t="n">
        <f aca="false">G38+D39</f>
        <v>499.8</v>
      </c>
      <c r="J39" s="8" t="n">
        <v>1.8</v>
      </c>
      <c r="K39" s="8" t="n">
        <f aca="false">K38+J39</f>
        <v>77.7</v>
      </c>
      <c r="L39" s="8" t="n">
        <v>2.2</v>
      </c>
      <c r="M39" s="8" t="n">
        <f aca="false">M38+L39</f>
        <v>72</v>
      </c>
      <c r="N39" s="14" t="n">
        <f aca="false">J39-L39</f>
        <v>-0.4</v>
      </c>
      <c r="O39" s="8" t="n">
        <v>13.5</v>
      </c>
      <c r="P39" s="8" t="n">
        <v>34</v>
      </c>
      <c r="Q39" s="8" t="n">
        <f aca="false">0.35+((P39-9)/67)*(1-0.35)</f>
        <v>0.592537313432836</v>
      </c>
      <c r="R39" s="15" t="n">
        <f aca="false">Q39*L39</f>
        <v>1.30358208955224</v>
      </c>
      <c r="S39" s="15" t="n">
        <f aca="false">J39-R39</f>
        <v>0.496417910447761</v>
      </c>
      <c r="T39" s="15" t="n">
        <f aca="false">MIN(153.6,(T38+S39))</f>
        <v>47.7416417910448</v>
      </c>
      <c r="V39" s="8" t="n">
        <v>1085.3</v>
      </c>
      <c r="W39" s="8" t="n">
        <f aca="false">V39/D39</f>
        <v>79.2189781021898</v>
      </c>
      <c r="X39" s="8" t="n">
        <f aca="false">X38+V39</f>
        <v>32162.1</v>
      </c>
      <c r="AA39" s="8" t="n">
        <v>11.2667859613301</v>
      </c>
    </row>
    <row r="40" s="8" customFormat="true" ht="15" hidden="false" customHeight="false" outlineLevel="0" collapsed="false">
      <c r="A40" s="9"/>
      <c r="B40" s="10"/>
      <c r="C40" s="11" t="n">
        <v>41556</v>
      </c>
      <c r="D40" s="8" t="n">
        <v>14.2</v>
      </c>
      <c r="E40" s="8" t="n">
        <v>13.3</v>
      </c>
      <c r="F40" s="8" t="n">
        <v>16.2</v>
      </c>
      <c r="G40" s="8" t="n">
        <f aca="false">G39+D40</f>
        <v>514</v>
      </c>
      <c r="J40" s="8" t="n">
        <v>1.1</v>
      </c>
      <c r="K40" s="8" t="n">
        <f aca="false">K39+J40</f>
        <v>78.8</v>
      </c>
      <c r="L40" s="8" t="n">
        <v>1.6</v>
      </c>
      <c r="M40" s="8" t="n">
        <f aca="false">M39+L40</f>
        <v>73.6</v>
      </c>
      <c r="N40" s="14" t="n">
        <f aca="false">J40-L40</f>
        <v>-0.5</v>
      </c>
      <c r="O40" s="8" t="n">
        <v>13</v>
      </c>
      <c r="P40" s="8" t="n">
        <v>35</v>
      </c>
      <c r="Q40" s="8" t="n">
        <f aca="false">0.35+((P40-9)/67)*(1-0.35)</f>
        <v>0.602238805970149</v>
      </c>
      <c r="R40" s="15" t="n">
        <f aca="false">Q40*L40</f>
        <v>0.963582089552239</v>
      </c>
      <c r="S40" s="15" t="n">
        <f aca="false">J40-R40</f>
        <v>0.136417910447761</v>
      </c>
      <c r="T40" s="15" t="n">
        <f aca="false">MIN(153.6,(T39+S40))</f>
        <v>47.8780597014925</v>
      </c>
      <c r="V40" s="16" t="n">
        <v>423.7</v>
      </c>
      <c r="W40" s="8" t="n">
        <f aca="false">V40/D40</f>
        <v>29.8380281690141</v>
      </c>
      <c r="X40" s="8" t="n">
        <f aca="false">X39+V40</f>
        <v>32585.8</v>
      </c>
      <c r="AA40" s="8" t="n">
        <v>11.2037822236643</v>
      </c>
    </row>
    <row r="41" s="8" customFormat="true" ht="15" hidden="false" customHeight="false" outlineLevel="0" collapsed="false">
      <c r="A41" s="9"/>
      <c r="B41" s="10"/>
      <c r="C41" s="11" t="n">
        <v>41557</v>
      </c>
      <c r="D41" s="8" t="n">
        <v>9</v>
      </c>
      <c r="E41" s="8" t="n">
        <v>8.4</v>
      </c>
      <c r="F41" s="8" t="n">
        <v>9.3</v>
      </c>
      <c r="G41" s="8" t="n">
        <f aca="false">G40+D41</f>
        <v>523</v>
      </c>
      <c r="J41" s="8" t="n">
        <v>52.2</v>
      </c>
      <c r="K41" s="8" t="n">
        <f aca="false">K40+J41</f>
        <v>131</v>
      </c>
      <c r="L41" s="8" t="n">
        <v>1.1</v>
      </c>
      <c r="M41" s="8" t="n">
        <f aca="false">M40+L41</f>
        <v>74.7</v>
      </c>
      <c r="N41" s="8" t="n">
        <f aca="false">J41-L41</f>
        <v>51.1</v>
      </c>
      <c r="O41" s="8" t="n">
        <v>64.1</v>
      </c>
      <c r="P41" s="8" t="n">
        <v>36</v>
      </c>
      <c r="Q41" s="8" t="n">
        <f aca="false">0.35+((P41-9)/67)*(1-0.35)</f>
        <v>0.611940298507463</v>
      </c>
      <c r="R41" s="15" t="n">
        <f aca="false">Q41*L41</f>
        <v>0.673134328358209</v>
      </c>
      <c r="S41" s="15" t="n">
        <f aca="false">J41-R41</f>
        <v>51.5268656716418</v>
      </c>
      <c r="T41" s="15" t="n">
        <f aca="false">MIN(153.6,(T40+S41))</f>
        <v>99.4049253731343</v>
      </c>
      <c r="V41" s="16" t="n">
        <v>255.4</v>
      </c>
      <c r="W41" s="8" t="n">
        <f aca="false">V41/D41</f>
        <v>28.3777777777778</v>
      </c>
      <c r="X41" s="8" t="n">
        <f aca="false">X40+V41</f>
        <v>32841.2</v>
      </c>
      <c r="AA41" s="8" t="n">
        <v>11.1408575550779</v>
      </c>
    </row>
    <row r="42" s="8" customFormat="true" ht="15" hidden="false" customHeight="false" outlineLevel="0" collapsed="false">
      <c r="A42" s="9"/>
      <c r="B42" s="10"/>
      <c r="C42" s="11" t="n">
        <v>41558</v>
      </c>
      <c r="D42" s="8" t="n">
        <v>8.6</v>
      </c>
      <c r="E42" s="8" t="n">
        <v>7.4</v>
      </c>
      <c r="F42" s="8" t="n">
        <v>9.7</v>
      </c>
      <c r="G42" s="8" t="n">
        <f aca="false">G41+D42</f>
        <v>531.6</v>
      </c>
      <c r="J42" s="8" t="n">
        <v>3.2</v>
      </c>
      <c r="K42" s="8" t="n">
        <f aca="false">K41+J42</f>
        <v>134.2</v>
      </c>
      <c r="L42" s="8" t="n">
        <v>0.7</v>
      </c>
      <c r="M42" s="8" t="n">
        <f aca="false">M41+L42</f>
        <v>75.4</v>
      </c>
      <c r="N42" s="8" t="n">
        <f aca="false">J42-L42</f>
        <v>2.5</v>
      </c>
      <c r="O42" s="8" t="n">
        <v>66.6</v>
      </c>
      <c r="P42" s="8" t="n">
        <v>37</v>
      </c>
      <c r="Q42" s="8" t="n">
        <f aca="false">0.35+((P42-9)/67)*(1-0.35)</f>
        <v>0.621641791044776</v>
      </c>
      <c r="R42" s="15" t="n">
        <f aca="false">Q42*L42</f>
        <v>0.435149253731343</v>
      </c>
      <c r="S42" s="15" t="n">
        <f aca="false">J42-R42</f>
        <v>2.76485074626866</v>
      </c>
      <c r="T42" s="15" t="n">
        <f aca="false">MIN(153.6,(T41+S42))</f>
        <v>102.169776119403</v>
      </c>
      <c r="V42" s="16" t="n">
        <v>371.9</v>
      </c>
      <c r="W42" s="8" t="n">
        <f aca="false">V42/D42</f>
        <v>43.2441860465116</v>
      </c>
      <c r="X42" s="8" t="n">
        <f aca="false">X41+V42</f>
        <v>33213.1</v>
      </c>
      <c r="AA42" s="8" t="n">
        <v>11.0780199779733</v>
      </c>
    </row>
    <row r="43" s="8" customFormat="true" ht="15" hidden="false" customHeight="false" outlineLevel="0" collapsed="false">
      <c r="A43" s="9"/>
      <c r="B43" s="10"/>
      <c r="C43" s="11" t="n">
        <v>41559</v>
      </c>
      <c r="D43" s="8" t="n">
        <v>8.3</v>
      </c>
      <c r="E43" s="18" t="n">
        <v>4.3</v>
      </c>
      <c r="F43" s="8" t="n">
        <v>11.3</v>
      </c>
      <c r="G43" s="8" t="n">
        <f aca="false">G42+D43</f>
        <v>539.9</v>
      </c>
      <c r="J43" s="8" t="n">
        <v>0.6</v>
      </c>
      <c r="K43" s="8" t="n">
        <f aca="false">K42+J43</f>
        <v>134.8</v>
      </c>
      <c r="L43" s="8" t="n">
        <v>1</v>
      </c>
      <c r="M43" s="8" t="n">
        <f aca="false">M42+L43</f>
        <v>76.4</v>
      </c>
      <c r="N43" s="14" t="n">
        <f aca="false">J43-L43</f>
        <v>-0.4</v>
      </c>
      <c r="O43" s="8" t="n">
        <v>66.2</v>
      </c>
      <c r="P43" s="8" t="n">
        <v>38</v>
      </c>
      <c r="Q43" s="8" t="n">
        <f aca="false">0.35+((P43-9)/67)*(1-0.35)</f>
        <v>0.63134328358209</v>
      </c>
      <c r="R43" s="15" t="n">
        <f aca="false">Q43*L43</f>
        <v>0.63134328358209</v>
      </c>
      <c r="S43" s="15" t="n">
        <f aca="false">J43-R43</f>
        <v>-0.0313432835820896</v>
      </c>
      <c r="T43" s="15" t="n">
        <f aca="false">MIN(153.6,(T42+S43))</f>
        <v>102.138432835821</v>
      </c>
      <c r="V43" s="16" t="n">
        <v>764.3</v>
      </c>
      <c r="W43" s="8" t="n">
        <f aca="false">V43/D43</f>
        <v>92.0843373493976</v>
      </c>
      <c r="X43" s="8" t="n">
        <f aca="false">X42+V43</f>
        <v>33977.4</v>
      </c>
      <c r="AA43" s="8" t="n">
        <v>11.0152778599436</v>
      </c>
    </row>
    <row r="44" s="8" customFormat="true" ht="15" hidden="false" customHeight="false" outlineLevel="0" collapsed="false">
      <c r="A44" s="9"/>
      <c r="B44" s="10"/>
      <c r="C44" s="11" t="n">
        <v>41560</v>
      </c>
      <c r="D44" s="8" t="n">
        <v>8.7</v>
      </c>
      <c r="E44" s="8" t="n">
        <v>8.1</v>
      </c>
      <c r="F44" s="8" t="n">
        <v>9.8</v>
      </c>
      <c r="G44" s="8" t="n">
        <f aca="false">G43+D44</f>
        <v>548.6</v>
      </c>
      <c r="J44" s="8" t="n">
        <v>16.5</v>
      </c>
      <c r="K44" s="8" t="n">
        <f aca="false">K43+J44</f>
        <v>151.3</v>
      </c>
      <c r="L44" s="8" t="n">
        <v>0.9</v>
      </c>
      <c r="M44" s="8" t="n">
        <f aca="false">M43+L44</f>
        <v>77.3</v>
      </c>
      <c r="N44" s="8" t="n">
        <f aca="false">J44-L44</f>
        <v>15.6</v>
      </c>
      <c r="O44" s="8" t="n">
        <v>81.8</v>
      </c>
      <c r="P44" s="8" t="n">
        <v>39</v>
      </c>
      <c r="Q44" s="8" t="n">
        <f aca="false">0.35+((P44-9)/67)*(1-0.35)</f>
        <v>0.641044776119403</v>
      </c>
      <c r="R44" s="15" t="n">
        <f aca="false">Q44*L44</f>
        <v>0.576940298507463</v>
      </c>
      <c r="S44" s="15" t="n">
        <f aca="false">J44-R44</f>
        <v>15.9230597014925</v>
      </c>
      <c r="T44" s="15" t="n">
        <f aca="false">MIN(153.6,(T43+S44))</f>
        <v>118.061492537313</v>
      </c>
      <c r="V44" s="16" t="n">
        <v>149.4</v>
      </c>
      <c r="W44" s="8" t="n">
        <f aca="false">V44/D44</f>
        <v>17.1724137931035</v>
      </c>
      <c r="X44" s="8" t="n">
        <f aca="false">X43+V44</f>
        <v>34126.8</v>
      </c>
      <c r="AA44" s="8" t="n">
        <v>10.9526399346951</v>
      </c>
    </row>
    <row r="45" s="8" customFormat="true" ht="15" hidden="false" customHeight="false" outlineLevel="0" collapsed="false">
      <c r="A45" s="9"/>
      <c r="B45" s="10"/>
      <c r="C45" s="11" t="n">
        <v>41561</v>
      </c>
      <c r="D45" s="8" t="n">
        <v>10.4</v>
      </c>
      <c r="E45" s="8" t="n">
        <v>9.6</v>
      </c>
      <c r="F45" s="8" t="n">
        <v>11.1</v>
      </c>
      <c r="G45" s="8" t="n">
        <f aca="false">G44+D45</f>
        <v>559</v>
      </c>
      <c r="J45" s="8" t="n">
        <v>11.8</v>
      </c>
      <c r="K45" s="8" t="n">
        <f aca="false">K44+J45</f>
        <v>163.1</v>
      </c>
      <c r="L45" s="8" t="n">
        <v>0.6</v>
      </c>
      <c r="M45" s="8" t="n">
        <f aca="false">M44+L45</f>
        <v>77.9</v>
      </c>
      <c r="N45" s="8" t="n">
        <f aca="false">J45-L45</f>
        <v>11.2</v>
      </c>
      <c r="O45" s="8" t="n">
        <v>93</v>
      </c>
      <c r="P45" s="8" t="n">
        <v>40</v>
      </c>
      <c r="Q45" s="8" t="n">
        <f aca="false">0.35+((P45-9)/67)*(1-0.35)</f>
        <v>0.650746268656717</v>
      </c>
      <c r="R45" s="15" t="n">
        <f aca="false">Q45*L45</f>
        <v>0.39044776119403</v>
      </c>
      <c r="S45" s="15" t="n">
        <f aca="false">J45-R45</f>
        <v>11.409552238806</v>
      </c>
      <c r="T45" s="15" t="n">
        <f aca="false">MIN(153.6,(T44+S45))</f>
        <v>129.471044776119</v>
      </c>
      <c r="V45" s="16" t="n">
        <v>151.1</v>
      </c>
      <c r="W45" s="8" t="n">
        <f aca="false">V45/D45</f>
        <v>14.5288461538462</v>
      </c>
      <c r="X45" s="8" t="n">
        <f aca="false">X44+V45</f>
        <v>34277.9</v>
      </c>
      <c r="AA45" s="8" t="n">
        <v>10.8901153230823</v>
      </c>
    </row>
    <row r="46" s="8" customFormat="true" ht="15" hidden="false" customHeight="false" outlineLevel="0" collapsed="false">
      <c r="A46" s="9"/>
      <c r="B46" s="10"/>
      <c r="C46" s="11" t="n">
        <v>41562</v>
      </c>
      <c r="D46" s="8" t="n">
        <v>10.3</v>
      </c>
      <c r="E46" s="8" t="n">
        <v>8.2</v>
      </c>
      <c r="F46" s="8" t="n">
        <v>12.6</v>
      </c>
      <c r="G46" s="8" t="n">
        <f aca="false">G45+D46</f>
        <v>569.3</v>
      </c>
      <c r="J46" s="8" t="n">
        <v>0.2</v>
      </c>
      <c r="K46" s="8" t="n">
        <f aca="false">K45+J46</f>
        <v>163.3</v>
      </c>
      <c r="L46" s="8" t="n">
        <v>1.7</v>
      </c>
      <c r="M46" s="8" t="n">
        <f aca="false">M45+L46</f>
        <v>79.6</v>
      </c>
      <c r="N46" s="14" t="n">
        <f aca="false">J46-L46</f>
        <v>-1.5</v>
      </c>
      <c r="O46" s="8" t="n">
        <v>91.5</v>
      </c>
      <c r="P46" s="8" t="n">
        <v>41</v>
      </c>
      <c r="Q46" s="8" t="n">
        <f aca="false">0.35+((P46-9)/67)*(1-0.35)</f>
        <v>0.66044776119403</v>
      </c>
      <c r="R46" s="15" t="n">
        <f aca="false">Q46*L46</f>
        <v>1.12276119402985</v>
      </c>
      <c r="S46" s="15" t="n">
        <f aca="false">J46-R46</f>
        <v>-0.922761194029851</v>
      </c>
      <c r="T46" s="15" t="n">
        <f aca="false">MIN(153.6,(T45+S46))</f>
        <v>128.54828358209</v>
      </c>
      <c r="V46" s="16" t="n">
        <v>861.3</v>
      </c>
      <c r="W46" s="8" t="n">
        <f aca="false">V46/D46</f>
        <v>83.621359223301</v>
      </c>
      <c r="X46" s="8" t="n">
        <f aca="false">X45+V46</f>
        <v>35139.2</v>
      </c>
      <c r="AA46" s="8" t="n">
        <v>10.8277135542339</v>
      </c>
    </row>
    <row r="47" s="8" customFormat="true" ht="15" hidden="false" customHeight="false" outlineLevel="0" collapsed="false">
      <c r="A47" s="9"/>
      <c r="B47" s="10"/>
      <c r="C47" s="11" t="n">
        <v>41563</v>
      </c>
      <c r="D47" s="8" t="n">
        <v>10.2</v>
      </c>
      <c r="E47" s="8" t="n">
        <v>7.6</v>
      </c>
      <c r="F47" s="8" t="n">
        <v>12.5</v>
      </c>
      <c r="G47" s="8" t="n">
        <f aca="false">G46+D47</f>
        <v>579.5</v>
      </c>
      <c r="J47" s="8" t="n">
        <v>3.6</v>
      </c>
      <c r="K47" s="8" t="n">
        <f aca="false">K46+J47</f>
        <v>166.9</v>
      </c>
      <c r="L47" s="8" t="n">
        <v>0.5</v>
      </c>
      <c r="M47" s="8" t="n">
        <f aca="false">M46+L47</f>
        <v>80.1</v>
      </c>
      <c r="N47" s="8" t="n">
        <f aca="false">J47-L47</f>
        <v>3.1</v>
      </c>
      <c r="O47" s="8" t="n">
        <v>94.6</v>
      </c>
      <c r="P47" s="8" t="n">
        <v>42</v>
      </c>
      <c r="Q47" s="8" t="n">
        <f aca="false">0.35+((P47-9)/67)*(1-0.35)</f>
        <v>0.670149253731343</v>
      </c>
      <c r="R47" s="15" t="n">
        <f aca="false">Q47*L47</f>
        <v>0.335074626865672</v>
      </c>
      <c r="S47" s="15" t="n">
        <f aca="false">J47-R47</f>
        <v>3.26492537313433</v>
      </c>
      <c r="T47" s="15" t="n">
        <f aca="false">MIN(153.6,(T46+S47))</f>
        <v>131.813208955224</v>
      </c>
      <c r="V47" s="16" t="n">
        <v>239.4</v>
      </c>
      <c r="W47" s="8" t="n">
        <f aca="false">V47/D47</f>
        <v>23.4705882352941</v>
      </c>
      <c r="X47" s="8" t="n">
        <f aca="false">X46+V47</f>
        <v>35378.6</v>
      </c>
      <c r="AA47" s="8" t="n">
        <v>10.7654445867412</v>
      </c>
    </row>
    <row r="48" s="8" customFormat="true" ht="15" hidden="false" customHeight="false" outlineLevel="0" collapsed="false">
      <c r="A48" s="9"/>
      <c r="B48" s="10"/>
      <c r="C48" s="11" t="n">
        <v>41564</v>
      </c>
      <c r="D48" s="8" t="n">
        <v>13.2</v>
      </c>
      <c r="E48" s="8" t="n">
        <v>11.5</v>
      </c>
      <c r="F48" s="8" t="n">
        <v>15</v>
      </c>
      <c r="G48" s="8" t="n">
        <f aca="false">G47+D48</f>
        <v>592.7</v>
      </c>
      <c r="J48" s="8" t="n">
        <v>5.2</v>
      </c>
      <c r="K48" s="8" t="n">
        <f aca="false">K47+J48</f>
        <v>172.1</v>
      </c>
      <c r="L48" s="8" t="n">
        <v>1</v>
      </c>
      <c r="M48" s="8" t="n">
        <f aca="false">M47+L48</f>
        <v>81.1</v>
      </c>
      <c r="N48" s="8" t="n">
        <f aca="false">J48-L48</f>
        <v>4.2</v>
      </c>
      <c r="O48" s="8" t="n">
        <v>98.8</v>
      </c>
      <c r="P48" s="8" t="n">
        <v>43</v>
      </c>
      <c r="Q48" s="8" t="n">
        <f aca="false">0.35+((P48-9)/67)*(1-0.35)</f>
        <v>0.679850746268657</v>
      </c>
      <c r="R48" s="15" t="n">
        <f aca="false">Q48*L48</f>
        <v>0.679850746268657</v>
      </c>
      <c r="S48" s="15" t="n">
        <f aca="false">J48-R48</f>
        <v>4.52014925373134</v>
      </c>
      <c r="T48" s="15" t="n">
        <f aca="false">MIN(153.6,(T47+S48))</f>
        <v>136.333358208955</v>
      </c>
      <c r="V48" s="16" t="n">
        <v>381.4</v>
      </c>
      <c r="W48" s="8" t="n">
        <f aca="false">V48/D48</f>
        <v>28.8939393939394</v>
      </c>
      <c r="X48" s="8" t="n">
        <f aca="false">X47+V48</f>
        <v>35760</v>
      </c>
      <c r="AA48" s="8" t="n">
        <v>10.7033188298807</v>
      </c>
    </row>
    <row r="49" s="8" customFormat="true" ht="15" hidden="false" customHeight="false" outlineLevel="0" collapsed="false">
      <c r="A49" s="9"/>
      <c r="B49" s="10"/>
      <c r="C49" s="11" t="n">
        <v>41565</v>
      </c>
      <c r="D49" s="8" t="n">
        <v>11.7</v>
      </c>
      <c r="E49" s="8" t="n">
        <v>10.5</v>
      </c>
      <c r="F49" s="8" t="n">
        <v>12.8</v>
      </c>
      <c r="G49" s="8" t="n">
        <f aca="false">G48+D49</f>
        <v>604.4</v>
      </c>
      <c r="J49" s="8" t="n">
        <v>0</v>
      </c>
      <c r="K49" s="8" t="n">
        <f aca="false">K48+J49</f>
        <v>172.1</v>
      </c>
      <c r="L49" s="8" t="n">
        <v>0.7</v>
      </c>
      <c r="M49" s="8" t="n">
        <f aca="false">M48+L49</f>
        <v>81.8</v>
      </c>
      <c r="N49" s="14" t="n">
        <f aca="false">J49-L49</f>
        <v>-0.7</v>
      </c>
      <c r="O49" s="8" t="n">
        <v>98.1</v>
      </c>
      <c r="P49" s="8" t="n">
        <v>44</v>
      </c>
      <c r="Q49" s="8" t="n">
        <f aca="false">0.35+((P49-9)/67)*(1-0.35)</f>
        <v>0.68955223880597</v>
      </c>
      <c r="R49" s="15" t="n">
        <f aca="false">Q49*L49</f>
        <v>0.482686567164179</v>
      </c>
      <c r="S49" s="15" t="n">
        <f aca="false">J49-R49</f>
        <v>-0.482686567164179</v>
      </c>
      <c r="T49" s="15" t="n">
        <f aca="false">MIN(153.6,(T48+S49))</f>
        <v>135.850671641791</v>
      </c>
      <c r="V49" s="16" t="n">
        <v>468.5</v>
      </c>
      <c r="W49" s="8" t="n">
        <f aca="false">V49/D49</f>
        <v>40.042735042735</v>
      </c>
      <c r="X49" s="8" t="n">
        <f aca="false">X48+V49</f>
        <v>36228.5</v>
      </c>
      <c r="AA49" s="8" t="n">
        <v>10.6413471648317</v>
      </c>
    </row>
    <row r="50" s="8" customFormat="true" ht="15" hidden="false" customHeight="false" outlineLevel="0" collapsed="false">
      <c r="A50" s="9"/>
      <c r="B50" s="10"/>
      <c r="C50" s="11" t="n">
        <v>41566</v>
      </c>
      <c r="D50" s="8" t="n">
        <v>13.4</v>
      </c>
      <c r="E50" s="8" t="n">
        <v>10.3</v>
      </c>
      <c r="F50" s="8" t="n">
        <v>15.7</v>
      </c>
      <c r="G50" s="8" t="n">
        <f aca="false">G49+D50</f>
        <v>617.8</v>
      </c>
      <c r="J50" s="8" t="n">
        <v>1.1</v>
      </c>
      <c r="K50" s="8" t="n">
        <f aca="false">K49+J50</f>
        <v>173.2</v>
      </c>
      <c r="L50" s="8" t="n">
        <v>0.4</v>
      </c>
      <c r="M50" s="8" t="n">
        <f aca="false">M49+L50</f>
        <v>82.2</v>
      </c>
      <c r="N50" s="8" t="n">
        <f aca="false">J50-L50</f>
        <v>0.7</v>
      </c>
      <c r="O50" s="8" t="n">
        <v>98.8</v>
      </c>
      <c r="P50" s="8" t="n">
        <v>45</v>
      </c>
      <c r="Q50" s="8" t="n">
        <f aca="false">0.35+((P50-9)/67)*(1-0.35)</f>
        <v>0.699253731343284</v>
      </c>
      <c r="R50" s="15" t="n">
        <f aca="false">Q50*L50</f>
        <v>0.279701492537313</v>
      </c>
      <c r="S50" s="15" t="n">
        <f aca="false">J50-R50</f>
        <v>0.820298507462687</v>
      </c>
      <c r="T50" s="15" t="n">
        <f aca="false">MIN(153.6,(T49+S50))</f>
        <v>136.670970149254</v>
      </c>
      <c r="V50" s="16" t="n">
        <v>358.4</v>
      </c>
      <c r="W50" s="8" t="n">
        <f aca="false">V50/D50</f>
        <v>26.7462686567164</v>
      </c>
      <c r="X50" s="8" t="n">
        <f aca="false">X49+V50</f>
        <v>36586.9</v>
      </c>
      <c r="AA50" s="8" t="n">
        <v>10.5795409658507</v>
      </c>
    </row>
    <row r="51" s="8" customFormat="true" ht="15" hidden="false" customHeight="false" outlineLevel="0" collapsed="false">
      <c r="A51" s="9"/>
      <c r="B51" s="10"/>
      <c r="C51" s="11" t="n">
        <v>41567</v>
      </c>
      <c r="D51" s="8" t="n">
        <v>14.8</v>
      </c>
      <c r="E51" s="8" t="n">
        <v>13.1</v>
      </c>
      <c r="F51" s="8" t="n">
        <v>17.3</v>
      </c>
      <c r="G51" s="8" t="n">
        <f aca="false">G50+D51</f>
        <v>632.6</v>
      </c>
      <c r="J51" s="8" t="n">
        <v>1.1</v>
      </c>
      <c r="K51" s="8" t="n">
        <f aca="false">K50+J51</f>
        <v>174.3</v>
      </c>
      <c r="L51" s="8" t="n">
        <v>1.3</v>
      </c>
      <c r="M51" s="8" t="n">
        <f aca="false">M50+L51</f>
        <v>83.5</v>
      </c>
      <c r="N51" s="14" t="n">
        <f aca="false">J51-L51</f>
        <v>-0.2</v>
      </c>
      <c r="O51" s="8" t="n">
        <v>98.6</v>
      </c>
      <c r="P51" s="8" t="n">
        <v>46</v>
      </c>
      <c r="Q51" s="8" t="n">
        <f aca="false">0.35+((P51-9)/67)*(1-0.35)</f>
        <v>0.708955223880597</v>
      </c>
      <c r="R51" s="15" t="n">
        <f aca="false">Q51*L51</f>
        <v>0.921641791044776</v>
      </c>
      <c r="S51" s="15" t="n">
        <f aca="false">J51-R51</f>
        <v>0.178358208955224</v>
      </c>
      <c r="T51" s="15" t="n">
        <f aca="false">MIN(153.6,(T50+S51))</f>
        <v>136.849328358209</v>
      </c>
      <c r="V51" s="16" t="n">
        <v>679.5</v>
      </c>
      <c r="W51" s="8" t="n">
        <f aca="false">V51/D51</f>
        <v>45.9121621621622</v>
      </c>
      <c r="X51" s="8" t="n">
        <f aca="false">X50+V51</f>
        <v>37266.4</v>
      </c>
      <c r="AA51" s="8" t="n">
        <v>10.5179121213524</v>
      </c>
    </row>
    <row r="52" s="8" customFormat="true" ht="15" hidden="false" customHeight="false" outlineLevel="0" collapsed="false">
      <c r="A52" s="9"/>
      <c r="B52" s="10"/>
      <c r="C52" s="11" t="n">
        <v>41568</v>
      </c>
      <c r="D52" s="8" t="n">
        <v>15.4</v>
      </c>
      <c r="E52" s="8" t="n">
        <v>13</v>
      </c>
      <c r="F52" s="8" t="n">
        <v>17.4</v>
      </c>
      <c r="G52" s="8" t="n">
        <f aca="false">G51+D52</f>
        <v>648</v>
      </c>
      <c r="J52" s="8" t="n">
        <v>0.2</v>
      </c>
      <c r="K52" s="8" t="n">
        <f aca="false">K51+J52</f>
        <v>174.5</v>
      </c>
      <c r="L52" s="8" t="n">
        <v>1.1</v>
      </c>
      <c r="M52" s="8" t="n">
        <f aca="false">M51+L52</f>
        <v>84.6</v>
      </c>
      <c r="N52" s="14" t="n">
        <f aca="false">J52-L52</f>
        <v>-0.9</v>
      </c>
      <c r="O52" s="8" t="n">
        <v>97.7</v>
      </c>
      <c r="P52" s="8" t="n">
        <v>47</v>
      </c>
      <c r="Q52" s="8" t="n">
        <f aca="false">0.35+((P52-9)/67)*(1-0.35)</f>
        <v>0.71865671641791</v>
      </c>
      <c r="R52" s="15" t="n">
        <f aca="false">Q52*L52</f>
        <v>0.790522388059702</v>
      </c>
      <c r="S52" s="15" t="n">
        <f aca="false">J52-R52</f>
        <v>-0.590522388059702</v>
      </c>
      <c r="T52" s="15" t="n">
        <f aca="false">MIN(153.6,(T51+S52))</f>
        <v>136.258805970149</v>
      </c>
      <c r="V52" s="16" t="n">
        <v>572.2</v>
      </c>
      <c r="W52" s="8" t="n">
        <f aca="false">V52/D52</f>
        <v>37.1558441558442</v>
      </c>
      <c r="X52" s="8" t="n">
        <f aca="false">X51+V52</f>
        <v>37838.6</v>
      </c>
      <c r="AA52" s="8" t="n">
        <v>10.4564730548477</v>
      </c>
    </row>
    <row r="53" s="8" customFormat="true" ht="15" hidden="false" customHeight="false" outlineLevel="0" collapsed="false">
      <c r="A53" s="9"/>
      <c r="B53" s="10"/>
      <c r="C53" s="11" t="n">
        <v>41569</v>
      </c>
      <c r="D53" s="8" t="n">
        <v>17.3</v>
      </c>
      <c r="E53" s="8" t="n">
        <v>15</v>
      </c>
      <c r="F53" s="8" t="n">
        <v>20.8</v>
      </c>
      <c r="G53" s="8" t="n">
        <f aca="false">G52+D53</f>
        <v>665.3</v>
      </c>
      <c r="J53" s="8" t="n">
        <v>0.2</v>
      </c>
      <c r="K53" s="8" t="n">
        <f aca="false">K52+J53</f>
        <v>174.7</v>
      </c>
      <c r="L53" s="8" t="n">
        <v>2.2</v>
      </c>
      <c r="M53" s="8" t="n">
        <f aca="false">M52+L53</f>
        <v>86.8</v>
      </c>
      <c r="N53" s="14" t="n">
        <f aca="false">J53-L53</f>
        <v>-2</v>
      </c>
      <c r="O53" s="8" t="n">
        <v>95.7</v>
      </c>
      <c r="P53" s="8" t="n">
        <v>48</v>
      </c>
      <c r="Q53" s="8" t="n">
        <f aca="false">0.35+((P53-9)/67)*(1-0.35)</f>
        <v>0.728358208955224</v>
      </c>
      <c r="R53" s="15" t="n">
        <f aca="false">Q53*L53</f>
        <v>1.60238805970149</v>
      </c>
      <c r="S53" s="15" t="n">
        <f aca="false">J53-R53</f>
        <v>-1.40238805970149</v>
      </c>
      <c r="T53" s="15" t="n">
        <f aca="false">MIN(153.6,(T52+S53))</f>
        <v>134.856417910448</v>
      </c>
      <c r="V53" s="16" t="n">
        <v>851.4</v>
      </c>
      <c r="W53" s="8" t="n">
        <f aca="false">V53/D53</f>
        <v>49.2138728323699</v>
      </c>
      <c r="X53" s="8" t="n">
        <f aca="false">X52+V53</f>
        <v>38690</v>
      </c>
      <c r="AA53" s="8" t="n">
        <v>10.3952367456766</v>
      </c>
    </row>
    <row r="54" s="8" customFormat="true" ht="15" hidden="false" customHeight="false" outlineLevel="0" collapsed="false">
      <c r="A54" s="9"/>
      <c r="B54" s="10"/>
      <c r="C54" s="11" t="n">
        <v>41570</v>
      </c>
      <c r="D54" s="8" t="n">
        <v>15.6</v>
      </c>
      <c r="E54" s="8" t="n">
        <v>14.2</v>
      </c>
      <c r="F54" s="8" t="n">
        <v>19.2</v>
      </c>
      <c r="G54" s="8" t="n">
        <f aca="false">G53+D54</f>
        <v>680.9</v>
      </c>
      <c r="J54" s="8" t="n">
        <v>2.9</v>
      </c>
      <c r="K54" s="8" t="n">
        <f aca="false">K53+J54</f>
        <v>177.6</v>
      </c>
      <c r="L54" s="8" t="n">
        <v>2.5</v>
      </c>
      <c r="M54" s="8" t="n">
        <f aca="false">M53+L54</f>
        <v>89.3</v>
      </c>
      <c r="N54" s="8" t="n">
        <f aca="false">J54-L54</f>
        <v>0.4</v>
      </c>
      <c r="O54" s="8" t="n">
        <v>96.1</v>
      </c>
      <c r="P54" s="8" t="n">
        <v>49</v>
      </c>
      <c r="Q54" s="8" t="n">
        <f aca="false">0.35+((P54-9)/67)*(1-0.35)</f>
        <v>0.738059701492537</v>
      </c>
      <c r="R54" s="15" t="n">
        <f aca="false">Q54*L54</f>
        <v>1.84514925373134</v>
      </c>
      <c r="S54" s="15" t="n">
        <f aca="false">J54-R54</f>
        <v>1.05485074626866</v>
      </c>
      <c r="T54" s="15" t="n">
        <f aca="false">MIN(153.6,(T53+S54))</f>
        <v>135.911268656716</v>
      </c>
      <c r="V54" s="16" t="n">
        <v>669.1</v>
      </c>
      <c r="W54" s="8" t="n">
        <f aca="false">V54/D54</f>
        <v>42.8910256410256</v>
      </c>
      <c r="X54" s="8" t="n">
        <f aca="false">X53+V54</f>
        <v>39359.1</v>
      </c>
      <c r="AA54" s="8" t="n">
        <v>10.3342167494721</v>
      </c>
    </row>
    <row r="55" s="8" customFormat="true" ht="15" hidden="false" customHeight="false" outlineLevel="0" collapsed="false">
      <c r="A55" s="9"/>
      <c r="B55" s="10"/>
      <c r="C55" s="11" t="n">
        <v>41571</v>
      </c>
      <c r="D55" s="8" t="n">
        <v>11.6</v>
      </c>
      <c r="E55" s="8" t="n">
        <v>8.9</v>
      </c>
      <c r="F55" s="8" t="n">
        <v>14.5</v>
      </c>
      <c r="G55" s="8" t="n">
        <f aca="false">G54+D55</f>
        <v>692.5</v>
      </c>
      <c r="J55" s="8" t="n">
        <v>0.5</v>
      </c>
      <c r="K55" s="8" t="n">
        <f aca="false">K54+J55</f>
        <v>178.1</v>
      </c>
      <c r="L55" s="8" t="n">
        <v>0.9</v>
      </c>
      <c r="M55" s="8" t="n">
        <f aca="false">M54+L55</f>
        <v>90.2</v>
      </c>
      <c r="N55" s="14" t="n">
        <f aca="false">J55-L55</f>
        <v>-0.4</v>
      </c>
      <c r="O55" s="8" t="n">
        <v>95.7</v>
      </c>
      <c r="P55" s="8" t="n">
        <v>50</v>
      </c>
      <c r="Q55" s="8" t="n">
        <f aca="false">0.35+((P55-9)/67)*(1-0.35)</f>
        <v>0.747761194029851</v>
      </c>
      <c r="R55" s="15" t="n">
        <f aca="false">Q55*L55</f>
        <v>0.672985074626866</v>
      </c>
      <c r="S55" s="15" t="n">
        <f aca="false">J55-R55</f>
        <v>-0.172985074626866</v>
      </c>
      <c r="T55" s="15" t="n">
        <f aca="false">MIN(153.6,(T54+S55))</f>
        <v>135.73828358209</v>
      </c>
      <c r="V55" s="16" t="n">
        <v>755.3</v>
      </c>
      <c r="W55" s="8" t="n">
        <f aca="false">V55/D55</f>
        <v>65.1120689655172</v>
      </c>
      <c r="X55" s="8" t="n">
        <f aca="false">X54+V55</f>
        <v>40114.4</v>
      </c>
      <c r="AA55" s="8" t="n">
        <v>10.273427218281</v>
      </c>
    </row>
    <row r="56" s="8" customFormat="true" ht="15" hidden="false" customHeight="false" outlineLevel="0" collapsed="false">
      <c r="A56" s="9"/>
      <c r="B56" s="10"/>
      <c r="C56" s="11" t="n">
        <v>41572</v>
      </c>
      <c r="D56" s="8" t="n">
        <v>15.9</v>
      </c>
      <c r="E56" s="8" t="n">
        <v>12.6</v>
      </c>
      <c r="F56" s="8" t="n">
        <v>18.5</v>
      </c>
      <c r="G56" s="8" t="n">
        <f aca="false">G55+D56</f>
        <v>708.4</v>
      </c>
      <c r="J56" s="8" t="n">
        <v>0.5</v>
      </c>
      <c r="K56" s="8" t="n">
        <f aca="false">K55+J56</f>
        <v>178.6</v>
      </c>
      <c r="L56" s="8" t="n">
        <v>1.4</v>
      </c>
      <c r="M56" s="8" t="n">
        <f aca="false">M55+L56</f>
        <v>91.6</v>
      </c>
      <c r="N56" s="14" t="n">
        <f aca="false">J56-L56</f>
        <v>-0.9</v>
      </c>
      <c r="O56" s="8" t="n">
        <v>94.8</v>
      </c>
      <c r="P56" s="8" t="n">
        <v>51</v>
      </c>
      <c r="Q56" s="8" t="n">
        <f aca="false">0.35+((P56-9)/67)*(1-0.35)</f>
        <v>0.757462686567164</v>
      </c>
      <c r="R56" s="15" t="n">
        <f aca="false">Q56*L56</f>
        <v>1.06044776119403</v>
      </c>
      <c r="S56" s="15" t="n">
        <f aca="false">J56-R56</f>
        <v>-0.56044776119403</v>
      </c>
      <c r="T56" s="15" t="n">
        <f aca="false">MIN(153.6,(T55+S56))</f>
        <v>135.177835820896</v>
      </c>
      <c r="V56" s="16" t="n">
        <v>522.8</v>
      </c>
      <c r="W56" s="8" t="n">
        <f aca="false">V56/D56</f>
        <v>32.8805031446541</v>
      </c>
      <c r="X56" s="8" t="n">
        <f aca="false">X55+V56</f>
        <v>40637.2</v>
      </c>
      <c r="AA56" s="8" t="n">
        <v>10.2128829202618</v>
      </c>
    </row>
    <row r="57" s="8" customFormat="true" ht="15" hidden="false" customHeight="false" outlineLevel="0" collapsed="false">
      <c r="A57" s="9"/>
      <c r="B57" s="10"/>
      <c r="C57" s="11" t="n">
        <v>41573</v>
      </c>
      <c r="D57" s="8" t="n">
        <v>16.3</v>
      </c>
      <c r="E57" s="8" t="n">
        <v>15.2</v>
      </c>
      <c r="F57" s="8" t="n">
        <v>18.2</v>
      </c>
      <c r="G57" s="8" t="n">
        <f aca="false">G56+D57</f>
        <v>724.7</v>
      </c>
      <c r="J57" s="8" t="n">
        <v>0.4</v>
      </c>
      <c r="K57" s="8" t="n">
        <f aca="false">K56+J57</f>
        <v>179</v>
      </c>
      <c r="L57" s="8" t="n">
        <v>1.9</v>
      </c>
      <c r="M57" s="8" t="n">
        <f aca="false">M56+L57</f>
        <v>93.5</v>
      </c>
      <c r="N57" s="14" t="n">
        <f aca="false">J57-L57</f>
        <v>-1.5</v>
      </c>
      <c r="O57" s="8" t="n">
        <v>93.3</v>
      </c>
      <c r="P57" s="8" t="n">
        <v>52</v>
      </c>
      <c r="Q57" s="8" t="n">
        <f aca="false">0.35+((P57-9)/67)*(1-0.35)</f>
        <v>0.767164179104478</v>
      </c>
      <c r="R57" s="15" t="n">
        <f aca="false">Q57*L57</f>
        <v>1.45761194029851</v>
      </c>
      <c r="S57" s="15" t="n">
        <f aca="false">J57-R57</f>
        <v>-1.05761194029851</v>
      </c>
      <c r="T57" s="15" t="n">
        <f aca="false">MIN(153.6,(T56+S57))</f>
        <v>134.120223880597</v>
      </c>
      <c r="V57" s="16" t="n">
        <v>731.9</v>
      </c>
      <c r="W57" s="8" t="n">
        <f aca="false">V57/D57</f>
        <v>44.9018404907975</v>
      </c>
      <c r="X57" s="8" t="n">
        <f aca="false">X56+V57</f>
        <v>41369.1</v>
      </c>
      <c r="AA57" s="8" t="n">
        <v>10.152599258871</v>
      </c>
    </row>
    <row r="58" s="8" customFormat="true" ht="15" hidden="false" customHeight="false" outlineLevel="0" collapsed="false">
      <c r="A58" s="9"/>
      <c r="B58" s="10"/>
      <c r="C58" s="11" t="n">
        <v>41574</v>
      </c>
      <c r="D58" s="8" t="n">
        <v>15.2</v>
      </c>
      <c r="E58" s="8" t="n">
        <v>14.7</v>
      </c>
      <c r="F58" s="8" t="n">
        <v>16.5</v>
      </c>
      <c r="G58" s="8" t="n">
        <f aca="false">G57+D58</f>
        <v>739.9</v>
      </c>
      <c r="J58" s="8" t="n">
        <v>2.7</v>
      </c>
      <c r="K58" s="8" t="n">
        <f aca="false">K57+J58</f>
        <v>181.7</v>
      </c>
      <c r="L58" s="8" t="n">
        <v>2.8</v>
      </c>
      <c r="M58" s="8" t="n">
        <f aca="false">M57+L58</f>
        <v>96.3</v>
      </c>
      <c r="N58" s="14" t="n">
        <f aca="false">J58-L58</f>
        <v>-0.0999999999999996</v>
      </c>
      <c r="O58" s="8" t="n">
        <v>93.2</v>
      </c>
      <c r="P58" s="8" t="n">
        <v>53</v>
      </c>
      <c r="Q58" s="8" t="n">
        <f aca="false">0.35+((P58-9)/67)*(1-0.35)</f>
        <v>0.776865671641791</v>
      </c>
      <c r="R58" s="15" t="n">
        <f aca="false">Q58*L58</f>
        <v>2.17522388059701</v>
      </c>
      <c r="S58" s="15" t="n">
        <f aca="false">J58-R58</f>
        <v>0.524776119402985</v>
      </c>
      <c r="T58" s="15" t="n">
        <f aca="false">MIN(153.6,(T57+S58))</f>
        <v>134.645</v>
      </c>
      <c r="V58" s="16" t="n">
        <v>456.3</v>
      </c>
      <c r="W58" s="8" t="n">
        <f aca="false">V58/D58</f>
        <v>30.0197368421053</v>
      </c>
      <c r="X58" s="8" t="n">
        <f aca="false">X57+V58</f>
        <v>41825.4</v>
      </c>
      <c r="AA58" s="8" t="n">
        <v>10.0925922914425</v>
      </c>
    </row>
    <row r="59" s="8" customFormat="true" ht="15" hidden="false" customHeight="false" outlineLevel="0" collapsed="false">
      <c r="A59" s="9"/>
      <c r="B59" s="10"/>
      <c r="C59" s="11" t="n">
        <v>41575</v>
      </c>
      <c r="D59" s="8" t="n">
        <v>13.5</v>
      </c>
      <c r="E59" s="8" t="n">
        <v>11.5</v>
      </c>
      <c r="F59" s="8" t="n">
        <v>15.8</v>
      </c>
      <c r="G59" s="8" t="n">
        <f aca="false">G58+D59</f>
        <v>753.4</v>
      </c>
      <c r="J59" s="8" t="n">
        <v>4.3</v>
      </c>
      <c r="K59" s="8" t="n">
        <f aca="false">K58+J59</f>
        <v>186</v>
      </c>
      <c r="L59" s="8" t="n">
        <v>2.5</v>
      </c>
      <c r="M59" s="8" t="n">
        <f aca="false">M58+L59</f>
        <v>98.8</v>
      </c>
      <c r="N59" s="8" t="n">
        <f aca="false">J59-L59</f>
        <v>1.8</v>
      </c>
      <c r="O59" s="8" t="n">
        <v>95</v>
      </c>
      <c r="P59" s="8" t="n">
        <v>54</v>
      </c>
      <c r="Q59" s="8" t="n">
        <f aca="false">0.35+((P59-9)/67)*(1-0.35)</f>
        <v>0.786567164179105</v>
      </c>
      <c r="R59" s="15" t="n">
        <f aca="false">Q59*L59</f>
        <v>1.96641791044776</v>
      </c>
      <c r="S59" s="15" t="n">
        <f aca="false">J59-R59</f>
        <v>2.33358208955224</v>
      </c>
      <c r="T59" s="15" t="n">
        <f aca="false">MIN(153.6,(T58+S59))</f>
        <v>136.978582089552</v>
      </c>
      <c r="V59" s="16" t="n">
        <v>432.8</v>
      </c>
      <c r="W59" s="8" t="n">
        <f aca="false">V59/D59</f>
        <v>32.0592592592593</v>
      </c>
      <c r="X59" s="8" t="n">
        <f aca="false">X58+V59</f>
        <v>42258.2</v>
      </c>
      <c r="AA59" s="8" t="n">
        <v>10.0328787470551</v>
      </c>
    </row>
    <row r="60" s="8" customFormat="true" ht="15" hidden="false" customHeight="false" outlineLevel="0" collapsed="false">
      <c r="A60" s="9"/>
      <c r="B60" s="10"/>
      <c r="C60" s="11" t="n">
        <v>41576</v>
      </c>
      <c r="D60" s="8" t="n">
        <v>9.3</v>
      </c>
      <c r="E60" s="8" t="n">
        <v>8.6</v>
      </c>
      <c r="F60" s="8" t="n">
        <v>11.8</v>
      </c>
      <c r="G60" s="8" t="n">
        <f aca="false">G59+D60</f>
        <v>762.7</v>
      </c>
      <c r="J60" s="8" t="n">
        <v>4.3</v>
      </c>
      <c r="K60" s="8" t="n">
        <f aca="false">K59+J60</f>
        <v>190.3</v>
      </c>
      <c r="L60" s="8" t="n">
        <v>1.4</v>
      </c>
      <c r="M60" s="8" t="n">
        <f aca="false">M59+L60</f>
        <v>100.2</v>
      </c>
      <c r="N60" s="8" t="n">
        <f aca="false">J60-L60</f>
        <v>2.9</v>
      </c>
      <c r="O60" s="8" t="n">
        <v>97.9</v>
      </c>
      <c r="P60" s="8" t="n">
        <v>55</v>
      </c>
      <c r="Q60" s="8" t="n">
        <f aca="false">0.35+((P60-9)/67)*(1-0.35)</f>
        <v>0.796268656716418</v>
      </c>
      <c r="R60" s="15" t="n">
        <f aca="false">Q60*L60</f>
        <v>1.11477611940299</v>
      </c>
      <c r="S60" s="15" t="n">
        <f aca="false">J60-R60</f>
        <v>3.18522388059701</v>
      </c>
      <c r="T60" s="15" t="n">
        <f aca="false">MIN(153.6,(T59+S60))</f>
        <v>140.163805970149</v>
      </c>
      <c r="V60" s="16" t="n">
        <v>274.8</v>
      </c>
      <c r="W60" s="8" t="n">
        <f aca="false">V60/D60</f>
        <v>29.5483870967742</v>
      </c>
      <c r="X60" s="8" t="n">
        <f aca="false">X59+V60</f>
        <v>42533</v>
      </c>
      <c r="AA60" s="8" t="n">
        <v>9.97347604357522</v>
      </c>
    </row>
    <row r="61" s="8" customFormat="true" ht="15" hidden="false" customHeight="false" outlineLevel="0" collapsed="false">
      <c r="A61" s="9"/>
      <c r="B61" s="10"/>
      <c r="C61" s="11" t="n">
        <v>41577</v>
      </c>
      <c r="D61" s="8" t="n">
        <v>8.8</v>
      </c>
      <c r="E61" s="18" t="n">
        <v>3.7</v>
      </c>
      <c r="F61" s="8" t="n">
        <v>13.3</v>
      </c>
      <c r="G61" s="8" t="n">
        <f aca="false">G60+D61</f>
        <v>771.5</v>
      </c>
      <c r="J61" s="8" t="n">
        <v>0.3</v>
      </c>
      <c r="K61" s="8" t="n">
        <f aca="false">K60+J61</f>
        <v>190.6</v>
      </c>
      <c r="L61" s="8" t="n">
        <v>1.5</v>
      </c>
      <c r="M61" s="8" t="n">
        <f aca="false">M60+L61</f>
        <v>101.7</v>
      </c>
      <c r="N61" s="14" t="n">
        <f aca="false">J61-L61</f>
        <v>-1.2</v>
      </c>
      <c r="O61" s="8" t="n">
        <v>96.7</v>
      </c>
      <c r="P61" s="8" t="n">
        <v>56</v>
      </c>
      <c r="Q61" s="8" t="n">
        <f aca="false">0.35+((P61-9)/67)*(1-0.35)</f>
        <v>0.805970149253731</v>
      </c>
      <c r="R61" s="15" t="n">
        <f aca="false">Q61*L61</f>
        <v>1.2089552238806</v>
      </c>
      <c r="S61" s="15" t="n">
        <f aca="false">J61-R61</f>
        <v>-0.908955223880597</v>
      </c>
      <c r="T61" s="15" t="n">
        <f aca="false">MIN(153.6,(T60+S61))</f>
        <v>139.254850746269</v>
      </c>
      <c r="V61" s="8" t="n">
        <v>905.6</v>
      </c>
      <c r="W61" s="8" t="n">
        <f aca="false">V61/D61</f>
        <v>102.909090909091</v>
      </c>
      <c r="X61" s="8" t="n">
        <f aca="false">X60+V61</f>
        <v>43438.6</v>
      </c>
      <c r="AA61" s="8" t="n">
        <v>9.91440230375336</v>
      </c>
    </row>
    <row r="62" s="8" customFormat="true" ht="15" hidden="false" customHeight="false" outlineLevel="0" collapsed="false">
      <c r="A62" s="9"/>
      <c r="B62" s="10"/>
      <c r="C62" s="11" t="n">
        <v>41578</v>
      </c>
      <c r="D62" s="8" t="n">
        <v>10.5</v>
      </c>
      <c r="E62" s="8" t="n">
        <v>6.5</v>
      </c>
      <c r="F62" s="8" t="n">
        <v>13.5</v>
      </c>
      <c r="G62" s="8" t="n">
        <f aca="false">G61+D62</f>
        <v>782</v>
      </c>
      <c r="J62" s="8" t="n">
        <v>0</v>
      </c>
      <c r="K62" s="8" t="n">
        <f aca="false">K61+J62</f>
        <v>190.6</v>
      </c>
      <c r="L62" s="8" t="n">
        <v>1.6</v>
      </c>
      <c r="M62" s="8" t="n">
        <f aca="false">M61+L62</f>
        <v>103.3</v>
      </c>
      <c r="N62" s="14" t="n">
        <f aca="false">J62-L62</f>
        <v>-1.6</v>
      </c>
      <c r="O62" s="8" t="n">
        <v>95.1</v>
      </c>
      <c r="P62" s="8" t="n">
        <v>57</v>
      </c>
      <c r="Q62" s="8" t="n">
        <f aca="false">0.35+((P62-9)/67)*(1-0.35)</f>
        <v>0.815671641791045</v>
      </c>
      <c r="R62" s="15" t="n">
        <f aca="false">Q62*L62</f>
        <v>1.30507462686567</v>
      </c>
      <c r="S62" s="15" t="n">
        <f aca="false">J62-R62</f>
        <v>-1.30507462686567</v>
      </c>
      <c r="T62" s="15" t="n">
        <f aca="false">MIN(153.6,(T61+S62))</f>
        <v>137.949776119403</v>
      </c>
      <c r="V62" s="16" t="n">
        <v>766.9</v>
      </c>
      <c r="W62" s="8" t="n">
        <f aca="false">V62/D62</f>
        <v>73.0380952380952</v>
      </c>
      <c r="X62" s="8" t="n">
        <f aca="false">X61+V62</f>
        <v>44205.5</v>
      </c>
      <c r="AA62" s="8" t="n">
        <v>9.85567637024358</v>
      </c>
    </row>
    <row r="63" s="8" customFormat="true" ht="15" hidden="false" customHeight="false" outlineLevel="0" collapsed="false">
      <c r="A63" s="9"/>
      <c r="B63" s="10"/>
      <c r="C63" s="11" t="n">
        <v>41579</v>
      </c>
      <c r="D63" s="8" t="n">
        <v>11.2</v>
      </c>
      <c r="E63" s="8" t="n">
        <v>10.2</v>
      </c>
      <c r="F63" s="8" t="n">
        <v>13.2</v>
      </c>
      <c r="G63" s="8" t="n">
        <f aca="false">G62+D63</f>
        <v>793.2</v>
      </c>
      <c r="J63" s="8" t="n">
        <v>19.9</v>
      </c>
      <c r="K63" s="8" t="n">
        <f aca="false">K62+J63</f>
        <v>210.5</v>
      </c>
      <c r="L63" s="8" t="n">
        <v>1.1</v>
      </c>
      <c r="M63" s="8" t="n">
        <f aca="false">M62+L63</f>
        <v>104.4</v>
      </c>
      <c r="N63" s="8" t="n">
        <f aca="false">J63-L63</f>
        <v>18.8</v>
      </c>
      <c r="O63" s="8" t="n">
        <v>113.9</v>
      </c>
      <c r="P63" s="8" t="n">
        <v>58</v>
      </c>
      <c r="Q63" s="8" t="n">
        <f aca="false">0.35+((P63-9)/67)*(1-0.35)</f>
        <v>0.825373134328358</v>
      </c>
      <c r="R63" s="15" t="n">
        <f aca="false">Q63*L63</f>
        <v>0.907910447761194</v>
      </c>
      <c r="S63" s="15" t="n">
        <f aca="false">J63-R63</f>
        <v>18.9920895522388</v>
      </c>
      <c r="T63" s="15" t="n">
        <f aca="false">MIN(153.6,(T62+S63))</f>
        <v>153.6</v>
      </c>
      <c r="V63" s="16" t="n">
        <v>253.5</v>
      </c>
      <c r="W63" s="8" t="n">
        <f aca="false">V63/D63</f>
        <v>22.6339285714286</v>
      </c>
      <c r="X63" s="8" t="n">
        <f aca="false">X62+V63</f>
        <v>44459</v>
      </c>
      <c r="AA63" s="8" t="n">
        <v>9.79731781940647</v>
      </c>
    </row>
    <row r="64" s="8" customFormat="true" ht="15" hidden="false" customHeight="false" outlineLevel="0" collapsed="false">
      <c r="A64" s="9"/>
      <c r="B64" s="10"/>
      <c r="C64" s="11" t="n">
        <v>41580</v>
      </c>
      <c r="D64" s="8" t="n">
        <v>12.3</v>
      </c>
      <c r="E64" s="8" t="n">
        <v>9.7</v>
      </c>
      <c r="F64" s="8" t="n">
        <v>14.2</v>
      </c>
      <c r="G64" s="8" t="n">
        <f aca="false">G63+D64</f>
        <v>805.5</v>
      </c>
      <c r="J64" s="8" t="n">
        <v>6.9</v>
      </c>
      <c r="K64" s="8" t="n">
        <f aca="false">K63+J64</f>
        <v>217.4</v>
      </c>
      <c r="L64" s="8" t="n">
        <v>0.9</v>
      </c>
      <c r="M64" s="8" t="n">
        <f aca="false">M63+L64</f>
        <v>105.3</v>
      </c>
      <c r="N64" s="8" t="n">
        <f aca="false">J64-L64</f>
        <v>6</v>
      </c>
      <c r="O64" s="8" t="n">
        <v>119.9</v>
      </c>
      <c r="P64" s="8" t="n">
        <v>59</v>
      </c>
      <c r="Q64" s="8" t="n">
        <f aca="false">0.35+((P64-9)/67)*(1-0.35)</f>
        <v>0.835074626865672</v>
      </c>
      <c r="R64" s="15" t="n">
        <f aca="false">Q64*L64</f>
        <v>0.751567164179105</v>
      </c>
      <c r="S64" s="15" t="n">
        <f aca="false">J64-R64</f>
        <v>6.1484328358209</v>
      </c>
      <c r="T64" s="15" t="n">
        <f aca="false">MIN(153.6,(T63+S64))</f>
        <v>153.6</v>
      </c>
      <c r="V64" s="16" t="n">
        <v>256.6</v>
      </c>
      <c r="W64" s="8" t="n">
        <f aca="false">V64/D64</f>
        <v>20.8617886178862</v>
      </c>
      <c r="X64" s="8" t="n">
        <f aca="false">X63+V64</f>
        <v>44715.6</v>
      </c>
      <c r="AA64" s="8" t="n">
        <v>9.73934697374707</v>
      </c>
    </row>
    <row r="65" s="8" customFormat="true" ht="15" hidden="false" customHeight="false" outlineLevel="0" collapsed="false">
      <c r="A65" s="9"/>
      <c r="B65" s="10"/>
      <c r="C65" s="11" t="n">
        <v>41581</v>
      </c>
      <c r="D65" s="8" t="n">
        <v>8.7</v>
      </c>
      <c r="E65" s="8" t="n">
        <v>7.7</v>
      </c>
      <c r="F65" s="8" t="n">
        <v>12.5</v>
      </c>
      <c r="G65" s="8" t="n">
        <f aca="false">G64+D65</f>
        <v>814.2</v>
      </c>
      <c r="J65" s="8" t="n">
        <v>11.9</v>
      </c>
      <c r="K65" s="8" t="n">
        <f aca="false">K64+J65</f>
        <v>229.3</v>
      </c>
      <c r="L65" s="8" t="n">
        <v>1.5</v>
      </c>
      <c r="M65" s="8" t="n">
        <f aca="false">M64+L65</f>
        <v>106.8</v>
      </c>
      <c r="N65" s="8" t="n">
        <f aca="false">J65-L65</f>
        <v>10.4</v>
      </c>
      <c r="O65" s="8" t="n">
        <v>130.3</v>
      </c>
      <c r="P65" s="8" t="n">
        <v>60</v>
      </c>
      <c r="Q65" s="8" t="n">
        <f aca="false">0.35+((P65-9)/67)*(1-0.35)</f>
        <v>0.844776119402985</v>
      </c>
      <c r="R65" s="15" t="n">
        <f aca="false">Q65*L65</f>
        <v>1.26716417910448</v>
      </c>
      <c r="S65" s="15" t="n">
        <f aca="false">J65-R65</f>
        <v>10.6328358208955</v>
      </c>
      <c r="T65" s="15" t="n">
        <f aca="false">MIN(153.6,(T64+S65))</f>
        <v>153.6</v>
      </c>
      <c r="V65" s="16" t="n">
        <v>134.6</v>
      </c>
      <c r="W65" s="8" t="n">
        <f aca="false">V65/D65</f>
        <v>15.4712643678161</v>
      </c>
      <c r="X65" s="8" t="n">
        <f aca="false">X64+V65</f>
        <v>44850.2</v>
      </c>
      <c r="AA65" s="8" t="n">
        <v>9.68178491283044</v>
      </c>
    </row>
    <row r="66" s="8" customFormat="true" ht="15" hidden="false" customHeight="false" outlineLevel="0" collapsed="false">
      <c r="A66" s="9"/>
      <c r="B66" s="10"/>
      <c r="C66" s="11" t="n">
        <v>41582</v>
      </c>
      <c r="D66" s="8" t="n">
        <v>8.6</v>
      </c>
      <c r="E66" s="8" t="n">
        <v>6.4</v>
      </c>
      <c r="F66" s="8" t="n">
        <v>11.9</v>
      </c>
      <c r="G66" s="8" t="n">
        <f aca="false">G65+D66</f>
        <v>822.8</v>
      </c>
      <c r="J66" s="8" t="n">
        <v>2.1</v>
      </c>
      <c r="K66" s="8" t="n">
        <f aca="false">K65+J66</f>
        <v>231.4</v>
      </c>
      <c r="L66" s="8" t="n">
        <v>1</v>
      </c>
      <c r="M66" s="8" t="n">
        <f aca="false">M65+L66</f>
        <v>107.8</v>
      </c>
      <c r="N66" s="8" t="n">
        <f aca="false">J66-L66</f>
        <v>1.1</v>
      </c>
      <c r="O66" s="8" t="n">
        <v>131.4</v>
      </c>
      <c r="P66" s="8" t="n">
        <v>61</v>
      </c>
      <c r="Q66" s="8" t="n">
        <f aca="false">0.35+((P66-9)/67)*(1-0.35)</f>
        <v>0.854477611940299</v>
      </c>
      <c r="R66" s="15" t="n">
        <f aca="false">Q66*L66</f>
        <v>0.854477611940299</v>
      </c>
      <c r="S66" s="15" t="n">
        <f aca="false">J66-R66</f>
        <v>1.2455223880597</v>
      </c>
      <c r="T66" s="15" t="n">
        <f aca="false">MIN(153.6,(T65+S66))</f>
        <v>153.6</v>
      </c>
      <c r="V66" s="16" t="n">
        <v>365.7</v>
      </c>
      <c r="W66" s="8" t="n">
        <f aca="false">V66/D66</f>
        <v>42.5232558139535</v>
      </c>
      <c r="X66" s="8" t="n">
        <f aca="false">X65+V66</f>
        <v>45215.9</v>
      </c>
      <c r="AA66" s="8" t="n">
        <v>9.62465348250865</v>
      </c>
    </row>
    <row r="67" s="8" customFormat="true" ht="15" hidden="false" customHeight="false" outlineLevel="0" collapsed="false">
      <c r="A67" s="9"/>
      <c r="B67" s="10"/>
      <c r="C67" s="11" t="n">
        <v>41583</v>
      </c>
      <c r="D67" s="8" t="n">
        <v>7.7</v>
      </c>
      <c r="E67" s="18" t="n">
        <v>4.1</v>
      </c>
      <c r="F67" s="8" t="n">
        <v>10.6</v>
      </c>
      <c r="G67" s="8" t="n">
        <f aca="false">G66+D67</f>
        <v>830.5</v>
      </c>
      <c r="J67" s="8" t="n">
        <v>12.3</v>
      </c>
      <c r="K67" s="8" t="n">
        <f aca="false">K66+J67</f>
        <v>243.7</v>
      </c>
      <c r="L67" s="8" t="n">
        <v>0.7</v>
      </c>
      <c r="M67" s="8" t="n">
        <f aca="false">M66+L67</f>
        <v>108.5</v>
      </c>
      <c r="N67" s="8" t="n">
        <f aca="false">J67-L67</f>
        <v>11.6</v>
      </c>
      <c r="O67" s="8" t="n">
        <v>143</v>
      </c>
      <c r="P67" s="8" t="n">
        <v>62</v>
      </c>
      <c r="Q67" s="8" t="n">
        <f aca="false">0.35+((P67-9)/67)*(1-0.35)</f>
        <v>0.864179104477612</v>
      </c>
      <c r="R67" s="15" t="n">
        <f aca="false">Q67*L67</f>
        <v>0.604925373134328</v>
      </c>
      <c r="S67" s="15" t="n">
        <f aca="false">J67-R67</f>
        <v>11.6950746268657</v>
      </c>
      <c r="T67" s="15" t="n">
        <f aca="false">MIN(153.6,(T66+S67))</f>
        <v>153.6</v>
      </c>
      <c r="V67" s="16" t="n">
        <v>96.6</v>
      </c>
      <c r="W67" s="8" t="n">
        <f aca="false">V67/D67</f>
        <v>12.5454545454545</v>
      </c>
      <c r="X67" s="8" t="n">
        <f aca="false">X66+V67</f>
        <v>45312.5</v>
      </c>
      <c r="AA67" s="8" t="n">
        <v>9.56797530228475</v>
      </c>
    </row>
    <row r="68" s="8" customFormat="true" ht="15" hidden="false" customHeight="false" outlineLevel="0" collapsed="false">
      <c r="A68" s="9"/>
      <c r="B68" s="10"/>
      <c r="C68" s="11" t="n">
        <v>41584</v>
      </c>
      <c r="D68" s="8" t="n">
        <v>12.3</v>
      </c>
      <c r="E68" s="8" t="n">
        <v>9.8</v>
      </c>
      <c r="F68" s="8" t="n">
        <v>14.7</v>
      </c>
      <c r="G68" s="8" t="n">
        <f aca="false">G67+D68</f>
        <v>842.8</v>
      </c>
      <c r="J68" s="8" t="n">
        <v>7.3</v>
      </c>
      <c r="K68" s="8" t="n">
        <f aca="false">K67+J68</f>
        <v>251</v>
      </c>
      <c r="L68" s="8" t="n">
        <v>0.8</v>
      </c>
      <c r="M68" s="8" t="n">
        <f aca="false">M67+L68</f>
        <v>109.3</v>
      </c>
      <c r="N68" s="8" t="n">
        <f aca="false">J68-L68</f>
        <v>6.5</v>
      </c>
      <c r="O68" s="8" t="n">
        <v>149.5</v>
      </c>
      <c r="P68" s="8" t="n">
        <v>63</v>
      </c>
      <c r="Q68" s="8" t="n">
        <f aca="false">0.35+((P68-9)/67)*(1-0.35)</f>
        <v>0.873880597014925</v>
      </c>
      <c r="R68" s="15" t="n">
        <f aca="false">Q68*L68</f>
        <v>0.69910447761194</v>
      </c>
      <c r="S68" s="15" t="n">
        <f aca="false">J68-R68</f>
        <v>6.60089552238806</v>
      </c>
      <c r="T68" s="15" t="n">
        <f aca="false">MIN(153.6,(T67+S68))</f>
        <v>153.6</v>
      </c>
      <c r="V68" s="16" t="n">
        <v>112.8</v>
      </c>
      <c r="W68" s="8" t="n">
        <f aca="false">V68/D68</f>
        <v>9.17073170731707</v>
      </c>
      <c r="X68" s="8" t="n">
        <f aca="false">X67+V68</f>
        <v>45425.3</v>
      </c>
      <c r="AA68" s="8" t="n">
        <v>9.5117737706313</v>
      </c>
    </row>
    <row r="69" s="8" customFormat="true" ht="15" hidden="false" customHeight="false" outlineLevel="0" collapsed="false">
      <c r="A69" s="9"/>
      <c r="B69" s="10"/>
      <c r="C69" s="11" t="n">
        <v>41585</v>
      </c>
      <c r="D69" s="8" t="n">
        <v>12</v>
      </c>
      <c r="E69" s="8" t="n">
        <v>11.2</v>
      </c>
      <c r="F69" s="8" t="n">
        <v>13.4</v>
      </c>
      <c r="G69" s="8" t="n">
        <f aca="false">G68+D69</f>
        <v>854.8</v>
      </c>
      <c r="J69" s="8" t="n">
        <v>13.7</v>
      </c>
      <c r="K69" s="8" t="n">
        <f aca="false">K68+J69</f>
        <v>264.7</v>
      </c>
      <c r="L69" s="8" t="n">
        <v>0.5</v>
      </c>
      <c r="M69" s="8" t="n">
        <f aca="false">M68+L69</f>
        <v>109.8</v>
      </c>
      <c r="N69" s="8" t="n">
        <f aca="false">J69-L69</f>
        <v>13.2</v>
      </c>
      <c r="O69" s="8" t="n">
        <v>153.6</v>
      </c>
      <c r="P69" s="8" t="n">
        <v>64</v>
      </c>
      <c r="Q69" s="8" t="n">
        <f aca="false">0.35+((P69-9)/67)*(1-0.35)</f>
        <v>0.883582089552239</v>
      </c>
      <c r="R69" s="15" t="n">
        <f aca="false">Q69*L69</f>
        <v>0.441791044776119</v>
      </c>
      <c r="S69" s="15" t="n">
        <f aca="false">J69-R69</f>
        <v>13.2582089552239</v>
      </c>
      <c r="T69" s="15" t="n">
        <f aca="false">MIN(153.6,(T68+S69))</f>
        <v>153.6</v>
      </c>
      <c r="V69" s="16" t="n">
        <v>95.3</v>
      </c>
      <c r="W69" s="8" t="n">
        <f aca="false">V69/D69</f>
        <v>7.94166666666667</v>
      </c>
      <c r="X69" s="8" t="n">
        <f aca="false">X68+V69</f>
        <v>45520.6</v>
      </c>
      <c r="AA69" s="8" t="n">
        <v>9.45607306807339</v>
      </c>
    </row>
    <row r="70" s="8" customFormat="true" ht="15" hidden="false" customHeight="false" outlineLevel="0" collapsed="false">
      <c r="A70" s="9"/>
      <c r="B70" s="10"/>
      <c r="C70" s="11" t="n">
        <v>41586</v>
      </c>
      <c r="D70" s="8" t="n">
        <v>9.1</v>
      </c>
      <c r="E70" s="8" t="n">
        <v>7.7</v>
      </c>
      <c r="F70" s="8" t="n">
        <v>11.5</v>
      </c>
      <c r="G70" s="8" t="n">
        <f aca="false">G69+D70</f>
        <v>863.9</v>
      </c>
      <c r="J70" s="8" t="n">
        <v>13.9</v>
      </c>
      <c r="K70" s="8" t="n">
        <f aca="false">K69+J70</f>
        <v>278.6</v>
      </c>
      <c r="L70" s="8" t="n">
        <v>0.8</v>
      </c>
      <c r="M70" s="8" t="n">
        <f aca="false">M69+L70</f>
        <v>110.6</v>
      </c>
      <c r="N70" s="8" t="n">
        <f aca="false">J70-L70</f>
        <v>13.1</v>
      </c>
      <c r="O70" s="8" t="n">
        <v>153.6</v>
      </c>
      <c r="P70" s="8" t="n">
        <v>65</v>
      </c>
      <c r="Q70" s="8" t="n">
        <f aca="false">0.35+((P70-9)/67)*(1-0.35)</f>
        <v>0.893283582089552</v>
      </c>
      <c r="R70" s="15" t="n">
        <f aca="false">Q70*L70</f>
        <v>0.714626865671642</v>
      </c>
      <c r="S70" s="15" t="n">
        <f aca="false">J70-R70</f>
        <v>13.1853731343284</v>
      </c>
      <c r="T70" s="15" t="n">
        <f aca="false">MIN(153.6,(T69+S70))</f>
        <v>153.6</v>
      </c>
      <c r="V70" s="16" t="n">
        <v>289.1</v>
      </c>
      <c r="W70" s="8" t="n">
        <f aca="false">V70/D70</f>
        <v>31.7692307692308</v>
      </c>
      <c r="X70" s="8" t="n">
        <f aca="false">X69+V70</f>
        <v>45809.7</v>
      </c>
      <c r="AA70" s="8" t="n">
        <v>9.40089815783982</v>
      </c>
    </row>
    <row r="71" s="8" customFormat="true" ht="15" hidden="false" customHeight="false" outlineLevel="0" collapsed="false">
      <c r="A71" s="9"/>
      <c r="B71" s="10"/>
      <c r="C71" s="11" t="n">
        <v>41587</v>
      </c>
      <c r="D71" s="8" t="n">
        <v>8.1</v>
      </c>
      <c r="E71" s="8" t="n">
        <v>7.1</v>
      </c>
      <c r="F71" s="8" t="n">
        <v>9.5</v>
      </c>
      <c r="G71" s="8" t="n">
        <f aca="false">G70+D71</f>
        <v>872</v>
      </c>
      <c r="J71" s="8" t="n">
        <v>3.3</v>
      </c>
      <c r="K71" s="8" t="n">
        <f aca="false">K70+J71</f>
        <v>281.9</v>
      </c>
      <c r="L71" s="8" t="n">
        <v>1.1</v>
      </c>
      <c r="M71" s="8" t="n">
        <f aca="false">M70+L71</f>
        <v>111.7</v>
      </c>
      <c r="N71" s="8" t="n">
        <f aca="false">J71-L71</f>
        <v>2.2</v>
      </c>
      <c r="O71" s="8" t="n">
        <v>153.6</v>
      </c>
      <c r="P71" s="8" t="n">
        <v>66</v>
      </c>
      <c r="Q71" s="8" t="n">
        <f aca="false">0.35+((P71-9)/67)*(1-0.35)</f>
        <v>0.902985074626866</v>
      </c>
      <c r="R71" s="15" t="n">
        <f aca="false">Q71*L71</f>
        <v>0.993283582089552</v>
      </c>
      <c r="S71" s="15" t="n">
        <f aca="false">J71-R71</f>
        <v>2.30671641791045</v>
      </c>
      <c r="T71" s="15" t="n">
        <f aca="false">MIN(153.6,(T70+S71))</f>
        <v>153.6</v>
      </c>
      <c r="V71" s="16" t="n">
        <v>421.5</v>
      </c>
      <c r="W71" s="8" t="n">
        <f aca="false">V71/D71</f>
        <v>52.037037037037</v>
      </c>
      <c r="X71" s="8" t="n">
        <f aca="false">X70+V71</f>
        <v>46231.2</v>
      </c>
      <c r="AA71" s="8" t="n">
        <v>9.34627478387992</v>
      </c>
    </row>
    <row r="72" s="8" customFormat="true" ht="15" hidden="false" customHeight="false" outlineLevel="0" collapsed="false">
      <c r="A72" s="9"/>
      <c r="B72" s="10"/>
      <c r="C72" s="11" t="n">
        <v>41588</v>
      </c>
      <c r="D72" s="8" t="n">
        <v>6.2</v>
      </c>
      <c r="E72" s="8" t="n">
        <v>5.9</v>
      </c>
      <c r="F72" s="8" t="n">
        <v>8.6</v>
      </c>
      <c r="G72" s="8" t="n">
        <f aca="false">G71+D72</f>
        <v>878.2</v>
      </c>
      <c r="J72" s="8" t="n">
        <v>3.8</v>
      </c>
      <c r="K72" s="8" t="n">
        <f aca="false">K71+J72</f>
        <v>285.7</v>
      </c>
      <c r="L72" s="8" t="n">
        <v>1</v>
      </c>
      <c r="M72" s="8" t="n">
        <f aca="false">M71+L72</f>
        <v>112.7</v>
      </c>
      <c r="N72" s="8" t="n">
        <f aca="false">J72-L72</f>
        <v>2.8</v>
      </c>
      <c r="O72" s="8" t="n">
        <v>153.6</v>
      </c>
      <c r="P72" s="8" t="n">
        <v>67</v>
      </c>
      <c r="Q72" s="8" t="n">
        <f aca="false">0.35+((P72-9)/67)*(1-0.35)</f>
        <v>0.912686567164179</v>
      </c>
      <c r="R72" s="15" t="n">
        <f aca="false">Q72*L72</f>
        <v>0.912686567164179</v>
      </c>
      <c r="S72" s="15" t="n">
        <f aca="false">J72-R72</f>
        <v>2.88731343283582</v>
      </c>
      <c r="T72" s="15" t="n">
        <f aca="false">MIN(153.6,(T71+S72))</f>
        <v>153.6</v>
      </c>
      <c r="V72" s="16" t="n">
        <v>205.8</v>
      </c>
      <c r="W72" s="8" t="n">
        <f aca="false">V72/D72</f>
        <v>33.1935483870968</v>
      </c>
      <c r="X72" s="8" t="n">
        <f aca="false">X71+V72</f>
        <v>46437</v>
      </c>
      <c r="AA72" s="8" t="n">
        <v>9.29222946603914</v>
      </c>
    </row>
    <row r="73" s="8" customFormat="true" ht="15" hidden="false" customHeight="false" outlineLevel="0" collapsed="false">
      <c r="A73" s="9"/>
      <c r="B73" s="10"/>
      <c r="C73" s="11" t="n">
        <v>41589</v>
      </c>
      <c r="D73" s="8" t="n">
        <v>5.5</v>
      </c>
      <c r="E73" s="18" t="n">
        <v>0.5</v>
      </c>
      <c r="F73" s="8" t="n">
        <v>8.7</v>
      </c>
      <c r="G73" s="8" t="n">
        <f aca="false">G72+D73</f>
        <v>883.7</v>
      </c>
      <c r="J73" s="8" t="n">
        <v>0</v>
      </c>
      <c r="K73" s="8" t="n">
        <f aca="false">K72+J73</f>
        <v>285.7</v>
      </c>
      <c r="L73" s="8" t="n">
        <v>0.6</v>
      </c>
      <c r="M73" s="8" t="n">
        <f aca="false">M72+L73</f>
        <v>113.3</v>
      </c>
      <c r="N73" s="14" t="n">
        <f aca="false">J73-L73</f>
        <v>-0.6</v>
      </c>
      <c r="O73" s="8" t="n">
        <v>153</v>
      </c>
      <c r="P73" s="8" t="n">
        <v>68</v>
      </c>
      <c r="Q73" s="8" t="n">
        <f aca="false">0.35+((P73-9)/67)*(1-0.35)</f>
        <v>0.922388059701493</v>
      </c>
      <c r="R73" s="15" t="n">
        <f aca="false">Q73*L73</f>
        <v>0.553432835820896</v>
      </c>
      <c r="S73" s="15" t="n">
        <f aca="false">J73-R73</f>
        <v>-0.553432835820896</v>
      </c>
      <c r="T73" s="15" t="n">
        <f aca="false">MIN(153.6,(T72+S73))</f>
        <v>153.046567164179</v>
      </c>
      <c r="V73" s="16" t="n">
        <v>352</v>
      </c>
      <c r="W73" s="8" t="n">
        <f aca="false">V73/D73</f>
        <v>64</v>
      </c>
      <c r="X73" s="8" t="n">
        <f aca="false">X72+V73</f>
        <v>46789</v>
      </c>
      <c r="AA73" s="8" t="n">
        <v>9.23878949218292</v>
      </c>
    </row>
    <row r="74" s="8" customFormat="true" ht="15" hidden="false" customHeight="false" outlineLevel="0" collapsed="false">
      <c r="A74" s="9"/>
      <c r="B74" s="10"/>
      <c r="C74" s="11" t="n">
        <v>41590</v>
      </c>
      <c r="D74" s="8" t="n">
        <v>8.2</v>
      </c>
      <c r="E74" s="8" t="n">
        <v>7.2</v>
      </c>
      <c r="F74" s="8" t="n">
        <v>9.7</v>
      </c>
      <c r="G74" s="8" t="n">
        <f aca="false">G73+D74</f>
        <v>891.9</v>
      </c>
      <c r="J74" s="8" t="n">
        <v>2</v>
      </c>
      <c r="K74" s="8" t="n">
        <f aca="false">K73+J74</f>
        <v>287.7</v>
      </c>
      <c r="L74" s="8" t="n">
        <v>0.5</v>
      </c>
      <c r="M74" s="8" t="n">
        <f aca="false">M73+L74</f>
        <v>113.8</v>
      </c>
      <c r="N74" s="8" t="n">
        <f aca="false">J74-L74</f>
        <v>1.5</v>
      </c>
      <c r="O74" s="8" t="n">
        <v>153.6</v>
      </c>
      <c r="P74" s="8" t="n">
        <v>69</v>
      </c>
      <c r="Q74" s="8" t="n">
        <f aca="false">0.35+((P74-9)/67)*(1-0.35)</f>
        <v>0.932089552238806</v>
      </c>
      <c r="R74" s="15" t="n">
        <f aca="false">Q74*L74</f>
        <v>0.466044776119403</v>
      </c>
      <c r="S74" s="15" t="n">
        <f aca="false">J74-R74</f>
        <v>1.5339552238806</v>
      </c>
      <c r="T74" s="15" t="n">
        <f aca="false">MIN(153.6,(T73+S74))</f>
        <v>153.6</v>
      </c>
      <c r="V74" s="16" t="n">
        <v>138.3</v>
      </c>
      <c r="W74" s="8" t="n">
        <f aca="false">V74/D74</f>
        <v>16.8658536585366</v>
      </c>
      <c r="X74" s="8" t="n">
        <f aca="false">X73+V74</f>
        <v>46927.3</v>
      </c>
      <c r="AA74" s="8" t="n">
        <v>9.18598290705673</v>
      </c>
    </row>
    <row r="75" s="8" customFormat="true" ht="15" hidden="false" customHeight="false" outlineLevel="0" collapsed="false">
      <c r="A75" s="9"/>
      <c r="B75" s="10"/>
      <c r="C75" s="11" t="n">
        <v>41591</v>
      </c>
      <c r="D75" s="8" t="n">
        <v>6.2</v>
      </c>
      <c r="E75" s="18" t="n">
        <v>3.4</v>
      </c>
      <c r="F75" s="8" t="n">
        <v>11.9</v>
      </c>
      <c r="G75" s="8" t="n">
        <f aca="false">G74+D75</f>
        <v>898.1</v>
      </c>
      <c r="J75" s="8" t="n">
        <v>1</v>
      </c>
      <c r="K75" s="8" t="n">
        <f aca="false">K74+J75</f>
        <v>288.7</v>
      </c>
      <c r="L75" s="8" t="n">
        <v>0.9</v>
      </c>
      <c r="M75" s="8" t="n">
        <f aca="false">M74+L75</f>
        <v>114.7</v>
      </c>
      <c r="N75" s="8" t="n">
        <f aca="false">J75-L75</f>
        <v>0.1</v>
      </c>
      <c r="O75" s="8" t="n">
        <v>153.6</v>
      </c>
      <c r="P75" s="8" t="n">
        <v>70</v>
      </c>
      <c r="Q75" s="8" t="n">
        <f aca="false">0.35+((P75-9)/67)*(1-0.35)</f>
        <v>0.941791044776119</v>
      </c>
      <c r="R75" s="15" t="n">
        <f aca="false">Q75*L75</f>
        <v>0.847611940298508</v>
      </c>
      <c r="S75" s="15" t="n">
        <f aca="false">J75-R75</f>
        <v>0.152388059701493</v>
      </c>
      <c r="T75" s="15" t="n">
        <f aca="false">MIN(153.6,(T74+S75))</f>
        <v>153.6</v>
      </c>
      <c r="V75" s="16" t="n">
        <v>630.6</v>
      </c>
      <c r="W75" s="8" t="n">
        <f aca="false">V75/D75</f>
        <v>101.709677419355</v>
      </c>
      <c r="X75" s="8" t="n">
        <f aca="false">X74+V75</f>
        <v>47557.9</v>
      </c>
      <c r="AA75" s="8" t="n">
        <v>9.1338384976699</v>
      </c>
    </row>
    <row r="76" s="8" customFormat="true" ht="15" hidden="false" customHeight="false" outlineLevel="0" collapsed="false">
      <c r="A76" s="9"/>
      <c r="B76" s="10"/>
      <c r="C76" s="11" t="n">
        <v>41592</v>
      </c>
      <c r="D76" s="8" t="n">
        <v>7</v>
      </c>
      <c r="E76" s="18" t="n">
        <v>3.1</v>
      </c>
      <c r="F76" s="8" t="n">
        <v>9.7</v>
      </c>
      <c r="G76" s="8" t="n">
        <f aca="false">G75+D76</f>
        <v>905.1</v>
      </c>
      <c r="J76" s="8" t="n">
        <v>7.8</v>
      </c>
      <c r="K76" s="8" t="n">
        <f aca="false">K75+J76</f>
        <v>296.5</v>
      </c>
      <c r="L76" s="8" t="n">
        <v>0.6</v>
      </c>
      <c r="M76" s="8" t="n">
        <f aca="false">M75+L76</f>
        <v>115.3</v>
      </c>
      <c r="N76" s="8" t="n">
        <f aca="false">J76-L76</f>
        <v>7.2</v>
      </c>
      <c r="O76" s="8" t="n">
        <v>153.6</v>
      </c>
      <c r="P76" s="8" t="n">
        <v>71</v>
      </c>
      <c r="Q76" s="8" t="n">
        <f aca="false">0.35+((P76-9)/67)*(1-0.35)</f>
        <v>0.951492537313433</v>
      </c>
      <c r="R76" s="15" t="n">
        <f aca="false">Q76*L76</f>
        <v>0.57089552238806</v>
      </c>
      <c r="S76" s="15" t="n">
        <f aca="false">J76-R76</f>
        <v>7.22910447761194</v>
      </c>
      <c r="T76" s="15" t="n">
        <f aca="false">MIN(153.6,(T75+S76))</f>
        <v>153.6</v>
      </c>
      <c r="V76" s="16" t="n">
        <v>84.7</v>
      </c>
      <c r="W76" s="8" t="n">
        <f aca="false">V76/D76</f>
        <v>12.1</v>
      </c>
      <c r="X76" s="8" t="n">
        <f aca="false">X75+V76</f>
        <v>47642.6</v>
      </c>
      <c r="AA76" s="8" t="n">
        <v>9.08238577499276</v>
      </c>
    </row>
    <row r="77" s="8" customFormat="true" ht="15" hidden="false" customHeight="false" outlineLevel="0" collapsed="false">
      <c r="A77" s="9"/>
      <c r="B77" s="10"/>
      <c r="C77" s="11" t="n">
        <v>41593</v>
      </c>
      <c r="D77" s="8" t="n">
        <v>7.5</v>
      </c>
      <c r="E77" s="8" t="n">
        <v>6</v>
      </c>
      <c r="F77" s="8" t="n">
        <v>10.5</v>
      </c>
      <c r="G77" s="8" t="n">
        <f aca="false">G76+D77</f>
        <v>912.6</v>
      </c>
      <c r="J77" s="8" t="n">
        <v>0.2</v>
      </c>
      <c r="K77" s="8" t="n">
        <f aca="false">K76+J77</f>
        <v>296.7</v>
      </c>
      <c r="L77" s="8" t="n">
        <v>1.2</v>
      </c>
      <c r="M77" s="8" t="n">
        <f aca="false">M76+L77</f>
        <v>116.5</v>
      </c>
      <c r="N77" s="14" t="n">
        <f aca="false">J77-L77</f>
        <v>-1</v>
      </c>
      <c r="O77" s="8" t="n">
        <v>152.6</v>
      </c>
      <c r="P77" s="8" t="n">
        <v>72</v>
      </c>
      <c r="Q77" s="8" t="n">
        <f aca="false">0.35+((P77-9)/67)*(1-0.35)</f>
        <v>0.961194029850746</v>
      </c>
      <c r="R77" s="15" t="n">
        <f aca="false">Q77*L77</f>
        <v>1.1534328358209</v>
      </c>
      <c r="S77" s="15" t="n">
        <f aca="false">J77-R77</f>
        <v>-0.953432835820896</v>
      </c>
      <c r="T77" s="15" t="n">
        <f aca="false">MIN(153.6,(T76+S77))</f>
        <v>152.646567164179</v>
      </c>
      <c r="V77" s="16" t="n">
        <v>615.6</v>
      </c>
      <c r="W77" s="8" t="n">
        <f aca="false">V77/D77</f>
        <v>82.08</v>
      </c>
      <c r="X77" s="8" t="n">
        <f aca="false">X76+V77</f>
        <v>48258.2</v>
      </c>
      <c r="AA77" s="8" t="n">
        <v>9.03165495176079</v>
      </c>
    </row>
    <row r="78" s="8" customFormat="true" ht="15" hidden="false" customHeight="false" outlineLevel="0" collapsed="false">
      <c r="A78" s="9"/>
      <c r="B78" s="19"/>
      <c r="C78" s="11" t="n">
        <v>41594</v>
      </c>
      <c r="D78" s="18" t="n">
        <v>4.7</v>
      </c>
      <c r="E78" s="18" t="n">
        <v>4</v>
      </c>
      <c r="F78" s="8" t="n">
        <v>5.3</v>
      </c>
      <c r="G78" s="8" t="n">
        <f aca="false">G77+D78</f>
        <v>917.3</v>
      </c>
      <c r="J78" s="8" t="n">
        <v>0</v>
      </c>
      <c r="K78" s="8" t="n">
        <f aca="false">K77+J78</f>
        <v>296.7</v>
      </c>
      <c r="L78" s="8" t="n">
        <v>0.4</v>
      </c>
      <c r="M78" s="8" t="n">
        <f aca="false">M77+L78</f>
        <v>116.9</v>
      </c>
      <c r="N78" s="14" t="n">
        <f aca="false">J78-L78</f>
        <v>-0.4</v>
      </c>
      <c r="O78" s="8" t="n">
        <v>152.2</v>
      </c>
      <c r="P78" s="8" t="n">
        <v>73</v>
      </c>
      <c r="Q78" s="8" t="n">
        <f aca="false">0.35+((P78-9)/67)*(1-0.35)</f>
        <v>0.97089552238806</v>
      </c>
      <c r="R78" s="15" t="n">
        <f aca="false">Q78*L78</f>
        <v>0.388358208955224</v>
      </c>
      <c r="S78" s="15" t="n">
        <f aca="false">J78-R78</f>
        <v>-0.388358208955224</v>
      </c>
      <c r="T78" s="15" t="n">
        <f aca="false">MIN(153.6,(T77+S78))</f>
        <v>152.258208955224</v>
      </c>
      <c r="V78" s="16" t="n">
        <v>273.1</v>
      </c>
      <c r="W78" s="8" t="n">
        <f aca="false">V78/D78</f>
        <v>58.1063829787234</v>
      </c>
      <c r="X78" s="8" t="n">
        <f aca="false">X77+V78</f>
        <v>48531.3</v>
      </c>
      <c r="AA78" s="20" t="n">
        <v>8.98167691618612</v>
      </c>
    </row>
    <row r="79" s="8" customFormat="true" ht="15" hidden="false" customHeight="false" outlineLevel="0" collapsed="false">
      <c r="A79" s="9"/>
      <c r="B79" s="10"/>
      <c r="C79" s="11" t="n">
        <v>41595</v>
      </c>
      <c r="D79" s="8" t="n">
        <v>5.7</v>
      </c>
      <c r="E79" s="18" t="n">
        <v>3.3</v>
      </c>
      <c r="F79" s="8" t="n">
        <v>7</v>
      </c>
      <c r="G79" s="8" t="n">
        <f aca="false">G78+D79</f>
        <v>923</v>
      </c>
      <c r="J79" s="8" t="n">
        <v>0.1</v>
      </c>
      <c r="K79" s="8" t="n">
        <f aca="false">K78+J79</f>
        <v>296.8</v>
      </c>
      <c r="L79" s="8" t="n">
        <v>0.2</v>
      </c>
      <c r="M79" s="8" t="n">
        <f aca="false">M78+L79</f>
        <v>117.1</v>
      </c>
      <c r="N79" s="14" t="n">
        <f aca="false">J79-L79</f>
        <v>-0.1</v>
      </c>
      <c r="O79" s="8" t="n">
        <v>152.1</v>
      </c>
      <c r="P79" s="8" t="n">
        <v>74</v>
      </c>
      <c r="Q79" s="8" t="n">
        <f aca="false">0.35+((P79-9)/67)*(1-0.35)</f>
        <v>0.980597014925373</v>
      </c>
      <c r="R79" s="15" t="n">
        <f aca="false">Q79*L79</f>
        <v>0.196119402985075</v>
      </c>
      <c r="S79" s="15" t="n">
        <f aca="false">J79-R79</f>
        <v>-0.0961194029850746</v>
      </c>
      <c r="T79" s="15" t="n">
        <f aca="false">MIN(153.6,(T78+S79))</f>
        <v>152.162089552239</v>
      </c>
      <c r="V79" s="16" t="n">
        <v>156.7</v>
      </c>
      <c r="W79" s="8" t="n">
        <f aca="false">V79/D79</f>
        <v>27.4912280701754</v>
      </c>
      <c r="X79" s="8" t="n">
        <f aca="false">X78+V79</f>
        <v>48688</v>
      </c>
      <c r="AA79" s="20" t="n">
        <v>8.93248320138579</v>
      </c>
    </row>
    <row r="80" s="8" customFormat="true" ht="15" hidden="false" customHeight="false" outlineLevel="0" collapsed="false">
      <c r="A80" s="9"/>
      <c r="B80" s="10"/>
      <c r="C80" s="11" t="n">
        <v>41596</v>
      </c>
      <c r="D80" s="8" t="n">
        <v>5.3</v>
      </c>
      <c r="E80" s="18" t="n">
        <v>4.8</v>
      </c>
      <c r="F80" s="8" t="n">
        <v>7.3</v>
      </c>
      <c r="G80" s="8" t="n">
        <f aca="false">G79+D80</f>
        <v>928.3</v>
      </c>
      <c r="J80" s="8" t="n">
        <v>0.8</v>
      </c>
      <c r="K80" s="8" t="n">
        <f aca="false">K79+J80</f>
        <v>297.6</v>
      </c>
      <c r="L80" s="8" t="n">
        <v>0.7</v>
      </c>
      <c r="M80" s="8" t="n">
        <f aca="false">M79+L80</f>
        <v>117.8</v>
      </c>
      <c r="N80" s="8" t="n">
        <f aca="false">J80-L80</f>
        <v>0.1</v>
      </c>
      <c r="O80" s="8" t="n">
        <v>152.2</v>
      </c>
      <c r="P80" s="8" t="n">
        <v>75</v>
      </c>
      <c r="Q80" s="8" t="n">
        <f aca="false">0.35+((P80-9)/67)*(1-0.35)</f>
        <v>0.990298507462687</v>
      </c>
      <c r="R80" s="15" t="n">
        <f aca="false">Q80*L80</f>
        <v>0.693208955223881</v>
      </c>
      <c r="S80" s="15" t="n">
        <f aca="false">J80-R80</f>
        <v>0.106791044776119</v>
      </c>
      <c r="T80" s="15" t="n">
        <f aca="false">MIN(153.6,(T79+S80))</f>
        <v>152.268880597015</v>
      </c>
      <c r="V80" s="16" t="n">
        <v>117.6</v>
      </c>
      <c r="W80" s="8" t="n">
        <f aca="false">V80/D80</f>
        <v>22.188679245283</v>
      </c>
      <c r="X80" s="8" t="n">
        <f aca="false">X79+V80</f>
        <v>48805.6</v>
      </c>
      <c r="AA80" s="20" t="n">
        <v>8.88410595034894</v>
      </c>
    </row>
    <row r="81" s="23" customFormat="true" ht="15" hidden="false" customHeight="false" outlineLevel="0" collapsed="false">
      <c r="A81" s="9"/>
      <c r="B81" s="21"/>
      <c r="C81" s="22" t="n">
        <v>41597</v>
      </c>
      <c r="D81" s="23" t="n">
        <v>6.1</v>
      </c>
      <c r="E81" s="23" t="n">
        <v>4.8</v>
      </c>
      <c r="F81" s="23" t="n">
        <v>7.6</v>
      </c>
      <c r="G81" s="23" t="n">
        <f aca="false">G80+D81</f>
        <v>934.4</v>
      </c>
      <c r="J81" s="23" t="n">
        <v>0.7</v>
      </c>
      <c r="K81" s="23" t="n">
        <f aca="false">K80+J81</f>
        <v>298.3</v>
      </c>
      <c r="L81" s="23" t="n">
        <v>1.1</v>
      </c>
      <c r="M81" s="23" t="n">
        <f aca="false">M80+L81</f>
        <v>118.9</v>
      </c>
      <c r="N81" s="23" t="n">
        <f aca="false">J81-L81</f>
        <v>-0.4</v>
      </c>
      <c r="O81" s="23" t="n">
        <v>151.8</v>
      </c>
      <c r="P81" s="23" t="n">
        <v>76</v>
      </c>
      <c r="Q81" s="24" t="n">
        <f aca="false">0.35+((P81-9)/67)*(1-0.35)</f>
        <v>1</v>
      </c>
      <c r="R81" s="25" t="n">
        <f aca="false">Q81*L81</f>
        <v>1.1</v>
      </c>
      <c r="S81" s="25" t="n">
        <f aca="false">J81-R81</f>
        <v>-0.4</v>
      </c>
      <c r="T81" s="26" t="n">
        <f aca="false">MIN(153.6,(T80+S81))</f>
        <v>151.868880597015</v>
      </c>
      <c r="V81" s="23" t="n">
        <v>361.2</v>
      </c>
      <c r="W81" s="23" t="n">
        <f aca="false">V81/D81</f>
        <v>59.2131147540984</v>
      </c>
      <c r="X81" s="23" t="n">
        <f aca="false">X80+V81</f>
        <v>49166.8</v>
      </c>
      <c r="AA81" s="27" t="n">
        <v>8.83657787628017</v>
      </c>
    </row>
    <row r="82" s="8" customFormat="true" ht="15" hidden="false" customHeight="false" outlineLevel="0" collapsed="false">
      <c r="A82" s="28" t="s">
        <v>43</v>
      </c>
      <c r="B82" s="19"/>
      <c r="C82" s="11" t="n">
        <v>41598</v>
      </c>
      <c r="D82" s="18" t="n">
        <v>2.2</v>
      </c>
      <c r="E82" s="18" t="n">
        <v>1.4</v>
      </c>
      <c r="F82" s="18" t="n">
        <v>4.5</v>
      </c>
      <c r="G82" s="8" t="n">
        <f aca="false">G81+D82</f>
        <v>936.6</v>
      </c>
      <c r="H82" s="8" t="n">
        <f aca="false">D82</f>
        <v>2.2</v>
      </c>
      <c r="I82" s="29" t="s">
        <v>27</v>
      </c>
      <c r="J82" s="8" t="n">
        <v>0</v>
      </c>
      <c r="K82" s="8" t="n">
        <f aca="false">K81+J82</f>
        <v>298.3</v>
      </c>
      <c r="L82" s="8" t="n">
        <v>0.7</v>
      </c>
      <c r="M82" s="8" t="n">
        <f aca="false">M81+L82</f>
        <v>119.6</v>
      </c>
      <c r="N82" s="14" t="n">
        <f aca="false">J82-L82</f>
        <v>-0.7</v>
      </c>
      <c r="O82" s="8" t="n">
        <v>151.1</v>
      </c>
      <c r="P82" s="8" t="n">
        <v>77</v>
      </c>
      <c r="Q82" s="8" t="n">
        <v>1</v>
      </c>
      <c r="R82" s="15" t="n">
        <f aca="false">Q82*L82</f>
        <v>0.7</v>
      </c>
      <c r="S82" s="15" t="n">
        <f aca="false">J82-R82</f>
        <v>-0.7</v>
      </c>
      <c r="T82" s="15" t="n">
        <f aca="false">MIN(153.6,(T81+S82))</f>
        <v>151.168880597015</v>
      </c>
      <c r="U82" s="29" t="s">
        <v>28</v>
      </c>
      <c r="V82" s="16" t="n">
        <v>292.5</v>
      </c>
      <c r="W82" s="8" t="n">
        <f aca="false">V82/D82</f>
        <v>132.954545454545</v>
      </c>
      <c r="X82" s="8" t="n">
        <f aca="false">X81+V82</f>
        <v>49459.3</v>
      </c>
      <c r="Y82" s="8" t="n">
        <f aca="false">V82</f>
        <v>292.5</v>
      </c>
      <c r="Z82" s="29" t="s">
        <v>29</v>
      </c>
      <c r="AA82" s="20" t="n">
        <v>8.78993221817549</v>
      </c>
    </row>
    <row r="83" s="8" customFormat="true" ht="15" hidden="false" customHeight="false" outlineLevel="0" collapsed="false">
      <c r="A83" s="28"/>
      <c r="B83" s="19"/>
      <c r="C83" s="11" t="n">
        <v>41599</v>
      </c>
      <c r="D83" s="18" t="n">
        <v>2.1</v>
      </c>
      <c r="E83" s="30" t="n">
        <v>-0.4</v>
      </c>
      <c r="F83" s="18" t="n">
        <v>4.2</v>
      </c>
      <c r="G83" s="8" t="n">
        <f aca="false">G82+D83</f>
        <v>938.7</v>
      </c>
      <c r="H83" s="8" t="n">
        <f aca="false">H82+D83</f>
        <v>4.3</v>
      </c>
      <c r="I83" s="8" t="n">
        <f aca="false">MIN(E82:E106)</f>
        <v>-2.5</v>
      </c>
      <c r="J83" s="8" t="n">
        <v>0.2</v>
      </c>
      <c r="K83" s="8" t="n">
        <f aca="false">K82+J83</f>
        <v>298.5</v>
      </c>
      <c r="L83" s="8" t="n">
        <v>0.2</v>
      </c>
      <c r="M83" s="8" t="n">
        <f aca="false">M82+L83</f>
        <v>119.8</v>
      </c>
      <c r="N83" s="8" t="n">
        <f aca="false">J83-L83</f>
        <v>0</v>
      </c>
      <c r="O83" s="8" t="n">
        <v>151.1</v>
      </c>
      <c r="P83" s="8" t="n">
        <v>78</v>
      </c>
      <c r="Q83" s="8" t="n">
        <v>1</v>
      </c>
      <c r="R83" s="15" t="n">
        <f aca="false">Q83*L83</f>
        <v>0.2</v>
      </c>
      <c r="S83" s="15" t="n">
        <f aca="false">J83-R83</f>
        <v>0</v>
      </c>
      <c r="T83" s="15" t="n">
        <f aca="false">MIN(153.6,(T82+S83))</f>
        <v>151.168880597015</v>
      </c>
      <c r="U83" s="8" t="n">
        <v>21</v>
      </c>
      <c r="V83" s="16" t="n">
        <v>99</v>
      </c>
      <c r="W83" s="8" t="n">
        <f aca="false">V83/D83</f>
        <v>47.1428571428571</v>
      </c>
      <c r="X83" s="8" t="n">
        <f aca="false">X82+V83</f>
        <v>49558.3</v>
      </c>
      <c r="Y83" s="8" t="n">
        <f aca="false">Y82+V83</f>
        <v>391.5</v>
      </c>
      <c r="Z83" s="8" t="n">
        <v>7216.5</v>
      </c>
      <c r="AA83" s="20" t="n">
        <v>8.7442026915099</v>
      </c>
    </row>
    <row r="84" s="8" customFormat="true" ht="15" hidden="false" customHeight="false" outlineLevel="0" collapsed="false">
      <c r="A84" s="28"/>
      <c r="B84" s="19"/>
      <c r="C84" s="11" t="n">
        <v>41600</v>
      </c>
      <c r="D84" s="18" t="n">
        <v>4.3</v>
      </c>
      <c r="E84" s="18" t="n">
        <v>1.6</v>
      </c>
      <c r="F84" s="8" t="n">
        <v>5.9</v>
      </c>
      <c r="G84" s="8" t="n">
        <f aca="false">G83+D84</f>
        <v>943</v>
      </c>
      <c r="H84" s="8" t="n">
        <f aca="false">H83+D84</f>
        <v>8.6</v>
      </c>
      <c r="I84" s="29" t="s">
        <v>30</v>
      </c>
      <c r="J84" s="8" t="n">
        <v>0</v>
      </c>
      <c r="K84" s="8" t="n">
        <f aca="false">K83+J84</f>
        <v>298.5</v>
      </c>
      <c r="L84" s="8" t="n">
        <v>0.9</v>
      </c>
      <c r="M84" s="8" t="n">
        <f aca="false">M83+L84</f>
        <v>120.7</v>
      </c>
      <c r="N84" s="14" t="n">
        <f aca="false">J84-L84</f>
        <v>-0.9</v>
      </c>
      <c r="O84" s="8" t="n">
        <v>150.2</v>
      </c>
      <c r="P84" s="8" t="n">
        <v>79</v>
      </c>
      <c r="Q84" s="8" t="n">
        <v>1</v>
      </c>
      <c r="R84" s="15" t="n">
        <f aca="false">Q84*L84</f>
        <v>0.9</v>
      </c>
      <c r="S84" s="15" t="n">
        <f aca="false">J84-R84</f>
        <v>-0.9</v>
      </c>
      <c r="T84" s="15" t="n">
        <f aca="false">MIN(153.6,(T83+S84))</f>
        <v>150.268880597015</v>
      </c>
      <c r="U84" s="29" t="s">
        <v>31</v>
      </c>
      <c r="V84" s="16" t="n">
        <v>129.5</v>
      </c>
      <c r="W84" s="8" t="n">
        <f aca="false">V84/D84</f>
        <v>30.1162790697674</v>
      </c>
      <c r="X84" s="8" t="n">
        <f aca="false">X83+V84</f>
        <v>49687.8</v>
      </c>
      <c r="Y84" s="8" t="n">
        <f aca="false">Y83+V84</f>
        <v>521</v>
      </c>
      <c r="Z84" s="29" t="s">
        <v>32</v>
      </c>
      <c r="AA84" s="20" t="n">
        <v>8.69942343394161</v>
      </c>
    </row>
    <row r="85" s="8" customFormat="true" ht="15" hidden="false" customHeight="false" outlineLevel="0" collapsed="false">
      <c r="A85" s="28"/>
      <c r="B85" s="10"/>
      <c r="C85" s="11" t="n">
        <v>41601</v>
      </c>
      <c r="D85" s="8" t="n">
        <v>5.1</v>
      </c>
      <c r="E85" s="18" t="n">
        <v>4.1</v>
      </c>
      <c r="F85" s="8" t="n">
        <v>7.2</v>
      </c>
      <c r="G85" s="8" t="n">
        <f aca="false">G84+D85</f>
        <v>948.1</v>
      </c>
      <c r="H85" s="8" t="n">
        <f aca="false">H84+D85</f>
        <v>13.7</v>
      </c>
      <c r="I85" s="8" t="n">
        <f aca="false">MAX(F82:F106)</f>
        <v>9.9</v>
      </c>
      <c r="J85" s="8" t="n">
        <v>0</v>
      </c>
      <c r="K85" s="8" t="n">
        <f aca="false">K84+J85</f>
        <v>298.5</v>
      </c>
      <c r="L85" s="8" t="n">
        <v>1</v>
      </c>
      <c r="M85" s="8" t="n">
        <f aca="false">M84+L85</f>
        <v>121.7</v>
      </c>
      <c r="N85" s="14" t="n">
        <f aca="false">J85-L85</f>
        <v>-1</v>
      </c>
      <c r="O85" s="8" t="n">
        <v>149.2</v>
      </c>
      <c r="P85" s="8" t="n">
        <v>80</v>
      </c>
      <c r="Q85" s="8" t="n">
        <v>1</v>
      </c>
      <c r="R85" s="15" t="n">
        <f aca="false">Q85*L85</f>
        <v>1</v>
      </c>
      <c r="S85" s="15" t="n">
        <f aca="false">J85-R85</f>
        <v>-1</v>
      </c>
      <c r="T85" s="15" t="n">
        <f aca="false">MIN(153.6,(T84+S85))</f>
        <v>149.268880597015</v>
      </c>
      <c r="U85" s="8" t="n">
        <v>0</v>
      </c>
      <c r="V85" s="16" t="n">
        <v>212.5</v>
      </c>
      <c r="W85" s="8" t="n">
        <f aca="false">V85/D85</f>
        <v>41.6666666666667</v>
      </c>
      <c r="X85" s="8" t="n">
        <f aca="false">X84+V85</f>
        <v>49900.3</v>
      </c>
      <c r="Y85" s="8" t="n">
        <f aca="false">Y84+V85</f>
        <v>733.5</v>
      </c>
      <c r="Z85" s="17" t="n">
        <f aca="false">(Z83/100)/I95</f>
        <v>0.589102040816326</v>
      </c>
      <c r="AA85" s="20" t="n">
        <v>8.65562894596853</v>
      </c>
    </row>
    <row r="86" s="8" customFormat="true" ht="15" hidden="false" customHeight="false" outlineLevel="0" collapsed="false">
      <c r="A86" s="28"/>
      <c r="B86" s="10"/>
      <c r="C86" s="11" t="n">
        <v>41602</v>
      </c>
      <c r="D86" s="8" t="n">
        <v>6.3</v>
      </c>
      <c r="E86" s="18" t="n">
        <v>2</v>
      </c>
      <c r="F86" s="8" t="n">
        <v>8.9</v>
      </c>
      <c r="G86" s="8" t="n">
        <f aca="false">G85+D86</f>
        <v>954.4</v>
      </c>
      <c r="H86" s="8" t="n">
        <f aca="false">H85+D86</f>
        <v>20</v>
      </c>
      <c r="I86" s="29" t="s">
        <v>33</v>
      </c>
      <c r="J86" s="8" t="n">
        <v>0.6</v>
      </c>
      <c r="K86" s="8" t="n">
        <f aca="false">K85+J86</f>
        <v>299.1</v>
      </c>
      <c r="L86" s="8" t="n">
        <v>0.6</v>
      </c>
      <c r="M86" s="8" t="n">
        <f aca="false">M85+L86</f>
        <v>122.3</v>
      </c>
      <c r="N86" s="8" t="n">
        <f aca="false">J86-L86</f>
        <v>0</v>
      </c>
      <c r="O86" s="8" t="n">
        <v>149.2</v>
      </c>
      <c r="P86" s="8" t="n">
        <v>81</v>
      </c>
      <c r="Q86" s="8" t="n">
        <v>1</v>
      </c>
      <c r="R86" s="15" t="n">
        <f aca="false">Q86*L86</f>
        <v>0.6</v>
      </c>
      <c r="S86" s="15" t="n">
        <f aca="false">J86-R86</f>
        <v>0</v>
      </c>
      <c r="T86" s="15" t="n">
        <f aca="false">MIN(153.6,(T85+S86))</f>
        <v>149.268880597015</v>
      </c>
      <c r="U86" s="29" t="s">
        <v>34</v>
      </c>
      <c r="V86" s="16" t="n">
        <v>166.6</v>
      </c>
      <c r="W86" s="8" t="n">
        <f aca="false">V86/D86</f>
        <v>26.4444444444444</v>
      </c>
      <c r="X86" s="8" t="n">
        <f aca="false">X85+V86</f>
        <v>50066.9</v>
      </c>
      <c r="Y86" s="8" t="n">
        <f aca="false">Y85+V86</f>
        <v>900.1</v>
      </c>
      <c r="Z86" s="29" t="s">
        <v>35</v>
      </c>
      <c r="AA86" s="20" t="n">
        <v>8.61285402650643</v>
      </c>
    </row>
    <row r="87" s="8" customFormat="true" ht="15" hidden="false" customHeight="false" outlineLevel="0" collapsed="false">
      <c r="A87" s="28"/>
      <c r="B87" s="10"/>
      <c r="C87" s="11" t="n">
        <v>41603</v>
      </c>
      <c r="D87" s="8" t="n">
        <v>5.9</v>
      </c>
      <c r="E87" s="18" t="n">
        <v>4.7</v>
      </c>
      <c r="F87" s="8" t="n">
        <v>7.4</v>
      </c>
      <c r="G87" s="8" t="n">
        <f aca="false">G86+D87</f>
        <v>960.3</v>
      </c>
      <c r="H87" s="8" t="n">
        <f aca="false">H86+D87</f>
        <v>25.9</v>
      </c>
      <c r="I87" s="8" t="n">
        <f aca="false">AVERAGE(D82:D106)</f>
        <v>4.9</v>
      </c>
      <c r="J87" s="8" t="n">
        <v>0.6</v>
      </c>
      <c r="K87" s="8" t="n">
        <f aca="false">K86+J87</f>
        <v>299.7</v>
      </c>
      <c r="L87" s="8" t="n">
        <v>1.1</v>
      </c>
      <c r="M87" s="8" t="n">
        <f aca="false">M86+L87</f>
        <v>123.4</v>
      </c>
      <c r="N87" s="14" t="n">
        <f aca="false">J87-L87</f>
        <v>-0.5</v>
      </c>
      <c r="O87" s="8" t="n">
        <v>148.7</v>
      </c>
      <c r="P87" s="8" t="n">
        <v>82</v>
      </c>
      <c r="Q87" s="8" t="n">
        <v>1</v>
      </c>
      <c r="R87" s="15" t="n">
        <f aca="false">Q87*L87</f>
        <v>1.1</v>
      </c>
      <c r="S87" s="15" t="n">
        <f aca="false">J87-R87</f>
        <v>-0.5</v>
      </c>
      <c r="T87" s="15" t="n">
        <f aca="false">MIN(153.6,(T86+S87))</f>
        <v>148.768880597015</v>
      </c>
      <c r="U87" s="8" t="n">
        <v>0</v>
      </c>
      <c r="V87" s="16" t="n">
        <v>252.6</v>
      </c>
      <c r="W87" s="8" t="n">
        <f aca="false">V87/D87</f>
        <v>42.8135593220339</v>
      </c>
      <c r="X87" s="8" t="n">
        <f aca="false">X86+V87</f>
        <v>50319.5</v>
      </c>
      <c r="Y87" s="8" t="n">
        <f aca="false">Y86+V87</f>
        <v>1152.7</v>
      </c>
      <c r="Z87" s="8" t="n">
        <v>25</v>
      </c>
      <c r="AA87" s="20" t="n">
        <v>8.57113370339635</v>
      </c>
    </row>
    <row r="88" s="8" customFormat="true" ht="15" hidden="false" customHeight="false" outlineLevel="0" collapsed="false">
      <c r="A88" s="28"/>
      <c r="B88" s="10"/>
      <c r="C88" s="11" t="n">
        <v>41604</v>
      </c>
      <c r="D88" s="8" t="n">
        <v>6.1</v>
      </c>
      <c r="E88" s="18" t="n">
        <v>4.5</v>
      </c>
      <c r="F88" s="8" t="n">
        <v>8.1</v>
      </c>
      <c r="G88" s="8" t="n">
        <f aca="false">G87+D88</f>
        <v>966.4</v>
      </c>
      <c r="H88" s="8" t="n">
        <f aca="false">H87+D88</f>
        <v>32</v>
      </c>
      <c r="I88" s="29" t="s">
        <v>36</v>
      </c>
      <c r="J88" s="8" t="n">
        <v>0.7</v>
      </c>
      <c r="K88" s="8" t="n">
        <f aca="false">K87+J88</f>
        <v>300.4</v>
      </c>
      <c r="L88" s="8" t="n">
        <v>0.9</v>
      </c>
      <c r="M88" s="8" t="n">
        <f aca="false">M87+L88</f>
        <v>124.3</v>
      </c>
      <c r="N88" s="14" t="n">
        <f aca="false">J88-L88</f>
        <v>-0.2</v>
      </c>
      <c r="O88" s="8" t="n">
        <v>148.5</v>
      </c>
      <c r="P88" s="8" t="n">
        <v>83</v>
      </c>
      <c r="Q88" s="8" t="n">
        <v>1</v>
      </c>
      <c r="R88" s="15" t="n">
        <f aca="false">Q88*L88</f>
        <v>0.9</v>
      </c>
      <c r="S88" s="15" t="n">
        <f aca="false">J88-R88</f>
        <v>-0.2</v>
      </c>
      <c r="T88" s="15" t="n">
        <f aca="false">MIN(153.6,(T87+S88))</f>
        <v>148.568880597015</v>
      </c>
      <c r="U88" s="29" t="s">
        <v>37</v>
      </c>
      <c r="V88" s="16" t="n">
        <v>315.3</v>
      </c>
      <c r="W88" s="8" t="n">
        <f aca="false">V88/D88</f>
        <v>51.6885245901639</v>
      </c>
      <c r="X88" s="8" t="n">
        <f aca="false">X87+V88</f>
        <v>50634.8</v>
      </c>
      <c r="Y88" s="8" t="n">
        <f aca="false">Y87+V88</f>
        <v>1468</v>
      </c>
      <c r="AA88" s="20" t="n">
        <v>8.53050315889074</v>
      </c>
    </row>
    <row r="89" s="8" customFormat="true" ht="15" hidden="false" customHeight="false" outlineLevel="0" collapsed="false">
      <c r="A89" s="28"/>
      <c r="B89" s="10"/>
      <c r="C89" s="11" t="n">
        <v>41605</v>
      </c>
      <c r="D89" s="8" t="n">
        <v>5.4</v>
      </c>
      <c r="E89" s="18" t="n">
        <v>3.8</v>
      </c>
      <c r="F89" s="8" t="n">
        <v>7.5</v>
      </c>
      <c r="G89" s="8" t="n">
        <f aca="false">G88+D89</f>
        <v>971.8</v>
      </c>
      <c r="H89" s="8" t="n">
        <f aca="false">H88+D89</f>
        <v>37.4</v>
      </c>
      <c r="I89" s="8" t="n">
        <v>6</v>
      </c>
      <c r="J89" s="8" t="n">
        <v>0.3</v>
      </c>
      <c r="K89" s="8" t="n">
        <f aca="false">K88+J89</f>
        <v>300.7</v>
      </c>
      <c r="L89" s="8" t="n">
        <v>0.5</v>
      </c>
      <c r="M89" s="8" t="n">
        <f aca="false">M88+L89</f>
        <v>124.8</v>
      </c>
      <c r="N89" s="14" t="n">
        <f aca="false">J89-L89</f>
        <v>-0.2</v>
      </c>
      <c r="O89" s="8" t="n">
        <v>148.3</v>
      </c>
      <c r="P89" s="8" t="n">
        <v>84</v>
      </c>
      <c r="Q89" s="8" t="n">
        <v>1</v>
      </c>
      <c r="R89" s="15" t="n">
        <f aca="false">Q89*L89</f>
        <v>0.5</v>
      </c>
      <c r="S89" s="15" t="n">
        <f aca="false">J89-R89</f>
        <v>-0.2</v>
      </c>
      <c r="T89" s="15" t="n">
        <f aca="false">MIN(153.6,(T88+S89))</f>
        <v>148.368880597015</v>
      </c>
      <c r="U89" s="15" t="n">
        <f aca="false">MIN(T82:T106)</f>
        <v>142.168880597015</v>
      </c>
      <c r="V89" s="16" t="n">
        <v>225.4</v>
      </c>
      <c r="W89" s="8" t="n">
        <f aca="false">V89/D89</f>
        <v>41.7407407407407</v>
      </c>
      <c r="X89" s="8" t="n">
        <f aca="false">X88+V89</f>
        <v>50860.2</v>
      </c>
      <c r="Y89" s="8" t="n">
        <f aca="false">Y88+V89</f>
        <v>1693.4</v>
      </c>
      <c r="AA89" s="20" t="n">
        <v>8.49099765021329</v>
      </c>
    </row>
    <row r="90" s="8" customFormat="true" ht="15" hidden="false" customHeight="false" outlineLevel="0" collapsed="false">
      <c r="A90" s="28"/>
      <c r="B90" s="10"/>
      <c r="C90" s="11" t="n">
        <v>41606</v>
      </c>
      <c r="D90" s="8" t="n">
        <v>7.5</v>
      </c>
      <c r="E90" s="18" t="n">
        <v>5</v>
      </c>
      <c r="F90" s="8" t="n">
        <v>9.4</v>
      </c>
      <c r="G90" s="8" t="n">
        <f aca="false">G89+D90</f>
        <v>979.3</v>
      </c>
      <c r="H90" s="8" t="n">
        <f aca="false">H89+D90</f>
        <v>44.9</v>
      </c>
      <c r="I90" s="29" t="s">
        <v>38</v>
      </c>
      <c r="J90" s="8" t="n">
        <v>0.2</v>
      </c>
      <c r="K90" s="8" t="n">
        <f aca="false">K89+J90</f>
        <v>300.9</v>
      </c>
      <c r="L90" s="8" t="n">
        <v>0.3</v>
      </c>
      <c r="M90" s="8" t="n">
        <f aca="false">M89+L90</f>
        <v>125.1</v>
      </c>
      <c r="N90" s="14" t="n">
        <f aca="false">J90-L90</f>
        <v>-0.1</v>
      </c>
      <c r="O90" s="8" t="n">
        <v>148.2</v>
      </c>
      <c r="P90" s="8" t="n">
        <v>85</v>
      </c>
      <c r="Q90" s="8" t="n">
        <v>1</v>
      </c>
      <c r="R90" s="15" t="n">
        <f aca="false">Q90*L90</f>
        <v>0.3</v>
      </c>
      <c r="S90" s="15" t="n">
        <f aca="false">J90-R90</f>
        <v>-0.1</v>
      </c>
      <c r="T90" s="15" t="n">
        <f aca="false">MIN(153.6,(T89+S90))</f>
        <v>148.268880597015</v>
      </c>
      <c r="U90" s="29" t="s">
        <v>39</v>
      </c>
      <c r="V90" s="16" t="n">
        <v>83.8</v>
      </c>
      <c r="W90" s="8" t="n">
        <f aca="false">V90/D90</f>
        <v>11.1733333333333</v>
      </c>
      <c r="X90" s="8" t="n">
        <f aca="false">X89+V90</f>
        <v>50944</v>
      </c>
      <c r="Y90" s="8" t="n">
        <f aca="false">Y89+V90</f>
        <v>1777.2</v>
      </c>
      <c r="AA90" s="20" t="n">
        <v>8.45265242533661</v>
      </c>
    </row>
    <row r="91" s="8" customFormat="true" ht="15" hidden="false" customHeight="false" outlineLevel="0" collapsed="false">
      <c r="A91" s="28"/>
      <c r="B91" s="10"/>
      <c r="C91" s="11" t="n">
        <v>41607</v>
      </c>
      <c r="D91" s="8" t="n">
        <v>7.7</v>
      </c>
      <c r="E91" s="8" t="n">
        <v>7</v>
      </c>
      <c r="F91" s="8" t="n">
        <v>9.2</v>
      </c>
      <c r="G91" s="8" t="n">
        <f aca="false">G90+D91</f>
        <v>987</v>
      </c>
      <c r="H91" s="8" t="n">
        <f aca="false">H90+D91</f>
        <v>52.6</v>
      </c>
      <c r="I91" s="8" t="n">
        <v>0</v>
      </c>
      <c r="J91" s="8" t="n">
        <v>1.8</v>
      </c>
      <c r="K91" s="8" t="n">
        <f aca="false">K90+J91</f>
        <v>302.7</v>
      </c>
      <c r="L91" s="8" t="n">
        <v>0.9</v>
      </c>
      <c r="M91" s="8" t="n">
        <f aca="false">M90+L91</f>
        <v>126</v>
      </c>
      <c r="N91" s="8" t="n">
        <f aca="false">J91-L91</f>
        <v>0.9</v>
      </c>
      <c r="O91" s="8" t="n">
        <v>149.1</v>
      </c>
      <c r="P91" s="8" t="n">
        <v>86</v>
      </c>
      <c r="Q91" s="8" t="n">
        <v>1</v>
      </c>
      <c r="R91" s="15" t="n">
        <f aca="false">Q91*L91</f>
        <v>0.9</v>
      </c>
      <c r="S91" s="15" t="n">
        <f aca="false">J91-R91</f>
        <v>0.9</v>
      </c>
      <c r="T91" s="15" t="n">
        <f aca="false">MIN(153.6,(T90+S91))</f>
        <v>149.168880597015</v>
      </c>
      <c r="U91" s="15" t="n">
        <f aca="false">MAX(T82:T106)</f>
        <v>151.168880597015</v>
      </c>
      <c r="V91" s="16" t="n">
        <v>141.5</v>
      </c>
      <c r="W91" s="8" t="n">
        <f aca="false">V91/D91</f>
        <v>18.3766233766234</v>
      </c>
      <c r="X91" s="8" t="n">
        <f aca="false">X90+V91</f>
        <v>51085.5</v>
      </c>
      <c r="Y91" s="8" t="n">
        <f aca="false">Y90+V91</f>
        <v>1918.7</v>
      </c>
      <c r="AA91" s="20" t="n">
        <v>8.41550263417384</v>
      </c>
    </row>
    <row r="92" s="8" customFormat="true" ht="15" hidden="false" customHeight="false" outlineLevel="0" collapsed="false">
      <c r="A92" s="28"/>
      <c r="B92" s="10"/>
      <c r="C92" s="11" t="n">
        <v>41608</v>
      </c>
      <c r="D92" s="8" t="n">
        <v>6.8</v>
      </c>
      <c r="E92" s="8" t="n">
        <v>5.3</v>
      </c>
      <c r="F92" s="8" t="n">
        <v>9.9</v>
      </c>
      <c r="G92" s="8" t="n">
        <f aca="false">G91+D92</f>
        <v>993.8</v>
      </c>
      <c r="H92" s="8" t="n">
        <f aca="false">H91+D92</f>
        <v>59.4</v>
      </c>
      <c r="I92" s="29" t="s">
        <v>40</v>
      </c>
      <c r="J92" s="8" t="n">
        <v>0.3</v>
      </c>
      <c r="K92" s="8" t="n">
        <f aca="false">K91+J92</f>
        <v>303</v>
      </c>
      <c r="L92" s="8" t="n">
        <v>1</v>
      </c>
      <c r="M92" s="8" t="n">
        <f aca="false">M91+L92</f>
        <v>127</v>
      </c>
      <c r="N92" s="14" t="n">
        <f aca="false">J92-L92</f>
        <v>-0.7</v>
      </c>
      <c r="O92" s="8" t="n">
        <v>148.4</v>
      </c>
      <c r="P92" s="8" t="n">
        <v>87</v>
      </c>
      <c r="Q92" s="8" t="n">
        <v>1</v>
      </c>
      <c r="R92" s="15" t="n">
        <f aca="false">Q92*L92</f>
        <v>1</v>
      </c>
      <c r="S92" s="15" t="n">
        <f aca="false">J92-R92</f>
        <v>-0.7</v>
      </c>
      <c r="T92" s="15" t="n">
        <f aca="false">MIN(153.6,(T91+S92))</f>
        <v>148.468880597015</v>
      </c>
      <c r="U92" s="29" t="s">
        <v>41</v>
      </c>
      <c r="V92" s="16" t="n">
        <v>136.1</v>
      </c>
      <c r="W92" s="8" t="n">
        <f aca="false">V92/D92</f>
        <v>20.0147058823529</v>
      </c>
      <c r="X92" s="8" t="n">
        <f aca="false">X91+V92</f>
        <v>51221.6</v>
      </c>
      <c r="Y92" s="8" t="n">
        <f aca="false">Y91+V92</f>
        <v>2054.8</v>
      </c>
      <c r="AA92" s="20" t="n">
        <v>8.3795832354354</v>
      </c>
    </row>
    <row r="93" s="8" customFormat="true" ht="15" hidden="false" customHeight="false" outlineLevel="0" collapsed="false">
      <c r="A93" s="28"/>
      <c r="B93" s="10"/>
      <c r="C93" s="11" t="n">
        <v>41609</v>
      </c>
      <c r="D93" s="8" t="n">
        <v>7.1</v>
      </c>
      <c r="E93" s="18" t="n">
        <v>5</v>
      </c>
      <c r="F93" s="8" t="n">
        <v>9</v>
      </c>
      <c r="G93" s="8" t="n">
        <f aca="false">G92+D93</f>
        <v>1000.9</v>
      </c>
      <c r="H93" s="8" t="n">
        <f aca="false">H92+D93</f>
        <v>66.5</v>
      </c>
      <c r="I93" s="8" t="n">
        <v>15</v>
      </c>
      <c r="J93" s="8" t="n">
        <v>0</v>
      </c>
      <c r="K93" s="8" t="n">
        <f aca="false">K92+J93</f>
        <v>303</v>
      </c>
      <c r="L93" s="8" t="n">
        <v>0.9</v>
      </c>
      <c r="M93" s="8" t="n">
        <f aca="false">M92+L93</f>
        <v>127.9</v>
      </c>
      <c r="N93" s="14" t="n">
        <f aca="false">J93-L93</f>
        <v>-0.9</v>
      </c>
      <c r="O93" s="8" t="n">
        <v>147.5</v>
      </c>
      <c r="P93" s="8" t="n">
        <v>88</v>
      </c>
      <c r="Q93" s="8" t="n">
        <v>1</v>
      </c>
      <c r="R93" s="15" t="n">
        <f aca="false">Q93*L93</f>
        <v>0.9</v>
      </c>
      <c r="S93" s="15" t="n">
        <f aca="false">J93-R93</f>
        <v>-0.9</v>
      </c>
      <c r="T93" s="15" t="n">
        <f aca="false">MIN(153.6,(T92+S93))</f>
        <v>147.568880597015</v>
      </c>
      <c r="U93" s="80" t="n">
        <f aca="false">AVERAGE(T82:T106)</f>
        <v>147.000880597015</v>
      </c>
      <c r="V93" s="16" t="n">
        <v>503.8</v>
      </c>
      <c r="W93" s="8" t="n">
        <f aca="false">V93/D93</f>
        <v>70.9577464788733</v>
      </c>
      <c r="X93" s="8" t="n">
        <f aca="false">X92+V93</f>
        <v>51725.4</v>
      </c>
      <c r="Y93" s="8" t="n">
        <f aca="false">Y92+V93</f>
        <v>2558.6</v>
      </c>
      <c r="AA93" s="20" t="n">
        <v>8.3449288994587</v>
      </c>
    </row>
    <row r="94" s="8" customFormat="true" ht="15" hidden="false" customHeight="false" outlineLevel="0" collapsed="false">
      <c r="A94" s="28"/>
      <c r="B94" s="10"/>
      <c r="C94" s="11" t="n">
        <v>41610</v>
      </c>
      <c r="D94" s="8" t="n">
        <v>6.5</v>
      </c>
      <c r="E94" s="8" t="n">
        <v>5.3</v>
      </c>
      <c r="F94" s="8" t="n">
        <v>8.7</v>
      </c>
      <c r="G94" s="8" t="n">
        <f aca="false">G93+D94</f>
        <v>1007.4</v>
      </c>
      <c r="H94" s="8" t="n">
        <f aca="false">H93+D94</f>
        <v>73</v>
      </c>
      <c r="I94" s="29" t="s">
        <v>42</v>
      </c>
      <c r="J94" s="8" t="n">
        <v>0</v>
      </c>
      <c r="K94" s="8" t="n">
        <f aca="false">K93+J94</f>
        <v>303</v>
      </c>
      <c r="L94" s="8" t="n">
        <v>1</v>
      </c>
      <c r="M94" s="8" t="n">
        <f aca="false">M93+L94</f>
        <v>128.9</v>
      </c>
      <c r="N94" s="14" t="n">
        <f aca="false">J94-L94</f>
        <v>-1</v>
      </c>
      <c r="O94" s="8" t="n">
        <v>146.5</v>
      </c>
      <c r="P94" s="8" t="n">
        <v>89</v>
      </c>
      <c r="Q94" s="8" t="n">
        <v>1</v>
      </c>
      <c r="R94" s="15" t="n">
        <f aca="false">Q94*L94</f>
        <v>1</v>
      </c>
      <c r="S94" s="15" t="n">
        <f aca="false">J94-R94</f>
        <v>-1</v>
      </c>
      <c r="T94" s="15" t="n">
        <f aca="false">MIN(153.6,(T93+S94))</f>
        <v>146.568880597015</v>
      </c>
      <c r="U94" s="29" t="s">
        <v>44</v>
      </c>
      <c r="V94" s="16" t="n">
        <v>477.6</v>
      </c>
      <c r="W94" s="8" t="n">
        <f aca="false">V94/D94</f>
        <v>73.4769230769231</v>
      </c>
      <c r="X94" s="8" t="n">
        <f aca="false">X93+V94</f>
        <v>52203</v>
      </c>
      <c r="Y94" s="8" t="n">
        <f aca="false">Y93+V94</f>
        <v>3036.2</v>
      </c>
      <c r="AA94" s="20" t="n">
        <v>8.31157390737721</v>
      </c>
    </row>
    <row r="95" s="8" customFormat="true" ht="15" hidden="false" customHeight="false" outlineLevel="0" collapsed="false">
      <c r="A95" s="28"/>
      <c r="B95" s="19"/>
      <c r="C95" s="11" t="n">
        <v>41611</v>
      </c>
      <c r="D95" s="18" t="n">
        <v>1.1</v>
      </c>
      <c r="E95" s="30" t="n">
        <v>-2.5</v>
      </c>
      <c r="F95" s="18" t="n">
        <v>4.6</v>
      </c>
      <c r="G95" s="8" t="n">
        <f aca="false">G94+D95</f>
        <v>1008.5</v>
      </c>
      <c r="H95" s="8" t="n">
        <f aca="false">H94+D95</f>
        <v>74.1</v>
      </c>
      <c r="I95" s="8" t="n">
        <v>122.5</v>
      </c>
      <c r="J95" s="8" t="n">
        <v>0.1</v>
      </c>
      <c r="K95" s="8" t="n">
        <f aca="false">K94+J95</f>
        <v>303.1</v>
      </c>
      <c r="L95" s="8" t="n">
        <v>0.2</v>
      </c>
      <c r="M95" s="8" t="n">
        <f aca="false">M94+L95</f>
        <v>129.1</v>
      </c>
      <c r="N95" s="14" t="n">
        <f aca="false">J95-L95</f>
        <v>-0.1</v>
      </c>
      <c r="O95" s="8" t="n">
        <v>146.4</v>
      </c>
      <c r="P95" s="8" t="n">
        <v>90</v>
      </c>
      <c r="Q95" s="8" t="n">
        <v>1</v>
      </c>
      <c r="R95" s="15" t="n">
        <f aca="false">Q95*L95</f>
        <v>0.2</v>
      </c>
      <c r="S95" s="15" t="n">
        <f aca="false">J95-R95</f>
        <v>-0.1</v>
      </c>
      <c r="T95" s="15" t="n">
        <f aca="false">MIN(153.6,(T94+S95))</f>
        <v>146.468880597015</v>
      </c>
      <c r="U95" s="8" t="n">
        <v>12</v>
      </c>
      <c r="V95" s="16" t="n">
        <v>420</v>
      </c>
      <c r="W95" s="8" t="n">
        <f aca="false">V95/D95</f>
        <v>381.818181818182</v>
      </c>
      <c r="X95" s="8" t="n">
        <f aca="false">X94+V95</f>
        <v>52623</v>
      </c>
      <c r="Y95" s="8" t="n">
        <f aca="false">Y94+V95</f>
        <v>3456.2</v>
      </c>
      <c r="AA95" s="20" t="n">
        <v>8.27955204705461</v>
      </c>
    </row>
    <row r="96" s="8" customFormat="true" ht="15" hidden="false" customHeight="false" outlineLevel="0" collapsed="false">
      <c r="A96" s="28"/>
      <c r="B96" s="10"/>
      <c r="C96" s="11" t="n">
        <v>41612</v>
      </c>
      <c r="D96" s="8" t="n">
        <v>5.7</v>
      </c>
      <c r="E96" s="18" t="n">
        <v>1.1</v>
      </c>
      <c r="F96" s="8" t="n">
        <v>8.5</v>
      </c>
      <c r="G96" s="8" t="n">
        <f aca="false">G95+D96</f>
        <v>1014.2</v>
      </c>
      <c r="H96" s="8" t="n">
        <f aca="false">H95+D96</f>
        <v>79.8</v>
      </c>
      <c r="J96" s="8" t="n">
        <v>0.6</v>
      </c>
      <c r="K96" s="8" t="n">
        <f aca="false">K95+J96</f>
        <v>303.7</v>
      </c>
      <c r="L96" s="8" t="n">
        <v>0.4</v>
      </c>
      <c r="M96" s="8" t="n">
        <f aca="false">M95+L96</f>
        <v>129.5</v>
      </c>
      <c r="N96" s="8" t="n">
        <f aca="false">J96-L96</f>
        <v>0.2</v>
      </c>
      <c r="O96" s="8" t="n">
        <v>146.6</v>
      </c>
      <c r="P96" s="8" t="n">
        <v>91</v>
      </c>
      <c r="Q96" s="8" t="n">
        <v>1</v>
      </c>
      <c r="R96" s="15" t="n">
        <f aca="false">Q96*L96</f>
        <v>0.4</v>
      </c>
      <c r="S96" s="15" t="n">
        <f aca="false">J96-R96</f>
        <v>0.2</v>
      </c>
      <c r="T96" s="15" t="n">
        <f aca="false">MIN(153.6,(T95+S96))</f>
        <v>146.668880597015</v>
      </c>
      <c r="V96" s="16" t="n">
        <v>128</v>
      </c>
      <c r="W96" s="8" t="n">
        <f aca="false">V96/D96</f>
        <v>22.4561403508772</v>
      </c>
      <c r="X96" s="8" t="n">
        <f aca="false">X95+V96</f>
        <v>52751</v>
      </c>
      <c r="Y96" s="8" t="n">
        <f aca="false">Y95+V96</f>
        <v>3584.2</v>
      </c>
      <c r="AA96" s="20" t="n">
        <v>8.24889650626823</v>
      </c>
    </row>
    <row r="97" s="8" customFormat="true" ht="15" hidden="false" customHeight="false" outlineLevel="0" collapsed="false">
      <c r="A97" s="28"/>
      <c r="B97" s="19"/>
      <c r="C97" s="11" t="n">
        <v>41613</v>
      </c>
      <c r="D97" s="18" t="n">
        <v>4.6</v>
      </c>
      <c r="E97" s="18" t="n">
        <v>0.9</v>
      </c>
      <c r="F97" s="8" t="n">
        <v>7.3</v>
      </c>
      <c r="G97" s="8" t="n">
        <f aca="false">G96+D97</f>
        <v>1018.8</v>
      </c>
      <c r="H97" s="8" t="n">
        <f aca="false">H96+D97</f>
        <v>84.4</v>
      </c>
      <c r="J97" s="8" t="n">
        <v>0.9</v>
      </c>
      <c r="K97" s="8" t="n">
        <f aca="false">K96+J97</f>
        <v>304.6</v>
      </c>
      <c r="L97" s="8" t="n">
        <v>0.7</v>
      </c>
      <c r="M97" s="8" t="n">
        <f aca="false">M96+L97</f>
        <v>130.2</v>
      </c>
      <c r="N97" s="8" t="n">
        <f aca="false">J97-L97</f>
        <v>0.2</v>
      </c>
      <c r="O97" s="8" t="n">
        <v>146.8</v>
      </c>
      <c r="P97" s="8" t="n">
        <v>92</v>
      </c>
      <c r="Q97" s="8" t="n">
        <v>1</v>
      </c>
      <c r="R97" s="15" t="n">
        <f aca="false">Q97*L97</f>
        <v>0.7</v>
      </c>
      <c r="S97" s="15" t="n">
        <f aca="false">J97-R97</f>
        <v>0.2</v>
      </c>
      <c r="T97" s="15" t="n">
        <f aca="false">MIN(153.6,(T96+S97))</f>
        <v>146.868880597015</v>
      </c>
      <c r="U97" s="8" t="n">
        <f aca="false">(U93*100)/153.6</f>
        <v>95.7036983053483</v>
      </c>
      <c r="V97" s="16" t="n">
        <v>275.3</v>
      </c>
      <c r="W97" s="8" t="n">
        <f aca="false">V97/D97</f>
        <v>59.8478260869565</v>
      </c>
      <c r="X97" s="8" t="n">
        <f aca="false">X96+V97</f>
        <v>53026.3</v>
      </c>
      <c r="Y97" s="8" t="n">
        <f aca="false">Y96+V97</f>
        <v>3859.5</v>
      </c>
      <c r="AA97" s="20" t="n">
        <v>8.21963976368438</v>
      </c>
    </row>
    <row r="98" s="8" customFormat="true" ht="15" hidden="false" customHeight="false" outlineLevel="0" collapsed="false">
      <c r="A98" s="28"/>
      <c r="B98" s="19"/>
      <c r="C98" s="11" t="n">
        <v>41614</v>
      </c>
      <c r="D98" s="18" t="n">
        <v>4.6</v>
      </c>
      <c r="E98" s="18" t="n">
        <v>3.3</v>
      </c>
      <c r="F98" s="8" t="n">
        <v>6.2</v>
      </c>
      <c r="G98" s="8" t="n">
        <f aca="false">G97+D98</f>
        <v>1023.4</v>
      </c>
      <c r="H98" s="8" t="n">
        <f aca="false">H97+D98</f>
        <v>89</v>
      </c>
      <c r="J98" s="8" t="n">
        <v>0.3</v>
      </c>
      <c r="K98" s="8" t="n">
        <f aca="false">K97+J98</f>
        <v>304.9</v>
      </c>
      <c r="L98" s="8" t="n">
        <v>1.1</v>
      </c>
      <c r="M98" s="8" t="n">
        <f aca="false">M97+L98</f>
        <v>131.3</v>
      </c>
      <c r="N98" s="14" t="n">
        <f aca="false">J98-L98</f>
        <v>-0.8</v>
      </c>
      <c r="O98" s="8" t="n">
        <v>146</v>
      </c>
      <c r="P98" s="8" t="n">
        <v>93</v>
      </c>
      <c r="Q98" s="8" t="n">
        <v>1</v>
      </c>
      <c r="R98" s="15" t="n">
        <f aca="false">Q98*L98</f>
        <v>1.1</v>
      </c>
      <c r="S98" s="15" t="n">
        <f aca="false">J98-R98</f>
        <v>-0.8</v>
      </c>
      <c r="T98" s="15" t="n">
        <f aca="false">MIN(153.6,(T97+S98))</f>
        <v>146.068880597015</v>
      </c>
      <c r="V98" s="16" t="n">
        <v>348.4</v>
      </c>
      <c r="W98" s="8" t="n">
        <f aca="false">V98/D98</f>
        <v>75.7391304347826</v>
      </c>
      <c r="X98" s="8" t="n">
        <f aca="false">X97+V98</f>
        <v>53374.7</v>
      </c>
      <c r="Y98" s="8" t="n">
        <f aca="false">Y97+V98</f>
        <v>4207.9</v>
      </c>
      <c r="AA98" s="20" t="n">
        <v>8.19181347822355</v>
      </c>
    </row>
    <row r="99" s="8" customFormat="true" ht="15" hidden="false" customHeight="false" outlineLevel="0" collapsed="false">
      <c r="A99" s="28"/>
      <c r="B99" s="10"/>
      <c r="C99" s="11" t="n">
        <v>41615</v>
      </c>
      <c r="D99" s="8" t="n">
        <v>7.1</v>
      </c>
      <c r="E99" s="18" t="n">
        <v>4.4</v>
      </c>
      <c r="F99" s="8" t="n">
        <v>9.2</v>
      </c>
      <c r="G99" s="8" t="n">
        <f aca="false">G98+D99</f>
        <v>1030.5</v>
      </c>
      <c r="H99" s="8" t="n">
        <f aca="false">H98+D99</f>
        <v>96.1</v>
      </c>
      <c r="J99" s="8" t="n">
        <v>0.1</v>
      </c>
      <c r="K99" s="8" t="n">
        <f aca="false">K98+J99</f>
        <v>305</v>
      </c>
      <c r="L99" s="8" t="n">
        <v>0.8</v>
      </c>
      <c r="M99" s="8" t="n">
        <f aca="false">M98+L99</f>
        <v>132.1</v>
      </c>
      <c r="N99" s="14" t="n">
        <f aca="false">J99-L99</f>
        <v>-0.7</v>
      </c>
      <c r="O99" s="8" t="n">
        <v>145.3</v>
      </c>
      <c r="P99" s="8" t="n">
        <v>94</v>
      </c>
      <c r="Q99" s="8" t="n">
        <v>1</v>
      </c>
      <c r="R99" s="15" t="n">
        <f aca="false">Q99*L99</f>
        <v>0.8</v>
      </c>
      <c r="S99" s="15" t="n">
        <f aca="false">J99-R99</f>
        <v>-0.7</v>
      </c>
      <c r="T99" s="15" t="n">
        <f aca="false">MIN(153.6,(T98+S99))</f>
        <v>145.368880597015</v>
      </c>
      <c r="V99" s="16" t="n">
        <v>272.2</v>
      </c>
      <c r="W99" s="8" t="n">
        <f aca="false">V99/D99</f>
        <v>38.3380281690141</v>
      </c>
      <c r="X99" s="8" t="n">
        <f aca="false">X98+V99</f>
        <v>53646.9</v>
      </c>
      <c r="Y99" s="8" t="n">
        <f aca="false">Y98+V99</f>
        <v>4480.1</v>
      </c>
      <c r="AA99" s="20" t="n">
        <v>8.16544837746624</v>
      </c>
    </row>
    <row r="100" s="8" customFormat="true" ht="15" hidden="false" customHeight="false" outlineLevel="0" collapsed="false">
      <c r="A100" s="28"/>
      <c r="B100" s="10"/>
      <c r="C100" s="11" t="n">
        <v>41616</v>
      </c>
      <c r="D100" s="8" t="n">
        <v>8.1</v>
      </c>
      <c r="E100" s="8" t="n">
        <v>7.1</v>
      </c>
      <c r="F100" s="8" t="n">
        <v>9.9</v>
      </c>
      <c r="G100" s="8" t="n">
        <f aca="false">G99+D100</f>
        <v>1038.6</v>
      </c>
      <c r="H100" s="8" t="n">
        <f aca="false">H99+D100</f>
        <v>104.2</v>
      </c>
      <c r="J100" s="8" t="n">
        <v>0.1</v>
      </c>
      <c r="K100" s="8" t="n">
        <f aca="false">K99+J100</f>
        <v>305.1</v>
      </c>
      <c r="L100" s="8" t="n">
        <v>1.2</v>
      </c>
      <c r="M100" s="8" t="n">
        <f aca="false">M99+L100</f>
        <v>133.3</v>
      </c>
      <c r="N100" s="14" t="n">
        <f aca="false">J100-L100</f>
        <v>-1.1</v>
      </c>
      <c r="O100" s="8" t="n">
        <v>144.2</v>
      </c>
      <c r="P100" s="8" t="n">
        <v>95</v>
      </c>
      <c r="Q100" s="8" t="n">
        <v>1</v>
      </c>
      <c r="R100" s="15" t="n">
        <f aca="false">Q100*L100</f>
        <v>1.2</v>
      </c>
      <c r="S100" s="15" t="n">
        <f aca="false">J100-R100</f>
        <v>-1.1</v>
      </c>
      <c r="T100" s="15" t="n">
        <f aca="false">MIN(153.6,(T99+S100))</f>
        <v>144.268880597015</v>
      </c>
      <c r="V100" s="16" t="n">
        <v>295.6</v>
      </c>
      <c r="W100" s="8" t="n">
        <f aca="false">V100/D100</f>
        <v>36.4938271604938</v>
      </c>
      <c r="X100" s="8" t="n">
        <f aca="false">X99+V100</f>
        <v>53942.5</v>
      </c>
      <c r="Y100" s="8" t="n">
        <f aca="false">Y99+V100</f>
        <v>4775.7</v>
      </c>
      <c r="AA100" s="20" t="n">
        <v>8.14057414579814</v>
      </c>
    </row>
    <row r="101" s="8" customFormat="true" ht="15" hidden="false" customHeight="false" outlineLevel="0" collapsed="false">
      <c r="A101" s="28"/>
      <c r="B101" s="10"/>
      <c r="C101" s="11" t="n">
        <v>41617</v>
      </c>
      <c r="D101" s="8" t="n">
        <v>5.4</v>
      </c>
      <c r="E101" s="18" t="n">
        <v>4.5</v>
      </c>
      <c r="F101" s="8" t="n">
        <v>9.2</v>
      </c>
      <c r="G101" s="8" t="n">
        <f aca="false">G100+D101</f>
        <v>1044</v>
      </c>
      <c r="H101" s="8" t="n">
        <f aca="false">H100+D101</f>
        <v>109.6</v>
      </c>
      <c r="J101" s="8" t="n">
        <v>0</v>
      </c>
      <c r="K101" s="8" t="n">
        <f aca="false">K100+J101</f>
        <v>305.1</v>
      </c>
      <c r="L101" s="8" t="n">
        <v>1</v>
      </c>
      <c r="M101" s="8" t="n">
        <f aca="false">M100+L101</f>
        <v>134.3</v>
      </c>
      <c r="N101" s="14" t="n">
        <f aca="false">J101-L101</f>
        <v>-1</v>
      </c>
      <c r="O101" s="8" t="n">
        <v>143.2</v>
      </c>
      <c r="P101" s="8" t="n">
        <v>96</v>
      </c>
      <c r="Q101" s="8" t="n">
        <v>1</v>
      </c>
      <c r="R101" s="15" t="n">
        <f aca="false">Q101*L101</f>
        <v>1</v>
      </c>
      <c r="S101" s="15" t="n">
        <f aca="false">J101-R101</f>
        <v>-1</v>
      </c>
      <c r="T101" s="15" t="n">
        <f aca="false">MIN(153.6,(T100+S101))</f>
        <v>143.268880597015</v>
      </c>
      <c r="V101" s="16" t="n">
        <v>387.9</v>
      </c>
      <c r="W101" s="8" t="n">
        <f aca="false">V101/D101</f>
        <v>71.8333333333333</v>
      </c>
      <c r="X101" s="8" t="n">
        <f aca="false">X100+V101</f>
        <v>54330.4</v>
      </c>
      <c r="Y101" s="8" t="n">
        <f aca="false">Y100+V101</f>
        <v>5163.6</v>
      </c>
      <c r="AA101" s="20" t="n">
        <v>8.11721931303619</v>
      </c>
    </row>
    <row r="102" s="8" customFormat="true" ht="15" hidden="false" customHeight="false" outlineLevel="0" collapsed="false">
      <c r="A102" s="28"/>
      <c r="B102" s="19"/>
      <c r="C102" s="11" t="n">
        <v>41618</v>
      </c>
      <c r="D102" s="18" t="n">
        <v>2.1</v>
      </c>
      <c r="E102" s="30" t="n">
        <v>-0.9</v>
      </c>
      <c r="F102" s="8" t="n">
        <v>6.3</v>
      </c>
      <c r="G102" s="8" t="n">
        <f aca="false">G101+D102</f>
        <v>1046.1</v>
      </c>
      <c r="H102" s="8" t="n">
        <f aca="false">H101+D102</f>
        <v>111.7</v>
      </c>
      <c r="J102" s="8" t="n">
        <v>0.3</v>
      </c>
      <c r="K102" s="8" t="n">
        <f aca="false">K101+J102</f>
        <v>305.4</v>
      </c>
      <c r="L102" s="8" t="n">
        <v>0.6</v>
      </c>
      <c r="M102" s="8" t="n">
        <f aca="false">M101+L102</f>
        <v>134.9</v>
      </c>
      <c r="N102" s="14" t="n">
        <f aca="false">J102-L102</f>
        <v>-0.3</v>
      </c>
      <c r="O102" s="8" t="n">
        <v>142.9</v>
      </c>
      <c r="P102" s="8" t="n">
        <v>97</v>
      </c>
      <c r="Q102" s="8" t="n">
        <v>1</v>
      </c>
      <c r="R102" s="15" t="n">
        <f aca="false">Q102*L102</f>
        <v>0.6</v>
      </c>
      <c r="S102" s="15" t="n">
        <f aca="false">J102-R102</f>
        <v>-0.3</v>
      </c>
      <c r="T102" s="15" t="n">
        <f aca="false">MIN(153.6,(T101+S102))</f>
        <v>142.968880597015</v>
      </c>
      <c r="V102" s="16" t="n">
        <v>515.9</v>
      </c>
      <c r="W102" s="8" t="n">
        <f aca="false">V102/D102</f>
        <v>245.666666666667</v>
      </c>
      <c r="X102" s="8" t="n">
        <f aca="false">X101+V102</f>
        <v>54846.3</v>
      </c>
      <c r="Y102" s="8" t="n">
        <f aca="false">Y101+V102</f>
        <v>5679.5</v>
      </c>
      <c r="AA102" s="20" t="n">
        <v>8.095411144313</v>
      </c>
    </row>
    <row r="103" s="8" customFormat="true" ht="15" hidden="false" customHeight="false" outlineLevel="0" collapsed="false">
      <c r="A103" s="28"/>
      <c r="B103" s="19"/>
      <c r="C103" s="11" t="n">
        <v>41619</v>
      </c>
      <c r="D103" s="18" t="n">
        <v>1.6</v>
      </c>
      <c r="E103" s="30" t="n">
        <v>-2</v>
      </c>
      <c r="F103" s="8" t="n">
        <v>5.7</v>
      </c>
      <c r="G103" s="8" t="n">
        <f aca="false">G102+D103</f>
        <v>1047.7</v>
      </c>
      <c r="H103" s="8" t="n">
        <f aca="false">H102+D103</f>
        <v>113.3</v>
      </c>
      <c r="J103" s="8" t="n">
        <v>0.1</v>
      </c>
      <c r="K103" s="8" t="n">
        <f aca="false">K102+J103</f>
        <v>305.5</v>
      </c>
      <c r="L103" s="8" t="n">
        <v>0.7</v>
      </c>
      <c r="M103" s="8" t="n">
        <f aca="false">M102+L103</f>
        <v>135.6</v>
      </c>
      <c r="N103" s="14" t="n">
        <f aca="false">J103-L103</f>
        <v>-0.6</v>
      </c>
      <c r="O103" s="8" t="n">
        <v>142.3</v>
      </c>
      <c r="P103" s="8" t="n">
        <v>98</v>
      </c>
      <c r="Q103" s="8" t="n">
        <v>1</v>
      </c>
      <c r="R103" s="15" t="n">
        <f aca="false">Q103*L103</f>
        <v>0.7</v>
      </c>
      <c r="S103" s="15" t="n">
        <f aca="false">J103-R103</f>
        <v>-0.6</v>
      </c>
      <c r="T103" s="15" t="n">
        <f aca="false">MIN(153.6,(T102+S103))</f>
        <v>142.368880597015</v>
      </c>
      <c r="V103" s="16" t="n">
        <v>550.9</v>
      </c>
      <c r="W103" s="8" t="n">
        <f aca="false">V103/D103</f>
        <v>344.3125</v>
      </c>
      <c r="X103" s="8" t="n">
        <f aca="false">X102+V103</f>
        <v>55397.2</v>
      </c>
      <c r="Y103" s="8" t="n">
        <f aca="false">Y102+V103</f>
        <v>6230.4</v>
      </c>
      <c r="AA103" s="20" t="n">
        <v>8.07517553202544</v>
      </c>
    </row>
    <row r="104" s="8" customFormat="true" ht="15" hidden="false" customHeight="false" outlineLevel="0" collapsed="false">
      <c r="A104" s="28"/>
      <c r="B104" s="19"/>
      <c r="C104" s="11" t="n">
        <v>41620</v>
      </c>
      <c r="D104" s="18" t="n">
        <v>0.2</v>
      </c>
      <c r="E104" s="30" t="n">
        <v>-0.7</v>
      </c>
      <c r="F104" s="18" t="n">
        <v>0.9</v>
      </c>
      <c r="G104" s="8" t="n">
        <f aca="false">G103+D104</f>
        <v>1047.9</v>
      </c>
      <c r="H104" s="8" t="n">
        <f aca="false">H103+D104</f>
        <v>113.5</v>
      </c>
      <c r="J104" s="8" t="n">
        <v>0.1</v>
      </c>
      <c r="K104" s="8" t="n">
        <f aca="false">K103+J104</f>
        <v>305.6</v>
      </c>
      <c r="L104" s="8" t="n">
        <v>0.3</v>
      </c>
      <c r="M104" s="8" t="n">
        <f aca="false">M103+L104</f>
        <v>135.9</v>
      </c>
      <c r="N104" s="14" t="n">
        <f aca="false">J104-L104</f>
        <v>-0.2</v>
      </c>
      <c r="O104" s="8" t="n">
        <v>142.1</v>
      </c>
      <c r="P104" s="8" t="n">
        <v>99</v>
      </c>
      <c r="Q104" s="8" t="n">
        <v>1</v>
      </c>
      <c r="R104" s="15" t="n">
        <f aca="false">Q104*L104</f>
        <v>0.3</v>
      </c>
      <c r="S104" s="15" t="n">
        <f aca="false">J104-R104</f>
        <v>-0.2</v>
      </c>
      <c r="T104" s="15" t="n">
        <f aca="false">MIN(153.6,(T103+S104))</f>
        <v>142.168880597015</v>
      </c>
      <c r="V104" s="16" t="n">
        <v>218.4</v>
      </c>
      <c r="W104" s="8" t="n">
        <f aca="false">V104/D104</f>
        <v>1092</v>
      </c>
      <c r="X104" s="8" t="n">
        <f aca="false">X103+V104</f>
        <v>55615.6</v>
      </c>
      <c r="Y104" s="8" t="n">
        <f aca="false">Y103+V104</f>
        <v>6448.8</v>
      </c>
      <c r="AA104" s="20" t="n">
        <v>8.05653689067263</v>
      </c>
    </row>
    <row r="105" s="8" customFormat="true" ht="15" hidden="false" customHeight="false" outlineLevel="0" collapsed="false">
      <c r="A105" s="28"/>
      <c r="B105" s="19"/>
      <c r="C105" s="11" t="n">
        <v>41621</v>
      </c>
      <c r="D105" s="18" t="n">
        <v>2.5</v>
      </c>
      <c r="E105" s="30" t="n">
        <v>-0.3</v>
      </c>
      <c r="F105" s="18" t="n">
        <v>4.5</v>
      </c>
      <c r="G105" s="8" t="n">
        <f aca="false">G104+D105</f>
        <v>1050.4</v>
      </c>
      <c r="H105" s="8" t="n">
        <f aca="false">H104+D105</f>
        <v>116</v>
      </c>
      <c r="J105" s="8" t="n">
        <v>4.2</v>
      </c>
      <c r="K105" s="8" t="n">
        <f aca="false">K104+J105</f>
        <v>309.8</v>
      </c>
      <c r="L105" s="8" t="n">
        <v>0.3</v>
      </c>
      <c r="M105" s="8" t="n">
        <f aca="false">M104+L105</f>
        <v>136.2</v>
      </c>
      <c r="N105" s="8" t="n">
        <f aca="false">J105-L105</f>
        <v>3.9</v>
      </c>
      <c r="O105" s="8" t="n">
        <v>146</v>
      </c>
      <c r="P105" s="8" t="n">
        <v>100</v>
      </c>
      <c r="Q105" s="8" t="n">
        <v>1</v>
      </c>
      <c r="R105" s="15" t="n">
        <f aca="false">Q105*L105</f>
        <v>0.3</v>
      </c>
      <c r="S105" s="15" t="n">
        <f aca="false">J105-R105</f>
        <v>3.9</v>
      </c>
      <c r="T105" s="15" t="n">
        <f aca="false">MIN(153.6,(T104+S105))</f>
        <v>146.068880597015</v>
      </c>
      <c r="V105" s="16" t="n">
        <v>277.4</v>
      </c>
      <c r="W105" s="8" t="n">
        <f aca="false">V105/D105</f>
        <v>110.96</v>
      </c>
      <c r="X105" s="8" t="n">
        <f aca="false">X104+V105</f>
        <v>55893</v>
      </c>
      <c r="Y105" s="8" t="n">
        <f aca="false">Y104+V105</f>
        <v>6726.2</v>
      </c>
      <c r="AA105" s="20" t="n">
        <v>8.03951805541864</v>
      </c>
    </row>
    <row r="106" s="33" customFormat="true" ht="15" hidden="false" customHeight="false" outlineLevel="0" collapsed="false">
      <c r="A106" s="28"/>
      <c r="B106" s="31"/>
      <c r="C106" s="32" t="n">
        <v>41622</v>
      </c>
      <c r="D106" s="33" t="n">
        <v>6.5</v>
      </c>
      <c r="E106" s="33" t="n">
        <v>3.5</v>
      </c>
      <c r="F106" s="33" t="n">
        <v>9.1</v>
      </c>
      <c r="G106" s="33" t="n">
        <f aca="false">G105+D106</f>
        <v>1056.9</v>
      </c>
      <c r="H106" s="23" t="n">
        <f aca="false">H105+D106</f>
        <v>122.5</v>
      </c>
      <c r="J106" s="33" t="n">
        <v>0.2</v>
      </c>
      <c r="K106" s="33" t="n">
        <f aca="false">K105+J106</f>
        <v>310</v>
      </c>
      <c r="L106" s="33" t="n">
        <v>0.7</v>
      </c>
      <c r="M106" s="33" t="n">
        <f aca="false">M105+L106</f>
        <v>136.9</v>
      </c>
      <c r="N106" s="33" t="n">
        <f aca="false">J106-L106</f>
        <v>-0.5</v>
      </c>
      <c r="O106" s="23" t="n">
        <v>145.5</v>
      </c>
      <c r="P106" s="23" t="n">
        <v>101</v>
      </c>
      <c r="Q106" s="23" t="n">
        <v>1</v>
      </c>
      <c r="R106" s="25" t="n">
        <f aca="false">Q106*L106</f>
        <v>0.7</v>
      </c>
      <c r="S106" s="25" t="n">
        <f aca="false">J106-R106</f>
        <v>-0.5</v>
      </c>
      <c r="T106" s="26" t="n">
        <f aca="false">MIN(153.6,(T105+S106))</f>
        <v>145.568880597015</v>
      </c>
      <c r="V106" s="34" t="n">
        <v>490.3</v>
      </c>
      <c r="W106" s="33" t="n">
        <f aca="false">V106/D106</f>
        <v>75.4307692307692</v>
      </c>
      <c r="X106" s="33" t="n">
        <f aca="false">X105+V106</f>
        <v>56383.3</v>
      </c>
      <c r="Y106" s="24" t="n">
        <f aca="false">Y105+V106</f>
        <v>7216.5</v>
      </c>
      <c r="AA106" s="27" t="n">
        <v>8.02414018521425</v>
      </c>
    </row>
    <row r="107" s="8" customFormat="true" ht="15" hidden="false" customHeight="true" outlineLevel="0" collapsed="false">
      <c r="A107" s="35" t="s">
        <v>45</v>
      </c>
      <c r="B107" s="10"/>
      <c r="C107" s="11" t="n">
        <v>41623</v>
      </c>
      <c r="D107" s="8" t="n">
        <v>7.7</v>
      </c>
      <c r="E107" s="8" t="n">
        <v>6.5</v>
      </c>
      <c r="F107" s="8" t="n">
        <v>8.7</v>
      </c>
      <c r="G107" s="8" t="n">
        <f aca="false">G106+D107</f>
        <v>1064.6</v>
      </c>
      <c r="H107" s="8" t="n">
        <v>7.7</v>
      </c>
      <c r="I107" s="36" t="s">
        <v>27</v>
      </c>
      <c r="J107" s="8" t="n">
        <v>0</v>
      </c>
      <c r="K107" s="8" t="n">
        <f aca="false">K106+J107</f>
        <v>310</v>
      </c>
      <c r="L107" s="8" t="n">
        <v>1.2</v>
      </c>
      <c r="M107" s="8" t="n">
        <f aca="false">M106+L107</f>
        <v>138.1</v>
      </c>
      <c r="N107" s="14" t="n">
        <f aca="false">J107-L107</f>
        <v>-1.2</v>
      </c>
      <c r="O107" s="8" t="n">
        <v>144.3</v>
      </c>
      <c r="P107" s="8" t="n">
        <v>102</v>
      </c>
      <c r="Q107" s="17" t="n">
        <f aca="false">1+((P107-101)/107)*(1.15-1)</f>
        <v>1.00140186915888</v>
      </c>
      <c r="R107" s="15" t="n">
        <f aca="false">Q107*L107</f>
        <v>1.20168224299065</v>
      </c>
      <c r="S107" s="15" t="n">
        <f aca="false">J107-R107</f>
        <v>-1.20168224299065</v>
      </c>
      <c r="T107" s="15" t="n">
        <f aca="false">MIN(153.6,(T106+S107))</f>
        <v>144.367198354024</v>
      </c>
      <c r="U107" s="36" t="s">
        <v>28</v>
      </c>
      <c r="V107" s="16" t="n">
        <v>159</v>
      </c>
      <c r="W107" s="8" t="n">
        <f aca="false">V107/D107</f>
        <v>20.6493506493506</v>
      </c>
      <c r="X107" s="8" t="n">
        <f aca="false">X106+V107</f>
        <v>56542.3</v>
      </c>
      <c r="Y107" s="8" t="n">
        <v>159</v>
      </c>
      <c r="Z107" s="36" t="s">
        <v>29</v>
      </c>
      <c r="AA107" s="20" t="n">
        <v>8.01042267130104</v>
      </c>
    </row>
    <row r="108" s="8" customFormat="true" ht="15" hidden="false" customHeight="false" outlineLevel="0" collapsed="false">
      <c r="A108" s="35"/>
      <c r="B108" s="10"/>
      <c r="C108" s="11" t="n">
        <v>41624</v>
      </c>
      <c r="D108" s="8" t="n">
        <v>9.2</v>
      </c>
      <c r="E108" s="8" t="n">
        <v>7.3</v>
      </c>
      <c r="F108" s="8" t="n">
        <v>10.8</v>
      </c>
      <c r="G108" s="8" t="n">
        <f aca="false">G107+D108</f>
        <v>1073.8</v>
      </c>
      <c r="H108" s="8" t="n">
        <f aca="false">H107+D108</f>
        <v>16.9</v>
      </c>
      <c r="I108" s="8" t="n">
        <f aca="false">MIN(E107:E213)</f>
        <v>-1.7</v>
      </c>
      <c r="J108" s="8" t="n">
        <v>0.1</v>
      </c>
      <c r="K108" s="8" t="n">
        <f aca="false">K107+J108</f>
        <v>310.1</v>
      </c>
      <c r="L108" s="8" t="n">
        <v>1.8</v>
      </c>
      <c r="M108" s="8" t="n">
        <f aca="false">M107+L108</f>
        <v>139.9</v>
      </c>
      <c r="N108" s="14" t="n">
        <f aca="false">J108-L108</f>
        <v>-1.7</v>
      </c>
      <c r="O108" s="8" t="n">
        <v>142.6</v>
      </c>
      <c r="P108" s="8" t="n">
        <v>103</v>
      </c>
      <c r="Q108" s="17" t="n">
        <f aca="false">1+((P108-101)/107)*(1.15-1)</f>
        <v>1.00280373831776</v>
      </c>
      <c r="R108" s="15" t="n">
        <f aca="false">Q108*L108</f>
        <v>1.80504672897196</v>
      </c>
      <c r="S108" s="15" t="n">
        <f aca="false">J108-R108</f>
        <v>-1.70504672897196</v>
      </c>
      <c r="T108" s="15" t="n">
        <f aca="false">MIN(153.6,(T107+S108))</f>
        <v>142.662151625052</v>
      </c>
      <c r="U108" s="8" t="n">
        <v>60</v>
      </c>
      <c r="V108" s="16" t="n">
        <v>306.8</v>
      </c>
      <c r="W108" s="8" t="n">
        <f aca="false">V108/D108</f>
        <v>33.3478260869565</v>
      </c>
      <c r="X108" s="8" t="n">
        <f aca="false">X107+V108</f>
        <v>56849.1</v>
      </c>
      <c r="Y108" s="8" t="n">
        <f aca="false">Y107+V108</f>
        <v>465.8</v>
      </c>
      <c r="Z108" s="8" t="n">
        <v>59012.4</v>
      </c>
      <c r="AA108" s="20" t="n">
        <v>7.99838305189741</v>
      </c>
    </row>
    <row r="109" s="8" customFormat="true" ht="15" hidden="false" customHeight="false" outlineLevel="0" collapsed="false">
      <c r="A109" s="35"/>
      <c r="B109" s="10"/>
      <c r="C109" s="11" t="n">
        <v>41625</v>
      </c>
      <c r="D109" s="8" t="n">
        <v>7.1</v>
      </c>
      <c r="E109" s="8" t="n">
        <v>6.2</v>
      </c>
      <c r="F109" s="8" t="n">
        <v>7.6</v>
      </c>
      <c r="G109" s="8" t="n">
        <f aca="false">G108+D109</f>
        <v>1080.9</v>
      </c>
      <c r="H109" s="8" t="n">
        <f aca="false">H108+D109</f>
        <v>24</v>
      </c>
      <c r="I109" s="36" t="s">
        <v>30</v>
      </c>
      <c r="J109" s="8" t="n">
        <v>0</v>
      </c>
      <c r="K109" s="8" t="n">
        <f aca="false">K108+J109</f>
        <v>310.1</v>
      </c>
      <c r="L109" s="8" t="n">
        <v>0.9</v>
      </c>
      <c r="M109" s="8" t="n">
        <f aca="false">M108+L109</f>
        <v>140.8</v>
      </c>
      <c r="N109" s="14" t="n">
        <f aca="false">J109-L109</f>
        <v>-0.9</v>
      </c>
      <c r="O109" s="8" t="n">
        <v>141.7</v>
      </c>
      <c r="P109" s="8" t="n">
        <v>104</v>
      </c>
      <c r="Q109" s="17" t="n">
        <f aca="false">1+((P109-101)/107)*(1.15-1)</f>
        <v>1.00420560747664</v>
      </c>
      <c r="R109" s="15" t="n">
        <f aca="false">Q109*L109</f>
        <v>0.903785046728972</v>
      </c>
      <c r="S109" s="15" t="n">
        <f aca="false">J109-R109</f>
        <v>-0.903785046728972</v>
      </c>
      <c r="T109" s="15" t="n">
        <f aca="false">MIN(153.6,(T108+S109))</f>
        <v>141.758366578323</v>
      </c>
      <c r="U109" s="36" t="s">
        <v>31</v>
      </c>
      <c r="V109" s="16" t="n">
        <v>188.7</v>
      </c>
      <c r="W109" s="8" t="n">
        <f aca="false">V109/D109</f>
        <v>26.5774647887324</v>
      </c>
      <c r="X109" s="8" t="n">
        <f aca="false">X108+V109</f>
        <v>57037.8</v>
      </c>
      <c r="Y109" s="8" t="n">
        <f aca="false">Y108+V109</f>
        <v>654.5</v>
      </c>
      <c r="Z109" s="36" t="s">
        <v>32</v>
      </c>
      <c r="AA109" s="20" t="n">
        <v>7.98803693383211</v>
      </c>
    </row>
    <row r="110" s="8" customFormat="true" ht="15" hidden="false" customHeight="false" outlineLevel="0" collapsed="false">
      <c r="A110" s="35"/>
      <c r="B110" s="10"/>
      <c r="C110" s="11" t="n">
        <v>41626</v>
      </c>
      <c r="D110" s="8" t="n">
        <v>8</v>
      </c>
      <c r="E110" s="8" t="n">
        <v>6.4</v>
      </c>
      <c r="F110" s="8" t="n">
        <v>9.3</v>
      </c>
      <c r="G110" s="8" t="n">
        <f aca="false">G109+D110</f>
        <v>1088.9</v>
      </c>
      <c r="H110" s="8" t="n">
        <f aca="false">H109+D110</f>
        <v>32</v>
      </c>
      <c r="I110" s="8" t="n">
        <f aca="false">MAX(F107:F213)</f>
        <v>20.5</v>
      </c>
      <c r="J110" s="8" t="n">
        <v>6.5</v>
      </c>
      <c r="K110" s="8" t="n">
        <f aca="false">K109+J110</f>
        <v>316.6</v>
      </c>
      <c r="L110" s="8" t="n">
        <v>0.9</v>
      </c>
      <c r="M110" s="8" t="n">
        <f aca="false">M109+L110</f>
        <v>141.7</v>
      </c>
      <c r="N110" s="8" t="n">
        <f aca="false">J110-L110</f>
        <v>5.6</v>
      </c>
      <c r="O110" s="8" t="n">
        <v>147.3</v>
      </c>
      <c r="P110" s="8" t="n">
        <v>105</v>
      </c>
      <c r="Q110" s="17" t="n">
        <f aca="false">1+((P110-101)/107)*(1.15-1)</f>
        <v>1.00560747663551</v>
      </c>
      <c r="R110" s="15" t="n">
        <f aca="false">Q110*L110</f>
        <v>0.905046728971963</v>
      </c>
      <c r="S110" s="15" t="n">
        <f aca="false">J110-R110</f>
        <v>5.59495327102804</v>
      </c>
      <c r="T110" s="15" t="n">
        <f aca="false">MIN(153.6,(T109+S110))</f>
        <v>147.353319849351</v>
      </c>
      <c r="U110" s="8" t="n">
        <v>0</v>
      </c>
      <c r="V110" s="16" t="n">
        <v>306.8</v>
      </c>
      <c r="W110" s="8" t="n">
        <f aca="false">V110/D110</f>
        <v>38.35</v>
      </c>
      <c r="X110" s="8" t="n">
        <f aca="false">X109+V110</f>
        <v>57344.6</v>
      </c>
      <c r="Y110" s="8" t="n">
        <f aca="false">Y109+V110</f>
        <v>961.3</v>
      </c>
      <c r="Z110" s="17" t="n">
        <f aca="false">(Z108/100)/I120</f>
        <v>0.77211042784247</v>
      </c>
      <c r="AA110" s="20" t="n">
        <v>7.97939792184437</v>
      </c>
    </row>
    <row r="111" s="8" customFormat="true" ht="15" hidden="false" customHeight="false" outlineLevel="0" collapsed="false">
      <c r="A111" s="35"/>
      <c r="B111" s="10"/>
      <c r="C111" s="11" t="n">
        <v>41627</v>
      </c>
      <c r="D111" s="8" t="n">
        <v>7.4</v>
      </c>
      <c r="E111" s="8" t="n">
        <v>5.2</v>
      </c>
      <c r="F111" s="8" t="n">
        <v>9.4</v>
      </c>
      <c r="G111" s="8" t="n">
        <f aca="false">G110+D111</f>
        <v>1096.3</v>
      </c>
      <c r="H111" s="8" t="n">
        <f aca="false">H110+D111</f>
        <v>39.4</v>
      </c>
      <c r="I111" s="36" t="s">
        <v>33</v>
      </c>
      <c r="J111" s="8" t="n">
        <v>0.7</v>
      </c>
      <c r="K111" s="8" t="n">
        <f aca="false">K110+J111</f>
        <v>317.3</v>
      </c>
      <c r="L111" s="8" t="n">
        <v>0.8</v>
      </c>
      <c r="M111" s="8" t="n">
        <f aca="false">M110+L111</f>
        <v>142.5</v>
      </c>
      <c r="N111" s="14" t="n">
        <f aca="false">J111-L111</f>
        <v>-0.1</v>
      </c>
      <c r="O111" s="8" t="n">
        <v>147.2</v>
      </c>
      <c r="P111" s="8" t="n">
        <v>106</v>
      </c>
      <c r="Q111" s="17" t="n">
        <f aca="false">1+((P111-101)/107)*(1.15-1)</f>
        <v>1.00700934579439</v>
      </c>
      <c r="R111" s="15" t="n">
        <f aca="false">Q111*L111</f>
        <v>0.805607476635514</v>
      </c>
      <c r="S111" s="15" t="n">
        <f aca="false">J111-R111</f>
        <v>-0.105607476635514</v>
      </c>
      <c r="T111" s="15" t="n">
        <f aca="false">MIN(153.6,(T110+S111))</f>
        <v>147.247712372716</v>
      </c>
      <c r="U111" s="36" t="s">
        <v>34</v>
      </c>
      <c r="V111" s="16" t="n">
        <v>392.6</v>
      </c>
      <c r="W111" s="8" t="n">
        <f aca="false">V111/D111</f>
        <v>53.0540540540541</v>
      </c>
      <c r="X111" s="8" t="n">
        <f aca="false">X110+V111</f>
        <v>57737.2</v>
      </c>
      <c r="Y111" s="8" t="n">
        <f aca="false">Y110+V111</f>
        <v>1353.9</v>
      </c>
      <c r="Z111" s="36" t="s">
        <v>35</v>
      </c>
      <c r="AA111" s="20" t="n">
        <v>7.97247755621257</v>
      </c>
    </row>
    <row r="112" s="8" customFormat="true" ht="15" hidden="false" customHeight="false" outlineLevel="0" collapsed="false">
      <c r="A112" s="35"/>
      <c r="B112" s="10"/>
      <c r="C112" s="11" t="n">
        <v>41628</v>
      </c>
      <c r="D112" s="8" t="n">
        <v>5.6</v>
      </c>
      <c r="E112" s="18" t="n">
        <v>2.9</v>
      </c>
      <c r="F112" s="8" t="n">
        <v>8.3</v>
      </c>
      <c r="G112" s="8" t="n">
        <f aca="false">G111+D112</f>
        <v>1101.9</v>
      </c>
      <c r="H112" s="8" t="n">
        <f aca="false">H111+D112</f>
        <v>45</v>
      </c>
      <c r="I112" s="15" t="n">
        <f aca="false">AVERAGE(D107:D213)</f>
        <v>7.14299065420561</v>
      </c>
      <c r="J112" s="8" t="n">
        <v>0</v>
      </c>
      <c r="K112" s="8" t="n">
        <f aca="false">K111+J112</f>
        <v>317.3</v>
      </c>
      <c r="L112" s="8" t="n">
        <v>0.8</v>
      </c>
      <c r="M112" s="8" t="n">
        <f aca="false">M111+L112</f>
        <v>143.3</v>
      </c>
      <c r="N112" s="14" t="n">
        <f aca="false">J112-L112</f>
        <v>-0.8</v>
      </c>
      <c r="O112" s="8" t="n">
        <v>146.4</v>
      </c>
      <c r="P112" s="8" t="n">
        <v>107</v>
      </c>
      <c r="Q112" s="17" t="n">
        <f aca="false">1+((P112-101)/107)*(1.15-1)</f>
        <v>1.00841121495327</v>
      </c>
      <c r="R112" s="15" t="n">
        <f aca="false">Q112*L112</f>
        <v>0.806728971962617</v>
      </c>
      <c r="S112" s="15" t="n">
        <f aca="false">J112-R112</f>
        <v>-0.806728971962617</v>
      </c>
      <c r="T112" s="15" t="n">
        <f aca="false">MIN(153.6,(T111+S112))</f>
        <v>146.440983400753</v>
      </c>
      <c r="U112" s="8" t="n">
        <v>0</v>
      </c>
      <c r="V112" s="16" t="n">
        <v>457</v>
      </c>
      <c r="W112" s="8" t="n">
        <f aca="false">V112/D112</f>
        <v>81.6071428571429</v>
      </c>
      <c r="X112" s="8" t="n">
        <f aca="false">X111+V112</f>
        <v>58194.2</v>
      </c>
      <c r="Y112" s="8" t="n">
        <f aca="false">Y111+V112</f>
        <v>1810.9</v>
      </c>
      <c r="Z112" s="8" t="n">
        <v>83</v>
      </c>
      <c r="AA112" s="20" t="n">
        <v>7.96728525930546</v>
      </c>
    </row>
    <row r="113" s="8" customFormat="true" ht="15" hidden="false" customHeight="false" outlineLevel="0" collapsed="false">
      <c r="A113" s="35"/>
      <c r="B113" s="10"/>
      <c r="C113" s="11" t="n">
        <v>41629</v>
      </c>
      <c r="D113" s="8" t="n">
        <v>7.4</v>
      </c>
      <c r="E113" s="8" t="n">
        <v>5.9</v>
      </c>
      <c r="F113" s="8" t="n">
        <v>8.1</v>
      </c>
      <c r="G113" s="8" t="n">
        <f aca="false">G112+D113</f>
        <v>1109.3</v>
      </c>
      <c r="H113" s="8" t="n">
        <f aca="false">H112+D113</f>
        <v>52.4</v>
      </c>
      <c r="I113" s="36" t="s">
        <v>36</v>
      </c>
      <c r="J113" s="8" t="n">
        <v>1.2</v>
      </c>
      <c r="K113" s="8" t="n">
        <f aca="false">K112+J113</f>
        <v>318.5</v>
      </c>
      <c r="L113" s="8" t="n">
        <v>1.2</v>
      </c>
      <c r="M113" s="8" t="n">
        <f aca="false">M112+L113</f>
        <v>144.5</v>
      </c>
      <c r="N113" s="8" t="n">
        <f aca="false">J113-L113</f>
        <v>0</v>
      </c>
      <c r="O113" s="8" t="n">
        <v>146.4</v>
      </c>
      <c r="P113" s="8" t="n">
        <v>108</v>
      </c>
      <c r="Q113" s="17" t="n">
        <f aca="false">1+((P113-101)/107)*(1.15-1)</f>
        <v>1.00981308411215</v>
      </c>
      <c r="R113" s="15" t="n">
        <f aca="false">Q113*L113</f>
        <v>1.21177570093458</v>
      </c>
      <c r="S113" s="15" t="n">
        <f aca="false">J113-R113</f>
        <v>-0.0117757009345794</v>
      </c>
      <c r="T113" s="15" t="n">
        <f aca="false">MIN(153.6,(T112+S113))</f>
        <v>146.429207699819</v>
      </c>
      <c r="U113" s="36" t="s">
        <v>37</v>
      </c>
      <c r="V113" s="16" t="n">
        <v>132.1</v>
      </c>
      <c r="W113" s="8" t="n">
        <f aca="false">V113/D113</f>
        <v>17.8513513513514</v>
      </c>
      <c r="X113" s="8" t="n">
        <f aca="false">X112+V113</f>
        <v>58326.3</v>
      </c>
      <c r="Y113" s="8" t="n">
        <f aca="false">Y112+V113</f>
        <v>1943</v>
      </c>
      <c r="AA113" s="20" t="n">
        <v>7.9638282915725</v>
      </c>
    </row>
    <row r="114" s="8" customFormat="true" ht="15" hidden="false" customHeight="false" outlineLevel="0" collapsed="false">
      <c r="A114" s="35"/>
      <c r="B114" s="10"/>
      <c r="C114" s="11" t="n">
        <v>41630</v>
      </c>
      <c r="D114" s="8" t="n">
        <v>8.3</v>
      </c>
      <c r="E114" s="8" t="n">
        <v>7.2</v>
      </c>
      <c r="F114" s="8" t="n">
        <v>10.6</v>
      </c>
      <c r="G114" s="8" t="n">
        <f aca="false">G113+D114</f>
        <v>1117.6</v>
      </c>
      <c r="H114" s="8" t="n">
        <f aca="false">H113+D114</f>
        <v>60.7</v>
      </c>
      <c r="I114" s="8" t="n">
        <v>3</v>
      </c>
      <c r="J114" s="8" t="n">
        <v>8</v>
      </c>
      <c r="K114" s="8" t="n">
        <f aca="false">K113+J114</f>
        <v>326.5</v>
      </c>
      <c r="L114" s="8" t="n">
        <v>1.3</v>
      </c>
      <c r="M114" s="8" t="n">
        <f aca="false">M113+L114</f>
        <v>145.8</v>
      </c>
      <c r="N114" s="8" t="n">
        <f aca="false">J114-L114</f>
        <v>6.7</v>
      </c>
      <c r="O114" s="8" t="n">
        <v>153.1</v>
      </c>
      <c r="P114" s="8" t="n">
        <v>109</v>
      </c>
      <c r="Q114" s="17" t="n">
        <f aca="false">1+((P114-101)/107)*(1.15-1)</f>
        <v>1.01121495327103</v>
      </c>
      <c r="R114" s="15" t="n">
        <f aca="false">Q114*L114</f>
        <v>1.31457943925234</v>
      </c>
      <c r="S114" s="15" t="n">
        <f aca="false">J114-R114</f>
        <v>6.68542056074766</v>
      </c>
      <c r="T114" s="15" t="n">
        <f aca="false">MIN(153.6,(T113+S114))</f>
        <v>153.114628260566</v>
      </c>
      <c r="U114" s="15" t="n">
        <f aca="false">MIN(T107:T213)</f>
        <v>108.575327102804</v>
      </c>
      <c r="V114" s="16" t="n">
        <v>202.1</v>
      </c>
      <c r="W114" s="8" t="n">
        <f aca="false">V114/D114</f>
        <v>24.3493975903614</v>
      </c>
      <c r="X114" s="8" t="n">
        <f aca="false">X113+V114</f>
        <v>58528.4</v>
      </c>
      <c r="Y114" s="8" t="n">
        <f aca="false">Y113+V114</f>
        <v>2145.1</v>
      </c>
      <c r="AA114" s="20" t="n">
        <v>7.96211171740381</v>
      </c>
    </row>
    <row r="115" s="8" customFormat="true" ht="15" hidden="false" customHeight="false" outlineLevel="0" collapsed="false">
      <c r="A115" s="35"/>
      <c r="B115" s="10"/>
      <c r="C115" s="11" t="n">
        <v>41631</v>
      </c>
      <c r="D115" s="8" t="n">
        <v>8.9</v>
      </c>
      <c r="E115" s="8" t="n">
        <v>5.8</v>
      </c>
      <c r="F115" s="8" t="n">
        <v>11.4</v>
      </c>
      <c r="G115" s="8" t="n">
        <f aca="false">G114+D115</f>
        <v>1126.5</v>
      </c>
      <c r="H115" s="8" t="n">
        <f aca="false">H114+D115</f>
        <v>69.6</v>
      </c>
      <c r="I115" s="36" t="s">
        <v>38</v>
      </c>
      <c r="J115" s="8" t="n">
        <v>1.7</v>
      </c>
      <c r="K115" s="8" t="n">
        <f aca="false">K114+J115</f>
        <v>328.2</v>
      </c>
      <c r="L115" s="8" t="n">
        <v>1.4</v>
      </c>
      <c r="M115" s="8" t="n">
        <f aca="false">M114+L115</f>
        <v>147.2</v>
      </c>
      <c r="N115" s="8" t="n">
        <f aca="false">J115-L115</f>
        <v>0.3</v>
      </c>
      <c r="O115" s="8" t="n">
        <v>153.4</v>
      </c>
      <c r="P115" s="8" t="n">
        <v>110</v>
      </c>
      <c r="Q115" s="17" t="n">
        <f aca="false">1+((P115-101)/107)*(1.15-1)</f>
        <v>1.01261682242991</v>
      </c>
      <c r="R115" s="15" t="n">
        <f aca="false">Q115*L115</f>
        <v>1.41766355140187</v>
      </c>
      <c r="S115" s="15" t="n">
        <f aca="false">J115-R115</f>
        <v>0.282336448598131</v>
      </c>
      <c r="T115" s="15" t="n">
        <f aca="false">MIN(153.6,(T114+S115))</f>
        <v>153.396964709164</v>
      </c>
      <c r="U115" s="36" t="s">
        <v>39</v>
      </c>
      <c r="V115" s="16" t="n">
        <v>203.3</v>
      </c>
      <c r="W115" s="8" t="n">
        <f aca="false">V115/D115</f>
        <v>22.8426966292135</v>
      </c>
      <c r="X115" s="8" t="n">
        <f aca="false">X114+V115</f>
        <v>58731.7</v>
      </c>
      <c r="Y115" s="8" t="n">
        <f aca="false">Y114+V115</f>
        <v>2348.4</v>
      </c>
      <c r="AA115" s="20" t="n">
        <v>7.96213838119638</v>
      </c>
    </row>
    <row r="116" s="8" customFormat="true" ht="15" hidden="false" customHeight="false" outlineLevel="0" collapsed="false">
      <c r="A116" s="35"/>
      <c r="B116" s="10"/>
      <c r="C116" s="11" t="n">
        <v>41632</v>
      </c>
      <c r="D116" s="8" t="n">
        <v>9.8</v>
      </c>
      <c r="E116" s="8" t="n">
        <v>8.7</v>
      </c>
      <c r="F116" s="8" t="n">
        <v>10.6</v>
      </c>
      <c r="G116" s="8" t="n">
        <f aca="false">G115+D116</f>
        <v>1136.3</v>
      </c>
      <c r="H116" s="8" t="n">
        <f aca="false">H115+D116</f>
        <v>79.4</v>
      </c>
      <c r="I116" s="8" t="n">
        <v>0</v>
      </c>
      <c r="J116" s="8" t="n">
        <v>12.6</v>
      </c>
      <c r="K116" s="8" t="n">
        <f aca="false">K115+J116</f>
        <v>340.8</v>
      </c>
      <c r="L116" s="8" t="n">
        <v>1.1</v>
      </c>
      <c r="M116" s="8" t="n">
        <f aca="false">M115+L116</f>
        <v>148.3</v>
      </c>
      <c r="N116" s="8" t="n">
        <f aca="false">J116-L116</f>
        <v>11.5</v>
      </c>
      <c r="O116" s="8" t="n">
        <v>153.6</v>
      </c>
      <c r="P116" s="8" t="n">
        <v>111</v>
      </c>
      <c r="Q116" s="17" t="n">
        <f aca="false">1+((P116-101)/107)*(1.15-1)</f>
        <v>1.01401869158879</v>
      </c>
      <c r="R116" s="15" t="n">
        <f aca="false">Q116*L116</f>
        <v>1.11542056074766</v>
      </c>
      <c r="S116" s="15" t="n">
        <f aca="false">J116-R116</f>
        <v>11.4845794392523</v>
      </c>
      <c r="T116" s="15" t="n">
        <f aca="false">MIN(153.6,(T115+S116))</f>
        <v>153.6</v>
      </c>
      <c r="U116" s="15" t="n">
        <f aca="false">MAX(T107:T213)</f>
        <v>153.6</v>
      </c>
      <c r="V116" s="16" t="n">
        <v>52.8</v>
      </c>
      <c r="W116" s="8" t="n">
        <f aca="false">V116/D116</f>
        <v>5.38775510204082</v>
      </c>
      <c r="X116" s="8" t="n">
        <f aca="false">X115+V116</f>
        <v>58784.5</v>
      </c>
      <c r="Y116" s="8" t="n">
        <f aca="false">Y115+V116</f>
        <v>2401.2</v>
      </c>
      <c r="AA116" s="20" t="n">
        <v>7.96390889386452</v>
      </c>
    </row>
    <row r="117" s="8" customFormat="true" ht="15" hidden="false" customHeight="false" outlineLevel="0" collapsed="false">
      <c r="A117" s="35"/>
      <c r="B117" s="10"/>
      <c r="C117" s="11" t="n">
        <v>41633</v>
      </c>
      <c r="D117" s="8" t="n">
        <v>6.3</v>
      </c>
      <c r="E117" s="18" t="n">
        <v>4.6</v>
      </c>
      <c r="F117" s="8" t="n">
        <v>8.6</v>
      </c>
      <c r="G117" s="8" t="n">
        <f aca="false">G116+D117</f>
        <v>1142.6</v>
      </c>
      <c r="H117" s="8" t="n">
        <f aca="false">H116+D117</f>
        <v>85.7</v>
      </c>
      <c r="I117" s="36" t="s">
        <v>40</v>
      </c>
      <c r="J117" s="8" t="n">
        <v>0.5</v>
      </c>
      <c r="K117" s="8" t="n">
        <f aca="false">K116+J117</f>
        <v>341.3</v>
      </c>
      <c r="L117" s="8" t="n">
        <v>0.9</v>
      </c>
      <c r="M117" s="8" t="n">
        <f aca="false">M116+L117</f>
        <v>149.2</v>
      </c>
      <c r="N117" s="14" t="n">
        <f aca="false">J117-L117</f>
        <v>-0.4</v>
      </c>
      <c r="O117" s="8" t="n">
        <v>153.2</v>
      </c>
      <c r="P117" s="8" t="n">
        <v>112</v>
      </c>
      <c r="Q117" s="17" t="n">
        <f aca="false">1+((P117-101)/107)*(1.15-1)</f>
        <v>1.01542056074766</v>
      </c>
      <c r="R117" s="15" t="n">
        <f aca="false">Q117*L117</f>
        <v>0.913878504672897</v>
      </c>
      <c r="S117" s="15" t="n">
        <f aca="false">J117-R117</f>
        <v>-0.413878504672897</v>
      </c>
      <c r="T117" s="15" t="n">
        <f aca="false">MIN(153.6,(T116+S117))</f>
        <v>153.186121495327</v>
      </c>
      <c r="U117" s="36" t="s">
        <v>41</v>
      </c>
      <c r="V117" s="16" t="n">
        <v>416.7</v>
      </c>
      <c r="W117" s="8" t="n">
        <f aca="false">V117/D117</f>
        <v>66.1428571428571</v>
      </c>
      <c r="X117" s="8" t="n">
        <f aca="false">X116+V117</f>
        <v>59201.2</v>
      </c>
      <c r="Y117" s="8" t="n">
        <f aca="false">Y116+V117</f>
        <v>2817.9</v>
      </c>
      <c r="AA117" s="20" t="n">
        <v>7.96742162992889</v>
      </c>
    </row>
    <row r="118" s="8" customFormat="true" ht="15" hidden="false" customHeight="false" outlineLevel="0" collapsed="false">
      <c r="A118" s="35"/>
      <c r="B118" s="10"/>
      <c r="C118" s="11" t="n">
        <v>41634</v>
      </c>
      <c r="D118" s="8" t="n">
        <v>5.1</v>
      </c>
      <c r="E118" s="18" t="n">
        <v>4.2</v>
      </c>
      <c r="F118" s="8" t="n">
        <v>7.2</v>
      </c>
      <c r="G118" s="8" t="n">
        <f aca="false">G117+D118</f>
        <v>1147.7</v>
      </c>
      <c r="H118" s="8" t="n">
        <f aca="false">H117+D118</f>
        <v>90.8</v>
      </c>
      <c r="I118" s="8" t="n">
        <v>55</v>
      </c>
      <c r="J118" s="8" t="n">
        <v>0.5</v>
      </c>
      <c r="K118" s="8" t="n">
        <f aca="false">K117+J118</f>
        <v>341.8</v>
      </c>
      <c r="L118" s="8" t="n">
        <v>0.6</v>
      </c>
      <c r="M118" s="8" t="n">
        <f aca="false">M117+L118</f>
        <v>149.8</v>
      </c>
      <c r="N118" s="14" t="n">
        <f aca="false">J118-L118</f>
        <v>-0.1</v>
      </c>
      <c r="O118" s="8" t="n">
        <v>153.1</v>
      </c>
      <c r="P118" s="8" t="n">
        <v>113</v>
      </c>
      <c r="Q118" s="17" t="n">
        <f aca="false">1+((P118-101)/107)*(1.15-1)</f>
        <v>1.01682242990654</v>
      </c>
      <c r="R118" s="15" t="n">
        <f aca="false">Q118*L118</f>
        <v>0.610093457943925</v>
      </c>
      <c r="S118" s="15" t="n">
        <f aca="false">J118-R118</f>
        <v>-0.110093457943925</v>
      </c>
      <c r="T118" s="15" t="n">
        <f aca="false">MIN(153.6,(T117+S118))</f>
        <v>153.076028037383</v>
      </c>
      <c r="U118" s="17" t="n">
        <f aca="false">AVERAGE(T107:T213)</f>
        <v>146.06397126517</v>
      </c>
      <c r="V118" s="16" t="n">
        <v>268</v>
      </c>
      <c r="W118" s="8" t="n">
        <f aca="false">V118/D118</f>
        <v>52.5490196078431</v>
      </c>
      <c r="X118" s="8" t="n">
        <f aca="false">X117+V118</f>
        <v>59469.2</v>
      </c>
      <c r="Y118" s="8" t="n">
        <f aca="false">Y117+V118</f>
        <v>3085.9</v>
      </c>
      <c r="AA118" s="20" t="n">
        <v>7.97267273521279</v>
      </c>
    </row>
    <row r="119" s="8" customFormat="true" ht="15" hidden="false" customHeight="false" outlineLevel="0" collapsed="false">
      <c r="A119" s="35"/>
      <c r="B119" s="10"/>
      <c r="C119" s="11" t="n">
        <v>41635</v>
      </c>
      <c r="D119" s="8" t="n">
        <v>8</v>
      </c>
      <c r="E119" s="18" t="n">
        <v>4.4</v>
      </c>
      <c r="F119" s="8" t="n">
        <v>9.8</v>
      </c>
      <c r="G119" s="8" t="n">
        <f aca="false">G118+D119</f>
        <v>1155.7</v>
      </c>
      <c r="H119" s="8" t="n">
        <f aca="false">H118+D119</f>
        <v>98.8</v>
      </c>
      <c r="I119" s="36" t="s">
        <v>42</v>
      </c>
      <c r="J119" s="8" t="n">
        <v>15</v>
      </c>
      <c r="K119" s="8" t="n">
        <f aca="false">K118+J119</f>
        <v>356.8</v>
      </c>
      <c r="L119" s="8" t="n">
        <v>0.3</v>
      </c>
      <c r="M119" s="8" t="n">
        <f aca="false">M118+L119</f>
        <v>150.1</v>
      </c>
      <c r="N119" s="8" t="n">
        <f aca="false">J119-L119</f>
        <v>14.7</v>
      </c>
      <c r="O119" s="8" t="n">
        <v>153.6</v>
      </c>
      <c r="P119" s="8" t="n">
        <v>114</v>
      </c>
      <c r="Q119" s="17" t="n">
        <f aca="false">1+((P119-101)/107)*(1.15-1)</f>
        <v>1.01822429906542</v>
      </c>
      <c r="R119" s="15" t="n">
        <f aca="false">Q119*L119</f>
        <v>0.305467289719626</v>
      </c>
      <c r="S119" s="15" t="n">
        <f aca="false">J119-R119</f>
        <v>14.6945327102804</v>
      </c>
      <c r="T119" s="15" t="n">
        <f aca="false">MIN(153.6,(T118+S119))</f>
        <v>153.6</v>
      </c>
      <c r="V119" s="16" t="n">
        <v>81.3</v>
      </c>
      <c r="W119" s="8" t="n">
        <f aca="false">V119/D119</f>
        <v>10.1625</v>
      </c>
      <c r="X119" s="8" t="n">
        <f aca="false">X118+V119</f>
        <v>59550.5</v>
      </c>
      <c r="Y119" s="8" t="n">
        <f aca="false">Y118+V119</f>
        <v>3167.2</v>
      </c>
      <c r="AA119" s="20" t="n">
        <v>7.97965614506847</v>
      </c>
    </row>
    <row r="120" s="8" customFormat="true" ht="15" hidden="false" customHeight="false" outlineLevel="0" collapsed="false">
      <c r="A120" s="35"/>
      <c r="B120" s="10"/>
      <c r="C120" s="11" t="n">
        <v>41636</v>
      </c>
      <c r="D120" s="8" t="n">
        <v>6.9</v>
      </c>
      <c r="E120" s="8" t="n">
        <v>6.1</v>
      </c>
      <c r="F120" s="8" t="n">
        <v>8.8</v>
      </c>
      <c r="G120" s="8" t="n">
        <f aca="false">G119+D120</f>
        <v>1162.6</v>
      </c>
      <c r="H120" s="8" t="n">
        <f aca="false">H119+D120</f>
        <v>105.7</v>
      </c>
      <c r="I120" s="8" t="n">
        <v>764.3</v>
      </c>
      <c r="J120" s="8" t="n">
        <v>0.1</v>
      </c>
      <c r="K120" s="8" t="n">
        <f aca="false">K119+J120</f>
        <v>356.9</v>
      </c>
      <c r="L120" s="8" t="n">
        <v>0.7</v>
      </c>
      <c r="M120" s="8" t="n">
        <f aca="false">M119+L120</f>
        <v>150.8</v>
      </c>
      <c r="N120" s="14" t="n">
        <f aca="false">J120-L120</f>
        <v>-0.6</v>
      </c>
      <c r="O120" s="8" t="n">
        <v>153</v>
      </c>
      <c r="P120" s="8" t="n">
        <v>115</v>
      </c>
      <c r="Q120" s="17" t="n">
        <f aca="false">1+((P120-101)/107)*(1.15-1)</f>
        <v>1.0196261682243</v>
      </c>
      <c r="R120" s="15" t="n">
        <f aca="false">Q120*L120</f>
        <v>0.713738317757009</v>
      </c>
      <c r="S120" s="15" t="n">
        <f aca="false">J120-R120</f>
        <v>-0.613738317757009</v>
      </c>
      <c r="T120" s="15" t="n">
        <f aca="false">MIN(153.6,(T119+S120))</f>
        <v>152.986261682243</v>
      </c>
      <c r="U120" s="8" t="n">
        <f aca="false">(U118*100)/153.6</f>
        <v>95.0937312924281</v>
      </c>
      <c r="V120" s="16" t="n">
        <v>266.7</v>
      </c>
      <c r="W120" s="8" t="n">
        <f aca="false">V120/D120</f>
        <v>38.6521739130435</v>
      </c>
      <c r="X120" s="8" t="n">
        <f aca="false">X119+V120</f>
        <v>59817.2</v>
      </c>
      <c r="Y120" s="8" t="n">
        <f aca="false">Y119+V120</f>
        <v>3433.9</v>
      </c>
      <c r="AA120" s="20" t="n">
        <v>7.98836361295121</v>
      </c>
    </row>
    <row r="121" s="8" customFormat="true" ht="15" hidden="false" customHeight="false" outlineLevel="0" collapsed="false">
      <c r="A121" s="35"/>
      <c r="B121" s="19"/>
      <c r="C121" s="11" t="n">
        <v>41637</v>
      </c>
      <c r="D121" s="18" t="n">
        <v>4.9</v>
      </c>
      <c r="E121" s="18" t="n">
        <v>3.6</v>
      </c>
      <c r="F121" s="8" t="n">
        <v>8.3</v>
      </c>
      <c r="G121" s="8" t="n">
        <f aca="false">G120+D121</f>
        <v>1167.5</v>
      </c>
      <c r="H121" s="8" t="n">
        <f aca="false">H120+D121</f>
        <v>110.6</v>
      </c>
      <c r="J121" s="8" t="n">
        <v>0</v>
      </c>
      <c r="K121" s="8" t="n">
        <f aca="false">K120+J121</f>
        <v>356.9</v>
      </c>
      <c r="L121" s="8" t="n">
        <v>0.9</v>
      </c>
      <c r="M121" s="8" t="n">
        <f aca="false">M120+L121</f>
        <v>151.7</v>
      </c>
      <c r="N121" s="14" t="n">
        <f aca="false">J121-L121</f>
        <v>-0.9</v>
      </c>
      <c r="O121" s="8" t="n">
        <v>152.1</v>
      </c>
      <c r="P121" s="8" t="n">
        <v>116</v>
      </c>
      <c r="Q121" s="17" t="n">
        <f aca="false">1+((P121-101)/107)*(1.15-1)</f>
        <v>1.02102803738318</v>
      </c>
      <c r="R121" s="15" t="n">
        <f aca="false">Q121*L121</f>
        <v>0.91892523364486</v>
      </c>
      <c r="S121" s="15" t="n">
        <f aca="false">J121-R121</f>
        <v>-0.91892523364486</v>
      </c>
      <c r="T121" s="15" t="n">
        <f aca="false">MIN(153.6,(T120+S121))</f>
        <v>152.067336448598</v>
      </c>
      <c r="V121" s="16" t="n">
        <v>553.8</v>
      </c>
      <c r="W121" s="8" t="n">
        <f aca="false">V121/D121</f>
        <v>113.020408163265</v>
      </c>
      <c r="X121" s="8" t="n">
        <f aca="false">X120+V121</f>
        <v>60371</v>
      </c>
      <c r="Y121" s="8" t="n">
        <f aca="false">Y120+V121</f>
        <v>3987.7</v>
      </c>
      <c r="AA121" s="20" t="n">
        <v>7.99878474905749</v>
      </c>
    </row>
    <row r="122" s="8" customFormat="true" ht="15" hidden="false" customHeight="false" outlineLevel="0" collapsed="false">
      <c r="A122" s="35"/>
      <c r="B122" s="10"/>
      <c r="C122" s="11" t="n">
        <v>41638</v>
      </c>
      <c r="D122" s="8" t="n">
        <v>5.8</v>
      </c>
      <c r="E122" s="18" t="n">
        <v>3</v>
      </c>
      <c r="F122" s="8" t="n">
        <v>7.3</v>
      </c>
      <c r="G122" s="8" t="n">
        <f aca="false">G121+D122</f>
        <v>1173.3</v>
      </c>
      <c r="H122" s="8" t="n">
        <f aca="false">H121+D122</f>
        <v>116.4</v>
      </c>
      <c r="J122" s="8" t="n">
        <v>1.5</v>
      </c>
      <c r="K122" s="8" t="n">
        <f aca="false">K121+J122</f>
        <v>358.4</v>
      </c>
      <c r="L122" s="8" t="n">
        <v>0.6</v>
      </c>
      <c r="M122" s="8" t="n">
        <f aca="false">M121+L122</f>
        <v>152.3</v>
      </c>
      <c r="N122" s="8" t="n">
        <f aca="false">J122-L122</f>
        <v>0.9</v>
      </c>
      <c r="O122" s="8" t="n">
        <v>153</v>
      </c>
      <c r="P122" s="8" t="n">
        <v>117</v>
      </c>
      <c r="Q122" s="17" t="n">
        <f aca="false">1+((P122-101)/107)*(1.15-1)</f>
        <v>1.02242990654206</v>
      </c>
      <c r="R122" s="15" t="n">
        <f aca="false">Q122*L122</f>
        <v>0.613457943925234</v>
      </c>
      <c r="S122" s="15" t="n">
        <f aca="false">J122-R122</f>
        <v>0.886542056074766</v>
      </c>
      <c r="T122" s="15" t="n">
        <f aca="false">MIN(153.6,(T121+S122))</f>
        <v>152.953878504673</v>
      </c>
      <c r="V122" s="16" t="n">
        <v>118.1</v>
      </c>
      <c r="W122" s="8" t="n">
        <f aca="false">V122/D122</f>
        <v>20.3620689655172</v>
      </c>
      <c r="X122" s="8" t="n">
        <f aca="false">X121+V122</f>
        <v>60489.1</v>
      </c>
      <c r="Y122" s="8" t="n">
        <f aca="false">Y121+V122</f>
        <v>4105.8</v>
      </c>
      <c r="AA122" s="20" t="n">
        <v>8.01090706864678</v>
      </c>
    </row>
    <row r="123" s="8" customFormat="true" ht="15" hidden="false" customHeight="false" outlineLevel="0" collapsed="false">
      <c r="A123" s="35"/>
      <c r="B123" s="10"/>
      <c r="C123" s="11" t="n">
        <v>41639</v>
      </c>
      <c r="D123" s="8" t="n">
        <v>6.7</v>
      </c>
      <c r="E123" s="8" t="n">
        <v>6.1</v>
      </c>
      <c r="F123" s="8" t="n">
        <v>7.2</v>
      </c>
      <c r="G123" s="8" t="n">
        <f aca="false">G122+D123</f>
        <v>1180</v>
      </c>
      <c r="H123" s="8" t="n">
        <f aca="false">H122+D123</f>
        <v>123.1</v>
      </c>
      <c r="J123" s="8" t="n">
        <v>4.3</v>
      </c>
      <c r="K123" s="8" t="n">
        <f aca="false">K122+J123</f>
        <v>362.7</v>
      </c>
      <c r="L123" s="8" t="n">
        <v>0.9</v>
      </c>
      <c r="M123" s="8" t="n">
        <f aca="false">M122+L123</f>
        <v>153.2</v>
      </c>
      <c r="N123" s="8" t="n">
        <f aca="false">J123-L123</f>
        <v>3.4</v>
      </c>
      <c r="O123" s="8" t="n">
        <v>153.6</v>
      </c>
      <c r="P123" s="8" t="n">
        <v>118</v>
      </c>
      <c r="Q123" s="17" t="n">
        <f aca="false">1+((P123-101)/107)*(1.15-1)</f>
        <v>1.02383177570093</v>
      </c>
      <c r="R123" s="15" t="n">
        <f aca="false">Q123*L123</f>
        <v>0.921448598130841</v>
      </c>
      <c r="S123" s="15" t="n">
        <f aca="false">J123-R123</f>
        <v>3.37855140186916</v>
      </c>
      <c r="T123" s="15" t="n">
        <f aca="false">MIN(153.6,(T122+S123))</f>
        <v>153.6</v>
      </c>
      <c r="V123" s="16" t="n">
        <v>166.1</v>
      </c>
      <c r="W123" s="8" t="n">
        <f aca="false">V123/D123</f>
        <v>24.7910447761194</v>
      </c>
      <c r="X123" s="8" t="n">
        <f aca="false">X122+V123</f>
        <v>60655.2</v>
      </c>
      <c r="Y123" s="8" t="n">
        <f aca="false">Y122+V123</f>
        <v>4271.9</v>
      </c>
      <c r="AA123" s="20" t="n">
        <v>8.02471604957635</v>
      </c>
    </row>
    <row r="124" s="8" customFormat="true" ht="15" hidden="false" customHeight="false" outlineLevel="0" collapsed="false">
      <c r="A124" s="35"/>
      <c r="B124" s="10"/>
      <c r="C124" s="11" t="n">
        <v>41640</v>
      </c>
      <c r="D124" s="8" t="n">
        <v>8</v>
      </c>
      <c r="E124" s="8" t="n">
        <v>5.3</v>
      </c>
      <c r="F124" s="8" t="n">
        <v>10.2</v>
      </c>
      <c r="G124" s="8" t="n">
        <f aca="false">G123+D124</f>
        <v>1188</v>
      </c>
      <c r="H124" s="8" t="n">
        <f aca="false">H123+D124</f>
        <v>131.1</v>
      </c>
      <c r="J124" s="8" t="n">
        <v>5.9</v>
      </c>
      <c r="K124" s="8" t="n">
        <f aca="false">K123+J124</f>
        <v>368.6</v>
      </c>
      <c r="L124" s="8" t="n">
        <v>1</v>
      </c>
      <c r="M124" s="8" t="n">
        <f aca="false">M123+L124</f>
        <v>154.2</v>
      </c>
      <c r="N124" s="8" t="n">
        <f aca="false">J124-L124</f>
        <v>4.9</v>
      </c>
      <c r="O124" s="8" t="n">
        <v>153.6</v>
      </c>
      <c r="P124" s="8" t="n">
        <v>119</v>
      </c>
      <c r="Q124" s="17" t="n">
        <f aca="false">1+((P124-101)/107)*(1.15-1)</f>
        <v>1.02523364485981</v>
      </c>
      <c r="R124" s="15" t="n">
        <f aca="false">Q124*L124</f>
        <v>1.02523364485981</v>
      </c>
      <c r="S124" s="15" t="n">
        <f aca="false">J124-R124</f>
        <v>4.87476635514019</v>
      </c>
      <c r="T124" s="15" t="n">
        <f aca="false">MIN(153.6,(T123+S124))</f>
        <v>153.6</v>
      </c>
      <c r="V124" s="16" t="n">
        <v>153.8</v>
      </c>
      <c r="W124" s="8" t="n">
        <f aca="false">V124/D124</f>
        <v>19.225</v>
      </c>
      <c r="X124" s="8" t="n">
        <f aca="false">X123+V124</f>
        <v>60809</v>
      </c>
      <c r="Y124" s="8" t="n">
        <f aca="false">Y123+V124</f>
        <v>4425.7</v>
      </c>
      <c r="AA124" s="20" t="n">
        <v>8.04518664960542</v>
      </c>
    </row>
    <row r="125" s="8" customFormat="true" ht="15" hidden="false" customHeight="false" outlineLevel="0" collapsed="false">
      <c r="A125" s="35"/>
      <c r="B125" s="10"/>
      <c r="C125" s="11" t="n">
        <v>41641</v>
      </c>
      <c r="D125" s="8" t="n">
        <v>9.1</v>
      </c>
      <c r="E125" s="8" t="n">
        <v>7.7</v>
      </c>
      <c r="F125" s="8" t="n">
        <v>10</v>
      </c>
      <c r="G125" s="8" t="n">
        <f aca="false">G124+D125</f>
        <v>1197.1</v>
      </c>
      <c r="H125" s="8" t="n">
        <f aca="false">H124+D125</f>
        <v>140.2</v>
      </c>
      <c r="J125" s="8" t="n">
        <v>2.5</v>
      </c>
      <c r="K125" s="8" t="n">
        <f aca="false">K124+J125</f>
        <v>371.1</v>
      </c>
      <c r="L125" s="8" t="n">
        <v>1.1</v>
      </c>
      <c r="M125" s="8" t="n">
        <f aca="false">M124+L125</f>
        <v>155.3</v>
      </c>
      <c r="N125" s="8" t="n">
        <f aca="false">J125-L125</f>
        <v>1.4</v>
      </c>
      <c r="O125" s="8" t="n">
        <v>153.6</v>
      </c>
      <c r="P125" s="8" t="n">
        <v>120</v>
      </c>
      <c r="Q125" s="17" t="n">
        <f aca="false">1+((P125-101)/107)*(1.15-1)</f>
        <v>1.02663551401869</v>
      </c>
      <c r="R125" s="15" t="n">
        <f aca="false">Q125*L125</f>
        <v>1.12929906542056</v>
      </c>
      <c r="S125" s="15" t="n">
        <f aca="false">J125-R125</f>
        <v>1.37070093457944</v>
      </c>
      <c r="T125" s="15" t="n">
        <f aca="false">MIN(153.6,(T124+S125))</f>
        <v>153.6</v>
      </c>
      <c r="V125" s="16" t="n">
        <v>301.9</v>
      </c>
      <c r="W125" s="8" t="n">
        <f aca="false">V125/D125</f>
        <v>33.1758241758242</v>
      </c>
      <c r="X125" s="8" t="n">
        <f aca="false">X124+V125</f>
        <v>61110.9</v>
      </c>
      <c r="Y125" s="8" t="n">
        <f aca="false">Y124+V125</f>
        <v>4727.6</v>
      </c>
      <c r="AA125" s="20" t="n">
        <v>8.06281165656341</v>
      </c>
    </row>
    <row r="126" s="8" customFormat="true" ht="15" hidden="false" customHeight="false" outlineLevel="0" collapsed="false">
      <c r="A126" s="35"/>
      <c r="B126" s="10"/>
      <c r="C126" s="11" t="n">
        <v>41642</v>
      </c>
      <c r="D126" s="8" t="n">
        <v>9.8</v>
      </c>
      <c r="E126" s="8" t="n">
        <v>7.8</v>
      </c>
      <c r="F126" s="8" t="n">
        <v>12.6</v>
      </c>
      <c r="G126" s="8" t="n">
        <f aca="false">G125+D126</f>
        <v>1206.9</v>
      </c>
      <c r="H126" s="8" t="n">
        <f aca="false">H125+D126</f>
        <v>150</v>
      </c>
      <c r="J126" s="8" t="n">
        <v>5.1</v>
      </c>
      <c r="K126" s="8" t="n">
        <f aca="false">K125+J126</f>
        <v>376.2</v>
      </c>
      <c r="L126" s="8" t="n">
        <v>1.6</v>
      </c>
      <c r="M126" s="8" t="n">
        <f aca="false">M125+L126</f>
        <v>156.9</v>
      </c>
      <c r="N126" s="8" t="n">
        <f aca="false">J126-L126</f>
        <v>3.5</v>
      </c>
      <c r="O126" s="8" t="n">
        <v>153.6</v>
      </c>
      <c r="P126" s="8" t="n">
        <v>121</v>
      </c>
      <c r="Q126" s="17" t="n">
        <f aca="false">1+((P126-101)/107)*(1.15-1)</f>
        <v>1.02803738317757</v>
      </c>
      <c r="R126" s="15" t="n">
        <f aca="false">Q126*L126</f>
        <v>1.64485981308411</v>
      </c>
      <c r="S126" s="15" t="n">
        <f aca="false">J126-R126</f>
        <v>3.45514018691589</v>
      </c>
      <c r="T126" s="15" t="n">
        <f aca="false">MIN(153.6,(T125+S126))</f>
        <v>153.6</v>
      </c>
      <c r="V126" s="16" t="n">
        <v>138</v>
      </c>
      <c r="W126" s="8" t="n">
        <f aca="false">V126/D126</f>
        <v>14.0816326530612</v>
      </c>
      <c r="X126" s="8" t="n">
        <f aca="false">X125+V126</f>
        <v>61248.9</v>
      </c>
      <c r="Y126" s="8" t="n">
        <f aca="false">Y125+V126</f>
        <v>4865.6</v>
      </c>
      <c r="AA126" s="20" t="n">
        <v>8.0820618009672</v>
      </c>
    </row>
    <row r="127" s="8" customFormat="true" ht="15" hidden="false" customHeight="false" outlineLevel="0" collapsed="false">
      <c r="A127" s="35"/>
      <c r="B127" s="10"/>
      <c r="C127" s="11" t="n">
        <v>41643</v>
      </c>
      <c r="D127" s="8" t="n">
        <v>8.2</v>
      </c>
      <c r="E127" s="8" t="n">
        <v>7.2</v>
      </c>
      <c r="F127" s="8" t="n">
        <v>9.5</v>
      </c>
      <c r="G127" s="8" t="n">
        <f aca="false">G126+D127</f>
        <v>1215.1</v>
      </c>
      <c r="H127" s="8" t="n">
        <f aca="false">H126+D127</f>
        <v>158.2</v>
      </c>
      <c r="J127" s="8" t="n">
        <v>2.4</v>
      </c>
      <c r="K127" s="8" t="n">
        <f aca="false">K126+J127</f>
        <v>378.6</v>
      </c>
      <c r="L127" s="8" t="n">
        <v>1.1</v>
      </c>
      <c r="M127" s="8" t="n">
        <f aca="false">M126+L127</f>
        <v>158</v>
      </c>
      <c r="N127" s="8" t="n">
        <f aca="false">J127-L127</f>
        <v>1.3</v>
      </c>
      <c r="O127" s="8" t="n">
        <v>153.6</v>
      </c>
      <c r="P127" s="8" t="n">
        <v>122</v>
      </c>
      <c r="Q127" s="17" t="n">
        <f aca="false">1+((P127-101)/107)*(1.15-1)</f>
        <v>1.02943925233645</v>
      </c>
      <c r="R127" s="15" t="n">
        <f aca="false">Q127*L127</f>
        <v>1.13238317757009</v>
      </c>
      <c r="S127" s="15" t="n">
        <f aca="false">J127-R127</f>
        <v>1.26761682242991</v>
      </c>
      <c r="T127" s="15" t="n">
        <f aca="false">MIN(153.6,(T126+S127))</f>
        <v>153.6</v>
      </c>
      <c r="V127" s="16" t="n">
        <v>163</v>
      </c>
      <c r="W127" s="8" t="n">
        <f aca="false">V127/D127</f>
        <v>19.8780487804878</v>
      </c>
      <c r="X127" s="8" t="n">
        <f aca="false">X126+V127</f>
        <v>61411.9</v>
      </c>
      <c r="Y127" s="8" t="n">
        <f aca="false">Y126+V127</f>
        <v>5028.6</v>
      </c>
      <c r="AA127" s="20" t="n">
        <v>8.10291464734205</v>
      </c>
    </row>
    <row r="128" s="38" customFormat="true" ht="15" hidden="false" customHeight="false" outlineLevel="0" collapsed="false">
      <c r="A128" s="35"/>
      <c r="B128" s="10"/>
      <c r="C128" s="37" t="n">
        <v>41644</v>
      </c>
      <c r="D128" s="8" t="n">
        <v>5.8</v>
      </c>
      <c r="E128" s="8" t="n">
        <v>2.5</v>
      </c>
      <c r="F128" s="8" t="n">
        <v>12.4</v>
      </c>
      <c r="G128" s="8" t="n">
        <f aca="false">G127+D128</f>
        <v>1220.9</v>
      </c>
      <c r="H128" s="8" t="n">
        <f aca="false">H127+D128</f>
        <v>164</v>
      </c>
      <c r="I128" s="8"/>
      <c r="J128" s="8" t="n">
        <v>0.2</v>
      </c>
      <c r="K128" s="8" t="n">
        <f aca="false">K127+J128</f>
        <v>378.8</v>
      </c>
      <c r="L128" s="8" t="n">
        <v>1.2</v>
      </c>
      <c r="M128" s="8" t="n">
        <f aca="false">M127+L128</f>
        <v>159.2</v>
      </c>
      <c r="N128" s="8" t="n">
        <f aca="false">J128-L128</f>
        <v>-1</v>
      </c>
      <c r="O128" s="8" t="n">
        <v>153.6</v>
      </c>
      <c r="P128" s="8" t="n">
        <v>123</v>
      </c>
      <c r="Q128" s="17" t="n">
        <f aca="false">1+((P128-101)/107)*(1.15-1)</f>
        <v>1.03084112149533</v>
      </c>
      <c r="R128" s="15" t="n">
        <f aca="false">Q128*L128</f>
        <v>1.23700934579439</v>
      </c>
      <c r="S128" s="15" t="n">
        <f aca="false">J128-R128</f>
        <v>-1.03700934579439</v>
      </c>
      <c r="T128" s="15" t="n">
        <f aca="false">MIN(153.6,(T127+S128))</f>
        <v>152.562990654206</v>
      </c>
      <c r="U128" s="8"/>
      <c r="V128" s="16" t="n">
        <v>200.5</v>
      </c>
      <c r="W128" s="8" t="n">
        <f aca="false">V128/D128</f>
        <v>34.5689655172414</v>
      </c>
      <c r="X128" s="8" t="n">
        <f aca="false">X127+V128</f>
        <v>61612.4</v>
      </c>
      <c r="Y128" s="8" t="n">
        <f aca="false">Y127+V128</f>
        <v>5229.1</v>
      </c>
      <c r="Z128" s="8"/>
      <c r="AA128" s="20" t="n">
        <v>8.12534615634364</v>
      </c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  <c r="IZ128" s="8"/>
      <c r="JA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L128" s="8"/>
      <c r="JM128" s="8"/>
      <c r="JN128" s="8"/>
      <c r="JO128" s="8"/>
      <c r="JP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A128" s="8"/>
      <c r="KB128" s="8"/>
      <c r="KC128" s="8"/>
      <c r="KD128" s="8"/>
      <c r="KE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  <c r="KP128" s="8"/>
      <c r="KQ128" s="8"/>
      <c r="KR128" s="8"/>
      <c r="KS128" s="8"/>
      <c r="KT128" s="8"/>
      <c r="KU128" s="8"/>
      <c r="KV128" s="8"/>
      <c r="KW128" s="8"/>
      <c r="KX128" s="8"/>
      <c r="KY128" s="8"/>
      <c r="KZ128" s="8"/>
      <c r="LA128" s="8"/>
      <c r="LB128" s="8"/>
      <c r="LC128" s="8"/>
      <c r="LD128" s="8"/>
      <c r="LE128" s="8"/>
      <c r="LF128" s="8"/>
      <c r="LG128" s="8"/>
      <c r="LH128" s="8"/>
      <c r="LI128" s="8"/>
      <c r="LJ128" s="8"/>
      <c r="LK128" s="8"/>
      <c r="LL128" s="8"/>
      <c r="LM128" s="8"/>
      <c r="LN128" s="8"/>
      <c r="LO128" s="8"/>
      <c r="LP128" s="8"/>
      <c r="LQ128" s="8"/>
      <c r="LR128" s="8"/>
      <c r="LS128" s="8"/>
      <c r="LT128" s="8"/>
      <c r="LU128" s="8"/>
      <c r="LV128" s="8"/>
      <c r="LW128" s="8"/>
      <c r="LX128" s="8"/>
      <c r="LY128" s="8"/>
      <c r="LZ128" s="8"/>
      <c r="MA128" s="8"/>
      <c r="MB128" s="8"/>
      <c r="MC128" s="8"/>
      <c r="MD128" s="8"/>
      <c r="ME128" s="8"/>
      <c r="MF128" s="8"/>
      <c r="MG128" s="8"/>
      <c r="MH128" s="8"/>
      <c r="MI128" s="8"/>
      <c r="MJ128" s="8"/>
      <c r="MK128" s="8"/>
      <c r="ML128" s="8"/>
      <c r="MM128" s="8"/>
      <c r="MN128" s="8"/>
      <c r="MO128" s="8"/>
      <c r="MP128" s="8"/>
      <c r="MQ128" s="8"/>
      <c r="MR128" s="8"/>
      <c r="MS128" s="8"/>
      <c r="MT128" s="8"/>
      <c r="MU128" s="8"/>
      <c r="MV128" s="8"/>
      <c r="MW128" s="8"/>
      <c r="MX128" s="8"/>
      <c r="MY128" s="8"/>
      <c r="MZ128" s="8"/>
      <c r="NA128" s="8"/>
      <c r="NB128" s="8"/>
      <c r="NC128" s="8"/>
      <c r="ND128" s="8"/>
      <c r="NE128" s="8"/>
      <c r="NF128" s="8"/>
      <c r="NG128" s="8"/>
      <c r="NH128" s="8"/>
      <c r="NI128" s="8"/>
      <c r="NJ128" s="8"/>
      <c r="NK128" s="8"/>
      <c r="NL128" s="8"/>
      <c r="NM128" s="8"/>
      <c r="NN128" s="8"/>
      <c r="NO128" s="8"/>
      <c r="NP128" s="8"/>
      <c r="NQ128" s="8"/>
      <c r="NR128" s="8"/>
      <c r="NS128" s="8"/>
      <c r="NT128" s="8"/>
      <c r="NU128" s="8"/>
      <c r="NV128" s="8"/>
      <c r="NW128" s="8"/>
      <c r="NX128" s="8"/>
      <c r="NY128" s="8"/>
      <c r="NZ128" s="8"/>
      <c r="OA128" s="8"/>
      <c r="OB128" s="8"/>
      <c r="OC128" s="8"/>
      <c r="OD128" s="8"/>
      <c r="OE128" s="8"/>
      <c r="OF128" s="8"/>
      <c r="OG128" s="8"/>
      <c r="OH128" s="8"/>
      <c r="OI128" s="8"/>
      <c r="OJ128" s="8"/>
      <c r="OK128" s="8"/>
      <c r="OL128" s="8"/>
      <c r="OM128" s="8"/>
      <c r="ON128" s="8"/>
      <c r="OO128" s="8"/>
      <c r="OP128" s="8"/>
      <c r="OQ128" s="8"/>
      <c r="OR128" s="8"/>
      <c r="OS128" s="8"/>
      <c r="OT128" s="8"/>
      <c r="OU128" s="8"/>
      <c r="OV128" s="8"/>
      <c r="OW128" s="8"/>
      <c r="OX128" s="8"/>
      <c r="OY128" s="8"/>
      <c r="OZ128" s="8"/>
      <c r="PA128" s="8"/>
      <c r="PB128" s="8"/>
      <c r="PC128" s="8"/>
      <c r="PD128" s="8"/>
      <c r="PE128" s="8"/>
      <c r="PF128" s="8"/>
      <c r="PG128" s="8"/>
      <c r="PH128" s="8"/>
      <c r="PI128" s="8"/>
      <c r="PJ128" s="8"/>
      <c r="PK128" s="8"/>
      <c r="PL128" s="8"/>
      <c r="PM128" s="8"/>
      <c r="PN128" s="8"/>
      <c r="PO128" s="8"/>
      <c r="PP128" s="8"/>
      <c r="PQ128" s="8"/>
      <c r="PR128" s="8"/>
      <c r="PS128" s="8"/>
      <c r="PT128" s="8"/>
      <c r="PU128" s="8"/>
      <c r="PV128" s="8"/>
      <c r="PW128" s="8"/>
      <c r="PX128" s="8"/>
      <c r="PY128" s="8"/>
      <c r="PZ128" s="8"/>
      <c r="QA128" s="8"/>
      <c r="QB128" s="8"/>
      <c r="QC128" s="8"/>
      <c r="QD128" s="8"/>
      <c r="QE128" s="8"/>
      <c r="QF128" s="8"/>
      <c r="QG128" s="8"/>
      <c r="QH128" s="8"/>
      <c r="QI128" s="8"/>
      <c r="QJ128" s="8"/>
      <c r="QK128" s="8"/>
      <c r="QL128" s="8"/>
      <c r="QM128" s="8"/>
    </row>
    <row r="129" s="8" customFormat="true" ht="15" hidden="false" customHeight="false" outlineLevel="0" collapsed="false">
      <c r="A129" s="35"/>
      <c r="B129" s="10"/>
      <c r="C129" s="11" t="n">
        <v>41645</v>
      </c>
      <c r="D129" s="8" t="n">
        <v>11.8</v>
      </c>
      <c r="E129" s="8" t="n">
        <v>7.4</v>
      </c>
      <c r="F129" s="8" t="n">
        <v>13.6</v>
      </c>
      <c r="G129" s="8" t="n">
        <f aca="false">G128+D129</f>
        <v>1232.7</v>
      </c>
      <c r="H129" s="8" t="n">
        <f aca="false">H128+D129</f>
        <v>175.8</v>
      </c>
      <c r="J129" s="8" t="n">
        <v>3.6</v>
      </c>
      <c r="K129" s="8" t="n">
        <f aca="false">K128+J129</f>
        <v>382.4</v>
      </c>
      <c r="L129" s="8" t="n">
        <v>1</v>
      </c>
      <c r="M129" s="8" t="n">
        <f aca="false">M128+L129</f>
        <v>160.2</v>
      </c>
      <c r="N129" s="8" t="n">
        <f aca="false">J129-L129</f>
        <v>2.6</v>
      </c>
      <c r="O129" s="8" t="n">
        <v>153.6</v>
      </c>
      <c r="P129" s="8" t="n">
        <v>124</v>
      </c>
      <c r="Q129" s="17" t="n">
        <f aca="false">1+((P129-101)/107)*(1.15-1)</f>
        <v>1.03224299065421</v>
      </c>
      <c r="R129" s="15" t="n">
        <f aca="false">Q129*L129</f>
        <v>1.03224299065421</v>
      </c>
      <c r="S129" s="15" t="n">
        <f aca="false">J129-R129</f>
        <v>2.56775700934579</v>
      </c>
      <c r="T129" s="15" t="n">
        <f aca="false">MIN(153.6,(T128+S129))</f>
        <v>153.6</v>
      </c>
      <c r="V129" s="16" t="n">
        <v>200.8</v>
      </c>
      <c r="W129" s="8" t="n">
        <f aca="false">V129/D129</f>
        <v>17.0169491525424</v>
      </c>
      <c r="X129" s="8" t="n">
        <f aca="false">X128+V129</f>
        <v>61813.2</v>
      </c>
      <c r="Y129" s="8" t="n">
        <f aca="false">Y128+V129</f>
        <v>5429.9</v>
      </c>
      <c r="AA129" s="20" t="n">
        <v>8.14933078511595</v>
      </c>
    </row>
    <row r="130" s="8" customFormat="true" ht="15" hidden="false" customHeight="false" outlineLevel="0" collapsed="false">
      <c r="A130" s="35"/>
      <c r="B130" s="10"/>
      <c r="C130" s="11" t="n">
        <v>41646</v>
      </c>
      <c r="D130" s="8" t="n">
        <v>10.5</v>
      </c>
      <c r="E130" s="8" t="n">
        <v>9.2</v>
      </c>
      <c r="F130" s="8" t="n">
        <v>12</v>
      </c>
      <c r="G130" s="8" t="n">
        <f aca="false">G129+D130</f>
        <v>1243.2</v>
      </c>
      <c r="H130" s="8" t="n">
        <f aca="false">H129+D130</f>
        <v>186.3</v>
      </c>
      <c r="J130" s="8" t="n">
        <v>1.5</v>
      </c>
      <c r="K130" s="8" t="n">
        <f aca="false">K129+J130</f>
        <v>383.9</v>
      </c>
      <c r="L130" s="8" t="n">
        <v>1.5</v>
      </c>
      <c r="M130" s="8" t="n">
        <f aca="false">M129+L130</f>
        <v>161.7</v>
      </c>
      <c r="N130" s="8" t="n">
        <f aca="false">J130-L130</f>
        <v>0</v>
      </c>
      <c r="O130" s="8" t="n">
        <v>153.6</v>
      </c>
      <c r="P130" s="8" t="n">
        <v>125</v>
      </c>
      <c r="Q130" s="17" t="n">
        <f aca="false">1+((P130-101)/107)*(1.15-1)</f>
        <v>1.03364485981308</v>
      </c>
      <c r="R130" s="15" t="n">
        <f aca="false">Q130*L130</f>
        <v>1.55046728971963</v>
      </c>
      <c r="S130" s="15" t="n">
        <f aca="false">J130-R130</f>
        <v>-0.0504672897196261</v>
      </c>
      <c r="T130" s="15" t="n">
        <f aca="false">MIN(153.6,(T129+S130))</f>
        <v>153.54953271028</v>
      </c>
      <c r="V130" s="16" t="n">
        <v>412.2</v>
      </c>
      <c r="W130" s="8" t="n">
        <f aca="false">V130/D130</f>
        <v>39.2571428571429</v>
      </c>
      <c r="X130" s="8" t="n">
        <f aca="false">X129+V130</f>
        <v>62225.4</v>
      </c>
      <c r="Y130" s="8" t="n">
        <f aca="false">Y129+V130</f>
        <v>5842.1</v>
      </c>
      <c r="AA130" s="20" t="n">
        <v>8.17484159157892</v>
      </c>
    </row>
    <row r="131" s="8" customFormat="true" ht="15" hidden="false" customHeight="false" outlineLevel="0" collapsed="false">
      <c r="A131" s="35"/>
      <c r="B131" s="10"/>
      <c r="C131" s="11" t="n">
        <v>41647</v>
      </c>
      <c r="D131" s="8" t="n">
        <v>9.9</v>
      </c>
      <c r="E131" s="8" t="n">
        <v>9.2</v>
      </c>
      <c r="F131" s="8" t="n">
        <v>11.4</v>
      </c>
      <c r="G131" s="8" t="n">
        <f aca="false">G130+D131</f>
        <v>1253.1</v>
      </c>
      <c r="H131" s="8" t="n">
        <f aca="false">H130+D131</f>
        <v>196.2</v>
      </c>
      <c r="J131" s="8" t="n">
        <v>1.2</v>
      </c>
      <c r="K131" s="8" t="n">
        <f aca="false">K130+J131</f>
        <v>385.1</v>
      </c>
      <c r="L131" s="8" t="n">
        <v>1.1</v>
      </c>
      <c r="M131" s="8" t="n">
        <f aca="false">M130+L131</f>
        <v>162.8</v>
      </c>
      <c r="N131" s="8" t="n">
        <f aca="false">J131-L131</f>
        <v>0.0999999999999999</v>
      </c>
      <c r="O131" s="8" t="n">
        <v>153.6</v>
      </c>
      <c r="P131" s="8" t="n">
        <v>126</v>
      </c>
      <c r="Q131" s="17" t="n">
        <f aca="false">1+((P131-101)/107)*(1.15-1)</f>
        <v>1.03504672897196</v>
      </c>
      <c r="R131" s="15" t="n">
        <f aca="false">Q131*L131</f>
        <v>1.13855140186916</v>
      </c>
      <c r="S131" s="15" t="n">
        <f aca="false">J131-R131</f>
        <v>0.0614485981308408</v>
      </c>
      <c r="T131" s="15" t="n">
        <f aca="false">MIN(153.6,(T130+S131))</f>
        <v>153.6</v>
      </c>
      <c r="V131" s="16" t="n">
        <v>325.5</v>
      </c>
      <c r="W131" s="8" t="n">
        <f aca="false">V131/D131</f>
        <v>32.8787878787879</v>
      </c>
      <c r="X131" s="8" t="n">
        <f aca="false">X130+V131</f>
        <v>62550.9</v>
      </c>
      <c r="Y131" s="8" t="n">
        <f aca="false">Y130+V131</f>
        <v>6167.6</v>
      </c>
      <c r="AA131" s="20" t="n">
        <v>8.20185034181039</v>
      </c>
    </row>
    <row r="132" s="8" customFormat="true" ht="15" hidden="false" customHeight="false" outlineLevel="0" collapsed="false">
      <c r="A132" s="35"/>
      <c r="B132" s="10"/>
      <c r="C132" s="11" t="n">
        <v>41648</v>
      </c>
      <c r="D132" s="8" t="n">
        <v>9.1</v>
      </c>
      <c r="E132" s="8" t="n">
        <v>6.4</v>
      </c>
      <c r="F132" s="8" t="n">
        <v>11.2</v>
      </c>
      <c r="G132" s="8" t="n">
        <f aca="false">G131+D132</f>
        <v>1262.2</v>
      </c>
      <c r="H132" s="8" t="n">
        <f aca="false">H131+D132</f>
        <v>205.3</v>
      </c>
      <c r="J132" s="8" t="n">
        <v>0.9</v>
      </c>
      <c r="K132" s="8" t="n">
        <f aca="false">K131+J132</f>
        <v>386</v>
      </c>
      <c r="L132" s="8" t="n">
        <v>1</v>
      </c>
      <c r="M132" s="8" t="n">
        <f aca="false">M131+L132</f>
        <v>163.8</v>
      </c>
      <c r="N132" s="14" t="n">
        <f aca="false">J132-L132</f>
        <v>-0.1</v>
      </c>
      <c r="O132" s="8" t="n">
        <v>153.5</v>
      </c>
      <c r="P132" s="8" t="n">
        <v>127</v>
      </c>
      <c r="Q132" s="17" t="n">
        <f aca="false">1+((P132-101)/107)*(1.15-1)</f>
        <v>1.03644859813084</v>
      </c>
      <c r="R132" s="15" t="n">
        <f aca="false">Q132*L132</f>
        <v>1.03644859813084</v>
      </c>
      <c r="S132" s="15" t="n">
        <f aca="false">J132-R132</f>
        <v>-0.136448598130841</v>
      </c>
      <c r="T132" s="15" t="n">
        <f aca="false">MIN(153.6,(T131+S132))</f>
        <v>153.463551401869</v>
      </c>
      <c r="V132" s="16" t="n">
        <v>156.7</v>
      </c>
      <c r="W132" s="8" t="n">
        <f aca="false">V132/D132</f>
        <v>17.2197802197802</v>
      </c>
      <c r="X132" s="8" t="n">
        <f aca="false">X131+V132</f>
        <v>62707.6</v>
      </c>
      <c r="Y132" s="8" t="n">
        <f aca="false">Y131+V132</f>
        <v>6324.3</v>
      </c>
      <c r="AA132" s="20" t="n">
        <v>8.23032761969451</v>
      </c>
    </row>
    <row r="133" s="8" customFormat="true" ht="15" hidden="false" customHeight="false" outlineLevel="0" collapsed="false">
      <c r="A133" s="35"/>
      <c r="B133" s="10"/>
      <c r="C133" s="11" t="n">
        <v>41649</v>
      </c>
      <c r="D133" s="8" t="n">
        <v>5.2</v>
      </c>
      <c r="E133" s="18" t="n">
        <v>4.4</v>
      </c>
      <c r="F133" s="8" t="n">
        <v>5.7</v>
      </c>
      <c r="G133" s="8" t="n">
        <f aca="false">G132+D133</f>
        <v>1267.4</v>
      </c>
      <c r="H133" s="8" t="n">
        <f aca="false">H132+D133</f>
        <v>210.5</v>
      </c>
      <c r="J133" s="8" t="n">
        <v>0</v>
      </c>
      <c r="K133" s="8" t="n">
        <f aca="false">K132+J133</f>
        <v>386</v>
      </c>
      <c r="L133" s="8" t="n">
        <v>0.5</v>
      </c>
      <c r="M133" s="8" t="n">
        <f aca="false">M132+L133</f>
        <v>164.3</v>
      </c>
      <c r="N133" s="14" t="n">
        <f aca="false">J133-L133</f>
        <v>-0.5</v>
      </c>
      <c r="O133" s="8" t="n">
        <v>153</v>
      </c>
      <c r="P133" s="8" t="n">
        <v>128</v>
      </c>
      <c r="Q133" s="17" t="n">
        <f aca="false">1+((P133-101)/107)*(1.15-1)</f>
        <v>1.03785046728972</v>
      </c>
      <c r="R133" s="15" t="n">
        <f aca="false">Q133*L133</f>
        <v>0.51892523364486</v>
      </c>
      <c r="S133" s="15" t="n">
        <f aca="false">J133-R133</f>
        <v>-0.51892523364486</v>
      </c>
      <c r="T133" s="15" t="n">
        <f aca="false">MIN(153.6,(T132+S133))</f>
        <v>152.944626168224</v>
      </c>
      <c r="V133" s="16" t="n">
        <v>223.2</v>
      </c>
      <c r="W133" s="8" t="n">
        <f aca="false">V133/D133</f>
        <v>42.9230769230769</v>
      </c>
      <c r="X133" s="8" t="n">
        <f aca="false">X132+V133</f>
        <v>62930.8</v>
      </c>
      <c r="Y133" s="8" t="n">
        <f aca="false">Y132+V133</f>
        <v>6547.5</v>
      </c>
      <c r="AA133" s="20" t="n">
        <v>8.26024293802581</v>
      </c>
    </row>
    <row r="134" s="8" customFormat="true" ht="15" hidden="false" customHeight="false" outlineLevel="0" collapsed="false">
      <c r="A134" s="35"/>
      <c r="B134" s="19"/>
      <c r="C134" s="11" t="n">
        <v>41650</v>
      </c>
      <c r="D134" s="18" t="n">
        <v>4.4</v>
      </c>
      <c r="E134" s="18" t="n">
        <v>3.4</v>
      </c>
      <c r="F134" s="8" t="n">
        <v>8.3</v>
      </c>
      <c r="G134" s="8" t="n">
        <f aca="false">G133+D134</f>
        <v>1271.8</v>
      </c>
      <c r="H134" s="8" t="n">
        <f aca="false">H133+D134</f>
        <v>214.9</v>
      </c>
      <c r="J134" s="8" t="n">
        <v>0</v>
      </c>
      <c r="K134" s="8" t="n">
        <f aca="false">K133+J134</f>
        <v>386</v>
      </c>
      <c r="L134" s="8" t="n">
        <v>0.7</v>
      </c>
      <c r="M134" s="8" t="n">
        <f aca="false">M133+L134</f>
        <v>165</v>
      </c>
      <c r="N134" s="14" t="n">
        <f aca="false">J134-L134</f>
        <v>-0.7</v>
      </c>
      <c r="O134" s="8" t="n">
        <v>152.3</v>
      </c>
      <c r="P134" s="8" t="n">
        <v>129</v>
      </c>
      <c r="Q134" s="17" t="n">
        <f aca="false">1+((P134-101)/107)*(1.15-1)</f>
        <v>1.0392523364486</v>
      </c>
      <c r="R134" s="15" t="n">
        <f aca="false">Q134*L134</f>
        <v>0.727476635514019</v>
      </c>
      <c r="S134" s="15" t="n">
        <f aca="false">J134-R134</f>
        <v>-0.727476635514019</v>
      </c>
      <c r="T134" s="15" t="n">
        <f aca="false">MIN(153.6,(T133+S134))</f>
        <v>152.21714953271</v>
      </c>
      <c r="V134" s="16" t="n">
        <v>177.1</v>
      </c>
      <c r="W134" s="8" t="n">
        <f aca="false">V134/D134</f>
        <v>40.25</v>
      </c>
      <c r="X134" s="8" t="n">
        <f aca="false">X133+V134</f>
        <v>63107.9</v>
      </c>
      <c r="Y134" s="8" t="n">
        <f aca="false">Y133+V134</f>
        <v>6724.6</v>
      </c>
      <c r="AA134" s="20" t="n">
        <v>8.29156485028449</v>
      </c>
    </row>
    <row r="135" s="8" customFormat="true" ht="15" hidden="false" customHeight="false" outlineLevel="0" collapsed="false">
      <c r="A135" s="35"/>
      <c r="B135" s="19"/>
      <c r="C135" s="11" t="n">
        <v>41651</v>
      </c>
      <c r="D135" s="18" t="n">
        <v>2.2</v>
      </c>
      <c r="E135" s="30" t="n">
        <v>-1.7</v>
      </c>
      <c r="F135" s="8" t="n">
        <v>7</v>
      </c>
      <c r="G135" s="8" t="n">
        <f aca="false">G134+D135</f>
        <v>1274</v>
      </c>
      <c r="H135" s="8" t="n">
        <f aca="false">H134+D135</f>
        <v>217.1</v>
      </c>
      <c r="J135" s="8" t="n">
        <v>0.2</v>
      </c>
      <c r="K135" s="8" t="n">
        <f aca="false">K134+J135</f>
        <v>386.2</v>
      </c>
      <c r="L135" s="8" t="n">
        <v>0.4</v>
      </c>
      <c r="M135" s="8" t="n">
        <f aca="false">M134+L135</f>
        <v>165.4</v>
      </c>
      <c r="N135" s="14" t="n">
        <f aca="false">J135-L135</f>
        <v>-0.2</v>
      </c>
      <c r="O135" s="8" t="n">
        <v>152.1</v>
      </c>
      <c r="P135" s="8" t="n">
        <v>130</v>
      </c>
      <c r="Q135" s="17" t="n">
        <f aca="false">1+((P135-101)/107)*(1.15-1)</f>
        <v>1.04065420560748</v>
      </c>
      <c r="R135" s="15" t="n">
        <f aca="false">Q135*L135</f>
        <v>0.416261682242991</v>
      </c>
      <c r="S135" s="15" t="n">
        <f aca="false">J135-R135</f>
        <v>-0.216261682242991</v>
      </c>
      <c r="T135" s="15" t="n">
        <f aca="false">MIN(153.6,(T134+S135))</f>
        <v>152.000887850467</v>
      </c>
      <c r="V135" s="16" t="n">
        <v>200.8</v>
      </c>
      <c r="W135" s="8" t="n">
        <f aca="false">V135/D135</f>
        <v>91.2727272727273</v>
      </c>
      <c r="X135" s="8" t="n">
        <f aca="false">X134+V135</f>
        <v>63308.7</v>
      </c>
      <c r="Y135" s="8" t="n">
        <f aca="false">Y134+V135</f>
        <v>6925.4</v>
      </c>
      <c r="AA135" s="20" t="n">
        <v>8.32426106233243</v>
      </c>
    </row>
    <row r="136" s="8" customFormat="true" ht="15" hidden="false" customHeight="false" outlineLevel="0" collapsed="false">
      <c r="A136" s="35"/>
      <c r="B136" s="10"/>
      <c r="C136" s="11" t="n">
        <v>41652</v>
      </c>
      <c r="D136" s="8" t="n">
        <v>6.7</v>
      </c>
      <c r="E136" s="18" t="n">
        <v>4.4</v>
      </c>
      <c r="F136" s="8" t="n">
        <v>8.9</v>
      </c>
      <c r="G136" s="8" t="n">
        <f aca="false">G135+D136</f>
        <v>1280.7</v>
      </c>
      <c r="H136" s="8" t="n">
        <f aca="false">H135+D136</f>
        <v>223.8</v>
      </c>
      <c r="J136" s="8" t="n">
        <v>3.3</v>
      </c>
      <c r="K136" s="8" t="n">
        <f aca="false">K135+J136</f>
        <v>389.5</v>
      </c>
      <c r="L136" s="8" t="n">
        <v>0.9</v>
      </c>
      <c r="M136" s="8" t="n">
        <f aca="false">M135+L136</f>
        <v>166.3</v>
      </c>
      <c r="N136" s="8" t="n">
        <f aca="false">J136-L136</f>
        <v>2.4</v>
      </c>
      <c r="O136" s="8" t="n">
        <v>153.6</v>
      </c>
      <c r="P136" s="8" t="n">
        <v>131</v>
      </c>
      <c r="Q136" s="17" t="n">
        <f aca="false">1+((P136-101)/107)*(1.15-1)</f>
        <v>1.04205607476636</v>
      </c>
      <c r="R136" s="15" t="n">
        <f aca="false">Q136*L136</f>
        <v>0.93785046728972</v>
      </c>
      <c r="S136" s="15" t="n">
        <f aca="false">J136-R136</f>
        <v>2.36214953271028</v>
      </c>
      <c r="T136" s="15" t="n">
        <f aca="false">MIN(153.6,(T135+S136))</f>
        <v>153.6</v>
      </c>
      <c r="V136" s="16" t="n">
        <v>506</v>
      </c>
      <c r="W136" s="8" t="n">
        <f aca="false">V136/D136</f>
        <v>75.5223880597015</v>
      </c>
      <c r="X136" s="8" t="n">
        <f aca="false">X135+V136</f>
        <v>63814.7</v>
      </c>
      <c r="Y136" s="8" t="n">
        <f aca="false">Y135+V136</f>
        <v>7431.4</v>
      </c>
      <c r="AA136" s="20" t="n">
        <v>8.35829854332072</v>
      </c>
    </row>
    <row r="137" s="8" customFormat="true" ht="15" hidden="false" customHeight="false" outlineLevel="0" collapsed="false">
      <c r="A137" s="35"/>
      <c r="B137" s="10"/>
      <c r="C137" s="11" t="n">
        <v>41653</v>
      </c>
      <c r="D137" s="8" t="n">
        <v>4.5</v>
      </c>
      <c r="E137" s="18" t="n">
        <v>3.8</v>
      </c>
      <c r="F137" s="8" t="n">
        <v>5.7</v>
      </c>
      <c r="G137" s="8" t="n">
        <f aca="false">G136+D137</f>
        <v>1285.2</v>
      </c>
      <c r="H137" s="8" t="n">
        <f aca="false">H136+D137</f>
        <v>228.3</v>
      </c>
      <c r="J137" s="8" t="n">
        <v>6.7</v>
      </c>
      <c r="K137" s="8" t="n">
        <f aca="false">K136+J137</f>
        <v>396.2</v>
      </c>
      <c r="L137" s="8" t="n">
        <v>0.4</v>
      </c>
      <c r="M137" s="8" t="n">
        <f aca="false">M136+L137</f>
        <v>166.7</v>
      </c>
      <c r="N137" s="8" t="n">
        <f aca="false">J137-L137</f>
        <v>6.3</v>
      </c>
      <c r="O137" s="8" t="n">
        <v>153.6</v>
      </c>
      <c r="P137" s="8" t="n">
        <v>132</v>
      </c>
      <c r="Q137" s="17" t="n">
        <f aca="false">1+((P137-101)/107)*(1.15-1)</f>
        <v>1.04345794392523</v>
      </c>
      <c r="R137" s="15" t="n">
        <f aca="false">Q137*L137</f>
        <v>0.417383177570093</v>
      </c>
      <c r="S137" s="15" t="n">
        <f aca="false">J137-R137</f>
        <v>6.28261682242991</v>
      </c>
      <c r="T137" s="15" t="n">
        <f aca="false">MIN(153.6,(T136+S137))</f>
        <v>153.6</v>
      </c>
      <c r="V137" s="16" t="n">
        <v>146.8</v>
      </c>
      <c r="W137" s="8" t="n">
        <f aca="false">V137/D137</f>
        <v>32.6222222222222</v>
      </c>
      <c r="X137" s="8" t="n">
        <f aca="false">X136+V137</f>
        <v>63961.5</v>
      </c>
      <c r="Y137" s="8" t="n">
        <f aca="false">Y136+V137</f>
        <v>7578.2</v>
      </c>
      <c r="AA137" s="20" t="n">
        <v>8.39364363514614</v>
      </c>
    </row>
    <row r="138" s="8" customFormat="true" ht="15" hidden="false" customHeight="false" outlineLevel="0" collapsed="false">
      <c r="A138" s="35"/>
      <c r="B138" s="10"/>
      <c r="C138" s="11" t="n">
        <v>41654</v>
      </c>
      <c r="D138" s="8" t="n">
        <v>5.8</v>
      </c>
      <c r="E138" s="18" t="n">
        <v>2.8</v>
      </c>
      <c r="F138" s="8" t="n">
        <v>9</v>
      </c>
      <c r="G138" s="8" t="n">
        <f aca="false">G137+D138</f>
        <v>1291</v>
      </c>
      <c r="H138" s="8" t="n">
        <f aca="false">H137+D138</f>
        <v>234.1</v>
      </c>
      <c r="J138" s="8" t="n">
        <v>4.2</v>
      </c>
      <c r="K138" s="8" t="n">
        <f aca="false">K137+J138</f>
        <v>400.4</v>
      </c>
      <c r="L138" s="8" t="n">
        <v>0.5</v>
      </c>
      <c r="M138" s="8" t="n">
        <f aca="false">M137+L138</f>
        <v>167.2</v>
      </c>
      <c r="N138" s="8" t="n">
        <f aca="false">J138-L138</f>
        <v>3.7</v>
      </c>
      <c r="O138" s="8" t="n">
        <v>153.6</v>
      </c>
      <c r="P138" s="8" t="n">
        <v>133</v>
      </c>
      <c r="Q138" s="17" t="n">
        <f aca="false">1+((P138-101)/107)*(1.15-1)</f>
        <v>1.04485981308411</v>
      </c>
      <c r="R138" s="15" t="n">
        <f aca="false">Q138*L138</f>
        <v>0.522429906542056</v>
      </c>
      <c r="S138" s="15" t="n">
        <f aca="false">J138-R138</f>
        <v>3.67757009345794</v>
      </c>
      <c r="T138" s="15" t="n">
        <f aca="false">MIN(153.6,(T137+S138))</f>
        <v>153.6</v>
      </c>
      <c r="V138" s="16" t="n">
        <v>122.8</v>
      </c>
      <c r="W138" s="8" t="n">
        <f aca="false">V138/D138</f>
        <v>21.1724137931035</v>
      </c>
      <c r="X138" s="8" t="n">
        <f aca="false">X137+V138</f>
        <v>64084.3</v>
      </c>
      <c r="Y138" s="8" t="n">
        <f aca="false">Y137+V138</f>
        <v>7701</v>
      </c>
      <c r="AA138" s="20" t="n">
        <v>8.43026215984552</v>
      </c>
    </row>
    <row r="139" s="8" customFormat="true" ht="15" hidden="false" customHeight="false" outlineLevel="0" collapsed="false">
      <c r="A139" s="35"/>
      <c r="B139" s="10"/>
      <c r="C139" s="11" t="n">
        <v>41655</v>
      </c>
      <c r="D139" s="8" t="n">
        <v>8.1</v>
      </c>
      <c r="E139" s="8" t="n">
        <v>7.2</v>
      </c>
      <c r="F139" s="8" t="n">
        <v>8.6</v>
      </c>
      <c r="G139" s="8" t="n">
        <f aca="false">G138+D139</f>
        <v>1299.1</v>
      </c>
      <c r="H139" s="8" t="n">
        <f aca="false">H138+D139</f>
        <v>242.2</v>
      </c>
      <c r="J139" s="8" t="n">
        <v>6.5</v>
      </c>
      <c r="K139" s="8" t="n">
        <f aca="false">K138+J139</f>
        <v>406.9</v>
      </c>
      <c r="L139" s="8" t="n">
        <v>0.7</v>
      </c>
      <c r="M139" s="8" t="n">
        <f aca="false">M138+L139</f>
        <v>167.9</v>
      </c>
      <c r="N139" s="8" t="n">
        <f aca="false">J139-L139</f>
        <v>5.8</v>
      </c>
      <c r="O139" s="8" t="n">
        <v>153.6</v>
      </c>
      <c r="P139" s="8" t="n">
        <v>134</v>
      </c>
      <c r="Q139" s="17" t="n">
        <f aca="false">1+((P139-101)/107)*(1.15-1)</f>
        <v>1.04626168224299</v>
      </c>
      <c r="R139" s="15" t="n">
        <f aca="false">Q139*L139</f>
        <v>0.732383177570093</v>
      </c>
      <c r="S139" s="15" t="n">
        <f aca="false">J139-R139</f>
        <v>5.76761682242991</v>
      </c>
      <c r="T139" s="15" t="n">
        <f aca="false">MIN(153.6,(T138+S139))</f>
        <v>153.6</v>
      </c>
      <c r="V139" s="16" t="n">
        <v>72</v>
      </c>
      <c r="W139" s="8" t="n">
        <f aca="false">V139/D139</f>
        <v>8.88888888888889</v>
      </c>
      <c r="X139" s="8" t="n">
        <f aca="false">X138+V139</f>
        <v>64156.3</v>
      </c>
      <c r="Y139" s="8" t="n">
        <f aca="false">Y138+V139</f>
        <v>7773</v>
      </c>
      <c r="AA139" s="20" t="n">
        <v>8.46811952437174</v>
      </c>
    </row>
    <row r="140" s="8" customFormat="true" ht="15" hidden="false" customHeight="false" outlineLevel="0" collapsed="false">
      <c r="A140" s="35"/>
      <c r="B140" s="10"/>
      <c r="C140" s="11" t="n">
        <v>41656</v>
      </c>
      <c r="D140" s="8" t="n">
        <v>7.6</v>
      </c>
      <c r="E140" s="8" t="n">
        <v>7.2</v>
      </c>
      <c r="F140" s="8" t="n">
        <v>8</v>
      </c>
      <c r="G140" s="8" t="n">
        <f aca="false">G139+D140</f>
        <v>1306.7</v>
      </c>
      <c r="H140" s="8" t="n">
        <f aca="false">H139+D140</f>
        <v>249.8</v>
      </c>
      <c r="J140" s="8" t="n">
        <v>6</v>
      </c>
      <c r="K140" s="8" t="n">
        <f aca="false">K139+J140</f>
        <v>412.9</v>
      </c>
      <c r="L140" s="8" t="n">
        <v>0.9</v>
      </c>
      <c r="M140" s="8" t="n">
        <f aca="false">M139+L140</f>
        <v>168.8</v>
      </c>
      <c r="N140" s="8" t="n">
        <f aca="false">J140-L140</f>
        <v>5.1</v>
      </c>
      <c r="O140" s="8" t="n">
        <v>153.6</v>
      </c>
      <c r="P140" s="8" t="n">
        <v>135</v>
      </c>
      <c r="Q140" s="17" t="n">
        <f aca="false">1+((P140-101)/107)*(1.15-1)</f>
        <v>1.04766355140187</v>
      </c>
      <c r="R140" s="15" t="n">
        <f aca="false">Q140*L140</f>
        <v>0.942897196261682</v>
      </c>
      <c r="S140" s="15" t="n">
        <f aca="false">J140-R140</f>
        <v>5.05710280373832</v>
      </c>
      <c r="T140" s="15" t="n">
        <f aca="false">MIN(153.6,(T139+S140))</f>
        <v>153.6</v>
      </c>
      <c r="V140" s="16" t="n">
        <v>95.1</v>
      </c>
      <c r="W140" s="8" t="n">
        <f aca="false">V140/D140</f>
        <v>12.5131578947368</v>
      </c>
      <c r="X140" s="8" t="n">
        <f aca="false">X139+V140</f>
        <v>64251.4</v>
      </c>
      <c r="Y140" s="8" t="n">
        <f aca="false">Y139+V140</f>
        <v>7868.1</v>
      </c>
      <c r="AA140" s="20" t="n">
        <v>8.50718082225267</v>
      </c>
    </row>
    <row r="141" s="8" customFormat="true" ht="15" hidden="false" customHeight="false" outlineLevel="0" collapsed="false">
      <c r="A141" s="35"/>
      <c r="B141" s="10"/>
      <c r="C141" s="11" t="n">
        <v>41657</v>
      </c>
      <c r="D141" s="8" t="n">
        <v>6</v>
      </c>
      <c r="E141" s="18" t="n">
        <v>3.8</v>
      </c>
      <c r="F141" s="8" t="n">
        <v>8.8</v>
      </c>
      <c r="G141" s="8" t="n">
        <f aca="false">G140+D141</f>
        <v>1312.7</v>
      </c>
      <c r="H141" s="8" t="n">
        <f aca="false">H140+D141</f>
        <v>255.8</v>
      </c>
      <c r="J141" s="8" t="n">
        <v>0.1</v>
      </c>
      <c r="K141" s="8" t="n">
        <f aca="false">K140+J141</f>
        <v>413</v>
      </c>
      <c r="L141" s="8" t="n">
        <v>0.8</v>
      </c>
      <c r="M141" s="8" t="n">
        <f aca="false">M140+L141</f>
        <v>169.6</v>
      </c>
      <c r="N141" s="14" t="n">
        <f aca="false">J141-L141</f>
        <v>-0.7</v>
      </c>
      <c r="O141" s="8" t="n">
        <v>152.9</v>
      </c>
      <c r="P141" s="8" t="n">
        <v>136</v>
      </c>
      <c r="Q141" s="17" t="n">
        <f aca="false">1+((P141-101)/107)*(1.15-1)</f>
        <v>1.04906542056075</v>
      </c>
      <c r="R141" s="15" t="n">
        <f aca="false">Q141*L141</f>
        <v>0.839252336448598</v>
      </c>
      <c r="S141" s="15" t="n">
        <f aca="false">J141-R141</f>
        <v>-0.739252336448598</v>
      </c>
      <c r="T141" s="15" t="n">
        <f aca="false">MIN(153.6,(T140+S141))</f>
        <v>152.860747663551</v>
      </c>
      <c r="V141" s="16" t="n">
        <v>271.4</v>
      </c>
      <c r="W141" s="8" t="n">
        <f aca="false">V141/D141</f>
        <v>45.2333333333333</v>
      </c>
      <c r="X141" s="8" t="n">
        <f aca="false">X140+V141</f>
        <v>64522.8</v>
      </c>
      <c r="Y141" s="8" t="n">
        <f aca="false">Y140+V141</f>
        <v>8139.5</v>
      </c>
      <c r="AA141" s="20" t="n">
        <v>8.54741093169257</v>
      </c>
    </row>
    <row r="142" s="8" customFormat="true" ht="15" hidden="false" customHeight="false" outlineLevel="0" collapsed="false">
      <c r="A142" s="35"/>
      <c r="B142" s="10"/>
      <c r="C142" s="11" t="n">
        <v>41658</v>
      </c>
      <c r="D142" s="8" t="n">
        <v>6.9</v>
      </c>
      <c r="E142" s="18" t="n">
        <v>4.9</v>
      </c>
      <c r="F142" s="8" t="n">
        <v>8.7</v>
      </c>
      <c r="G142" s="8" t="n">
        <f aca="false">G141+D142</f>
        <v>1319.6</v>
      </c>
      <c r="H142" s="8" t="n">
        <f aca="false">H141+D142</f>
        <v>262.7</v>
      </c>
      <c r="J142" s="8" t="n">
        <v>0.5</v>
      </c>
      <c r="K142" s="8" t="n">
        <f aca="false">K141+J142</f>
        <v>413.5</v>
      </c>
      <c r="L142" s="8" t="n">
        <v>0.7</v>
      </c>
      <c r="M142" s="8" t="n">
        <f aca="false">M141+L142</f>
        <v>170.3</v>
      </c>
      <c r="N142" s="14" t="n">
        <f aca="false">J142-L142</f>
        <v>-0.2</v>
      </c>
      <c r="O142" s="8" t="n">
        <v>152.7</v>
      </c>
      <c r="P142" s="8" t="n">
        <v>137</v>
      </c>
      <c r="Q142" s="17" t="n">
        <f aca="false">1+((P142-101)/107)*(1.15-1)</f>
        <v>1.05046728971963</v>
      </c>
      <c r="R142" s="15" t="n">
        <f aca="false">Q142*L142</f>
        <v>0.735327102803738</v>
      </c>
      <c r="S142" s="15" t="n">
        <f aca="false">J142-R142</f>
        <v>-0.235327102803738</v>
      </c>
      <c r="T142" s="15" t="n">
        <f aca="false">MIN(153.6,(T141+S142))</f>
        <v>152.625420560748</v>
      </c>
      <c r="V142" s="16" t="n">
        <v>214.8</v>
      </c>
      <c r="W142" s="8" t="n">
        <f aca="false">V142/D142</f>
        <v>31.1304347826087</v>
      </c>
      <c r="X142" s="8" t="n">
        <f aca="false">X141+V142</f>
        <v>64737.6</v>
      </c>
      <c r="Y142" s="8" t="n">
        <f aca="false">Y141+V142</f>
        <v>8354.3</v>
      </c>
      <c r="AA142" s="20" t="n">
        <v>8.58877460973502</v>
      </c>
    </row>
    <row r="143" s="8" customFormat="true" ht="15" hidden="false" customHeight="false" outlineLevel="0" collapsed="false">
      <c r="A143" s="35"/>
      <c r="B143" s="10"/>
      <c r="C143" s="11" t="n">
        <v>41659</v>
      </c>
      <c r="D143" s="8" t="n">
        <v>5.2</v>
      </c>
      <c r="E143" s="18" t="n">
        <v>3.6</v>
      </c>
      <c r="F143" s="8" t="n">
        <v>7.1</v>
      </c>
      <c r="G143" s="8" t="n">
        <f aca="false">G142+D143</f>
        <v>1324.8</v>
      </c>
      <c r="H143" s="8" t="n">
        <f aca="false">H142+D143</f>
        <v>267.9</v>
      </c>
      <c r="J143" s="8" t="n">
        <v>0.1</v>
      </c>
      <c r="K143" s="8" t="n">
        <f aca="false">K142+J143</f>
        <v>413.6</v>
      </c>
      <c r="L143" s="8" t="n">
        <v>0.4</v>
      </c>
      <c r="M143" s="8" t="n">
        <f aca="false">M142+L143</f>
        <v>170.7</v>
      </c>
      <c r="N143" s="14" t="n">
        <f aca="false">J143-L143</f>
        <v>-0.3</v>
      </c>
      <c r="O143" s="8" t="n">
        <v>152.4</v>
      </c>
      <c r="P143" s="8" t="n">
        <v>138</v>
      </c>
      <c r="Q143" s="17" t="n">
        <f aca="false">1+((P143-101)/107)*(1.15-1)</f>
        <v>1.0518691588785</v>
      </c>
      <c r="R143" s="15" t="n">
        <f aca="false">Q143*L143</f>
        <v>0.420747663551402</v>
      </c>
      <c r="S143" s="15" t="n">
        <f aca="false">J143-R143</f>
        <v>-0.320747663551402</v>
      </c>
      <c r="T143" s="15" t="n">
        <f aca="false">MIN(153.6,(T142+S143))</f>
        <v>152.304672897196</v>
      </c>
      <c r="V143" s="16" t="n">
        <v>53.1</v>
      </c>
      <c r="W143" s="8" t="n">
        <f aca="false">V143/D143</f>
        <v>10.2115384615385</v>
      </c>
      <c r="X143" s="8" t="n">
        <f aca="false">X142+V143</f>
        <v>64790.7</v>
      </c>
      <c r="Y143" s="8" t="n">
        <f aca="false">Y142+V143</f>
        <v>8407.4</v>
      </c>
      <c r="AA143" s="20" t="n">
        <v>8.63123658216432</v>
      </c>
    </row>
    <row r="144" s="8" customFormat="true" ht="15" hidden="false" customHeight="false" outlineLevel="0" collapsed="false">
      <c r="A144" s="35"/>
      <c r="B144" s="19"/>
      <c r="C144" s="11" t="n">
        <v>41660</v>
      </c>
      <c r="D144" s="18" t="n">
        <v>4.1</v>
      </c>
      <c r="E144" s="18" t="n">
        <v>3.1</v>
      </c>
      <c r="F144" s="18" t="n">
        <v>4.7</v>
      </c>
      <c r="G144" s="8" t="n">
        <f aca="false">G143+D144</f>
        <v>1328.9</v>
      </c>
      <c r="H144" s="8" t="n">
        <f aca="false">H143+D144</f>
        <v>272</v>
      </c>
      <c r="J144" s="8" t="n">
        <v>0</v>
      </c>
      <c r="K144" s="8" t="n">
        <f aca="false">K143+J144</f>
        <v>413.6</v>
      </c>
      <c r="L144" s="8" t="n">
        <v>0.4</v>
      </c>
      <c r="M144" s="8" t="n">
        <f aca="false">M143+L144</f>
        <v>171.1</v>
      </c>
      <c r="N144" s="14" t="n">
        <f aca="false">J144-L144</f>
        <v>-0.4</v>
      </c>
      <c r="O144" s="8" t="n">
        <v>152</v>
      </c>
      <c r="P144" s="8" t="n">
        <v>139</v>
      </c>
      <c r="Q144" s="17" t="n">
        <f aca="false">1+((P144-101)/107)*(1.15-1)</f>
        <v>1.05327102803738</v>
      </c>
      <c r="R144" s="15" t="n">
        <f aca="false">Q144*L144</f>
        <v>0.421308411214953</v>
      </c>
      <c r="S144" s="15" t="n">
        <f aca="false">J144-R144</f>
        <v>-0.421308411214953</v>
      </c>
      <c r="T144" s="15" t="n">
        <f aca="false">MIN(153.6,(T143+S144))</f>
        <v>151.883364485981</v>
      </c>
      <c r="V144" s="16" t="n">
        <v>252.7</v>
      </c>
      <c r="W144" s="8" t="n">
        <f aca="false">V144/D144</f>
        <v>61.6341463414634</v>
      </c>
      <c r="X144" s="8" t="n">
        <f aca="false">X143+V144</f>
        <v>65043.4</v>
      </c>
      <c r="Y144" s="8" t="n">
        <f aca="false">Y143+V144</f>
        <v>8660.1</v>
      </c>
      <c r="AA144" s="20" t="n">
        <v>8.67476162888025</v>
      </c>
    </row>
    <row r="145" s="8" customFormat="true" ht="15" hidden="false" customHeight="false" outlineLevel="0" collapsed="false">
      <c r="A145" s="35"/>
      <c r="B145" s="19"/>
      <c r="C145" s="11" t="n">
        <v>41661</v>
      </c>
      <c r="D145" s="18" t="n">
        <v>3.8</v>
      </c>
      <c r="E145" s="18" t="n">
        <v>2.8</v>
      </c>
      <c r="F145" s="18" t="n">
        <v>4.7</v>
      </c>
      <c r="G145" s="8" t="n">
        <f aca="false">G144+D145</f>
        <v>1332.7</v>
      </c>
      <c r="H145" s="8" t="n">
        <f aca="false">H144+D145</f>
        <v>275.8</v>
      </c>
      <c r="J145" s="8" t="n">
        <v>4.7</v>
      </c>
      <c r="K145" s="8" t="n">
        <f aca="false">K144+J145</f>
        <v>418.3</v>
      </c>
      <c r="L145" s="8" t="n">
        <v>0.7</v>
      </c>
      <c r="M145" s="8" t="n">
        <f aca="false">M144+L145</f>
        <v>171.8</v>
      </c>
      <c r="N145" s="8" t="n">
        <f aca="false">J145-L145</f>
        <v>4</v>
      </c>
      <c r="O145" s="8" t="n">
        <v>153.6</v>
      </c>
      <c r="P145" s="8" t="n">
        <v>140</v>
      </c>
      <c r="Q145" s="17" t="n">
        <f aca="false">1+((P145-101)/107)*(1.15-1)</f>
        <v>1.05467289719626</v>
      </c>
      <c r="R145" s="15" t="n">
        <f aca="false">Q145*L145</f>
        <v>0.738271028037383</v>
      </c>
      <c r="S145" s="15" t="n">
        <f aca="false">J145-R145</f>
        <v>3.96172897196262</v>
      </c>
      <c r="T145" s="15" t="n">
        <f aca="false">MIN(153.6,(T144+S145))</f>
        <v>153.6</v>
      </c>
      <c r="V145" s="16" t="n">
        <v>221.5</v>
      </c>
      <c r="W145" s="8" t="n">
        <f aca="false">V145/D145</f>
        <v>58.2894736842105</v>
      </c>
      <c r="X145" s="8" t="n">
        <f aca="false">X144+V145</f>
        <v>65264.9</v>
      </c>
      <c r="Y145" s="8" t="n">
        <f aca="false">Y144+V145</f>
        <v>8881.6</v>
      </c>
      <c r="AA145" s="20" t="n">
        <v>8.71931466453562</v>
      </c>
    </row>
    <row r="146" s="8" customFormat="true" ht="15" hidden="false" customHeight="false" outlineLevel="0" collapsed="false">
      <c r="A146" s="35"/>
      <c r="B146" s="10"/>
      <c r="C146" s="11" t="n">
        <v>41662</v>
      </c>
      <c r="D146" s="8" t="n">
        <v>5.6</v>
      </c>
      <c r="E146" s="18" t="n">
        <v>3.9</v>
      </c>
      <c r="F146" s="8" t="n">
        <v>8.7</v>
      </c>
      <c r="G146" s="8" t="n">
        <f aca="false">G145+D146</f>
        <v>1338.3</v>
      </c>
      <c r="H146" s="8" t="n">
        <f aca="false">H145+D146</f>
        <v>281.4</v>
      </c>
      <c r="J146" s="8" t="n">
        <v>5.1</v>
      </c>
      <c r="K146" s="8" t="n">
        <f aca="false">K145+J146</f>
        <v>423.4</v>
      </c>
      <c r="L146" s="8" t="n">
        <v>1</v>
      </c>
      <c r="M146" s="8" t="n">
        <f aca="false">M145+L146</f>
        <v>172.8</v>
      </c>
      <c r="N146" s="8" t="n">
        <f aca="false">J146-L146</f>
        <v>4.1</v>
      </c>
      <c r="O146" s="8" t="n">
        <v>153.6</v>
      </c>
      <c r="P146" s="8" t="n">
        <v>141</v>
      </c>
      <c r="Q146" s="17" t="n">
        <f aca="false">1+((P146-101)/107)*(1.15-1)</f>
        <v>1.05607476635514</v>
      </c>
      <c r="R146" s="15" t="n">
        <f aca="false">Q146*L146</f>
        <v>1.05607476635514</v>
      </c>
      <c r="S146" s="15" t="n">
        <f aca="false">J146-R146</f>
        <v>4.04392523364486</v>
      </c>
      <c r="T146" s="15" t="n">
        <f aca="false">MIN(153.6,(T145+S146))</f>
        <v>153.6</v>
      </c>
      <c r="V146" s="16" t="n">
        <v>363.1</v>
      </c>
      <c r="W146" s="8" t="n">
        <f aca="false">V146/D146</f>
        <v>64.8392857142857</v>
      </c>
      <c r="X146" s="8" t="n">
        <f aca="false">X145+V146</f>
        <v>65628</v>
      </c>
      <c r="Y146" s="8" t="n">
        <f aca="false">Y145+V146</f>
        <v>9244.7</v>
      </c>
      <c r="AA146" s="20" t="n">
        <v>8.76486081427931</v>
      </c>
    </row>
    <row r="147" s="8" customFormat="true" ht="15" hidden="false" customHeight="false" outlineLevel="0" collapsed="false">
      <c r="A147" s="35"/>
      <c r="B147" s="19"/>
      <c r="C147" s="11" t="n">
        <v>41663</v>
      </c>
      <c r="D147" s="18" t="n">
        <v>2.9</v>
      </c>
      <c r="E147" s="30" t="n">
        <v>-0.1</v>
      </c>
      <c r="F147" s="8" t="n">
        <v>6.9</v>
      </c>
      <c r="G147" s="8" t="n">
        <f aca="false">G146+D147</f>
        <v>1341.2</v>
      </c>
      <c r="H147" s="8" t="n">
        <f aca="false">H146+D147</f>
        <v>284.3</v>
      </c>
      <c r="J147" s="8" t="n">
        <v>1.6</v>
      </c>
      <c r="K147" s="8" t="n">
        <f aca="false">K146+J147</f>
        <v>425</v>
      </c>
      <c r="L147" s="8" t="n">
        <v>0.8</v>
      </c>
      <c r="M147" s="8" t="n">
        <f aca="false">M146+L147</f>
        <v>173.6</v>
      </c>
      <c r="N147" s="8" t="n">
        <f aca="false">J147-L147</f>
        <v>0.8</v>
      </c>
      <c r="O147" s="8" t="n">
        <v>153.6</v>
      </c>
      <c r="P147" s="8" t="n">
        <v>142</v>
      </c>
      <c r="Q147" s="17" t="n">
        <f aca="false">1+((P147-101)/107)*(1.15-1)</f>
        <v>1.05747663551402</v>
      </c>
      <c r="R147" s="15" t="n">
        <f aca="false">Q147*L147</f>
        <v>0.845981308411215</v>
      </c>
      <c r="S147" s="15" t="n">
        <f aca="false">J147-R147</f>
        <v>0.754018691588785</v>
      </c>
      <c r="T147" s="15" t="n">
        <f aca="false">MIN(153.6,(T146+S147))</f>
        <v>153.6</v>
      </c>
      <c r="V147" s="16" t="n">
        <v>558.1</v>
      </c>
      <c r="W147" s="8" t="n">
        <f aca="false">V147/D147</f>
        <v>192.448275862069</v>
      </c>
      <c r="X147" s="8" t="n">
        <f aca="false">X146+V147</f>
        <v>66186.1</v>
      </c>
      <c r="Y147" s="8" t="n">
        <f aca="false">Y146+V147</f>
        <v>9802.8</v>
      </c>
      <c r="AA147" s="20" t="n">
        <v>8.81136548449693</v>
      </c>
    </row>
    <row r="148" s="8" customFormat="true" ht="15" hidden="false" customHeight="false" outlineLevel="0" collapsed="false">
      <c r="A148" s="35"/>
      <c r="B148" s="19"/>
      <c r="C148" s="11" t="n">
        <v>41664</v>
      </c>
      <c r="D148" s="18" t="n">
        <v>4.8</v>
      </c>
      <c r="E148" s="18" t="n">
        <v>2.3</v>
      </c>
      <c r="F148" s="8" t="n">
        <v>6.9</v>
      </c>
      <c r="G148" s="8" t="n">
        <f aca="false">G147+D148</f>
        <v>1346</v>
      </c>
      <c r="H148" s="8" t="n">
        <f aca="false">H147+D148</f>
        <v>289.1</v>
      </c>
      <c r="J148" s="8" t="n">
        <v>1.8</v>
      </c>
      <c r="K148" s="8" t="n">
        <f aca="false">K147+J148</f>
        <v>426.8</v>
      </c>
      <c r="L148" s="8" t="n">
        <v>0.8</v>
      </c>
      <c r="M148" s="8" t="n">
        <f aca="false">M147+L148</f>
        <v>174.4</v>
      </c>
      <c r="N148" s="8" t="n">
        <f aca="false">J148-L148</f>
        <v>1</v>
      </c>
      <c r="O148" s="8" t="n">
        <v>153.6</v>
      </c>
      <c r="P148" s="8" t="n">
        <v>143</v>
      </c>
      <c r="Q148" s="17" t="n">
        <f aca="false">1+((P148-101)/107)*(1.15-1)</f>
        <v>1.0588785046729</v>
      </c>
      <c r="R148" s="15" t="n">
        <f aca="false">Q148*L148</f>
        <v>0.847102803738318</v>
      </c>
      <c r="S148" s="15" t="n">
        <f aca="false">J148-R148</f>
        <v>0.952897196261682</v>
      </c>
      <c r="T148" s="15" t="n">
        <f aca="false">MIN(153.6,(T147+S148))</f>
        <v>153.6</v>
      </c>
      <c r="V148" s="16" t="n">
        <v>193.2</v>
      </c>
      <c r="W148" s="8" t="n">
        <f aca="false">V148/D148</f>
        <v>40.25</v>
      </c>
      <c r="X148" s="8" t="n">
        <f aca="false">X147+V148</f>
        <v>66379.3</v>
      </c>
      <c r="Y148" s="8" t="n">
        <f aca="false">Y147+V148</f>
        <v>9996</v>
      </c>
      <c r="AA148" s="20" t="n">
        <v>8.8587944284878</v>
      </c>
    </row>
    <row r="149" s="8" customFormat="true" ht="15" hidden="false" customHeight="false" outlineLevel="0" collapsed="false">
      <c r="A149" s="35"/>
      <c r="B149" s="10"/>
      <c r="C149" s="11" t="n">
        <v>41665</v>
      </c>
      <c r="D149" s="8" t="n">
        <v>5.1</v>
      </c>
      <c r="E149" s="18" t="n">
        <v>2.2</v>
      </c>
      <c r="F149" s="8" t="n">
        <v>7.5</v>
      </c>
      <c r="G149" s="8" t="n">
        <f aca="false">G148+D149</f>
        <v>1351.1</v>
      </c>
      <c r="H149" s="8" t="n">
        <f aca="false">H148+D149</f>
        <v>294.2</v>
      </c>
      <c r="J149" s="8" t="n">
        <v>8.5</v>
      </c>
      <c r="K149" s="8" t="n">
        <f aca="false">K148+J149</f>
        <v>435.3</v>
      </c>
      <c r="L149" s="8" t="n">
        <v>0.8</v>
      </c>
      <c r="M149" s="8" t="n">
        <f aca="false">M148+L149</f>
        <v>175.2</v>
      </c>
      <c r="N149" s="8" t="n">
        <f aca="false">J149-L149</f>
        <v>7.7</v>
      </c>
      <c r="O149" s="8" t="n">
        <v>153.6</v>
      </c>
      <c r="P149" s="8" t="n">
        <v>144</v>
      </c>
      <c r="Q149" s="17" t="n">
        <f aca="false">1+((P149-101)/107)*(1.15-1)</f>
        <v>1.06028037383178</v>
      </c>
      <c r="R149" s="15" t="n">
        <f aca="false">Q149*L149</f>
        <v>0.848224299065421</v>
      </c>
      <c r="S149" s="15" t="n">
        <f aca="false">J149-R149</f>
        <v>7.65177570093458</v>
      </c>
      <c r="T149" s="15" t="n">
        <f aca="false">MIN(153.6,(T148+S149))</f>
        <v>153.6</v>
      </c>
      <c r="V149" s="16" t="n">
        <v>131.6</v>
      </c>
      <c r="W149" s="8" t="n">
        <f aca="false">V149/D149</f>
        <v>25.8039215686275</v>
      </c>
      <c r="X149" s="8" t="n">
        <f aca="false">X148+V149</f>
        <v>66510.9</v>
      </c>
      <c r="Y149" s="8" t="n">
        <f aca="false">Y148+V149</f>
        <v>10127.6</v>
      </c>
      <c r="AA149" s="20" t="n">
        <v>8.9071138070594</v>
      </c>
    </row>
    <row r="150" s="8" customFormat="true" ht="15" hidden="false" customHeight="false" outlineLevel="0" collapsed="false">
      <c r="A150" s="35"/>
      <c r="B150" s="19"/>
      <c r="C150" s="11" t="n">
        <v>41666</v>
      </c>
      <c r="D150" s="18" t="n">
        <v>3.7</v>
      </c>
      <c r="E150" s="18" t="n">
        <v>2.6</v>
      </c>
      <c r="F150" s="18" t="n">
        <v>4.6</v>
      </c>
      <c r="G150" s="8" t="n">
        <f aca="false">G149+D150</f>
        <v>1354.8</v>
      </c>
      <c r="H150" s="8" t="n">
        <f aca="false">H149+D150</f>
        <v>297.9</v>
      </c>
      <c r="J150" s="8" t="n">
        <v>4.8</v>
      </c>
      <c r="K150" s="8" t="n">
        <f aca="false">K149+J150</f>
        <v>440.1</v>
      </c>
      <c r="L150" s="8" t="n">
        <v>0.7</v>
      </c>
      <c r="M150" s="8" t="n">
        <f aca="false">M149+L150</f>
        <v>175.9</v>
      </c>
      <c r="N150" s="8" t="n">
        <f aca="false">J150-L150</f>
        <v>4.1</v>
      </c>
      <c r="O150" s="8" t="n">
        <v>153.6</v>
      </c>
      <c r="P150" s="8" t="n">
        <v>145</v>
      </c>
      <c r="Q150" s="17" t="n">
        <f aca="false">1+((P150-101)/107)*(1.15-1)</f>
        <v>1.06168224299065</v>
      </c>
      <c r="R150" s="15" t="n">
        <f aca="false">Q150*L150</f>
        <v>0.743177570093458</v>
      </c>
      <c r="S150" s="15" t="n">
        <f aca="false">J150-R150</f>
        <v>4.05682242990654</v>
      </c>
      <c r="T150" s="15" t="n">
        <f aca="false">MIN(153.6,(T149+S150))</f>
        <v>153.6</v>
      </c>
      <c r="V150" s="16" t="n">
        <v>131.9</v>
      </c>
      <c r="W150" s="8" t="n">
        <f aca="false">V150/D150</f>
        <v>35.6486486486486</v>
      </c>
      <c r="X150" s="8" t="n">
        <f aca="false">X149+V150</f>
        <v>66642.8</v>
      </c>
      <c r="Y150" s="8" t="n">
        <f aca="false">Y149+V150</f>
        <v>10259.5</v>
      </c>
      <c r="AA150" s="20" t="n">
        <v>8.95629024405983</v>
      </c>
    </row>
    <row r="151" s="8" customFormat="true" ht="15" hidden="false" customHeight="false" outlineLevel="0" collapsed="false">
      <c r="A151" s="35"/>
      <c r="B151" s="10"/>
      <c r="C151" s="11" t="n">
        <v>41667</v>
      </c>
      <c r="D151" s="18" t="n">
        <v>4.3</v>
      </c>
      <c r="E151" s="18" t="n">
        <v>3.2</v>
      </c>
      <c r="F151" s="8" t="n">
        <v>5.1</v>
      </c>
      <c r="G151" s="8" t="n">
        <f aca="false">G150+D151</f>
        <v>1359.1</v>
      </c>
      <c r="H151" s="8" t="n">
        <f aca="false">H150+D151</f>
        <v>302.2</v>
      </c>
      <c r="J151" s="8" t="n">
        <v>3.1</v>
      </c>
      <c r="K151" s="8" t="n">
        <f aca="false">K150+J151</f>
        <v>443.2</v>
      </c>
      <c r="L151" s="8" t="n">
        <v>0.6</v>
      </c>
      <c r="M151" s="8" t="n">
        <f aca="false">M150+L151</f>
        <v>176.5</v>
      </c>
      <c r="N151" s="8" t="n">
        <f aca="false">J151-L151</f>
        <v>2.5</v>
      </c>
      <c r="O151" s="8" t="n">
        <v>153.6</v>
      </c>
      <c r="P151" s="8" t="n">
        <v>146</v>
      </c>
      <c r="Q151" s="17" t="n">
        <f aca="false">1+((P151-101)/107)*(1.15-1)</f>
        <v>1.06308411214953</v>
      </c>
      <c r="R151" s="15" t="n">
        <f aca="false">Q151*L151</f>
        <v>0.63785046728972</v>
      </c>
      <c r="S151" s="15" t="n">
        <f aca="false">J151-R151</f>
        <v>2.46214953271028</v>
      </c>
      <c r="T151" s="15" t="n">
        <f aca="false">MIN(153.6,(T150+S151))</f>
        <v>153.6</v>
      </c>
      <c r="V151" s="16" t="n">
        <v>96.5</v>
      </c>
      <c r="W151" s="8" t="n">
        <f aca="false">V151/D151</f>
        <v>22.4418604651163</v>
      </c>
      <c r="X151" s="8" t="n">
        <f aca="false">X150+V151</f>
        <v>66739.3</v>
      </c>
      <c r="Y151" s="8" t="n">
        <f aca="false">Y150+V151</f>
        <v>10356</v>
      </c>
      <c r="AA151" s="8" t="n">
        <v>9.00629087690335</v>
      </c>
    </row>
    <row r="152" s="8" customFormat="true" ht="15" hidden="false" customHeight="false" outlineLevel="0" collapsed="false">
      <c r="A152" s="35"/>
      <c r="B152" s="10"/>
      <c r="C152" s="11" t="n">
        <v>41668</v>
      </c>
      <c r="D152" s="18" t="n">
        <v>4.3</v>
      </c>
      <c r="E152" s="18" t="n">
        <v>3.5</v>
      </c>
      <c r="F152" s="8" t="n">
        <v>5.6</v>
      </c>
      <c r="G152" s="8" t="n">
        <f aca="false">G151+D152</f>
        <v>1363.4</v>
      </c>
      <c r="H152" s="8" t="n">
        <f aca="false">H151+D152</f>
        <v>306.5</v>
      </c>
      <c r="J152" s="8" t="n">
        <v>3.5</v>
      </c>
      <c r="K152" s="8" t="n">
        <f aca="false">K151+J152</f>
        <v>446.7</v>
      </c>
      <c r="L152" s="8" t="n">
        <v>1.1</v>
      </c>
      <c r="M152" s="8" t="n">
        <f aca="false">M151+L152</f>
        <v>177.6</v>
      </c>
      <c r="N152" s="8" t="n">
        <f aca="false">J152-L152</f>
        <v>2.4</v>
      </c>
      <c r="O152" s="8" t="n">
        <v>153.6</v>
      </c>
      <c r="P152" s="8" t="n">
        <v>147</v>
      </c>
      <c r="Q152" s="17" t="n">
        <f aca="false">1+((P152-101)/107)*(1.15-1)</f>
        <v>1.06448598130841</v>
      </c>
      <c r="R152" s="15" t="n">
        <f aca="false">Q152*L152</f>
        <v>1.17093457943925</v>
      </c>
      <c r="S152" s="15" t="n">
        <f aca="false">J152-R152</f>
        <v>2.32906542056075</v>
      </c>
      <c r="T152" s="15" t="n">
        <f aca="false">MIN(153.6,(T151+S152))</f>
        <v>153.6</v>
      </c>
      <c r="V152" s="16" t="n">
        <v>271.4</v>
      </c>
      <c r="W152" s="8" t="n">
        <f aca="false">V152/D152</f>
        <v>63.1162790697674</v>
      </c>
      <c r="X152" s="8" t="n">
        <f aca="false">X151+V152</f>
        <v>67010.7</v>
      </c>
      <c r="Y152" s="8" t="n">
        <f aca="false">Y151+V152</f>
        <v>10627.4</v>
      </c>
      <c r="AA152" s="8" t="n">
        <v>9.05708340217562</v>
      </c>
    </row>
    <row r="153" s="8" customFormat="true" ht="15" hidden="false" customHeight="false" outlineLevel="0" collapsed="false">
      <c r="A153" s="35"/>
      <c r="B153" s="10"/>
      <c r="C153" s="11" t="n">
        <v>41669</v>
      </c>
      <c r="D153" s="18" t="n">
        <v>4</v>
      </c>
      <c r="E153" s="18" t="n">
        <v>3.1</v>
      </c>
      <c r="F153" s="18" t="n">
        <v>5</v>
      </c>
      <c r="G153" s="8" t="n">
        <f aca="false">G152+D153</f>
        <v>1367.4</v>
      </c>
      <c r="H153" s="8" t="n">
        <f aca="false">H152+D153</f>
        <v>310.5</v>
      </c>
      <c r="J153" s="8" t="n">
        <v>0.4</v>
      </c>
      <c r="K153" s="8" t="n">
        <f aca="false">K152+J153</f>
        <v>447.1</v>
      </c>
      <c r="L153" s="8" t="n">
        <v>0.4</v>
      </c>
      <c r="M153" s="8" t="n">
        <f aca="false">M152+L153</f>
        <v>178</v>
      </c>
      <c r="N153" s="8" t="n">
        <f aca="false">J153-L153</f>
        <v>0</v>
      </c>
      <c r="O153" s="8" t="n">
        <v>153.6</v>
      </c>
      <c r="P153" s="8" t="n">
        <v>148</v>
      </c>
      <c r="Q153" s="17" t="n">
        <f aca="false">1+((P153-101)/107)*(1.15-1)</f>
        <v>1.06588785046729</v>
      </c>
      <c r="R153" s="15" t="n">
        <f aca="false">Q153*L153</f>
        <v>0.426355140186916</v>
      </c>
      <c r="S153" s="15" t="n">
        <f aca="false">J153-R153</f>
        <v>-0.0263551401869159</v>
      </c>
      <c r="T153" s="15" t="n">
        <f aca="false">MIN(153.6,(T152+S153))</f>
        <v>153.573644859813</v>
      </c>
      <c r="V153" s="16" t="n">
        <v>106.1</v>
      </c>
      <c r="W153" s="8" t="n">
        <f aca="false">V153/D153</f>
        <v>26.525</v>
      </c>
      <c r="X153" s="8" t="n">
        <f aca="false">X152+V153</f>
        <v>67116.8</v>
      </c>
      <c r="Y153" s="8" t="n">
        <f aca="false">Y152+V153</f>
        <v>10733.5</v>
      </c>
      <c r="AA153" s="8" t="n">
        <v>9.10863611643238</v>
      </c>
    </row>
    <row r="154" s="8" customFormat="true" ht="15" hidden="false" customHeight="false" outlineLevel="0" collapsed="false">
      <c r="A154" s="35"/>
      <c r="B154" s="10" t="n">
        <v>10</v>
      </c>
      <c r="C154" s="11" t="n">
        <v>41670</v>
      </c>
      <c r="D154" s="8" t="n">
        <v>5.1</v>
      </c>
      <c r="E154" s="18" t="n">
        <v>1.9</v>
      </c>
      <c r="F154" s="8" t="n">
        <v>7.5</v>
      </c>
      <c r="G154" s="8" t="n">
        <f aca="false">G153+D154</f>
        <v>1372.5</v>
      </c>
      <c r="H154" s="8" t="n">
        <f aca="false">H153+D154</f>
        <v>315.6</v>
      </c>
      <c r="J154" s="8" t="n">
        <v>12.1</v>
      </c>
      <c r="K154" s="8" t="n">
        <f aca="false">K153+J154</f>
        <v>459.2</v>
      </c>
      <c r="L154" s="8" t="n">
        <v>1</v>
      </c>
      <c r="M154" s="8" t="n">
        <f aca="false">M153+L154</f>
        <v>179</v>
      </c>
      <c r="N154" s="8" t="n">
        <f aca="false">J154-L154</f>
        <v>11.1</v>
      </c>
      <c r="O154" s="8" t="n">
        <v>153.6</v>
      </c>
      <c r="P154" s="8" t="n">
        <v>149</v>
      </c>
      <c r="Q154" s="17" t="n">
        <f aca="false">1+((P154-101)/107)*(1.15-1)</f>
        <v>1.06728971962617</v>
      </c>
      <c r="R154" s="15" t="n">
        <f aca="false">Q154*L154</f>
        <v>1.06728971962617</v>
      </c>
      <c r="S154" s="15" t="n">
        <f aca="false">J154-R154</f>
        <v>11.0327102803738</v>
      </c>
      <c r="T154" s="15" t="n">
        <f aca="false">MIN(153.6,(T153+S154))</f>
        <v>153.6</v>
      </c>
      <c r="V154" s="16" t="n">
        <v>571.7</v>
      </c>
      <c r="W154" s="8" t="n">
        <f aca="false">V154/D154</f>
        <v>112.098039215686</v>
      </c>
      <c r="X154" s="8" t="n">
        <f aca="false">X153+V154</f>
        <v>67688.5</v>
      </c>
      <c r="Y154" s="8" t="n">
        <f aca="false">Y153+V154</f>
        <v>11305.2</v>
      </c>
      <c r="AA154" s="8" t="n">
        <v>9.16091795232867</v>
      </c>
    </row>
    <row r="155" s="8" customFormat="true" ht="15" hidden="false" customHeight="false" outlineLevel="0" collapsed="false">
      <c r="A155" s="35"/>
      <c r="B155" s="10"/>
      <c r="C155" s="11" t="n">
        <v>41671</v>
      </c>
      <c r="D155" s="8" t="n">
        <v>6.6</v>
      </c>
      <c r="E155" s="8" t="n">
        <v>5.6</v>
      </c>
      <c r="F155" s="8" t="n">
        <v>8.1</v>
      </c>
      <c r="G155" s="8" t="n">
        <f aca="false">G154+D155</f>
        <v>1379.1</v>
      </c>
      <c r="H155" s="8" t="n">
        <f aca="false">H154+D155</f>
        <v>322.2</v>
      </c>
      <c r="J155" s="8" t="n">
        <v>0.9</v>
      </c>
      <c r="K155" s="8" t="n">
        <f aca="false">K154+J155</f>
        <v>460.1</v>
      </c>
      <c r="L155" s="8" t="n">
        <v>1.3</v>
      </c>
      <c r="M155" s="8" t="n">
        <f aca="false">M154+L155</f>
        <v>180.3</v>
      </c>
      <c r="N155" s="14" t="n">
        <f aca="false">J155-L155</f>
        <v>-0.4</v>
      </c>
      <c r="O155" s="8" t="n">
        <v>153.2</v>
      </c>
      <c r="P155" s="8" t="n">
        <v>150</v>
      </c>
      <c r="Q155" s="17" t="n">
        <f aca="false">1+((P155-101)/107)*(1.15-1)</f>
        <v>1.06869158878505</v>
      </c>
      <c r="R155" s="15" t="n">
        <f aca="false">Q155*L155</f>
        <v>1.38929906542056</v>
      </c>
      <c r="S155" s="15" t="n">
        <f aca="false">J155-R155</f>
        <v>-0.489299065420561</v>
      </c>
      <c r="T155" s="15" t="n">
        <f aca="false">MIN(153.6,(T154+S155))</f>
        <v>153.110700934579</v>
      </c>
      <c r="V155" s="16" t="n">
        <v>373.2</v>
      </c>
      <c r="W155" s="8" t="n">
        <f aca="false">V155/D155</f>
        <v>56.5454545454546</v>
      </c>
      <c r="X155" s="8" t="n">
        <f aca="false">X154+V155</f>
        <v>68061.7</v>
      </c>
      <c r="Y155" s="8" t="n">
        <f aca="false">Y154+V155</f>
        <v>11678.4</v>
      </c>
      <c r="AA155" s="8" t="n">
        <v>9.21389851023566</v>
      </c>
    </row>
    <row r="156" s="8" customFormat="true" ht="15" hidden="false" customHeight="false" outlineLevel="0" collapsed="false">
      <c r="A156" s="35"/>
      <c r="B156" s="10"/>
      <c r="C156" s="11" t="n">
        <v>41672</v>
      </c>
      <c r="D156" s="18" t="n">
        <v>5</v>
      </c>
      <c r="E156" s="18" t="n">
        <v>2.9</v>
      </c>
      <c r="F156" s="8" t="n">
        <v>7.4</v>
      </c>
      <c r="G156" s="8" t="n">
        <f aca="false">G155+D156</f>
        <v>1384.1</v>
      </c>
      <c r="H156" s="8" t="n">
        <f aca="false">H155+D156</f>
        <v>327.2</v>
      </c>
      <c r="J156" s="8" t="n">
        <v>0</v>
      </c>
      <c r="K156" s="8" t="n">
        <f aca="false">K155+J156</f>
        <v>460.1</v>
      </c>
      <c r="L156" s="8" t="n">
        <v>1.2</v>
      </c>
      <c r="M156" s="8" t="n">
        <f aca="false">M155+L156</f>
        <v>181.5</v>
      </c>
      <c r="N156" s="14" t="n">
        <f aca="false">J156-L156</f>
        <v>-1.2</v>
      </c>
      <c r="O156" s="8" t="n">
        <v>152</v>
      </c>
      <c r="P156" s="8" t="n">
        <v>151</v>
      </c>
      <c r="Q156" s="17" t="n">
        <f aca="false">1+((P156-101)/107)*(1.15-1)</f>
        <v>1.07009345794393</v>
      </c>
      <c r="R156" s="15" t="n">
        <f aca="false">Q156*L156</f>
        <v>1.28411214953271</v>
      </c>
      <c r="S156" s="15" t="n">
        <f aca="false">J156-R156</f>
        <v>-1.28411214953271</v>
      </c>
      <c r="T156" s="15" t="n">
        <f aca="false">MIN(153.6,(T155+S156))</f>
        <v>151.826588785047</v>
      </c>
      <c r="V156" s="16" t="n">
        <v>761</v>
      </c>
      <c r="W156" s="8" t="n">
        <f aca="false">V156/D156</f>
        <v>152.2</v>
      </c>
      <c r="X156" s="8" t="n">
        <f aca="false">X155+V156</f>
        <v>68822.7</v>
      </c>
      <c r="Y156" s="8" t="n">
        <f aca="false">Y155+V156</f>
        <v>12439.4</v>
      </c>
      <c r="AA156" s="8" t="n">
        <v>9.26754808551864</v>
      </c>
    </row>
    <row r="157" s="8" customFormat="true" ht="15" hidden="false" customHeight="false" outlineLevel="0" collapsed="false">
      <c r="A157" s="35"/>
      <c r="B157" s="10"/>
      <c r="C157" s="11" t="n">
        <v>41673</v>
      </c>
      <c r="D157" s="18" t="n">
        <v>4</v>
      </c>
      <c r="E157" s="18" t="n">
        <v>0.5</v>
      </c>
      <c r="F157" s="8" t="n">
        <v>7.7</v>
      </c>
      <c r="G157" s="8" t="n">
        <f aca="false">G156+D157</f>
        <v>1388.1</v>
      </c>
      <c r="H157" s="8" t="n">
        <f aca="false">H156+D157</f>
        <v>331.2</v>
      </c>
      <c r="J157" s="8" t="n">
        <v>0.2</v>
      </c>
      <c r="K157" s="8" t="n">
        <f aca="false">K156+J157</f>
        <v>460.3</v>
      </c>
      <c r="L157" s="8" t="n">
        <v>1.1</v>
      </c>
      <c r="M157" s="8" t="n">
        <f aca="false">M156+L157</f>
        <v>182.6</v>
      </c>
      <c r="N157" s="14" t="n">
        <f aca="false">J157-L157</f>
        <v>-0.9</v>
      </c>
      <c r="O157" s="8" t="n">
        <v>151.1</v>
      </c>
      <c r="P157" s="8" t="n">
        <v>152</v>
      </c>
      <c r="Q157" s="17" t="n">
        <f aca="false">1+((P157-101)/107)*(1.15-1)</f>
        <v>1.0714953271028</v>
      </c>
      <c r="R157" s="15" t="n">
        <f aca="false">Q157*L157</f>
        <v>1.17864485981308</v>
      </c>
      <c r="S157" s="15" t="n">
        <f aca="false">J157-R157</f>
        <v>-0.978644859813084</v>
      </c>
      <c r="T157" s="15" t="n">
        <f aca="false">MIN(153.6,(T156+S157))</f>
        <v>150.847943925234</v>
      </c>
      <c r="V157" s="16" t="n">
        <v>789.5</v>
      </c>
      <c r="W157" s="8" t="n">
        <f aca="false">V157/D157</f>
        <v>197.375</v>
      </c>
      <c r="X157" s="8" t="n">
        <f aca="false">X156+V157</f>
        <v>69612.2</v>
      </c>
      <c r="Y157" s="8" t="n">
        <f aca="false">Y156+V157</f>
        <v>13228.9</v>
      </c>
      <c r="AA157" s="8" t="n">
        <v>9.32183769166266</v>
      </c>
    </row>
    <row r="158" s="8" customFormat="true" ht="15" hidden="false" customHeight="false" outlineLevel="0" collapsed="false">
      <c r="A158" s="35"/>
      <c r="B158" s="10"/>
      <c r="C158" s="11" t="n">
        <v>41674</v>
      </c>
      <c r="D158" s="8" t="n">
        <v>6.3</v>
      </c>
      <c r="E158" s="18" t="n">
        <v>3.4</v>
      </c>
      <c r="F158" s="8" t="n">
        <v>7.7</v>
      </c>
      <c r="G158" s="8" t="n">
        <f aca="false">G157+D158</f>
        <v>1394.4</v>
      </c>
      <c r="H158" s="8" t="n">
        <f aca="false">H157+D158</f>
        <v>337.5</v>
      </c>
      <c r="J158" s="8" t="n">
        <v>2</v>
      </c>
      <c r="K158" s="8" t="n">
        <f aca="false">K157+J158</f>
        <v>462.3</v>
      </c>
      <c r="L158" s="8" t="n">
        <v>1.2</v>
      </c>
      <c r="M158" s="8" t="n">
        <f aca="false">M157+L158</f>
        <v>183.8</v>
      </c>
      <c r="N158" s="8" t="n">
        <f aca="false">J158-L158</f>
        <v>0.8</v>
      </c>
      <c r="O158" s="8" t="n">
        <v>153.6</v>
      </c>
      <c r="P158" s="8" t="n">
        <v>153</v>
      </c>
      <c r="Q158" s="17" t="n">
        <f aca="false">1+((P158-101)/107)*(1.15-1)</f>
        <v>1.07289719626168</v>
      </c>
      <c r="R158" s="15" t="n">
        <f aca="false">Q158*L158</f>
        <v>1.28747663551402</v>
      </c>
      <c r="S158" s="15" t="n">
        <f aca="false">J158-R158</f>
        <v>0.712523364485981</v>
      </c>
      <c r="T158" s="15" t="n">
        <f aca="false">MIN(153.6,(T157+S158))</f>
        <v>151.56046728972</v>
      </c>
      <c r="V158" s="16" t="n">
        <v>612.4</v>
      </c>
      <c r="W158" s="8" t="n">
        <f aca="false">V158/D158</f>
        <v>97.2063492063492</v>
      </c>
      <c r="X158" s="8" t="n">
        <f aca="false">X157+V158</f>
        <v>70224.6</v>
      </c>
      <c r="Y158" s="8" t="n">
        <f aca="false">Y157+V158</f>
        <v>13841.3</v>
      </c>
      <c r="AA158" s="8" t="n">
        <v>9.37673907944247</v>
      </c>
    </row>
    <row r="159" s="8" customFormat="true" ht="15" hidden="false" customHeight="false" outlineLevel="0" collapsed="false">
      <c r="A159" s="35"/>
      <c r="B159" s="10"/>
      <c r="C159" s="11" t="n">
        <v>41675</v>
      </c>
      <c r="D159" s="8" t="n">
        <v>7.4</v>
      </c>
      <c r="E159" s="8" t="n">
        <v>5.4</v>
      </c>
      <c r="F159" s="8" t="n">
        <v>8.8</v>
      </c>
      <c r="G159" s="8" t="n">
        <f aca="false">G158+D159</f>
        <v>1401.8</v>
      </c>
      <c r="H159" s="8" t="n">
        <f aca="false">H158+D159</f>
        <v>344.9</v>
      </c>
      <c r="J159" s="8" t="n">
        <v>1.1</v>
      </c>
      <c r="K159" s="8" t="n">
        <f aca="false">K158+J159</f>
        <v>463.4</v>
      </c>
      <c r="L159" s="8" t="n">
        <v>1.6</v>
      </c>
      <c r="M159" s="8" t="n">
        <f aca="false">M158+L159</f>
        <v>185.4</v>
      </c>
      <c r="N159" s="14" t="n">
        <f aca="false">J159-L159</f>
        <v>-0.5</v>
      </c>
      <c r="O159" s="8" t="n">
        <v>153.1</v>
      </c>
      <c r="P159" s="8" t="n">
        <v>154</v>
      </c>
      <c r="Q159" s="17" t="n">
        <f aca="false">1+((P159-101)/107)*(1.15-1)</f>
        <v>1.07429906542056</v>
      </c>
      <c r="R159" s="15" t="n">
        <f aca="false">Q159*L159</f>
        <v>1.7188785046729</v>
      </c>
      <c r="S159" s="15" t="n">
        <f aca="false">J159-R159</f>
        <v>-0.618878504672897</v>
      </c>
      <c r="T159" s="15" t="n">
        <f aca="false">MIN(153.6,(T158+S159))</f>
        <v>150.941588785047</v>
      </c>
      <c r="V159" s="16" t="n">
        <v>373.9</v>
      </c>
      <c r="W159" s="8" t="n">
        <f aca="false">V159/D159</f>
        <v>50.527027027027</v>
      </c>
      <c r="X159" s="8" t="n">
        <f aca="false">X158+V159</f>
        <v>70598.5</v>
      </c>
      <c r="Y159" s="8" t="n">
        <f aca="false">Y158+V159</f>
        <v>14215.2</v>
      </c>
      <c r="AA159" s="8" t="n">
        <v>9.43222475234099</v>
      </c>
    </row>
    <row r="160" s="8" customFormat="true" ht="15" hidden="false" customHeight="false" outlineLevel="0" collapsed="false">
      <c r="A160" s="35"/>
      <c r="B160" s="10"/>
      <c r="C160" s="11" t="n">
        <v>41676</v>
      </c>
      <c r="D160" s="8" t="n">
        <v>7.4</v>
      </c>
      <c r="E160" s="8" t="n">
        <v>5.7</v>
      </c>
      <c r="F160" s="8" t="n">
        <v>10.4</v>
      </c>
      <c r="G160" s="8" t="n">
        <f aca="false">G159+D160</f>
        <v>1409.2</v>
      </c>
      <c r="H160" s="8" t="n">
        <f aca="false">H159+D160</f>
        <v>352.3</v>
      </c>
      <c r="J160" s="8" t="n">
        <v>11.9</v>
      </c>
      <c r="K160" s="8" t="n">
        <f aca="false">K159+J160</f>
        <v>475.3</v>
      </c>
      <c r="L160" s="8" t="n">
        <v>1.5</v>
      </c>
      <c r="M160" s="8" t="n">
        <f aca="false">M159+L160</f>
        <v>186.9</v>
      </c>
      <c r="N160" s="8" t="n">
        <f aca="false">J160-L160</f>
        <v>10.4</v>
      </c>
      <c r="O160" s="8" t="n">
        <v>153.6</v>
      </c>
      <c r="P160" s="8" t="n">
        <v>155</v>
      </c>
      <c r="Q160" s="17" t="n">
        <f aca="false">1+((P160-101)/107)*(1.15-1)</f>
        <v>1.07570093457944</v>
      </c>
      <c r="R160" s="15" t="n">
        <f aca="false">Q160*L160</f>
        <v>1.61355140186916</v>
      </c>
      <c r="S160" s="15" t="n">
        <f aca="false">J160-R160</f>
        <v>10.2864485981308</v>
      </c>
      <c r="T160" s="15" t="n">
        <f aca="false">MIN(153.6,(T159+S160))</f>
        <v>153.6</v>
      </c>
      <c r="V160" s="16" t="n">
        <v>182.2</v>
      </c>
      <c r="W160" s="8" t="n">
        <f aca="false">V160/D160</f>
        <v>24.6216216216216</v>
      </c>
      <c r="X160" s="8" t="n">
        <f aca="false">X159+V160</f>
        <v>70780.7</v>
      </c>
      <c r="Y160" s="8" t="n">
        <f aca="false">Y159+V160</f>
        <v>14397.4</v>
      </c>
      <c r="AA160" s="8" t="n">
        <v>9.4882679784248</v>
      </c>
    </row>
    <row r="161" s="8" customFormat="true" ht="15" hidden="false" customHeight="false" outlineLevel="0" collapsed="false">
      <c r="A161" s="35"/>
      <c r="B161" s="10"/>
      <c r="C161" s="11" t="n">
        <v>41677</v>
      </c>
      <c r="D161" s="8" t="n">
        <v>7.7</v>
      </c>
      <c r="E161" s="8" t="n">
        <v>5.9</v>
      </c>
      <c r="F161" s="8" t="n">
        <v>9.8</v>
      </c>
      <c r="G161" s="8" t="n">
        <f aca="false">G160+D161</f>
        <v>1416.9</v>
      </c>
      <c r="H161" s="8" t="n">
        <f aca="false">H160+D161</f>
        <v>360</v>
      </c>
      <c r="J161" s="8" t="n">
        <v>7.6</v>
      </c>
      <c r="K161" s="8" t="n">
        <f aca="false">K160+J161</f>
        <v>482.9</v>
      </c>
      <c r="L161" s="8" t="n">
        <v>1.2</v>
      </c>
      <c r="M161" s="8" t="n">
        <f aca="false">M160+L161</f>
        <v>188.1</v>
      </c>
      <c r="N161" s="8" t="n">
        <f aca="false">J161-L161</f>
        <v>6.4</v>
      </c>
      <c r="O161" s="8" t="n">
        <v>153.6</v>
      </c>
      <c r="P161" s="8" t="n">
        <v>156</v>
      </c>
      <c r="Q161" s="17" t="n">
        <f aca="false">1+((P161-101)/107)*(1.15-1)</f>
        <v>1.07710280373832</v>
      </c>
      <c r="R161" s="15" t="n">
        <f aca="false">Q161*L161</f>
        <v>1.29252336448598</v>
      </c>
      <c r="S161" s="15" t="n">
        <f aca="false">J161-R161</f>
        <v>6.30747663551402</v>
      </c>
      <c r="T161" s="15" t="n">
        <f aca="false">MIN(153.6,(T160+S161))</f>
        <v>153.6</v>
      </c>
      <c r="V161" s="16" t="n">
        <v>98.5</v>
      </c>
      <c r="W161" s="8" t="n">
        <f aca="false">V161/D161</f>
        <v>12.7922077922078</v>
      </c>
      <c r="X161" s="8" t="n">
        <f aca="false">X160+V161</f>
        <v>70879.2</v>
      </c>
      <c r="Y161" s="8" t="n">
        <f aca="false">Y160+V161</f>
        <v>14495.9</v>
      </c>
      <c r="AA161" s="8" t="n">
        <v>9.54484279888826</v>
      </c>
    </row>
    <row r="162" s="8" customFormat="true" ht="15" hidden="false" customHeight="false" outlineLevel="0" collapsed="false">
      <c r="A162" s="35"/>
      <c r="B162" s="10"/>
      <c r="C162" s="11" t="n">
        <v>41678</v>
      </c>
      <c r="D162" s="8" t="n">
        <v>7.6</v>
      </c>
      <c r="E162" s="8" t="n">
        <v>6</v>
      </c>
      <c r="F162" s="8" t="n">
        <v>9</v>
      </c>
      <c r="G162" s="8" t="n">
        <f aca="false">G161+D162</f>
        <v>1424.5</v>
      </c>
      <c r="H162" s="8" t="n">
        <f aca="false">H161+D162</f>
        <v>367.6</v>
      </c>
      <c r="J162" s="8" t="n">
        <v>1.6</v>
      </c>
      <c r="K162" s="8" t="n">
        <f aca="false">K161+J162</f>
        <v>484.5</v>
      </c>
      <c r="L162" s="8" t="n">
        <v>1.3</v>
      </c>
      <c r="M162" s="8" t="n">
        <f aca="false">M161+L162</f>
        <v>189.4</v>
      </c>
      <c r="N162" s="8" t="n">
        <f aca="false">J162-L162</f>
        <v>0.3</v>
      </c>
      <c r="O162" s="8" t="n">
        <v>153.6</v>
      </c>
      <c r="P162" s="8" t="n">
        <v>157</v>
      </c>
      <c r="Q162" s="17" t="n">
        <f aca="false">1+((P162-101)/107)*(1.15-1)</f>
        <v>1.0785046728972</v>
      </c>
      <c r="R162" s="15" t="n">
        <f aca="false">Q162*L162</f>
        <v>1.40205607476636</v>
      </c>
      <c r="S162" s="15" t="n">
        <f aca="false">J162-R162</f>
        <v>0.197943925233645</v>
      </c>
      <c r="T162" s="15" t="n">
        <f aca="false">MIN(153.6,(T161+S162))</f>
        <v>153.6</v>
      </c>
      <c r="V162" s="16" t="n">
        <v>274.6</v>
      </c>
      <c r="W162" s="8" t="n">
        <f aca="false">V162/D162</f>
        <v>36.1315789473684</v>
      </c>
      <c r="X162" s="8" t="n">
        <f aca="false">X161+V162</f>
        <v>71153.8</v>
      </c>
      <c r="Y162" s="8" t="n">
        <f aca="false">Y161+V162</f>
        <v>14770.5</v>
      </c>
      <c r="AA162" s="8" t="n">
        <v>9.60192403347783</v>
      </c>
    </row>
    <row r="163" s="8" customFormat="true" ht="15" hidden="false" customHeight="false" outlineLevel="0" collapsed="false">
      <c r="A163" s="35"/>
      <c r="B163" s="10"/>
      <c r="C163" s="11" t="n">
        <v>41679</v>
      </c>
      <c r="D163" s="8" t="n">
        <v>5.8</v>
      </c>
      <c r="E163" s="18" t="n">
        <v>4.6</v>
      </c>
      <c r="F163" s="8" t="n">
        <v>8</v>
      </c>
      <c r="G163" s="8" t="n">
        <f aca="false">G162+D163</f>
        <v>1430.3</v>
      </c>
      <c r="H163" s="8" t="n">
        <f aca="false">H162+D163</f>
        <v>373.4</v>
      </c>
      <c r="J163" s="8" t="n">
        <v>1.2</v>
      </c>
      <c r="K163" s="8" t="n">
        <f aca="false">K162+J163</f>
        <v>485.7</v>
      </c>
      <c r="L163" s="8" t="n">
        <v>1.9</v>
      </c>
      <c r="M163" s="8" t="n">
        <f aca="false">M162+L163</f>
        <v>191.3</v>
      </c>
      <c r="N163" s="14" t="n">
        <f aca="false">J163-L163</f>
        <v>-0.7</v>
      </c>
      <c r="O163" s="8" t="n">
        <v>152.9</v>
      </c>
      <c r="P163" s="8" t="n">
        <v>158</v>
      </c>
      <c r="Q163" s="17" t="n">
        <f aca="false">1+((P163-101)/107)*(1.15-1)</f>
        <v>1.07990654205607</v>
      </c>
      <c r="R163" s="15" t="n">
        <f aca="false">Q163*L163</f>
        <v>2.05182242990654</v>
      </c>
      <c r="S163" s="15" t="n">
        <f aca="false">J163-R163</f>
        <v>-0.851822429906542</v>
      </c>
      <c r="T163" s="15" t="n">
        <f aca="false">MIN(153.6,(T162+S163))</f>
        <v>152.748177570093</v>
      </c>
      <c r="V163" s="16" t="n">
        <v>435.5</v>
      </c>
      <c r="W163" s="8" t="n">
        <f aca="false">V163/D163</f>
        <v>75.0862068965517</v>
      </c>
      <c r="X163" s="8" t="n">
        <f aca="false">X162+V163</f>
        <v>71589.3</v>
      </c>
      <c r="Y163" s="8" t="n">
        <f aca="false">Y162+V163</f>
        <v>15206</v>
      </c>
      <c r="AA163" s="8" t="n">
        <v>9.65948728300696</v>
      </c>
    </row>
    <row r="164" s="8" customFormat="true" ht="15" hidden="false" customHeight="false" outlineLevel="0" collapsed="false">
      <c r="A164" s="35"/>
      <c r="B164" s="10"/>
      <c r="C164" s="11" t="n">
        <v>41680</v>
      </c>
      <c r="D164" s="8" t="n">
        <v>5.4</v>
      </c>
      <c r="E164" s="18" t="n">
        <v>3.8</v>
      </c>
      <c r="F164" s="8" t="n">
        <v>6.4</v>
      </c>
      <c r="G164" s="8" t="n">
        <f aca="false">G163+D164</f>
        <v>1435.7</v>
      </c>
      <c r="H164" s="8" t="n">
        <f aca="false">H163+D164</f>
        <v>378.8</v>
      </c>
      <c r="J164" s="8" t="n">
        <v>0</v>
      </c>
      <c r="K164" s="8" t="n">
        <f aca="false">K163+J164</f>
        <v>485.7</v>
      </c>
      <c r="L164" s="8" t="n">
        <v>0.8</v>
      </c>
      <c r="M164" s="8" t="n">
        <f aca="false">M163+L164</f>
        <v>192.1</v>
      </c>
      <c r="N164" s="14" t="n">
        <f aca="false">J164-L164</f>
        <v>-0.8</v>
      </c>
      <c r="O164" s="8" t="n">
        <v>152.1</v>
      </c>
      <c r="P164" s="8" t="n">
        <v>159</v>
      </c>
      <c r="Q164" s="17" t="n">
        <f aca="false">1+((P164-101)/107)*(1.15-1)</f>
        <v>1.08130841121495</v>
      </c>
      <c r="R164" s="15" t="n">
        <f aca="false">Q164*L164</f>
        <v>0.865046728971963</v>
      </c>
      <c r="S164" s="15" t="n">
        <f aca="false">J164-R164</f>
        <v>-0.865046728971963</v>
      </c>
      <c r="T164" s="15" t="n">
        <f aca="false">MIN(153.6,(T163+S164))</f>
        <v>151.883130841121</v>
      </c>
      <c r="V164" s="16" t="n">
        <v>119.9</v>
      </c>
      <c r="W164" s="8" t="n">
        <f aca="false">V164/D164</f>
        <v>22.2037037037037</v>
      </c>
      <c r="X164" s="8" t="n">
        <f aca="false">X163+V164</f>
        <v>71709.2</v>
      </c>
      <c r="Y164" s="8" t="n">
        <f aca="false">Y163+V164</f>
        <v>15325.9</v>
      </c>
      <c r="AA164" s="8" t="n">
        <v>9.71750892916911</v>
      </c>
    </row>
    <row r="165" s="8" customFormat="true" ht="15" hidden="false" customHeight="false" outlineLevel="0" collapsed="false">
      <c r="A165" s="35"/>
      <c r="B165" s="10"/>
      <c r="C165" s="11" t="n">
        <v>41681</v>
      </c>
      <c r="D165" s="8" t="n">
        <v>5.4</v>
      </c>
      <c r="E165" s="18" t="n">
        <v>3.3</v>
      </c>
      <c r="F165" s="8" t="n">
        <v>7.3</v>
      </c>
      <c r="G165" s="8" t="n">
        <f aca="false">G164+D165</f>
        <v>1441.1</v>
      </c>
      <c r="H165" s="8" t="n">
        <f aca="false">H164+D165</f>
        <v>384.2</v>
      </c>
      <c r="J165" s="8" t="n">
        <v>4</v>
      </c>
      <c r="K165" s="8" t="n">
        <f aca="false">K164+J165</f>
        <v>489.7</v>
      </c>
      <c r="L165" s="8" t="n">
        <v>1</v>
      </c>
      <c r="M165" s="8" t="n">
        <f aca="false">M164+L165</f>
        <v>193.1</v>
      </c>
      <c r="N165" s="8" t="n">
        <f aca="false">J165-L165</f>
        <v>3</v>
      </c>
      <c r="O165" s="8" t="n">
        <v>153.6</v>
      </c>
      <c r="P165" s="8" t="n">
        <v>160</v>
      </c>
      <c r="Q165" s="17" t="n">
        <f aca="false">1+((P165-101)/107)*(1.15-1)</f>
        <v>1.08271028037383</v>
      </c>
      <c r="R165" s="15" t="n">
        <f aca="false">Q165*L165</f>
        <v>1.08271028037383</v>
      </c>
      <c r="S165" s="15" t="n">
        <f aca="false">J165-R165</f>
        <v>2.91728971962617</v>
      </c>
      <c r="T165" s="15" t="n">
        <f aca="false">MIN(153.6,(T164+S165))</f>
        <v>153.6</v>
      </c>
      <c r="V165" s="16" t="n">
        <v>202.3</v>
      </c>
      <c r="W165" s="8" t="n">
        <f aca="false">V165/D165</f>
        <v>37.462962962963</v>
      </c>
      <c r="X165" s="8" t="n">
        <f aca="false">X164+V165</f>
        <v>71911.5</v>
      </c>
      <c r="Y165" s="8" t="n">
        <f aca="false">Y164+V165</f>
        <v>15528.2</v>
      </c>
      <c r="AA165" s="8" t="n">
        <v>9.77596613185194</v>
      </c>
    </row>
    <row r="166" s="8" customFormat="true" ht="15" hidden="false" customHeight="false" outlineLevel="0" collapsed="false">
      <c r="A166" s="35"/>
      <c r="B166" s="10"/>
      <c r="C166" s="11" t="n">
        <v>41682</v>
      </c>
      <c r="D166" s="8" t="n">
        <v>5.7</v>
      </c>
      <c r="E166" s="18" t="n">
        <v>2.4</v>
      </c>
      <c r="F166" s="8" t="n">
        <v>9</v>
      </c>
      <c r="G166" s="8" t="n">
        <f aca="false">G165+D166</f>
        <v>1446.8</v>
      </c>
      <c r="H166" s="8" t="n">
        <f aca="false">H165+D166</f>
        <v>389.9</v>
      </c>
      <c r="J166" s="8" t="n">
        <v>5.5</v>
      </c>
      <c r="K166" s="8" t="n">
        <f aca="false">K165+J166</f>
        <v>495.2</v>
      </c>
      <c r="L166" s="8" t="n">
        <v>1.3</v>
      </c>
      <c r="M166" s="8" t="n">
        <f aca="false">M165+L166</f>
        <v>194.4</v>
      </c>
      <c r="N166" s="8" t="n">
        <f aca="false">J166-L166</f>
        <v>4.2</v>
      </c>
      <c r="O166" s="8" t="n">
        <v>153.6</v>
      </c>
      <c r="P166" s="8" t="n">
        <v>161</v>
      </c>
      <c r="Q166" s="17" t="n">
        <f aca="false">1+((P166-101)/107)*(1.15-1)</f>
        <v>1.08411214953271</v>
      </c>
      <c r="R166" s="15" t="n">
        <f aca="false">Q166*L166</f>
        <v>1.40934579439252</v>
      </c>
      <c r="S166" s="15" t="n">
        <f aca="false">J166-R166</f>
        <v>4.09065420560748</v>
      </c>
      <c r="T166" s="15" t="n">
        <f aca="false">MIN(153.6,(T165+S166))</f>
        <v>153.6</v>
      </c>
      <c r="V166" s="16" t="n">
        <v>469.4</v>
      </c>
      <c r="W166" s="8" t="n">
        <f aca="false">V166/D166</f>
        <v>82.3508771929825</v>
      </c>
      <c r="X166" s="8" t="n">
        <f aca="false">X165+V166</f>
        <v>72380.9</v>
      </c>
      <c r="Y166" s="8" t="n">
        <f aca="false">Y165+V166</f>
        <v>15997.6</v>
      </c>
      <c r="AA166" s="8" t="n">
        <v>9.8348368241504</v>
      </c>
    </row>
    <row r="167" s="8" customFormat="true" ht="15" hidden="false" customHeight="false" outlineLevel="0" collapsed="false">
      <c r="A167" s="35"/>
      <c r="B167" s="10"/>
      <c r="C167" s="11" t="n">
        <v>41683</v>
      </c>
      <c r="D167" s="18" t="n">
        <v>4.9</v>
      </c>
      <c r="E167" s="18" t="n">
        <v>4.6</v>
      </c>
      <c r="F167" s="8" t="n">
        <v>5.4</v>
      </c>
      <c r="G167" s="8" t="n">
        <f aca="false">G166+D167</f>
        <v>1451.7</v>
      </c>
      <c r="H167" s="8" t="n">
        <f aca="false">H166+D167</f>
        <v>394.8</v>
      </c>
      <c r="J167" s="8" t="n">
        <v>3</v>
      </c>
      <c r="K167" s="8" t="n">
        <f aca="false">K166+J167</f>
        <v>498.2</v>
      </c>
      <c r="L167" s="8" t="n">
        <v>0.8</v>
      </c>
      <c r="M167" s="8" t="n">
        <f aca="false">M166+L167</f>
        <v>195.2</v>
      </c>
      <c r="N167" s="8" t="n">
        <f aca="false">J167-L167</f>
        <v>2.2</v>
      </c>
      <c r="O167" s="8" t="n">
        <v>153.6</v>
      </c>
      <c r="P167" s="8" t="n">
        <v>162</v>
      </c>
      <c r="Q167" s="17" t="n">
        <f aca="false">1+((P167-101)/107)*(1.15-1)</f>
        <v>1.08551401869159</v>
      </c>
      <c r="R167" s="15" t="n">
        <f aca="false">Q167*L167</f>
        <v>0.868411214953271</v>
      </c>
      <c r="S167" s="15" t="n">
        <f aca="false">J167-R167</f>
        <v>2.13158878504673</v>
      </c>
      <c r="T167" s="15" t="n">
        <f aca="false">MIN(153.6,(T166+S167))</f>
        <v>153.6</v>
      </c>
      <c r="V167" s="16" t="n">
        <v>156</v>
      </c>
      <c r="W167" s="8" t="n">
        <f aca="false">V167/D167</f>
        <v>31.8367346938776</v>
      </c>
      <c r="X167" s="8" t="n">
        <f aca="false">X166+V167</f>
        <v>72536.9</v>
      </c>
      <c r="Y167" s="8" t="n">
        <f aca="false">Y166+V167</f>
        <v>16153.6</v>
      </c>
      <c r="AA167" s="8" t="n">
        <v>9.89409970527011</v>
      </c>
    </row>
    <row r="168" s="8" customFormat="true" ht="15" hidden="false" customHeight="false" outlineLevel="0" collapsed="false">
      <c r="A168" s="35"/>
      <c r="B168" s="10"/>
      <c r="C168" s="11" t="n">
        <v>41684</v>
      </c>
      <c r="D168" s="8" t="n">
        <v>5.9</v>
      </c>
      <c r="E168" s="18" t="n">
        <v>2.3</v>
      </c>
      <c r="F168" s="8" t="n">
        <v>12</v>
      </c>
      <c r="G168" s="8" t="n">
        <f aca="false">G167+D168</f>
        <v>1457.6</v>
      </c>
      <c r="H168" s="8" t="n">
        <f aca="false">H167+D168</f>
        <v>400.7</v>
      </c>
      <c r="J168" s="8" t="n">
        <v>5.7</v>
      </c>
      <c r="K168" s="8" t="n">
        <f aca="false">K167+J168</f>
        <v>503.9</v>
      </c>
      <c r="L168" s="8" t="n">
        <v>1.5</v>
      </c>
      <c r="M168" s="8" t="n">
        <f aca="false">M167+L168</f>
        <v>196.7</v>
      </c>
      <c r="N168" s="8" t="n">
        <f aca="false">J168-L168</f>
        <v>4.2</v>
      </c>
      <c r="O168" s="8" t="n">
        <v>153.6</v>
      </c>
      <c r="P168" s="8" t="n">
        <v>163</v>
      </c>
      <c r="Q168" s="17" t="n">
        <f aca="false">1+((P168-101)/107)*(1.15-1)</f>
        <v>1.08691588785047</v>
      </c>
      <c r="R168" s="15" t="n">
        <f aca="false">Q168*L168</f>
        <v>1.6303738317757</v>
      </c>
      <c r="S168" s="15" t="n">
        <f aca="false">J168-R168</f>
        <v>4.0696261682243</v>
      </c>
      <c r="T168" s="15" t="n">
        <f aca="false">MIN(153.6,(T167+S168))</f>
        <v>153.6</v>
      </c>
      <c r="V168" s="16" t="n">
        <v>153.9</v>
      </c>
      <c r="W168" s="8" t="n">
        <f aca="false">V168/D168</f>
        <v>26.0847457627119</v>
      </c>
      <c r="X168" s="8" t="n">
        <f aca="false">X167+V168</f>
        <v>72690.8</v>
      </c>
      <c r="Y168" s="8" t="n">
        <f aca="false">Y167+V168</f>
        <v>16307.5</v>
      </c>
      <c r="AA168" s="8" t="n">
        <v>9.95373423150502</v>
      </c>
    </row>
    <row r="169" s="8" customFormat="true" ht="15" hidden="false" customHeight="false" outlineLevel="0" collapsed="false">
      <c r="A169" s="35"/>
      <c r="B169" s="10"/>
      <c r="C169" s="11" t="n">
        <v>41685</v>
      </c>
      <c r="D169" s="8" t="n">
        <v>9.2</v>
      </c>
      <c r="E169" s="8" t="n">
        <v>7.3</v>
      </c>
      <c r="F169" s="8" t="n">
        <v>11.1</v>
      </c>
      <c r="G169" s="8" t="n">
        <f aca="false">G168+D169</f>
        <v>1466.8</v>
      </c>
      <c r="H169" s="8" t="n">
        <f aca="false">H168+D169</f>
        <v>409.9</v>
      </c>
      <c r="J169" s="8" t="n">
        <v>0.5</v>
      </c>
      <c r="K169" s="8" t="n">
        <f aca="false">K168+J169</f>
        <v>504.4</v>
      </c>
      <c r="L169" s="8" t="n">
        <v>2.5</v>
      </c>
      <c r="M169" s="8" t="n">
        <f aca="false">M168+L169</f>
        <v>199.2</v>
      </c>
      <c r="N169" s="14" t="n">
        <f aca="false">J169-L169</f>
        <v>-2</v>
      </c>
      <c r="O169" s="8" t="n">
        <v>151.6</v>
      </c>
      <c r="P169" s="8" t="n">
        <v>164</v>
      </c>
      <c r="Q169" s="17" t="n">
        <f aca="false">1+((P169-101)/107)*(1.15-1)</f>
        <v>1.08831775700935</v>
      </c>
      <c r="R169" s="15" t="n">
        <f aca="false">Q169*L169</f>
        <v>2.72079439252336</v>
      </c>
      <c r="S169" s="15" t="n">
        <f aca="false">J169-R169</f>
        <v>-2.22079439252336</v>
      </c>
      <c r="T169" s="15" t="n">
        <f aca="false">MIN(153.6,(T168+S169))</f>
        <v>151.379205607477</v>
      </c>
      <c r="V169" s="16" t="n">
        <v>696.5</v>
      </c>
      <c r="W169" s="8" t="n">
        <f aca="false">V169/D169</f>
        <v>75.7065217391304</v>
      </c>
      <c r="X169" s="8" t="n">
        <f aca="false">X168+V169</f>
        <v>73387.3</v>
      </c>
      <c r="Y169" s="8" t="n">
        <f aca="false">Y168+V169</f>
        <v>17004</v>
      </c>
      <c r="AA169" s="8" t="n">
        <v>10.0137206054658</v>
      </c>
    </row>
    <row r="170" s="8" customFormat="true" ht="15" hidden="false" customHeight="false" outlineLevel="0" collapsed="false">
      <c r="A170" s="35"/>
      <c r="B170" s="10"/>
      <c r="C170" s="11" t="n">
        <v>41686</v>
      </c>
      <c r="D170" s="8" t="n">
        <v>6</v>
      </c>
      <c r="E170" s="8" t="n">
        <v>5.2</v>
      </c>
      <c r="F170" s="8" t="n">
        <v>7.9</v>
      </c>
      <c r="G170" s="8" t="n">
        <f aca="false">G169+D170</f>
        <v>1472.8</v>
      </c>
      <c r="H170" s="8" t="n">
        <f aca="false">H169+D170</f>
        <v>415.9</v>
      </c>
      <c r="J170" s="8" t="n">
        <v>0.3</v>
      </c>
      <c r="K170" s="8" t="n">
        <f aca="false">K169+J170</f>
        <v>504.7</v>
      </c>
      <c r="L170" s="8" t="n">
        <v>1.5</v>
      </c>
      <c r="M170" s="8" t="n">
        <f aca="false">M169+L170</f>
        <v>200.7</v>
      </c>
      <c r="N170" s="14" t="n">
        <f aca="false">J170-L170</f>
        <v>-1.2</v>
      </c>
      <c r="O170" s="8" t="n">
        <v>150.4</v>
      </c>
      <c r="P170" s="8" t="n">
        <v>165</v>
      </c>
      <c r="Q170" s="17" t="n">
        <f aca="false">1+((P170-101)/107)*(1.15-1)</f>
        <v>1.08971962616822</v>
      </c>
      <c r="R170" s="15" t="n">
        <f aca="false">Q170*L170</f>
        <v>1.63457943925234</v>
      </c>
      <c r="S170" s="15" t="n">
        <f aca="false">J170-R170</f>
        <v>-1.33457943925234</v>
      </c>
      <c r="T170" s="15" t="n">
        <f aca="false">MIN(153.6,(T169+S170))</f>
        <v>150.044626168224</v>
      </c>
      <c r="V170" s="16" t="n">
        <v>625.5</v>
      </c>
      <c r="W170" s="8" t="n">
        <f aca="false">V170/D170</f>
        <v>104.25</v>
      </c>
      <c r="X170" s="8" t="n">
        <f aca="false">X169+V170</f>
        <v>74012.8</v>
      </c>
      <c r="Y170" s="8" t="n">
        <f aca="false">Y169+V170</f>
        <v>17629.5</v>
      </c>
      <c r="AA170" s="8" t="n">
        <v>10.0740397637269</v>
      </c>
    </row>
    <row r="171" s="8" customFormat="true" ht="15" hidden="false" customHeight="false" outlineLevel="0" collapsed="false">
      <c r="A171" s="35"/>
      <c r="B171" s="10"/>
      <c r="C171" s="11" t="n">
        <v>41687</v>
      </c>
      <c r="D171" s="8" t="n">
        <v>6.2</v>
      </c>
      <c r="E171" s="18" t="n">
        <v>4.5</v>
      </c>
      <c r="F171" s="8" t="n">
        <v>7.9</v>
      </c>
      <c r="G171" s="8" t="n">
        <f aca="false">G170+D171</f>
        <v>1479</v>
      </c>
      <c r="H171" s="8" t="n">
        <f aca="false">H170+D171</f>
        <v>422.1</v>
      </c>
      <c r="J171" s="8" t="n">
        <v>0</v>
      </c>
      <c r="K171" s="8" t="n">
        <f aca="false">K170+J171</f>
        <v>504.7</v>
      </c>
      <c r="L171" s="8" t="n">
        <v>0.8</v>
      </c>
      <c r="M171" s="8" t="n">
        <f aca="false">M170+L171</f>
        <v>201.5</v>
      </c>
      <c r="N171" s="14" t="n">
        <f aca="false">J171-L171</f>
        <v>-0.8</v>
      </c>
      <c r="O171" s="8" t="n">
        <v>149.6</v>
      </c>
      <c r="P171" s="8" t="n">
        <v>166</v>
      </c>
      <c r="Q171" s="17" t="n">
        <f aca="false">1+((P171-101)/107)*(1.15-1)</f>
        <v>1.0911214953271</v>
      </c>
      <c r="R171" s="15" t="n">
        <f aca="false">Q171*L171</f>
        <v>0.872897196261682</v>
      </c>
      <c r="S171" s="15" t="n">
        <f aca="false">J171-R171</f>
        <v>-0.872897196261682</v>
      </c>
      <c r="T171" s="15" t="n">
        <f aca="false">MIN(153.6,(T170+S171))</f>
        <v>149.171728971963</v>
      </c>
      <c r="V171" s="16" t="n">
        <v>277</v>
      </c>
      <c r="W171" s="8" t="n">
        <f aca="false">V171/D171</f>
        <v>44.6774193548387</v>
      </c>
      <c r="X171" s="8" t="n">
        <f aca="false">X170+V171</f>
        <v>74289.8</v>
      </c>
      <c r="Y171" s="8" t="n">
        <f aca="false">Y170+V171</f>
        <v>17906.5</v>
      </c>
      <c r="AA171" s="8" t="n">
        <v>10.134673363052</v>
      </c>
    </row>
    <row r="172" s="8" customFormat="true" ht="15" hidden="false" customHeight="false" outlineLevel="0" collapsed="false">
      <c r="A172" s="35"/>
      <c r="B172" s="10"/>
      <c r="C172" s="11" t="n">
        <v>41688</v>
      </c>
      <c r="D172" s="8" t="n">
        <v>6.2</v>
      </c>
      <c r="E172" s="18" t="n">
        <v>5</v>
      </c>
      <c r="F172" s="8" t="n">
        <v>7</v>
      </c>
      <c r="G172" s="8" t="n">
        <f aca="false">G171+D172</f>
        <v>1485.2</v>
      </c>
      <c r="H172" s="8" t="n">
        <f aca="false">H171+D172</f>
        <v>428.3</v>
      </c>
      <c r="J172" s="8" t="n">
        <v>0.9</v>
      </c>
      <c r="K172" s="8" t="n">
        <f aca="false">K171+J172</f>
        <v>505.6</v>
      </c>
      <c r="L172" s="8" t="n">
        <v>0.7</v>
      </c>
      <c r="M172" s="8" t="n">
        <f aca="false">M171+L172</f>
        <v>202.2</v>
      </c>
      <c r="N172" s="8" t="n">
        <f aca="false">J172-L172</f>
        <v>0.2</v>
      </c>
      <c r="O172" s="8" t="n">
        <v>149.8</v>
      </c>
      <c r="P172" s="8" t="n">
        <v>167</v>
      </c>
      <c r="Q172" s="17" t="n">
        <f aca="false">1+((P172-101)/107)*(1.15-1)</f>
        <v>1.09252336448598</v>
      </c>
      <c r="R172" s="15" t="n">
        <f aca="false">Q172*L172</f>
        <v>0.764766355140187</v>
      </c>
      <c r="S172" s="15" t="n">
        <f aca="false">J172-R172</f>
        <v>0.135233644859813</v>
      </c>
      <c r="T172" s="15" t="n">
        <f aca="false">MIN(153.6,(T171+S172))</f>
        <v>149.306962616822</v>
      </c>
      <c r="V172" s="16" t="n">
        <v>378.5</v>
      </c>
      <c r="W172" s="8" t="n">
        <f aca="false">V172/D172</f>
        <v>61.0483870967742</v>
      </c>
      <c r="X172" s="8" t="n">
        <f aca="false">X171+V172</f>
        <v>74668.3</v>
      </c>
      <c r="Y172" s="8" t="n">
        <f aca="false">Y171+V172</f>
        <v>18285</v>
      </c>
      <c r="AA172" s="8" t="n">
        <v>10.1956037653486</v>
      </c>
    </row>
    <row r="173" s="8" customFormat="true" ht="15" hidden="false" customHeight="false" outlineLevel="0" collapsed="false">
      <c r="A173" s="35"/>
      <c r="B173" s="10"/>
      <c r="C173" s="11" t="n">
        <v>41689</v>
      </c>
      <c r="D173" s="8" t="n">
        <v>7.4</v>
      </c>
      <c r="E173" s="18" t="n">
        <v>4</v>
      </c>
      <c r="F173" s="8" t="n">
        <v>10.5</v>
      </c>
      <c r="G173" s="8" t="n">
        <f aca="false">G172+D173</f>
        <v>1492.6</v>
      </c>
      <c r="H173" s="8" t="n">
        <f aca="false">H172+D173</f>
        <v>435.7</v>
      </c>
      <c r="J173" s="8" t="n">
        <v>0.4</v>
      </c>
      <c r="K173" s="8" t="n">
        <f aca="false">K172+J173</f>
        <v>506</v>
      </c>
      <c r="L173" s="8" t="n">
        <v>1</v>
      </c>
      <c r="M173" s="8" t="n">
        <f aca="false">M172+L173</f>
        <v>203.2</v>
      </c>
      <c r="N173" s="14" t="n">
        <f aca="false">J173-L173</f>
        <v>-0.6</v>
      </c>
      <c r="O173" s="8" t="n">
        <v>149.2</v>
      </c>
      <c r="P173" s="8" t="n">
        <v>168</v>
      </c>
      <c r="Q173" s="17" t="n">
        <f aca="false">1+((P173-101)/107)*(1.15-1)</f>
        <v>1.09392523364486</v>
      </c>
      <c r="R173" s="15" t="n">
        <f aca="false">Q173*L173</f>
        <v>1.09392523364486</v>
      </c>
      <c r="S173" s="15" t="n">
        <f aca="false">J173-R173</f>
        <v>-0.69392523364486</v>
      </c>
      <c r="T173" s="15" t="n">
        <f aca="false">MIN(153.6,(T172+S173))</f>
        <v>148.613037383178</v>
      </c>
      <c r="V173" s="16" t="n">
        <v>393.6</v>
      </c>
      <c r="W173" s="8" t="n">
        <f aca="false">V173/D173</f>
        <v>53.1891891891892</v>
      </c>
      <c r="X173" s="8" t="n">
        <f aca="false">X172+V173</f>
        <v>75061.9</v>
      </c>
      <c r="Y173" s="8" t="n">
        <f aca="false">Y172+V173</f>
        <v>18678.6</v>
      </c>
      <c r="AA173" s="8" t="n">
        <v>10.2568140214922</v>
      </c>
    </row>
    <row r="174" s="8" customFormat="true" ht="15" hidden="false" customHeight="false" outlineLevel="0" collapsed="false">
      <c r="A174" s="35"/>
      <c r="B174" s="10"/>
      <c r="C174" s="11" t="n">
        <v>41690</v>
      </c>
      <c r="D174" s="8" t="n">
        <v>9.3</v>
      </c>
      <c r="E174" s="8" t="n">
        <v>7.7</v>
      </c>
      <c r="F174" s="8" t="n">
        <v>11.1</v>
      </c>
      <c r="G174" s="8" t="n">
        <f aca="false">G173+D174</f>
        <v>1501.9</v>
      </c>
      <c r="H174" s="8" t="n">
        <f aca="false">H173+D174</f>
        <v>445</v>
      </c>
      <c r="J174" s="8" t="n">
        <v>6.3</v>
      </c>
      <c r="K174" s="8" t="n">
        <f aca="false">K173+J174</f>
        <v>512.3</v>
      </c>
      <c r="L174" s="8" t="n">
        <v>0.6</v>
      </c>
      <c r="M174" s="8" t="n">
        <f aca="false">M173+L174</f>
        <v>203.8</v>
      </c>
      <c r="N174" s="8" t="n">
        <f aca="false">J174-L174</f>
        <v>5.7</v>
      </c>
      <c r="O174" s="8" t="n">
        <v>153.6</v>
      </c>
      <c r="P174" s="8" t="n">
        <v>169</v>
      </c>
      <c r="Q174" s="17" t="n">
        <f aca="false">1+((P174-101)/107)*(1.15-1)</f>
        <v>1.09532710280374</v>
      </c>
      <c r="R174" s="15" t="n">
        <f aca="false">Q174*L174</f>
        <v>0.657196261682243</v>
      </c>
      <c r="S174" s="15" t="n">
        <f aca="false">J174-R174</f>
        <v>5.64280373831776</v>
      </c>
      <c r="T174" s="15" t="n">
        <f aca="false">MIN(153.6,(T173+S174))</f>
        <v>153.6</v>
      </c>
      <c r="V174" s="16" t="n">
        <v>176.1</v>
      </c>
      <c r="W174" s="8" t="n">
        <f aca="false">V174/D174</f>
        <v>18.9354838709677</v>
      </c>
      <c r="X174" s="8" t="n">
        <f aca="false">X173+V174</f>
        <v>75238</v>
      </c>
      <c r="Y174" s="8" t="n">
        <f aca="false">Y173+V174</f>
        <v>18854.7</v>
      </c>
      <c r="AA174" s="8" t="n">
        <v>10.3182878541557</v>
      </c>
    </row>
    <row r="175" s="8" customFormat="true" ht="15" hidden="false" customHeight="false" outlineLevel="0" collapsed="false">
      <c r="A175" s="35"/>
      <c r="B175" s="10"/>
      <c r="C175" s="11" t="n">
        <v>41691</v>
      </c>
      <c r="D175" s="8" t="n">
        <v>6.1</v>
      </c>
      <c r="E175" s="8" t="n">
        <v>5.6</v>
      </c>
      <c r="F175" s="8" t="n">
        <v>6.7</v>
      </c>
      <c r="G175" s="8" t="n">
        <f aca="false">G174+D175</f>
        <v>1508</v>
      </c>
      <c r="H175" s="8" t="n">
        <f aca="false">H174+D175</f>
        <v>451.1</v>
      </c>
      <c r="J175" s="8" t="n">
        <v>1.8</v>
      </c>
      <c r="K175" s="8" t="n">
        <f aca="false">K174+J175</f>
        <v>514.1</v>
      </c>
      <c r="L175" s="8" t="n">
        <v>1.2</v>
      </c>
      <c r="M175" s="8" t="n">
        <f aca="false">M174+L175</f>
        <v>205</v>
      </c>
      <c r="N175" s="8" t="n">
        <f aca="false">J175-L175</f>
        <v>0.6</v>
      </c>
      <c r="O175" s="8" t="n">
        <v>153.6</v>
      </c>
      <c r="P175" s="8" t="n">
        <v>170</v>
      </c>
      <c r="Q175" s="17" t="n">
        <f aca="false">1+((P175-101)/107)*(1.15-1)</f>
        <v>1.09672897196262</v>
      </c>
      <c r="R175" s="15" t="n">
        <f aca="false">Q175*L175</f>
        <v>1.31607476635514</v>
      </c>
      <c r="S175" s="15" t="n">
        <f aca="false">J175-R175</f>
        <v>0.48392523364486</v>
      </c>
      <c r="T175" s="15" t="n">
        <f aca="false">MIN(153.6,(T174+S175))</f>
        <v>153.6</v>
      </c>
      <c r="V175" s="16" t="n">
        <v>625.7</v>
      </c>
      <c r="W175" s="8" t="n">
        <f aca="false">V175/D175</f>
        <v>102.573770491803</v>
      </c>
      <c r="X175" s="8" t="n">
        <f aca="false">X174+V175</f>
        <v>75863.7</v>
      </c>
      <c r="Y175" s="8" t="n">
        <f aca="false">Y174+V175</f>
        <v>19480.4</v>
      </c>
      <c r="AA175" s="8" t="n">
        <v>10.3800096397642</v>
      </c>
    </row>
    <row r="176" s="8" customFormat="true" ht="15" hidden="false" customHeight="false" outlineLevel="0" collapsed="false">
      <c r="A176" s="35"/>
      <c r="B176" s="10"/>
      <c r="C176" s="11" t="n">
        <v>41692</v>
      </c>
      <c r="D176" s="8" t="n">
        <v>6.6</v>
      </c>
      <c r="E176" s="8" t="n">
        <v>4.5</v>
      </c>
      <c r="F176" s="8" t="n">
        <v>9.5</v>
      </c>
      <c r="G176" s="8" t="n">
        <f aca="false">G175+D176</f>
        <v>1514.6</v>
      </c>
      <c r="H176" s="8" t="n">
        <f aca="false">H175+D176</f>
        <v>457.7</v>
      </c>
      <c r="J176" s="8" t="n">
        <v>0</v>
      </c>
      <c r="K176" s="8" t="n">
        <f aca="false">K175+J176</f>
        <v>514.1</v>
      </c>
      <c r="L176" s="8" t="n">
        <v>1.6</v>
      </c>
      <c r="M176" s="8" t="n">
        <f aca="false">M175+L176</f>
        <v>206.6</v>
      </c>
      <c r="N176" s="14" t="n">
        <f aca="false">J176-L176</f>
        <v>-1.6</v>
      </c>
      <c r="O176" s="8" t="n">
        <v>152</v>
      </c>
      <c r="P176" s="8" t="n">
        <v>171</v>
      </c>
      <c r="Q176" s="17" t="n">
        <f aca="false">1+((P176-101)/107)*(1.15-1)</f>
        <v>1.0981308411215</v>
      </c>
      <c r="R176" s="15" t="n">
        <f aca="false">Q176*L176</f>
        <v>1.75700934579439</v>
      </c>
      <c r="S176" s="15" t="n">
        <f aca="false">J176-R176</f>
        <v>-1.75700934579439</v>
      </c>
      <c r="T176" s="15" t="n">
        <f aca="false">MIN(153.6,(T175+S176))</f>
        <v>151.842990654206</v>
      </c>
      <c r="V176" s="8" t="n">
        <v>908.9</v>
      </c>
      <c r="W176" s="8" t="n">
        <f aca="false">V176/D176</f>
        <v>137.712121212121</v>
      </c>
      <c r="X176" s="8" t="n">
        <f aca="false">X175+V176</f>
        <v>76772.6</v>
      </c>
      <c r="Y176" s="8" t="n">
        <f aca="false">Y175+V176</f>
        <v>20389.3</v>
      </c>
      <c r="AA176" s="8" t="n">
        <v>10.4419643896941</v>
      </c>
    </row>
    <row r="177" s="8" customFormat="true" ht="15" hidden="false" customHeight="false" outlineLevel="0" collapsed="false">
      <c r="A177" s="35"/>
      <c r="B177" s="10"/>
      <c r="C177" s="11" t="n">
        <v>41693</v>
      </c>
      <c r="D177" s="8" t="n">
        <v>8.4</v>
      </c>
      <c r="E177" s="8" t="n">
        <v>4.9</v>
      </c>
      <c r="F177" s="8" t="n">
        <v>12</v>
      </c>
      <c r="G177" s="8" t="n">
        <f aca="false">G176+D177</f>
        <v>1523</v>
      </c>
      <c r="H177" s="8" t="n">
        <f aca="false">H176+D177</f>
        <v>466.1</v>
      </c>
      <c r="J177" s="8" t="n">
        <v>0</v>
      </c>
      <c r="K177" s="8" t="n">
        <f aca="false">K176+J177</f>
        <v>514.1</v>
      </c>
      <c r="L177" s="8" t="n">
        <v>1.2</v>
      </c>
      <c r="M177" s="8" t="n">
        <f aca="false">M176+L177</f>
        <v>207.8</v>
      </c>
      <c r="N177" s="14" t="n">
        <f aca="false">J177-L177</f>
        <v>-1.2</v>
      </c>
      <c r="O177" s="8" t="n">
        <v>150.8</v>
      </c>
      <c r="P177" s="8" t="n">
        <v>172</v>
      </c>
      <c r="Q177" s="17" t="n">
        <f aca="false">1+((P177-101)/107)*(1.15-1)</f>
        <v>1.09953271028037</v>
      </c>
      <c r="R177" s="15" t="n">
        <f aca="false">Q177*L177</f>
        <v>1.31943925233645</v>
      </c>
      <c r="S177" s="15" t="n">
        <f aca="false">J177-R177</f>
        <v>-1.31943925233645</v>
      </c>
      <c r="T177" s="15" t="n">
        <f aca="false">MIN(153.6,(T176+S177))</f>
        <v>150.523551401869</v>
      </c>
      <c r="V177" s="16" t="n">
        <v>747.3</v>
      </c>
      <c r="W177" s="8" t="n">
        <f aca="false">V177/D177</f>
        <v>88.9642857142857</v>
      </c>
      <c r="X177" s="8" t="n">
        <f aca="false">X176+V177</f>
        <v>77519.9</v>
      </c>
      <c r="Y177" s="8" t="n">
        <f aca="false">Y176+V177</f>
        <v>21136.6</v>
      </c>
      <c r="AA177" s="8" t="n">
        <v>10.5041377308199</v>
      </c>
    </row>
    <row r="178" s="8" customFormat="true" ht="15" hidden="false" customHeight="false" outlineLevel="0" collapsed="false">
      <c r="A178" s="35"/>
      <c r="B178" s="10"/>
      <c r="C178" s="11" t="n">
        <v>41694</v>
      </c>
      <c r="D178" s="8" t="n">
        <v>8.9</v>
      </c>
      <c r="E178" s="8" t="n">
        <v>5.5</v>
      </c>
      <c r="F178" s="8" t="n">
        <v>11.9</v>
      </c>
      <c r="G178" s="8" t="n">
        <f aca="false">G177+D178</f>
        <v>1531.9</v>
      </c>
      <c r="H178" s="8" t="n">
        <f aca="false">H177+D178</f>
        <v>475</v>
      </c>
      <c r="J178" s="8" t="n">
        <v>0.1</v>
      </c>
      <c r="K178" s="8" t="n">
        <f aca="false">K177+J178</f>
        <v>514.2</v>
      </c>
      <c r="L178" s="8" t="n">
        <v>1.5</v>
      </c>
      <c r="M178" s="8" t="n">
        <f aca="false">M177+L178</f>
        <v>209.3</v>
      </c>
      <c r="N178" s="14" t="n">
        <f aca="false">J178-L178</f>
        <v>-1.4</v>
      </c>
      <c r="O178" s="8" t="n">
        <v>149.4</v>
      </c>
      <c r="P178" s="8" t="n">
        <v>173</v>
      </c>
      <c r="Q178" s="17" t="n">
        <f aca="false">1+((P178-101)/107)*(1.15-1)</f>
        <v>1.10093457943925</v>
      </c>
      <c r="R178" s="15" t="n">
        <f aca="false">Q178*L178</f>
        <v>1.65140186915888</v>
      </c>
      <c r="S178" s="15" t="n">
        <f aca="false">J178-R178</f>
        <v>-1.55140186915888</v>
      </c>
      <c r="T178" s="15" t="n">
        <f aca="false">MIN(153.6,(T177+S178))</f>
        <v>148.97214953271</v>
      </c>
      <c r="V178" s="16" t="n">
        <v>865.5</v>
      </c>
      <c r="W178" s="8" t="n">
        <f aca="false">V178/D178</f>
        <v>97.247191011236</v>
      </c>
      <c r="X178" s="8" t="n">
        <f aca="false">X177+V178</f>
        <v>78385.4</v>
      </c>
      <c r="Y178" s="8" t="n">
        <f aca="false">Y177+V178</f>
        <v>22002.1</v>
      </c>
      <c r="AA178" s="8" t="n">
        <v>10.5665158855088</v>
      </c>
    </row>
    <row r="179" s="8" customFormat="true" ht="15" hidden="false" customHeight="false" outlineLevel="0" collapsed="false">
      <c r="A179" s="35"/>
      <c r="B179" s="10"/>
      <c r="C179" s="11" t="n">
        <v>41695</v>
      </c>
      <c r="D179" s="8" t="n">
        <v>8.2</v>
      </c>
      <c r="E179" s="8" t="n">
        <v>7.1</v>
      </c>
      <c r="F179" s="8" t="n">
        <v>11.5</v>
      </c>
      <c r="G179" s="8" t="n">
        <f aca="false">G178+D179</f>
        <v>1540.1</v>
      </c>
      <c r="H179" s="8" t="n">
        <f aca="false">H178+D179</f>
        <v>483.2</v>
      </c>
      <c r="J179" s="8" t="n">
        <v>5.2</v>
      </c>
      <c r="K179" s="8" t="n">
        <f aca="false">K178+J179</f>
        <v>519.4</v>
      </c>
      <c r="L179" s="8" t="n">
        <v>1.7</v>
      </c>
      <c r="M179" s="8" t="n">
        <f aca="false">M178+L179</f>
        <v>211</v>
      </c>
      <c r="N179" s="8" t="n">
        <f aca="false">J179-L179</f>
        <v>3.5</v>
      </c>
      <c r="O179" s="8" t="n">
        <v>152.9</v>
      </c>
      <c r="P179" s="8" t="n">
        <v>174</v>
      </c>
      <c r="Q179" s="17" t="n">
        <f aca="false">1+((P179-101)/107)*(1.15-1)</f>
        <v>1.10233644859813</v>
      </c>
      <c r="R179" s="15" t="n">
        <f aca="false">Q179*L179</f>
        <v>1.87397196261682</v>
      </c>
      <c r="S179" s="15" t="n">
        <f aca="false">J179-R179</f>
        <v>3.32602803738318</v>
      </c>
      <c r="T179" s="15" t="n">
        <f aca="false">MIN(153.6,(T178+S179))</f>
        <v>152.298177570093</v>
      </c>
      <c r="V179" s="16" t="n">
        <v>650.7</v>
      </c>
      <c r="W179" s="8" t="n">
        <f aca="false">V179/D179</f>
        <v>79.3536585365854</v>
      </c>
      <c r="X179" s="8" t="n">
        <f aca="false">X178+V179</f>
        <v>79036.1</v>
      </c>
      <c r="Y179" s="8" t="n">
        <f aca="false">Y178+V179</f>
        <v>22652.8</v>
      </c>
      <c r="AA179" s="8" t="n">
        <v>10.6290856511529</v>
      </c>
    </row>
    <row r="180" s="8" customFormat="true" ht="15" hidden="false" customHeight="false" outlineLevel="0" collapsed="false">
      <c r="A180" s="35"/>
      <c r="B180" s="10"/>
      <c r="C180" s="11" t="n">
        <v>41696</v>
      </c>
      <c r="D180" s="8" t="n">
        <v>6.3</v>
      </c>
      <c r="E180" s="18" t="n">
        <v>3.2</v>
      </c>
      <c r="F180" s="8" t="n">
        <v>9.9</v>
      </c>
      <c r="G180" s="8" t="n">
        <f aca="false">G179+D180</f>
        <v>1546.4</v>
      </c>
      <c r="H180" s="8" t="n">
        <f aca="false">H179+D180</f>
        <v>489.5</v>
      </c>
      <c r="J180" s="8" t="n">
        <v>0.1</v>
      </c>
      <c r="K180" s="8" t="n">
        <f aca="false">K179+J180</f>
        <v>519.5</v>
      </c>
      <c r="L180" s="8" t="n">
        <v>1.5</v>
      </c>
      <c r="M180" s="8" t="n">
        <f aca="false">M179+L180</f>
        <v>212.5</v>
      </c>
      <c r="N180" s="14" t="n">
        <f aca="false">J180-L180</f>
        <v>-1.4</v>
      </c>
      <c r="O180" s="8" t="n">
        <v>151.5</v>
      </c>
      <c r="P180" s="8" t="n">
        <v>175</v>
      </c>
      <c r="Q180" s="17" t="n">
        <f aca="false">1+((P180-101)/107)*(1.15-1)</f>
        <v>1.10373831775701</v>
      </c>
      <c r="R180" s="15" t="n">
        <f aca="false">Q180*L180</f>
        <v>1.65560747663551</v>
      </c>
      <c r="S180" s="15" t="n">
        <f aca="false">J180-R180</f>
        <v>-1.55560747663551</v>
      </c>
      <c r="T180" s="15" t="n">
        <f aca="false">MIN(153.6,(T179+S180))</f>
        <v>150.742570093458</v>
      </c>
      <c r="V180" s="8" t="n">
        <v>974.9</v>
      </c>
      <c r="W180" s="8" t="n">
        <f aca="false">V180/D180</f>
        <v>154.746031746032</v>
      </c>
      <c r="X180" s="8" t="n">
        <f aca="false">X179+V180</f>
        <v>80011</v>
      </c>
      <c r="Y180" s="8" t="n">
        <f aca="false">Y179+V180</f>
        <v>23627.7</v>
      </c>
      <c r="AA180" s="8" t="n">
        <v>10.6918343793206</v>
      </c>
    </row>
    <row r="181" s="8" customFormat="true" ht="15" hidden="false" customHeight="false" outlineLevel="0" collapsed="false">
      <c r="A181" s="35"/>
      <c r="B181" s="10"/>
      <c r="C181" s="11" t="n">
        <v>41697</v>
      </c>
      <c r="D181" s="8" t="n">
        <v>5.2</v>
      </c>
      <c r="E181" s="18" t="n">
        <v>3.6</v>
      </c>
      <c r="F181" s="8" t="n">
        <v>7.2</v>
      </c>
      <c r="G181" s="8" t="n">
        <f aca="false">G180+D181</f>
        <v>1551.6</v>
      </c>
      <c r="H181" s="8" t="n">
        <f aca="false">H180+D181</f>
        <v>494.7</v>
      </c>
      <c r="J181" s="8" t="n">
        <v>4.4</v>
      </c>
      <c r="K181" s="8" t="n">
        <f aca="false">K180+J181</f>
        <v>523.9</v>
      </c>
      <c r="L181" s="8" t="n">
        <v>0.7</v>
      </c>
      <c r="M181" s="8" t="n">
        <f aca="false">M180+L181</f>
        <v>213.2</v>
      </c>
      <c r="N181" s="8" t="n">
        <f aca="false">J181-L181</f>
        <v>3.7</v>
      </c>
      <c r="O181" s="8" t="n">
        <v>153.6</v>
      </c>
      <c r="P181" s="8" t="n">
        <v>176</v>
      </c>
      <c r="Q181" s="17" t="n">
        <f aca="false">1+((P181-101)/107)*(1.15-1)</f>
        <v>1.10514018691589</v>
      </c>
      <c r="R181" s="15" t="n">
        <f aca="false">Q181*L181</f>
        <v>0.773598130841121</v>
      </c>
      <c r="S181" s="15" t="n">
        <f aca="false">J181-R181</f>
        <v>3.62640186915888</v>
      </c>
      <c r="T181" s="15" t="n">
        <f aca="false">MIN(153.6,(T180+S181))</f>
        <v>153.6</v>
      </c>
      <c r="V181" s="16" t="n">
        <v>220</v>
      </c>
      <c r="W181" s="8" t="n">
        <f aca="false">V181/D181</f>
        <v>42.3076923076923</v>
      </c>
      <c r="X181" s="8" t="n">
        <f aca="false">X180+V181</f>
        <v>80231</v>
      </c>
      <c r="Y181" s="8" t="n">
        <f aca="false">Y180+V181</f>
        <v>23847.7</v>
      </c>
      <c r="AA181" s="8" t="n">
        <v>10.7547499546026</v>
      </c>
    </row>
    <row r="182" s="8" customFormat="true" ht="15" hidden="false" customHeight="false" outlineLevel="0" collapsed="false">
      <c r="A182" s="35"/>
      <c r="B182" s="10"/>
      <c r="C182" s="11" t="n">
        <v>41698</v>
      </c>
      <c r="D182" s="18" t="n">
        <v>4.3</v>
      </c>
      <c r="E182" s="18" t="n">
        <v>3.2</v>
      </c>
      <c r="F182" s="8" t="n">
        <v>5.8</v>
      </c>
      <c r="G182" s="8" t="n">
        <f aca="false">G181+D182</f>
        <v>1555.9</v>
      </c>
      <c r="H182" s="8" t="n">
        <f aca="false">H181+D182</f>
        <v>499</v>
      </c>
      <c r="J182" s="8" t="n">
        <v>10.7</v>
      </c>
      <c r="K182" s="8" t="n">
        <f aca="false">K181+J182</f>
        <v>534.6</v>
      </c>
      <c r="L182" s="8" t="n">
        <v>0.4</v>
      </c>
      <c r="M182" s="8" t="n">
        <f aca="false">M181+L182</f>
        <v>213.6</v>
      </c>
      <c r="N182" s="8" t="n">
        <f aca="false">J182-L182</f>
        <v>10.3</v>
      </c>
      <c r="O182" s="8" t="n">
        <v>153.6</v>
      </c>
      <c r="P182" s="8" t="n">
        <v>177</v>
      </c>
      <c r="Q182" s="17" t="n">
        <f aca="false">1+((P182-101)/107)*(1.15-1)</f>
        <v>1.10654205607477</v>
      </c>
      <c r="R182" s="15" t="n">
        <f aca="false">Q182*L182</f>
        <v>0.442616822429907</v>
      </c>
      <c r="S182" s="15" t="n">
        <f aca="false">J182-R182</f>
        <v>10.2573831775701</v>
      </c>
      <c r="T182" s="15" t="n">
        <f aca="false">MIN(153.6,(T181+S182))</f>
        <v>153.6</v>
      </c>
      <c r="V182" s="16" t="n">
        <v>184.8</v>
      </c>
      <c r="W182" s="8" t="n">
        <f aca="false">V182/D182</f>
        <v>42.9767441860465</v>
      </c>
      <c r="X182" s="8" t="n">
        <f aca="false">X181+V182</f>
        <v>80415.8</v>
      </c>
      <c r="Y182" s="8" t="n">
        <f aca="false">Y181+V182</f>
        <v>24032.5</v>
      </c>
      <c r="AA182" s="8" t="n">
        <v>10.8178207732204</v>
      </c>
    </row>
    <row r="183" s="8" customFormat="true" ht="15" hidden="false" customHeight="false" outlineLevel="0" collapsed="false">
      <c r="A183" s="35"/>
      <c r="B183" s="10"/>
      <c r="C183" s="11" t="n">
        <v>41699</v>
      </c>
      <c r="D183" s="18" t="n">
        <v>4.6</v>
      </c>
      <c r="E183" s="18" t="n">
        <v>4.1</v>
      </c>
      <c r="F183" s="8" t="n">
        <v>6.1</v>
      </c>
      <c r="G183" s="8" t="n">
        <f aca="false">G182+D183</f>
        <v>1560.5</v>
      </c>
      <c r="H183" s="8" t="n">
        <f aca="false">H182+D183</f>
        <v>503.6</v>
      </c>
      <c r="J183" s="8" t="n">
        <v>2.5</v>
      </c>
      <c r="K183" s="8" t="n">
        <f aca="false">K182+J183</f>
        <v>537.1</v>
      </c>
      <c r="L183" s="8" t="n">
        <v>0.4</v>
      </c>
      <c r="M183" s="8" t="n">
        <f aca="false">M182+L183</f>
        <v>214</v>
      </c>
      <c r="N183" s="8" t="n">
        <f aca="false">J183-L183</f>
        <v>2.1</v>
      </c>
      <c r="O183" s="8" t="n">
        <v>153.6</v>
      </c>
      <c r="P183" s="8" t="n">
        <v>178</v>
      </c>
      <c r="Q183" s="17" t="n">
        <f aca="false">1+((P183-101)/107)*(1.15-1)</f>
        <v>1.10794392523364</v>
      </c>
      <c r="R183" s="15" t="n">
        <f aca="false">Q183*L183</f>
        <v>0.443177570093458</v>
      </c>
      <c r="S183" s="15" t="n">
        <f aca="false">J183-R183</f>
        <v>2.05682242990654</v>
      </c>
      <c r="T183" s="15" t="n">
        <f aca="false">MIN(153.6,(T182+S183))</f>
        <v>153.6</v>
      </c>
      <c r="V183" s="16" t="n">
        <v>210.9</v>
      </c>
      <c r="W183" s="8" t="n">
        <f aca="false">V183/D183</f>
        <v>45.8478260869565</v>
      </c>
      <c r="X183" s="8" t="n">
        <f aca="false">X182+V183</f>
        <v>80626.7</v>
      </c>
      <c r="Y183" s="8" t="n">
        <f aca="false">Y182+V183</f>
        <v>24243.4</v>
      </c>
      <c r="AA183" s="8" t="n">
        <v>10.8810357214578</v>
      </c>
    </row>
    <row r="184" s="8" customFormat="true" ht="15" hidden="false" customHeight="false" outlineLevel="0" collapsed="false">
      <c r="A184" s="35"/>
      <c r="B184" s="10"/>
      <c r="C184" s="11" t="n">
        <v>41700</v>
      </c>
      <c r="D184" s="8" t="n">
        <v>5.3</v>
      </c>
      <c r="E184" s="18" t="n">
        <v>0.2</v>
      </c>
      <c r="F184" s="8" t="n">
        <v>9.6</v>
      </c>
      <c r="G184" s="8" t="n">
        <f aca="false">G183+D184</f>
        <v>1565.8</v>
      </c>
      <c r="H184" s="8" t="n">
        <f aca="false">H183+D184</f>
        <v>508.9</v>
      </c>
      <c r="J184" s="8" t="n">
        <v>5</v>
      </c>
      <c r="K184" s="8" t="n">
        <f aca="false">K183+J184</f>
        <v>542.1</v>
      </c>
      <c r="L184" s="8" t="n">
        <v>1.5</v>
      </c>
      <c r="M184" s="8" t="n">
        <f aca="false">M183+L184</f>
        <v>215.5</v>
      </c>
      <c r="N184" s="8" t="n">
        <f aca="false">J184-L184</f>
        <v>3.5</v>
      </c>
      <c r="O184" s="8" t="n">
        <v>153.6</v>
      </c>
      <c r="P184" s="8" t="n">
        <v>179</v>
      </c>
      <c r="Q184" s="17" t="n">
        <f aca="false">1+((P184-101)/107)*(1.15-1)</f>
        <v>1.10934579439252</v>
      </c>
      <c r="R184" s="15" t="n">
        <f aca="false">Q184*L184</f>
        <v>1.66401869158879</v>
      </c>
      <c r="S184" s="15" t="n">
        <f aca="false">J184-R184</f>
        <v>3.33598130841122</v>
      </c>
      <c r="T184" s="15" t="n">
        <f aca="false">MIN(153.6,(T183+S184))</f>
        <v>153.6</v>
      </c>
      <c r="V184" s="8" t="n">
        <v>973.7</v>
      </c>
      <c r="W184" s="8" t="n">
        <f aca="false">V184/D184</f>
        <v>183.716981132076</v>
      </c>
      <c r="X184" s="8" t="n">
        <f aca="false">X183+V184</f>
        <v>81600.4</v>
      </c>
      <c r="Y184" s="8" t="n">
        <f aca="false">Y183+V184</f>
        <v>25217.1</v>
      </c>
      <c r="AA184" s="8" t="n">
        <v>10.9443841539697</v>
      </c>
    </row>
    <row r="185" s="8" customFormat="true" ht="15" hidden="false" customHeight="false" outlineLevel="0" collapsed="false">
      <c r="A185" s="35"/>
      <c r="B185" s="10"/>
      <c r="C185" s="11" t="n">
        <v>41701</v>
      </c>
      <c r="D185" s="8" t="n">
        <v>6.5</v>
      </c>
      <c r="E185" s="8" t="n">
        <v>5.5</v>
      </c>
      <c r="F185" s="8" t="n">
        <v>8.9</v>
      </c>
      <c r="G185" s="8" t="n">
        <f aca="false">G184+D185</f>
        <v>1572.3</v>
      </c>
      <c r="H185" s="8" t="n">
        <f aca="false">H184+D185</f>
        <v>515.4</v>
      </c>
      <c r="J185" s="39" t="n">
        <v>3.4</v>
      </c>
      <c r="K185" s="8" t="n">
        <f aca="false">K184+J185</f>
        <v>545.5</v>
      </c>
      <c r="L185" s="8" t="n">
        <v>1.6</v>
      </c>
      <c r="M185" s="8" t="n">
        <f aca="false">M184+L185</f>
        <v>217.1</v>
      </c>
      <c r="N185" s="8" t="n">
        <f aca="false">J185-L185</f>
        <v>1.8</v>
      </c>
      <c r="O185" s="8" t="n">
        <v>153.6</v>
      </c>
      <c r="P185" s="8" t="n">
        <v>180</v>
      </c>
      <c r="Q185" s="17" t="n">
        <f aca="false">1+((P185-101)/107)*(1.15-1)</f>
        <v>1.1107476635514</v>
      </c>
      <c r="R185" s="15" t="n">
        <f aca="false">Q185*L185</f>
        <v>1.77719626168224</v>
      </c>
      <c r="S185" s="15" t="n">
        <f aca="false">J185-R185</f>
        <v>1.62280373831776</v>
      </c>
      <c r="T185" s="15" t="n">
        <f aca="false">MIN(153.6,(T184+S185))</f>
        <v>153.6</v>
      </c>
      <c r="V185" s="16" t="n">
        <v>616.1</v>
      </c>
      <c r="W185" s="8" t="n">
        <f aca="false">V185/D185</f>
        <v>94.7846153846154</v>
      </c>
      <c r="X185" s="8" t="n">
        <f aca="false">X184+V185</f>
        <v>82216.5</v>
      </c>
      <c r="Y185" s="8" t="n">
        <f aca="false">Y184+V185</f>
        <v>25833.2</v>
      </c>
      <c r="AA185" s="8" t="n">
        <v>11.0078558720175</v>
      </c>
      <c r="AB185" s="40" t="s">
        <v>46</v>
      </c>
    </row>
    <row r="186" s="8" customFormat="true" ht="15" hidden="false" customHeight="false" outlineLevel="0" collapsed="false">
      <c r="A186" s="35"/>
      <c r="B186" s="10"/>
      <c r="C186" s="11" t="n">
        <v>41702</v>
      </c>
      <c r="D186" s="8" t="n">
        <v>5.2</v>
      </c>
      <c r="E186" s="18" t="n">
        <v>2.2</v>
      </c>
      <c r="F186" s="8" t="n">
        <v>9.1</v>
      </c>
      <c r="G186" s="8" t="n">
        <f aca="false">G185+D186</f>
        <v>1577.5</v>
      </c>
      <c r="H186" s="8" t="n">
        <f aca="false">H185+D186</f>
        <v>520.6</v>
      </c>
      <c r="J186" s="39" t="n">
        <v>0.2</v>
      </c>
      <c r="K186" s="8" t="n">
        <f aca="false">K185+J186</f>
        <v>545.7</v>
      </c>
      <c r="L186" s="8" t="n">
        <v>1</v>
      </c>
      <c r="M186" s="8" t="n">
        <f aca="false">M185+L186</f>
        <v>218.1</v>
      </c>
      <c r="N186" s="14" t="n">
        <f aca="false">J186-L186</f>
        <v>-0.8</v>
      </c>
      <c r="O186" s="8" t="n">
        <v>152.8</v>
      </c>
      <c r="P186" s="8" t="n">
        <v>181</v>
      </c>
      <c r="Q186" s="17" t="n">
        <f aca="false">1+((P186-101)/107)*(1.15-1)</f>
        <v>1.11214953271028</v>
      </c>
      <c r="R186" s="15" t="n">
        <f aca="false">Q186*L186</f>
        <v>1.11214953271028</v>
      </c>
      <c r="S186" s="15" t="n">
        <f aca="false">J186-R186</f>
        <v>-0.91214953271028</v>
      </c>
      <c r="T186" s="15" t="n">
        <f aca="false">MIN(153.6,(T185+S186))</f>
        <v>152.68785046729</v>
      </c>
      <c r="V186" s="16" t="n">
        <v>492</v>
      </c>
      <c r="W186" s="8" t="n">
        <f aca="false">V186/D186</f>
        <v>94.6153846153846</v>
      </c>
      <c r="X186" s="8" t="n">
        <f aca="false">X185+V186</f>
        <v>82708.5</v>
      </c>
      <c r="Y186" s="8" t="n">
        <f aca="false">Y185+V186</f>
        <v>26325.2</v>
      </c>
      <c r="AA186" s="8" t="n">
        <v>11.0714411016731</v>
      </c>
      <c r="AB186" s="15" t="n">
        <f aca="false">AVERAGE(T192:T205)</f>
        <v>127.642770360481</v>
      </c>
    </row>
    <row r="187" s="8" customFormat="true" ht="15" hidden="false" customHeight="false" outlineLevel="0" collapsed="false">
      <c r="A187" s="35"/>
      <c r="B187" s="10"/>
      <c r="C187" s="11" t="n">
        <v>41703</v>
      </c>
      <c r="D187" s="8" t="n">
        <v>6</v>
      </c>
      <c r="E187" s="18" t="n">
        <v>0.5</v>
      </c>
      <c r="F187" s="8" t="n">
        <v>11.8</v>
      </c>
      <c r="G187" s="8" t="n">
        <f aca="false">G186+D187</f>
        <v>1583.5</v>
      </c>
      <c r="H187" s="8" t="n">
        <f aca="false">H186+D187</f>
        <v>526.6</v>
      </c>
      <c r="J187" s="39" t="n">
        <v>0</v>
      </c>
      <c r="K187" s="8" t="n">
        <f aca="false">K186+J187</f>
        <v>545.7</v>
      </c>
      <c r="L187" s="8" t="n">
        <v>1.6</v>
      </c>
      <c r="M187" s="8" t="n">
        <f aca="false">M186+L187</f>
        <v>219.7</v>
      </c>
      <c r="N187" s="14" t="n">
        <f aca="false">J187-L187</f>
        <v>-1.6</v>
      </c>
      <c r="O187" s="8" t="n">
        <v>151.2</v>
      </c>
      <c r="P187" s="8" t="n">
        <v>182</v>
      </c>
      <c r="Q187" s="17" t="n">
        <f aca="false">1+((P187-101)/107)*(1.15-1)</f>
        <v>1.11355140186916</v>
      </c>
      <c r="R187" s="15" t="n">
        <f aca="false">Q187*L187</f>
        <v>1.78168224299065</v>
      </c>
      <c r="S187" s="15" t="n">
        <f aca="false">J187-R187</f>
        <v>-1.78168224299065</v>
      </c>
      <c r="T187" s="15" t="n">
        <f aca="false">MIN(153.6,(T186+S187))</f>
        <v>150.906168224299</v>
      </c>
      <c r="V187" s="8" t="n">
        <v>1017.4</v>
      </c>
      <c r="W187" s="8" t="n">
        <f aca="false">V187/D187</f>
        <v>169.566666666667</v>
      </c>
      <c r="X187" s="8" t="n">
        <f aca="false">X186+V187</f>
        <v>83725.9</v>
      </c>
      <c r="Y187" s="8" t="n">
        <f aca="false">Y186+V187</f>
        <v>27342.6</v>
      </c>
      <c r="AA187" s="8" t="n">
        <v>11.1351304720285</v>
      </c>
      <c r="AB187" s="40" t="s">
        <v>47</v>
      </c>
    </row>
    <row r="188" s="8" customFormat="true" ht="15" hidden="false" customHeight="false" outlineLevel="0" collapsed="false">
      <c r="A188" s="35"/>
      <c r="B188" s="10"/>
      <c r="C188" s="11" t="n">
        <v>41704</v>
      </c>
      <c r="D188" s="8" t="n">
        <v>6.7</v>
      </c>
      <c r="E188" s="18" t="n">
        <v>0.4</v>
      </c>
      <c r="F188" s="8" t="n">
        <v>12.6</v>
      </c>
      <c r="G188" s="8" t="n">
        <f aca="false">G187+D188</f>
        <v>1590.2</v>
      </c>
      <c r="H188" s="8" t="n">
        <f aca="false">H187+D188</f>
        <v>533.3</v>
      </c>
      <c r="J188" s="39" t="n">
        <v>0</v>
      </c>
      <c r="K188" s="8" t="n">
        <f aca="false">K187+J188</f>
        <v>545.7</v>
      </c>
      <c r="L188" s="8" t="n">
        <v>1.9</v>
      </c>
      <c r="M188" s="8" t="n">
        <f aca="false">M187+L188</f>
        <v>221.6</v>
      </c>
      <c r="N188" s="14" t="n">
        <f aca="false">J188-L188</f>
        <v>-1.9</v>
      </c>
      <c r="O188" s="8" t="n">
        <v>149.3</v>
      </c>
      <c r="P188" s="8" t="n">
        <v>183</v>
      </c>
      <c r="Q188" s="17" t="n">
        <f aca="false">1+((P188-101)/107)*(1.15-1)</f>
        <v>1.11495327102804</v>
      </c>
      <c r="R188" s="15" t="n">
        <f aca="false">Q188*L188</f>
        <v>2.11841121495327</v>
      </c>
      <c r="S188" s="15" t="n">
        <f aca="false">J188-R188</f>
        <v>-2.11841121495327</v>
      </c>
      <c r="T188" s="15" t="n">
        <f aca="false">MIN(153.6,(T187+S188))</f>
        <v>148.787757009346</v>
      </c>
      <c r="V188" s="8" t="n">
        <v>1270.9</v>
      </c>
      <c r="W188" s="8" t="n">
        <f aca="false">V188/D188</f>
        <v>189.686567164179</v>
      </c>
      <c r="X188" s="8" t="n">
        <f aca="false">X187+V188</f>
        <v>84996.8</v>
      </c>
      <c r="Y188" s="8" t="n">
        <f aca="false">Y187+V188</f>
        <v>28613.5</v>
      </c>
      <c r="AA188" s="8" t="n">
        <v>11.1989149934452</v>
      </c>
      <c r="AB188" s="8" t="n">
        <v>7</v>
      </c>
    </row>
    <row r="189" s="8" customFormat="true" ht="15" hidden="false" customHeight="false" outlineLevel="0" collapsed="false">
      <c r="A189" s="35"/>
      <c r="B189" s="10"/>
      <c r="C189" s="11" t="n">
        <v>41705</v>
      </c>
      <c r="D189" s="8" t="n">
        <v>8.4</v>
      </c>
      <c r="E189" s="18" t="n">
        <v>3.7</v>
      </c>
      <c r="F189" s="8" t="n">
        <v>13.6</v>
      </c>
      <c r="G189" s="8" t="n">
        <f aca="false">G188+D189</f>
        <v>1598.6</v>
      </c>
      <c r="H189" s="8" t="n">
        <f aca="false">H188+D189</f>
        <v>541.7</v>
      </c>
      <c r="J189" s="39" t="n">
        <v>0</v>
      </c>
      <c r="K189" s="8" t="n">
        <f aca="false">K188+J189</f>
        <v>545.7</v>
      </c>
      <c r="L189" s="8" t="n">
        <v>1.7</v>
      </c>
      <c r="M189" s="8" t="n">
        <f aca="false">M188+L189</f>
        <v>223.3</v>
      </c>
      <c r="N189" s="14" t="n">
        <f aca="false">J189-L189</f>
        <v>-1.7</v>
      </c>
      <c r="O189" s="8" t="n">
        <v>147.6</v>
      </c>
      <c r="P189" s="8" t="n">
        <v>184</v>
      </c>
      <c r="Q189" s="17" t="n">
        <f aca="false">1+((P189-101)/107)*(1.15-1)</f>
        <v>1.11635514018692</v>
      </c>
      <c r="R189" s="15" t="n">
        <f aca="false">Q189*L189</f>
        <v>1.89780373831776</v>
      </c>
      <c r="S189" s="15" t="n">
        <f aca="false">J189-R189</f>
        <v>-1.89780373831776</v>
      </c>
      <c r="T189" s="15" t="n">
        <f aca="false">MIN(153.6,(T188+S189))</f>
        <v>146.889953271028</v>
      </c>
      <c r="V189" s="8" t="n">
        <v>930.1</v>
      </c>
      <c r="W189" s="8" t="n">
        <f aca="false">V189/D189</f>
        <v>110.72619047619</v>
      </c>
      <c r="X189" s="8" t="n">
        <f aca="false">X188+V189</f>
        <v>85926.9</v>
      </c>
      <c r="Y189" s="8" t="n">
        <f aca="false">Y188+V189</f>
        <v>29543.6</v>
      </c>
      <c r="AA189" s="8" t="n">
        <v>11.2627860358683</v>
      </c>
      <c r="AB189" s="40" t="s">
        <v>48</v>
      </c>
    </row>
    <row r="190" s="8" customFormat="true" ht="15" hidden="false" customHeight="false" outlineLevel="0" collapsed="false">
      <c r="A190" s="35"/>
      <c r="B190" s="10"/>
      <c r="C190" s="11" t="n">
        <v>41706</v>
      </c>
      <c r="D190" s="8" t="n">
        <v>9.8</v>
      </c>
      <c r="E190" s="18" t="n">
        <v>3.6</v>
      </c>
      <c r="F190" s="8" t="n">
        <v>15.7</v>
      </c>
      <c r="G190" s="8" t="n">
        <f aca="false">G189+D190</f>
        <v>1608.4</v>
      </c>
      <c r="H190" s="8" t="n">
        <f aca="false">H189+D190</f>
        <v>551.5</v>
      </c>
      <c r="J190" s="39" t="n">
        <v>0</v>
      </c>
      <c r="K190" s="8" t="n">
        <f aca="false">K189+J190</f>
        <v>545.7</v>
      </c>
      <c r="L190" s="8" t="n">
        <v>2.4</v>
      </c>
      <c r="M190" s="8" t="n">
        <f aca="false">M189+L190</f>
        <v>225.7</v>
      </c>
      <c r="N190" s="14" t="n">
        <f aca="false">J190-L190</f>
        <v>-2.4</v>
      </c>
      <c r="O190" s="8" t="n">
        <v>145.2</v>
      </c>
      <c r="P190" s="8" t="n">
        <v>185</v>
      </c>
      <c r="Q190" s="17" t="n">
        <f aca="false">1+((P190-101)/107)*(1.15-1)</f>
        <v>1.11775700934579</v>
      </c>
      <c r="R190" s="15" t="n">
        <f aca="false">Q190*L190</f>
        <v>2.68261682242991</v>
      </c>
      <c r="S190" s="15" t="n">
        <f aca="false">J190-R190</f>
        <v>-2.68261682242991</v>
      </c>
      <c r="T190" s="15" t="n">
        <f aca="false">MIN(153.6,(T189+S190))</f>
        <v>144.207336448598</v>
      </c>
      <c r="V190" s="8" t="n">
        <v>1367.3</v>
      </c>
      <c r="W190" s="8" t="n">
        <f aca="false">V190/D190</f>
        <v>139.520408163265</v>
      </c>
      <c r="X190" s="8" t="n">
        <f aca="false">X189+V190</f>
        <v>87294.2</v>
      </c>
      <c r="Y190" s="8" t="n">
        <f aca="false">Y189+V190</f>
        <v>30910.9</v>
      </c>
      <c r="AA190" s="8" t="n">
        <v>11.3267353072316</v>
      </c>
      <c r="AB190" s="8" t="n">
        <v>6</v>
      </c>
    </row>
    <row r="191" s="8" customFormat="true" ht="15" hidden="false" customHeight="false" outlineLevel="0" collapsed="false">
      <c r="A191" s="35"/>
      <c r="B191" s="10"/>
      <c r="C191" s="11" t="n">
        <v>41707</v>
      </c>
      <c r="D191" s="8" t="n">
        <v>10.7</v>
      </c>
      <c r="E191" s="18" t="n">
        <v>2.9</v>
      </c>
      <c r="F191" s="8" t="n">
        <v>17.3</v>
      </c>
      <c r="G191" s="8" t="n">
        <f aca="false">G190+D191</f>
        <v>1619.1</v>
      </c>
      <c r="H191" s="8" t="n">
        <f aca="false">H190+D191</f>
        <v>562.2</v>
      </c>
      <c r="J191" s="39" t="n">
        <v>0</v>
      </c>
      <c r="K191" s="8" t="n">
        <f aca="false">K190+J191</f>
        <v>545.7</v>
      </c>
      <c r="L191" s="8" t="n">
        <v>2.9</v>
      </c>
      <c r="M191" s="8" t="n">
        <f aca="false">M190+L191</f>
        <v>228.6</v>
      </c>
      <c r="N191" s="14" t="n">
        <f aca="false">J191-L191</f>
        <v>-2.9</v>
      </c>
      <c r="O191" s="8" t="n">
        <v>142.3</v>
      </c>
      <c r="P191" s="8" t="n">
        <v>186</v>
      </c>
      <c r="Q191" s="17" t="n">
        <f aca="false">1+((P191-101)/107)*(1.15-1)</f>
        <v>1.11915887850467</v>
      </c>
      <c r="R191" s="15" t="n">
        <f aca="false">Q191*L191</f>
        <v>3.24556074766355</v>
      </c>
      <c r="S191" s="15" t="n">
        <f aca="false">J191-R191</f>
        <v>-3.24556074766355</v>
      </c>
      <c r="T191" s="15" t="n">
        <f aca="false">MIN(153.6,(T190+S191))</f>
        <v>140.961775700935</v>
      </c>
      <c r="V191" s="8" t="n">
        <v>1597.4</v>
      </c>
      <c r="W191" s="8" t="n">
        <f aca="false">V191/D191</f>
        <v>149.289719626168</v>
      </c>
      <c r="X191" s="8" t="n">
        <f aca="false">X190+V191</f>
        <v>88891.6</v>
      </c>
      <c r="Y191" s="8" t="n">
        <f aca="false">Y190+V191</f>
        <v>32508.3</v>
      </c>
      <c r="AA191" s="8" t="n">
        <v>11.3907548319714</v>
      </c>
      <c r="AB191" s="40" t="s">
        <v>49</v>
      </c>
    </row>
    <row r="192" s="8" customFormat="true" ht="15" hidden="false" customHeight="false" outlineLevel="0" collapsed="false">
      <c r="A192" s="35"/>
      <c r="B192" s="10"/>
      <c r="C192" s="11" t="n">
        <v>41708</v>
      </c>
      <c r="D192" s="8" t="n">
        <v>9.2</v>
      </c>
      <c r="E192" s="18" t="n">
        <v>2.3</v>
      </c>
      <c r="F192" s="8" t="n">
        <v>17.6</v>
      </c>
      <c r="G192" s="8" t="n">
        <f aca="false">G191+D192</f>
        <v>1628.3</v>
      </c>
      <c r="H192" s="8" t="n">
        <f aca="false">H191+D192</f>
        <v>571.4</v>
      </c>
      <c r="J192" s="39" t="n">
        <v>0</v>
      </c>
      <c r="K192" s="8" t="n">
        <f aca="false">K191+J192</f>
        <v>545.7</v>
      </c>
      <c r="L192" s="8" t="n">
        <v>2.8</v>
      </c>
      <c r="M192" s="8" t="n">
        <f aca="false">M191+L192</f>
        <v>231.4</v>
      </c>
      <c r="N192" s="14" t="n">
        <f aca="false">J192-L192</f>
        <v>-2.8</v>
      </c>
      <c r="O192" s="8" t="n">
        <v>139.5</v>
      </c>
      <c r="P192" s="8" t="n">
        <v>187</v>
      </c>
      <c r="Q192" s="17" t="n">
        <f aca="false">1+((P192-101)/107)*(1.15-1)</f>
        <v>1.12056074766355</v>
      </c>
      <c r="R192" s="15" t="n">
        <f aca="false">Q192*L192</f>
        <v>3.13757009345794</v>
      </c>
      <c r="S192" s="15" t="n">
        <f aca="false">J192-R192</f>
        <v>-3.13757009345794</v>
      </c>
      <c r="T192" s="41" t="n">
        <f aca="false">MIN(153.6,(T191+S192))</f>
        <v>137.824205607477</v>
      </c>
      <c r="V192" s="8" t="n">
        <v>1443</v>
      </c>
      <c r="W192" s="8" t="n">
        <f aca="false">V192/D192</f>
        <v>156.847826086957</v>
      </c>
      <c r="X192" s="8" t="n">
        <f aca="false">X191+V192</f>
        <v>90334.6</v>
      </c>
      <c r="Y192" s="8" t="n">
        <f aca="false">Y191+V192</f>
        <v>33951.3</v>
      </c>
      <c r="AA192" s="8" t="n">
        <v>11.4548369296644</v>
      </c>
      <c r="AB192" s="8" t="n">
        <v>0</v>
      </c>
    </row>
    <row r="193" s="8" customFormat="true" ht="15" hidden="false" customHeight="false" outlineLevel="0" collapsed="false">
      <c r="A193" s="35"/>
      <c r="B193" s="10"/>
      <c r="C193" s="11" t="n">
        <v>41709</v>
      </c>
      <c r="D193" s="8" t="n">
        <v>9.3</v>
      </c>
      <c r="E193" s="8" t="n">
        <v>7.7</v>
      </c>
      <c r="F193" s="8" t="n">
        <v>11.1</v>
      </c>
      <c r="G193" s="8" t="n">
        <f aca="false">G192+D193</f>
        <v>1637.6</v>
      </c>
      <c r="H193" s="8" t="n">
        <f aca="false">H192+D193</f>
        <v>580.7</v>
      </c>
      <c r="J193" s="39" t="n">
        <v>0</v>
      </c>
      <c r="K193" s="8" t="n">
        <f aca="false">K192+J193</f>
        <v>545.7</v>
      </c>
      <c r="L193" s="8" t="n">
        <v>1.5</v>
      </c>
      <c r="M193" s="8" t="n">
        <f aca="false">M192+L193</f>
        <v>232.9</v>
      </c>
      <c r="N193" s="14" t="n">
        <f aca="false">J193-L193</f>
        <v>-1.5</v>
      </c>
      <c r="O193" s="8" t="n">
        <v>138</v>
      </c>
      <c r="P193" s="8" t="n">
        <v>188</v>
      </c>
      <c r="Q193" s="17" t="n">
        <f aca="false">1+((P193-101)/107)*(1.15-1)</f>
        <v>1.12196261682243</v>
      </c>
      <c r="R193" s="15" t="n">
        <f aca="false">Q193*L193</f>
        <v>1.68294392523364</v>
      </c>
      <c r="S193" s="15" t="n">
        <f aca="false">J193-R193</f>
        <v>-1.68294392523364</v>
      </c>
      <c r="T193" s="41" t="n">
        <f aca="false">MIN(153.6,(T192+S193))</f>
        <v>136.141261682243</v>
      </c>
      <c r="V193" s="16" t="n">
        <v>807.4</v>
      </c>
      <c r="W193" s="8" t="n">
        <f aca="false">V193/D193</f>
        <v>86.8172043010753</v>
      </c>
      <c r="X193" s="8" t="n">
        <f aca="false">X192+V193</f>
        <v>91142</v>
      </c>
      <c r="Y193" s="8" t="n">
        <f aca="false">Y192+V193</f>
        <v>34758.7</v>
      </c>
      <c r="AA193" s="8" t="n">
        <v>11.5189741938043</v>
      </c>
      <c r="AB193" s="40" t="s">
        <v>50</v>
      </c>
    </row>
    <row r="194" s="8" customFormat="true" ht="15" hidden="false" customHeight="false" outlineLevel="0" collapsed="false">
      <c r="A194" s="35"/>
      <c r="B194" s="10"/>
      <c r="C194" s="11" t="n">
        <v>41710</v>
      </c>
      <c r="D194" s="8" t="n">
        <v>9.7</v>
      </c>
      <c r="E194" s="18" t="n">
        <v>2.8</v>
      </c>
      <c r="F194" s="8" t="n">
        <v>15</v>
      </c>
      <c r="G194" s="8" t="n">
        <f aca="false">G193+D194</f>
        <v>1647.3</v>
      </c>
      <c r="H194" s="8" t="n">
        <f aca="false">H193+D194</f>
        <v>590.4</v>
      </c>
      <c r="J194" s="39" t="n">
        <v>0.1</v>
      </c>
      <c r="K194" s="8" t="n">
        <f aca="false">K193+J194</f>
        <v>545.8</v>
      </c>
      <c r="L194" s="8" t="n">
        <v>2.1</v>
      </c>
      <c r="M194" s="8" t="n">
        <f aca="false">M193+L194</f>
        <v>235</v>
      </c>
      <c r="N194" s="14" t="n">
        <f aca="false">J194-L194</f>
        <v>-2</v>
      </c>
      <c r="O194" s="8" t="n">
        <v>136</v>
      </c>
      <c r="P194" s="8" t="n">
        <v>189</v>
      </c>
      <c r="Q194" s="17" t="n">
        <f aca="false">1+((P194-101)/107)*(1.15-1)</f>
        <v>1.12336448598131</v>
      </c>
      <c r="R194" s="15" t="n">
        <f aca="false">Q194*L194</f>
        <v>2.35906542056075</v>
      </c>
      <c r="S194" s="15" t="n">
        <f aca="false">J194-R194</f>
        <v>-2.25906542056075</v>
      </c>
      <c r="T194" s="41" t="n">
        <f aca="false">MIN(153.6,(T193+S194))</f>
        <v>133.882196261682</v>
      </c>
      <c r="V194" s="8" t="n">
        <v>1586.7</v>
      </c>
      <c r="W194" s="8" t="n">
        <f aca="false">V194/D194</f>
        <v>163.577319587629</v>
      </c>
      <c r="X194" s="8" t="n">
        <f aca="false">X193+V194</f>
        <v>92728.7</v>
      </c>
      <c r="Y194" s="8" t="n">
        <f aca="false">Y193+V194</f>
        <v>36345.4</v>
      </c>
      <c r="AA194" s="8" t="n">
        <v>11.5831594707238</v>
      </c>
      <c r="AB194" s="8" t="n">
        <f aca="false">SUM(J196:J205)</f>
        <v>17.7</v>
      </c>
    </row>
    <row r="195" s="44" customFormat="true" ht="15" hidden="false" customHeight="false" outlineLevel="0" collapsed="false">
      <c r="A195" s="35"/>
      <c r="B195" s="42" t="s">
        <v>60</v>
      </c>
      <c r="C195" s="43" t="n">
        <v>41711</v>
      </c>
      <c r="D195" s="44" t="n">
        <v>8.2</v>
      </c>
      <c r="E195" s="44" t="n">
        <v>1.6</v>
      </c>
      <c r="F195" s="44" t="n">
        <v>13.5</v>
      </c>
      <c r="G195" s="44" t="n">
        <f aca="false">G194+D195</f>
        <v>1655.5</v>
      </c>
      <c r="H195" s="44" t="n">
        <f aca="false">H194+D195</f>
        <v>598.6</v>
      </c>
      <c r="J195" s="44" t="n">
        <v>0.2</v>
      </c>
      <c r="K195" s="44" t="n">
        <f aca="false">K194+J195</f>
        <v>546</v>
      </c>
      <c r="L195" s="44" t="n">
        <v>1.9</v>
      </c>
      <c r="M195" s="44" t="n">
        <f aca="false">M194+L195</f>
        <v>236.9</v>
      </c>
      <c r="N195" s="44" t="n">
        <f aca="false">J195-L195</f>
        <v>-1.7</v>
      </c>
      <c r="O195" s="44" t="n">
        <v>134.3</v>
      </c>
      <c r="P195" s="44" t="n">
        <v>190</v>
      </c>
      <c r="Q195" s="45" t="n">
        <f aca="false">1+((P195-101)/107)*(1.15-1)</f>
        <v>1.12476635514019</v>
      </c>
      <c r="R195" s="46" t="n">
        <f aca="false">Q195*L195</f>
        <v>2.13705607476635</v>
      </c>
      <c r="S195" s="46" t="n">
        <f aca="false">J195-R195</f>
        <v>-1.93705607476635</v>
      </c>
      <c r="T195" s="46" t="n">
        <f aca="false">MIN(153.6,(T194+S195))</f>
        <v>131.945140186916</v>
      </c>
      <c r="V195" s="44" t="n">
        <v>1511.8</v>
      </c>
      <c r="W195" s="44" t="n">
        <f aca="false">V195/D195</f>
        <v>184.365853658537</v>
      </c>
      <c r="X195" s="44" t="n">
        <f aca="false">X194+V195</f>
        <v>94240.5</v>
      </c>
      <c r="Y195" s="44" t="n">
        <f aca="false">Y194+V195</f>
        <v>37857.2</v>
      </c>
      <c r="AA195" s="44" t="n">
        <v>11.6473858386702</v>
      </c>
    </row>
    <row r="196" s="8" customFormat="true" ht="15" hidden="false" customHeight="false" outlineLevel="0" collapsed="false">
      <c r="A196" s="35"/>
      <c r="B196" s="10"/>
      <c r="C196" s="11" t="n">
        <v>41712</v>
      </c>
      <c r="D196" s="8" t="n">
        <v>8</v>
      </c>
      <c r="E196" s="18" t="n">
        <v>1.7</v>
      </c>
      <c r="F196" s="8" t="n">
        <v>12.4</v>
      </c>
      <c r="G196" s="8" t="n">
        <f aca="false">G195+D196</f>
        <v>1663.5</v>
      </c>
      <c r="H196" s="8" t="n">
        <f aca="false">H195+D196</f>
        <v>606.6</v>
      </c>
      <c r="J196" s="39" t="n">
        <v>0</v>
      </c>
      <c r="K196" s="8" t="n">
        <f aca="false">K195+J196</f>
        <v>546</v>
      </c>
      <c r="L196" s="8" t="n">
        <v>1.7</v>
      </c>
      <c r="M196" s="8" t="n">
        <f aca="false">M195+L196</f>
        <v>238.6</v>
      </c>
      <c r="N196" s="14" t="n">
        <f aca="false">J196-L196</f>
        <v>-1.7</v>
      </c>
      <c r="O196" s="8" t="n">
        <v>132.6</v>
      </c>
      <c r="P196" s="8" t="n">
        <v>191</v>
      </c>
      <c r="Q196" s="17" t="n">
        <f aca="false">1+((P196-101)/107)*(1.15-1)</f>
        <v>1.12616822429907</v>
      </c>
      <c r="R196" s="15" t="n">
        <f aca="false">Q196*L196</f>
        <v>1.91448598130841</v>
      </c>
      <c r="S196" s="15" t="n">
        <f aca="false">J196-R196</f>
        <v>-1.91448598130841</v>
      </c>
      <c r="T196" s="41" t="n">
        <f aca="false">MIN(153.6,(T195+S196))</f>
        <v>130.030654205607</v>
      </c>
      <c r="V196" s="8" t="n">
        <v>1451.9</v>
      </c>
      <c r="W196" s="8" t="n">
        <f aca="false">V196/D196</f>
        <v>181.4875</v>
      </c>
      <c r="X196" s="8" t="n">
        <f aca="false">X195+V196</f>
        <v>95692.4</v>
      </c>
      <c r="Y196" s="8" t="n">
        <f aca="false">Y195+V196</f>
        <v>39309.1</v>
      </c>
      <c r="AA196" s="8" t="n">
        <v>11.7116465870386</v>
      </c>
    </row>
    <row r="197" s="8" customFormat="true" ht="15" hidden="false" customHeight="false" outlineLevel="0" collapsed="false">
      <c r="A197" s="35"/>
      <c r="B197" s="10"/>
      <c r="C197" s="11" t="n">
        <v>41713</v>
      </c>
      <c r="D197" s="8" t="n">
        <v>10</v>
      </c>
      <c r="E197" s="8" t="n">
        <v>7.5</v>
      </c>
      <c r="F197" s="8" t="n">
        <v>12</v>
      </c>
      <c r="G197" s="8" t="n">
        <f aca="false">G196+D197</f>
        <v>1673.5</v>
      </c>
      <c r="H197" s="8" t="n">
        <f aca="false">H196+D197</f>
        <v>616.6</v>
      </c>
      <c r="J197" s="39" t="n">
        <v>0</v>
      </c>
      <c r="K197" s="8" t="n">
        <f aca="false">K196+J197</f>
        <v>546</v>
      </c>
      <c r="L197" s="8" t="n">
        <v>1.9</v>
      </c>
      <c r="M197" s="8" t="n">
        <f aca="false">M196+L197</f>
        <v>240.5</v>
      </c>
      <c r="N197" s="14" t="n">
        <f aca="false">J197-L197</f>
        <v>-1.9</v>
      </c>
      <c r="O197" s="8" t="n">
        <v>130.7</v>
      </c>
      <c r="P197" s="8" t="n">
        <v>192</v>
      </c>
      <c r="Q197" s="17" t="n">
        <f aca="false">1+((P197-101)/107)*(1.15-1)</f>
        <v>1.12757009345794</v>
      </c>
      <c r="R197" s="15" t="n">
        <f aca="false">Q197*L197</f>
        <v>2.14238317757009</v>
      </c>
      <c r="S197" s="15" t="n">
        <f aca="false">J197-R197</f>
        <v>-2.14238317757009</v>
      </c>
      <c r="T197" s="41" t="n">
        <f aca="false">MIN(153.6,(T196+S197))</f>
        <v>127.888271028037</v>
      </c>
      <c r="V197" s="16" t="n">
        <v>708.5</v>
      </c>
      <c r="W197" s="8" t="n">
        <f aca="false">V197/D197</f>
        <v>70.85</v>
      </c>
      <c r="X197" s="8" t="n">
        <f aca="false">X196+V197</f>
        <v>96400.9</v>
      </c>
      <c r="Y197" s="8" t="n">
        <f aca="false">Y196+V197</f>
        <v>40017.6</v>
      </c>
      <c r="AA197" s="8" t="n">
        <v>11.7759351957624</v>
      </c>
      <c r="AD197" s="40" t="s">
        <v>46</v>
      </c>
    </row>
    <row r="198" s="8" customFormat="true" ht="15" hidden="false" customHeight="false" outlineLevel="0" collapsed="false">
      <c r="A198" s="35"/>
      <c r="B198" s="10"/>
      <c r="C198" s="11" t="n">
        <v>41714</v>
      </c>
      <c r="D198" s="8" t="n">
        <v>11.3</v>
      </c>
      <c r="E198" s="8" t="n">
        <v>7</v>
      </c>
      <c r="F198" s="8" t="n">
        <v>15.7</v>
      </c>
      <c r="G198" s="8" t="n">
        <f aca="false">G197+D198</f>
        <v>1684.8</v>
      </c>
      <c r="H198" s="8" t="n">
        <f aca="false">H197+D198</f>
        <v>627.9</v>
      </c>
      <c r="J198" s="39" t="n">
        <v>0</v>
      </c>
      <c r="K198" s="8" t="n">
        <f aca="false">K197+J198</f>
        <v>546</v>
      </c>
      <c r="L198" s="8" t="n">
        <v>2.5</v>
      </c>
      <c r="M198" s="8" t="n">
        <f aca="false">M197+L198</f>
        <v>243</v>
      </c>
      <c r="N198" s="14" t="n">
        <f aca="false">J198-L198</f>
        <v>-2.5</v>
      </c>
      <c r="O198" s="8" t="n">
        <v>128.2</v>
      </c>
      <c r="P198" s="8" t="n">
        <v>193</v>
      </c>
      <c r="Q198" s="17" t="n">
        <f aca="false">1+((P198-101)/107)*(1.15-1)</f>
        <v>1.12897196261682</v>
      </c>
      <c r="R198" s="15" t="n">
        <f aca="false">Q198*L198</f>
        <v>2.82242990654206</v>
      </c>
      <c r="S198" s="15" t="n">
        <f aca="false">J198-R198</f>
        <v>-2.82242990654206</v>
      </c>
      <c r="T198" s="41" t="n">
        <f aca="false">MIN(153.6,(T197+S198))</f>
        <v>125.065841121495</v>
      </c>
      <c r="V198" s="8" t="n">
        <v>1581.7</v>
      </c>
      <c r="W198" s="8" t="n">
        <f aca="false">V198/D198</f>
        <v>139.973451327434</v>
      </c>
      <c r="X198" s="8" t="n">
        <f aca="false">X197+V198</f>
        <v>97982.6</v>
      </c>
      <c r="Y198" s="8" t="n">
        <f aca="false">Y197+V198</f>
        <v>41599.3</v>
      </c>
      <c r="AA198" s="8" t="n">
        <v>11.8402453148647</v>
      </c>
      <c r="AD198" s="17" t="n">
        <f aca="false">(AB186*(30/50))+(AB204*(20/50))</f>
        <v>117.21990787717</v>
      </c>
    </row>
    <row r="199" s="8" customFormat="true" ht="15" hidden="false" customHeight="false" outlineLevel="0" collapsed="false">
      <c r="A199" s="35"/>
      <c r="B199" s="10"/>
      <c r="C199" s="11" t="n">
        <v>41715</v>
      </c>
      <c r="D199" s="8" t="n">
        <v>10.3</v>
      </c>
      <c r="E199" s="8" t="n">
        <v>8.2</v>
      </c>
      <c r="F199" s="8" t="n">
        <v>13.1</v>
      </c>
      <c r="G199" s="8" t="n">
        <f aca="false">G198+D199</f>
        <v>1695.1</v>
      </c>
      <c r="H199" s="8" t="n">
        <f aca="false">H198+D199</f>
        <v>638.2</v>
      </c>
      <c r="J199" s="39" t="n">
        <v>0</v>
      </c>
      <c r="K199" s="8" t="n">
        <f aca="false">K198+J199</f>
        <v>546</v>
      </c>
      <c r="L199" s="8" t="n">
        <v>1.7</v>
      </c>
      <c r="M199" s="8" t="n">
        <f aca="false">M198+L199</f>
        <v>244.7</v>
      </c>
      <c r="N199" s="14" t="n">
        <f aca="false">J199-L199</f>
        <v>-1.7</v>
      </c>
      <c r="O199" s="8" t="n">
        <v>126.5</v>
      </c>
      <c r="P199" s="8" t="n">
        <v>194</v>
      </c>
      <c r="Q199" s="17" t="n">
        <f aca="false">1+((P199-101)/107)*(1.15-1)</f>
        <v>1.1303738317757</v>
      </c>
      <c r="R199" s="15" t="n">
        <f aca="false">Q199*L199</f>
        <v>1.92163551401869</v>
      </c>
      <c r="S199" s="15" t="n">
        <f aca="false">J199-R199</f>
        <v>-1.92163551401869</v>
      </c>
      <c r="T199" s="41" t="n">
        <f aca="false">MIN(153.6,(T198+S199))</f>
        <v>123.144205607477</v>
      </c>
      <c r="V199" s="16" t="n">
        <v>730.5</v>
      </c>
      <c r="W199" s="8" t="n">
        <f aca="false">V199/D199</f>
        <v>70.9223300970874</v>
      </c>
      <c r="X199" s="8" t="n">
        <f aca="false">X198+V199</f>
        <v>98713.1</v>
      </c>
      <c r="Y199" s="8" t="n">
        <f aca="false">Y198+V199</f>
        <v>42329.8</v>
      </c>
      <c r="AA199" s="8" t="n">
        <v>11.9045707441638</v>
      </c>
      <c r="AD199" s="40" t="s">
        <v>47</v>
      </c>
    </row>
    <row r="200" s="8" customFormat="true" ht="15" hidden="false" customHeight="false" outlineLevel="0" collapsed="false">
      <c r="A200" s="35"/>
      <c r="B200" s="10"/>
      <c r="C200" s="11" t="n">
        <v>41716</v>
      </c>
      <c r="D200" s="8" t="n">
        <v>9.6</v>
      </c>
      <c r="E200" s="8" t="n">
        <v>8.9</v>
      </c>
      <c r="F200" s="8" t="n">
        <v>10</v>
      </c>
      <c r="G200" s="8" t="n">
        <f aca="false">G199+D200</f>
        <v>1704.7</v>
      </c>
      <c r="H200" s="8" t="n">
        <f aca="false">H199+D200</f>
        <v>647.8</v>
      </c>
      <c r="J200" s="39" t="n">
        <v>0</v>
      </c>
      <c r="K200" s="8" t="n">
        <f aca="false">K199+J200</f>
        <v>546</v>
      </c>
      <c r="L200" s="8" t="n">
        <v>1.5</v>
      </c>
      <c r="M200" s="8" t="n">
        <f aca="false">M199+L200</f>
        <v>246.2</v>
      </c>
      <c r="N200" s="14" t="n">
        <f aca="false">J200-L200</f>
        <v>-1.5</v>
      </c>
      <c r="O200" s="8" t="n">
        <v>125</v>
      </c>
      <c r="P200" s="8" t="n">
        <v>195</v>
      </c>
      <c r="Q200" s="17" t="n">
        <f aca="false">1+((P200-101)/107)*(1.15-1)</f>
        <v>1.13177570093458</v>
      </c>
      <c r="R200" s="15" t="n">
        <f aca="false">Q200*L200</f>
        <v>1.69766355140187</v>
      </c>
      <c r="S200" s="15" t="n">
        <f aca="false">J200-R200</f>
        <v>-1.69766355140187</v>
      </c>
      <c r="T200" s="41" t="n">
        <f aca="false">MIN(153.6,(T199+S200))</f>
        <v>121.446542056075</v>
      </c>
      <c r="V200" s="16" t="n">
        <v>238.9</v>
      </c>
      <c r="W200" s="8" t="n">
        <f aca="false">V200/D200</f>
        <v>24.8854166666667</v>
      </c>
      <c r="X200" s="8" t="n">
        <f aca="false">X199+V200</f>
        <v>98952</v>
      </c>
      <c r="Y200" s="8" t="n">
        <f aca="false">Y199+V200</f>
        <v>42568.7</v>
      </c>
      <c r="AA200" s="8" t="n">
        <v>11.9689054131336</v>
      </c>
      <c r="AD200" s="8" t="n">
        <f aca="false">(AB188*(30/50))+(AB206*(20/50))</f>
        <v>5.4</v>
      </c>
    </row>
    <row r="201" s="8" customFormat="true" ht="15" hidden="false" customHeight="false" outlineLevel="0" collapsed="false">
      <c r="A201" s="35"/>
      <c r="B201" s="10"/>
      <c r="C201" s="11" t="n">
        <v>41717</v>
      </c>
      <c r="D201" s="8" t="n">
        <v>10.5</v>
      </c>
      <c r="E201" s="8" t="n">
        <v>6.3</v>
      </c>
      <c r="F201" s="8" t="n">
        <v>14.8</v>
      </c>
      <c r="G201" s="8" t="n">
        <f aca="false">G200+D201</f>
        <v>1715.2</v>
      </c>
      <c r="H201" s="8" t="n">
        <f aca="false">H200+D201</f>
        <v>658.3</v>
      </c>
      <c r="J201" s="39" t="n">
        <v>0</v>
      </c>
      <c r="K201" s="8" t="n">
        <f aca="false">K200+J201</f>
        <v>546</v>
      </c>
      <c r="L201" s="8" t="n">
        <v>2.2</v>
      </c>
      <c r="M201" s="8" t="n">
        <f aca="false">M200+L201</f>
        <v>248.4</v>
      </c>
      <c r="N201" s="14" t="n">
        <f aca="false">J201-L201</f>
        <v>-2.2</v>
      </c>
      <c r="O201" s="8" t="n">
        <v>122.8</v>
      </c>
      <c r="P201" s="8" t="n">
        <v>196</v>
      </c>
      <c r="Q201" s="17" t="n">
        <f aca="false">1+((P201-101)/107)*(1.15-1)</f>
        <v>1.13317757009346</v>
      </c>
      <c r="R201" s="15" t="n">
        <f aca="false">Q201*L201</f>
        <v>2.49299065420561</v>
      </c>
      <c r="S201" s="15" t="n">
        <f aca="false">J201-R201</f>
        <v>-2.49299065420561</v>
      </c>
      <c r="T201" s="41" t="n">
        <f aca="false">MIN(153.6,(T200+S201))</f>
        <v>118.953551401869</v>
      </c>
      <c r="V201" s="8" t="n">
        <v>1485.4</v>
      </c>
      <c r="W201" s="8" t="n">
        <f aca="false">V201/D201</f>
        <v>141.466666666667</v>
      </c>
      <c r="X201" s="8" t="n">
        <f aca="false">X200+V201</f>
        <v>100437.4</v>
      </c>
      <c r="Y201" s="8" t="n">
        <f aca="false">Y200+V201</f>
        <v>44054.1</v>
      </c>
      <c r="AA201" s="8" t="n">
        <v>12.0332433609106</v>
      </c>
      <c r="AD201" s="40" t="s">
        <v>48</v>
      </c>
    </row>
    <row r="202" s="8" customFormat="true" ht="15" hidden="false" customHeight="false" outlineLevel="0" collapsed="false">
      <c r="A202" s="35"/>
      <c r="B202" s="10"/>
      <c r="C202" s="11" t="n">
        <v>41718</v>
      </c>
      <c r="D202" s="8" t="n">
        <v>12.9</v>
      </c>
      <c r="E202" s="8" t="n">
        <v>7.1</v>
      </c>
      <c r="F202" s="8" t="n">
        <v>18.2</v>
      </c>
      <c r="G202" s="8" t="n">
        <f aca="false">G201+D202</f>
        <v>1728.1</v>
      </c>
      <c r="H202" s="8" t="n">
        <f aca="false">H201+D202</f>
        <v>671.2</v>
      </c>
      <c r="J202" s="39" t="n">
        <v>4.6</v>
      </c>
      <c r="K202" s="8" t="n">
        <f aca="false">K201+J202</f>
        <v>550.6</v>
      </c>
      <c r="L202" s="8" t="n">
        <v>3.1</v>
      </c>
      <c r="M202" s="8" t="n">
        <f aca="false">M201+L202</f>
        <v>251.5</v>
      </c>
      <c r="N202" s="8" t="n">
        <f aca="false">J202-L202</f>
        <v>1.5</v>
      </c>
      <c r="O202" s="8" t="n">
        <v>124.3</v>
      </c>
      <c r="P202" s="8" t="n">
        <v>197</v>
      </c>
      <c r="Q202" s="17" t="n">
        <f aca="false">1+((P202-101)/107)*(1.15-1)</f>
        <v>1.13457943925234</v>
      </c>
      <c r="R202" s="15" t="n">
        <f aca="false">Q202*L202</f>
        <v>3.51719626168224</v>
      </c>
      <c r="S202" s="15" t="n">
        <f aca="false">J202-R202</f>
        <v>1.08280373831776</v>
      </c>
      <c r="T202" s="41" t="n">
        <f aca="false">MIN(153.6,(T201+S202))</f>
        <v>120.036355140187</v>
      </c>
      <c r="V202" s="8" t="n">
        <v>1675.4</v>
      </c>
      <c r="W202" s="8" t="n">
        <f aca="false">V202/D202</f>
        <v>129.875968992248</v>
      </c>
      <c r="X202" s="8" t="n">
        <f aca="false">X201+V202</f>
        <v>102112.8</v>
      </c>
      <c r="Y202" s="8" t="n">
        <f aca="false">Y201+V202</f>
        <v>45729.5</v>
      </c>
      <c r="AA202" s="8" t="n">
        <v>12.0975787164433</v>
      </c>
      <c r="AD202" s="8" t="n">
        <f aca="false">(AB190*(30/50))+(AB208*(20/50))</f>
        <v>6.4</v>
      </c>
    </row>
    <row r="203" s="8" customFormat="true" ht="15" hidden="false" customHeight="false" outlineLevel="0" collapsed="false">
      <c r="A203" s="35"/>
      <c r="B203" s="10"/>
      <c r="C203" s="11" t="n">
        <v>41719</v>
      </c>
      <c r="D203" s="8" t="n">
        <v>8.8</v>
      </c>
      <c r="E203" s="8" t="n">
        <v>8.2</v>
      </c>
      <c r="F203" s="8" t="n">
        <v>9.8</v>
      </c>
      <c r="G203" s="8" t="n">
        <f aca="false">G202+D203</f>
        <v>1736.9</v>
      </c>
      <c r="H203" s="8" t="n">
        <f aca="false">H202+D203</f>
        <v>680</v>
      </c>
      <c r="I203" s="8" t="n">
        <v>10</v>
      </c>
      <c r="J203" s="39" t="n">
        <v>7.6</v>
      </c>
      <c r="K203" s="8" t="n">
        <f aca="false">K202+J203</f>
        <v>558.2</v>
      </c>
      <c r="L203" s="8" t="n">
        <v>1.8</v>
      </c>
      <c r="M203" s="8" t="n">
        <f aca="false">M202+L203</f>
        <v>253.3</v>
      </c>
      <c r="N203" s="8" t="n">
        <f aca="false">J203-L203</f>
        <v>5.8</v>
      </c>
      <c r="O203" s="8" t="n">
        <v>130.1</v>
      </c>
      <c r="P203" s="8" t="n">
        <v>198</v>
      </c>
      <c r="Q203" s="17" t="n">
        <f aca="false">1+((P203-101)/107)*(1.15-1)</f>
        <v>1.13598130841122</v>
      </c>
      <c r="R203" s="15" t="n">
        <f aca="false">Q203*L203</f>
        <v>2.04476635514019</v>
      </c>
      <c r="S203" s="15" t="n">
        <f aca="false">J203-R203</f>
        <v>5.55523364485981</v>
      </c>
      <c r="T203" s="41" t="n">
        <f aca="false">MIN(153.6,(T202+S203))</f>
        <v>125.591588785047</v>
      </c>
      <c r="V203" s="8" t="n">
        <v>936.9</v>
      </c>
      <c r="W203" s="8" t="n">
        <f aca="false">V203/D203</f>
        <v>106.465909090909</v>
      </c>
      <c r="X203" s="8" t="n">
        <f aca="false">X202+V203</f>
        <v>103049.7</v>
      </c>
      <c r="Y203" s="8" t="n">
        <f aca="false">Y202+V203</f>
        <v>46666.4</v>
      </c>
      <c r="AA203" s="8" t="n">
        <v>12.1619056787767</v>
      </c>
      <c r="AB203" s="40" t="s">
        <v>46</v>
      </c>
      <c r="AD203" s="40" t="s">
        <v>49</v>
      </c>
    </row>
    <row r="204" s="8" customFormat="true" ht="15" hidden="false" customHeight="false" outlineLevel="0" collapsed="false">
      <c r="A204" s="35"/>
      <c r="B204" s="10"/>
      <c r="C204" s="11" t="n">
        <v>41720</v>
      </c>
      <c r="D204" s="8" t="n">
        <v>6</v>
      </c>
      <c r="E204" s="8" t="n">
        <v>5.7</v>
      </c>
      <c r="F204" s="8" t="n">
        <v>7.1</v>
      </c>
      <c r="G204" s="8" t="n">
        <f aca="false">G203+D204</f>
        <v>1742.9</v>
      </c>
      <c r="H204" s="8" t="n">
        <f aca="false">H203+D204</f>
        <v>686</v>
      </c>
      <c r="J204" s="39" t="n">
        <v>3.6</v>
      </c>
      <c r="K204" s="8" t="n">
        <f aca="false">K203+J204</f>
        <v>561.8</v>
      </c>
      <c r="L204" s="8" t="n">
        <v>1.5</v>
      </c>
      <c r="M204" s="8" t="n">
        <f aca="false">M203+L204</f>
        <v>254.8</v>
      </c>
      <c r="N204" s="8" t="n">
        <f aca="false">J204-L204</f>
        <v>2.1</v>
      </c>
      <c r="O204" s="8" t="n">
        <v>132.2</v>
      </c>
      <c r="P204" s="8" t="n">
        <v>199</v>
      </c>
      <c r="Q204" s="17" t="n">
        <f aca="false">1+((P204-101)/107)*(1.15-1)</f>
        <v>1.13738317757009</v>
      </c>
      <c r="R204" s="15" t="n">
        <f aca="false">Q204*L204</f>
        <v>1.70607476635514</v>
      </c>
      <c r="S204" s="15" t="n">
        <f aca="false">J204-R204</f>
        <v>1.89392523364486</v>
      </c>
      <c r="T204" s="41" t="n">
        <f aca="false">MIN(153.6,(T203+S204))</f>
        <v>127.485514018692</v>
      </c>
      <c r="V204" s="16" t="n">
        <v>816.7</v>
      </c>
      <c r="W204" s="8" t="n">
        <f aca="false">V204/D204</f>
        <v>136.116666666667</v>
      </c>
      <c r="X204" s="8" t="n">
        <f aca="false">X203+V204</f>
        <v>103866.4</v>
      </c>
      <c r="Y204" s="8" t="n">
        <f aca="false">Y203+V204</f>
        <v>47483.1</v>
      </c>
      <c r="AA204" s="8" t="n">
        <v>12.2262184974628</v>
      </c>
      <c r="AB204" s="15" t="n">
        <f aca="false">AVERAGE(T210:T223)</f>
        <v>101.585614152203</v>
      </c>
      <c r="AD204" s="8" t="n">
        <f aca="false">(AB192*(30/50))+(AB210*(20/50))</f>
        <v>0</v>
      </c>
    </row>
    <row r="205" s="49" customFormat="true" ht="15" hidden="false" customHeight="false" outlineLevel="0" collapsed="false">
      <c r="A205" s="35"/>
      <c r="B205" s="47"/>
      <c r="C205" s="48" t="n">
        <v>41721</v>
      </c>
      <c r="D205" s="49" t="n">
        <v>5.8</v>
      </c>
      <c r="E205" s="50" t="n">
        <v>2.6</v>
      </c>
      <c r="F205" s="49" t="n">
        <v>10.4</v>
      </c>
      <c r="G205" s="49" t="n">
        <f aca="false">G204+D205</f>
        <v>1748.7</v>
      </c>
      <c r="H205" s="49" t="n">
        <f aca="false">H204+D205</f>
        <v>691.8</v>
      </c>
      <c r="I205" s="49" t="n">
        <v>-10</v>
      </c>
      <c r="J205" s="51" t="n">
        <v>1.9</v>
      </c>
      <c r="K205" s="49" t="n">
        <f aca="false">K204+J205</f>
        <v>563.7</v>
      </c>
      <c r="L205" s="49" t="n">
        <v>1.6</v>
      </c>
      <c r="M205" s="49" t="n">
        <f aca="false">M204+L205</f>
        <v>256.4</v>
      </c>
      <c r="N205" s="49" t="n">
        <f aca="false">J205-L205</f>
        <v>0.3</v>
      </c>
      <c r="O205" s="49" t="n">
        <v>132.5</v>
      </c>
      <c r="P205" s="49" t="n">
        <v>200</v>
      </c>
      <c r="Q205" s="17" t="n">
        <f aca="false">1+((P205-101)/107)*(1.15-1)</f>
        <v>1.13878504672897</v>
      </c>
      <c r="R205" s="52" t="n">
        <f aca="false">Q205*L205</f>
        <v>1.82205607476636</v>
      </c>
      <c r="S205" s="52" t="n">
        <f aca="false">J205-R205</f>
        <v>0.0779439252336447</v>
      </c>
      <c r="T205" s="41" t="n">
        <f aca="false">MIN(153.6,(T204+S205))</f>
        <v>127.563457943925</v>
      </c>
      <c r="V205" s="53" t="n">
        <v>645</v>
      </c>
      <c r="W205" s="49" t="n">
        <f aca="false">V205/D205</f>
        <v>111.206896551724</v>
      </c>
      <c r="X205" s="49" t="n">
        <f aca="false">X204+V205</f>
        <v>104511.4</v>
      </c>
      <c r="Y205" s="8" t="n">
        <f aca="false">Y204+V205</f>
        <v>48128.1</v>
      </c>
      <c r="AA205" s="8" t="n">
        <v>12.2905114530911</v>
      </c>
      <c r="AB205" s="40" t="s">
        <v>47</v>
      </c>
      <c r="AD205" s="40" t="s">
        <v>50</v>
      </c>
    </row>
    <row r="206" s="8" customFormat="true" ht="15" hidden="false" customHeight="false" outlineLevel="0" collapsed="false">
      <c r="A206" s="35"/>
      <c r="B206" s="54"/>
      <c r="C206" s="48" t="n">
        <v>41722</v>
      </c>
      <c r="D206" s="8" t="n">
        <v>5.9</v>
      </c>
      <c r="E206" s="8" t="n">
        <v>1.9</v>
      </c>
      <c r="F206" s="8" t="n">
        <v>10.4</v>
      </c>
      <c r="G206" s="8" t="n">
        <f aca="false">G205+D206</f>
        <v>1754.6</v>
      </c>
      <c r="H206" s="8" t="n">
        <f aca="false">H205+D206</f>
        <v>697.7</v>
      </c>
      <c r="J206" s="39" t="n">
        <v>0</v>
      </c>
      <c r="K206" s="8" t="n">
        <f aca="false">K205+J206</f>
        <v>563.7</v>
      </c>
      <c r="L206" s="8" t="n">
        <v>2</v>
      </c>
      <c r="M206" s="8" t="n">
        <f aca="false">M205+L206</f>
        <v>258.4</v>
      </c>
      <c r="N206" s="8" t="n">
        <f aca="false">J206-L206</f>
        <v>-2</v>
      </c>
      <c r="O206" s="8" t="n">
        <v>130.5</v>
      </c>
      <c r="P206" s="8" t="n">
        <v>201</v>
      </c>
      <c r="Q206" s="17" t="n">
        <f aca="false">1+((P206-101)/107)*(1.15-1)</f>
        <v>1.14018691588785</v>
      </c>
      <c r="R206" s="15" t="n">
        <f aca="false">Q206*L206</f>
        <v>2.2803738317757</v>
      </c>
      <c r="S206" s="15" t="n">
        <f aca="false">J206-R206</f>
        <v>-2.2803738317757</v>
      </c>
      <c r="T206" s="15" t="n">
        <f aca="false">MIN(153.6,(T205+S206))</f>
        <v>125.283084112149</v>
      </c>
      <c r="V206" s="8" t="n">
        <v>1415.6</v>
      </c>
      <c r="W206" s="8" t="n">
        <f aca="false">V206/D206</f>
        <v>239.93220338983</v>
      </c>
      <c r="X206" s="8" t="n">
        <f aca="false">X205+V206</f>
        <v>105927</v>
      </c>
      <c r="Y206" s="8" t="n">
        <f aca="false">Y205+V206</f>
        <v>49543.7</v>
      </c>
      <c r="AA206" s="8" t="n">
        <v>12.3547788379283</v>
      </c>
      <c r="AB206" s="8" t="n">
        <v>3</v>
      </c>
      <c r="AD206" s="8" t="n">
        <f aca="false">(AB194*(30/50))+(AB212*(20/50))</f>
        <v>13.9</v>
      </c>
    </row>
    <row r="207" s="8" customFormat="true" ht="15" hidden="false" customHeight="false" outlineLevel="0" collapsed="false">
      <c r="A207" s="35"/>
      <c r="B207" s="54"/>
      <c r="C207" s="11" t="n">
        <v>41723</v>
      </c>
      <c r="D207" s="8" t="n">
        <v>6.6</v>
      </c>
      <c r="E207" s="18" t="n">
        <v>1</v>
      </c>
      <c r="F207" s="8" t="n">
        <v>11.1</v>
      </c>
      <c r="G207" s="8" t="n">
        <f aca="false">G206+D207</f>
        <v>1761.2</v>
      </c>
      <c r="H207" s="8" t="n">
        <f aca="false">H206+D207</f>
        <v>704.3</v>
      </c>
      <c r="J207" s="39" t="n">
        <v>0</v>
      </c>
      <c r="K207" s="8" t="n">
        <f aca="false">K206+J207</f>
        <v>563.7</v>
      </c>
      <c r="L207" s="8" t="n">
        <v>2.4</v>
      </c>
      <c r="M207" s="8" t="n">
        <f aca="false">M206+L207</f>
        <v>260.8</v>
      </c>
      <c r="N207" s="14" t="n">
        <f aca="false">J207-L207</f>
        <v>-2.4</v>
      </c>
      <c r="O207" s="8" t="n">
        <v>128.1</v>
      </c>
      <c r="P207" s="8" t="n">
        <v>202</v>
      </c>
      <c r="Q207" s="17" t="n">
        <f aca="false">1+((P207-101)/107)*(1.15-1)</f>
        <v>1.14158878504673</v>
      </c>
      <c r="R207" s="15" t="n">
        <f aca="false">Q207*L207</f>
        <v>2.73981308411215</v>
      </c>
      <c r="S207" s="15" t="n">
        <f aca="false">J207-R207</f>
        <v>-2.73981308411215</v>
      </c>
      <c r="T207" s="15" t="n">
        <f aca="false">MIN(153.6,(T206+S207))</f>
        <v>122.543271028037</v>
      </c>
      <c r="U207" s="55"/>
      <c r="V207" s="8" t="n">
        <v>1358.3</v>
      </c>
      <c r="W207" s="8" t="n">
        <f aca="false">V207/D207</f>
        <v>205.80303030303</v>
      </c>
      <c r="X207" s="8" t="n">
        <f aca="false">X206+V207</f>
        <v>107285.3</v>
      </c>
      <c r="Y207" s="8" t="n">
        <f aca="false">Y206+V207</f>
        <v>50902</v>
      </c>
      <c r="AA207" s="8" t="n">
        <v>12.4190149366591</v>
      </c>
      <c r="AB207" s="40" t="s">
        <v>48</v>
      </c>
    </row>
    <row r="208" s="8" customFormat="true" ht="15" hidden="false" customHeight="false" outlineLevel="0" collapsed="false">
      <c r="A208" s="35"/>
      <c r="B208" s="54"/>
      <c r="C208" s="11" t="n">
        <v>41724</v>
      </c>
      <c r="D208" s="8" t="n">
        <v>5.5</v>
      </c>
      <c r="E208" s="18" t="n">
        <v>2.2</v>
      </c>
      <c r="F208" s="8" t="n">
        <v>9.2</v>
      </c>
      <c r="G208" s="8" t="n">
        <f aca="false">G207+D208</f>
        <v>1766.7</v>
      </c>
      <c r="H208" s="8" t="n">
        <f aca="false">H207+D208</f>
        <v>709.8</v>
      </c>
      <c r="J208" s="39" t="n">
        <v>1</v>
      </c>
      <c r="K208" s="8" t="n">
        <f aca="false">K207+J208</f>
        <v>564.7</v>
      </c>
      <c r="L208" s="8" t="n">
        <v>1.9</v>
      </c>
      <c r="M208" s="8" t="n">
        <f aca="false">M207+L208</f>
        <v>262.7</v>
      </c>
      <c r="N208" s="14" t="n">
        <f aca="false">J208-L208</f>
        <v>-0.9</v>
      </c>
      <c r="O208" s="8" t="n">
        <v>127.2</v>
      </c>
      <c r="P208" s="8" t="n">
        <v>203</v>
      </c>
      <c r="Q208" s="17" t="n">
        <f aca="false">1+((P208-101)/107)*(1.15-1)</f>
        <v>1.14299065420561</v>
      </c>
      <c r="R208" s="15" t="n">
        <f aca="false">Q208*L208</f>
        <v>2.17168224299065</v>
      </c>
      <c r="S208" s="15" t="n">
        <f aca="false">J208-R208</f>
        <v>-1.17168224299065</v>
      </c>
      <c r="T208" s="15" t="n">
        <f aca="false">MIN(153.6,(T207+S208))</f>
        <v>121.371588785047</v>
      </c>
      <c r="V208" s="8" t="n">
        <v>951.5</v>
      </c>
      <c r="W208" s="8" t="n">
        <f aca="false">V208/D208</f>
        <v>173</v>
      </c>
      <c r="X208" s="8" t="n">
        <f aca="false">X207+V208</f>
        <v>108236.8</v>
      </c>
      <c r="Y208" s="8" t="n">
        <f aca="false">Y207+V208</f>
        <v>51853.5</v>
      </c>
      <c r="AA208" s="8" t="n">
        <v>12.4832140072194</v>
      </c>
      <c r="AB208" s="8" t="n">
        <v>7</v>
      </c>
    </row>
    <row r="209" s="8" customFormat="true" ht="15" hidden="false" customHeight="false" outlineLevel="0" collapsed="false">
      <c r="A209" s="35"/>
      <c r="B209" s="54"/>
      <c r="C209" s="11" t="n">
        <v>41725</v>
      </c>
      <c r="D209" s="8" t="n">
        <v>5.9</v>
      </c>
      <c r="E209" s="30" t="n">
        <v>-0.3</v>
      </c>
      <c r="F209" s="8" t="n">
        <v>10.4</v>
      </c>
      <c r="G209" s="8" t="n">
        <f aca="false">G208+D209</f>
        <v>1772.6</v>
      </c>
      <c r="H209" s="8" t="n">
        <f aca="false">H208+D209</f>
        <v>715.7</v>
      </c>
      <c r="J209" s="39" t="n">
        <v>0.4</v>
      </c>
      <c r="K209" s="8" t="n">
        <f aca="false">K208+J209</f>
        <v>565.1</v>
      </c>
      <c r="L209" s="8" t="n">
        <v>1.8</v>
      </c>
      <c r="M209" s="8" t="n">
        <f aca="false">M208+L209</f>
        <v>264.5</v>
      </c>
      <c r="N209" s="14" t="n">
        <f aca="false">J209-L209</f>
        <v>-1.4</v>
      </c>
      <c r="O209" s="8" t="n">
        <v>125.8</v>
      </c>
      <c r="P209" s="8" t="n">
        <v>204</v>
      </c>
      <c r="Q209" s="17" t="n">
        <f aca="false">1+((P209-101)/107)*(1.15-1)</f>
        <v>1.14439252336449</v>
      </c>
      <c r="R209" s="15" t="n">
        <f aca="false">Q209*L209</f>
        <v>2.05990654205607</v>
      </c>
      <c r="S209" s="15" t="n">
        <f aca="false">J209-R209</f>
        <v>-1.65990654205607</v>
      </c>
      <c r="T209" s="15" t="n">
        <f aca="false">MIN(153.6,(T208+S209))</f>
        <v>119.711682242991</v>
      </c>
      <c r="V209" s="8" t="n">
        <v>1374.9</v>
      </c>
      <c r="W209" s="8" t="n">
        <f aca="false">V209/D209</f>
        <v>233.033898305085</v>
      </c>
      <c r="X209" s="8" t="n">
        <f aca="false">X208+V209</f>
        <v>109611.7</v>
      </c>
      <c r="Y209" s="8" t="n">
        <f aca="false">Y208+V209</f>
        <v>53228.4</v>
      </c>
      <c r="AA209" s="8" t="n">
        <v>12.5473702617134</v>
      </c>
      <c r="AB209" s="40" t="s">
        <v>49</v>
      </c>
    </row>
    <row r="210" s="8" customFormat="true" ht="15" hidden="false" customHeight="false" outlineLevel="0" collapsed="false">
      <c r="A210" s="35"/>
      <c r="B210" s="54"/>
      <c r="C210" s="11" t="n">
        <v>41726</v>
      </c>
      <c r="D210" s="8" t="n">
        <v>8.6</v>
      </c>
      <c r="E210" s="18" t="n">
        <v>0.9</v>
      </c>
      <c r="F210" s="8" t="n">
        <v>14.2</v>
      </c>
      <c r="G210" s="8" t="n">
        <f aca="false">G209+D210</f>
        <v>1781.2</v>
      </c>
      <c r="H210" s="8" t="n">
        <f aca="false">H209+D210</f>
        <v>724.3</v>
      </c>
      <c r="J210" s="39" t="n">
        <v>0</v>
      </c>
      <c r="K210" s="8" t="n">
        <f aca="false">K209+J210</f>
        <v>565.1</v>
      </c>
      <c r="L210" s="8" t="n">
        <v>1.5</v>
      </c>
      <c r="M210" s="8" t="n">
        <f aca="false">M209+L210</f>
        <v>266</v>
      </c>
      <c r="N210" s="14" t="n">
        <f aca="false">J210-L210</f>
        <v>-1.5</v>
      </c>
      <c r="O210" s="8" t="n">
        <v>124.3</v>
      </c>
      <c r="P210" s="8" t="n">
        <v>205</v>
      </c>
      <c r="Q210" s="17" t="n">
        <f aca="false">1+((P210-101)/107)*(1.15-1)</f>
        <v>1.14579439252336</v>
      </c>
      <c r="R210" s="15" t="n">
        <f aca="false">Q210*L210</f>
        <v>1.71869158878505</v>
      </c>
      <c r="S210" s="15" t="n">
        <f aca="false">J210-R210</f>
        <v>-1.71869158878505</v>
      </c>
      <c r="T210" s="41" t="n">
        <f aca="false">MIN(153.6,(T209+S210))</f>
        <v>117.992990654206</v>
      </c>
      <c r="V210" s="8" t="n">
        <v>1132.2</v>
      </c>
      <c r="W210" s="8" t="n">
        <f aca="false">V210/D210</f>
        <v>131.651162790698</v>
      </c>
      <c r="X210" s="8" t="n">
        <f aca="false">X209+V210</f>
        <v>110743.9</v>
      </c>
      <c r="Y210" s="8" t="n">
        <f aca="false">Y209+V210</f>
        <v>54360.6</v>
      </c>
      <c r="AA210" s="8" t="n">
        <v>12.6114778474041</v>
      </c>
      <c r="AB210" s="8" t="n">
        <v>0</v>
      </c>
    </row>
    <row r="211" s="8" customFormat="true" ht="15" hidden="false" customHeight="false" outlineLevel="0" collapsed="false">
      <c r="A211" s="35"/>
      <c r="B211" s="54"/>
      <c r="C211" s="11" t="n">
        <v>41727</v>
      </c>
      <c r="D211" s="8" t="n">
        <v>11.9</v>
      </c>
      <c r="E211" s="18" t="n">
        <v>3.6</v>
      </c>
      <c r="F211" s="8" t="n">
        <v>18.6</v>
      </c>
      <c r="G211" s="8" t="n">
        <f aca="false">G210+D211</f>
        <v>1793.1</v>
      </c>
      <c r="H211" s="8" t="n">
        <f aca="false">H210+D211</f>
        <v>736.2</v>
      </c>
      <c r="J211" s="39" t="n">
        <v>0</v>
      </c>
      <c r="K211" s="8" t="n">
        <f aca="false">K210+J211</f>
        <v>565.1</v>
      </c>
      <c r="L211" s="8" t="n">
        <v>3.1</v>
      </c>
      <c r="M211" s="8" t="n">
        <f aca="false">M210+L211</f>
        <v>269.1</v>
      </c>
      <c r="N211" s="14" t="n">
        <f aca="false">J211-L211</f>
        <v>-3.1</v>
      </c>
      <c r="O211" s="8" t="n">
        <v>121.2</v>
      </c>
      <c r="P211" s="8" t="n">
        <v>206</v>
      </c>
      <c r="Q211" s="17" t="n">
        <f aca="false">1+((P211-101)/107)*(1.15-1)</f>
        <v>1.14719626168224</v>
      </c>
      <c r="R211" s="15" t="n">
        <f aca="false">Q211*L211</f>
        <v>3.55630841121495</v>
      </c>
      <c r="S211" s="15" t="n">
        <f aca="false">J211-R211</f>
        <v>-3.55630841121495</v>
      </c>
      <c r="T211" s="41" t="n">
        <f aca="false">MIN(153.6,(T210+S211))</f>
        <v>114.436682242991</v>
      </c>
      <c r="V211" s="8" t="n">
        <v>1709.6</v>
      </c>
      <c r="W211" s="8" t="n">
        <f aca="false">V211/D211</f>
        <v>143.663865546219</v>
      </c>
      <c r="X211" s="8" t="n">
        <f aca="false">X210+V211</f>
        <v>112453.5</v>
      </c>
      <c r="Y211" s="8" t="n">
        <f aca="false">Y210+V211</f>
        <v>56070.2</v>
      </c>
      <c r="AA211" s="8" t="n">
        <v>12.6755308277724</v>
      </c>
      <c r="AB211" s="40" t="s">
        <v>50</v>
      </c>
    </row>
    <row r="212" s="8" customFormat="true" ht="15" hidden="false" customHeight="false" outlineLevel="0" collapsed="false">
      <c r="A212" s="35"/>
      <c r="B212" s="54"/>
      <c r="C212" s="11" t="n">
        <v>41728</v>
      </c>
      <c r="D212" s="8" t="n">
        <v>13.6</v>
      </c>
      <c r="E212" s="8" t="n">
        <v>7.8</v>
      </c>
      <c r="F212" s="8" t="n">
        <v>19.5</v>
      </c>
      <c r="G212" s="8" t="n">
        <f aca="false">G211+D212</f>
        <v>1806.7</v>
      </c>
      <c r="H212" s="8" t="n">
        <f aca="false">H211+D212</f>
        <v>749.8</v>
      </c>
      <c r="J212" s="39" t="n">
        <v>0</v>
      </c>
      <c r="K212" s="8" t="n">
        <f aca="false">K211+J212</f>
        <v>565.1</v>
      </c>
      <c r="L212" s="8" t="n">
        <v>2.6</v>
      </c>
      <c r="M212" s="8" t="n">
        <f aca="false">M211+L212</f>
        <v>271.7</v>
      </c>
      <c r="N212" s="14" t="n">
        <f aca="false">J212-L212</f>
        <v>-2.6</v>
      </c>
      <c r="O212" s="8" t="n">
        <v>118.6</v>
      </c>
      <c r="P212" s="8" t="n">
        <v>207</v>
      </c>
      <c r="Q212" s="17" t="n">
        <f aca="false">1+((P212-101)/107)*(1.15-1)</f>
        <v>1.14859813084112</v>
      </c>
      <c r="R212" s="15" t="n">
        <f aca="false">Q212*L212</f>
        <v>2.98635514018692</v>
      </c>
      <c r="S212" s="15" t="n">
        <f aca="false">J212-R212</f>
        <v>-2.98635514018692</v>
      </c>
      <c r="T212" s="41" t="n">
        <f aca="false">MIN(153.6,(T211+S212))</f>
        <v>111.450327102804</v>
      </c>
      <c r="V212" s="8" t="n">
        <v>1485.8</v>
      </c>
      <c r="W212" s="8" t="n">
        <f aca="false">V212/D212</f>
        <v>109.25</v>
      </c>
      <c r="X212" s="8" t="n">
        <f aca="false">X211+V212</f>
        <v>113939.3</v>
      </c>
      <c r="Y212" s="8" t="n">
        <f aca="false">Y211+V212</f>
        <v>57556</v>
      </c>
      <c r="AA212" s="8" t="n">
        <v>12.7395231636344</v>
      </c>
      <c r="AB212" s="8" t="n">
        <f aca="false">SUM(J214:J223)</f>
        <v>8.2</v>
      </c>
    </row>
    <row r="213" s="83" customFormat="true" ht="15" hidden="false" customHeight="false" outlineLevel="0" collapsed="false">
      <c r="A213" s="35"/>
      <c r="B213" s="81" t="s">
        <v>61</v>
      </c>
      <c r="C213" s="82" t="n">
        <v>41729</v>
      </c>
      <c r="D213" s="83" t="n">
        <v>14.5</v>
      </c>
      <c r="E213" s="83" t="n">
        <v>7.6</v>
      </c>
      <c r="F213" s="83" t="n">
        <v>20.5</v>
      </c>
      <c r="G213" s="83" t="n">
        <f aca="false">G212+D213</f>
        <v>1821.2</v>
      </c>
      <c r="H213" s="83" t="n">
        <f aca="false">H212+D213</f>
        <v>764.3</v>
      </c>
      <c r="J213" s="83" t="n">
        <v>0</v>
      </c>
      <c r="K213" s="83" t="n">
        <f aca="false">K212+J213</f>
        <v>565.1</v>
      </c>
      <c r="L213" s="83" t="n">
        <v>2.5</v>
      </c>
      <c r="M213" s="83" t="n">
        <f aca="false">M212+L213</f>
        <v>274.2</v>
      </c>
      <c r="N213" s="83" t="n">
        <f aca="false">J213-L213</f>
        <v>-2.5</v>
      </c>
      <c r="O213" s="83" t="n">
        <v>116.1</v>
      </c>
      <c r="P213" s="83" t="n">
        <v>208</v>
      </c>
      <c r="Q213" s="84" t="n">
        <f aca="false">1+((P213-101)/107)*(1.15-1)</f>
        <v>1.15</v>
      </c>
      <c r="R213" s="85" t="n">
        <f aca="false">Q213*L213</f>
        <v>2.875</v>
      </c>
      <c r="S213" s="85" t="n">
        <f aca="false">J213-R213</f>
        <v>-2.875</v>
      </c>
      <c r="T213" s="85" t="n">
        <f aca="false">MIN(153.6,(T212+S213))</f>
        <v>108.575327102804</v>
      </c>
      <c r="V213" s="83" t="n">
        <v>1456.4</v>
      </c>
      <c r="W213" s="83" t="n">
        <f aca="false">V213/D213</f>
        <v>100.441379310345</v>
      </c>
      <c r="X213" s="83" t="n">
        <f aca="false">X212+V213</f>
        <v>115395.7</v>
      </c>
      <c r="Y213" s="83" t="n">
        <f aca="false">Y212+V213</f>
        <v>59012.4</v>
      </c>
      <c r="AA213" s="83" t="n">
        <v>12.8034486943122</v>
      </c>
    </row>
    <row r="214" s="49" customFormat="true" ht="15" hidden="false" customHeight="false" outlineLevel="0" collapsed="false">
      <c r="A214" s="86" t="s">
        <v>53</v>
      </c>
      <c r="B214" s="69"/>
      <c r="C214" s="48" t="n">
        <v>41730</v>
      </c>
      <c r="D214" s="49" t="n">
        <v>14.6</v>
      </c>
      <c r="E214" s="49" t="n">
        <v>8.9</v>
      </c>
      <c r="F214" s="49" t="n">
        <v>20</v>
      </c>
      <c r="G214" s="49" t="n">
        <f aca="false">G213+D214</f>
        <v>1835.8</v>
      </c>
      <c r="H214" s="49" t="n">
        <f aca="false">D214</f>
        <v>14.6</v>
      </c>
      <c r="J214" s="51" t="n">
        <v>0</v>
      </c>
      <c r="K214" s="49" t="n">
        <f aca="false">K213+J214</f>
        <v>565.1</v>
      </c>
      <c r="L214" s="49" t="n">
        <v>2.7</v>
      </c>
      <c r="M214" s="49" t="n">
        <f aca="false">M213+L214</f>
        <v>276.9</v>
      </c>
      <c r="N214" s="87" t="n">
        <f aca="false">J214-L214</f>
        <v>-2.7</v>
      </c>
      <c r="O214" s="49" t="n">
        <v>113.4</v>
      </c>
      <c r="P214" s="49" t="n">
        <v>209</v>
      </c>
      <c r="Q214" s="88" t="n">
        <v>1.15</v>
      </c>
      <c r="R214" s="52" t="n">
        <f aca="false">Q214*L214</f>
        <v>3.105</v>
      </c>
      <c r="S214" s="52" t="n">
        <f aca="false">J214-R214</f>
        <v>-3.105</v>
      </c>
      <c r="T214" s="89" t="n">
        <f aca="false">MIN(153.6,(T213+S214))</f>
        <v>105.470327102804</v>
      </c>
      <c r="V214" s="49" t="n">
        <v>1501.7</v>
      </c>
      <c r="W214" s="49" t="n">
        <f aca="false">V214/D214</f>
        <v>102.856164383562</v>
      </c>
      <c r="X214" s="49" t="n">
        <f aca="false">X213+V214</f>
        <v>116897.4</v>
      </c>
      <c r="Y214" s="49" t="n">
        <f aca="false">V214</f>
        <v>1501.7</v>
      </c>
      <c r="AA214" s="49" t="n">
        <v>12.8673011188519</v>
      </c>
    </row>
    <row r="215" s="8" customFormat="true" ht="15" hidden="false" customHeight="false" outlineLevel="0" collapsed="false">
      <c r="A215" s="63"/>
      <c r="C215" s="11" t="n">
        <v>41731</v>
      </c>
      <c r="D215" s="8" t="n">
        <v>15</v>
      </c>
      <c r="E215" s="8" t="n">
        <v>8.4</v>
      </c>
      <c r="F215" s="8" t="n">
        <v>19.9</v>
      </c>
      <c r="G215" s="8" t="n">
        <f aca="false">G214+D215</f>
        <v>1850.8</v>
      </c>
      <c r="H215" s="64" t="n">
        <f aca="false">H214+D215</f>
        <v>29.6</v>
      </c>
      <c r="I215" s="65" t="s">
        <v>27</v>
      </c>
      <c r="J215" s="39" t="n">
        <v>0</v>
      </c>
      <c r="K215" s="8" t="n">
        <f aca="false">K214+J215</f>
        <v>565.1</v>
      </c>
      <c r="L215" s="8" t="n">
        <v>2.3</v>
      </c>
      <c r="M215" s="8" t="n">
        <f aca="false">M214+L215</f>
        <v>279.2</v>
      </c>
      <c r="N215" s="14" t="n">
        <f aca="false">J215-L215</f>
        <v>-2.3</v>
      </c>
      <c r="O215" s="8" t="n">
        <v>111.1</v>
      </c>
      <c r="P215" s="8" t="n">
        <v>210</v>
      </c>
      <c r="Q215" s="8" t="n">
        <v>1.15</v>
      </c>
      <c r="R215" s="15" t="n">
        <f aca="false">Q215*L215</f>
        <v>2.645</v>
      </c>
      <c r="S215" s="15" t="n">
        <f aca="false">J215-R215</f>
        <v>-2.645</v>
      </c>
      <c r="T215" s="41" t="n">
        <f aca="false">MIN(153.6,(T214+S215))</f>
        <v>102.825327102804</v>
      </c>
      <c r="U215" s="65" t="s">
        <v>28</v>
      </c>
      <c r="V215" s="8" t="n">
        <v>1503.5</v>
      </c>
      <c r="W215" s="8" t="n">
        <f aca="false">V215/D215</f>
        <v>100.233333333333</v>
      </c>
      <c r="X215" s="8" t="n">
        <f aca="false">X214+V215</f>
        <v>118400.9</v>
      </c>
      <c r="Y215" s="8" t="n">
        <f aca="false">Y214+V215</f>
        <v>3005.2</v>
      </c>
      <c r="Z215" s="65" t="s">
        <v>29</v>
      </c>
      <c r="AA215" s="8" t="n">
        <v>12.9310739772844</v>
      </c>
    </row>
    <row r="216" s="8" customFormat="true" ht="15" hidden="false" customHeight="false" outlineLevel="0" collapsed="false">
      <c r="A216" s="63" t="s">
        <v>54</v>
      </c>
      <c r="C216" s="11" t="n">
        <v>41732</v>
      </c>
      <c r="D216" s="8" t="n">
        <v>15.3</v>
      </c>
      <c r="E216" s="8" t="n">
        <v>11.4</v>
      </c>
      <c r="F216" s="8" t="n">
        <v>19.6</v>
      </c>
      <c r="G216" s="8" t="n">
        <f aca="false">G215+D216</f>
        <v>1866.1</v>
      </c>
      <c r="H216" s="8" t="n">
        <f aca="false">H215+D216</f>
        <v>44.9</v>
      </c>
      <c r="I216" s="8" t="n">
        <f aca="false">MIN(E214:E234)</f>
        <v>3.6</v>
      </c>
      <c r="J216" s="39" t="n">
        <v>0</v>
      </c>
      <c r="K216" s="8" t="n">
        <f aca="false">K215+J216</f>
        <v>565.1</v>
      </c>
      <c r="L216" s="8" t="n">
        <v>2</v>
      </c>
      <c r="M216" s="8" t="n">
        <f aca="false">M215+L216</f>
        <v>281.2</v>
      </c>
      <c r="N216" s="14" t="n">
        <f aca="false">J216-L216</f>
        <v>-2</v>
      </c>
      <c r="O216" s="8" t="n">
        <v>109.1</v>
      </c>
      <c r="P216" s="8" t="n">
        <v>211</v>
      </c>
      <c r="Q216" s="8" t="n">
        <v>1.15</v>
      </c>
      <c r="R216" s="15" t="n">
        <f aca="false">Q216*L216</f>
        <v>2.3</v>
      </c>
      <c r="S216" s="15" t="n">
        <f aca="false">J216-R216</f>
        <v>-2.3</v>
      </c>
      <c r="T216" s="41" t="n">
        <f aca="false">MIN(153.6,(T215+S216))</f>
        <v>100.525327102804</v>
      </c>
      <c r="U216" s="8" t="n">
        <v>18</v>
      </c>
      <c r="V216" s="16" t="n">
        <v>659.4</v>
      </c>
      <c r="W216" s="8" t="n">
        <f aca="false">V216/D216</f>
        <v>43.0980392156863</v>
      </c>
      <c r="X216" s="8" t="n">
        <f aca="false">X215+V216</f>
        <v>119060.3</v>
      </c>
      <c r="Y216" s="8" t="n">
        <f aca="false">Y215+V216</f>
        <v>3664.6</v>
      </c>
      <c r="Z216" s="8" t="n">
        <v>28763.3</v>
      </c>
      <c r="AA216" s="8" t="n">
        <v>12.9947606319252</v>
      </c>
    </row>
    <row r="217" s="8" customFormat="true" ht="15" hidden="false" customHeight="false" outlineLevel="0" collapsed="false">
      <c r="A217" s="63"/>
      <c r="C217" s="11" t="n">
        <v>41733</v>
      </c>
      <c r="D217" s="8" t="n">
        <v>11.8</v>
      </c>
      <c r="E217" s="8" t="n">
        <v>11.2</v>
      </c>
      <c r="F217" s="8" t="n">
        <v>13.8</v>
      </c>
      <c r="G217" s="8" t="n">
        <f aca="false">G216+D217</f>
        <v>1877.9</v>
      </c>
      <c r="H217" s="8" t="n">
        <f aca="false">H216+D217</f>
        <v>56.7</v>
      </c>
      <c r="I217" s="65" t="s">
        <v>30</v>
      </c>
      <c r="J217" s="39" t="n">
        <v>0</v>
      </c>
      <c r="K217" s="8" t="n">
        <f aca="false">K216+J217</f>
        <v>565.1</v>
      </c>
      <c r="L217" s="8" t="n">
        <v>1.3</v>
      </c>
      <c r="M217" s="8" t="n">
        <f aca="false">M216+L217</f>
        <v>282.5</v>
      </c>
      <c r="N217" s="14" t="n">
        <f aca="false">J217-L217</f>
        <v>-1.3</v>
      </c>
      <c r="O217" s="8" t="n">
        <v>107.8</v>
      </c>
      <c r="P217" s="8" t="n">
        <v>212</v>
      </c>
      <c r="Q217" s="8" t="n">
        <v>1.15</v>
      </c>
      <c r="R217" s="15" t="n">
        <f aca="false">Q217*L217</f>
        <v>1.495</v>
      </c>
      <c r="S217" s="15" t="n">
        <f aca="false">J217-R217</f>
        <v>-1.495</v>
      </c>
      <c r="T217" s="41" t="n">
        <f aca="false">MIN(153.6,(T216+S217))</f>
        <v>99.0303271028037</v>
      </c>
      <c r="U217" s="65" t="s">
        <v>31</v>
      </c>
      <c r="V217" s="16" t="n">
        <v>383.5</v>
      </c>
      <c r="W217" s="8" t="n">
        <f aca="false">V217/D217</f>
        <v>32.5</v>
      </c>
      <c r="X217" s="8" t="n">
        <f aca="false">X216+V217</f>
        <v>119443.8</v>
      </c>
      <c r="Y217" s="8" t="n">
        <f aca="false">Y216+V217</f>
        <v>4048.1</v>
      </c>
      <c r="Z217" s="65" t="s">
        <v>32</v>
      </c>
      <c r="AA217" s="8" t="n">
        <v>13.0583542487133</v>
      </c>
    </row>
    <row r="218" s="8" customFormat="true" ht="15" hidden="false" customHeight="false" outlineLevel="0" collapsed="false">
      <c r="A218" s="63"/>
      <c r="C218" s="11" t="n">
        <v>41734</v>
      </c>
      <c r="D218" s="8" t="n">
        <v>12.6</v>
      </c>
      <c r="E218" s="8" t="n">
        <v>6</v>
      </c>
      <c r="F218" s="8" t="n">
        <v>17.3</v>
      </c>
      <c r="G218" s="8" t="n">
        <f aca="false">G217+D218</f>
        <v>1890.5</v>
      </c>
      <c r="H218" s="8" t="n">
        <f aca="false">H217+D218</f>
        <v>69.3</v>
      </c>
      <c r="I218" s="8" t="n">
        <f aca="false">MAX(F214:F234)</f>
        <v>21</v>
      </c>
      <c r="J218" s="39" t="n">
        <v>0</v>
      </c>
      <c r="K218" s="8" t="n">
        <f aca="false">K217+J218</f>
        <v>565.1</v>
      </c>
      <c r="L218" s="8" t="n">
        <v>3.1</v>
      </c>
      <c r="M218" s="8" t="n">
        <f aca="false">M217+L218</f>
        <v>285.6</v>
      </c>
      <c r="N218" s="14" t="n">
        <f aca="false">J218-L218</f>
        <v>-3.1</v>
      </c>
      <c r="O218" s="8" t="n">
        <v>104.7</v>
      </c>
      <c r="P218" s="8" t="n">
        <v>213</v>
      </c>
      <c r="Q218" s="8" t="n">
        <v>1.15</v>
      </c>
      <c r="R218" s="15" t="n">
        <f aca="false">Q218*L218</f>
        <v>3.565</v>
      </c>
      <c r="S218" s="15" t="n">
        <f aca="false">J218-R218</f>
        <v>-3.565</v>
      </c>
      <c r="T218" s="41" t="n">
        <f aca="false">MIN(153.6,(T217+S218))</f>
        <v>95.4653271028037</v>
      </c>
      <c r="U218" s="8" t="n">
        <v>0</v>
      </c>
      <c r="V218" s="8" t="n">
        <v>1774.5</v>
      </c>
      <c r="W218" s="8" t="n">
        <f aca="false">V218/D218</f>
        <v>140.833333333333</v>
      </c>
      <c r="X218" s="8" t="n">
        <f aca="false">X217+V218</f>
        <v>121218.3</v>
      </c>
      <c r="Y218" s="8" t="n">
        <f aca="false">Y217+V218</f>
        <v>5822.6</v>
      </c>
      <c r="Z218" s="17" t="n">
        <f aca="false">(Z216/100)/I228</f>
        <v>1.16781567194478</v>
      </c>
      <c r="AA218" s="8" t="n">
        <v>13.1218477785862</v>
      </c>
    </row>
    <row r="219" s="8" customFormat="true" ht="15" hidden="false" customHeight="false" outlineLevel="0" collapsed="false">
      <c r="A219" s="63"/>
      <c r="C219" s="11" t="n">
        <v>41735</v>
      </c>
      <c r="D219" s="8" t="n">
        <v>14.8</v>
      </c>
      <c r="E219" s="8" t="n">
        <v>11.8</v>
      </c>
      <c r="F219" s="8" t="n">
        <v>17.6</v>
      </c>
      <c r="G219" s="8" t="n">
        <f aca="false">G218+D219</f>
        <v>1905.3</v>
      </c>
      <c r="H219" s="8" t="n">
        <f aca="false">H218+D219</f>
        <v>84.1</v>
      </c>
      <c r="I219" s="65" t="s">
        <v>33</v>
      </c>
      <c r="J219" s="39" t="n">
        <v>0.5</v>
      </c>
      <c r="K219" s="8" t="n">
        <f aca="false">K218+J219</f>
        <v>565.6</v>
      </c>
      <c r="L219" s="8" t="n">
        <v>1.4</v>
      </c>
      <c r="M219" s="8" t="n">
        <f aca="false">M218+L219</f>
        <v>287</v>
      </c>
      <c r="N219" s="14" t="n">
        <f aca="false">J219-L219</f>
        <v>-0.9</v>
      </c>
      <c r="O219" s="8" t="n">
        <v>103.8</v>
      </c>
      <c r="P219" s="8" t="n">
        <v>214</v>
      </c>
      <c r="Q219" s="8" t="n">
        <v>1.15</v>
      </c>
      <c r="R219" s="15" t="n">
        <f aca="false">Q219*L219</f>
        <v>1.61</v>
      </c>
      <c r="S219" s="15" t="n">
        <f aca="false">J219-R219</f>
        <v>-1.11</v>
      </c>
      <c r="T219" s="41" t="n">
        <f aca="false">MIN(153.6,(T218+S219))</f>
        <v>94.3553271028037</v>
      </c>
      <c r="U219" s="65" t="s">
        <v>34</v>
      </c>
      <c r="V219" s="16" t="n">
        <v>475.3</v>
      </c>
      <c r="W219" s="8" t="n">
        <f aca="false">V219/D219</f>
        <v>32.1148648648649</v>
      </c>
      <c r="X219" s="8" t="n">
        <f aca="false">X218+V219</f>
        <v>121693.6</v>
      </c>
      <c r="Y219" s="8" t="n">
        <f aca="false">Y218+V219</f>
        <v>6297.9</v>
      </c>
      <c r="Z219" s="65" t="s">
        <v>35</v>
      </c>
      <c r="AA219" s="8" t="n">
        <v>13.185233938896</v>
      </c>
    </row>
    <row r="220" s="8" customFormat="true" ht="15" hidden="false" customHeight="false" outlineLevel="0" collapsed="false">
      <c r="A220" s="63"/>
      <c r="C220" s="11" t="n">
        <v>41736</v>
      </c>
      <c r="D220" s="8" t="n">
        <v>15.5</v>
      </c>
      <c r="E220" s="8" t="n">
        <v>13.6</v>
      </c>
      <c r="F220" s="8" t="n">
        <v>21</v>
      </c>
      <c r="G220" s="8" t="n">
        <f aca="false">G219+D220</f>
        <v>1920.8</v>
      </c>
      <c r="H220" s="8" t="n">
        <f aca="false">H219+D220</f>
        <v>99.6</v>
      </c>
      <c r="I220" s="15" t="n">
        <f aca="false">AVERAGE(D214:D234)</f>
        <v>11.7285714285714</v>
      </c>
      <c r="J220" s="39" t="n">
        <v>7.2</v>
      </c>
      <c r="K220" s="8" t="n">
        <f aca="false">K219+J220</f>
        <v>572.8</v>
      </c>
      <c r="L220" s="8" t="n">
        <v>3.7</v>
      </c>
      <c r="M220" s="8" t="n">
        <f aca="false">M219+L220</f>
        <v>290.7</v>
      </c>
      <c r="N220" s="14" t="n">
        <f aca="false">J220-L220</f>
        <v>3.5</v>
      </c>
      <c r="O220" s="8" t="n">
        <v>107.3</v>
      </c>
      <c r="P220" s="8" t="n">
        <v>215</v>
      </c>
      <c r="Q220" s="8" t="n">
        <v>1.15</v>
      </c>
      <c r="R220" s="15" t="n">
        <f aca="false">Q220*L220</f>
        <v>4.255</v>
      </c>
      <c r="S220" s="15" t="n">
        <f aca="false">J220-R220</f>
        <v>2.945</v>
      </c>
      <c r="T220" s="41" t="n">
        <f aca="false">MIN(153.6,(T219+S220))</f>
        <v>97.3003271028037</v>
      </c>
      <c r="U220" s="8" t="n">
        <v>0</v>
      </c>
      <c r="V220" s="8" t="n">
        <v>1203.7</v>
      </c>
      <c r="W220" s="8" t="n">
        <f aca="false">V220/D220</f>
        <v>77.658064516129</v>
      </c>
      <c r="X220" s="8" t="n">
        <f aca="false">X219+V220</f>
        <v>122897.3</v>
      </c>
      <c r="Y220" s="8" t="n">
        <f aca="false">Y219+V220</f>
        <v>7501.6</v>
      </c>
      <c r="Z220" s="8" t="n">
        <v>5</v>
      </c>
      <c r="AA220" s="8" t="n">
        <v>13.2485051948674</v>
      </c>
    </row>
    <row r="221" s="8" customFormat="true" ht="15" hidden="false" customHeight="false" outlineLevel="0" collapsed="false">
      <c r="A221" s="63"/>
      <c r="C221" s="11" t="n">
        <v>41737</v>
      </c>
      <c r="D221" s="8" t="n">
        <v>9.7</v>
      </c>
      <c r="E221" s="8" t="n">
        <v>8.1</v>
      </c>
      <c r="F221" s="8" t="n">
        <v>12</v>
      </c>
      <c r="G221" s="8" t="n">
        <f aca="false">G220+D221</f>
        <v>1930.5</v>
      </c>
      <c r="H221" s="8" t="n">
        <f aca="false">H220+D221</f>
        <v>109.3</v>
      </c>
      <c r="I221" s="65" t="s">
        <v>36</v>
      </c>
      <c r="J221" s="39" t="n">
        <v>0.5</v>
      </c>
      <c r="K221" s="8" t="n">
        <f aca="false">K220+J221</f>
        <v>573.3</v>
      </c>
      <c r="L221" s="8" t="n">
        <v>2.9</v>
      </c>
      <c r="M221" s="8" t="n">
        <f aca="false">M220+L221</f>
        <v>293.6</v>
      </c>
      <c r="N221" s="14" t="n">
        <f aca="false">J221-L221</f>
        <v>-2.4</v>
      </c>
      <c r="O221" s="8" t="n">
        <v>104.9</v>
      </c>
      <c r="P221" s="8" t="n">
        <v>216</v>
      </c>
      <c r="Q221" s="8" t="n">
        <v>1.15</v>
      </c>
      <c r="R221" s="15" t="n">
        <f aca="false">Q221*L221</f>
        <v>3.335</v>
      </c>
      <c r="S221" s="15" t="n">
        <f aca="false">J221-R221</f>
        <v>-2.835</v>
      </c>
      <c r="T221" s="41" t="n">
        <f aca="false">MIN(153.6,(T220+S221))</f>
        <v>94.4653271028037</v>
      </c>
      <c r="U221" s="65" t="s">
        <v>37</v>
      </c>
      <c r="V221" s="8" t="n">
        <v>1514.2</v>
      </c>
      <c r="W221" s="8" t="n">
        <f aca="false">V221/D221</f>
        <v>156.103092783505</v>
      </c>
      <c r="X221" s="8" t="n">
        <f aca="false">X220+V221</f>
        <v>124411.5</v>
      </c>
      <c r="Y221" s="8" t="n">
        <f aca="false">Y220+V221</f>
        <v>9015.8</v>
      </c>
      <c r="AA221" s="8" t="n">
        <v>13.3116537411061</v>
      </c>
    </row>
    <row r="222" s="8" customFormat="true" ht="15" hidden="false" customHeight="false" outlineLevel="0" collapsed="false">
      <c r="A222" s="63"/>
      <c r="C222" s="11" t="n">
        <v>41738</v>
      </c>
      <c r="D222" s="8" t="n">
        <v>9.5</v>
      </c>
      <c r="E222" s="18" t="n">
        <v>3.6</v>
      </c>
      <c r="F222" s="8" t="n">
        <v>13.8</v>
      </c>
      <c r="G222" s="8" t="n">
        <f aca="false">G221+D222</f>
        <v>1940</v>
      </c>
      <c r="H222" s="8" t="n">
        <f aca="false">H221+D222</f>
        <v>118.8</v>
      </c>
      <c r="I222" s="8" t="n">
        <v>0</v>
      </c>
      <c r="J222" s="39" t="n">
        <v>0</v>
      </c>
      <c r="K222" s="8" t="n">
        <f aca="false">K221+J222</f>
        <v>573.3</v>
      </c>
      <c r="L222" s="8" t="n">
        <v>2.6</v>
      </c>
      <c r="M222" s="8" t="n">
        <f aca="false">M221+L222</f>
        <v>296.2</v>
      </c>
      <c r="N222" s="14" t="n">
        <f aca="false">J222-L222</f>
        <v>-2.6</v>
      </c>
      <c r="O222" s="8" t="n">
        <v>102.3</v>
      </c>
      <c r="P222" s="8" t="n">
        <v>217</v>
      </c>
      <c r="Q222" s="8" t="n">
        <v>1.15</v>
      </c>
      <c r="R222" s="15" t="n">
        <f aca="false">Q222*L222</f>
        <v>2.99</v>
      </c>
      <c r="S222" s="15" t="n">
        <f aca="false">J222-R222</f>
        <v>-2.99</v>
      </c>
      <c r="T222" s="41" t="n">
        <f aca="false">MIN(153.6,(T221+S222))</f>
        <v>91.4753271028037</v>
      </c>
      <c r="U222" s="15" t="n">
        <f aca="false">MIN(T214:T234)</f>
        <v>57.0253271028037</v>
      </c>
      <c r="V222" s="8" t="n">
        <v>1576.3</v>
      </c>
      <c r="W222" s="8" t="n">
        <f aca="false">V222/D222</f>
        <v>165.926315789474</v>
      </c>
      <c r="X222" s="8" t="n">
        <f aca="false">X221+V222</f>
        <v>125987.8</v>
      </c>
      <c r="Y222" s="8" t="n">
        <f aca="false">Y221+V222</f>
        <v>10592.1</v>
      </c>
      <c r="AA222" s="8" t="n">
        <v>13.3746714831632</v>
      </c>
    </row>
    <row r="223" s="8" customFormat="true" ht="15" hidden="false" customHeight="false" outlineLevel="0" collapsed="false">
      <c r="A223" s="63"/>
      <c r="C223" s="11" t="n">
        <v>41739</v>
      </c>
      <c r="D223" s="8" t="n">
        <v>10.1</v>
      </c>
      <c r="E223" s="18" t="n">
        <v>4.4</v>
      </c>
      <c r="F223" s="8" t="n">
        <v>14.7</v>
      </c>
      <c r="G223" s="8" t="n">
        <f aca="false">G222+D223</f>
        <v>1950.1</v>
      </c>
      <c r="H223" s="8" t="n">
        <f aca="false">H222+D223</f>
        <v>128.9</v>
      </c>
      <c r="I223" s="65" t="s">
        <v>38</v>
      </c>
      <c r="J223" s="39" t="n">
        <v>0</v>
      </c>
      <c r="K223" s="8" t="n">
        <f aca="false">K222+J223</f>
        <v>573.3</v>
      </c>
      <c r="L223" s="8" t="n">
        <v>2.3</v>
      </c>
      <c r="M223" s="8" t="n">
        <f aca="false">M222+L223</f>
        <v>298.5</v>
      </c>
      <c r="N223" s="14" t="n">
        <f aca="false">J223-L223</f>
        <v>-2.3</v>
      </c>
      <c r="O223" s="8" t="n">
        <v>100</v>
      </c>
      <c r="P223" s="8" t="n">
        <v>218</v>
      </c>
      <c r="Q223" s="8" t="n">
        <v>1.15</v>
      </c>
      <c r="R223" s="15" t="n">
        <f aca="false">Q223*L223</f>
        <v>2.645</v>
      </c>
      <c r="S223" s="15" t="n">
        <f aca="false">J223-R223</f>
        <v>-2.645</v>
      </c>
      <c r="T223" s="41" t="n">
        <f aca="false">MIN(153.6,(T222+S223))</f>
        <v>88.8303271028037</v>
      </c>
      <c r="U223" s="65" t="s">
        <v>39</v>
      </c>
      <c r="V223" s="8" t="n">
        <v>1504.7</v>
      </c>
      <c r="W223" s="8" t="n">
        <f aca="false">V223/D223</f>
        <v>148.980198019802</v>
      </c>
      <c r="X223" s="8" t="n">
        <f aca="false">X222+V223</f>
        <v>127492.5</v>
      </c>
      <c r="Y223" s="8" t="n">
        <f aca="false">Y222+V223</f>
        <v>12096.8</v>
      </c>
      <c r="AA223" s="8" t="n">
        <v>13.4375500191694</v>
      </c>
    </row>
    <row r="224" s="49" customFormat="true" ht="15" hidden="false" customHeight="false" outlineLevel="0" collapsed="false">
      <c r="A224" s="63"/>
      <c r="C224" s="11" t="n">
        <v>41740</v>
      </c>
      <c r="D224" s="49" t="n">
        <v>10.3</v>
      </c>
      <c r="E224" s="49" t="n">
        <v>5.1</v>
      </c>
      <c r="F224" s="49" t="n">
        <v>14.8</v>
      </c>
      <c r="G224" s="49" t="n">
        <f aca="false">G223+D224</f>
        <v>1960.4</v>
      </c>
      <c r="H224" s="49" t="n">
        <f aca="false">H223+D224</f>
        <v>139.2</v>
      </c>
      <c r="I224" s="49" t="n">
        <v>0</v>
      </c>
      <c r="J224" s="49" t="n">
        <v>0</v>
      </c>
      <c r="K224" s="49" t="n">
        <f aca="false">K223+J224</f>
        <v>573.3</v>
      </c>
      <c r="L224" s="49" t="n">
        <v>2.1</v>
      </c>
      <c r="M224" s="49" t="n">
        <f aca="false">M223+L224</f>
        <v>300.6</v>
      </c>
      <c r="N224" s="49" t="n">
        <f aca="false">J224-L224</f>
        <v>-2.1</v>
      </c>
      <c r="O224" s="49" t="n">
        <v>97.9</v>
      </c>
      <c r="P224" s="49" t="n">
        <v>219</v>
      </c>
      <c r="Q224" s="8" t="n">
        <v>1.15</v>
      </c>
      <c r="R224" s="52" t="n">
        <f aca="false">Q224*L224</f>
        <v>2.415</v>
      </c>
      <c r="S224" s="52" t="n">
        <f aca="false">J224-R224</f>
        <v>-2.415</v>
      </c>
      <c r="T224" s="15" t="n">
        <f aca="false">MIN(153.6,(T223+S224))</f>
        <v>86.4153271028037</v>
      </c>
      <c r="U224" s="15" t="n">
        <f aca="false">MAX(T214:T234)</f>
        <v>105.470327102804</v>
      </c>
      <c r="V224" s="49" t="n">
        <v>1090</v>
      </c>
      <c r="W224" s="49" t="n">
        <f aca="false">V224/D224</f>
        <v>105.825242718447</v>
      </c>
      <c r="X224" s="49" t="n">
        <f aca="false">X223+V224</f>
        <v>128582.5</v>
      </c>
      <c r="Y224" s="8" t="n">
        <f aca="false">Y223+V224</f>
        <v>13186.8</v>
      </c>
      <c r="AA224" s="8" t="n">
        <v>13.5002806215506</v>
      </c>
    </row>
    <row r="225" s="8" customFormat="true" ht="15" hidden="false" customHeight="false" outlineLevel="0" collapsed="false">
      <c r="A225" s="63"/>
      <c r="C225" s="11" t="n">
        <v>41741</v>
      </c>
      <c r="D225" s="8" t="n">
        <v>10.6</v>
      </c>
      <c r="E225" s="8" t="n">
        <v>6.5</v>
      </c>
      <c r="F225" s="8" t="n">
        <v>14.8</v>
      </c>
      <c r="G225" s="8" t="n">
        <f aca="false">G224+D225</f>
        <v>1971</v>
      </c>
      <c r="H225" s="8" t="n">
        <f aca="false">H224+D225</f>
        <v>149.8</v>
      </c>
      <c r="I225" s="65" t="s">
        <v>40</v>
      </c>
      <c r="J225" s="8" t="n">
        <v>0</v>
      </c>
      <c r="K225" s="8" t="n">
        <f aca="false">K224+J225</f>
        <v>573.3</v>
      </c>
      <c r="L225" s="8" t="n">
        <v>2.5</v>
      </c>
      <c r="M225" s="8" t="n">
        <f aca="false">M224+L225</f>
        <v>303.1</v>
      </c>
      <c r="N225" s="14" t="n">
        <f aca="false">J225-L225</f>
        <v>-2.5</v>
      </c>
      <c r="O225" s="8" t="n">
        <v>95.4</v>
      </c>
      <c r="P225" s="8" t="n">
        <v>220</v>
      </c>
      <c r="Q225" s="8" t="n">
        <v>1.15</v>
      </c>
      <c r="R225" s="15" t="n">
        <f aca="false">Q225*L225</f>
        <v>2.875</v>
      </c>
      <c r="S225" s="15" t="n">
        <f aca="false">J225-R225</f>
        <v>-2.875</v>
      </c>
      <c r="T225" s="15" t="n">
        <f aca="false">MIN(153.6,(T224+S225))</f>
        <v>83.5403271028037</v>
      </c>
      <c r="U225" s="65" t="s">
        <v>41</v>
      </c>
      <c r="V225" s="8" t="n">
        <v>1586.8</v>
      </c>
      <c r="W225" s="8" t="n">
        <f aca="false">V225/D225</f>
        <v>149.698113207547</v>
      </c>
      <c r="X225" s="8" t="n">
        <f aca="false">X224+V225</f>
        <v>130169.3</v>
      </c>
      <c r="Y225" s="8" t="n">
        <f aca="false">Y224+V225</f>
        <v>14773.6</v>
      </c>
      <c r="AA225" s="8" t="n">
        <v>13.5628542188418</v>
      </c>
    </row>
    <row r="226" s="8" customFormat="true" ht="15" hidden="false" customHeight="false" outlineLevel="0" collapsed="false">
      <c r="A226" s="63"/>
      <c r="C226" s="11" t="n">
        <v>41742</v>
      </c>
      <c r="D226" s="8" t="n">
        <v>11.1</v>
      </c>
      <c r="E226" s="8" t="n">
        <v>7.7</v>
      </c>
      <c r="F226" s="8" t="n">
        <v>14.3</v>
      </c>
      <c r="G226" s="8" t="n">
        <f aca="false">G225+D226</f>
        <v>1982.1</v>
      </c>
      <c r="H226" s="8" t="n">
        <f aca="false">H225+D226</f>
        <v>160.9</v>
      </c>
      <c r="I226" s="8" t="n">
        <v>4</v>
      </c>
      <c r="J226" s="8" t="n">
        <v>0</v>
      </c>
      <c r="K226" s="8" t="n">
        <f aca="false">K225+J226</f>
        <v>573.3</v>
      </c>
      <c r="L226" s="8" t="n">
        <v>2</v>
      </c>
      <c r="M226" s="8" t="n">
        <f aca="false">M225+L226</f>
        <v>305.1</v>
      </c>
      <c r="N226" s="14" t="n">
        <f aca="false">J226-L226</f>
        <v>-2</v>
      </c>
      <c r="O226" s="8" t="n">
        <v>93.4</v>
      </c>
      <c r="P226" s="8" t="n">
        <v>221</v>
      </c>
      <c r="Q226" s="8" t="n">
        <v>1.15</v>
      </c>
      <c r="R226" s="15" t="n">
        <f aca="false">Q226*L226</f>
        <v>2.3</v>
      </c>
      <c r="S226" s="15" t="n">
        <f aca="false">J226-R226</f>
        <v>-2.3</v>
      </c>
      <c r="T226" s="15" t="n">
        <f aca="false">MIN(153.6,(T225+S226))</f>
        <v>81.2403271028037</v>
      </c>
      <c r="U226" s="17" t="n">
        <f aca="false">AVERAGE(T214:T234)</f>
        <v>83.7196128170894</v>
      </c>
      <c r="V226" s="16" t="n">
        <v>671.7</v>
      </c>
      <c r="W226" s="8" t="n">
        <f aca="false">V226/D226</f>
        <v>60.5135135135135</v>
      </c>
      <c r="X226" s="8" t="n">
        <f aca="false">X225+V226</f>
        <v>130841</v>
      </c>
      <c r="Y226" s="8" t="n">
        <f aca="false">Y225+V226</f>
        <v>15445.3</v>
      </c>
      <c r="AA226" s="8" t="n">
        <v>13.6252613776202</v>
      </c>
    </row>
    <row r="227" s="8" customFormat="true" ht="15" hidden="false" customHeight="false" outlineLevel="0" collapsed="false">
      <c r="A227" s="63"/>
      <c r="C227" s="11" t="n">
        <v>41743</v>
      </c>
      <c r="D227" s="8" t="n">
        <v>8.8</v>
      </c>
      <c r="E227" s="8" t="n">
        <v>7.4</v>
      </c>
      <c r="F227" s="8" t="n">
        <v>12</v>
      </c>
      <c r="G227" s="8" t="n">
        <f aca="false">G226+D227</f>
        <v>1990.9</v>
      </c>
      <c r="H227" s="8" t="n">
        <f aca="false">H226+D227</f>
        <v>169.7</v>
      </c>
      <c r="I227" s="65" t="s">
        <v>42</v>
      </c>
      <c r="J227" s="8" t="n">
        <v>0</v>
      </c>
      <c r="K227" s="8" t="n">
        <f aca="false">K226+J227</f>
        <v>573.3</v>
      </c>
      <c r="L227" s="8" t="n">
        <v>2.9</v>
      </c>
      <c r="M227" s="8" t="n">
        <f aca="false">M226+L227</f>
        <v>308</v>
      </c>
      <c r="N227" s="14" t="n">
        <f aca="false">J227-L227</f>
        <v>-2.9</v>
      </c>
      <c r="O227" s="8" t="n">
        <v>90.5</v>
      </c>
      <c r="P227" s="8" t="n">
        <v>222</v>
      </c>
      <c r="Q227" s="8" t="n">
        <v>1.15</v>
      </c>
      <c r="R227" s="15" t="n">
        <f aca="false">Q227*L227</f>
        <v>3.335</v>
      </c>
      <c r="S227" s="15" t="n">
        <f aca="false">J227-R227</f>
        <v>-3.335</v>
      </c>
      <c r="T227" s="15" t="n">
        <f aca="false">MIN(153.6,(T226+S227))</f>
        <v>77.9053271028037</v>
      </c>
      <c r="V227" s="8" t="n">
        <v>1817.8</v>
      </c>
      <c r="W227" s="8" t="n">
        <f aca="false">V227/D227</f>
        <v>206.568181818182</v>
      </c>
      <c r="X227" s="8" t="n">
        <f aca="false">X226+V227</f>
        <v>132658.8</v>
      </c>
      <c r="Y227" s="8" t="n">
        <f aca="false">Y226+V227</f>
        <v>17263.1</v>
      </c>
      <c r="AA227" s="8" t="n">
        <v>13.6874922845799</v>
      </c>
    </row>
    <row r="228" s="8" customFormat="true" ht="15" hidden="false" customHeight="false" outlineLevel="0" collapsed="false">
      <c r="A228" s="63"/>
      <c r="C228" s="11" t="n">
        <v>41744</v>
      </c>
      <c r="D228" s="8" t="n">
        <v>7.5</v>
      </c>
      <c r="E228" s="18" t="n">
        <v>4.6</v>
      </c>
      <c r="F228" s="8" t="n">
        <v>11.1</v>
      </c>
      <c r="G228" s="8" t="n">
        <f aca="false">G227+D228</f>
        <v>1998.4</v>
      </c>
      <c r="H228" s="8" t="n">
        <f aca="false">H227+D228</f>
        <v>177.2</v>
      </c>
      <c r="I228" s="8" t="n">
        <v>246.3</v>
      </c>
      <c r="J228" s="8" t="n">
        <v>0</v>
      </c>
      <c r="K228" s="8" t="n">
        <f aca="false">K227+J228</f>
        <v>573.3</v>
      </c>
      <c r="L228" s="8" t="n">
        <v>3.1</v>
      </c>
      <c r="M228" s="8" t="n">
        <f aca="false">M227+L228</f>
        <v>311.1</v>
      </c>
      <c r="N228" s="14" t="n">
        <f aca="false">J228-L228</f>
        <v>-3.1</v>
      </c>
      <c r="O228" s="8" t="n">
        <v>87.4</v>
      </c>
      <c r="P228" s="8" t="n">
        <v>223</v>
      </c>
      <c r="Q228" s="8" t="n">
        <v>1.15</v>
      </c>
      <c r="R228" s="15" t="n">
        <f aca="false">Q228*L228</f>
        <v>3.565</v>
      </c>
      <c r="S228" s="15" t="n">
        <f aca="false">J228-R228</f>
        <v>-3.565</v>
      </c>
      <c r="T228" s="15" t="n">
        <f aca="false">MIN(153.6,(T227+S228))</f>
        <v>74.3403271028037</v>
      </c>
      <c r="U228" s="8" t="n">
        <f aca="false">(U226*100)/153.6</f>
        <v>54.5049562611259</v>
      </c>
      <c r="V228" s="8" t="n">
        <v>1864.2</v>
      </c>
      <c r="W228" s="8" t="n">
        <f aca="false">V228/D228</f>
        <v>248.56</v>
      </c>
      <c r="X228" s="8" t="n">
        <f aca="false">X227+V228</f>
        <v>134523</v>
      </c>
      <c r="Y228" s="8" t="n">
        <f aca="false">Y227+V228</f>
        <v>19127.3</v>
      </c>
      <c r="AA228" s="8" t="n">
        <v>13.7495367287754</v>
      </c>
    </row>
    <row r="229" s="8" customFormat="true" ht="15" hidden="false" customHeight="false" outlineLevel="0" collapsed="false">
      <c r="A229" s="63"/>
      <c r="C229" s="11" t="n">
        <v>41745</v>
      </c>
      <c r="D229" s="8" t="n">
        <v>9.3</v>
      </c>
      <c r="E229" s="18" t="n">
        <v>4.1</v>
      </c>
      <c r="F229" s="8" t="n">
        <v>14.4</v>
      </c>
      <c r="G229" s="8" t="n">
        <f aca="false">G228+D229</f>
        <v>2007.7</v>
      </c>
      <c r="H229" s="8" t="n">
        <f aca="false">H228+D229</f>
        <v>186.5</v>
      </c>
      <c r="J229" s="8" t="n">
        <v>0</v>
      </c>
      <c r="K229" s="8" t="n">
        <f aca="false">K228+J229</f>
        <v>573.3</v>
      </c>
      <c r="L229" s="8" t="n">
        <v>3.1</v>
      </c>
      <c r="M229" s="8" t="n">
        <f aca="false">M228+L229</f>
        <v>314.2</v>
      </c>
      <c r="N229" s="14" t="n">
        <f aca="false">J229-L229</f>
        <v>-3.1</v>
      </c>
      <c r="O229" s="8" t="n">
        <v>84.3</v>
      </c>
      <c r="P229" s="8" t="n">
        <v>224</v>
      </c>
      <c r="Q229" s="8" t="n">
        <v>1.15</v>
      </c>
      <c r="R229" s="15" t="n">
        <f aca="false">Q229*L229</f>
        <v>3.565</v>
      </c>
      <c r="S229" s="15" t="n">
        <f aca="false">J229-R229</f>
        <v>-3.565</v>
      </c>
      <c r="T229" s="15" t="n">
        <f aca="false">MIN(153.6,(T228+S229))</f>
        <v>70.7753271028037</v>
      </c>
      <c r="V229" s="8" t="n">
        <v>2267</v>
      </c>
      <c r="W229" s="8" t="n">
        <f aca="false">V229/D229</f>
        <v>243.763440860215</v>
      </c>
      <c r="X229" s="8" t="n">
        <f aca="false">X228+V229</f>
        <v>136790</v>
      </c>
      <c r="Y229" s="8" t="n">
        <f aca="false">Y228+V229</f>
        <v>21394.3</v>
      </c>
      <c r="AA229" s="8" t="n">
        <v>13.8113840840643</v>
      </c>
    </row>
    <row r="230" s="8" customFormat="true" ht="15" hidden="false" customHeight="false" outlineLevel="0" collapsed="false">
      <c r="A230" s="63"/>
      <c r="C230" s="11" t="n">
        <v>41746</v>
      </c>
      <c r="D230" s="8" t="n">
        <v>11.8</v>
      </c>
      <c r="E230" s="8" t="n">
        <v>5.4</v>
      </c>
      <c r="F230" s="8" t="n">
        <v>17.5</v>
      </c>
      <c r="G230" s="8" t="n">
        <f aca="false">G229+D230</f>
        <v>2019.5</v>
      </c>
      <c r="H230" s="8" t="n">
        <f aca="false">H229+D230</f>
        <v>198.3</v>
      </c>
      <c r="J230" s="8" t="n">
        <v>0</v>
      </c>
      <c r="K230" s="8" t="n">
        <f aca="false">K229+J230</f>
        <v>573.3</v>
      </c>
      <c r="L230" s="8" t="n">
        <v>4</v>
      </c>
      <c r="M230" s="8" t="n">
        <f aca="false">M229+L230</f>
        <v>318.2</v>
      </c>
      <c r="N230" s="14" t="n">
        <f aca="false">J230-L230</f>
        <v>-4</v>
      </c>
      <c r="O230" s="8" t="n">
        <v>80.3</v>
      </c>
      <c r="P230" s="8" t="n">
        <v>225</v>
      </c>
      <c r="Q230" s="8" t="n">
        <v>1.15</v>
      </c>
      <c r="R230" s="15" t="n">
        <f aca="false">Q230*L230</f>
        <v>4.6</v>
      </c>
      <c r="S230" s="15" t="n">
        <f aca="false">J230-R230</f>
        <v>-4.6</v>
      </c>
      <c r="T230" s="15" t="n">
        <f aca="false">MIN(153.6,(T229+S230))</f>
        <v>66.1753271028037</v>
      </c>
      <c r="V230" s="8" t="n">
        <v>2103.7</v>
      </c>
      <c r="W230" s="8" t="n">
        <f aca="false">V230/D230</f>
        <v>178.279661016949</v>
      </c>
      <c r="X230" s="8" t="n">
        <f aca="false">X229+V230</f>
        <v>138893.7</v>
      </c>
      <c r="Y230" s="8" t="n">
        <f aca="false">Y229+V230</f>
        <v>23498</v>
      </c>
      <c r="AA230" s="8" t="n">
        <v>13.8730232917844</v>
      </c>
    </row>
    <row r="231" s="8" customFormat="true" ht="15" hidden="false" customHeight="false" outlineLevel="0" collapsed="false">
      <c r="A231" s="63"/>
      <c r="C231" s="11" t="n">
        <v>41747</v>
      </c>
      <c r="D231" s="8" t="n">
        <v>9.9</v>
      </c>
      <c r="E231" s="8" t="n">
        <v>9</v>
      </c>
      <c r="F231" s="8" t="n">
        <v>12.1</v>
      </c>
      <c r="G231" s="8" t="n">
        <f aca="false">G230+D231</f>
        <v>2029.4</v>
      </c>
      <c r="H231" s="8" t="n">
        <f aca="false">H230+D231</f>
        <v>208.2</v>
      </c>
      <c r="J231" s="8" t="n">
        <v>0</v>
      </c>
      <c r="K231" s="8" t="n">
        <f aca="false">K230+J231</f>
        <v>573.3</v>
      </c>
      <c r="L231" s="8" t="n">
        <v>3.5</v>
      </c>
      <c r="M231" s="8" t="n">
        <f aca="false">M230+L231</f>
        <v>321.7</v>
      </c>
      <c r="N231" s="14" t="n">
        <f aca="false">J231-L231</f>
        <v>-3.5</v>
      </c>
      <c r="O231" s="8" t="n">
        <v>76.8</v>
      </c>
      <c r="P231" s="8" t="n">
        <v>226</v>
      </c>
      <c r="Q231" s="8" t="n">
        <v>1.15</v>
      </c>
      <c r="R231" s="15" t="n">
        <f aca="false">Q231*L231</f>
        <v>4.025</v>
      </c>
      <c r="S231" s="15" t="n">
        <f aca="false">J231-R231</f>
        <v>-4.025</v>
      </c>
      <c r="T231" s="15" t="n">
        <f aca="false">MIN(153.6,(T230+S231))</f>
        <v>62.1503271028037</v>
      </c>
      <c r="V231" s="8" t="n">
        <v>1297.4</v>
      </c>
      <c r="W231" s="8" t="n">
        <f aca="false">V231/D231</f>
        <v>131.050505050505</v>
      </c>
      <c r="X231" s="8" t="n">
        <f aca="false">X230+V231</f>
        <v>140191.1</v>
      </c>
      <c r="Y231" s="8" t="n">
        <f aca="false">Y230+V231</f>
        <v>24795.4</v>
      </c>
      <c r="AA231" s="8" t="n">
        <v>13.9344428437046</v>
      </c>
    </row>
    <row r="232" s="8" customFormat="true" ht="15" hidden="false" customHeight="false" outlineLevel="0" collapsed="false">
      <c r="A232" s="63"/>
      <c r="C232" s="11" t="n">
        <v>41748</v>
      </c>
      <c r="D232" s="8" t="n">
        <v>10.9</v>
      </c>
      <c r="E232" s="8" t="n">
        <v>6.7</v>
      </c>
      <c r="F232" s="8" t="n">
        <v>13.4</v>
      </c>
      <c r="G232" s="8" t="n">
        <f aca="false">G231+D232</f>
        <v>2040.3</v>
      </c>
      <c r="H232" s="8" t="n">
        <f aca="false">H231+D232</f>
        <v>219.1</v>
      </c>
      <c r="J232" s="8" t="n">
        <v>0</v>
      </c>
      <c r="K232" s="8" t="n">
        <f aca="false">K231+J232</f>
        <v>573.3</v>
      </c>
      <c r="L232" s="8" t="n">
        <v>3.2</v>
      </c>
      <c r="M232" s="8" t="n">
        <f aca="false">M231+L232</f>
        <v>324.9</v>
      </c>
      <c r="N232" s="14" t="n">
        <f aca="false">J232-L232</f>
        <v>-3.2</v>
      </c>
      <c r="O232" s="8" t="n">
        <v>73.6</v>
      </c>
      <c r="P232" s="8" t="n">
        <v>227</v>
      </c>
      <c r="Q232" s="8" t="n">
        <v>1.15</v>
      </c>
      <c r="R232" s="15" t="n">
        <f aca="false">Q232*L232</f>
        <v>3.68</v>
      </c>
      <c r="S232" s="15" t="n">
        <f aca="false">J232-R232</f>
        <v>-3.68</v>
      </c>
      <c r="T232" s="15" t="n">
        <f aca="false">MIN(153.6,(T231+S232))</f>
        <v>58.4703271028037</v>
      </c>
      <c r="V232" s="8" t="n">
        <v>1698.5</v>
      </c>
      <c r="W232" s="8" t="n">
        <f aca="false">V232/D232</f>
        <v>155.825688073395</v>
      </c>
      <c r="X232" s="8" t="n">
        <f aca="false">X231+V232</f>
        <v>141889.6</v>
      </c>
      <c r="Y232" s="8" t="n">
        <f aca="false">Y231+V232</f>
        <v>26493.9</v>
      </c>
      <c r="AA232" s="8" t="n">
        <v>13.995630765292</v>
      </c>
    </row>
    <row r="233" s="8" customFormat="true" ht="15" hidden="false" customHeight="false" outlineLevel="0" collapsed="false">
      <c r="A233" s="63"/>
      <c r="C233" s="11" t="n">
        <v>41749</v>
      </c>
      <c r="D233" s="8" t="n">
        <v>14.3</v>
      </c>
      <c r="E233" s="8" t="n">
        <v>11.5</v>
      </c>
      <c r="F233" s="8" t="n">
        <v>17.2</v>
      </c>
      <c r="G233" s="8" t="n">
        <f aca="false">G232+D233</f>
        <v>2054.6</v>
      </c>
      <c r="H233" s="8" t="n">
        <f aca="false">H232+D233</f>
        <v>233.4</v>
      </c>
      <c r="J233" s="8" t="n">
        <v>1.2</v>
      </c>
      <c r="K233" s="8" t="n">
        <f aca="false">K232+J233</f>
        <v>574.500000000001</v>
      </c>
      <c r="L233" s="8" t="n">
        <v>2.3</v>
      </c>
      <c r="M233" s="8" t="n">
        <f aca="false">M232+L233</f>
        <v>327.2</v>
      </c>
      <c r="N233" s="14" t="n">
        <f aca="false">J233-L233</f>
        <v>-1.1</v>
      </c>
      <c r="O233" s="8" t="n">
        <v>72.5</v>
      </c>
      <c r="P233" s="8" t="n">
        <v>228</v>
      </c>
      <c r="Q233" s="8" t="n">
        <v>1.15</v>
      </c>
      <c r="R233" s="15" t="n">
        <f aca="false">Q233*L233</f>
        <v>2.645</v>
      </c>
      <c r="S233" s="15" t="n">
        <f aca="false">J233-R233</f>
        <v>-1.445</v>
      </c>
      <c r="T233" s="15" t="n">
        <f aca="false">MIN(153.6,(T232+S233))</f>
        <v>57.0253271028037</v>
      </c>
      <c r="V233" s="16" t="n">
        <v>661.9</v>
      </c>
      <c r="W233" s="8" t="n">
        <f aca="false">V233/D233</f>
        <v>46.2867132867133</v>
      </c>
      <c r="X233" s="8" t="n">
        <f aca="false">X232+V233</f>
        <v>142551.5</v>
      </c>
      <c r="Y233" s="8" t="n">
        <f aca="false">Y232+V233</f>
        <v>27155.8</v>
      </c>
      <c r="AA233" s="8" t="n">
        <v>14.0565745993449</v>
      </c>
    </row>
    <row r="234" s="23" customFormat="true" ht="15" hidden="false" customHeight="false" outlineLevel="0" collapsed="false">
      <c r="A234" s="66" t="s">
        <v>55</v>
      </c>
      <c r="C234" s="58" t="n">
        <v>41750</v>
      </c>
      <c r="D234" s="23" t="n">
        <v>12.9</v>
      </c>
      <c r="E234" s="23" t="n">
        <v>9.6</v>
      </c>
      <c r="F234" s="23" t="n">
        <v>19.6</v>
      </c>
      <c r="G234" s="23" t="n">
        <f aca="false">G233+D234</f>
        <v>2067.5</v>
      </c>
      <c r="H234" s="23" t="n">
        <f aca="false">H233+D234</f>
        <v>246.3</v>
      </c>
      <c r="J234" s="23" t="n">
        <v>17.1</v>
      </c>
      <c r="K234" s="23" t="n">
        <f aca="false">K233+J234</f>
        <v>591.600000000001</v>
      </c>
      <c r="L234" s="23" t="n">
        <v>3.3</v>
      </c>
      <c r="M234" s="23" t="n">
        <f aca="false">M233+L234</f>
        <v>330.5</v>
      </c>
      <c r="N234" s="23" t="n">
        <f aca="false">J234-L234</f>
        <v>13.8</v>
      </c>
      <c r="O234" s="23" t="n">
        <v>86.3</v>
      </c>
      <c r="P234" s="23" t="n">
        <v>229</v>
      </c>
      <c r="Q234" s="23" t="n">
        <v>1.15</v>
      </c>
      <c r="R234" s="25" t="n">
        <f aca="false">Q234*L234</f>
        <v>3.795</v>
      </c>
      <c r="S234" s="25" t="n">
        <f aca="false">J234-R234</f>
        <v>13.305</v>
      </c>
      <c r="T234" s="25" t="n">
        <f aca="false">MIN(153.6,(T233+S234))</f>
        <v>70.3303271028037</v>
      </c>
      <c r="V234" s="23" t="n">
        <v>1607.5</v>
      </c>
      <c r="W234" s="23" t="n">
        <f aca="false">V234/D234</f>
        <v>124.612403100775</v>
      </c>
      <c r="X234" s="23" t="n">
        <f aca="false">X233+V234</f>
        <v>144159</v>
      </c>
      <c r="Y234" s="23" t="n">
        <f aca="false">Y233+V234</f>
        <v>28763.3</v>
      </c>
      <c r="AA234" s="23" t="n">
        <v>14.1172613900444</v>
      </c>
    </row>
    <row r="235" s="49" customFormat="true" ht="15" hidden="false" customHeight="false" outlineLevel="0" collapsed="false">
      <c r="A235" s="67" t="n">
        <v>300</v>
      </c>
      <c r="C235" s="48" t="n">
        <v>41751</v>
      </c>
      <c r="D235" s="49" t="n">
        <v>13.3</v>
      </c>
      <c r="E235" s="49" t="n">
        <v>9.7</v>
      </c>
      <c r="F235" s="49" t="n">
        <v>16.6</v>
      </c>
      <c r="G235" s="49" t="n">
        <f aca="false">G234+D235</f>
        <v>2080.8</v>
      </c>
      <c r="H235" s="49" t="n">
        <f aca="false">D235</f>
        <v>13.3</v>
      </c>
      <c r="J235" s="49" t="n">
        <v>6.3</v>
      </c>
      <c r="K235" s="49" t="n">
        <f aca="false">K234+J235</f>
        <v>597.9</v>
      </c>
      <c r="L235" s="49" t="n">
        <v>2.7</v>
      </c>
      <c r="M235" s="49" t="n">
        <f aca="false">M234+L235</f>
        <v>333.2</v>
      </c>
      <c r="N235" s="49" t="n">
        <f aca="false">J235-L235</f>
        <v>3.6</v>
      </c>
      <c r="O235" s="49" t="n">
        <v>89.9</v>
      </c>
      <c r="P235" s="49" t="n">
        <v>230</v>
      </c>
      <c r="Q235" s="49" t="n">
        <v>1.15</v>
      </c>
      <c r="R235" s="52" t="n">
        <f aca="false">Q235*L235</f>
        <v>3.105</v>
      </c>
      <c r="S235" s="52" t="n">
        <f aca="false">J235-R235</f>
        <v>3.195</v>
      </c>
      <c r="T235" s="52" t="n">
        <f aca="false">MIN(153.6,(T234+S235))</f>
        <v>73.5253271028037</v>
      </c>
      <c r="V235" s="49" t="n">
        <v>1474.7</v>
      </c>
      <c r="W235" s="49" t="n">
        <f aca="false">V235/D235</f>
        <v>110.87969924812</v>
      </c>
      <c r="X235" s="49" t="n">
        <f aca="false">X234+V235</f>
        <v>145633.7</v>
      </c>
      <c r="Y235" s="49" t="n">
        <f aca="false">V235</f>
        <v>1474.7</v>
      </c>
      <c r="AA235" s="49" t="n">
        <v>14.1776776674823</v>
      </c>
    </row>
    <row r="236" s="8" customFormat="true" ht="15" hidden="false" customHeight="true" outlineLevel="0" collapsed="false">
      <c r="A236" s="67"/>
      <c r="B236" s="54"/>
      <c r="C236" s="11" t="n">
        <v>41752</v>
      </c>
      <c r="D236" s="8" t="n">
        <v>13.4</v>
      </c>
      <c r="E236" s="8" t="n">
        <v>6.8</v>
      </c>
      <c r="F236" s="8" t="n">
        <v>18.1</v>
      </c>
      <c r="G236" s="8" t="n">
        <f aca="false">G235+D236</f>
        <v>2094.2</v>
      </c>
      <c r="H236" s="8" t="n">
        <f aca="false">H235+D236</f>
        <v>26.7</v>
      </c>
      <c r="I236" s="68" t="s">
        <v>27</v>
      </c>
      <c r="J236" s="8" t="n">
        <v>0</v>
      </c>
      <c r="K236" s="8" t="n">
        <f aca="false">K235+J236</f>
        <v>597.9</v>
      </c>
      <c r="L236" s="8" t="n">
        <v>2.1</v>
      </c>
      <c r="M236" s="8" t="n">
        <f aca="false">M235+L236</f>
        <v>335.3</v>
      </c>
      <c r="N236" s="14" t="n">
        <f aca="false">J236-L236</f>
        <v>-2.1</v>
      </c>
      <c r="O236" s="8" t="n">
        <v>87.8</v>
      </c>
      <c r="P236" s="8" t="n">
        <v>231</v>
      </c>
      <c r="Q236" s="8" t="n">
        <v>1.15</v>
      </c>
      <c r="R236" s="15" t="n">
        <f aca="false">Q236*L236</f>
        <v>2.415</v>
      </c>
      <c r="S236" s="15" t="n">
        <f aca="false">J236-R236</f>
        <v>-2.415</v>
      </c>
      <c r="T236" s="15" t="n">
        <f aca="false">MIN(153.6,(T235+S236))</f>
        <v>71.1103271028037</v>
      </c>
      <c r="U236" s="68" t="s">
        <v>28</v>
      </c>
      <c r="V236" s="8" t="n">
        <v>1439.7</v>
      </c>
      <c r="W236" s="8" t="n">
        <f aca="false">V236/D236</f>
        <v>107.440298507463</v>
      </c>
      <c r="X236" s="8" t="n">
        <f aca="false">X235+V236</f>
        <v>147073.4</v>
      </c>
      <c r="Y236" s="8" t="n">
        <f aca="false">Y235+V236</f>
        <v>2914.4</v>
      </c>
      <c r="Z236" s="68" t="s">
        <v>29</v>
      </c>
      <c r="AA236" s="8" t="n">
        <v>14.2378094327304</v>
      </c>
    </row>
    <row r="237" s="8" customFormat="true" ht="15" hidden="false" customHeight="false" outlineLevel="0" collapsed="false">
      <c r="A237" s="67"/>
      <c r="B237" s="54"/>
      <c r="C237" s="11" t="n">
        <v>41753</v>
      </c>
      <c r="D237" s="8" t="n">
        <v>14</v>
      </c>
      <c r="E237" s="8" t="n">
        <v>11.3</v>
      </c>
      <c r="F237" s="8" t="n">
        <v>16.2</v>
      </c>
      <c r="G237" s="8" t="n">
        <f aca="false">G236+D237</f>
        <v>2108.2</v>
      </c>
      <c r="H237" s="8" t="n">
        <f aca="false">H236+D237</f>
        <v>40.7</v>
      </c>
      <c r="I237" s="8" t="n">
        <f aca="false">MIN(E235:E259)</f>
        <v>5.7</v>
      </c>
      <c r="J237" s="8" t="n">
        <v>2.3</v>
      </c>
      <c r="K237" s="8" t="n">
        <f aca="false">K236+J237</f>
        <v>600.2</v>
      </c>
      <c r="L237" s="8" t="n">
        <v>1.2</v>
      </c>
      <c r="M237" s="8" t="n">
        <f aca="false">M236+L237</f>
        <v>336.5</v>
      </c>
      <c r="N237" s="8" t="n">
        <f aca="false">J237-L237</f>
        <v>1.1</v>
      </c>
      <c r="O237" s="8" t="n">
        <v>88.9</v>
      </c>
      <c r="P237" s="8" t="n">
        <v>232</v>
      </c>
      <c r="Q237" s="8" t="n">
        <v>1.15</v>
      </c>
      <c r="R237" s="15" t="n">
        <f aca="false">Q237*L237</f>
        <v>1.38</v>
      </c>
      <c r="S237" s="15" t="n">
        <f aca="false">J237-R237</f>
        <v>0.92</v>
      </c>
      <c r="T237" s="15" t="n">
        <f aca="false">MIN(153.6,(T236+S237))</f>
        <v>72.0303271028037</v>
      </c>
      <c r="U237" s="8" t="n">
        <v>18</v>
      </c>
      <c r="V237" s="16" t="n">
        <v>757.1</v>
      </c>
      <c r="W237" s="8" t="n">
        <f aca="false">V237/D237</f>
        <v>54.0785714285714</v>
      </c>
      <c r="X237" s="8" t="n">
        <f aca="false">X236+V237</f>
        <v>147830.5</v>
      </c>
      <c r="Y237" s="8" t="n">
        <f aca="false">Y236+V237</f>
        <v>3671.5</v>
      </c>
      <c r="Z237" s="8" t="n">
        <v>36014.1</v>
      </c>
      <c r="AA237" s="8" t="n">
        <v>14.2976421435191</v>
      </c>
    </row>
    <row r="238" s="8" customFormat="true" ht="15" hidden="false" customHeight="false" outlineLevel="0" collapsed="false">
      <c r="A238" s="67"/>
      <c r="B238" s="54"/>
      <c r="C238" s="11" t="n">
        <v>41754</v>
      </c>
      <c r="D238" s="8" t="n">
        <v>13.8</v>
      </c>
      <c r="E238" s="8" t="n">
        <v>12.3</v>
      </c>
      <c r="F238" s="8" t="n">
        <v>18.4</v>
      </c>
      <c r="G238" s="8" t="n">
        <f aca="false">G237+D238</f>
        <v>2122</v>
      </c>
      <c r="H238" s="8" t="n">
        <f aca="false">H237+D238</f>
        <v>54.5</v>
      </c>
      <c r="I238" s="68" t="s">
        <v>30</v>
      </c>
      <c r="J238" s="8" t="n">
        <v>0.6</v>
      </c>
      <c r="K238" s="8" t="n">
        <f aca="false">K237+J238</f>
        <v>600.8</v>
      </c>
      <c r="L238" s="8" t="n">
        <v>1.8</v>
      </c>
      <c r="M238" s="8" t="n">
        <f aca="false">M237+L238</f>
        <v>338.3</v>
      </c>
      <c r="N238" s="14" t="n">
        <f aca="false">J238-L238</f>
        <v>-1.2</v>
      </c>
      <c r="O238" s="8" t="n">
        <v>87.7</v>
      </c>
      <c r="P238" s="8" t="n">
        <v>233</v>
      </c>
      <c r="Q238" s="8" t="n">
        <v>1.15</v>
      </c>
      <c r="R238" s="15" t="n">
        <f aca="false">Q238*L238</f>
        <v>2.07</v>
      </c>
      <c r="S238" s="15" t="n">
        <f aca="false">J238-R238</f>
        <v>-1.47</v>
      </c>
      <c r="T238" s="15" t="n">
        <f aca="false">MIN(153.6,(T237+S238))</f>
        <v>70.5603271028037</v>
      </c>
      <c r="U238" s="68" t="s">
        <v>31</v>
      </c>
      <c r="V238" s="16" t="n">
        <v>756.6</v>
      </c>
      <c r="W238" s="8" t="n">
        <f aca="false">V238/D238</f>
        <v>54.8260869565217</v>
      </c>
      <c r="X238" s="8" t="n">
        <f aca="false">X237+V238</f>
        <v>148587.1</v>
      </c>
      <c r="Y238" s="8" t="n">
        <f aca="false">Y237+V238</f>
        <v>4428.1</v>
      </c>
      <c r="Z238" s="68" t="s">
        <v>32</v>
      </c>
      <c r="AA238" s="8" t="n">
        <v>14.3571607006006</v>
      </c>
    </row>
    <row r="239" s="8" customFormat="true" ht="15" hidden="false" customHeight="false" outlineLevel="0" collapsed="false">
      <c r="A239" s="67"/>
      <c r="B239" s="54"/>
      <c r="C239" s="11" t="n">
        <v>41755</v>
      </c>
      <c r="D239" s="8" t="n">
        <v>10.3</v>
      </c>
      <c r="E239" s="8" t="n">
        <v>8.1</v>
      </c>
      <c r="F239" s="8" t="n">
        <v>11.9</v>
      </c>
      <c r="G239" s="8" t="n">
        <f aca="false">G238+D239</f>
        <v>2132.3</v>
      </c>
      <c r="H239" s="8" t="n">
        <f aca="false">H238+D239</f>
        <v>64.8</v>
      </c>
      <c r="I239" s="8" t="n">
        <f aca="false">MAX(F235:F259)</f>
        <v>19.2</v>
      </c>
      <c r="J239" s="8" t="n">
        <v>2.2</v>
      </c>
      <c r="K239" s="8" t="n">
        <f aca="false">K238+J239</f>
        <v>603.000000000001</v>
      </c>
      <c r="L239" s="8" t="n">
        <v>1.1</v>
      </c>
      <c r="M239" s="8" t="n">
        <f aca="false">M238+L239</f>
        <v>339.4</v>
      </c>
      <c r="N239" s="8" t="n">
        <f aca="false">J239-L239</f>
        <v>1.1</v>
      </c>
      <c r="O239" s="8" t="n">
        <v>88.8</v>
      </c>
      <c r="P239" s="8" t="n">
        <v>234</v>
      </c>
      <c r="Q239" s="8" t="n">
        <v>1.15</v>
      </c>
      <c r="R239" s="15" t="n">
        <f aca="false">Q239*L239</f>
        <v>1.265</v>
      </c>
      <c r="S239" s="15" t="n">
        <f aca="false">J239-R239</f>
        <v>0.935</v>
      </c>
      <c r="T239" s="15" t="n">
        <f aca="false">MIN(153.6,(T238+S239))</f>
        <v>71.4953271028037</v>
      </c>
      <c r="U239" s="8" t="n">
        <v>0</v>
      </c>
      <c r="V239" s="16" t="n">
        <v>678.9</v>
      </c>
      <c r="W239" s="8" t="n">
        <f aca="false">V239/D239</f>
        <v>65.9126213592233</v>
      </c>
      <c r="X239" s="8" t="n">
        <f aca="false">X238+V239</f>
        <v>149266</v>
      </c>
      <c r="Y239" s="8" t="n">
        <f aca="false">Y238+V239</f>
        <v>5107</v>
      </c>
      <c r="Z239" s="17" t="n">
        <f aca="false">(Z237/100)/I249</f>
        <v>1.17080949284785</v>
      </c>
      <c r="AA239" s="8" t="n">
        <v>14.4163494348774</v>
      </c>
    </row>
    <row r="240" s="8" customFormat="true" ht="15" hidden="false" customHeight="false" outlineLevel="0" collapsed="false">
      <c r="A240" s="67"/>
      <c r="B240" s="54"/>
      <c r="C240" s="11" t="n">
        <v>41756</v>
      </c>
      <c r="D240" s="8" t="n">
        <v>10.8</v>
      </c>
      <c r="E240" s="8" t="n">
        <v>7.6</v>
      </c>
      <c r="F240" s="8" t="n">
        <v>13.5</v>
      </c>
      <c r="G240" s="8" t="n">
        <f aca="false">G239+D240</f>
        <v>2143.1</v>
      </c>
      <c r="H240" s="8" t="n">
        <f aca="false">H239+D240</f>
        <v>75.6</v>
      </c>
      <c r="I240" s="68" t="s">
        <v>33</v>
      </c>
      <c r="J240" s="8" t="n">
        <v>0.3</v>
      </c>
      <c r="K240" s="8" t="n">
        <f aca="false">K239+J240</f>
        <v>603.3</v>
      </c>
      <c r="L240" s="8" t="n">
        <v>1.8</v>
      </c>
      <c r="M240" s="8" t="n">
        <f aca="false">M239+L240</f>
        <v>341.2</v>
      </c>
      <c r="N240" s="14" t="n">
        <f aca="false">J240-L240</f>
        <v>-1.5</v>
      </c>
      <c r="O240" s="8" t="n">
        <v>87.3</v>
      </c>
      <c r="P240" s="8" t="n">
        <v>235</v>
      </c>
      <c r="Q240" s="8" t="n">
        <v>1.15</v>
      </c>
      <c r="R240" s="15" t="n">
        <f aca="false">Q240*L240</f>
        <v>2.07</v>
      </c>
      <c r="S240" s="15" t="n">
        <f aca="false">J240-R240</f>
        <v>-1.77</v>
      </c>
      <c r="T240" s="15" t="n">
        <f aca="false">MIN(153.6,(T239+S240))</f>
        <v>69.7253271028037</v>
      </c>
      <c r="U240" s="68" t="s">
        <v>34</v>
      </c>
      <c r="V240" s="8" t="n">
        <v>1118.1</v>
      </c>
      <c r="W240" s="8" t="n">
        <f aca="false">V240/D240</f>
        <v>103.527777777778</v>
      </c>
      <c r="X240" s="8" t="n">
        <f aca="false">X239+V240</f>
        <v>150384.1</v>
      </c>
      <c r="Y240" s="8" t="n">
        <f aca="false">Y239+V240</f>
        <v>6225.1</v>
      </c>
      <c r="Z240" s="68" t="s">
        <v>35</v>
      </c>
      <c r="AA240" s="8" t="n">
        <v>14.475192095382</v>
      </c>
    </row>
    <row r="241" s="8" customFormat="true" ht="15" hidden="false" customHeight="false" outlineLevel="0" collapsed="false">
      <c r="A241" s="67"/>
      <c r="B241" s="54"/>
      <c r="C241" s="11" t="n">
        <v>41757</v>
      </c>
      <c r="D241" s="8" t="n">
        <v>12.2</v>
      </c>
      <c r="E241" s="8" t="n">
        <v>8.2</v>
      </c>
      <c r="F241" s="8" t="n">
        <v>15.9</v>
      </c>
      <c r="G241" s="8" t="n">
        <f aca="false">G240+D241</f>
        <v>2155.3</v>
      </c>
      <c r="H241" s="8" t="n">
        <f aca="false">H240+D241</f>
        <v>87.8</v>
      </c>
      <c r="I241" s="15" t="n">
        <f aca="false">AVERAGE(D235:D259)</f>
        <v>12.304</v>
      </c>
      <c r="J241" s="8" t="n">
        <v>0</v>
      </c>
      <c r="K241" s="8" t="n">
        <f aca="false">K240+J241</f>
        <v>603.3</v>
      </c>
      <c r="L241" s="8" t="n">
        <v>2.2</v>
      </c>
      <c r="M241" s="8" t="n">
        <f aca="false">M240+L241</f>
        <v>343.4</v>
      </c>
      <c r="N241" s="14" t="n">
        <f aca="false">J241-L241</f>
        <v>-2.2</v>
      </c>
      <c r="O241" s="8" t="n">
        <v>85.1</v>
      </c>
      <c r="P241" s="8" t="n">
        <v>236</v>
      </c>
      <c r="Q241" s="8" t="n">
        <v>1.15</v>
      </c>
      <c r="R241" s="15" t="n">
        <f aca="false">Q241*L241</f>
        <v>2.53</v>
      </c>
      <c r="S241" s="15" t="n">
        <f aca="false">J241-R241</f>
        <v>-2.53</v>
      </c>
      <c r="T241" s="15" t="n">
        <f aca="false">MIN(153.6,(T240+S241))</f>
        <v>67.1953271028037</v>
      </c>
      <c r="U241" s="8" t="n">
        <v>5</v>
      </c>
      <c r="V241" s="8" t="n">
        <v>1291.7</v>
      </c>
      <c r="W241" s="8" t="n">
        <f aca="false">V241/D241</f>
        <v>105.877049180328</v>
      </c>
      <c r="X241" s="8" t="n">
        <f aca="false">X240+V241</f>
        <v>151675.8</v>
      </c>
      <c r="Y241" s="8" t="n">
        <f aca="false">Y240+V241</f>
        <v>7516.8</v>
      </c>
      <c r="Z241" s="8" t="n">
        <v>6</v>
      </c>
      <c r="AA241" s="8" t="n">
        <v>14.5336718382007</v>
      </c>
    </row>
    <row r="242" s="8" customFormat="true" ht="15" hidden="false" customHeight="false" outlineLevel="0" collapsed="false">
      <c r="A242" s="67"/>
      <c r="B242" s="54"/>
      <c r="C242" s="11" t="n">
        <v>41758</v>
      </c>
      <c r="D242" s="8" t="n">
        <v>13.1</v>
      </c>
      <c r="E242" s="8" t="n">
        <v>10.3</v>
      </c>
      <c r="F242" s="8" t="n">
        <v>16.7</v>
      </c>
      <c r="G242" s="8" t="n">
        <f aca="false">G241+D242</f>
        <v>2168.4</v>
      </c>
      <c r="H242" s="8" t="n">
        <f aca="false">H241+D242</f>
        <v>100.9</v>
      </c>
      <c r="I242" s="68" t="s">
        <v>36</v>
      </c>
      <c r="J242" s="8" t="n">
        <v>0.6</v>
      </c>
      <c r="K242" s="8" t="n">
        <f aca="false">K241+J242</f>
        <v>603.9</v>
      </c>
      <c r="L242" s="8" t="n">
        <v>1.7</v>
      </c>
      <c r="M242" s="8" t="n">
        <f aca="false">M241+L242</f>
        <v>345.1</v>
      </c>
      <c r="N242" s="14" t="n">
        <f aca="false">J242-L242</f>
        <v>-1.1</v>
      </c>
      <c r="O242" s="8" t="n">
        <v>84</v>
      </c>
      <c r="P242" s="8" t="n">
        <v>237</v>
      </c>
      <c r="Q242" s="8" t="n">
        <v>1.15</v>
      </c>
      <c r="R242" s="15" t="n">
        <f aca="false">Q242*L242</f>
        <v>1.955</v>
      </c>
      <c r="S242" s="15" t="n">
        <f aca="false">J242-R242</f>
        <v>-1.355</v>
      </c>
      <c r="T242" s="15" t="n">
        <f aca="false">MIN(153.6,(T241+S242))</f>
        <v>65.8403271028037</v>
      </c>
      <c r="U242" s="68" t="s">
        <v>37</v>
      </c>
      <c r="V242" s="8" t="n">
        <v>977.1</v>
      </c>
      <c r="W242" s="8" t="n">
        <f aca="false">V242/D242</f>
        <v>74.587786259542</v>
      </c>
      <c r="X242" s="8" t="n">
        <f aca="false">X241+V242</f>
        <v>152652.9</v>
      </c>
      <c r="Y242" s="8" t="n">
        <f aca="false">Y241+V242</f>
        <v>8493.9</v>
      </c>
      <c r="AA242" s="8" t="n">
        <v>14.5917712164388</v>
      </c>
    </row>
    <row r="243" s="8" customFormat="true" ht="15" hidden="false" customHeight="false" outlineLevel="0" collapsed="false">
      <c r="A243" s="67"/>
      <c r="B243" s="54"/>
      <c r="C243" s="11" t="n">
        <v>41759</v>
      </c>
      <c r="D243" s="8" t="n">
        <v>12.9</v>
      </c>
      <c r="E243" s="8" t="n">
        <v>10</v>
      </c>
      <c r="F243" s="8" t="n">
        <v>15.9</v>
      </c>
      <c r="G243" s="8" t="n">
        <f aca="false">G242+D243</f>
        <v>2181.3</v>
      </c>
      <c r="H243" s="8" t="n">
        <f aca="false">H242+D243</f>
        <v>113.8</v>
      </c>
      <c r="I243" s="8" t="n">
        <v>0</v>
      </c>
      <c r="J243" s="8" t="n">
        <v>0</v>
      </c>
      <c r="K243" s="8" t="n">
        <f aca="false">K242+J243</f>
        <v>603.9</v>
      </c>
      <c r="L243" s="8" t="n">
        <v>3</v>
      </c>
      <c r="M243" s="8" t="n">
        <f aca="false">M242+L243</f>
        <v>348.1</v>
      </c>
      <c r="N243" s="14" t="n">
        <f aca="false">J243-L243</f>
        <v>-3</v>
      </c>
      <c r="O243" s="8" t="n">
        <v>81</v>
      </c>
      <c r="P243" s="8" t="n">
        <v>238</v>
      </c>
      <c r="Q243" s="8" t="n">
        <v>1.15</v>
      </c>
      <c r="R243" s="15" t="n">
        <f aca="false">Q243*L243</f>
        <v>3.45</v>
      </c>
      <c r="S243" s="15" t="n">
        <f aca="false">J243-R243</f>
        <v>-3.45</v>
      </c>
      <c r="T243" s="15" t="n">
        <f aca="false">MIN(153.6,(T242+S243))</f>
        <v>62.3903271028037</v>
      </c>
      <c r="U243" s="15" t="n">
        <f aca="false">MIN(T235:T259)</f>
        <v>45.5203271028037</v>
      </c>
      <c r="V243" s="8" t="n">
        <v>2006.8</v>
      </c>
      <c r="W243" s="8" t="n">
        <f aca="false">V243/D243</f>
        <v>155.565891472868</v>
      </c>
      <c r="X243" s="8" t="n">
        <f aca="false">X242+V243</f>
        <v>154659.7</v>
      </c>
      <c r="Y243" s="8" t="n">
        <f aca="false">Y242+V243</f>
        <v>10500.7</v>
      </c>
      <c r="AA243" s="8" t="n">
        <v>14.6494721713323</v>
      </c>
    </row>
    <row r="244" s="8" customFormat="true" ht="15" hidden="false" customHeight="false" outlineLevel="0" collapsed="false">
      <c r="A244" s="67"/>
      <c r="B244" s="54"/>
      <c r="C244" s="11" t="n">
        <v>41760</v>
      </c>
      <c r="D244" s="8" t="n">
        <v>13</v>
      </c>
      <c r="E244" s="8" t="n">
        <v>8.9</v>
      </c>
      <c r="F244" s="8" t="n">
        <v>19</v>
      </c>
      <c r="G244" s="8" t="n">
        <f aca="false">G243+D244</f>
        <v>2194.3</v>
      </c>
      <c r="H244" s="8" t="n">
        <f aca="false">H243+D244</f>
        <v>126.8</v>
      </c>
      <c r="I244" s="68" t="s">
        <v>38</v>
      </c>
      <c r="J244" s="8" t="n">
        <v>3.9</v>
      </c>
      <c r="K244" s="8" t="n">
        <f aca="false">K243+J244</f>
        <v>607.8</v>
      </c>
      <c r="L244" s="8" t="n">
        <v>3</v>
      </c>
      <c r="M244" s="8" t="n">
        <f aca="false">M243+L244</f>
        <v>351.1</v>
      </c>
      <c r="N244" s="8" t="n">
        <f aca="false">J244-L244</f>
        <v>0.9</v>
      </c>
      <c r="O244" s="8" t="n">
        <v>81.9</v>
      </c>
      <c r="P244" s="8" t="n">
        <v>239</v>
      </c>
      <c r="Q244" s="8" t="n">
        <v>1.15</v>
      </c>
      <c r="R244" s="15" t="n">
        <f aca="false">Q244*L244</f>
        <v>3.45</v>
      </c>
      <c r="S244" s="15" t="n">
        <f aca="false">J244-R244</f>
        <v>0.45</v>
      </c>
      <c r="T244" s="15" t="n">
        <f aca="false">MIN(153.6,(T243+S244))</f>
        <v>62.8403271028037</v>
      </c>
      <c r="U244" s="68" t="s">
        <v>39</v>
      </c>
      <c r="V244" s="8" t="n">
        <v>1392.5</v>
      </c>
      <c r="W244" s="8" t="n">
        <f aca="false">V244/D244</f>
        <v>107.115384615385</v>
      </c>
      <c r="X244" s="8" t="n">
        <f aca="false">X243+V244</f>
        <v>156052.2</v>
      </c>
      <c r="Y244" s="8" t="n">
        <f aca="false">Y243+V244</f>
        <v>11893.2</v>
      </c>
      <c r="AA244" s="8" t="n">
        <v>14.7067560246155</v>
      </c>
    </row>
    <row r="245" s="8" customFormat="true" ht="15" hidden="false" customHeight="false" outlineLevel="0" collapsed="false">
      <c r="A245" s="67"/>
      <c r="B245" s="54"/>
      <c r="C245" s="11" t="n">
        <v>41761</v>
      </c>
      <c r="D245" s="8" t="n">
        <v>11.9</v>
      </c>
      <c r="E245" s="8" t="n">
        <v>11.5</v>
      </c>
      <c r="F245" s="8" t="n">
        <v>14.4</v>
      </c>
      <c r="G245" s="8" t="n">
        <f aca="false">G244+D245</f>
        <v>2206.2</v>
      </c>
      <c r="H245" s="8" t="n">
        <f aca="false">H244+D245</f>
        <v>138.7</v>
      </c>
      <c r="I245" s="8" t="n">
        <v>0</v>
      </c>
      <c r="J245" s="8" t="n">
        <v>0</v>
      </c>
      <c r="K245" s="8" t="n">
        <f aca="false">K244+J245</f>
        <v>607.8</v>
      </c>
      <c r="L245" s="8" t="n">
        <v>2.4</v>
      </c>
      <c r="M245" s="8" t="n">
        <f aca="false">M244+L245</f>
        <v>353.5</v>
      </c>
      <c r="N245" s="14" t="n">
        <f aca="false">J245-L245</f>
        <v>-2.4</v>
      </c>
      <c r="O245" s="8" t="n">
        <v>79.5</v>
      </c>
      <c r="P245" s="8" t="n">
        <v>240</v>
      </c>
      <c r="Q245" s="8" t="n">
        <v>1.15</v>
      </c>
      <c r="R245" s="15" t="n">
        <f aca="false">Q245*L245</f>
        <v>2.76</v>
      </c>
      <c r="S245" s="15" t="n">
        <f aca="false">J245-R245</f>
        <v>-2.76</v>
      </c>
      <c r="T245" s="15" t="n">
        <f aca="false">MIN(153.6,(T244+S245))</f>
        <v>60.0803271028037</v>
      </c>
      <c r="U245" s="15" t="n">
        <f aca="false">MAX(T235:T259)</f>
        <v>73.5253271028037</v>
      </c>
      <c r="V245" s="16" t="n">
        <v>644.6</v>
      </c>
      <c r="W245" s="8" t="n">
        <f aca="false">V245/D245</f>
        <v>54.1680672268908</v>
      </c>
      <c r="X245" s="8" t="n">
        <f aca="false">X244+V245</f>
        <v>156696.8</v>
      </c>
      <c r="Y245" s="8" t="n">
        <f aca="false">Y244+V245</f>
        <v>12537.8</v>
      </c>
      <c r="AA245" s="8" t="n">
        <v>14.7636034722596</v>
      </c>
    </row>
    <row r="246" s="8" customFormat="true" ht="15" hidden="false" customHeight="false" outlineLevel="0" collapsed="false">
      <c r="A246" s="67"/>
      <c r="B246" s="54"/>
      <c r="C246" s="11" t="n">
        <v>41762</v>
      </c>
      <c r="D246" s="8" t="n">
        <v>9.8</v>
      </c>
      <c r="E246" s="8" t="n">
        <v>7.7</v>
      </c>
      <c r="F246" s="8" t="n">
        <v>12.6</v>
      </c>
      <c r="G246" s="8" t="n">
        <f aca="false">G245+D246</f>
        <v>2216</v>
      </c>
      <c r="H246" s="8" t="n">
        <f aca="false">H245+D246</f>
        <v>148.5</v>
      </c>
      <c r="I246" s="68" t="s">
        <v>40</v>
      </c>
      <c r="J246" s="8" t="n">
        <v>0</v>
      </c>
      <c r="K246" s="8" t="n">
        <f aca="false">K245+J246</f>
        <v>607.8</v>
      </c>
      <c r="L246" s="8" t="n">
        <v>3.7</v>
      </c>
      <c r="M246" s="8" t="n">
        <f aca="false">M245+L246</f>
        <v>357.2</v>
      </c>
      <c r="N246" s="14" t="n">
        <f aca="false">J246-L246</f>
        <v>-3.7</v>
      </c>
      <c r="O246" s="8" t="n">
        <v>75.8</v>
      </c>
      <c r="P246" s="8" t="n">
        <v>241</v>
      </c>
      <c r="Q246" s="8" t="n">
        <v>1.15</v>
      </c>
      <c r="R246" s="15" t="n">
        <f aca="false">Q246*L246</f>
        <v>4.255</v>
      </c>
      <c r="S246" s="15" t="n">
        <f aca="false">J246-R246</f>
        <v>-4.255</v>
      </c>
      <c r="T246" s="15" t="n">
        <f aca="false">MIN(153.6,(T245+S246))</f>
        <v>55.8253271028037</v>
      </c>
      <c r="U246" s="68" t="s">
        <v>41</v>
      </c>
      <c r="V246" s="8" t="n">
        <v>2090</v>
      </c>
      <c r="W246" s="8" t="n">
        <f aca="false">V246/D246</f>
        <v>213.265306122449</v>
      </c>
      <c r="X246" s="8" t="n">
        <f aca="false">X245+V246</f>
        <v>158786.8</v>
      </c>
      <c r="Y246" s="8" t="n">
        <f aca="false">Y245+V246</f>
        <v>14627.8</v>
      </c>
      <c r="AA246" s="8" t="n">
        <v>14.8199945797039</v>
      </c>
    </row>
    <row r="247" s="8" customFormat="true" ht="15" hidden="false" customHeight="false" outlineLevel="0" collapsed="false">
      <c r="A247" s="67"/>
      <c r="B247" s="54"/>
      <c r="C247" s="11" t="n">
        <v>41763</v>
      </c>
      <c r="D247" s="8" t="n">
        <v>10.6</v>
      </c>
      <c r="E247" s="8" t="n">
        <v>5.7</v>
      </c>
      <c r="F247" s="8" t="n">
        <v>15</v>
      </c>
      <c r="G247" s="8" t="n">
        <f aca="false">G246+D247</f>
        <v>2226.6</v>
      </c>
      <c r="H247" s="8" t="n">
        <f aca="false">H246+D247</f>
        <v>159.1</v>
      </c>
      <c r="I247" s="8" t="n">
        <v>0</v>
      </c>
      <c r="J247" s="8" t="n">
        <v>0</v>
      </c>
      <c r="K247" s="8" t="n">
        <f aca="false">K246+J247</f>
        <v>607.8</v>
      </c>
      <c r="L247" s="8" t="n">
        <v>3.7</v>
      </c>
      <c r="M247" s="8" t="n">
        <f aca="false">M246+L247</f>
        <v>360.9</v>
      </c>
      <c r="N247" s="14" t="n">
        <f aca="false">J247-L247</f>
        <v>-3.7</v>
      </c>
      <c r="O247" s="8" t="n">
        <v>72.1</v>
      </c>
      <c r="P247" s="8" t="n">
        <v>242</v>
      </c>
      <c r="Q247" s="8" t="n">
        <v>1.15</v>
      </c>
      <c r="R247" s="15" t="n">
        <f aca="false">Q247*L247</f>
        <v>4.255</v>
      </c>
      <c r="S247" s="15" t="n">
        <f aca="false">J247-R247</f>
        <v>-4.255</v>
      </c>
      <c r="T247" s="15" t="n">
        <f aca="false">MIN(153.6,(T246+S247))</f>
        <v>51.5703271028037</v>
      </c>
      <c r="U247" s="17" t="n">
        <f aca="false">AVERAGE(T235:T259)</f>
        <v>59.8199271028037</v>
      </c>
      <c r="V247" s="8" t="n">
        <v>2580.8</v>
      </c>
      <c r="W247" s="8" t="n">
        <f aca="false">V247/D247</f>
        <v>243.471698113208</v>
      </c>
      <c r="X247" s="8" t="n">
        <f aca="false">X246+V247</f>
        <v>161367.6</v>
      </c>
      <c r="Y247" s="8" t="n">
        <f aca="false">Y246+V247</f>
        <v>17208.6</v>
      </c>
      <c r="AA247" s="8" t="n">
        <v>14.8759087787058</v>
      </c>
    </row>
    <row r="248" s="8" customFormat="true" ht="15" hidden="false" customHeight="false" outlineLevel="0" collapsed="false">
      <c r="A248" s="67"/>
      <c r="B248" s="54"/>
      <c r="C248" s="11" t="n">
        <v>41764</v>
      </c>
      <c r="D248" s="8" t="n">
        <v>13.9</v>
      </c>
      <c r="E248" s="8" t="n">
        <v>7.5</v>
      </c>
      <c r="F248" s="8" t="n">
        <v>18.9</v>
      </c>
      <c r="G248" s="8" t="n">
        <f aca="false">G247+D248</f>
        <v>2240.5</v>
      </c>
      <c r="H248" s="8" t="n">
        <f aca="false">H247+D248</f>
        <v>173</v>
      </c>
      <c r="I248" s="68" t="s">
        <v>42</v>
      </c>
      <c r="J248" s="8" t="n">
        <v>0</v>
      </c>
      <c r="K248" s="8" t="n">
        <f aca="false">K247+J248</f>
        <v>607.8</v>
      </c>
      <c r="L248" s="8" t="n">
        <v>3.6</v>
      </c>
      <c r="M248" s="8" t="n">
        <f aca="false">M247+L248</f>
        <v>364.5</v>
      </c>
      <c r="N248" s="14" t="n">
        <f aca="false">J248-L248</f>
        <v>-3.6</v>
      </c>
      <c r="O248" s="8" t="n">
        <v>68.5</v>
      </c>
      <c r="P248" s="8" t="n">
        <v>243</v>
      </c>
      <c r="Q248" s="8" t="n">
        <v>1.15</v>
      </c>
      <c r="R248" s="15" t="n">
        <f aca="false">Q248*L248</f>
        <v>4.14</v>
      </c>
      <c r="S248" s="15" t="n">
        <f aca="false">J248-R248</f>
        <v>-4.14</v>
      </c>
      <c r="T248" s="15" t="n">
        <f aca="false">MIN(153.6,(T247+S248))</f>
        <v>47.4303271028037</v>
      </c>
      <c r="V248" s="8" t="n">
        <v>2291.8</v>
      </c>
      <c r="W248" s="8" t="n">
        <f aca="false">V248/D248</f>
        <v>164.877697841727</v>
      </c>
      <c r="X248" s="8" t="n">
        <f aca="false">X247+V248</f>
        <v>163659.4</v>
      </c>
      <c r="Y248" s="8" t="n">
        <f aca="false">Y247+V248</f>
        <v>19500.4</v>
      </c>
      <c r="AA248" s="8" t="n">
        <v>14.9313248659396</v>
      </c>
    </row>
    <row r="249" s="8" customFormat="true" ht="15" hidden="false" customHeight="false" outlineLevel="0" collapsed="false">
      <c r="A249" s="67"/>
      <c r="B249" s="54"/>
      <c r="C249" s="11" t="n">
        <v>41765</v>
      </c>
      <c r="D249" s="8" t="n">
        <v>14.3</v>
      </c>
      <c r="E249" s="8" t="n">
        <v>11.9</v>
      </c>
      <c r="F249" s="8" t="n">
        <v>19.2</v>
      </c>
      <c r="G249" s="8" t="n">
        <f aca="false">G248+D249</f>
        <v>2254.8</v>
      </c>
      <c r="H249" s="8" t="n">
        <f aca="false">H248+D249</f>
        <v>187.3</v>
      </c>
      <c r="I249" s="8" t="n">
        <v>307.6</v>
      </c>
      <c r="J249" s="8" t="n">
        <v>7.2</v>
      </c>
      <c r="K249" s="8" t="n">
        <f aca="false">K248+J249</f>
        <v>615.000000000001</v>
      </c>
      <c r="L249" s="8" t="n">
        <v>3.3</v>
      </c>
      <c r="M249" s="8" t="n">
        <f aca="false">M248+L249</f>
        <v>367.8</v>
      </c>
      <c r="N249" s="8" t="n">
        <f aca="false">J249-L249</f>
        <v>3.9</v>
      </c>
      <c r="O249" s="8" t="n">
        <v>72.4</v>
      </c>
      <c r="P249" s="8" t="n">
        <v>244</v>
      </c>
      <c r="Q249" s="8" t="n">
        <v>1.15</v>
      </c>
      <c r="R249" s="15" t="n">
        <f aca="false">Q249*L249</f>
        <v>3.795</v>
      </c>
      <c r="S249" s="15" t="n">
        <f aca="false">J249-R249</f>
        <v>3.405</v>
      </c>
      <c r="T249" s="15" t="n">
        <f aca="false">MIN(153.6,(T248+S249))</f>
        <v>50.8353271028037</v>
      </c>
      <c r="U249" s="8" t="n">
        <f aca="false">(U247*100)/153.6</f>
        <v>38.9452650408878</v>
      </c>
      <c r="V249" s="8" t="n">
        <v>1206.8</v>
      </c>
      <c r="W249" s="8" t="n">
        <f aca="false">V249/D249</f>
        <v>84.3916083916084</v>
      </c>
      <c r="X249" s="8" t="n">
        <f aca="false">X248+V249</f>
        <v>164866.2</v>
      </c>
      <c r="Y249" s="8" t="n">
        <f aca="false">Y248+V249</f>
        <v>20707.2</v>
      </c>
      <c r="AA249" s="8" t="n">
        <v>14.9862210034795</v>
      </c>
    </row>
    <row r="250" s="49" customFormat="true" ht="15" hidden="false" customHeight="false" outlineLevel="0" collapsed="false">
      <c r="A250" s="67"/>
      <c r="B250" s="69"/>
      <c r="C250" s="11" t="n">
        <v>41766</v>
      </c>
      <c r="D250" s="49" t="n">
        <v>12.6</v>
      </c>
      <c r="E250" s="49" t="n">
        <v>10.3</v>
      </c>
      <c r="F250" s="49" t="n">
        <v>14.8</v>
      </c>
      <c r="G250" s="49" t="n">
        <f aca="false">G249+D250</f>
        <v>2267.4</v>
      </c>
      <c r="H250" s="49" t="n">
        <f aca="false">H249+D250</f>
        <v>199.9</v>
      </c>
      <c r="J250" s="49" t="n">
        <v>1.1</v>
      </c>
      <c r="K250" s="49" t="n">
        <f aca="false">K249+J250</f>
        <v>616.100000000001</v>
      </c>
      <c r="L250" s="49" t="n">
        <v>3.1</v>
      </c>
      <c r="M250" s="49" t="n">
        <f aca="false">M249+L250</f>
        <v>370.9</v>
      </c>
      <c r="N250" s="49" t="n">
        <f aca="false">J250-L250</f>
        <v>-2</v>
      </c>
      <c r="O250" s="49" t="n">
        <v>70.4</v>
      </c>
      <c r="P250" s="49" t="n">
        <v>245</v>
      </c>
      <c r="Q250" s="8" t="n">
        <v>1.15</v>
      </c>
      <c r="R250" s="52" t="n">
        <f aca="false">Q250*L250</f>
        <v>3.565</v>
      </c>
      <c r="S250" s="52" t="n">
        <f aca="false">J250-R250</f>
        <v>-2.465</v>
      </c>
      <c r="T250" s="15" t="n">
        <f aca="false">MIN(153.6,(T249+S250))</f>
        <v>48.3703271028037</v>
      </c>
      <c r="V250" s="49" t="n">
        <v>1367.5</v>
      </c>
      <c r="W250" s="49" t="n">
        <f aca="false">V250/D250</f>
        <v>108.531746031746</v>
      </c>
      <c r="X250" s="49" t="n">
        <f aca="false">X249+V250</f>
        <v>166233.7</v>
      </c>
      <c r="Y250" s="8" t="n">
        <f aca="false">Y249+V250</f>
        <v>22074.7</v>
      </c>
      <c r="AA250" s="8" t="n">
        <v>15.0405747213068</v>
      </c>
    </row>
    <row r="251" s="8" customFormat="true" ht="15" hidden="false" customHeight="false" outlineLevel="0" collapsed="false">
      <c r="A251" s="67"/>
      <c r="B251" s="54"/>
      <c r="C251" s="11" t="n">
        <v>41767</v>
      </c>
      <c r="D251" s="8" t="n">
        <v>12.3</v>
      </c>
      <c r="E251" s="8" t="n">
        <v>10.7</v>
      </c>
      <c r="F251" s="8" t="n">
        <v>13.9</v>
      </c>
      <c r="G251" s="8" t="n">
        <f aca="false">G250+D251</f>
        <v>2279.7</v>
      </c>
      <c r="H251" s="8" t="n">
        <f aca="false">H250+D251</f>
        <v>212.2</v>
      </c>
      <c r="J251" s="8" t="n">
        <v>8.9</v>
      </c>
      <c r="K251" s="8" t="n">
        <f aca="false">K250+J251</f>
        <v>625.000000000001</v>
      </c>
      <c r="L251" s="8" t="n">
        <v>1.5</v>
      </c>
      <c r="M251" s="8" t="n">
        <f aca="false">M250+L251</f>
        <v>372.4</v>
      </c>
      <c r="N251" s="8" t="n">
        <f aca="false">J251-L251</f>
        <v>7.4</v>
      </c>
      <c r="O251" s="8" t="n">
        <v>77.8</v>
      </c>
      <c r="P251" s="8" t="n">
        <v>246</v>
      </c>
      <c r="Q251" s="8" t="n">
        <v>1.15</v>
      </c>
      <c r="R251" s="15" t="n">
        <f aca="false">Q251*L251</f>
        <v>1.725</v>
      </c>
      <c r="S251" s="15" t="n">
        <f aca="false">J251-R251</f>
        <v>7.175</v>
      </c>
      <c r="T251" s="15" t="n">
        <f aca="false">MIN(153.6,(T250+S251))</f>
        <v>55.5453271028037</v>
      </c>
      <c r="U251" s="55"/>
      <c r="V251" s="16" t="n">
        <v>349.4</v>
      </c>
      <c r="W251" s="8" t="n">
        <f aca="false">V251/D251</f>
        <v>28.4065040650406</v>
      </c>
      <c r="X251" s="8" t="n">
        <f aca="false">X250+V251</f>
        <v>166583.1</v>
      </c>
      <c r="Y251" s="8" t="n">
        <f aca="false">Y250+V251</f>
        <v>22424.1</v>
      </c>
      <c r="AA251" s="8" t="n">
        <v>15.0943629219799</v>
      </c>
    </row>
    <row r="252" s="8" customFormat="true" ht="15" hidden="false" customHeight="false" outlineLevel="0" collapsed="false">
      <c r="A252" s="67"/>
      <c r="B252" s="54"/>
      <c r="C252" s="11" t="n">
        <v>41768</v>
      </c>
      <c r="D252" s="8" t="n">
        <v>13</v>
      </c>
      <c r="E252" s="8" t="n">
        <v>12</v>
      </c>
      <c r="F252" s="8" t="n">
        <v>14.5</v>
      </c>
      <c r="G252" s="8" t="n">
        <f aca="false">G251+D252</f>
        <v>2292.7</v>
      </c>
      <c r="H252" s="8" t="n">
        <f aca="false">H251+D252</f>
        <v>225.2</v>
      </c>
      <c r="J252" s="8" t="n">
        <v>2</v>
      </c>
      <c r="K252" s="8" t="n">
        <f aca="false">K251+J252</f>
        <v>627.000000000001</v>
      </c>
      <c r="L252" s="8" t="n">
        <v>2.8</v>
      </c>
      <c r="M252" s="8" t="n">
        <f aca="false">M251+L252</f>
        <v>375.2</v>
      </c>
      <c r="N252" s="14" t="n">
        <f aca="false">J252-L252</f>
        <v>-0.8</v>
      </c>
      <c r="O252" s="8" t="n">
        <v>77</v>
      </c>
      <c r="P252" s="8" t="n">
        <v>247</v>
      </c>
      <c r="Q252" s="8" t="n">
        <v>1.15</v>
      </c>
      <c r="R252" s="15" t="n">
        <f aca="false">Q252*L252</f>
        <v>3.22</v>
      </c>
      <c r="S252" s="15" t="n">
        <f aca="false">J252-R252</f>
        <v>-1.22</v>
      </c>
      <c r="T252" s="15" t="n">
        <f aca="false">MIN(153.6,(T251+S252))</f>
        <v>54.3253271028037</v>
      </c>
      <c r="V252" s="8" t="n">
        <v>1111.1</v>
      </c>
      <c r="W252" s="8" t="n">
        <f aca="false">V252/D252</f>
        <v>85.4692307692308</v>
      </c>
      <c r="X252" s="8" t="n">
        <f aca="false">X251+V252</f>
        <v>167694.2</v>
      </c>
      <c r="Y252" s="8" t="n">
        <f aca="false">Y251+V252</f>
        <v>23535.2</v>
      </c>
      <c r="AA252" s="8" t="n">
        <v>15.1475618876151</v>
      </c>
    </row>
    <row r="253" s="8" customFormat="true" ht="15" hidden="false" customHeight="false" outlineLevel="0" collapsed="false">
      <c r="A253" s="67"/>
      <c r="B253" s="54"/>
      <c r="C253" s="11" t="n">
        <v>41769</v>
      </c>
      <c r="D253" s="8" t="n">
        <v>11.8</v>
      </c>
      <c r="E253" s="8" t="n">
        <v>10</v>
      </c>
      <c r="F253" s="8" t="n">
        <v>13.3</v>
      </c>
      <c r="G253" s="8" t="n">
        <f aca="false">G252+D253</f>
        <v>2304.5</v>
      </c>
      <c r="H253" s="8" t="n">
        <f aca="false">H252+D253</f>
        <v>237</v>
      </c>
      <c r="J253" s="8" t="n">
        <v>7.5</v>
      </c>
      <c r="K253" s="8" t="n">
        <f aca="false">K252+J253</f>
        <v>634.500000000001</v>
      </c>
      <c r="L253" s="8" t="n">
        <v>1.6</v>
      </c>
      <c r="M253" s="8" t="n">
        <f aca="false">M252+L253</f>
        <v>376.8</v>
      </c>
      <c r="N253" s="8" t="n">
        <f aca="false">J253-L253</f>
        <v>5.9</v>
      </c>
      <c r="O253" s="8" t="n">
        <v>82.9</v>
      </c>
      <c r="P253" s="8" t="n">
        <v>248</v>
      </c>
      <c r="Q253" s="8" t="n">
        <v>1.15</v>
      </c>
      <c r="R253" s="15" t="n">
        <f aca="false">Q253*L253</f>
        <v>1.84</v>
      </c>
      <c r="S253" s="15" t="n">
        <f aca="false">J253-R253</f>
        <v>5.66</v>
      </c>
      <c r="T253" s="15" t="n">
        <f aca="false">MIN(153.6,(T252+S253))</f>
        <v>59.9853271028037</v>
      </c>
      <c r="V253" s="16" t="n">
        <v>489.2</v>
      </c>
      <c r="W253" s="8" t="n">
        <f aca="false">V253/D253</f>
        <v>41.4576271186441</v>
      </c>
      <c r="X253" s="8" t="n">
        <f aca="false">X252+V253</f>
        <v>168183.4</v>
      </c>
      <c r="Y253" s="8" t="n">
        <f aca="false">Y252+V253</f>
        <v>24024.4</v>
      </c>
      <c r="AA253" s="8" t="n">
        <v>15.2001472893189</v>
      </c>
    </row>
    <row r="254" s="8" customFormat="true" ht="15" hidden="false" customHeight="false" outlineLevel="0" collapsed="false">
      <c r="A254" s="67"/>
      <c r="B254" s="54"/>
      <c r="C254" s="11" t="n">
        <v>41770</v>
      </c>
      <c r="D254" s="8" t="n">
        <v>11.2</v>
      </c>
      <c r="E254" s="8" t="n">
        <v>9.4</v>
      </c>
      <c r="F254" s="8" t="n">
        <v>13.8</v>
      </c>
      <c r="G254" s="8" t="n">
        <f aca="false">G253+D254</f>
        <v>2315.7</v>
      </c>
      <c r="H254" s="8" t="n">
        <f aca="false">H253+D254</f>
        <v>248.2</v>
      </c>
      <c r="J254" s="8" t="n">
        <v>1.6</v>
      </c>
      <c r="K254" s="8" t="n">
        <f aca="false">K253+J254</f>
        <v>636.100000000001</v>
      </c>
      <c r="L254" s="8" t="n">
        <v>3.6</v>
      </c>
      <c r="M254" s="8" t="n">
        <f aca="false">M253+L254</f>
        <v>380.4</v>
      </c>
      <c r="N254" s="14" t="n">
        <f aca="false">J254-L254</f>
        <v>-2</v>
      </c>
      <c r="O254" s="8" t="n">
        <v>80.9</v>
      </c>
      <c r="P254" s="8" t="n">
        <v>249</v>
      </c>
      <c r="Q254" s="8" t="n">
        <v>1.15</v>
      </c>
      <c r="R254" s="15" t="n">
        <f aca="false">Q254*L254</f>
        <v>4.14</v>
      </c>
      <c r="S254" s="15" t="n">
        <f aca="false">J254-R254</f>
        <v>-2.54</v>
      </c>
      <c r="T254" s="15" t="n">
        <f aca="false">MIN(153.6,(T253+S254))</f>
        <v>57.4453271028037</v>
      </c>
      <c r="V254" s="8" t="n">
        <v>1666.2</v>
      </c>
      <c r="W254" s="8" t="n">
        <f aca="false">V254/D254</f>
        <v>148.767857142857</v>
      </c>
      <c r="X254" s="8" t="n">
        <f aca="false">X253+V254</f>
        <v>169849.6</v>
      </c>
      <c r="Y254" s="8" t="n">
        <f aca="false">Y253+V254</f>
        <v>25690.6</v>
      </c>
      <c r="AA254" s="8" t="n">
        <v>15.2520941992197</v>
      </c>
    </row>
    <row r="255" s="8" customFormat="true" ht="15" hidden="false" customHeight="false" outlineLevel="0" collapsed="false">
      <c r="A255" s="67"/>
      <c r="B255" s="54"/>
      <c r="C255" s="11" t="n">
        <v>41771</v>
      </c>
      <c r="D255" s="8" t="n">
        <v>11.6</v>
      </c>
      <c r="E255" s="8" t="n">
        <v>8.9</v>
      </c>
      <c r="F255" s="8" t="n">
        <v>15.3</v>
      </c>
      <c r="G255" s="8" t="n">
        <f aca="false">G254+D255</f>
        <v>2327.3</v>
      </c>
      <c r="H255" s="8" t="n">
        <f aca="false">H254+D255</f>
        <v>259.8</v>
      </c>
      <c r="J255" s="8" t="n">
        <v>2.4</v>
      </c>
      <c r="K255" s="8" t="n">
        <f aca="false">K254+J255</f>
        <v>638.500000000001</v>
      </c>
      <c r="L255" s="8" t="n">
        <v>3.4</v>
      </c>
      <c r="M255" s="8" t="n">
        <f aca="false">M254+L255</f>
        <v>383.8</v>
      </c>
      <c r="N255" s="14" t="n">
        <f aca="false">J255-L255</f>
        <v>-1</v>
      </c>
      <c r="O255" s="8" t="n">
        <v>79.9</v>
      </c>
      <c r="P255" s="8" t="n">
        <v>250</v>
      </c>
      <c r="Q255" s="8" t="n">
        <v>1.15</v>
      </c>
      <c r="R255" s="15" t="n">
        <f aca="false">Q255*L255</f>
        <v>3.91</v>
      </c>
      <c r="S255" s="15" t="n">
        <f aca="false">J255-R255</f>
        <v>-1.51</v>
      </c>
      <c r="T255" s="15" t="n">
        <f aca="false">MIN(153.6,(T254+S255))</f>
        <v>55.9353271028037</v>
      </c>
      <c r="V255" s="8" t="n">
        <v>1698.5</v>
      </c>
      <c r="W255" s="8" t="n">
        <f aca="false">V255/D255</f>
        <v>146.422413793103</v>
      </c>
      <c r="X255" s="8" t="n">
        <f aca="false">X254+V255</f>
        <v>171548.1</v>
      </c>
      <c r="Y255" s="8" t="n">
        <f aca="false">Y254+V255</f>
        <v>27389.1</v>
      </c>
      <c r="AA255" s="8" t="n">
        <v>15.3033771052422</v>
      </c>
    </row>
    <row r="256" s="8" customFormat="true" ht="15" hidden="false" customHeight="false" outlineLevel="0" collapsed="false">
      <c r="A256" s="67"/>
      <c r="B256" s="54"/>
      <c r="C256" s="11" t="n">
        <v>41772</v>
      </c>
      <c r="D256" s="8" t="n">
        <v>10.9</v>
      </c>
      <c r="E256" s="8" t="n">
        <v>8</v>
      </c>
      <c r="F256" s="8" t="n">
        <v>13.6</v>
      </c>
      <c r="G256" s="8" t="n">
        <f aca="false">G255+D256</f>
        <v>2338.2</v>
      </c>
      <c r="H256" s="8" t="n">
        <f aca="false">H255+D256</f>
        <v>270.7</v>
      </c>
      <c r="J256" s="8" t="n">
        <v>5.6</v>
      </c>
      <c r="K256" s="8" t="n">
        <f aca="false">K255+J256</f>
        <v>644.100000000001</v>
      </c>
      <c r="L256" s="8" t="n">
        <v>1.7</v>
      </c>
      <c r="M256" s="8" t="n">
        <f aca="false">M255+L256</f>
        <v>385.5</v>
      </c>
      <c r="N256" s="8" t="n">
        <f aca="false">J256-L256</f>
        <v>3.9</v>
      </c>
      <c r="O256" s="8" t="n">
        <v>83.8</v>
      </c>
      <c r="P256" s="8" t="n">
        <v>251</v>
      </c>
      <c r="Q256" s="8" t="n">
        <v>1.15</v>
      </c>
      <c r="R256" s="15" t="n">
        <f aca="false">Q256*L256</f>
        <v>1.955</v>
      </c>
      <c r="S256" s="15" t="n">
        <f aca="false">J256-R256</f>
        <v>3.645</v>
      </c>
      <c r="T256" s="15" t="n">
        <f aca="false">MIN(153.6,(T255+S256))</f>
        <v>59.5803271028037</v>
      </c>
      <c r="V256" s="8" t="n">
        <v>956.7</v>
      </c>
      <c r="W256" s="8" t="n">
        <f aca="false">V256/D256</f>
        <v>87.7706422018349</v>
      </c>
      <c r="X256" s="8" t="n">
        <f aca="false">X255+V256</f>
        <v>172504.8</v>
      </c>
      <c r="Y256" s="8" t="n">
        <f aca="false">Y255+V256</f>
        <v>28345.8</v>
      </c>
      <c r="AA256" s="8" t="n">
        <v>15.3539699287636</v>
      </c>
    </row>
    <row r="257" s="8" customFormat="true" ht="15" hidden="false" customHeight="false" outlineLevel="0" collapsed="false">
      <c r="A257" s="67"/>
      <c r="B257" s="54"/>
      <c r="C257" s="11" t="n">
        <v>41773</v>
      </c>
      <c r="D257" s="8" t="n">
        <v>11.1</v>
      </c>
      <c r="E257" s="8" t="n">
        <v>6.5</v>
      </c>
      <c r="F257" s="8" t="n">
        <v>16.5</v>
      </c>
      <c r="G257" s="8" t="n">
        <f aca="false">G256+D257</f>
        <v>2349.3</v>
      </c>
      <c r="H257" s="8" t="n">
        <f aca="false">H256+D257</f>
        <v>281.8</v>
      </c>
      <c r="J257" s="8" t="n">
        <v>0.2</v>
      </c>
      <c r="K257" s="8" t="n">
        <f aca="false">K256+J257</f>
        <v>644.300000000001</v>
      </c>
      <c r="L257" s="8" t="n">
        <v>3.6</v>
      </c>
      <c r="M257" s="8" t="n">
        <f aca="false">M256+L257</f>
        <v>389.1</v>
      </c>
      <c r="N257" s="14" t="n">
        <f aca="false">J257-L257</f>
        <v>-3.4</v>
      </c>
      <c r="O257" s="8" t="n">
        <v>80.4</v>
      </c>
      <c r="P257" s="8" t="n">
        <v>252</v>
      </c>
      <c r="Q257" s="8" t="n">
        <v>1.15</v>
      </c>
      <c r="R257" s="15" t="n">
        <f aca="false">Q257*L257</f>
        <v>4.14</v>
      </c>
      <c r="S257" s="15" t="n">
        <f aca="false">J257-R257</f>
        <v>-3.94</v>
      </c>
      <c r="T257" s="15" t="n">
        <f aca="false">MIN(153.6,(T256+S257))</f>
        <v>55.6403271028037</v>
      </c>
      <c r="V257" s="8" t="n">
        <v>2084.4</v>
      </c>
      <c r="W257" s="8" t="n">
        <f aca="false">V257/D257</f>
        <v>187.783783783784</v>
      </c>
      <c r="X257" s="8" t="n">
        <f aca="false">X256+V257</f>
        <v>174589.2</v>
      </c>
      <c r="Y257" s="8" t="n">
        <f aca="false">Y256+V257</f>
        <v>30430.2</v>
      </c>
      <c r="AA257" s="8" t="n">
        <v>15.4038460452922</v>
      </c>
    </row>
    <row r="258" s="8" customFormat="true" ht="15" hidden="false" customHeight="false" outlineLevel="0" collapsed="false">
      <c r="A258" s="67"/>
      <c r="B258" s="54"/>
      <c r="C258" s="11" t="n">
        <v>41774</v>
      </c>
      <c r="D258" s="8" t="n">
        <v>11.9</v>
      </c>
      <c r="E258" s="8" t="n">
        <v>7.3</v>
      </c>
      <c r="F258" s="8" t="n">
        <v>15.3</v>
      </c>
      <c r="G258" s="8" t="n">
        <f aca="false">G257+D258</f>
        <v>2361.2</v>
      </c>
      <c r="H258" s="8" t="n">
        <f aca="false">H257+D258</f>
        <v>293.7</v>
      </c>
      <c r="J258" s="8" t="n">
        <v>0</v>
      </c>
      <c r="K258" s="8" t="n">
        <f aca="false">K257+J258</f>
        <v>644.300000000001</v>
      </c>
      <c r="L258" s="8" t="n">
        <v>4.3</v>
      </c>
      <c r="M258" s="8" t="n">
        <f aca="false">M257+L258</f>
        <v>393.4</v>
      </c>
      <c r="N258" s="14" t="n">
        <f aca="false">J258-L258</f>
        <v>-4.3</v>
      </c>
      <c r="O258" s="8" t="n">
        <v>76.1</v>
      </c>
      <c r="P258" s="8" t="n">
        <v>253</v>
      </c>
      <c r="Q258" s="8" t="n">
        <v>1.15</v>
      </c>
      <c r="R258" s="15" t="n">
        <f aca="false">Q258*L258</f>
        <v>4.945</v>
      </c>
      <c r="S258" s="15" t="n">
        <f aca="false">J258-R258</f>
        <v>-4.945</v>
      </c>
      <c r="T258" s="15" t="n">
        <f aca="false">MIN(153.6,(T257+S258))</f>
        <v>50.6953271028037</v>
      </c>
      <c r="V258" s="8" t="n">
        <v>2824.5</v>
      </c>
      <c r="W258" s="8" t="n">
        <f aca="false">V258/D258</f>
        <v>237.352941176471</v>
      </c>
      <c r="X258" s="8" t="n">
        <f aca="false">X257+V258</f>
        <v>177413.7</v>
      </c>
      <c r="Y258" s="8" t="n">
        <f aca="false">Y257+V258</f>
        <v>33254.7</v>
      </c>
      <c r="AA258" s="8" t="n">
        <v>15.4529783082962</v>
      </c>
    </row>
    <row r="259" s="23" customFormat="true" ht="15" hidden="false" customHeight="false" outlineLevel="0" collapsed="false">
      <c r="A259" s="67"/>
      <c r="B259" s="57"/>
      <c r="C259" s="58" t="n">
        <v>41775</v>
      </c>
      <c r="D259" s="23" t="n">
        <v>13.9</v>
      </c>
      <c r="E259" s="23" t="n">
        <v>8.4</v>
      </c>
      <c r="F259" s="23" t="n">
        <v>17.9</v>
      </c>
      <c r="G259" s="23" t="n">
        <f aca="false">G258+D259</f>
        <v>2375.1</v>
      </c>
      <c r="H259" s="23" t="n">
        <f aca="false">H258+D259</f>
        <v>307.6</v>
      </c>
      <c r="J259" s="23" t="n">
        <v>0</v>
      </c>
      <c r="K259" s="23" t="n">
        <f aca="false">K258+J259</f>
        <v>644.300000000001</v>
      </c>
      <c r="L259" s="23" t="n">
        <v>4.5</v>
      </c>
      <c r="M259" s="23" t="n">
        <f aca="false">M258+L259</f>
        <v>397.9</v>
      </c>
      <c r="N259" s="60" t="n">
        <f aca="false">J259-L259</f>
        <v>-4.5</v>
      </c>
      <c r="O259" s="23" t="n">
        <v>71.6</v>
      </c>
      <c r="P259" s="23" t="n">
        <v>254</v>
      </c>
      <c r="Q259" s="23" t="n">
        <v>1.15</v>
      </c>
      <c r="R259" s="25" t="n">
        <f aca="false">Q259*L259</f>
        <v>5.175</v>
      </c>
      <c r="S259" s="25" t="n">
        <f aca="false">J259-R259</f>
        <v>-5.175</v>
      </c>
      <c r="T259" s="25" t="n">
        <f aca="false">MIN(153.6,(T258+S259))</f>
        <v>45.5203271028037</v>
      </c>
      <c r="V259" s="23" t="n">
        <v>2759.4</v>
      </c>
      <c r="W259" s="23" t="n">
        <f aca="false">V259/D259</f>
        <v>198.517985611511</v>
      </c>
      <c r="X259" s="23" t="n">
        <f aca="false">X258+V259</f>
        <v>180173.1</v>
      </c>
      <c r="Y259" s="23" t="n">
        <f aca="false">Y258+V259</f>
        <v>36014.1</v>
      </c>
      <c r="AA259" s="23" t="n">
        <v>15.5013390763079</v>
      </c>
    </row>
    <row r="260" s="49" customFormat="true" ht="15" hidden="false" customHeight="false" outlineLevel="0" collapsed="false">
      <c r="A260" s="70" t="n">
        <v>600</v>
      </c>
      <c r="B260" s="69"/>
      <c r="C260" s="48" t="n">
        <v>41776</v>
      </c>
      <c r="D260" s="49" t="n">
        <v>16</v>
      </c>
      <c r="E260" s="49" t="n">
        <v>10.6</v>
      </c>
      <c r="F260" s="49" t="n">
        <v>20.6</v>
      </c>
      <c r="G260" s="49" t="n">
        <f aca="false">G259+D260</f>
        <v>2391.1</v>
      </c>
      <c r="H260" s="49" t="n">
        <f aca="false">D260</f>
        <v>16</v>
      </c>
      <c r="J260" s="49" t="n">
        <v>0</v>
      </c>
      <c r="K260" s="49" t="n">
        <f aca="false">K259+J260</f>
        <v>644.300000000001</v>
      </c>
      <c r="L260" s="49" t="n">
        <v>4.8</v>
      </c>
      <c r="M260" s="49" t="n">
        <f aca="false">M259+L260</f>
        <v>402.7</v>
      </c>
      <c r="N260" s="87" t="n">
        <f aca="false">J260-L260</f>
        <v>-4.8</v>
      </c>
      <c r="O260" s="49" t="n">
        <v>66.8</v>
      </c>
      <c r="P260" s="49" t="n">
        <v>255</v>
      </c>
      <c r="Q260" s="17" t="n">
        <f aca="false">1.15+((P260-254)/77)*(0.35-1.15)</f>
        <v>1.13961038961039</v>
      </c>
      <c r="R260" s="52" t="n">
        <f aca="false">Q260*L260</f>
        <v>5.47012987012987</v>
      </c>
      <c r="S260" s="52" t="n">
        <f aca="false">J260-R260</f>
        <v>-5.47012987012987</v>
      </c>
      <c r="T260" s="52" t="n">
        <f aca="false">MIN(153.6,(T259+S260))</f>
        <v>40.0501972326738</v>
      </c>
      <c r="V260" s="49" t="n">
        <v>2773.6</v>
      </c>
      <c r="W260" s="49" t="n">
        <f aca="false">V260/D260</f>
        <v>173.35</v>
      </c>
      <c r="X260" s="49" t="n">
        <f aca="false">X259+V260</f>
        <v>182946.7</v>
      </c>
      <c r="Y260" s="49" t="n">
        <f aca="false">V260</f>
        <v>2773.6</v>
      </c>
      <c r="AA260" s="49" t="n">
        <v>15.5489002434172</v>
      </c>
    </row>
    <row r="261" s="8" customFormat="true" ht="15" hidden="false" customHeight="true" outlineLevel="0" collapsed="false">
      <c r="A261" s="70"/>
      <c r="B261" s="54"/>
      <c r="C261" s="11" t="n">
        <v>41777</v>
      </c>
      <c r="D261" s="8" t="n">
        <v>17.9</v>
      </c>
      <c r="E261" s="8" t="n">
        <v>13.2</v>
      </c>
      <c r="F261" s="8" t="n">
        <v>22.3</v>
      </c>
      <c r="G261" s="8" t="n">
        <f aca="false">G260+D261</f>
        <v>2409</v>
      </c>
      <c r="H261" s="8" t="n">
        <f aca="false">H260+D261</f>
        <v>33.9</v>
      </c>
      <c r="I261" s="71" t="s">
        <v>27</v>
      </c>
      <c r="J261" s="8" t="n">
        <v>0</v>
      </c>
      <c r="K261" s="8" t="n">
        <f aca="false">K260+J261</f>
        <v>644.300000000001</v>
      </c>
      <c r="L261" s="8" t="n">
        <v>5</v>
      </c>
      <c r="M261" s="8" t="n">
        <f aca="false">M260+L261</f>
        <v>407.7</v>
      </c>
      <c r="N261" s="14" t="n">
        <f aca="false">J261-L261</f>
        <v>-5</v>
      </c>
      <c r="O261" s="8" t="n">
        <v>61.8</v>
      </c>
      <c r="P261" s="8" t="n">
        <v>256</v>
      </c>
      <c r="Q261" s="17" t="n">
        <f aca="false">1.15+((P261-254)/77)*(0.35-1.15)</f>
        <v>1.12922077922078</v>
      </c>
      <c r="R261" s="15" t="n">
        <f aca="false">Q261*L261</f>
        <v>5.6461038961039</v>
      </c>
      <c r="S261" s="15" t="n">
        <f aca="false">J261-R261</f>
        <v>-5.6461038961039</v>
      </c>
      <c r="T261" s="15" t="n">
        <f aca="false">MIN(153.6,(T260+S261))</f>
        <v>34.40409333657</v>
      </c>
      <c r="U261" s="71" t="s">
        <v>28</v>
      </c>
      <c r="V261" s="8" t="n">
        <v>2723.6</v>
      </c>
      <c r="W261" s="8" t="n">
        <f aca="false">V261/D261</f>
        <v>152.156424581006</v>
      </c>
      <c r="X261" s="8" t="n">
        <f aca="false">X260+V261</f>
        <v>185670.3</v>
      </c>
      <c r="Y261" s="8" t="n">
        <f aca="false">Y260+V261</f>
        <v>5497.2</v>
      </c>
      <c r="Z261" s="71" t="s">
        <v>29</v>
      </c>
      <c r="AA261" s="8" t="n">
        <v>15.595633273255</v>
      </c>
    </row>
    <row r="262" s="8" customFormat="true" ht="15" hidden="false" customHeight="false" outlineLevel="0" collapsed="false">
      <c r="A262" s="70"/>
      <c r="B262" s="54"/>
      <c r="C262" s="11" t="n">
        <v>41778</v>
      </c>
      <c r="D262" s="8" t="n">
        <v>19.6</v>
      </c>
      <c r="E262" s="8" t="n">
        <v>13.9</v>
      </c>
      <c r="F262" s="8" t="n">
        <v>24.6</v>
      </c>
      <c r="G262" s="8" t="n">
        <f aca="false">G261+D262</f>
        <v>2428.6</v>
      </c>
      <c r="H262" s="8" t="n">
        <f aca="false">H261+D262</f>
        <v>53.5</v>
      </c>
      <c r="I262" s="8" t="n">
        <f aca="false">MIN(E260:E279)</f>
        <v>8.6</v>
      </c>
      <c r="J262" s="8" t="n">
        <v>0</v>
      </c>
      <c r="K262" s="8" t="n">
        <f aca="false">K261+J262</f>
        <v>644.300000000001</v>
      </c>
      <c r="L262" s="8" t="n">
        <v>5.6</v>
      </c>
      <c r="M262" s="8" t="n">
        <f aca="false">M261+L262</f>
        <v>413.3</v>
      </c>
      <c r="N262" s="14" t="n">
        <f aca="false">J262-L262</f>
        <v>-5.6</v>
      </c>
      <c r="O262" s="8" t="n">
        <v>56.2</v>
      </c>
      <c r="P262" s="8" t="n">
        <v>257</v>
      </c>
      <c r="Q262" s="17" t="n">
        <f aca="false">1.15+((P262-254)/77)*(0.35-1.15)</f>
        <v>1.11883116883117</v>
      </c>
      <c r="R262" s="15" t="n">
        <f aca="false">Q262*L262</f>
        <v>6.26545454545455</v>
      </c>
      <c r="S262" s="15" t="n">
        <f aca="false">J262-R262</f>
        <v>-6.26545454545455</v>
      </c>
      <c r="T262" s="15" t="n">
        <f aca="false">MIN(153.6,(T261+S262))</f>
        <v>28.1386387911154</v>
      </c>
      <c r="U262" s="8" t="n">
        <v>13</v>
      </c>
      <c r="V262" s="8" t="n">
        <v>2582.1</v>
      </c>
      <c r="W262" s="8" t="n">
        <f aca="false">V262/D262</f>
        <v>131.739795918367</v>
      </c>
      <c r="X262" s="8" t="n">
        <f aca="false">X261+V262</f>
        <v>188252.4</v>
      </c>
      <c r="Y262" s="8" t="n">
        <f aca="false">Y261+V262</f>
        <v>8079.3</v>
      </c>
      <c r="Z262" s="8" t="n">
        <v>32304.7</v>
      </c>
      <c r="AA262" s="8" t="n">
        <v>15.6415092365555</v>
      </c>
    </row>
    <row r="263" s="8" customFormat="true" ht="15" hidden="false" customHeight="false" outlineLevel="0" collapsed="false">
      <c r="A263" s="70"/>
      <c r="B263" s="54"/>
      <c r="C263" s="11" t="n">
        <v>41779</v>
      </c>
      <c r="D263" s="8" t="n">
        <v>17.8</v>
      </c>
      <c r="E263" s="8" t="n">
        <v>15.7</v>
      </c>
      <c r="F263" s="8" t="n">
        <v>24</v>
      </c>
      <c r="G263" s="8" t="n">
        <f aca="false">G262+D263</f>
        <v>2446.4</v>
      </c>
      <c r="H263" s="8" t="n">
        <f aca="false">H262+D263</f>
        <v>71.3</v>
      </c>
      <c r="I263" s="71" t="s">
        <v>30</v>
      </c>
      <c r="J263" s="8" t="n">
        <v>12.2</v>
      </c>
      <c r="K263" s="8" t="n">
        <f aca="false">K262+J263</f>
        <v>656.500000000001</v>
      </c>
      <c r="L263" s="8" t="n">
        <v>5</v>
      </c>
      <c r="M263" s="8" t="n">
        <f aca="false">M262+L263</f>
        <v>418.3</v>
      </c>
      <c r="N263" s="8" t="n">
        <f aca="false">J263-L263</f>
        <v>7.2</v>
      </c>
      <c r="O263" s="8" t="n">
        <v>63.4</v>
      </c>
      <c r="P263" s="8" t="n">
        <v>258</v>
      </c>
      <c r="Q263" s="17" t="n">
        <f aca="false">1.15+((P263-254)/77)*(0.35-1.15)</f>
        <v>1.10844155844156</v>
      </c>
      <c r="R263" s="15" t="n">
        <f aca="false">Q263*L263</f>
        <v>5.54220779220779</v>
      </c>
      <c r="S263" s="15" t="n">
        <f aca="false">J263-R263</f>
        <v>6.65779220779221</v>
      </c>
      <c r="T263" s="15" t="n">
        <f aca="false">MIN(153.6,(T262+S263))</f>
        <v>34.7964309989076</v>
      </c>
      <c r="U263" s="71" t="s">
        <v>31</v>
      </c>
      <c r="V263" s="8" t="n">
        <v>1759.7</v>
      </c>
      <c r="W263" s="8" t="n">
        <f aca="false">V263/D263</f>
        <v>98.8595505617978</v>
      </c>
      <c r="X263" s="8" t="n">
        <f aca="false">X262+V263</f>
        <v>190012.1</v>
      </c>
      <c r="Y263" s="8" t="n">
        <f aca="false">Y262+V263</f>
        <v>9839</v>
      </c>
      <c r="Z263" s="71" t="s">
        <v>32</v>
      </c>
      <c r="AA263" s="8" t="n">
        <v>15.6864988523675</v>
      </c>
    </row>
    <row r="264" s="8" customFormat="true" ht="15" hidden="false" customHeight="false" outlineLevel="0" collapsed="false">
      <c r="A264" s="70"/>
      <c r="B264" s="54"/>
      <c r="C264" s="11" t="n">
        <v>41780</v>
      </c>
      <c r="D264" s="8" t="n">
        <v>15.5</v>
      </c>
      <c r="E264" s="8" t="n">
        <v>13.4</v>
      </c>
      <c r="F264" s="8" t="n">
        <v>17.6</v>
      </c>
      <c r="G264" s="8" t="n">
        <f aca="false">G263+D264</f>
        <v>2461.9</v>
      </c>
      <c r="H264" s="8" t="n">
        <f aca="false">H263+D264</f>
        <v>86.8</v>
      </c>
      <c r="I264" s="8" t="n">
        <f aca="false">MAX(F260:F279)</f>
        <v>24.6</v>
      </c>
      <c r="J264" s="8" t="n">
        <v>8.3</v>
      </c>
      <c r="K264" s="8" t="n">
        <f aca="false">K263+J264</f>
        <v>664.800000000001</v>
      </c>
      <c r="L264" s="8" t="n">
        <v>1.3</v>
      </c>
      <c r="M264" s="8" t="n">
        <f aca="false">M263+L264</f>
        <v>419.6</v>
      </c>
      <c r="N264" s="8" t="n">
        <f aca="false">J264-L264</f>
        <v>7</v>
      </c>
      <c r="O264" s="8" t="n">
        <v>70.4</v>
      </c>
      <c r="P264" s="8" t="n">
        <v>259</v>
      </c>
      <c r="Q264" s="17" t="n">
        <f aca="false">1.15+((P264-254)/77)*(0.35-1.15)</f>
        <v>1.09805194805195</v>
      </c>
      <c r="R264" s="15" t="n">
        <f aca="false">Q264*L264</f>
        <v>1.42746753246753</v>
      </c>
      <c r="S264" s="15" t="n">
        <f aca="false">J264-R264</f>
        <v>6.87253246753247</v>
      </c>
      <c r="T264" s="15" t="n">
        <f aca="false">MIN(153.6,(T263+S264))</f>
        <v>41.6689634664401</v>
      </c>
      <c r="U264" s="8" t="n">
        <v>0</v>
      </c>
      <c r="V264" s="16" t="n">
        <v>575.2</v>
      </c>
      <c r="W264" s="8" t="n">
        <f aca="false">V264/D264</f>
        <v>37.1096774193548</v>
      </c>
      <c r="X264" s="8" t="n">
        <f aca="false">X263+V264</f>
        <v>190587.3</v>
      </c>
      <c r="Y264" s="8" t="n">
        <f aca="false">Y263+V264</f>
        <v>10414.2</v>
      </c>
      <c r="Z264" s="17" t="n">
        <f aca="false">(Z262/100)/I274</f>
        <v>1.0623051627754</v>
      </c>
      <c r="AA264" s="8" t="n">
        <v>15.7305725329682</v>
      </c>
    </row>
    <row r="265" s="8" customFormat="true" ht="15" hidden="false" customHeight="false" outlineLevel="0" collapsed="false">
      <c r="A265" s="70"/>
      <c r="B265" s="54"/>
      <c r="C265" s="11" t="n">
        <v>41781</v>
      </c>
      <c r="D265" s="8" t="n">
        <v>15.8</v>
      </c>
      <c r="E265" s="8" t="n">
        <v>13.1</v>
      </c>
      <c r="F265" s="8" t="n">
        <v>19.7</v>
      </c>
      <c r="G265" s="8" t="n">
        <f aca="false">G264+D265</f>
        <v>2477.7</v>
      </c>
      <c r="H265" s="8" t="n">
        <f aca="false">H264+D265</f>
        <v>102.6</v>
      </c>
      <c r="I265" s="71" t="s">
        <v>33</v>
      </c>
      <c r="J265" s="8" t="n">
        <v>3.6</v>
      </c>
      <c r="K265" s="8" t="n">
        <f aca="false">K264+J265</f>
        <v>668.400000000001</v>
      </c>
      <c r="L265" s="8" t="n">
        <v>3.1</v>
      </c>
      <c r="M265" s="8" t="n">
        <f aca="false">M264+L265</f>
        <v>422.7</v>
      </c>
      <c r="N265" s="8" t="n">
        <f aca="false">J265-L265</f>
        <v>0.5</v>
      </c>
      <c r="O265" s="8" t="n">
        <v>70.9</v>
      </c>
      <c r="P265" s="8" t="n">
        <v>260</v>
      </c>
      <c r="Q265" s="17" t="n">
        <f aca="false">1.15+((P265-254)/77)*(0.35-1.15)</f>
        <v>1.08766233766234</v>
      </c>
      <c r="R265" s="15" t="n">
        <f aca="false">Q265*L265</f>
        <v>3.37175324675325</v>
      </c>
      <c r="S265" s="15" t="n">
        <f aca="false">J265-R265</f>
        <v>0.228246753246753</v>
      </c>
      <c r="T265" s="15" t="n">
        <f aca="false">MIN(153.6,(T264+S265))</f>
        <v>41.8972102196868</v>
      </c>
      <c r="U265" s="71" t="s">
        <v>34</v>
      </c>
      <c r="V265" s="8" t="n">
        <v>1529.8</v>
      </c>
      <c r="W265" s="8" t="n">
        <f aca="false">V265/D265</f>
        <v>96.8227848101266</v>
      </c>
      <c r="X265" s="8" t="n">
        <f aca="false">X264+V265</f>
        <v>192117.1</v>
      </c>
      <c r="Y265" s="8" t="n">
        <f aca="false">Y264+V265</f>
        <v>11944</v>
      </c>
      <c r="Z265" s="71" t="s">
        <v>35</v>
      </c>
      <c r="AA265" s="8" t="n">
        <v>15.773700432509</v>
      </c>
    </row>
    <row r="266" s="8" customFormat="true" ht="15" hidden="false" customHeight="false" outlineLevel="0" collapsed="false">
      <c r="A266" s="70"/>
      <c r="B266" s="54"/>
      <c r="C266" s="11" t="n">
        <v>41782</v>
      </c>
      <c r="D266" s="8" t="n">
        <v>14.4</v>
      </c>
      <c r="E266" s="8" t="n">
        <v>11.2</v>
      </c>
      <c r="F266" s="8" t="n">
        <v>17.9</v>
      </c>
      <c r="G266" s="8" t="n">
        <f aca="false">G265+D266</f>
        <v>2492.1</v>
      </c>
      <c r="H266" s="8" t="n">
        <f aca="false">H265+D266</f>
        <v>117</v>
      </c>
      <c r="I266" s="15" t="n">
        <f aca="false">AVERAGE(D260:D279)</f>
        <v>15.205</v>
      </c>
      <c r="J266" s="8" t="n">
        <v>10.8</v>
      </c>
      <c r="K266" s="8" t="n">
        <f aca="false">K265+J266</f>
        <v>679.200000000001</v>
      </c>
      <c r="L266" s="8" t="n">
        <v>3</v>
      </c>
      <c r="M266" s="8" t="n">
        <f aca="false">M265+L266</f>
        <v>425.7</v>
      </c>
      <c r="N266" s="8" t="n">
        <f aca="false">J266-L266</f>
        <v>7.8</v>
      </c>
      <c r="O266" s="8" t="n">
        <v>78.7</v>
      </c>
      <c r="P266" s="8" t="n">
        <v>261</v>
      </c>
      <c r="Q266" s="17" t="n">
        <f aca="false">1.15+((P266-254)/77)*(0.35-1.15)</f>
        <v>1.07727272727273</v>
      </c>
      <c r="R266" s="15" t="n">
        <f aca="false">Q266*L266</f>
        <v>3.23181818181818</v>
      </c>
      <c r="S266" s="15" t="n">
        <f aca="false">J266-R266</f>
        <v>7.56818181818182</v>
      </c>
      <c r="T266" s="15" t="n">
        <f aca="false">MIN(153.6,(T265+S266))</f>
        <v>49.4653920378687</v>
      </c>
      <c r="U266" s="8" t="n">
        <v>17</v>
      </c>
      <c r="V266" s="8" t="n">
        <v>1858.5</v>
      </c>
      <c r="W266" s="8" t="n">
        <f aca="false">V266/D266</f>
        <v>129.0625</v>
      </c>
      <c r="X266" s="8" t="n">
        <f aca="false">X265+V266</f>
        <v>193975.6</v>
      </c>
      <c r="Y266" s="8" t="n">
        <f aca="false">Y265+V266</f>
        <v>13802.5</v>
      </c>
      <c r="Z266" s="8" t="n">
        <v>3</v>
      </c>
      <c r="AA266" s="8" t="n">
        <v>15.8158524994008</v>
      </c>
    </row>
    <row r="267" s="8" customFormat="true" ht="15" hidden="false" customHeight="false" outlineLevel="0" collapsed="false">
      <c r="A267" s="70"/>
      <c r="B267" s="54"/>
      <c r="C267" s="11" t="n">
        <v>41783</v>
      </c>
      <c r="D267" s="8" t="n">
        <v>13.6</v>
      </c>
      <c r="E267" s="8" t="n">
        <v>12</v>
      </c>
      <c r="F267" s="8" t="n">
        <v>15.6</v>
      </c>
      <c r="G267" s="8" t="n">
        <f aca="false">G266+D267</f>
        <v>2505.7</v>
      </c>
      <c r="H267" s="8" t="n">
        <f aca="false">H266+D267</f>
        <v>130.6</v>
      </c>
      <c r="I267" s="71" t="s">
        <v>36</v>
      </c>
      <c r="J267" s="8" t="n">
        <v>2.6</v>
      </c>
      <c r="K267" s="8" t="n">
        <f aca="false">K266+J267</f>
        <v>681.800000000001</v>
      </c>
      <c r="L267" s="8" t="n">
        <v>2.9</v>
      </c>
      <c r="M267" s="8" t="n">
        <f aca="false">M266+L267</f>
        <v>428.6</v>
      </c>
      <c r="N267" s="14" t="n">
        <f aca="false">J267-L267</f>
        <v>-0.3</v>
      </c>
      <c r="O267" s="8" t="n">
        <v>78.4</v>
      </c>
      <c r="P267" s="8" t="n">
        <v>262</v>
      </c>
      <c r="Q267" s="17" t="n">
        <f aca="false">1.15+((P267-254)/77)*(0.35-1.15)</f>
        <v>1.06688311688312</v>
      </c>
      <c r="R267" s="15" t="n">
        <f aca="false">Q267*L267</f>
        <v>3.09396103896104</v>
      </c>
      <c r="S267" s="15" t="n">
        <f aca="false">J267-R267</f>
        <v>-0.493961038961039</v>
      </c>
      <c r="T267" s="15" t="n">
        <f aca="false">MIN(153.6,(T266+S267))</f>
        <v>48.9714309989076</v>
      </c>
      <c r="U267" s="71" t="s">
        <v>37</v>
      </c>
      <c r="V267" s="8" t="n">
        <v>1627.8</v>
      </c>
      <c r="W267" s="8" t="n">
        <f aca="false">V267/D267</f>
        <v>119.691176470588</v>
      </c>
      <c r="X267" s="8" t="n">
        <f aca="false">X266+V267</f>
        <v>195603.4</v>
      </c>
      <c r="Y267" s="8" t="n">
        <f aca="false">Y266+V267</f>
        <v>15430.3</v>
      </c>
      <c r="AA267" s="8" t="n">
        <v>15.8569985324188</v>
      </c>
    </row>
    <row r="268" s="8" customFormat="true" ht="15" hidden="false" customHeight="false" outlineLevel="0" collapsed="false">
      <c r="A268" s="70"/>
      <c r="B268" s="54"/>
      <c r="C268" s="11" t="n">
        <v>41784</v>
      </c>
      <c r="D268" s="8" t="n">
        <v>14.8</v>
      </c>
      <c r="E268" s="8" t="n">
        <v>10.4</v>
      </c>
      <c r="F268" s="8" t="n">
        <v>18</v>
      </c>
      <c r="G268" s="8" t="n">
        <f aca="false">G267+D268</f>
        <v>2520.5</v>
      </c>
      <c r="H268" s="8" t="n">
        <f aca="false">H267+D268</f>
        <v>145.4</v>
      </c>
      <c r="I268" s="8" t="n">
        <v>0</v>
      </c>
      <c r="J268" s="8" t="n">
        <v>0</v>
      </c>
      <c r="K268" s="8" t="n">
        <f aca="false">K267+J268</f>
        <v>681.800000000001</v>
      </c>
      <c r="L268" s="8" t="n">
        <v>3</v>
      </c>
      <c r="M268" s="8" t="n">
        <f aca="false">M267+L268</f>
        <v>431.6</v>
      </c>
      <c r="N268" s="14" t="n">
        <f aca="false">J268-L268</f>
        <v>-3</v>
      </c>
      <c r="O268" s="8" t="n">
        <v>75.4</v>
      </c>
      <c r="P268" s="8" t="n">
        <v>263</v>
      </c>
      <c r="Q268" s="17" t="n">
        <f aca="false">1.15+((P268-254)/77)*(0.35-1.15)</f>
        <v>1.05649350649351</v>
      </c>
      <c r="R268" s="15" t="n">
        <f aca="false">Q268*L268</f>
        <v>3.16948051948052</v>
      </c>
      <c r="S268" s="15" t="n">
        <f aca="false">J268-R268</f>
        <v>-3.16948051948052</v>
      </c>
      <c r="T268" s="15" t="n">
        <f aca="false">MIN(153.6,(T267+S268))</f>
        <v>45.8019504794271</v>
      </c>
      <c r="U268" s="15" t="n">
        <f aca="false">MIN(T260:T279)</f>
        <v>28.1386387911154</v>
      </c>
      <c r="V268" s="8" t="n">
        <v>1895.8</v>
      </c>
      <c r="W268" s="8" t="n">
        <f aca="false">V268/D268</f>
        <v>128.094594594595</v>
      </c>
      <c r="X268" s="8" t="n">
        <f aca="false">X267+V268</f>
        <v>197499.2</v>
      </c>
      <c r="Y268" s="8" t="n">
        <f aca="false">Y267+V268</f>
        <v>17326.1</v>
      </c>
      <c r="AA268" s="8" t="n">
        <v>15.8971082404776</v>
      </c>
    </row>
    <row r="269" s="8" customFormat="true" ht="15" hidden="false" customHeight="false" outlineLevel="0" collapsed="false">
      <c r="A269" s="70"/>
      <c r="B269" s="54"/>
      <c r="C269" s="11" t="n">
        <v>41785</v>
      </c>
      <c r="D269" s="8" t="n">
        <v>15.2</v>
      </c>
      <c r="E269" s="8" t="n">
        <v>13.6</v>
      </c>
      <c r="F269" s="8" t="n">
        <v>18.2</v>
      </c>
      <c r="G269" s="8" t="n">
        <f aca="false">G268+D269</f>
        <v>2535.7</v>
      </c>
      <c r="H269" s="8" t="n">
        <f aca="false">H268+D269</f>
        <v>160.6</v>
      </c>
      <c r="I269" s="71" t="s">
        <v>38</v>
      </c>
      <c r="J269" s="8" t="n">
        <v>11.3</v>
      </c>
      <c r="K269" s="8" t="n">
        <f aca="false">K268+J269</f>
        <v>693.100000000001</v>
      </c>
      <c r="L269" s="8" t="n">
        <v>2</v>
      </c>
      <c r="M269" s="8" t="n">
        <f aca="false">M268+L269</f>
        <v>433.6</v>
      </c>
      <c r="N269" s="8" t="n">
        <f aca="false">J269-L269</f>
        <v>9.3</v>
      </c>
      <c r="O269" s="8" t="n">
        <v>84.7</v>
      </c>
      <c r="P269" s="8" t="n">
        <v>264</v>
      </c>
      <c r="Q269" s="17" t="n">
        <f aca="false">1.15+((P269-254)/77)*(0.35-1.15)</f>
        <v>1.0461038961039</v>
      </c>
      <c r="R269" s="15" t="n">
        <f aca="false">Q269*L269</f>
        <v>2.09220779220779</v>
      </c>
      <c r="S269" s="15" t="n">
        <f aca="false">J269-R269</f>
        <v>9.20779220779221</v>
      </c>
      <c r="T269" s="15" t="n">
        <f aca="false">MIN(153.6,(T268+S269))</f>
        <v>55.0097426872193</v>
      </c>
      <c r="U269" s="71" t="s">
        <v>39</v>
      </c>
      <c r="V269" s="8" t="n">
        <v>955.9</v>
      </c>
      <c r="W269" s="8" t="n">
        <f aca="false">V269/D269</f>
        <v>62.8881578947368</v>
      </c>
      <c r="X269" s="8" t="n">
        <f aca="false">X268+V269</f>
        <v>198455.1</v>
      </c>
      <c r="Y269" s="8" t="n">
        <f aca="false">Y268+V269</f>
        <v>18282</v>
      </c>
      <c r="AA269" s="8" t="n">
        <v>15.9361513059972</v>
      </c>
    </row>
    <row r="270" s="8" customFormat="true" ht="15" hidden="false" customHeight="false" outlineLevel="0" collapsed="false">
      <c r="A270" s="70"/>
      <c r="B270" s="54"/>
      <c r="C270" s="11" t="n">
        <v>41786</v>
      </c>
      <c r="D270" s="8" t="n">
        <v>13.7</v>
      </c>
      <c r="E270" s="8" t="n">
        <v>13.6</v>
      </c>
      <c r="F270" s="8" t="n">
        <v>14.4</v>
      </c>
      <c r="G270" s="8" t="n">
        <f aca="false">G269+D270</f>
        <v>2549.4</v>
      </c>
      <c r="H270" s="8" t="n">
        <f aca="false">H269+D270</f>
        <v>174.3</v>
      </c>
      <c r="I270" s="8" t="n">
        <v>0</v>
      </c>
      <c r="J270" s="8" t="n">
        <v>0.6</v>
      </c>
      <c r="K270" s="8" t="n">
        <f aca="false">K269+J270</f>
        <v>693.700000000001</v>
      </c>
      <c r="L270" s="8" t="n">
        <v>1.1</v>
      </c>
      <c r="M270" s="8" t="n">
        <f aca="false">M269+L270</f>
        <v>434.7</v>
      </c>
      <c r="N270" s="14" t="n">
        <f aca="false">J270-L270</f>
        <v>-0.5</v>
      </c>
      <c r="O270" s="8" t="n">
        <v>84.2</v>
      </c>
      <c r="P270" s="8" t="n">
        <v>265</v>
      </c>
      <c r="Q270" s="17" t="n">
        <f aca="false">1.15+((P270-254)/77)*(0.35-1.15)</f>
        <v>1.03571428571429</v>
      </c>
      <c r="R270" s="15" t="n">
        <f aca="false">Q270*L270</f>
        <v>1.13928571428571</v>
      </c>
      <c r="S270" s="15" t="n">
        <f aca="false">J270-R270</f>
        <v>-0.539285714285714</v>
      </c>
      <c r="T270" s="15" t="n">
        <f aca="false">MIN(153.6,(T269+S270))</f>
        <v>54.4704569729336</v>
      </c>
      <c r="U270" s="15" t="n">
        <f aca="false">MAX(T260:T279)</f>
        <v>55.0097426872193</v>
      </c>
      <c r="V270" s="16" t="n">
        <v>413.2</v>
      </c>
      <c r="W270" s="8" t="n">
        <f aca="false">V270/D270</f>
        <v>30.1605839416058</v>
      </c>
      <c r="X270" s="8" t="n">
        <f aca="false">X269+V270</f>
        <v>198868.3</v>
      </c>
      <c r="Y270" s="8" t="n">
        <f aca="false">Y269+V270</f>
        <v>18695.2</v>
      </c>
      <c r="AA270" s="8" t="n">
        <v>15.9740974517452</v>
      </c>
    </row>
    <row r="271" s="8" customFormat="true" ht="15" hidden="false" customHeight="false" outlineLevel="0" collapsed="false">
      <c r="A271" s="70"/>
      <c r="B271" s="54"/>
      <c r="C271" s="11" t="n">
        <v>41787</v>
      </c>
      <c r="D271" s="8" t="n">
        <v>13.5</v>
      </c>
      <c r="E271" s="8" t="n">
        <v>12.8</v>
      </c>
      <c r="F271" s="8" t="n">
        <v>14.5</v>
      </c>
      <c r="G271" s="8" t="n">
        <f aca="false">G270+D271</f>
        <v>2562.9</v>
      </c>
      <c r="H271" s="8" t="n">
        <f aca="false">H270+D271</f>
        <v>187.8</v>
      </c>
      <c r="I271" s="71" t="s">
        <v>40</v>
      </c>
      <c r="J271" s="8" t="n">
        <v>0</v>
      </c>
      <c r="K271" s="8" t="n">
        <f aca="false">K270+J271</f>
        <v>693.700000000001</v>
      </c>
      <c r="L271" s="8" t="n">
        <v>1.5</v>
      </c>
      <c r="M271" s="8" t="n">
        <f aca="false">M270+L271</f>
        <v>436.2</v>
      </c>
      <c r="N271" s="14" t="n">
        <f aca="false">J271-L271</f>
        <v>-1.5</v>
      </c>
      <c r="O271" s="8" t="n">
        <v>82.7</v>
      </c>
      <c r="P271" s="8" t="n">
        <v>266</v>
      </c>
      <c r="Q271" s="17" t="n">
        <f aca="false">1.15+((P271-254)/77)*(0.35-1.15)</f>
        <v>1.02532467532468</v>
      </c>
      <c r="R271" s="15" t="n">
        <f aca="false">Q271*L271</f>
        <v>1.53798701298701</v>
      </c>
      <c r="S271" s="15" t="n">
        <f aca="false">J271-R271</f>
        <v>-1.53798701298701</v>
      </c>
      <c r="T271" s="15" t="n">
        <f aca="false">MIN(153.6,(T270+S271))</f>
        <v>52.9324699599466</v>
      </c>
      <c r="U271" s="71" t="s">
        <v>41</v>
      </c>
      <c r="V271" s="16" t="n">
        <v>537.4</v>
      </c>
      <c r="W271" s="8" t="n">
        <f aca="false">V271/D271</f>
        <v>39.8074074074074</v>
      </c>
      <c r="X271" s="8" t="n">
        <f aca="false">X270+V271</f>
        <v>199405.7</v>
      </c>
      <c r="Y271" s="8" t="n">
        <f aca="false">Y270+V271</f>
        <v>19232.6</v>
      </c>
      <c r="AA271" s="8" t="n">
        <v>16.0109165110057</v>
      </c>
    </row>
    <row r="272" s="49" customFormat="true" ht="15" hidden="false" customHeight="false" outlineLevel="0" collapsed="false">
      <c r="A272" s="70"/>
      <c r="B272" s="69"/>
      <c r="C272" s="11" t="n">
        <v>41788</v>
      </c>
      <c r="D272" s="49" t="n">
        <v>15.3</v>
      </c>
      <c r="E272" s="49" t="n">
        <v>12.8</v>
      </c>
      <c r="F272" s="49" t="n">
        <v>17.5</v>
      </c>
      <c r="G272" s="49" t="n">
        <f aca="false">G271+D272</f>
        <v>2578.2</v>
      </c>
      <c r="H272" s="49" t="n">
        <f aca="false">H271+D272</f>
        <v>203.1</v>
      </c>
      <c r="I272" s="49" t="n">
        <v>0</v>
      </c>
      <c r="J272" s="49" t="n">
        <v>0</v>
      </c>
      <c r="K272" s="49" t="n">
        <f aca="false">K271+J272</f>
        <v>693.700000000001</v>
      </c>
      <c r="L272" s="49" t="n">
        <v>2.6</v>
      </c>
      <c r="M272" s="49" t="n">
        <f aca="false">M271+L272</f>
        <v>438.8</v>
      </c>
      <c r="N272" s="49" t="n">
        <f aca="false">J272-L272</f>
        <v>-2.6</v>
      </c>
      <c r="O272" s="49" t="n">
        <v>80.1</v>
      </c>
      <c r="P272" s="49" t="n">
        <v>267</v>
      </c>
      <c r="Q272" s="17" t="n">
        <f aca="false">1.15+((P272-254)/77)*(0.35-1.15)</f>
        <v>1.01493506493506</v>
      </c>
      <c r="R272" s="52" t="n">
        <f aca="false">Q272*L272</f>
        <v>2.63883116883117</v>
      </c>
      <c r="S272" s="52" t="n">
        <f aca="false">J272-R272</f>
        <v>-2.63883116883117</v>
      </c>
      <c r="T272" s="15" t="n">
        <f aca="false">MIN(153.6,(T271+S272))</f>
        <v>50.2936387911154</v>
      </c>
      <c r="U272" s="17" t="n">
        <f aca="false">AVERAGE(T260:T279)</f>
        <v>44.052041388518</v>
      </c>
      <c r="V272" s="49" t="n">
        <v>1410.8</v>
      </c>
      <c r="W272" s="49" t="n">
        <f aca="false">V272/D272</f>
        <v>92.2091503267974</v>
      </c>
      <c r="X272" s="49" t="n">
        <f aca="false">X271+V272</f>
        <v>200816.5</v>
      </c>
      <c r="Y272" s="8" t="n">
        <f aca="false">Y271+V272</f>
        <v>20643.4</v>
      </c>
      <c r="AA272" s="8" t="n">
        <v>16.0465785008894</v>
      </c>
    </row>
    <row r="273" s="8" customFormat="true" ht="15" hidden="false" customHeight="false" outlineLevel="0" collapsed="false">
      <c r="A273" s="70"/>
      <c r="B273" s="54"/>
      <c r="C273" s="11" t="n">
        <v>41789</v>
      </c>
      <c r="D273" s="8" t="n">
        <v>14.7</v>
      </c>
      <c r="E273" s="8" t="n">
        <v>12.1</v>
      </c>
      <c r="F273" s="8" t="n">
        <v>17.3</v>
      </c>
      <c r="G273" s="8" t="n">
        <f aca="false">G272+D273</f>
        <v>2592.9</v>
      </c>
      <c r="H273" s="8" t="n">
        <f aca="false">H272+D273</f>
        <v>217.8</v>
      </c>
      <c r="I273" s="71" t="s">
        <v>42</v>
      </c>
      <c r="J273" s="8" t="n">
        <v>0</v>
      </c>
      <c r="K273" s="8" t="n">
        <f aca="false">K272+J273</f>
        <v>693.700000000001</v>
      </c>
      <c r="L273" s="8" t="n">
        <v>3.3</v>
      </c>
      <c r="M273" s="8" t="n">
        <f aca="false">M272+L273</f>
        <v>442.1</v>
      </c>
      <c r="N273" s="14" t="n">
        <f aca="false">J273-L273</f>
        <v>-3.3</v>
      </c>
      <c r="O273" s="8" t="n">
        <v>76.8</v>
      </c>
      <c r="P273" s="8" t="n">
        <v>268</v>
      </c>
      <c r="Q273" s="17" t="n">
        <f aca="false">1.15+((P273-254)/77)*(0.35-1.15)</f>
        <v>1.00454545454545</v>
      </c>
      <c r="R273" s="15" t="n">
        <f aca="false">Q273*L273</f>
        <v>3.315</v>
      </c>
      <c r="S273" s="15" t="n">
        <f aca="false">J273-R273</f>
        <v>-3.315</v>
      </c>
      <c r="T273" s="15" t="n">
        <f aca="false">MIN(153.6,(T272+S273))</f>
        <v>46.9786387911154</v>
      </c>
      <c r="V273" s="8" t="n">
        <v>1718.4</v>
      </c>
      <c r="W273" s="8" t="n">
        <f aca="false">V273/D273</f>
        <v>116.897959183673</v>
      </c>
      <c r="X273" s="8" t="n">
        <f aca="false">X272+V273</f>
        <v>202534.9</v>
      </c>
      <c r="Y273" s="8" t="n">
        <f aca="false">Y272+V273</f>
        <v>22361.8</v>
      </c>
      <c r="AA273" s="8" t="n">
        <v>16.081053698558</v>
      </c>
    </row>
    <row r="274" s="8" customFormat="true" ht="15" hidden="false" customHeight="false" outlineLevel="0" collapsed="false">
      <c r="A274" s="70"/>
      <c r="B274" s="54"/>
      <c r="C274" s="11" t="n">
        <v>41790</v>
      </c>
      <c r="D274" s="8" t="n">
        <v>14.6</v>
      </c>
      <c r="E274" s="8" t="n">
        <v>11.7</v>
      </c>
      <c r="F274" s="8" t="n">
        <v>18</v>
      </c>
      <c r="G274" s="8" t="n">
        <f aca="false">G273+D274</f>
        <v>2607.5</v>
      </c>
      <c r="H274" s="8" t="n">
        <f aca="false">H273+D274</f>
        <v>232.4</v>
      </c>
      <c r="I274" s="8" t="n">
        <v>304.1</v>
      </c>
      <c r="J274" s="8" t="n">
        <v>0</v>
      </c>
      <c r="K274" s="8" t="n">
        <f aca="false">K273+J274</f>
        <v>693.700000000001</v>
      </c>
      <c r="L274" s="8" t="n">
        <v>4.6</v>
      </c>
      <c r="M274" s="8" t="n">
        <f aca="false">M273+L274</f>
        <v>446.7</v>
      </c>
      <c r="N274" s="14" t="n">
        <f aca="false">J274-L274</f>
        <v>-4.6</v>
      </c>
      <c r="O274" s="8" t="n">
        <v>72.2</v>
      </c>
      <c r="P274" s="8" t="n">
        <v>269</v>
      </c>
      <c r="Q274" s="17" t="n">
        <f aca="false">1.15+((P274-254)/77)*(0.35-1.15)</f>
        <v>0.994155844155844</v>
      </c>
      <c r="R274" s="15" t="n">
        <f aca="false">Q274*L274</f>
        <v>4.57311688311688</v>
      </c>
      <c r="S274" s="15" t="n">
        <f aca="false">J274-R274</f>
        <v>-4.57311688311688</v>
      </c>
      <c r="T274" s="15" t="n">
        <f aca="false">MIN(153.6,(T273+S274))</f>
        <v>42.4055219079985</v>
      </c>
      <c r="U274" s="8" t="n">
        <f aca="false">(U272*100)/153.6</f>
        <v>28.6797144456497</v>
      </c>
      <c r="V274" s="8" t="n">
        <v>2552.3</v>
      </c>
      <c r="W274" s="8" t="n">
        <f aca="false">V274/D274</f>
        <v>174.815068493151</v>
      </c>
      <c r="X274" s="8" t="n">
        <f aca="false">X273+V274</f>
        <v>205087.2</v>
      </c>
      <c r="Y274" s="8" t="n">
        <f aca="false">Y273+V274</f>
        <v>24914.1</v>
      </c>
      <c r="AA274" s="8" t="n">
        <v>16.1143127200993</v>
      </c>
    </row>
    <row r="275" s="8" customFormat="true" ht="15" hidden="false" customHeight="false" outlineLevel="0" collapsed="false">
      <c r="A275" s="70"/>
      <c r="B275" s="54"/>
      <c r="C275" s="11" t="n">
        <v>41791</v>
      </c>
      <c r="D275" s="8" t="n">
        <v>14.4</v>
      </c>
      <c r="E275" s="8" t="n">
        <v>10.3</v>
      </c>
      <c r="F275" s="8" t="n">
        <v>18.1</v>
      </c>
      <c r="G275" s="8" t="n">
        <f aca="false">G274+D275</f>
        <v>2621.9</v>
      </c>
      <c r="H275" s="8" t="n">
        <f aca="false">H274+D275</f>
        <v>246.8</v>
      </c>
      <c r="J275" s="8" t="n">
        <v>0.1</v>
      </c>
      <c r="K275" s="8" t="n">
        <f aca="false">K274+J275</f>
        <v>693.800000000001</v>
      </c>
      <c r="L275" s="8" t="n">
        <v>3.5</v>
      </c>
      <c r="M275" s="8" t="n">
        <f aca="false">M274+L275</f>
        <v>450.2</v>
      </c>
      <c r="N275" s="14" t="n">
        <f aca="false">J275-L275</f>
        <v>-3.4</v>
      </c>
      <c r="O275" s="8" t="n">
        <v>68.8</v>
      </c>
      <c r="P275" s="8" t="n">
        <v>270</v>
      </c>
      <c r="Q275" s="17" t="n">
        <f aca="false">1.15+((P275-254)/77)*(0.35-1.15)</f>
        <v>0.983766233766234</v>
      </c>
      <c r="R275" s="15" t="n">
        <f aca="false">Q275*L275</f>
        <v>3.44318181818182</v>
      </c>
      <c r="S275" s="15" t="n">
        <f aca="false">J275-R275</f>
        <v>-3.34318181818182</v>
      </c>
      <c r="T275" s="15" t="n">
        <f aca="false">MIN(153.6,(T274+S275))</f>
        <v>39.0623400898167</v>
      </c>
      <c r="V275" s="8" t="n">
        <v>2006.2</v>
      </c>
      <c r="W275" s="8" t="n">
        <f aca="false">V275/D275</f>
        <v>139.319444444444</v>
      </c>
      <c r="X275" s="8" t="n">
        <f aca="false">X274+V275</f>
        <v>207093.4</v>
      </c>
      <c r="Y275" s="8" t="n">
        <f aca="false">Y274+V275</f>
        <v>26920.3</v>
      </c>
      <c r="AA275" s="8" t="n">
        <v>16.146326601747</v>
      </c>
    </row>
    <row r="276" s="8" customFormat="true" ht="15" hidden="false" customHeight="false" outlineLevel="0" collapsed="false">
      <c r="A276" s="70"/>
      <c r="B276" s="54"/>
      <c r="C276" s="11" t="n">
        <v>41792</v>
      </c>
      <c r="D276" s="8" t="n">
        <v>14.9</v>
      </c>
      <c r="E276" s="8" t="n">
        <v>10.3</v>
      </c>
      <c r="F276" s="8" t="n">
        <v>18.8</v>
      </c>
      <c r="G276" s="8" t="n">
        <f aca="false">G275+D276</f>
        <v>2636.8</v>
      </c>
      <c r="H276" s="8" t="n">
        <f aca="false">H275+D276</f>
        <v>261.7</v>
      </c>
      <c r="J276" s="8" t="n">
        <v>0.1</v>
      </c>
      <c r="K276" s="8" t="n">
        <f aca="false">K275+J276</f>
        <v>693.900000000001</v>
      </c>
      <c r="L276" s="8" t="n">
        <v>3.1</v>
      </c>
      <c r="M276" s="8" t="n">
        <f aca="false">M275+L276</f>
        <v>453.3</v>
      </c>
      <c r="N276" s="14" t="n">
        <f aca="false">J276-L276</f>
        <v>-3</v>
      </c>
      <c r="O276" s="8" t="n">
        <v>65.8</v>
      </c>
      <c r="P276" s="8" t="n">
        <v>271</v>
      </c>
      <c r="Q276" s="17" t="n">
        <f aca="false">1.15+((P276-254)/77)*(0.35-1.15)</f>
        <v>0.973376623376623</v>
      </c>
      <c r="R276" s="15" t="n">
        <f aca="false">Q276*L276</f>
        <v>3.01746753246753</v>
      </c>
      <c r="S276" s="15" t="n">
        <f aca="false">J276-R276</f>
        <v>-2.91746753246753</v>
      </c>
      <c r="T276" s="15" t="n">
        <f aca="false">MIN(153.6,(T275+S276))</f>
        <v>36.1448725573492</v>
      </c>
      <c r="V276" s="8" t="n">
        <v>1770.8</v>
      </c>
      <c r="W276" s="8" t="n">
        <f aca="false">V276/D276</f>
        <v>118.845637583893</v>
      </c>
      <c r="X276" s="8" t="n">
        <f aca="false">X275+V276</f>
        <v>208864.2</v>
      </c>
      <c r="Y276" s="8" t="n">
        <f aca="false">Y275+V276</f>
        <v>28691.1</v>
      </c>
      <c r="AA276" s="8" t="n">
        <v>16.1770668831014</v>
      </c>
    </row>
    <row r="277" s="8" customFormat="true" ht="15" hidden="false" customHeight="false" outlineLevel="0" collapsed="false">
      <c r="A277" s="70"/>
      <c r="B277" s="54"/>
      <c r="C277" s="11" t="n">
        <v>41793</v>
      </c>
      <c r="D277" s="8" t="n">
        <v>16</v>
      </c>
      <c r="E277" s="8" t="n">
        <v>13.1</v>
      </c>
      <c r="F277" s="8" t="n">
        <v>20.1</v>
      </c>
      <c r="G277" s="8" t="n">
        <f aca="false">G276+D277</f>
        <v>2652.8</v>
      </c>
      <c r="H277" s="8" t="n">
        <f aca="false">H276+D277</f>
        <v>277.7</v>
      </c>
      <c r="J277" s="8" t="n">
        <v>5.4</v>
      </c>
      <c r="K277" s="8" t="n">
        <f aca="false">K276+J277</f>
        <v>699.300000000001</v>
      </c>
      <c r="L277" s="8" t="n">
        <v>2.4</v>
      </c>
      <c r="M277" s="8" t="n">
        <f aca="false">M276+L277</f>
        <v>455.7</v>
      </c>
      <c r="N277" s="8" t="n">
        <f aca="false">J277-L277</f>
        <v>3</v>
      </c>
      <c r="O277" s="8" t="n">
        <v>68.8</v>
      </c>
      <c r="P277" s="8" t="n">
        <v>272</v>
      </c>
      <c r="Q277" s="17" t="n">
        <f aca="false">1.15+((P277-254)/77)*(0.35-1.15)</f>
        <v>0.962987012987013</v>
      </c>
      <c r="R277" s="15" t="n">
        <f aca="false">Q277*L277</f>
        <v>2.31116883116883</v>
      </c>
      <c r="S277" s="15" t="n">
        <f aca="false">J277-R277</f>
        <v>3.08883116883117</v>
      </c>
      <c r="T277" s="15" t="n">
        <f aca="false">MIN(153.6,(T276+S277))</f>
        <v>39.2337037261804</v>
      </c>
      <c r="V277" s="8" t="n">
        <v>1089</v>
      </c>
      <c r="W277" s="8" t="n">
        <f aca="false">V277/D277</f>
        <v>68.0625</v>
      </c>
      <c r="X277" s="8" t="n">
        <f aca="false">X276+V277</f>
        <v>209953.2</v>
      </c>
      <c r="Y277" s="8" t="n">
        <f aca="false">Y276+V277</f>
        <v>29780.1</v>
      </c>
      <c r="AA277" s="8" t="n">
        <v>16.2065056919656</v>
      </c>
    </row>
    <row r="278" s="8" customFormat="true" ht="15" hidden="false" customHeight="false" outlineLevel="0" collapsed="false">
      <c r="A278" s="70"/>
      <c r="B278" s="54"/>
      <c r="C278" s="11" t="n">
        <v>41794</v>
      </c>
      <c r="D278" s="8" t="n">
        <v>13</v>
      </c>
      <c r="E278" s="8" t="n">
        <v>12</v>
      </c>
      <c r="F278" s="8" t="n">
        <v>15.6</v>
      </c>
      <c r="G278" s="8" t="n">
        <f aca="false">G277+D278</f>
        <v>2665.8</v>
      </c>
      <c r="H278" s="8" t="n">
        <f aca="false">H277+D278</f>
        <v>290.7</v>
      </c>
      <c r="J278" s="8" t="n">
        <v>13.6</v>
      </c>
      <c r="K278" s="8" t="n">
        <f aca="false">K277+J278</f>
        <v>712.900000000001</v>
      </c>
      <c r="L278" s="8" t="n">
        <v>1.9</v>
      </c>
      <c r="M278" s="8" t="n">
        <f aca="false">M277+L278</f>
        <v>457.6</v>
      </c>
      <c r="N278" s="8" t="n">
        <f aca="false">J278-L278</f>
        <v>11.7</v>
      </c>
      <c r="O278" s="8" t="n">
        <v>80.5</v>
      </c>
      <c r="P278" s="8" t="n">
        <v>273</v>
      </c>
      <c r="Q278" s="17" t="n">
        <f aca="false">1.15+((P278-254)/77)*(0.35-1.15)</f>
        <v>0.952597402597403</v>
      </c>
      <c r="R278" s="15" t="n">
        <f aca="false">Q278*L278</f>
        <v>1.80993506493506</v>
      </c>
      <c r="S278" s="15" t="n">
        <f aca="false">J278-R278</f>
        <v>11.7900649350649</v>
      </c>
      <c r="T278" s="15" t="n">
        <f aca="false">MIN(153.6,(T277+S278))</f>
        <v>51.0237686612453</v>
      </c>
      <c r="V278" s="8" t="n">
        <v>973.7</v>
      </c>
      <c r="W278" s="8" t="n">
        <f aca="false">V278/D278</f>
        <v>74.9</v>
      </c>
      <c r="X278" s="8" t="n">
        <f aca="false">X277+V278</f>
        <v>210926.9</v>
      </c>
      <c r="Y278" s="8" t="n">
        <f aca="false">Y277+V278</f>
        <v>30753.8</v>
      </c>
      <c r="AA278" s="8" t="n">
        <v>16.2346158303758</v>
      </c>
    </row>
    <row r="279" s="23" customFormat="true" ht="15" hidden="false" customHeight="false" outlineLevel="0" collapsed="false">
      <c r="A279" s="70"/>
      <c r="B279" s="57"/>
      <c r="C279" s="58" t="n">
        <v>41795</v>
      </c>
      <c r="D279" s="23" t="n">
        <v>13.4</v>
      </c>
      <c r="E279" s="23" t="n">
        <v>8.6</v>
      </c>
      <c r="F279" s="23" t="n">
        <v>17.6</v>
      </c>
      <c r="G279" s="23" t="n">
        <f aca="false">G278+D279</f>
        <v>2679.2</v>
      </c>
      <c r="H279" s="23" t="n">
        <f aca="false">H278+D279</f>
        <v>304.1</v>
      </c>
      <c r="J279" s="23" t="n">
        <v>0</v>
      </c>
      <c r="K279" s="23" t="n">
        <f aca="false">K278+J279</f>
        <v>712.900000000001</v>
      </c>
      <c r="L279" s="23" t="n">
        <v>2.9</v>
      </c>
      <c r="M279" s="23" t="n">
        <f aca="false">M278+L279</f>
        <v>460.5</v>
      </c>
      <c r="N279" s="60" t="n">
        <f aca="false">J279-L279</f>
        <v>-2.9</v>
      </c>
      <c r="O279" s="23" t="n">
        <v>77.6</v>
      </c>
      <c r="P279" s="23" t="n">
        <v>274</v>
      </c>
      <c r="Q279" s="61" t="n">
        <f aca="false">1.15+((P279-254)/77)*(0.35-1.15)</f>
        <v>0.942207792207792</v>
      </c>
      <c r="R279" s="25" t="n">
        <f aca="false">Q279*L279</f>
        <v>2.7324025974026</v>
      </c>
      <c r="S279" s="25" t="n">
        <f aca="false">J279-R279</f>
        <v>-2.7324025974026</v>
      </c>
      <c r="T279" s="25" t="n">
        <f aca="false">MIN(153.6,(T278+S279))</f>
        <v>48.2913660638427</v>
      </c>
      <c r="V279" s="23" t="n">
        <v>1550.9</v>
      </c>
      <c r="W279" s="23" t="n">
        <f aca="false">V279/D279</f>
        <v>115.738805970149</v>
      </c>
      <c r="X279" s="23" t="n">
        <f aca="false">X278+V279</f>
        <v>212477.8</v>
      </c>
      <c r="Y279" s="23" t="n">
        <f aca="false">Y278+V279</f>
        <v>32304.7</v>
      </c>
      <c r="AA279" s="23" t="n">
        <v>16.2613708613668</v>
      </c>
    </row>
    <row r="280" s="49" customFormat="true" ht="15" hidden="false" customHeight="false" outlineLevel="0" collapsed="false">
      <c r="A280" s="72" t="n">
        <v>1000</v>
      </c>
      <c r="B280" s="69"/>
      <c r="C280" s="48" t="n">
        <v>41796</v>
      </c>
      <c r="D280" s="49" t="n">
        <v>18.6</v>
      </c>
      <c r="E280" s="49" t="n">
        <v>8.9</v>
      </c>
      <c r="F280" s="49" t="n">
        <v>24.5</v>
      </c>
      <c r="G280" s="49" t="n">
        <f aca="false">G279+D280</f>
        <v>2697.8</v>
      </c>
      <c r="H280" s="49" t="n">
        <f aca="false">D280</f>
        <v>18.6</v>
      </c>
      <c r="J280" s="49" t="n">
        <v>0</v>
      </c>
      <c r="K280" s="49" t="n">
        <f aca="false">K279+J280</f>
        <v>712.900000000001</v>
      </c>
      <c r="L280" s="49" t="n">
        <v>4.5</v>
      </c>
      <c r="M280" s="49" t="n">
        <f aca="false">M279+L280</f>
        <v>465</v>
      </c>
      <c r="N280" s="87" t="n">
        <f aca="false">J280-L280</f>
        <v>-4.5</v>
      </c>
      <c r="O280" s="49" t="n">
        <v>73.1</v>
      </c>
      <c r="P280" s="49" t="n">
        <v>275</v>
      </c>
      <c r="Q280" s="17" t="n">
        <f aca="false">1.15+((P280-254)/77)*(0.35-1.15)</f>
        <v>0.931818181818182</v>
      </c>
      <c r="R280" s="52" t="n">
        <f aca="false">Q280*L280</f>
        <v>4.19318181818182</v>
      </c>
      <c r="S280" s="52" t="n">
        <f aca="false">J280-R280</f>
        <v>-4.19318181818182</v>
      </c>
      <c r="T280" s="52" t="n">
        <f aca="false">MIN(153.6,(T279+S280))</f>
        <v>44.0981842456609</v>
      </c>
      <c r="V280" s="49" t="n">
        <v>2806.7</v>
      </c>
      <c r="W280" s="49" t="n">
        <f aca="false">V280/D280</f>
        <v>150.897849462366</v>
      </c>
      <c r="X280" s="49" t="n">
        <f aca="false">X279+V280</f>
        <v>215284.5</v>
      </c>
      <c r="Y280" s="49" t="n">
        <f aca="false">V280</f>
        <v>2806.7</v>
      </c>
      <c r="AA280" s="49" t="n">
        <v>16.2867451959825</v>
      </c>
    </row>
    <row r="281" s="8" customFormat="true" ht="15" hidden="false" customHeight="true" outlineLevel="0" collapsed="false">
      <c r="A281" s="72"/>
      <c r="B281" s="54"/>
      <c r="C281" s="11" t="n">
        <v>41797</v>
      </c>
      <c r="D281" s="8" t="n">
        <v>22</v>
      </c>
      <c r="E281" s="8" t="n">
        <v>17.8</v>
      </c>
      <c r="F281" s="12" t="n">
        <v>26.3</v>
      </c>
      <c r="G281" s="8" t="n">
        <f aca="false">G280+D281</f>
        <v>2719.8</v>
      </c>
      <c r="H281" s="8" t="n">
        <f aca="false">H280+D281</f>
        <v>40.6</v>
      </c>
      <c r="I281" s="73" t="s">
        <v>27</v>
      </c>
      <c r="J281" s="8" t="n">
        <v>0.6</v>
      </c>
      <c r="K281" s="8" t="n">
        <f aca="false">K280+J281</f>
        <v>713.500000000001</v>
      </c>
      <c r="L281" s="8" t="n">
        <v>3.9</v>
      </c>
      <c r="M281" s="8" t="n">
        <f aca="false">M280+L281</f>
        <v>468.9</v>
      </c>
      <c r="N281" s="14" t="n">
        <f aca="false">J281-L281</f>
        <v>-3.3</v>
      </c>
      <c r="O281" s="8" t="n">
        <v>69.8</v>
      </c>
      <c r="P281" s="8" t="n">
        <v>276</v>
      </c>
      <c r="Q281" s="17" t="n">
        <f aca="false">1.15+((P281-254)/77)*(0.35-1.15)</f>
        <v>0.921428571428571</v>
      </c>
      <c r="R281" s="15" t="n">
        <f aca="false">Q281*L281</f>
        <v>3.59357142857143</v>
      </c>
      <c r="S281" s="15" t="n">
        <f aca="false">J281-R281</f>
        <v>-2.99357142857143</v>
      </c>
      <c r="T281" s="15" t="n">
        <f aca="false">MIN(153.6,(T280+S281))</f>
        <v>41.1046128170894</v>
      </c>
      <c r="U281" s="73" t="s">
        <v>28</v>
      </c>
      <c r="V281" s="8" t="n">
        <v>1718.6</v>
      </c>
      <c r="W281" s="8" t="n">
        <f aca="false">V281/D281</f>
        <v>78.1181818181818</v>
      </c>
      <c r="X281" s="8" t="n">
        <f aca="false">X280+V281</f>
        <v>217003.1</v>
      </c>
      <c r="Y281" s="8" t="n">
        <f aca="false">Y280+V281</f>
        <v>4525.3</v>
      </c>
      <c r="Z281" s="73" t="s">
        <v>29</v>
      </c>
      <c r="AA281" s="8" t="n">
        <v>16.3107141800076</v>
      </c>
    </row>
    <row r="282" s="8" customFormat="true" ht="15" hidden="false" customHeight="false" outlineLevel="0" collapsed="false">
      <c r="A282" s="72"/>
      <c r="B282" s="54"/>
      <c r="C282" s="11" t="n">
        <v>41798</v>
      </c>
      <c r="D282" s="8" t="n">
        <v>21</v>
      </c>
      <c r="E282" s="8" t="n">
        <v>16.1</v>
      </c>
      <c r="F282" s="8" t="n">
        <v>24.9</v>
      </c>
      <c r="G282" s="8" t="n">
        <f aca="false">G281+D282</f>
        <v>2740.8</v>
      </c>
      <c r="H282" s="8" t="n">
        <f aca="false">H281+D282</f>
        <v>61.6</v>
      </c>
      <c r="I282" s="8" t="n">
        <f aca="false">MIN(E280:E302)</f>
        <v>8.9</v>
      </c>
      <c r="J282" s="8" t="n">
        <v>0</v>
      </c>
      <c r="K282" s="8" t="n">
        <f aca="false">K281+J282</f>
        <v>713.500000000001</v>
      </c>
      <c r="L282" s="8" t="n">
        <v>4.3</v>
      </c>
      <c r="M282" s="8" t="n">
        <f aca="false">M281+L282</f>
        <v>473.2</v>
      </c>
      <c r="N282" s="14" t="n">
        <f aca="false">J282-L282</f>
        <v>-4.3</v>
      </c>
      <c r="O282" s="8" t="n">
        <v>65.5</v>
      </c>
      <c r="P282" s="8" t="n">
        <v>277</v>
      </c>
      <c r="Q282" s="17" t="n">
        <f aca="false">1.15+((P282-254)/77)*(0.35-1.15)</f>
        <v>0.911038961038961</v>
      </c>
      <c r="R282" s="15" t="n">
        <f aca="false">Q282*L282</f>
        <v>3.91746753246753</v>
      </c>
      <c r="S282" s="15" t="n">
        <f aca="false">J282-R282</f>
        <v>-3.91746753246753</v>
      </c>
      <c r="T282" s="15" t="n">
        <f aca="false">MIN(153.6,(T281+S282))</f>
        <v>37.1871452846219</v>
      </c>
      <c r="U282" s="8" t="n">
        <v>18</v>
      </c>
      <c r="V282" s="8" t="n">
        <v>2103.7</v>
      </c>
      <c r="W282" s="8" t="n">
        <f aca="false">V282/D282</f>
        <v>100.17619047619</v>
      </c>
      <c r="X282" s="8" t="n">
        <f aca="false">X281+V282</f>
        <v>219106.8</v>
      </c>
      <c r="Y282" s="8" t="n">
        <f aca="false">Y281+V282</f>
        <v>6629</v>
      </c>
      <c r="Z282" s="8" t="n">
        <v>43119.8</v>
      </c>
      <c r="AA282" s="8" t="n">
        <v>16.3332541798759</v>
      </c>
    </row>
    <row r="283" s="8" customFormat="true" ht="15" hidden="false" customHeight="false" outlineLevel="0" collapsed="false">
      <c r="A283" s="72"/>
      <c r="B283" s="54"/>
      <c r="C283" s="11" t="n">
        <v>41799</v>
      </c>
      <c r="D283" s="8" t="n">
        <v>20.9</v>
      </c>
      <c r="E283" s="8" t="n">
        <v>19</v>
      </c>
      <c r="F283" s="8" t="n">
        <v>22.4</v>
      </c>
      <c r="G283" s="8" t="n">
        <f aca="false">G282+D283</f>
        <v>2761.7</v>
      </c>
      <c r="H283" s="8" t="n">
        <f aca="false">H282+D283</f>
        <v>82.5</v>
      </c>
      <c r="I283" s="73" t="s">
        <v>30</v>
      </c>
      <c r="J283" s="8" t="n">
        <v>16.9</v>
      </c>
      <c r="K283" s="8" t="n">
        <f aca="false">K282+J283</f>
        <v>730.400000000001</v>
      </c>
      <c r="L283" s="8" t="n">
        <v>2.9</v>
      </c>
      <c r="M283" s="8" t="n">
        <f aca="false">M282+L283</f>
        <v>476.1</v>
      </c>
      <c r="N283" s="8" t="n">
        <f aca="false">J283-L283</f>
        <v>14</v>
      </c>
      <c r="O283" s="8" t="n">
        <v>79.5</v>
      </c>
      <c r="P283" s="8" t="n">
        <v>278</v>
      </c>
      <c r="Q283" s="17" t="n">
        <f aca="false">1.15+((P283-254)/77)*(0.35-1.15)</f>
        <v>0.900649350649351</v>
      </c>
      <c r="R283" s="15" t="n">
        <f aca="false">Q283*L283</f>
        <v>2.61188311688312</v>
      </c>
      <c r="S283" s="15" t="n">
        <f aca="false">J283-R283</f>
        <v>14.2881168831169</v>
      </c>
      <c r="T283" s="15" t="n">
        <f aca="false">MIN(153.6,(T282+S283))</f>
        <v>51.4752621677388</v>
      </c>
      <c r="U283" s="73" t="s">
        <v>31</v>
      </c>
      <c r="V283" s="8" t="n">
        <v>1455.4</v>
      </c>
      <c r="W283" s="8" t="n">
        <f aca="false">V283/D283</f>
        <v>69.6363636363636</v>
      </c>
      <c r="X283" s="8" t="n">
        <f aca="false">X282+V283</f>
        <v>220562.2</v>
      </c>
      <c r="Y283" s="8" t="n">
        <f aca="false">Y282+V283</f>
        <v>8084.4</v>
      </c>
      <c r="Z283" s="73" t="s">
        <v>32</v>
      </c>
      <c r="AA283" s="8" t="n">
        <v>16.3543426671852</v>
      </c>
    </row>
    <row r="284" s="8" customFormat="true" ht="15" hidden="false" customHeight="false" outlineLevel="0" collapsed="false">
      <c r="A284" s="72"/>
      <c r="B284" s="54"/>
      <c r="C284" s="11" t="n">
        <v>41800</v>
      </c>
      <c r="D284" s="8" t="n">
        <v>18.2</v>
      </c>
      <c r="E284" s="8" t="n">
        <v>18</v>
      </c>
      <c r="F284" s="8" t="n">
        <v>20.5</v>
      </c>
      <c r="G284" s="8" t="n">
        <f aca="false">G283+D284</f>
        <v>2779.9</v>
      </c>
      <c r="H284" s="8" t="n">
        <f aca="false">H283+D284</f>
        <v>100.7</v>
      </c>
      <c r="I284" s="8" t="n">
        <f aca="false">MAX(F280:F302)</f>
        <v>26.3</v>
      </c>
      <c r="J284" s="8" t="n">
        <v>3.8</v>
      </c>
      <c r="K284" s="8" t="n">
        <f aca="false">K283+J284</f>
        <v>734.200000000001</v>
      </c>
      <c r="L284" s="8" t="n">
        <v>2.1</v>
      </c>
      <c r="M284" s="8" t="n">
        <f aca="false">M283+L284</f>
        <v>478.2</v>
      </c>
      <c r="N284" s="8" t="n">
        <f aca="false">J284-L284</f>
        <v>1.7</v>
      </c>
      <c r="O284" s="8" t="n">
        <v>81.2</v>
      </c>
      <c r="P284" s="8" t="n">
        <v>279</v>
      </c>
      <c r="Q284" s="17" t="n">
        <f aca="false">1.15+((P284-254)/77)*(0.35-1.15)</f>
        <v>0.89025974025974</v>
      </c>
      <c r="R284" s="15" t="n">
        <f aca="false">Q284*L284</f>
        <v>1.86954545454545</v>
      </c>
      <c r="S284" s="15" t="n">
        <f aca="false">J284-R284</f>
        <v>1.93045454545455</v>
      </c>
      <c r="T284" s="15" t="n">
        <f aca="false">MIN(153.6,(T283+S284))</f>
        <v>53.4057167131933</v>
      </c>
      <c r="U284" s="8" t="n">
        <v>0</v>
      </c>
      <c r="V284" s="16" t="n">
        <v>808.4</v>
      </c>
      <c r="W284" s="8" t="n">
        <f aca="false">V284/D284</f>
        <v>44.4175824175824</v>
      </c>
      <c r="X284" s="8" t="n">
        <f aca="false">X283+V284</f>
        <v>221370.6</v>
      </c>
      <c r="Y284" s="8" t="n">
        <f aca="false">Y283+V284</f>
        <v>8892.8</v>
      </c>
      <c r="Z284" s="17" t="n">
        <f aca="false">(Z282/100)/I294</f>
        <v>1.0670576589953</v>
      </c>
      <c r="AA284" s="8" t="n">
        <v>16.373958301237</v>
      </c>
    </row>
    <row r="285" s="8" customFormat="true" ht="15" hidden="false" customHeight="false" outlineLevel="0" collapsed="false">
      <c r="A285" s="72"/>
      <c r="B285" s="54"/>
      <c r="C285" s="11" t="n">
        <v>41801</v>
      </c>
      <c r="D285" s="8" t="n">
        <v>18</v>
      </c>
      <c r="E285" s="8" t="n">
        <v>13.7</v>
      </c>
      <c r="F285" s="8" t="n">
        <v>21.4</v>
      </c>
      <c r="G285" s="8" t="n">
        <f aca="false">G284+D285</f>
        <v>2797.9</v>
      </c>
      <c r="H285" s="8" t="n">
        <f aca="false">H284+D285</f>
        <v>118.7</v>
      </c>
      <c r="I285" s="73" t="s">
        <v>33</v>
      </c>
      <c r="J285" s="8" t="n">
        <v>0</v>
      </c>
      <c r="K285" s="8" t="n">
        <f aca="false">K284+J285</f>
        <v>734.200000000001</v>
      </c>
      <c r="L285" s="8" t="n">
        <v>4.7</v>
      </c>
      <c r="M285" s="8" t="n">
        <f aca="false">M284+L285</f>
        <v>482.9</v>
      </c>
      <c r="N285" s="14" t="n">
        <f aca="false">J285-L285</f>
        <v>-4.7</v>
      </c>
      <c r="O285" s="8" t="n">
        <v>76.5</v>
      </c>
      <c r="P285" s="8" t="n">
        <v>280</v>
      </c>
      <c r="Q285" s="17" t="n">
        <f aca="false">1.15+((P285-254)/77)*(0.35-1.15)</f>
        <v>0.87987012987013</v>
      </c>
      <c r="R285" s="15" t="n">
        <f aca="false">Q285*L285</f>
        <v>4.13538961038961</v>
      </c>
      <c r="S285" s="15" t="n">
        <f aca="false">J285-R285</f>
        <v>-4.13538961038961</v>
      </c>
      <c r="T285" s="15" t="n">
        <f aca="false">MIN(153.6,(T284+S285))</f>
        <v>49.2703271028037</v>
      </c>
      <c r="U285" s="73" t="s">
        <v>34</v>
      </c>
      <c r="V285" s="8" t="n">
        <v>2434.8</v>
      </c>
      <c r="W285" s="8" t="n">
        <f aca="false">V285/D285</f>
        <v>135.266666666667</v>
      </c>
      <c r="X285" s="8" t="n">
        <f aca="false">X284+V285</f>
        <v>223805.4</v>
      </c>
      <c r="Y285" s="8" t="n">
        <f aca="false">Y284+V285</f>
        <v>11327.6</v>
      </c>
      <c r="Z285" s="73" t="s">
        <v>35</v>
      </c>
      <c r="AA285" s="8" t="n">
        <v>16.3920810090065</v>
      </c>
    </row>
    <row r="286" s="8" customFormat="true" ht="15" hidden="false" customHeight="false" outlineLevel="0" collapsed="false">
      <c r="A286" s="72"/>
      <c r="B286" s="54"/>
      <c r="C286" s="11" t="n">
        <v>41802</v>
      </c>
      <c r="D286" s="8" t="n">
        <v>18.6</v>
      </c>
      <c r="E286" s="8" t="n">
        <v>13.7</v>
      </c>
      <c r="F286" s="8" t="n">
        <v>22.1</v>
      </c>
      <c r="G286" s="8" t="n">
        <f aca="false">G285+D286</f>
        <v>2816.5</v>
      </c>
      <c r="H286" s="8" t="n">
        <f aca="false">H285+D286</f>
        <v>137.3</v>
      </c>
      <c r="I286" s="15" t="n">
        <f aca="false">AVERAGE(D280:D302)</f>
        <v>17.5695652173913</v>
      </c>
      <c r="J286" s="8" t="n">
        <v>0</v>
      </c>
      <c r="K286" s="8" t="n">
        <f aca="false">K285+J286</f>
        <v>734.200000000001</v>
      </c>
      <c r="L286" s="8" t="n">
        <v>5.3</v>
      </c>
      <c r="M286" s="8" t="n">
        <f aca="false">M285+L286</f>
        <v>488.2</v>
      </c>
      <c r="N286" s="14" t="n">
        <f aca="false">J286-L286</f>
        <v>-5.3</v>
      </c>
      <c r="O286" s="8" t="n">
        <v>71.2</v>
      </c>
      <c r="P286" s="8" t="n">
        <v>281</v>
      </c>
      <c r="Q286" s="17" t="n">
        <f aca="false">1.15+((P286-254)/77)*(0.35-1.15)</f>
        <v>0.869480519480519</v>
      </c>
      <c r="R286" s="15" t="n">
        <f aca="false">Q286*L286</f>
        <v>4.60824675324675</v>
      </c>
      <c r="S286" s="15" t="n">
        <f aca="false">J286-R286</f>
        <v>-4.60824675324675</v>
      </c>
      <c r="T286" s="15" t="n">
        <f aca="false">MIN(153.6,(T285+S286))</f>
        <v>44.662080349557</v>
      </c>
      <c r="U286" s="8" t="n">
        <v>21</v>
      </c>
      <c r="V286" s="8" t="n">
        <v>2875.3</v>
      </c>
      <c r="W286" s="8" t="n">
        <f aca="false">V286/D286</f>
        <v>154.586021505376</v>
      </c>
      <c r="X286" s="8" t="n">
        <f aca="false">X285+V286</f>
        <v>226680.7</v>
      </c>
      <c r="Y286" s="8" t="n">
        <f aca="false">Y285+V286</f>
        <v>14202.9</v>
      </c>
      <c r="Z286" s="8" t="n">
        <v>4</v>
      </c>
      <c r="AA286" s="8" t="n">
        <v>16.4086920619501</v>
      </c>
    </row>
    <row r="287" s="8" customFormat="true" ht="15" hidden="false" customHeight="false" outlineLevel="0" collapsed="false">
      <c r="A287" s="72"/>
      <c r="B287" s="54"/>
      <c r="C287" s="11" t="n">
        <v>41803</v>
      </c>
      <c r="D287" s="8" t="n">
        <v>18.5</v>
      </c>
      <c r="E287" s="8" t="n">
        <v>15.1</v>
      </c>
      <c r="F287" s="8" t="n">
        <v>22.4</v>
      </c>
      <c r="G287" s="8" t="n">
        <f aca="false">G286+D287</f>
        <v>2835</v>
      </c>
      <c r="H287" s="8" t="n">
        <f aca="false">H286+D287</f>
        <v>155.8</v>
      </c>
      <c r="I287" s="73" t="s">
        <v>36</v>
      </c>
      <c r="J287" s="8" t="n">
        <v>0</v>
      </c>
      <c r="K287" s="8" t="n">
        <f aca="false">K286+J287</f>
        <v>734.200000000001</v>
      </c>
      <c r="L287" s="8" t="n">
        <v>4.7</v>
      </c>
      <c r="M287" s="8" t="n">
        <f aca="false">M286+L287</f>
        <v>492.9</v>
      </c>
      <c r="N287" s="14" t="n">
        <f aca="false">J287-L287</f>
        <v>-4.7</v>
      </c>
      <c r="O287" s="8" t="n">
        <v>66.5</v>
      </c>
      <c r="P287" s="8" t="n">
        <v>282</v>
      </c>
      <c r="Q287" s="17" t="n">
        <f aca="false">1.15+((P287-254)/77)*(0.35-1.15)</f>
        <v>0.859090909090909</v>
      </c>
      <c r="R287" s="15" t="n">
        <f aca="false">Q287*L287</f>
        <v>4.03772727272727</v>
      </c>
      <c r="S287" s="15" t="n">
        <f aca="false">J287-R287</f>
        <v>-4.03772727272727</v>
      </c>
      <c r="T287" s="15" t="n">
        <f aca="false">MIN(153.6,(T286+S287))</f>
        <v>40.6243530768297</v>
      </c>
      <c r="U287" s="73" t="s">
        <v>37</v>
      </c>
      <c r="V287" s="8" t="n">
        <v>2320.9</v>
      </c>
      <c r="W287" s="8" t="n">
        <f aca="false">V287/D287</f>
        <v>125.454054054054</v>
      </c>
      <c r="X287" s="8" t="n">
        <f aca="false">X286+V287</f>
        <v>229001.6</v>
      </c>
      <c r="Y287" s="8" t="n">
        <f aca="false">Y286+V287</f>
        <v>16523.8</v>
      </c>
      <c r="AA287" s="8" t="n">
        <v>16.4237741490577</v>
      </c>
    </row>
    <row r="288" s="8" customFormat="true" ht="15" hidden="false" customHeight="false" outlineLevel="0" collapsed="false">
      <c r="A288" s="72"/>
      <c r="B288" s="54"/>
      <c r="C288" s="11" t="n">
        <v>41804</v>
      </c>
      <c r="D288" s="8" t="n">
        <v>16.3</v>
      </c>
      <c r="E288" s="8" t="n">
        <v>14.6</v>
      </c>
      <c r="F288" s="8" t="n">
        <v>19.6</v>
      </c>
      <c r="G288" s="8" t="n">
        <f aca="false">G287+D288</f>
        <v>2851.3</v>
      </c>
      <c r="H288" s="8" t="n">
        <f aca="false">H287+D288</f>
        <v>172.1</v>
      </c>
      <c r="I288" s="8" t="n">
        <v>0</v>
      </c>
      <c r="J288" s="8" t="n">
        <v>0</v>
      </c>
      <c r="K288" s="8" t="n">
        <f aca="false">K287+J288</f>
        <v>734.200000000001</v>
      </c>
      <c r="L288" s="8" t="n">
        <v>4.3</v>
      </c>
      <c r="M288" s="8" t="n">
        <f aca="false">M287+L288</f>
        <v>497.2</v>
      </c>
      <c r="N288" s="14" t="n">
        <f aca="false">J288-L288</f>
        <v>-4.3</v>
      </c>
      <c r="O288" s="8" t="n">
        <v>62.2</v>
      </c>
      <c r="P288" s="8" t="n">
        <v>283</v>
      </c>
      <c r="Q288" s="17" t="n">
        <f aca="false">1.15+((P288-254)/77)*(0.35-1.15)</f>
        <v>0.848701298701299</v>
      </c>
      <c r="R288" s="15" t="n">
        <f aca="false">Q288*L288</f>
        <v>3.64941558441558</v>
      </c>
      <c r="S288" s="15" t="n">
        <f aca="false">J288-R288</f>
        <v>-3.64941558441558</v>
      </c>
      <c r="T288" s="15" t="n">
        <f aca="false">MIN(153.6,(T287+S288))</f>
        <v>36.9749374924141</v>
      </c>
      <c r="U288" s="15" t="n">
        <v>0</v>
      </c>
      <c r="V288" s="8" t="n">
        <v>2027.6</v>
      </c>
      <c r="W288" s="8" t="n">
        <f aca="false">V288/D288</f>
        <v>124.39263803681</v>
      </c>
      <c r="X288" s="8" t="n">
        <f aca="false">X287+V288</f>
        <v>231029.2</v>
      </c>
      <c r="Y288" s="8" t="n">
        <f aca="false">Y287+V288</f>
        <v>18551.4</v>
      </c>
      <c r="AA288" s="8" t="n">
        <v>16.4373114455725</v>
      </c>
    </row>
    <row r="289" s="8" customFormat="true" ht="15" hidden="false" customHeight="false" outlineLevel="0" collapsed="false">
      <c r="A289" s="72"/>
      <c r="B289" s="54"/>
      <c r="C289" s="11" t="n">
        <v>41805</v>
      </c>
      <c r="D289" s="8" t="n">
        <v>15.3</v>
      </c>
      <c r="E289" s="8" t="n">
        <v>12.3</v>
      </c>
      <c r="F289" s="8" t="n">
        <v>17.4</v>
      </c>
      <c r="G289" s="8" t="n">
        <f aca="false">G288+D289</f>
        <v>2866.6</v>
      </c>
      <c r="H289" s="8" t="n">
        <f aca="false">H288+D289</f>
        <v>187.4</v>
      </c>
      <c r="I289" s="73" t="s">
        <v>38</v>
      </c>
      <c r="J289" s="8" t="n">
        <v>0</v>
      </c>
      <c r="K289" s="8" t="n">
        <f aca="false">K288+J289</f>
        <v>734.200000000001</v>
      </c>
      <c r="L289" s="8" t="n">
        <v>2.9</v>
      </c>
      <c r="M289" s="8" t="n">
        <f aca="false">M288+L289</f>
        <v>500.1</v>
      </c>
      <c r="N289" s="14" t="n">
        <f aca="false">J289-L289</f>
        <v>-2.9</v>
      </c>
      <c r="O289" s="8" t="n">
        <v>59.3</v>
      </c>
      <c r="P289" s="8" t="n">
        <v>284</v>
      </c>
      <c r="Q289" s="17" t="n">
        <f aca="false">1.15+((P289-254)/77)*(0.35-1.15)</f>
        <v>0.838311688311688</v>
      </c>
      <c r="R289" s="15" t="n">
        <f aca="false">Q289*L289</f>
        <v>2.4311038961039</v>
      </c>
      <c r="S289" s="15" t="n">
        <f aca="false">J289-R289</f>
        <v>-2.4311038961039</v>
      </c>
      <c r="T289" s="15" t="n">
        <f aca="false">MIN(153.6,(T288+S289))</f>
        <v>34.5438335963102</v>
      </c>
      <c r="U289" s="73" t="s">
        <v>39</v>
      </c>
      <c r="V289" s="8" t="n">
        <v>1361</v>
      </c>
      <c r="W289" s="8" t="n">
        <f aca="false">V289/D289</f>
        <v>88.9542483660131</v>
      </c>
      <c r="X289" s="8" t="n">
        <f aca="false">X288+V289</f>
        <v>232390.2</v>
      </c>
      <c r="Y289" s="8" t="n">
        <f aca="false">Y288+V289</f>
        <v>19912.4</v>
      </c>
      <c r="AA289" s="8" t="n">
        <v>16.4492896768186</v>
      </c>
    </row>
    <row r="290" s="8" customFormat="true" ht="15" hidden="false" customHeight="false" outlineLevel="0" collapsed="false">
      <c r="A290" s="72"/>
      <c r="B290" s="54"/>
      <c r="C290" s="11" t="n">
        <v>41806</v>
      </c>
      <c r="D290" s="8" t="n">
        <v>14.5</v>
      </c>
      <c r="E290" s="8" t="n">
        <v>12.1</v>
      </c>
      <c r="F290" s="8" t="n">
        <v>15.9</v>
      </c>
      <c r="G290" s="8" t="n">
        <f aca="false">G289+D290</f>
        <v>2881.1</v>
      </c>
      <c r="H290" s="8" t="n">
        <f aca="false">H289+D290</f>
        <v>201.9</v>
      </c>
      <c r="I290" s="8" t="n">
        <v>1</v>
      </c>
      <c r="J290" s="8" t="n">
        <v>0.1</v>
      </c>
      <c r="K290" s="8" t="n">
        <f aca="false">K289+J290</f>
        <v>734.300000000001</v>
      </c>
      <c r="L290" s="8" t="n">
        <v>2.3</v>
      </c>
      <c r="M290" s="8" t="n">
        <f aca="false">M289+L290</f>
        <v>502.4</v>
      </c>
      <c r="N290" s="14" t="n">
        <f aca="false">J290-L290</f>
        <v>-2.2</v>
      </c>
      <c r="O290" s="8" t="n">
        <v>57.1</v>
      </c>
      <c r="P290" s="8" t="n">
        <v>285</v>
      </c>
      <c r="Q290" s="17" t="n">
        <f aca="false">1.15+((P290-254)/77)*(0.35-1.15)</f>
        <v>0.827922077922078</v>
      </c>
      <c r="R290" s="15" t="n">
        <f aca="false">Q290*L290</f>
        <v>1.90422077922078</v>
      </c>
      <c r="S290" s="15" t="n">
        <f aca="false">J290-R290</f>
        <v>-1.80422077922078</v>
      </c>
      <c r="T290" s="15" t="n">
        <f aca="false">MIN(153.6,(T289+S290))</f>
        <v>32.7396128170894</v>
      </c>
      <c r="U290" s="15" t="n">
        <f aca="false">MAX(T280:T302)</f>
        <v>53.4057167131933</v>
      </c>
      <c r="V290" s="16" t="n">
        <v>876.7</v>
      </c>
      <c r="W290" s="8" t="n">
        <f aca="false">V290/D290</f>
        <v>60.4620689655173</v>
      </c>
      <c r="X290" s="8" t="n">
        <f aca="false">X289+V290</f>
        <v>233266.9</v>
      </c>
      <c r="Y290" s="8" t="n">
        <f aca="false">Y289+V290</f>
        <v>20789.1</v>
      </c>
      <c r="AA290" s="8" t="n">
        <v>16.4596961766044</v>
      </c>
    </row>
    <row r="291" s="8" customFormat="true" ht="15" hidden="false" customHeight="false" outlineLevel="0" collapsed="false">
      <c r="A291" s="72"/>
      <c r="B291" s="54"/>
      <c r="C291" s="11" t="n">
        <v>41807</v>
      </c>
      <c r="D291" s="8" t="n">
        <v>15.2</v>
      </c>
      <c r="E291" s="8" t="n">
        <v>13.7</v>
      </c>
      <c r="F291" s="8" t="n">
        <v>17.2</v>
      </c>
      <c r="G291" s="8" t="n">
        <f aca="false">G290+D291</f>
        <v>2896.3</v>
      </c>
      <c r="H291" s="8" t="n">
        <f aca="false">H290+D291</f>
        <v>217.1</v>
      </c>
      <c r="I291" s="73" t="s">
        <v>40</v>
      </c>
      <c r="J291" s="8" t="n">
        <v>0</v>
      </c>
      <c r="K291" s="8" t="n">
        <f aca="false">K290+J291</f>
        <v>734.300000000001</v>
      </c>
      <c r="L291" s="8" t="n">
        <v>2.9</v>
      </c>
      <c r="M291" s="8" t="n">
        <f aca="false">M290+L291</f>
        <v>505.3</v>
      </c>
      <c r="N291" s="14" t="n">
        <f aca="false">J291-L291</f>
        <v>-2.9</v>
      </c>
      <c r="O291" s="8" t="n">
        <v>54.2</v>
      </c>
      <c r="P291" s="8" t="n">
        <v>286</v>
      </c>
      <c r="Q291" s="17" t="n">
        <f aca="false">1.15+((P291-254)/77)*(0.35-1.15)</f>
        <v>0.817532467532467</v>
      </c>
      <c r="R291" s="15" t="n">
        <f aca="false">Q291*L291</f>
        <v>2.37084415584416</v>
      </c>
      <c r="S291" s="15" t="n">
        <f aca="false">J291-R291</f>
        <v>-2.37084415584416</v>
      </c>
      <c r="T291" s="15" t="n">
        <f aca="false">MIN(153.6,(T290+S291))</f>
        <v>30.3687686612453</v>
      </c>
      <c r="U291" s="73" t="s">
        <v>41</v>
      </c>
      <c r="V291" s="16" t="n">
        <v>805</v>
      </c>
      <c r="W291" s="8" t="n">
        <f aca="false">V291/D291</f>
        <v>52.9605263157895</v>
      </c>
      <c r="X291" s="8" t="n">
        <f aca="false">X290+V291</f>
        <v>234071.9</v>
      </c>
      <c r="Y291" s="8" t="n">
        <f aca="false">Y290+V291</f>
        <v>21594.1</v>
      </c>
      <c r="AA291" s="8" t="n">
        <v>16.4685199397054</v>
      </c>
    </row>
    <row r="292" s="8" customFormat="true" ht="15" hidden="false" customHeight="false" outlineLevel="0" collapsed="false">
      <c r="A292" s="72"/>
      <c r="B292" s="54"/>
      <c r="C292" s="11" t="n">
        <v>41808</v>
      </c>
      <c r="D292" s="8" t="n">
        <v>15.7</v>
      </c>
      <c r="E292" s="8" t="n">
        <v>13.5</v>
      </c>
      <c r="F292" s="8" t="n">
        <v>18.5</v>
      </c>
      <c r="G292" s="8" t="n">
        <f aca="false">G291+D292</f>
        <v>2912</v>
      </c>
      <c r="H292" s="8" t="n">
        <f aca="false">H291+D292</f>
        <v>232.8</v>
      </c>
      <c r="I292" s="8" t="n">
        <v>0</v>
      </c>
      <c r="J292" s="8" t="n">
        <v>0</v>
      </c>
      <c r="K292" s="8" t="n">
        <f aca="false">K291+J292</f>
        <v>734.300000000001</v>
      </c>
      <c r="L292" s="8" t="n">
        <v>3.2</v>
      </c>
      <c r="M292" s="8" t="n">
        <f aca="false">M291+L292</f>
        <v>508.5</v>
      </c>
      <c r="N292" s="14" t="n">
        <f aca="false">J292-L292</f>
        <v>-3.2</v>
      </c>
      <c r="O292" s="74" t="n">
        <v>51</v>
      </c>
      <c r="P292" s="8" t="n">
        <v>287</v>
      </c>
      <c r="Q292" s="17" t="n">
        <f aca="false">1.15+((P292-254)/77)*(0.35-1.15)</f>
        <v>0.807142857142857</v>
      </c>
      <c r="R292" s="15" t="n">
        <f aca="false">Q292*L292</f>
        <v>2.58285714285714</v>
      </c>
      <c r="S292" s="15" t="n">
        <f aca="false">J292-R292</f>
        <v>-2.58285714285714</v>
      </c>
      <c r="T292" s="15" t="n">
        <f aca="false">MIN(153.6,(T291+S292))</f>
        <v>27.7859115183881</v>
      </c>
      <c r="U292" s="17" t="n">
        <f aca="false">AVERAGE(T280:T302)</f>
        <v>27.8253750982865</v>
      </c>
      <c r="V292" s="8" t="n">
        <v>1168</v>
      </c>
      <c r="W292" s="8" t="n">
        <f aca="false">V292/D292</f>
        <v>74.3949044585987</v>
      </c>
      <c r="X292" s="8" t="n">
        <f aca="false">X291+V292</f>
        <v>235239.9</v>
      </c>
      <c r="Y292" s="8" t="n">
        <f aca="false">Y291+V292</f>
        <v>22762.1</v>
      </c>
      <c r="AA292" s="8" t="n">
        <v>16.4757516679702</v>
      </c>
    </row>
    <row r="293" s="8" customFormat="true" ht="15" hidden="false" customHeight="false" outlineLevel="0" collapsed="false">
      <c r="A293" s="72"/>
      <c r="B293" s="54"/>
      <c r="C293" s="11" t="n">
        <v>41809</v>
      </c>
      <c r="D293" s="8" t="n">
        <v>15.8</v>
      </c>
      <c r="E293" s="8" t="n">
        <v>13.2</v>
      </c>
      <c r="F293" s="8" t="n">
        <v>19.1</v>
      </c>
      <c r="G293" s="8" t="n">
        <f aca="false">G292+D293</f>
        <v>2927.8</v>
      </c>
      <c r="H293" s="8" t="n">
        <f aca="false">H292+D293</f>
        <v>248.6</v>
      </c>
      <c r="I293" s="73" t="s">
        <v>42</v>
      </c>
      <c r="J293" s="8" t="n">
        <v>0</v>
      </c>
      <c r="K293" s="8" t="n">
        <f aca="false">K292+J293</f>
        <v>734.300000000001</v>
      </c>
      <c r="L293" s="8" t="n">
        <v>4.1</v>
      </c>
      <c r="M293" s="8" t="n">
        <f aca="false">M292+L293</f>
        <v>512.6</v>
      </c>
      <c r="N293" s="14" t="n">
        <f aca="false">J293-L293</f>
        <v>-4.1</v>
      </c>
      <c r="O293" s="74" t="n">
        <v>46.9</v>
      </c>
      <c r="P293" s="8" t="n">
        <v>288</v>
      </c>
      <c r="Q293" s="17" t="n">
        <f aca="false">1.15+((P293-254)/77)*(0.35-1.15)</f>
        <v>0.796753246753247</v>
      </c>
      <c r="R293" s="15" t="n">
        <f aca="false">Q293*L293</f>
        <v>3.26668831168831</v>
      </c>
      <c r="S293" s="15" t="n">
        <f aca="false">J293-R293</f>
        <v>-3.26668831168831</v>
      </c>
      <c r="T293" s="15" t="n">
        <f aca="false">MIN(153.6,(T292+S293))</f>
        <v>24.5192232066998</v>
      </c>
      <c r="V293" s="8" t="n">
        <v>1943.7</v>
      </c>
      <c r="W293" s="8" t="n">
        <f aca="false">V293/D293</f>
        <v>123.018987341772</v>
      </c>
      <c r="X293" s="8" t="n">
        <f aca="false">X292+V293</f>
        <v>237183.6</v>
      </c>
      <c r="Y293" s="8" t="n">
        <f aca="false">Y292+V293</f>
        <v>24705.8</v>
      </c>
      <c r="AA293" s="8" t="n">
        <v>16.4813838096435</v>
      </c>
    </row>
    <row r="294" s="8" customFormat="true" ht="15" hidden="false" customHeight="false" outlineLevel="0" collapsed="false">
      <c r="A294" s="72"/>
      <c r="B294" s="54"/>
      <c r="C294" s="11" t="n">
        <v>41810</v>
      </c>
      <c r="D294" s="8" t="n">
        <v>15</v>
      </c>
      <c r="E294" s="8" t="n">
        <v>12.8</v>
      </c>
      <c r="F294" s="8" t="n">
        <v>17.4</v>
      </c>
      <c r="G294" s="8" t="n">
        <f aca="false">G293+D294</f>
        <v>2942.8</v>
      </c>
      <c r="H294" s="8" t="n">
        <f aca="false">H293+D294</f>
        <v>263.6</v>
      </c>
      <c r="I294" s="8" t="n">
        <v>404.1</v>
      </c>
      <c r="J294" s="8" t="n">
        <v>0</v>
      </c>
      <c r="K294" s="8" t="n">
        <f aca="false">K293+J294</f>
        <v>734.300000000001</v>
      </c>
      <c r="L294" s="8" t="n">
        <v>3.8</v>
      </c>
      <c r="M294" s="8" t="n">
        <f aca="false">M293+L294</f>
        <v>516.4</v>
      </c>
      <c r="N294" s="14" t="n">
        <f aca="false">J294-L294</f>
        <v>-3.8</v>
      </c>
      <c r="O294" s="74" t="n">
        <v>43.1</v>
      </c>
      <c r="P294" s="8" t="n">
        <v>289</v>
      </c>
      <c r="Q294" s="17" t="n">
        <f aca="false">1.15+((P294-254)/77)*(0.35-1.15)</f>
        <v>0.786363636363636</v>
      </c>
      <c r="R294" s="15" t="n">
        <f aca="false">Q294*L294</f>
        <v>2.98818181818182</v>
      </c>
      <c r="S294" s="15" t="n">
        <f aca="false">J294-R294</f>
        <v>-2.98818181818182</v>
      </c>
      <c r="T294" s="15" t="n">
        <f aca="false">MIN(153.6,(T293+S294))</f>
        <v>21.531041388518</v>
      </c>
      <c r="U294" s="8" t="n">
        <f aca="false">(U292*100)/153.6</f>
        <v>18.1154785796136</v>
      </c>
      <c r="V294" s="8" t="n">
        <v>1841.9</v>
      </c>
      <c r="W294" s="8" t="n">
        <f aca="false">V294/D294</f>
        <v>122.793333333333</v>
      </c>
      <c r="X294" s="8" t="n">
        <f aca="false">X293+V294</f>
        <v>239025.5</v>
      </c>
      <c r="Y294" s="8" t="n">
        <f aca="false">Y293+V294</f>
        <v>26547.7</v>
      </c>
      <c r="AA294" s="8" t="n">
        <v>16.4854105915546</v>
      </c>
    </row>
    <row r="295" s="8" customFormat="true" ht="15" hidden="false" customHeight="false" outlineLevel="0" collapsed="false">
      <c r="A295" s="72"/>
      <c r="B295" s="54"/>
      <c r="C295" s="11" t="n">
        <v>41811</v>
      </c>
      <c r="D295" s="8" t="n">
        <v>17</v>
      </c>
      <c r="E295" s="8" t="n">
        <v>10.6</v>
      </c>
      <c r="F295" s="8" t="n">
        <v>21.6</v>
      </c>
      <c r="G295" s="8" t="n">
        <f aca="false">G294+D295</f>
        <v>2959.8</v>
      </c>
      <c r="H295" s="8" t="n">
        <f aca="false">H294+D295</f>
        <v>280.6</v>
      </c>
      <c r="J295" s="8" t="n">
        <v>0</v>
      </c>
      <c r="K295" s="8" t="n">
        <f aca="false">K294+J295</f>
        <v>734.300000000001</v>
      </c>
      <c r="L295" s="8" t="n">
        <v>4.5</v>
      </c>
      <c r="M295" s="8" t="n">
        <f aca="false">M294+L295</f>
        <v>520.9</v>
      </c>
      <c r="N295" s="14" t="n">
        <f aca="false">J295-L295</f>
        <v>-4.5</v>
      </c>
      <c r="O295" s="74" t="n">
        <v>38.6</v>
      </c>
      <c r="P295" s="8" t="n">
        <v>290</v>
      </c>
      <c r="Q295" s="17" t="n">
        <f aca="false">1.15+((P295-254)/77)*(0.35-1.15)</f>
        <v>0.775974025974026</v>
      </c>
      <c r="R295" s="15" t="n">
        <f aca="false">Q295*L295</f>
        <v>3.49188311688312</v>
      </c>
      <c r="S295" s="15" t="n">
        <f aca="false">J295-R295</f>
        <v>-3.49188311688312</v>
      </c>
      <c r="T295" s="15" t="n">
        <f aca="false">MIN(153.6,(T294+S295))</f>
        <v>18.0391582716349</v>
      </c>
      <c r="V295" s="8" t="n">
        <v>2749.1</v>
      </c>
      <c r="W295" s="8" t="n">
        <f aca="false">V295/D295</f>
        <v>161.711764705882</v>
      </c>
      <c r="X295" s="8" t="n">
        <f aca="false">X294+V295</f>
        <v>241774.6</v>
      </c>
      <c r="Y295" s="8" t="n">
        <f aca="false">Y294+V295</f>
        <v>29296.8</v>
      </c>
      <c r="AA295" s="8" t="n">
        <v>16.4878280438807</v>
      </c>
    </row>
    <row r="296" s="8" customFormat="true" ht="15" hidden="false" customHeight="false" outlineLevel="0" collapsed="false">
      <c r="A296" s="72"/>
      <c r="B296" s="54"/>
      <c r="C296" s="11" t="n">
        <v>41812</v>
      </c>
      <c r="D296" s="8" t="n">
        <v>18.2</v>
      </c>
      <c r="E296" s="8" t="n">
        <v>14</v>
      </c>
      <c r="F296" s="8" t="n">
        <v>22.3</v>
      </c>
      <c r="G296" s="8" t="n">
        <f aca="false">G295+D296</f>
        <v>2978</v>
      </c>
      <c r="H296" s="8" t="n">
        <f aca="false">H295+D296</f>
        <v>298.8</v>
      </c>
      <c r="J296" s="8" t="n">
        <v>0</v>
      </c>
      <c r="K296" s="8" t="n">
        <f aca="false">K295+J296</f>
        <v>734.300000000001</v>
      </c>
      <c r="L296" s="8" t="n">
        <v>4.9</v>
      </c>
      <c r="M296" s="8" t="n">
        <f aca="false">M295+L296</f>
        <v>525.8</v>
      </c>
      <c r="N296" s="14" t="n">
        <f aca="false">J296-L296</f>
        <v>-4.9</v>
      </c>
      <c r="O296" s="74" t="n">
        <v>33.7</v>
      </c>
      <c r="P296" s="8" t="n">
        <v>291</v>
      </c>
      <c r="Q296" s="17" t="n">
        <f aca="false">1.15+((P296-254)/77)*(0.35-1.15)</f>
        <v>0.765584415584416</v>
      </c>
      <c r="R296" s="15" t="n">
        <f aca="false">Q296*L296</f>
        <v>3.75136363636364</v>
      </c>
      <c r="S296" s="15" t="n">
        <f aca="false">J296-R296</f>
        <v>-3.75136363636364</v>
      </c>
      <c r="T296" s="15" t="n">
        <f aca="false">MIN(153.6,(T295+S296))</f>
        <v>14.2877946352713</v>
      </c>
      <c r="V296" s="8" t="n">
        <v>2420.6</v>
      </c>
      <c r="W296" s="8" t="n">
        <f aca="false">V296/D296</f>
        <v>133</v>
      </c>
      <c r="X296" s="8" t="n">
        <f aca="false">X295+V296</f>
        <v>244195.2</v>
      </c>
      <c r="Y296" s="8" t="n">
        <f aca="false">Y295+V296</f>
        <v>31717.4</v>
      </c>
      <c r="AA296" s="8" t="n">
        <v>16.488634017258</v>
      </c>
    </row>
    <row r="297" s="49" customFormat="true" ht="15" hidden="false" customHeight="false" outlineLevel="0" collapsed="false">
      <c r="A297" s="72"/>
      <c r="B297" s="69"/>
      <c r="C297" s="11" t="n">
        <v>41813</v>
      </c>
      <c r="D297" s="49" t="n">
        <v>18.1</v>
      </c>
      <c r="E297" s="49" t="n">
        <v>14.7</v>
      </c>
      <c r="F297" s="49" t="n">
        <v>21.6</v>
      </c>
      <c r="G297" s="49" t="n">
        <f aca="false">G296+D297</f>
        <v>2996.1</v>
      </c>
      <c r="H297" s="49" t="n">
        <f aca="false">H296+D297</f>
        <v>316.9</v>
      </c>
      <c r="J297" s="49" t="n">
        <v>0</v>
      </c>
      <c r="K297" s="49" t="n">
        <f aca="false">K296+J297</f>
        <v>734.300000000001</v>
      </c>
      <c r="L297" s="49" t="n">
        <v>5.3</v>
      </c>
      <c r="M297" s="49" t="n">
        <f aca="false">M296+L297</f>
        <v>531.1</v>
      </c>
      <c r="N297" s="49" t="n">
        <f aca="false">J297-L297</f>
        <v>-5.3</v>
      </c>
      <c r="O297" s="49" t="n">
        <v>28.4</v>
      </c>
      <c r="P297" s="49" t="n">
        <v>292</v>
      </c>
      <c r="Q297" s="17" t="n">
        <f aca="false">1.15+((P297-254)/77)*(0.35-1.15)</f>
        <v>0.755194805194805</v>
      </c>
      <c r="R297" s="52" t="n">
        <f aca="false">Q297*L297</f>
        <v>4.00253246753247</v>
      </c>
      <c r="S297" s="52" t="n">
        <f aca="false">J297-R297</f>
        <v>-4.00253246753247</v>
      </c>
      <c r="T297" s="15" t="n">
        <f aca="false">MIN(153.6,(T296+S297))</f>
        <v>10.2852621677388</v>
      </c>
      <c r="V297" s="49" t="n">
        <v>2756.5</v>
      </c>
      <c r="W297" s="49" t="n">
        <f aca="false">V297/D297</f>
        <v>152.292817679558</v>
      </c>
      <c r="X297" s="49" t="n">
        <f aca="false">X296+V297</f>
        <v>246951.7</v>
      </c>
      <c r="Y297" s="8" t="n">
        <f aca="false">Y296+V297</f>
        <v>34473.9</v>
      </c>
      <c r="AA297" s="8" t="n">
        <v>16.4878281920837</v>
      </c>
    </row>
    <row r="298" s="8" customFormat="true" ht="15" hidden="false" customHeight="true" outlineLevel="0" collapsed="false">
      <c r="A298" s="72"/>
      <c r="B298" s="75"/>
      <c r="C298" s="11" t="n">
        <v>41814</v>
      </c>
      <c r="D298" s="8" t="n">
        <v>19.2</v>
      </c>
      <c r="E298" s="8" t="n">
        <v>14.7</v>
      </c>
      <c r="F298" s="8" t="n">
        <v>23.6</v>
      </c>
      <c r="G298" s="8" t="n">
        <f aca="false">G297+D298</f>
        <v>3015.3</v>
      </c>
      <c r="H298" s="8" t="n">
        <f aca="false">H297+D298</f>
        <v>336.1</v>
      </c>
      <c r="J298" s="8" t="n">
        <v>0</v>
      </c>
      <c r="K298" s="8" t="n">
        <f aca="false">K297+J298</f>
        <v>734.300000000001</v>
      </c>
      <c r="L298" s="8" t="n">
        <v>4.8</v>
      </c>
      <c r="M298" s="8" t="n">
        <f aca="false">M297+L298</f>
        <v>535.9</v>
      </c>
      <c r="N298" s="14" t="n">
        <f aca="false">J298-L298</f>
        <v>-4.8</v>
      </c>
      <c r="O298" s="74" t="n">
        <v>23.6</v>
      </c>
      <c r="P298" s="8" t="n">
        <v>293</v>
      </c>
      <c r="Q298" s="17" t="n">
        <f aca="false">1.15+((P298-254)/77)*(0.35-1.15)</f>
        <v>0.744805194805195</v>
      </c>
      <c r="R298" s="15" t="n">
        <f aca="false">Q298*L298</f>
        <v>3.57506493506494</v>
      </c>
      <c r="S298" s="15" t="n">
        <f aca="false">J298-R298</f>
        <v>-3.57506493506494</v>
      </c>
      <c r="T298" s="15" t="n">
        <f aca="false">MIN(153.6,(T297+S298))</f>
        <v>6.71019723267385</v>
      </c>
      <c r="V298" s="8" t="n">
        <v>2248.7</v>
      </c>
      <c r="W298" s="8" t="n">
        <f aca="false">V298/D298</f>
        <v>117.119791666667</v>
      </c>
      <c r="X298" s="8" t="n">
        <f aca="false">X297+V298</f>
        <v>249200.4</v>
      </c>
      <c r="Y298" s="8" t="n">
        <f aca="false">Y297+V298</f>
        <v>36722.6</v>
      </c>
      <c r="AA298" s="8" t="n">
        <v>16.4854120799234</v>
      </c>
    </row>
    <row r="299" s="8" customFormat="true" ht="15" hidden="false" customHeight="false" outlineLevel="0" collapsed="false">
      <c r="A299" s="72"/>
      <c r="B299" s="75"/>
      <c r="C299" s="11" t="n">
        <v>41815</v>
      </c>
      <c r="D299" s="8" t="n">
        <v>16.3</v>
      </c>
      <c r="E299" s="8" t="n">
        <v>14.5</v>
      </c>
      <c r="F299" s="8" t="n">
        <v>18.3</v>
      </c>
      <c r="G299" s="8" t="n">
        <f aca="false">G298+D299</f>
        <v>3031.6</v>
      </c>
      <c r="H299" s="8" t="n">
        <f aca="false">H298+D299</f>
        <v>352.4</v>
      </c>
      <c r="J299" s="8" t="n">
        <v>0</v>
      </c>
      <c r="K299" s="8" t="n">
        <f aca="false">K298+J299</f>
        <v>734.300000000001</v>
      </c>
      <c r="L299" s="8" t="n">
        <v>5</v>
      </c>
      <c r="M299" s="8" t="n">
        <f aca="false">M298+L299</f>
        <v>540.9</v>
      </c>
      <c r="N299" s="14" t="n">
        <f aca="false">J299-L299</f>
        <v>-5</v>
      </c>
      <c r="O299" s="74" t="n">
        <v>18.6</v>
      </c>
      <c r="P299" s="8" t="n">
        <v>294</v>
      </c>
      <c r="Q299" s="17" t="n">
        <f aca="false">1.15+((P299-254)/77)*(0.35-1.15)</f>
        <v>0.734415584415584</v>
      </c>
      <c r="R299" s="15" t="n">
        <f aca="false">Q299*L299</f>
        <v>3.67207792207792</v>
      </c>
      <c r="S299" s="15" t="n">
        <f aca="false">J299-R299</f>
        <v>-3.67207792207792</v>
      </c>
      <c r="T299" s="15" t="n">
        <f aca="false">MIN(153.6,(T298+S299))</f>
        <v>3.03811931059593</v>
      </c>
      <c r="V299" s="8" t="n">
        <v>2312.1</v>
      </c>
      <c r="W299" s="8" t="n">
        <f aca="false">V299/D299</f>
        <v>141.846625766871</v>
      </c>
      <c r="X299" s="8" t="n">
        <f aca="false">X298+V299</f>
        <v>251512.5</v>
      </c>
      <c r="Y299" s="8" t="n">
        <f aca="false">Y298+V299</f>
        <v>39034.7</v>
      </c>
      <c r="AA299" s="8" t="n">
        <v>16.4813890170086</v>
      </c>
    </row>
    <row r="300" s="8" customFormat="true" ht="15" hidden="false" customHeight="false" outlineLevel="0" collapsed="false">
      <c r="A300" s="72"/>
      <c r="B300" s="75"/>
      <c r="C300" s="11" t="n">
        <v>41816</v>
      </c>
      <c r="D300" s="8" t="n">
        <v>18</v>
      </c>
      <c r="E300" s="8" t="n">
        <v>13.1</v>
      </c>
      <c r="F300" s="8" t="n">
        <v>21.5</v>
      </c>
      <c r="G300" s="8" t="n">
        <f aca="false">G299+D300</f>
        <v>3049.6</v>
      </c>
      <c r="H300" s="8" t="n">
        <f aca="false">H299+D300</f>
        <v>370.4</v>
      </c>
      <c r="J300" s="8" t="n">
        <v>0</v>
      </c>
      <c r="K300" s="8" t="n">
        <f aca="false">K299+J300</f>
        <v>734.300000000001</v>
      </c>
      <c r="L300" s="8" t="n">
        <v>3.7</v>
      </c>
      <c r="M300" s="8" t="n">
        <f aca="false">M299+L300</f>
        <v>544.6</v>
      </c>
      <c r="N300" s="14" t="n">
        <f aca="false">J300-L300</f>
        <v>-3.7</v>
      </c>
      <c r="O300" s="74" t="n">
        <v>14.9</v>
      </c>
      <c r="P300" s="8" t="n">
        <v>295</v>
      </c>
      <c r="Q300" s="17" t="n">
        <f aca="false">1.15+((P300-254)/77)*(0.35-1.15)</f>
        <v>0.724025974025974</v>
      </c>
      <c r="R300" s="15" t="n">
        <f aca="false">Q300*L300</f>
        <v>2.6788961038961</v>
      </c>
      <c r="S300" s="15" t="n">
        <f aca="false">J300-R300</f>
        <v>-2.6788961038961</v>
      </c>
      <c r="T300" s="15" t="n">
        <f aca="false">MIN(153.6,(T299+S300))</f>
        <v>0.359223206699828</v>
      </c>
      <c r="V300" s="8" t="n">
        <v>2018.3</v>
      </c>
      <c r="W300" s="8" t="n">
        <f aca="false">V300/D300</f>
        <v>112.127777777778</v>
      </c>
      <c r="X300" s="8" t="n">
        <f aca="false">X299+V300</f>
        <v>253530.8</v>
      </c>
      <c r="Y300" s="8" t="n">
        <f aca="false">Y299+V300</f>
        <v>41053</v>
      </c>
      <c r="AA300" s="8" t="n">
        <v>16.4757641498855</v>
      </c>
    </row>
    <row r="301" s="8" customFormat="true" ht="15" hidden="false" customHeight="false" outlineLevel="0" collapsed="false">
      <c r="A301" s="72"/>
      <c r="B301" s="75"/>
      <c r="C301" s="11" t="n">
        <v>41817</v>
      </c>
      <c r="D301" s="8" t="n">
        <v>17.6</v>
      </c>
      <c r="E301" s="8" t="n">
        <v>16.7</v>
      </c>
      <c r="F301" s="8" t="n">
        <v>20.7</v>
      </c>
      <c r="G301" s="8" t="n">
        <f aca="false">G300+D301</f>
        <v>3067.2</v>
      </c>
      <c r="H301" s="8" t="n">
        <f aca="false">H300+D301</f>
        <v>388</v>
      </c>
      <c r="J301" s="8" t="n">
        <v>8.3</v>
      </c>
      <c r="K301" s="8" t="n">
        <f aca="false">K300+J301</f>
        <v>742.600000000001</v>
      </c>
      <c r="L301" s="8" t="n">
        <v>2.9</v>
      </c>
      <c r="M301" s="8" t="n">
        <f aca="false">M300+L301</f>
        <v>547.5</v>
      </c>
      <c r="N301" s="8" t="n">
        <f aca="false">J301-L301</f>
        <v>5.4</v>
      </c>
      <c r="O301" s="74" t="n">
        <v>20.3</v>
      </c>
      <c r="P301" s="8" t="n">
        <v>296</v>
      </c>
      <c r="Q301" s="17" t="n">
        <f aca="false">1.15+((P301-254)/77)*(0.35-1.15)</f>
        <v>0.713636363636364</v>
      </c>
      <c r="R301" s="15" t="n">
        <f aca="false">Q301*L301</f>
        <v>2.06954545454545</v>
      </c>
      <c r="S301" s="15" t="n">
        <f aca="false">J301-R301</f>
        <v>6.23045454545455</v>
      </c>
      <c r="T301" s="15" t="n">
        <f aca="false">MIN(153.6,(T300+S301))</f>
        <v>6.58967775215437</v>
      </c>
      <c r="V301" s="8" t="n">
        <v>1188.4</v>
      </c>
      <c r="W301" s="8" t="n">
        <f aca="false">V301/D301</f>
        <v>67.5227272727273</v>
      </c>
      <c r="X301" s="8" t="n">
        <f aca="false">X300+V301</f>
        <v>254719.2</v>
      </c>
      <c r="Y301" s="8" t="n">
        <f aca="false">Y300+V301</f>
        <v>42241.4</v>
      </c>
      <c r="AA301" s="8" t="n">
        <v>16.468544413345</v>
      </c>
    </row>
    <row r="302" s="23" customFormat="true" ht="15" hidden="false" customHeight="false" outlineLevel="0" collapsed="false">
      <c r="A302" s="72"/>
      <c r="B302" s="76"/>
      <c r="C302" s="58" t="n">
        <v>41818</v>
      </c>
      <c r="D302" s="23" t="n">
        <v>16.1</v>
      </c>
      <c r="E302" s="23" t="n">
        <v>14.5</v>
      </c>
      <c r="F302" s="23" t="n">
        <v>19.8</v>
      </c>
      <c r="G302" s="23" t="n">
        <f aca="false">G301+D302</f>
        <v>3083.3</v>
      </c>
      <c r="H302" s="23" t="n">
        <f aca="false">H301+D302</f>
        <v>404.1</v>
      </c>
      <c r="J302" s="23" t="n">
        <v>5.2</v>
      </c>
      <c r="K302" s="23" t="n">
        <f aca="false">K301+J302</f>
        <v>747.800000000001</v>
      </c>
      <c r="L302" s="23" t="n">
        <v>2</v>
      </c>
      <c r="M302" s="23" t="n">
        <f aca="false">M301+L302</f>
        <v>549.5</v>
      </c>
      <c r="N302" s="23" t="n">
        <f aca="false">J302-L302</f>
        <v>3.2</v>
      </c>
      <c r="O302" s="77" t="n">
        <v>23.5</v>
      </c>
      <c r="P302" s="23" t="n">
        <v>297</v>
      </c>
      <c r="Q302" s="61" t="n">
        <f aca="false">1.15+((P302-254)/77)*(0.35-1.15)</f>
        <v>0.703246753246753</v>
      </c>
      <c r="R302" s="25" t="n">
        <f aca="false">Q302*L302</f>
        <v>1.40649350649351</v>
      </c>
      <c r="S302" s="25" t="n">
        <f aca="false">J302-R302</f>
        <v>3.79350649350649</v>
      </c>
      <c r="T302" s="26" t="n">
        <f aca="false">MIN(153.6,(T301+S302))</f>
        <v>10.3831842456609</v>
      </c>
      <c r="V302" s="34" t="n">
        <v>878.4</v>
      </c>
      <c r="W302" s="23" t="n">
        <f aca="false">V302/D302</f>
        <v>54.5590062111801</v>
      </c>
      <c r="X302" s="23" t="n">
        <f aca="false">X301+V302</f>
        <v>255597.6</v>
      </c>
      <c r="Y302" s="23" t="n">
        <f aca="false">Y301+V302</f>
        <v>43119.8</v>
      </c>
      <c r="AA302" s="23" t="n">
        <v>16.4597385008355</v>
      </c>
    </row>
    <row r="303" s="49" customFormat="true" ht="15" hidden="false" customHeight="false" outlineLevel="0" collapsed="false">
      <c r="B303" s="90"/>
      <c r="C303" s="48" t="n">
        <v>41819</v>
      </c>
      <c r="D303" s="49" t="n">
        <v>14.7</v>
      </c>
      <c r="E303" s="49" t="n">
        <v>13.3</v>
      </c>
      <c r="F303" s="49" t="n">
        <v>17.2</v>
      </c>
      <c r="G303" s="49" t="n">
        <f aca="false">G302+D303</f>
        <v>3098</v>
      </c>
      <c r="H303" s="49" t="n">
        <f aca="false">H302+D303</f>
        <v>418.8</v>
      </c>
      <c r="J303" s="49" t="n">
        <v>3.2</v>
      </c>
      <c r="K303" s="49" t="n">
        <f aca="false">K302+J303</f>
        <v>751.000000000001</v>
      </c>
      <c r="L303" s="49" t="n">
        <v>2.3</v>
      </c>
      <c r="M303" s="49" t="n">
        <f aca="false">M302+L303</f>
        <v>551.8</v>
      </c>
      <c r="N303" s="49" t="n">
        <f aca="false">J303-L303</f>
        <v>0.9</v>
      </c>
      <c r="O303" s="91" t="n">
        <v>24.4</v>
      </c>
      <c r="P303" s="49" t="n">
        <v>298</v>
      </c>
      <c r="Q303" s="17" t="n">
        <f aca="false">1.15+((P303-254)/77)*(0.35-1.15)</f>
        <v>0.692857142857143</v>
      </c>
      <c r="R303" s="52" t="n">
        <f aca="false">Q303*L303</f>
        <v>1.59357142857143</v>
      </c>
      <c r="S303" s="52" t="n">
        <f aca="false">J303-R303</f>
        <v>1.60642857142857</v>
      </c>
      <c r="T303" s="52" t="n">
        <f aca="false">MIN(153.6,(T302+S303))</f>
        <v>11.9896128170894</v>
      </c>
      <c r="V303" s="49" t="n">
        <v>1060.7</v>
      </c>
      <c r="W303" s="49" t="n">
        <f aca="false">V303/D303</f>
        <v>72.156462585034</v>
      </c>
      <c r="X303" s="49" t="n">
        <f aca="false">X302+V303</f>
        <v>256658.3</v>
      </c>
      <c r="Y303" s="49" t="n">
        <f aca="false">Y302+V303</f>
        <v>44180.5</v>
      </c>
      <c r="AA303" s="49" t="n">
        <v>16.4493568276253</v>
      </c>
    </row>
    <row r="304" s="8" customFormat="true" ht="15" hidden="false" customHeight="false" outlineLevel="0" collapsed="false">
      <c r="A304" s="78"/>
      <c r="B304" s="75"/>
      <c r="C304" s="11" t="n">
        <v>41820</v>
      </c>
      <c r="D304" s="8" t="n">
        <v>15.5</v>
      </c>
      <c r="E304" s="8" t="n">
        <v>11.1</v>
      </c>
      <c r="F304" s="8" t="n">
        <v>18.7</v>
      </c>
      <c r="G304" s="8" t="n">
        <f aca="false">G303+D304</f>
        <v>3113.5</v>
      </c>
      <c r="H304" s="8" t="n">
        <f aca="false">H303+D304</f>
        <v>434.3</v>
      </c>
      <c r="J304" s="8" t="n">
        <v>1</v>
      </c>
      <c r="K304" s="8" t="n">
        <f aca="false">K303+J304</f>
        <v>752.000000000001</v>
      </c>
      <c r="L304" s="8" t="n">
        <v>2.5</v>
      </c>
      <c r="M304" s="8" t="n">
        <f aca="false">M303+L304</f>
        <v>554.3</v>
      </c>
      <c r="N304" s="14" t="n">
        <f aca="false">J304-L304</f>
        <v>-1.5</v>
      </c>
      <c r="O304" s="74" t="n">
        <v>22.9</v>
      </c>
      <c r="P304" s="8" t="n">
        <v>299</v>
      </c>
      <c r="Q304" s="17" t="n">
        <f aca="false">1.15+((P304-254)/77)*(0.35-1.15)</f>
        <v>0.682467532467532</v>
      </c>
      <c r="R304" s="15" t="n">
        <f aca="false">Q304*L304</f>
        <v>1.70616883116883</v>
      </c>
      <c r="S304" s="15" t="n">
        <f aca="false">J304-R304</f>
        <v>-0.706168831168831</v>
      </c>
      <c r="T304" s="15" t="n">
        <f aca="false">MIN(153.6,(T303+S304))</f>
        <v>11.2834439859206</v>
      </c>
      <c r="V304" s="8" t="n">
        <v>1285.1</v>
      </c>
      <c r="W304" s="8" t="n">
        <f aca="false">V304/D304</f>
        <v>82.9096774193548</v>
      </c>
      <c r="X304" s="8" t="n">
        <f aca="false">X303+V304</f>
        <v>257943.4</v>
      </c>
      <c r="Y304" s="8" t="n">
        <f aca="false">Y303+V304</f>
        <v>45465.6</v>
      </c>
      <c r="AA304" s="8" t="n">
        <v>16.4374114870458</v>
      </c>
    </row>
    <row r="305" s="8" customFormat="true" ht="15" hidden="false" customHeight="false" outlineLevel="0" collapsed="false">
      <c r="A305" s="78"/>
      <c r="B305" s="75"/>
      <c r="C305" s="11" t="n">
        <v>41821</v>
      </c>
      <c r="D305" s="8" t="n">
        <v>16.1</v>
      </c>
      <c r="E305" s="8" t="n">
        <v>12.9</v>
      </c>
      <c r="F305" s="8" t="n">
        <v>19.4</v>
      </c>
      <c r="G305" s="8" t="n">
        <f aca="false">G304+D305</f>
        <v>3129.6</v>
      </c>
      <c r="H305" s="8" t="n">
        <f aca="false">H304+D305</f>
        <v>450.4</v>
      </c>
      <c r="J305" s="8" t="n">
        <v>0</v>
      </c>
      <c r="K305" s="8" t="n">
        <f aca="false">K304+J305</f>
        <v>752.000000000001</v>
      </c>
      <c r="L305" s="8" t="n">
        <v>4.9</v>
      </c>
      <c r="M305" s="8" t="n">
        <f aca="false">M304+L305</f>
        <v>559.2</v>
      </c>
      <c r="N305" s="14" t="n">
        <f aca="false">J305-L305</f>
        <v>-4.9</v>
      </c>
      <c r="O305" s="74" t="n">
        <v>18</v>
      </c>
      <c r="P305" s="8" t="n">
        <v>300</v>
      </c>
      <c r="Q305" s="17" t="n">
        <f aca="false">1.15+((P305-254)/77)*(0.35-1.15)</f>
        <v>0.672077922077922</v>
      </c>
      <c r="R305" s="15" t="n">
        <f aca="false">Q305*L305</f>
        <v>3.29318181818182</v>
      </c>
      <c r="S305" s="15" t="n">
        <f aca="false">J305-R305</f>
        <v>-3.29318181818182</v>
      </c>
      <c r="T305" s="15" t="n">
        <f aca="false">MIN(153.6,(T304+S305))</f>
        <v>7.99026216773879</v>
      </c>
      <c r="V305" s="8" t="n">
        <v>2708.2</v>
      </c>
      <c r="W305" s="8" t="n">
        <f aca="false">V305/D305</f>
        <v>168.211180124224</v>
      </c>
      <c r="X305" s="8" t="n">
        <f aca="false">X304+V305</f>
        <v>260651.6</v>
      </c>
      <c r="Y305" s="8" t="n">
        <f aca="false">Y304+V305</f>
        <v>48173.8</v>
      </c>
      <c r="AA305" s="8" t="n">
        <v>16.4239162002015</v>
      </c>
    </row>
    <row r="306" s="8" customFormat="true" ht="15" hidden="false" customHeight="false" outlineLevel="0" collapsed="false">
      <c r="A306" s="78"/>
      <c r="B306" s="75"/>
      <c r="C306" s="11" t="n">
        <v>41822</v>
      </c>
      <c r="D306" s="8" t="n">
        <v>17.2</v>
      </c>
      <c r="E306" s="8" t="n">
        <v>12</v>
      </c>
      <c r="F306" s="8" t="n">
        <v>21.2</v>
      </c>
      <c r="G306" s="8" t="n">
        <f aca="false">G305+D306</f>
        <v>3146.8</v>
      </c>
      <c r="H306" s="8" t="n">
        <f aca="false">H305+D306</f>
        <v>467.6</v>
      </c>
      <c r="J306" s="8" t="n">
        <v>0</v>
      </c>
      <c r="K306" s="8" t="n">
        <f aca="false">K305+J306</f>
        <v>752.000000000001</v>
      </c>
      <c r="L306" s="8" t="n">
        <v>5.1</v>
      </c>
      <c r="M306" s="8" t="n">
        <f aca="false">M305+L306</f>
        <v>564.3</v>
      </c>
      <c r="N306" s="14" t="n">
        <f aca="false">J306-L306</f>
        <v>-5.1</v>
      </c>
      <c r="O306" s="74" t="n">
        <v>12.9</v>
      </c>
      <c r="P306" s="8" t="n">
        <v>301</v>
      </c>
      <c r="Q306" s="17" t="n">
        <f aca="false">1.15+((P306-254)/77)*(0.35-1.15)</f>
        <v>0.661688311688312</v>
      </c>
      <c r="R306" s="15" t="n">
        <f aca="false">Q306*L306</f>
        <v>3.37461038961039</v>
      </c>
      <c r="S306" s="15" t="n">
        <f aca="false">J306-R306</f>
        <v>-3.37461038961039</v>
      </c>
      <c r="T306" s="15" t="n">
        <f aca="false">MIN(153.6,(T305+S306))</f>
        <v>4.6156517781284</v>
      </c>
      <c r="V306" s="8" t="n">
        <v>2948.5</v>
      </c>
      <c r="W306" s="8" t="n">
        <f aca="false">V306/D306</f>
        <v>171.424418604651</v>
      </c>
      <c r="X306" s="8" t="n">
        <f aca="false">X305+V306</f>
        <v>263600.1</v>
      </c>
      <c r="Y306" s="8" t="n">
        <f aca="false">Y305+V306</f>
        <v>51122.3</v>
      </c>
      <c r="AA306" s="8" t="n">
        <v>16.408886259585</v>
      </c>
    </row>
    <row r="307" s="8" customFormat="true" ht="15" hidden="false" customHeight="false" outlineLevel="0" collapsed="false">
      <c r="A307" s="78"/>
      <c r="B307" s="75"/>
      <c r="C307" s="11" t="n">
        <v>41823</v>
      </c>
      <c r="D307" s="8" t="n">
        <v>20.5</v>
      </c>
      <c r="E307" s="8" t="n">
        <v>14.4</v>
      </c>
      <c r="F307" s="8" t="n">
        <v>25.8</v>
      </c>
      <c r="G307" s="8" t="n">
        <f aca="false">G306+D307</f>
        <v>3167.3</v>
      </c>
      <c r="H307" s="8" t="n">
        <f aca="false">H306+D307</f>
        <v>488.1</v>
      </c>
      <c r="J307" s="8" t="n">
        <v>0</v>
      </c>
      <c r="K307" s="8" t="n">
        <f aca="false">K306+J307</f>
        <v>752.000000000001</v>
      </c>
      <c r="L307" s="8" t="n">
        <v>5.7</v>
      </c>
      <c r="M307" s="8" t="n">
        <f aca="false">M306+L307</f>
        <v>570</v>
      </c>
      <c r="N307" s="14" t="n">
        <f aca="false">J307-L307</f>
        <v>-5.7</v>
      </c>
      <c r="O307" s="74" t="n">
        <v>7.20000000000004</v>
      </c>
      <c r="P307" s="8" t="n">
        <v>302</v>
      </c>
      <c r="Q307" s="17" t="n">
        <f aca="false">1.15+((P307-254)/77)*(0.35-1.15)</f>
        <v>0.651298701298701</v>
      </c>
      <c r="R307" s="15" t="n">
        <f aca="false">Q307*L307</f>
        <v>3.7124025974026</v>
      </c>
      <c r="S307" s="15" t="n">
        <f aca="false">J307-R307</f>
        <v>-3.7124025974026</v>
      </c>
      <c r="T307" s="15" t="n">
        <f aca="false">MIN(153.6,(T306+S307))</f>
        <v>0.903249180725803</v>
      </c>
      <c r="V307" s="8" t="n">
        <v>2834.9</v>
      </c>
      <c r="W307" s="8" t="n">
        <f aca="false">V307/D307</f>
        <v>138.287804878049</v>
      </c>
      <c r="X307" s="8" t="n">
        <f aca="false">X306+V307</f>
        <v>266435</v>
      </c>
      <c r="Y307" s="8" t="n">
        <f aca="false">Y306+V307</f>
        <v>53957.2</v>
      </c>
      <c r="AA307" s="8" t="n">
        <v>16.3923384670814</v>
      </c>
    </row>
    <row r="308" s="8" customFormat="true" ht="15" hidden="false" customHeight="false" outlineLevel="0" collapsed="false">
      <c r="A308" s="78"/>
      <c r="B308" s="75"/>
      <c r="C308" s="11" t="n">
        <v>41824</v>
      </c>
      <c r="D308" s="8" t="n">
        <v>20.8</v>
      </c>
      <c r="E308" s="8" t="n">
        <v>16</v>
      </c>
      <c r="F308" s="8" t="n">
        <v>24</v>
      </c>
      <c r="G308" s="8" t="n">
        <f aca="false">G307+D308</f>
        <v>3188.1</v>
      </c>
      <c r="H308" s="8" t="n">
        <f aca="false">H307+D308</f>
        <v>508.9</v>
      </c>
      <c r="J308" s="8" t="n">
        <v>1.6</v>
      </c>
      <c r="K308" s="8" t="n">
        <f aca="false">K307+J308</f>
        <v>753.600000000001</v>
      </c>
      <c r="L308" s="8" t="n">
        <v>2.6</v>
      </c>
      <c r="M308" s="8" t="n">
        <f aca="false">M307+L308</f>
        <v>572.6</v>
      </c>
      <c r="N308" s="14" t="n">
        <f aca="false">J308-L308</f>
        <v>-1</v>
      </c>
      <c r="O308" s="74" t="n">
        <v>6.20000000000004</v>
      </c>
      <c r="P308" s="8" t="n">
        <v>303</v>
      </c>
      <c r="Q308" s="17" t="n">
        <f aca="false">1.15+((P308-254)/77)*(0.35-1.15)</f>
        <v>0.640909090909091</v>
      </c>
      <c r="R308" s="15" t="n">
        <f aca="false">Q308*L308</f>
        <v>1.66636363636364</v>
      </c>
      <c r="S308" s="15" t="n">
        <f aca="false">J308-R308</f>
        <v>-0.0663636363636362</v>
      </c>
      <c r="T308" s="15" t="n">
        <f aca="false">MIN(153.6,(T307+S308))</f>
        <v>0.836885544362167</v>
      </c>
      <c r="V308" s="8" t="n">
        <v>1270.6</v>
      </c>
      <c r="W308" s="8" t="n">
        <f aca="false">V308/D308</f>
        <v>61.0865384615385</v>
      </c>
      <c r="X308" s="8" t="n">
        <f aca="false">X307+V308</f>
        <v>267705.6</v>
      </c>
      <c r="Y308" s="8" t="n">
        <f aca="false">Y307+V308</f>
        <v>55227.8</v>
      </c>
      <c r="AA308" s="8" t="n">
        <v>16.3742910668807</v>
      </c>
    </row>
    <row r="309" s="8" customFormat="true" ht="15" hidden="false" customHeight="false" outlineLevel="0" collapsed="false">
      <c r="A309" s="78"/>
      <c r="B309" s="75"/>
      <c r="C309" s="11" t="n">
        <v>41825</v>
      </c>
      <c r="D309" s="8" t="n">
        <v>18.5</v>
      </c>
      <c r="E309" s="8" t="n">
        <v>17.2</v>
      </c>
      <c r="F309" s="8" t="n">
        <v>19.7</v>
      </c>
      <c r="G309" s="8" t="n">
        <f aca="false">G308+D309</f>
        <v>3206.6</v>
      </c>
      <c r="H309" s="8" t="n">
        <f aca="false">H308+D309</f>
        <v>527.4</v>
      </c>
      <c r="J309" s="8" t="n">
        <v>4.7</v>
      </c>
      <c r="K309" s="8" t="n">
        <f aca="false">K308+J309</f>
        <v>758.300000000001</v>
      </c>
      <c r="L309" s="8" t="n">
        <v>1.3</v>
      </c>
      <c r="M309" s="8" t="n">
        <f aca="false">M308+L309</f>
        <v>573.9</v>
      </c>
      <c r="N309" s="8" t="n">
        <f aca="false">J309-L309</f>
        <v>3.4</v>
      </c>
      <c r="O309" s="74" t="n">
        <v>9.60000000000004</v>
      </c>
      <c r="P309" s="8" t="n">
        <v>304</v>
      </c>
      <c r="Q309" s="17" t="n">
        <f aca="false">1.15+((P309-254)/77)*(0.35-1.15)</f>
        <v>0.630519480519481</v>
      </c>
      <c r="R309" s="15" t="n">
        <f aca="false">Q309*L309</f>
        <v>0.819675324675325</v>
      </c>
      <c r="S309" s="15" t="n">
        <f aca="false">J309-R309</f>
        <v>3.88032467532468</v>
      </c>
      <c r="T309" s="15" t="n">
        <f aca="false">MIN(153.6,(T308+S309))</f>
        <v>4.71721021968684</v>
      </c>
      <c r="V309" s="8" t="n">
        <v>471</v>
      </c>
      <c r="W309" s="8" t="n">
        <f aca="false">V309/D309</f>
        <v>25.4594594594595</v>
      </c>
      <c r="X309" s="8" t="n">
        <f aca="false">X308+V309</f>
        <v>268176.6</v>
      </c>
      <c r="Y309" s="8" t="n">
        <f aca="false">Y308+V309</f>
        <v>55698.8</v>
      </c>
      <c r="AA309" s="8" t="n">
        <v>16.3547636738504</v>
      </c>
    </row>
    <row r="310" s="8" customFormat="true" ht="15" hidden="false" customHeight="false" outlineLevel="0" collapsed="false">
      <c r="A310" s="78"/>
      <c r="B310" s="75"/>
      <c r="C310" s="11" t="n">
        <v>41826</v>
      </c>
      <c r="D310" s="8" t="n">
        <v>16.6</v>
      </c>
      <c r="E310" s="8" t="n">
        <v>16.4</v>
      </c>
      <c r="F310" s="8" t="n">
        <v>18</v>
      </c>
      <c r="G310" s="8" t="n">
        <f aca="false">G309+D310</f>
        <v>3223.2</v>
      </c>
      <c r="H310" s="8" t="n">
        <f aca="false">H309+D310</f>
        <v>544</v>
      </c>
      <c r="J310" s="8" t="n">
        <v>12.5</v>
      </c>
      <c r="K310" s="8" t="n">
        <f aca="false">K309+J310</f>
        <v>770.800000000001</v>
      </c>
      <c r="L310" s="8" t="n">
        <v>1.7</v>
      </c>
      <c r="M310" s="8" t="n">
        <f aca="false">M309+L310</f>
        <v>575.6</v>
      </c>
      <c r="N310" s="8" t="n">
        <f aca="false">J310-L310</f>
        <v>10.8</v>
      </c>
      <c r="O310" s="74" t="n">
        <v>20.4</v>
      </c>
      <c r="P310" s="8" t="n">
        <v>305</v>
      </c>
      <c r="Q310" s="17" t="n">
        <f aca="false">1.15+((P310-254)/77)*(0.35-1.15)</f>
        <v>0.62012987012987</v>
      </c>
      <c r="R310" s="15" t="n">
        <f aca="false">Q310*L310</f>
        <v>1.05422077922078</v>
      </c>
      <c r="S310" s="15" t="n">
        <f aca="false">J310-R310</f>
        <v>11.4457792207792</v>
      </c>
      <c r="T310" s="15" t="n">
        <f aca="false">MIN(153.6,(T309+S310))</f>
        <v>16.1629894404661</v>
      </c>
      <c r="V310" s="8" t="n">
        <v>667.6</v>
      </c>
      <c r="W310" s="8" t="n">
        <f aca="false">V310/D310</f>
        <v>40.2168674698795</v>
      </c>
      <c r="X310" s="8" t="n">
        <f aca="false">X309+V310</f>
        <v>268844.2</v>
      </c>
      <c r="Y310" s="8" t="n">
        <f aca="false">Y309+V310</f>
        <v>56366.4</v>
      </c>
      <c r="AA310" s="8" t="n">
        <v>16.33377719794</v>
      </c>
    </row>
    <row r="311" s="8" customFormat="true" ht="15" hidden="false" customHeight="false" outlineLevel="0" collapsed="false">
      <c r="A311" s="78"/>
      <c r="B311" s="75"/>
      <c r="C311" s="11" t="n">
        <v>41827</v>
      </c>
      <c r="D311" s="8" t="n">
        <v>16.9</v>
      </c>
      <c r="E311" s="8" t="n">
        <v>12.1</v>
      </c>
      <c r="F311" s="8" t="n">
        <v>20</v>
      </c>
      <c r="G311" s="8" t="n">
        <f aca="false">G310+D311</f>
        <v>3240.1</v>
      </c>
      <c r="H311" s="8" t="n">
        <f aca="false">H310+D311</f>
        <v>560.9</v>
      </c>
      <c r="J311" s="8" t="n">
        <v>4.9</v>
      </c>
      <c r="K311" s="8" t="n">
        <f aca="false">K310+J311</f>
        <v>775.700000000001</v>
      </c>
      <c r="L311" s="8" t="n">
        <v>3</v>
      </c>
      <c r="M311" s="8" t="n">
        <f aca="false">M310+L311</f>
        <v>578.6</v>
      </c>
      <c r="N311" s="8" t="n">
        <f aca="false">J311-L311</f>
        <v>1.9</v>
      </c>
      <c r="O311" s="74" t="n">
        <v>22.3</v>
      </c>
      <c r="P311" s="8" t="n">
        <v>306</v>
      </c>
      <c r="Q311" s="17" t="n">
        <f aca="false">1.15+((P311-254)/77)*(0.35-1.15)</f>
        <v>0.60974025974026</v>
      </c>
      <c r="R311" s="15" t="n">
        <f aca="false">Q311*L311</f>
        <v>1.82922077922078</v>
      </c>
      <c r="S311" s="15" t="n">
        <f aca="false">J311-R311</f>
        <v>3.07077922077922</v>
      </c>
      <c r="T311" s="15" t="n">
        <f aca="false">MIN(153.6,(T310+S311))</f>
        <v>19.2337686612453</v>
      </c>
      <c r="V311" s="8" t="n">
        <v>1949.1</v>
      </c>
      <c r="W311" s="8" t="n">
        <f aca="false">V311/D311</f>
        <v>115.331360946746</v>
      </c>
      <c r="X311" s="8" t="n">
        <f aca="false">X310+V311</f>
        <v>270793.3</v>
      </c>
      <c r="Y311" s="8" t="n">
        <f aca="false">Y310+V311</f>
        <v>58315.5</v>
      </c>
      <c r="AA311" s="8" t="n">
        <v>16.3113537652065</v>
      </c>
    </row>
    <row r="312" s="8" customFormat="true" ht="15" hidden="false" customHeight="false" outlineLevel="0" collapsed="false">
      <c r="A312" s="78"/>
      <c r="B312" s="75"/>
      <c r="C312" s="11" t="n">
        <v>41828</v>
      </c>
      <c r="D312" s="8" t="n">
        <v>16.1</v>
      </c>
      <c r="E312" s="8" t="n">
        <v>14.3</v>
      </c>
      <c r="F312" s="8" t="n">
        <v>17.7</v>
      </c>
      <c r="G312" s="8" t="n">
        <f aca="false">G311+D312</f>
        <v>3256.2</v>
      </c>
      <c r="H312" s="8" t="n">
        <f aca="false">H311+D312</f>
        <v>577</v>
      </c>
      <c r="J312" s="8" t="n">
        <v>7.1</v>
      </c>
      <c r="K312" s="8" t="n">
        <f aca="false">K311+J312</f>
        <v>782.800000000001</v>
      </c>
      <c r="L312" s="8" t="n">
        <v>1.1</v>
      </c>
      <c r="M312" s="8" t="n">
        <f aca="false">M311+L312</f>
        <v>579.7</v>
      </c>
      <c r="N312" s="8" t="n">
        <f aca="false">J312-L312</f>
        <v>6</v>
      </c>
      <c r="O312" s="74" t="n">
        <v>28.3</v>
      </c>
      <c r="P312" s="8" t="n">
        <v>307</v>
      </c>
      <c r="Q312" s="17" t="n">
        <f aca="false">1.15+((P312-254)/77)*(0.35-1.15)</f>
        <v>0.599350649350649</v>
      </c>
      <c r="R312" s="15" t="n">
        <f aca="false">Q312*L312</f>
        <v>0.659285714285714</v>
      </c>
      <c r="S312" s="15" t="n">
        <f aca="false">J312-R312</f>
        <v>6.44071428571429</v>
      </c>
      <c r="T312" s="15" t="n">
        <f aca="false">MIN(153.6,(T311+S312))</f>
        <v>25.6744829469596</v>
      </c>
      <c r="V312" s="8" t="n">
        <v>699.6</v>
      </c>
      <c r="W312" s="8" t="n">
        <f aca="false">V312/D312</f>
        <v>43.4534161490683</v>
      </c>
      <c r="X312" s="8" t="n">
        <f aca="false">X311+V312</f>
        <v>271492.9</v>
      </c>
      <c r="Y312" s="8" t="n">
        <f aca="false">Y311+V312</f>
        <v>59015.1</v>
      </c>
      <c r="AA312" s="8" t="n">
        <v>16.2875166360552</v>
      </c>
    </row>
    <row r="313" s="8" customFormat="true" ht="15" hidden="false" customHeight="false" outlineLevel="0" collapsed="false">
      <c r="A313" s="78"/>
      <c r="B313" s="75"/>
      <c r="C313" s="11" t="n">
        <v>41829</v>
      </c>
      <c r="D313" s="8" t="n">
        <v>14.5</v>
      </c>
      <c r="E313" s="8" t="n">
        <v>14.1</v>
      </c>
      <c r="F313" s="8" t="n">
        <v>16.1</v>
      </c>
      <c r="G313" s="8" t="n">
        <f aca="false">G312+D313</f>
        <v>3270.7</v>
      </c>
      <c r="H313" s="8" t="n">
        <f aca="false">H312+D313</f>
        <v>591.5</v>
      </c>
      <c r="J313" s="8" t="n">
        <v>23.2</v>
      </c>
      <c r="K313" s="8" t="n">
        <f aca="false">K312+J313</f>
        <v>806.000000000001</v>
      </c>
      <c r="L313" s="8" t="n">
        <v>1.3</v>
      </c>
      <c r="M313" s="8" t="n">
        <f aca="false">M312+L313</f>
        <v>581</v>
      </c>
      <c r="N313" s="8" t="n">
        <f aca="false">J313-L313</f>
        <v>21.9</v>
      </c>
      <c r="O313" s="74" t="n">
        <v>50.2</v>
      </c>
      <c r="P313" s="8" t="n">
        <v>308</v>
      </c>
      <c r="Q313" s="17" t="n">
        <f aca="false">1.15+((P313-254)/77)*(0.35-1.15)</f>
        <v>0.588961038961039</v>
      </c>
      <c r="R313" s="15" t="n">
        <f aca="false">Q313*L313</f>
        <v>0.765649350649351</v>
      </c>
      <c r="S313" s="15" t="n">
        <f aca="false">J313-R313</f>
        <v>22.4343506493506</v>
      </c>
      <c r="T313" s="15" t="n">
        <f aca="false">MIN(153.6,(T312+S313))</f>
        <v>48.1088335963102</v>
      </c>
      <c r="V313" s="8" t="n">
        <v>460.4</v>
      </c>
      <c r="W313" s="8" t="n">
        <f aca="false">V313/D313</f>
        <v>31.751724137931</v>
      </c>
      <c r="X313" s="8" t="n">
        <f aca="false">X312+V313</f>
        <v>271953.3</v>
      </c>
      <c r="Y313" s="8" t="n">
        <f aca="false">Y312+V313</f>
        <v>59475.5</v>
      </c>
      <c r="AA313" s="8" t="n">
        <v>16.2622901212915</v>
      </c>
    </row>
    <row r="314" s="8" customFormat="true" ht="15" hidden="false" customHeight="false" outlineLevel="0" collapsed="false">
      <c r="A314" s="78"/>
      <c r="B314" s="75"/>
      <c r="C314" s="11" t="n">
        <v>41830</v>
      </c>
      <c r="D314" s="8" t="n">
        <v>16.3</v>
      </c>
      <c r="E314" s="8" t="n">
        <v>14.6</v>
      </c>
      <c r="F314" s="8" t="n">
        <v>17.2</v>
      </c>
      <c r="G314" s="8" t="n">
        <f aca="false">G313+D314</f>
        <v>3287</v>
      </c>
      <c r="H314" s="8" t="n">
        <f aca="false">H313+D314</f>
        <v>607.8</v>
      </c>
      <c r="J314" s="8" t="n">
        <v>9.1</v>
      </c>
      <c r="K314" s="8" t="n">
        <f aca="false">K313+J314</f>
        <v>815.100000000001</v>
      </c>
      <c r="L314" s="8" t="n">
        <v>0.7</v>
      </c>
      <c r="M314" s="8" t="n">
        <f aca="false">M313+L314</f>
        <v>581.7</v>
      </c>
      <c r="N314" s="8" t="n">
        <f aca="false">J314-L314</f>
        <v>8.4</v>
      </c>
      <c r="O314" s="8" t="n">
        <v>58.6</v>
      </c>
      <c r="P314" s="8" t="n">
        <v>309</v>
      </c>
      <c r="Q314" s="17" t="n">
        <f aca="false">1.15+((P314-254)/77)*(0.35-1.15)</f>
        <v>0.578571428571429</v>
      </c>
      <c r="R314" s="15" t="n">
        <f aca="false">Q314*L314</f>
        <v>0.405</v>
      </c>
      <c r="S314" s="15" t="n">
        <f aca="false">J314-R314</f>
        <v>8.695</v>
      </c>
      <c r="T314" s="15" t="n">
        <f aca="false">MIN(153.6,(T313+S314))</f>
        <v>56.8038335963102</v>
      </c>
      <c r="V314" s="8" t="n">
        <v>474.7</v>
      </c>
      <c r="W314" s="8" t="n">
        <f aca="false">V314/D314</f>
        <v>29.1226993865031</v>
      </c>
      <c r="X314" s="8" t="n">
        <f aca="false">X313+V314</f>
        <v>272428</v>
      </c>
      <c r="Y314" s="8" t="n">
        <f aca="false">Y313+V314</f>
        <v>59950.2</v>
      </c>
      <c r="AA314" s="8" t="n">
        <v>16.2356994965715</v>
      </c>
    </row>
    <row r="315" s="8" customFormat="true" ht="15" hidden="false" customHeight="false" outlineLevel="0" collapsed="false">
      <c r="A315" s="78"/>
      <c r="B315" s="75"/>
      <c r="C315" s="11" t="n">
        <v>41831</v>
      </c>
      <c r="D315" s="8" t="n">
        <v>16.4</v>
      </c>
      <c r="E315" s="8" t="n">
        <v>15.3</v>
      </c>
      <c r="F315" s="8" t="n">
        <v>17.3</v>
      </c>
      <c r="G315" s="8" t="n">
        <f aca="false">G314+D315</f>
        <v>3303.4</v>
      </c>
      <c r="H315" s="8" t="n">
        <f aca="false">H314+D315</f>
        <v>624.2</v>
      </c>
      <c r="J315" s="8" t="n">
        <v>1.4</v>
      </c>
      <c r="K315" s="8" t="n">
        <f aca="false">K314+J315</f>
        <v>816.500000000001</v>
      </c>
      <c r="L315" s="8" t="n">
        <v>0.9</v>
      </c>
      <c r="M315" s="8" t="n">
        <f aca="false">M314+L315</f>
        <v>582.6</v>
      </c>
      <c r="N315" s="8" t="n">
        <f aca="false">J315-L315</f>
        <v>0.5</v>
      </c>
      <c r="O315" s="8" t="n">
        <v>59.1</v>
      </c>
      <c r="P315" s="8" t="n">
        <v>310</v>
      </c>
      <c r="Q315" s="17" t="n">
        <f aca="false">1.15+((P315-254)/77)*(0.35-1.15)</f>
        <v>0.568181818181818</v>
      </c>
      <c r="R315" s="15" t="n">
        <f aca="false">Q315*L315</f>
        <v>0.511363636363636</v>
      </c>
      <c r="S315" s="15" t="n">
        <f aca="false">J315-R315</f>
        <v>0.888636363636364</v>
      </c>
      <c r="T315" s="15" t="n">
        <f aca="false">MIN(153.6,(T314+S315))</f>
        <v>57.6924699599466</v>
      </c>
      <c r="V315" s="8" t="n">
        <v>385.4</v>
      </c>
      <c r="W315" s="8" t="n">
        <f aca="false">V315/D315</f>
        <v>23.5</v>
      </c>
      <c r="X315" s="8" t="n">
        <f aca="false">X314+V315</f>
        <v>272813.4</v>
      </c>
      <c r="Y315" s="8" t="n">
        <f aca="false">Y314+V315</f>
        <v>60335.6</v>
      </c>
      <c r="AA315" s="8" t="n">
        <v>16.2077709158279</v>
      </c>
    </row>
    <row r="316" s="8" customFormat="true" ht="15" hidden="false" customHeight="false" outlineLevel="0" collapsed="false">
      <c r="A316" s="78"/>
      <c r="B316" s="75"/>
      <c r="C316" s="11" t="n">
        <v>41832</v>
      </c>
      <c r="D316" s="8" t="n">
        <v>17.6</v>
      </c>
      <c r="E316" s="8" t="n">
        <v>15</v>
      </c>
      <c r="F316" s="8" t="n">
        <v>19.8</v>
      </c>
      <c r="G316" s="8" t="n">
        <f aca="false">G315+D316</f>
        <v>3321</v>
      </c>
      <c r="H316" s="8" t="n">
        <f aca="false">H315+D316</f>
        <v>641.8</v>
      </c>
      <c r="J316" s="8" t="n">
        <v>0</v>
      </c>
      <c r="K316" s="8" t="n">
        <f aca="false">K315+J316</f>
        <v>816.500000000001</v>
      </c>
      <c r="L316" s="8" t="n">
        <v>1.6</v>
      </c>
      <c r="M316" s="8" t="n">
        <f aca="false">M315+L316</f>
        <v>584.2</v>
      </c>
      <c r="N316" s="14" t="n">
        <f aca="false">J316-L316</f>
        <v>-1.6</v>
      </c>
      <c r="O316" s="8" t="n">
        <v>57.5</v>
      </c>
      <c r="P316" s="8" t="n">
        <v>311</v>
      </c>
      <c r="Q316" s="17" t="n">
        <f aca="false">1.15+((P316-254)/77)*(0.35-1.15)</f>
        <v>0.557792207792208</v>
      </c>
      <c r="R316" s="15" t="n">
        <f aca="false">Q316*L316</f>
        <v>0.892467532467532</v>
      </c>
      <c r="S316" s="15" t="n">
        <f aca="false">J316-R316</f>
        <v>-0.892467532467532</v>
      </c>
      <c r="T316" s="15" t="n">
        <f aca="false">MIN(153.6,(T315+S316))</f>
        <v>56.8000024274791</v>
      </c>
      <c r="V316" s="8" t="n">
        <v>532.9</v>
      </c>
      <c r="W316" s="8" t="n">
        <f aca="false">V316/D316</f>
        <v>30.2784090909091</v>
      </c>
      <c r="X316" s="8" t="n">
        <f aca="false">X315+V316</f>
        <v>273346.3</v>
      </c>
      <c r="Y316" s="8" t="n">
        <f aca="false">Y315+V316</f>
        <v>60868.5</v>
      </c>
      <c r="AA316" s="8" t="n">
        <v>16.178531324226</v>
      </c>
    </row>
    <row r="317" s="8" customFormat="true" ht="15" hidden="false" customHeight="false" outlineLevel="0" collapsed="false">
      <c r="A317" s="78"/>
      <c r="B317" s="75"/>
      <c r="C317" s="11" t="n">
        <v>41833</v>
      </c>
      <c r="D317" s="8" t="n">
        <v>18.2</v>
      </c>
      <c r="E317" s="8" t="n">
        <v>16.3</v>
      </c>
      <c r="F317" s="8" t="n">
        <v>19.6</v>
      </c>
      <c r="G317" s="8" t="n">
        <f aca="false">G316+D317</f>
        <v>3339.2</v>
      </c>
      <c r="H317" s="8" t="n">
        <f aca="false">H316+D317</f>
        <v>660</v>
      </c>
      <c r="J317" s="8" t="n">
        <v>2.3</v>
      </c>
      <c r="K317" s="8" t="n">
        <f aca="false">K316+J317</f>
        <v>818.800000000001</v>
      </c>
      <c r="L317" s="8" t="n">
        <v>1.8</v>
      </c>
      <c r="M317" s="8" t="n">
        <f aca="false">M316+L317</f>
        <v>586</v>
      </c>
      <c r="N317" s="8" t="n">
        <f aca="false">J317-L317</f>
        <v>0.5</v>
      </c>
      <c r="O317" s="8" t="n">
        <v>58</v>
      </c>
      <c r="P317" s="8" t="n">
        <v>312</v>
      </c>
      <c r="Q317" s="17" t="n">
        <f aca="false">1.15+((P317-254)/77)*(0.35-1.15)</f>
        <v>0.547402597402597</v>
      </c>
      <c r="R317" s="15" t="n">
        <f aca="false">Q317*L317</f>
        <v>0.985324675324675</v>
      </c>
      <c r="S317" s="15" t="n">
        <f aca="false">J317-R317</f>
        <v>1.31467532467532</v>
      </c>
      <c r="T317" s="15" t="n">
        <f aca="false">MIN(153.6,(T316+S317))</f>
        <v>58.1146777521544</v>
      </c>
      <c r="V317" s="8" t="n">
        <v>519.8</v>
      </c>
      <c r="W317" s="8" t="n">
        <f aca="false">V317/D317</f>
        <v>28.5604395604396</v>
      </c>
      <c r="X317" s="8" t="n">
        <f aca="false">X316+V317</f>
        <v>273866.1</v>
      </c>
      <c r="Y317" s="8" t="n">
        <f aca="false">Y316+V317</f>
        <v>61388.3</v>
      </c>
      <c r="AA317" s="8" t="n">
        <v>16.148008371183</v>
      </c>
    </row>
    <row r="318" s="8" customFormat="true" ht="15" hidden="false" customHeight="false" outlineLevel="0" collapsed="false">
      <c r="A318" s="78"/>
      <c r="B318" s="75"/>
      <c r="C318" s="11" t="n">
        <v>41834</v>
      </c>
      <c r="D318" s="8" t="n">
        <v>18.4</v>
      </c>
      <c r="E318" s="8" t="n">
        <v>16.3</v>
      </c>
      <c r="F318" s="8" t="n">
        <v>21.7</v>
      </c>
      <c r="G318" s="8" t="n">
        <f aca="false">G317+D318</f>
        <v>3357.6</v>
      </c>
      <c r="H318" s="8" t="n">
        <f aca="false">H317+D318</f>
        <v>678.4</v>
      </c>
      <c r="J318" s="8" t="n">
        <v>0</v>
      </c>
      <c r="K318" s="8" t="n">
        <f aca="false">K317+J318</f>
        <v>818.800000000001</v>
      </c>
      <c r="L318" s="8" t="n">
        <v>5.1</v>
      </c>
      <c r="M318" s="8" t="n">
        <f aca="false">M317+L318</f>
        <v>591.1</v>
      </c>
      <c r="N318" s="14" t="n">
        <f aca="false">J318-L318</f>
        <v>-5.1</v>
      </c>
      <c r="O318" s="8" t="n">
        <v>52.9</v>
      </c>
      <c r="P318" s="8" t="n">
        <v>313</v>
      </c>
      <c r="Q318" s="17" t="n">
        <f aca="false">1.15+((P318-254)/77)*(0.35-1.15)</f>
        <v>0.537012987012987</v>
      </c>
      <c r="R318" s="15" t="n">
        <f aca="false">Q318*L318</f>
        <v>2.73876623376623</v>
      </c>
      <c r="S318" s="15" t="n">
        <f aca="false">J318-R318</f>
        <v>-2.73876623376623</v>
      </c>
      <c r="T318" s="15" t="n">
        <f aca="false">MIN(153.6,(T317+S318))</f>
        <v>55.3759115183881</v>
      </c>
      <c r="V318" s="8" t="n">
        <v>2309</v>
      </c>
      <c r="W318" s="8" t="n">
        <f aca="false">V318/D318</f>
        <v>125.489130434783</v>
      </c>
      <c r="X318" s="8" t="n">
        <f aca="false">X317+V318</f>
        <v>276175.1</v>
      </c>
      <c r="Y318" s="8" t="n">
        <f aca="false">Y317+V318</f>
        <v>63697.3</v>
      </c>
      <c r="AA318" s="8" t="n">
        <v>16.1162303239535</v>
      </c>
    </row>
    <row r="319" s="8" customFormat="true" ht="15" hidden="false" customHeight="false" outlineLevel="0" collapsed="false">
      <c r="A319" s="78"/>
      <c r="B319" s="75"/>
      <c r="C319" s="11" t="n">
        <v>41835</v>
      </c>
      <c r="D319" s="8" t="n">
        <v>18.4</v>
      </c>
      <c r="E319" s="8" t="n">
        <v>13.4</v>
      </c>
      <c r="F319" s="8" t="n">
        <v>22.6</v>
      </c>
      <c r="G319" s="8" t="n">
        <f aca="false">G318+D319</f>
        <v>3376</v>
      </c>
      <c r="H319" s="8" t="n">
        <f aca="false">H318+D319</f>
        <v>696.8</v>
      </c>
      <c r="J319" s="8" t="n">
        <v>0.2</v>
      </c>
      <c r="K319" s="8" t="n">
        <f aca="false">K318+J319</f>
        <v>819.000000000001</v>
      </c>
      <c r="L319" s="8" t="n">
        <v>1.9</v>
      </c>
      <c r="M319" s="8" t="n">
        <f aca="false">M318+L319</f>
        <v>593</v>
      </c>
      <c r="N319" s="14" t="n">
        <f aca="false">J319-L319</f>
        <v>-1.7</v>
      </c>
      <c r="O319" s="8" t="n">
        <v>51.2</v>
      </c>
      <c r="P319" s="8" t="n">
        <v>314</v>
      </c>
      <c r="Q319" s="17" t="n">
        <f aca="false">1.15+((P319-254)/77)*(0.35-1.15)</f>
        <v>0.526623376623377</v>
      </c>
      <c r="R319" s="15" t="n">
        <f aca="false">Q319*L319</f>
        <v>1.00058441558442</v>
      </c>
      <c r="S319" s="15" t="n">
        <f aca="false">J319-R319</f>
        <v>-0.800584415584416</v>
      </c>
      <c r="T319" s="15" t="n">
        <f aca="false">MIN(153.6,(T318+S319))</f>
        <v>54.5753271028037</v>
      </c>
      <c r="V319" s="8" t="n">
        <v>806.2</v>
      </c>
      <c r="W319" s="8" t="n">
        <f aca="false">V319/D319</f>
        <v>43.8152173913044</v>
      </c>
      <c r="X319" s="8" t="n">
        <f aca="false">X318+V319</f>
        <v>276981.3</v>
      </c>
      <c r="Y319" s="8" t="n">
        <f aca="false">Y318+V319</f>
        <v>64503.5</v>
      </c>
      <c r="AA319" s="8" t="n">
        <v>16.0832259822543</v>
      </c>
    </row>
    <row r="320" s="8" customFormat="true" ht="15" hidden="false" customHeight="false" outlineLevel="0" collapsed="false">
      <c r="A320" s="78"/>
      <c r="B320" s="75"/>
      <c r="C320" s="11" t="n">
        <v>41836</v>
      </c>
      <c r="D320" s="8" t="n">
        <v>21</v>
      </c>
      <c r="E320" s="8" t="n">
        <v>15.7</v>
      </c>
      <c r="F320" s="8" t="n">
        <v>26.4</v>
      </c>
      <c r="G320" s="8" t="n">
        <f aca="false">G319+D320</f>
        <v>3397</v>
      </c>
      <c r="H320" s="8" t="n">
        <f aca="false">H319+D320</f>
        <v>717.8</v>
      </c>
      <c r="J320" s="8" t="n">
        <v>0</v>
      </c>
      <c r="K320" s="8" t="n">
        <f aca="false">K319+J320</f>
        <v>819.000000000001</v>
      </c>
      <c r="L320" s="8" t="n">
        <v>5.6</v>
      </c>
      <c r="M320" s="8" t="n">
        <f aca="false">M319+L320</f>
        <v>598.6</v>
      </c>
      <c r="N320" s="14" t="n">
        <f aca="false">J320-L320</f>
        <v>-5.6</v>
      </c>
      <c r="O320" s="74" t="n">
        <v>45.6</v>
      </c>
      <c r="P320" s="8" t="n">
        <v>315</v>
      </c>
      <c r="Q320" s="17" t="n">
        <f aca="false">1.15+((P320-254)/77)*(0.35-1.15)</f>
        <v>0.516233766233766</v>
      </c>
      <c r="R320" s="15" t="n">
        <f aca="false">Q320*L320</f>
        <v>2.89090909090909</v>
      </c>
      <c r="S320" s="15" t="n">
        <f aca="false">J320-R320</f>
        <v>-2.89090909090909</v>
      </c>
      <c r="T320" s="15" t="n">
        <f aca="false">MIN(153.6,(T319+S320))</f>
        <v>51.6844180118946</v>
      </c>
      <c r="V320" s="8" t="n">
        <v>2696.5</v>
      </c>
      <c r="W320" s="8" t="n">
        <f aca="false">V320/D320</f>
        <v>128.404761904762</v>
      </c>
      <c r="X320" s="8" t="n">
        <f aca="false">X319+V320</f>
        <v>279677.8</v>
      </c>
      <c r="Y320" s="8" t="n">
        <f aca="false">Y319+V320</f>
        <v>67200</v>
      </c>
      <c r="AA320" s="8" t="n">
        <v>16.0490245943618</v>
      </c>
    </row>
    <row r="321" s="8" customFormat="true" ht="15" hidden="false" customHeight="false" outlineLevel="0" collapsed="false">
      <c r="A321" s="78"/>
      <c r="B321" s="75"/>
      <c r="C321" s="11" t="n">
        <v>41837</v>
      </c>
      <c r="D321" s="8" t="n">
        <v>23</v>
      </c>
      <c r="E321" s="8" t="n">
        <v>17.4</v>
      </c>
      <c r="F321" s="8" t="n">
        <v>27.7</v>
      </c>
      <c r="G321" s="8" t="n">
        <f aca="false">G320+D321</f>
        <v>3420</v>
      </c>
      <c r="H321" s="8" t="n">
        <f aca="false">H320+D321</f>
        <v>740.8</v>
      </c>
      <c r="J321" s="8" t="n">
        <v>0</v>
      </c>
      <c r="K321" s="8" t="n">
        <f aca="false">K320+J321</f>
        <v>819.000000000001</v>
      </c>
      <c r="L321" s="8" t="n">
        <v>5</v>
      </c>
      <c r="M321" s="8" t="n">
        <f aca="false">M320+L321</f>
        <v>603.6</v>
      </c>
      <c r="N321" s="14" t="n">
        <f aca="false">J321-L321</f>
        <v>-5</v>
      </c>
      <c r="O321" s="74" t="n">
        <v>40.6</v>
      </c>
      <c r="P321" s="8" t="n">
        <v>316</v>
      </c>
      <c r="Q321" s="17" t="n">
        <f aca="false">1.15+((P321-254)/77)*(0.35-1.15)</f>
        <v>0.505844155844156</v>
      </c>
      <c r="R321" s="15" t="n">
        <f aca="false">Q321*L321</f>
        <v>2.52922077922078</v>
      </c>
      <c r="S321" s="15" t="n">
        <f aca="false">J321-R321</f>
        <v>-2.52922077922078</v>
      </c>
      <c r="T321" s="15" t="n">
        <f aca="false">MIN(153.6,(T320+S321))</f>
        <v>49.1551972326739</v>
      </c>
      <c r="V321" s="8" t="n">
        <v>2412.9</v>
      </c>
      <c r="W321" s="8" t="n">
        <f aca="false">V321/D321</f>
        <v>104.908695652174</v>
      </c>
      <c r="X321" s="8" t="n">
        <f aca="false">X320+V321</f>
        <v>282090.7</v>
      </c>
      <c r="Y321" s="8" t="n">
        <f aca="false">Y320+V321</f>
        <v>69612.9</v>
      </c>
      <c r="AA321" s="8" t="n">
        <v>16.0136557750835</v>
      </c>
    </row>
    <row r="322" s="8" customFormat="true" ht="15" hidden="false" customHeight="false" outlineLevel="0" collapsed="false">
      <c r="A322" s="78"/>
      <c r="B322" s="75"/>
      <c r="C322" s="11" t="n">
        <v>41838</v>
      </c>
      <c r="D322" s="8" t="n">
        <v>26.7</v>
      </c>
      <c r="E322" s="8" t="n">
        <v>20.9</v>
      </c>
      <c r="F322" s="8" t="n">
        <v>32.2</v>
      </c>
      <c r="G322" s="8" t="n">
        <f aca="false">G321+D322</f>
        <v>3446.7</v>
      </c>
      <c r="H322" s="8" t="n">
        <f aca="false">H321+D322</f>
        <v>767.5</v>
      </c>
      <c r="J322" s="8" t="n">
        <v>0.2</v>
      </c>
      <c r="K322" s="8" t="n">
        <f aca="false">K321+J322</f>
        <v>819.200000000001</v>
      </c>
      <c r="L322" s="8" t="n">
        <v>5.9</v>
      </c>
      <c r="M322" s="8" t="n">
        <f aca="false">M321+L322</f>
        <v>609.5</v>
      </c>
      <c r="N322" s="14" t="n">
        <f aca="false">J322-L322</f>
        <v>-5.7</v>
      </c>
      <c r="O322" s="74" t="n">
        <v>34.9</v>
      </c>
      <c r="P322" s="8" t="n">
        <v>317</v>
      </c>
      <c r="Q322" s="17" t="n">
        <f aca="false">1.15+((P322-254)/77)*(0.35-1.15)</f>
        <v>0.495454545454545</v>
      </c>
      <c r="R322" s="15" t="n">
        <f aca="false">Q322*L322</f>
        <v>2.92318181818182</v>
      </c>
      <c r="S322" s="15" t="n">
        <f aca="false">J322-R322</f>
        <v>-2.72318181818182</v>
      </c>
      <c r="T322" s="15" t="n">
        <f aca="false">MIN(153.6,(T321+S322))</f>
        <v>46.432015414492</v>
      </c>
      <c r="V322" s="8" t="n">
        <v>2555.2</v>
      </c>
      <c r="W322" s="8" t="n">
        <f aca="false">V322/D322</f>
        <v>95.7003745318352</v>
      </c>
      <c r="X322" s="8" t="n">
        <f aca="false">X321+V322</f>
        <v>284645.9</v>
      </c>
      <c r="Y322" s="8" t="n">
        <f aca="false">Y321+V322</f>
        <v>72168.1</v>
      </c>
      <c r="AA322" s="8" t="n">
        <v>15.9771494259616</v>
      </c>
    </row>
    <row r="323" s="8" customFormat="true" ht="15" hidden="false" customHeight="false" outlineLevel="0" collapsed="false">
      <c r="A323" s="78"/>
      <c r="B323" s="75"/>
      <c r="C323" s="11" t="n">
        <v>41839</v>
      </c>
      <c r="D323" s="8" t="n">
        <v>24.1</v>
      </c>
      <c r="E323" s="8" t="n">
        <v>22.4</v>
      </c>
      <c r="F323" s="8" t="n">
        <v>27.6</v>
      </c>
      <c r="G323" s="8" t="n">
        <f aca="false">G322+D323</f>
        <v>3470.8</v>
      </c>
      <c r="H323" s="8" t="n">
        <f aca="false">H322+D323</f>
        <v>791.6</v>
      </c>
      <c r="J323" s="8" t="n">
        <v>8</v>
      </c>
      <c r="K323" s="8" t="n">
        <f aca="false">K322+J323</f>
        <v>827.200000000001</v>
      </c>
      <c r="L323" s="8" t="n">
        <v>3.7</v>
      </c>
      <c r="M323" s="8" t="n">
        <f aca="false">M322+L323</f>
        <v>613.2</v>
      </c>
      <c r="N323" s="8" t="n">
        <f aca="false">J323-L323</f>
        <v>4.3</v>
      </c>
      <c r="O323" s="74" t="n">
        <v>39.2</v>
      </c>
      <c r="P323" s="8" t="n">
        <v>318</v>
      </c>
      <c r="Q323" s="17" t="n">
        <f aca="false">1.15+((P323-254)/77)*(0.35-1.15)</f>
        <v>0.485064935064935</v>
      </c>
      <c r="R323" s="15" t="n">
        <f aca="false">Q323*L323</f>
        <v>1.79474025974026</v>
      </c>
      <c r="S323" s="15" t="n">
        <f aca="false">J323-R323</f>
        <v>6.20525974025974</v>
      </c>
      <c r="T323" s="15" t="n">
        <f aca="false">MIN(153.6,(T322+S323))</f>
        <v>52.6372751547518</v>
      </c>
      <c r="V323" s="8" t="n">
        <v>1476</v>
      </c>
      <c r="W323" s="8" t="n">
        <f aca="false">V323/D323</f>
        <v>61.2448132780083</v>
      </c>
      <c r="X323" s="8" t="n">
        <f aca="false">X322+V323</f>
        <v>286121.9</v>
      </c>
      <c r="Y323" s="8" t="n">
        <f aca="false">Y322+V323</f>
        <v>73644.1</v>
      </c>
      <c r="AA323" s="8" t="n">
        <v>15.9395356580286</v>
      </c>
    </row>
    <row r="324" s="8" customFormat="true" ht="15" hidden="false" customHeight="false" outlineLevel="0" collapsed="false">
      <c r="A324" s="78"/>
      <c r="B324" s="75"/>
      <c r="C324" s="11" t="n">
        <v>41840</v>
      </c>
      <c r="D324" s="8" t="n">
        <v>19.7</v>
      </c>
      <c r="E324" s="8" t="n">
        <v>18.1</v>
      </c>
      <c r="F324" s="8" t="n">
        <v>21.4</v>
      </c>
      <c r="G324" s="8" t="n">
        <f aca="false">G323+D324</f>
        <v>3490.5</v>
      </c>
      <c r="H324" s="8" t="n">
        <f aca="false">H323+D324</f>
        <v>811.3</v>
      </c>
      <c r="J324" s="8" t="n">
        <v>1.7</v>
      </c>
      <c r="K324" s="8" t="n">
        <f aca="false">K323+J324</f>
        <v>828.900000000001</v>
      </c>
      <c r="L324" s="8" t="n">
        <v>2</v>
      </c>
      <c r="M324" s="8" t="n">
        <f aca="false">M323+L324</f>
        <v>615.2</v>
      </c>
      <c r="N324" s="14" t="n">
        <f aca="false">J324-L324</f>
        <v>-0.3</v>
      </c>
      <c r="O324" s="74" t="n">
        <v>38.9</v>
      </c>
      <c r="P324" s="8" t="n">
        <v>319</v>
      </c>
      <c r="Q324" s="17" t="n">
        <f aca="false">1.15+((P324-254)/77)*(0.35-1.15)</f>
        <v>0.474675324675325</v>
      </c>
      <c r="R324" s="15" t="n">
        <f aca="false">Q324*L324</f>
        <v>0.949350649350649</v>
      </c>
      <c r="S324" s="15" t="n">
        <f aca="false">J324-R324</f>
        <v>0.750649350649351</v>
      </c>
      <c r="T324" s="15" t="n">
        <f aca="false">MIN(153.6,(T323+S324))</f>
        <v>53.3879245054011</v>
      </c>
      <c r="V324" s="8" t="n">
        <v>783.2</v>
      </c>
      <c r="W324" s="8" t="n">
        <f aca="false">V324/D324</f>
        <v>39.756345177665</v>
      </c>
      <c r="X324" s="8" t="n">
        <f aca="false">X323+V324</f>
        <v>286905.1</v>
      </c>
      <c r="Y324" s="8" t="n">
        <f aca="false">Y323+V324</f>
        <v>74427.3</v>
      </c>
      <c r="AA324" s="8" t="n">
        <v>15.9008447173948</v>
      </c>
    </row>
    <row r="325" s="8" customFormat="true" ht="15" hidden="false" customHeight="false" outlineLevel="0" collapsed="false">
      <c r="A325" s="78"/>
      <c r="B325" s="75"/>
      <c r="C325" s="11" t="n">
        <v>41841</v>
      </c>
      <c r="D325" s="8" t="n">
        <v>19.7</v>
      </c>
      <c r="E325" s="8" t="n">
        <v>18.6</v>
      </c>
      <c r="F325" s="8" t="n">
        <v>21.6</v>
      </c>
      <c r="G325" s="8" t="n">
        <f aca="false">G324+D325</f>
        <v>3510.2</v>
      </c>
      <c r="H325" s="8" t="n">
        <f aca="false">H324+D325</f>
        <v>831</v>
      </c>
      <c r="J325" s="8" t="n">
        <v>0.6</v>
      </c>
      <c r="K325" s="8" t="n">
        <f aca="false">K324+J325</f>
        <v>829.500000000001</v>
      </c>
      <c r="L325" s="8" t="n">
        <v>2.2</v>
      </c>
      <c r="M325" s="8" t="n">
        <f aca="false">M324+L325</f>
        <v>617.4</v>
      </c>
      <c r="N325" s="14" t="n">
        <f aca="false">J325-L325</f>
        <v>-1.6</v>
      </c>
      <c r="O325" s="74" t="n">
        <v>37.3</v>
      </c>
      <c r="P325" s="8" t="n">
        <v>320</v>
      </c>
      <c r="Q325" s="17" t="n">
        <f aca="false">1.15+((P325-254)/77)*(0.35-1.15)</f>
        <v>0.464285714285714</v>
      </c>
      <c r="R325" s="15" t="n">
        <f aca="false">Q325*L325</f>
        <v>1.02142857142857</v>
      </c>
      <c r="S325" s="15" t="n">
        <f aca="false">J325-R325</f>
        <v>-0.421428571428572</v>
      </c>
      <c r="T325" s="15" t="n">
        <f aca="false">MIN(153.6,(T324+S325))</f>
        <v>52.9664959339726</v>
      </c>
      <c r="V325" s="8" t="n">
        <v>575.7</v>
      </c>
      <c r="W325" s="8" t="n">
        <f aca="false">V325/D325</f>
        <v>29.2233502538071</v>
      </c>
      <c r="X325" s="8" t="n">
        <f aca="false">X324+V325</f>
        <v>287480.8</v>
      </c>
      <c r="Y325" s="8" t="n">
        <f aca="false">Y324+V325</f>
        <v>75003</v>
      </c>
      <c r="AA325" s="8" t="n">
        <v>15.8611069139063</v>
      </c>
    </row>
    <row r="326" s="8" customFormat="true" ht="15" hidden="false" customHeight="false" outlineLevel="0" collapsed="false">
      <c r="A326" s="78"/>
      <c r="B326" s="75"/>
      <c r="C326" s="11" t="n">
        <v>41842</v>
      </c>
      <c r="D326" s="8" t="n">
        <v>20.2</v>
      </c>
      <c r="E326" s="8" t="n">
        <v>17.8</v>
      </c>
      <c r="F326" s="8" t="n">
        <v>23</v>
      </c>
      <c r="G326" s="8" t="n">
        <f aca="false">G325+D326</f>
        <v>3530.4</v>
      </c>
      <c r="H326" s="8" t="n">
        <f aca="false">H325+D326</f>
        <v>851.2</v>
      </c>
      <c r="J326" s="8" t="n">
        <v>0.1</v>
      </c>
      <c r="K326" s="8" t="n">
        <f aca="false">K325+J326</f>
        <v>829.600000000001</v>
      </c>
      <c r="L326" s="8" t="n">
        <v>1.9</v>
      </c>
      <c r="M326" s="8" t="n">
        <f aca="false">M325+L326</f>
        <v>619.3</v>
      </c>
      <c r="N326" s="14" t="n">
        <f aca="false">J326-L326</f>
        <v>-1.8</v>
      </c>
      <c r="O326" s="74" t="n">
        <v>35.5</v>
      </c>
      <c r="P326" s="8" t="n">
        <v>321</v>
      </c>
      <c r="Q326" s="17" t="n">
        <f aca="false">1.15+((P326-254)/77)*(0.35-1.15)</f>
        <v>0.453896103896104</v>
      </c>
      <c r="R326" s="15" t="n">
        <f aca="false">Q326*L326</f>
        <v>0.862402597402597</v>
      </c>
      <c r="S326" s="15" t="n">
        <f aca="false">J326-R326</f>
        <v>-0.762402597402597</v>
      </c>
      <c r="T326" s="15" t="n">
        <f aca="false">MIN(153.6,(T325+S326))</f>
        <v>52.20409333657</v>
      </c>
      <c r="V326" s="8" t="n">
        <v>682.4</v>
      </c>
      <c r="W326" s="8" t="n">
        <f aca="false">V326/D326</f>
        <v>33.7821782178218</v>
      </c>
      <c r="X326" s="8" t="n">
        <f aca="false">X325+V326</f>
        <v>288163.2</v>
      </c>
      <c r="Y326" s="8" t="n">
        <f aca="false">Y325+V326</f>
        <v>75685.4</v>
      </c>
      <c r="AA326" s="8" t="n">
        <v>15.8203525530745</v>
      </c>
    </row>
    <row r="327" s="8" customFormat="true" ht="15" hidden="false" customHeight="false" outlineLevel="0" collapsed="false">
      <c r="A327" s="78"/>
      <c r="B327" s="75"/>
      <c r="C327" s="11" t="n">
        <v>41843</v>
      </c>
      <c r="D327" s="8" t="n">
        <v>23.9</v>
      </c>
      <c r="E327" s="8" t="n">
        <v>17.5</v>
      </c>
      <c r="F327" s="8" t="n">
        <v>27.9</v>
      </c>
      <c r="G327" s="8" t="n">
        <f aca="false">G326+D327</f>
        <v>3554.3</v>
      </c>
      <c r="H327" s="8" t="n">
        <f aca="false">H326+D327</f>
        <v>875.1</v>
      </c>
      <c r="J327" s="8" t="n">
        <v>0</v>
      </c>
      <c r="K327" s="8" t="n">
        <f aca="false">K326+J327</f>
        <v>829.600000000001</v>
      </c>
      <c r="L327" s="8" t="n">
        <v>4.3</v>
      </c>
      <c r="M327" s="8" t="n">
        <f aca="false">M326+L327</f>
        <v>623.6</v>
      </c>
      <c r="N327" s="14" t="n">
        <f aca="false">J327-L327</f>
        <v>-4.3</v>
      </c>
      <c r="O327" s="74" t="n">
        <v>31.2</v>
      </c>
      <c r="P327" s="8" t="n">
        <v>322</v>
      </c>
      <c r="Q327" s="17" t="n">
        <f aca="false">1.15+((P327-254)/77)*(0.35-1.15)</f>
        <v>0.443506493506494</v>
      </c>
      <c r="R327" s="15" t="n">
        <f aca="false">Q327*L327</f>
        <v>1.90707792207792</v>
      </c>
      <c r="S327" s="15" t="n">
        <f aca="false">J327-R327</f>
        <v>-1.90707792207792</v>
      </c>
      <c r="T327" s="15" t="n">
        <f aca="false">MIN(153.6,(T326+S327))</f>
        <v>50.297015414492</v>
      </c>
      <c r="V327" s="8" t="n">
        <v>2026.4</v>
      </c>
      <c r="W327" s="8" t="n">
        <f aca="false">V327/D327</f>
        <v>84.7866108786611</v>
      </c>
      <c r="X327" s="8" t="n">
        <f aca="false">X326+V327</f>
        <v>290189.6</v>
      </c>
      <c r="Y327" s="8" t="n">
        <f aca="false">Y326+V327</f>
        <v>77711.8</v>
      </c>
      <c r="AA327" s="8" t="n">
        <v>15.7786118714384</v>
      </c>
    </row>
    <row r="328" s="8" customFormat="true" ht="15" hidden="false" customHeight="false" outlineLevel="0" collapsed="false">
      <c r="A328" s="78"/>
      <c r="B328" s="75"/>
      <c r="C328" s="11" t="n">
        <v>41844</v>
      </c>
      <c r="D328" s="8" t="n">
        <v>23.4</v>
      </c>
      <c r="E328" s="8" t="n">
        <v>20.6</v>
      </c>
      <c r="F328" s="8" t="n">
        <v>26.7</v>
      </c>
      <c r="G328" s="8" t="n">
        <f aca="false">G327+D328</f>
        <v>3577.7</v>
      </c>
      <c r="H328" s="8" t="n">
        <f aca="false">H327+D328</f>
        <v>898.5</v>
      </c>
      <c r="J328" s="8" t="n">
        <v>0</v>
      </c>
      <c r="K328" s="8" t="n">
        <f aca="false">K327+J328</f>
        <v>829.600000000001</v>
      </c>
      <c r="L328" s="8" t="n">
        <v>5.5</v>
      </c>
      <c r="M328" s="8" t="n">
        <f aca="false">M327+L328</f>
        <v>629.1</v>
      </c>
      <c r="N328" s="14" t="n">
        <f aca="false">J328-L328</f>
        <v>-5.5</v>
      </c>
      <c r="O328" s="74" t="n">
        <v>25.7</v>
      </c>
      <c r="P328" s="8" t="n">
        <v>323</v>
      </c>
      <c r="Q328" s="17" t="n">
        <f aca="false">1.15+((P328-254)/77)*(0.35-1.15)</f>
        <v>0.433116883116883</v>
      </c>
      <c r="R328" s="15" t="n">
        <f aca="false">Q328*L328</f>
        <v>2.38214285714286</v>
      </c>
      <c r="S328" s="15" t="n">
        <f aca="false">J328-R328</f>
        <v>-2.38214285714286</v>
      </c>
      <c r="T328" s="15" t="n">
        <f aca="false">MIN(153.6,(T327+S328))</f>
        <v>47.9148725573492</v>
      </c>
      <c r="V328" s="8" t="n">
        <v>2118.8</v>
      </c>
      <c r="W328" s="8" t="n">
        <f aca="false">V328/D328</f>
        <v>90.5470085470086</v>
      </c>
      <c r="X328" s="8" t="n">
        <f aca="false">X327+V328</f>
        <v>292308.4</v>
      </c>
      <c r="Y328" s="8" t="n">
        <f aca="false">Y327+V328</f>
        <v>79830.6</v>
      </c>
      <c r="AA328" s="8" t="n">
        <v>15.7359149754865</v>
      </c>
    </row>
    <row r="329" s="8" customFormat="true" ht="15" hidden="false" customHeight="false" outlineLevel="0" collapsed="false">
      <c r="A329" s="78"/>
      <c r="B329" s="75"/>
      <c r="C329" s="11" t="n">
        <v>41845</v>
      </c>
      <c r="D329" s="8" t="n">
        <v>20.8</v>
      </c>
      <c r="E329" s="8" t="n">
        <v>18.2</v>
      </c>
      <c r="F329" s="8" t="n">
        <v>24</v>
      </c>
      <c r="G329" s="8" t="n">
        <f aca="false">G328+D329</f>
        <v>3598.5</v>
      </c>
      <c r="H329" s="8" t="n">
        <f aca="false">H328+D329</f>
        <v>919.3</v>
      </c>
      <c r="J329" s="8" t="n">
        <v>0</v>
      </c>
      <c r="K329" s="8" t="n">
        <f aca="false">K328+J329</f>
        <v>829.600000000001</v>
      </c>
      <c r="L329" s="8" t="n">
        <v>4.9</v>
      </c>
      <c r="M329" s="8" t="n">
        <f aca="false">M328+L329</f>
        <v>634</v>
      </c>
      <c r="N329" s="14" t="n">
        <f aca="false">J329-L329</f>
        <v>-4.9</v>
      </c>
      <c r="O329" s="74" t="n">
        <v>20.8</v>
      </c>
      <c r="P329" s="8" t="n">
        <v>324</v>
      </c>
      <c r="Q329" s="17" t="n">
        <f aca="false">1.15+((P329-254)/77)*(0.35-1.15)</f>
        <v>0.422727272727273</v>
      </c>
      <c r="R329" s="15" t="n">
        <f aca="false">Q329*L329</f>
        <v>2.07136363636364</v>
      </c>
      <c r="S329" s="15" t="n">
        <f aca="false">J329-R329</f>
        <v>-2.07136363636364</v>
      </c>
      <c r="T329" s="15" t="n">
        <f aca="false">MIN(153.6,(T328+S329))</f>
        <v>45.8435089209855</v>
      </c>
      <c r="V329" s="8" t="n">
        <v>2027.3</v>
      </c>
      <c r="W329" s="8" t="n">
        <f aca="false">V329/D329</f>
        <v>97.4663461538462</v>
      </c>
      <c r="X329" s="8" t="n">
        <f aca="false">X328+V329</f>
        <v>294335.7</v>
      </c>
      <c r="Y329" s="8" t="n">
        <f aca="false">Y328+V329</f>
        <v>81857.9</v>
      </c>
      <c r="AA329" s="8" t="n">
        <v>15.6922917842288</v>
      </c>
    </row>
    <row r="330" s="8" customFormat="true" ht="15" hidden="false" customHeight="false" outlineLevel="0" collapsed="false">
      <c r="A330" s="78"/>
      <c r="B330" s="75"/>
      <c r="C330" s="11" t="n">
        <v>41846</v>
      </c>
      <c r="D330" s="8" t="n">
        <v>20.6</v>
      </c>
      <c r="E330" s="8" t="n">
        <v>17.2</v>
      </c>
      <c r="F330" s="8" t="n">
        <v>23.6</v>
      </c>
      <c r="G330" s="8" t="n">
        <f aca="false">G329+D330</f>
        <v>3619.1</v>
      </c>
      <c r="H330" s="8" t="n">
        <f aca="false">H329+D330</f>
        <v>939.9</v>
      </c>
      <c r="J330" s="8" t="n">
        <v>0</v>
      </c>
      <c r="K330" s="8" t="n">
        <f aca="false">K329+J330</f>
        <v>829.600000000001</v>
      </c>
      <c r="L330" s="8" t="n">
        <v>3.5</v>
      </c>
      <c r="M330" s="8" t="n">
        <f aca="false">M329+L330</f>
        <v>637.5</v>
      </c>
      <c r="N330" s="14" t="n">
        <f aca="false">J330-L330</f>
        <v>-3.5</v>
      </c>
      <c r="O330" s="74" t="n">
        <v>17.3</v>
      </c>
      <c r="P330" s="8" t="n">
        <v>325</v>
      </c>
      <c r="Q330" s="17" t="n">
        <f aca="false">1.15+((P330-254)/77)*(0.35-1.15)</f>
        <v>0.412337662337662</v>
      </c>
      <c r="R330" s="15" t="n">
        <f aca="false">Q330*L330</f>
        <v>1.44318181818182</v>
      </c>
      <c r="S330" s="15" t="n">
        <f aca="false">J330-R330</f>
        <v>-1.44318181818182</v>
      </c>
      <c r="T330" s="15" t="n">
        <f aca="false">MIN(153.6,(T329+S330))</f>
        <v>44.4003271028037</v>
      </c>
      <c r="V330" s="8" t="n">
        <v>1450.8</v>
      </c>
      <c r="W330" s="8" t="n">
        <f aca="false">V330/D330</f>
        <v>70.4271844660194</v>
      </c>
      <c r="X330" s="8" t="n">
        <f aca="false">X329+V330</f>
        <v>295786.5</v>
      </c>
      <c r="Y330" s="8" t="n">
        <f aca="false">Y329+V330</f>
        <v>83308.7</v>
      </c>
      <c r="AA330" s="8" t="n">
        <v>15.647771975479</v>
      </c>
    </row>
    <row r="331" s="8" customFormat="true" ht="15" hidden="false" customHeight="false" outlineLevel="0" collapsed="false">
      <c r="A331" s="78"/>
      <c r="B331" s="75"/>
      <c r="C331" s="11" t="n">
        <v>41847</v>
      </c>
      <c r="D331" s="8" t="n">
        <v>21.3</v>
      </c>
      <c r="E331" s="8" t="n">
        <v>17.4</v>
      </c>
      <c r="F331" s="8" t="n">
        <v>26.4</v>
      </c>
      <c r="G331" s="8" t="n">
        <f aca="false">G330+D331</f>
        <v>3640.4</v>
      </c>
      <c r="H331" s="8" t="n">
        <f aca="false">H330+D331</f>
        <v>961.2</v>
      </c>
      <c r="J331" s="8" t="n">
        <v>16.1</v>
      </c>
      <c r="K331" s="8" t="n">
        <f aca="false">K330+J331</f>
        <v>845.700000000001</v>
      </c>
      <c r="L331" s="8" t="n">
        <v>3.5</v>
      </c>
      <c r="M331" s="8" t="n">
        <f aca="false">M330+L331</f>
        <v>641</v>
      </c>
      <c r="N331" s="8" t="n">
        <f aca="false">J331-L331</f>
        <v>12.6</v>
      </c>
      <c r="O331" s="74" t="n">
        <v>29.9</v>
      </c>
      <c r="P331" s="8" t="n">
        <v>326</v>
      </c>
      <c r="Q331" s="17" t="n">
        <f aca="false">1.15+((P331-254)/77)*(0.35-1.15)</f>
        <v>0.401948051948052</v>
      </c>
      <c r="R331" s="15" t="n">
        <f aca="false">Q331*L331</f>
        <v>1.40681818181818</v>
      </c>
      <c r="S331" s="15" t="n">
        <f aca="false">J331-R331</f>
        <v>14.6931818181818</v>
      </c>
      <c r="T331" s="15" t="n">
        <f aca="false">MIN(153.6,(T330+S331))</f>
        <v>59.0935089209855</v>
      </c>
      <c r="V331" s="8" t="n">
        <v>1477.3</v>
      </c>
      <c r="W331" s="8" t="n">
        <f aca="false">V331/D331</f>
        <v>69.3568075117371</v>
      </c>
      <c r="X331" s="8" t="n">
        <f aca="false">X330+V331</f>
        <v>297263.8</v>
      </c>
      <c r="Y331" s="8" t="n">
        <f aca="false">Y330+V331</f>
        <v>84786</v>
      </c>
      <c r="AA331" s="8" t="n">
        <v>15.602384935874</v>
      </c>
    </row>
    <row r="332" s="8" customFormat="true" ht="15" hidden="false" customHeight="false" outlineLevel="0" collapsed="false">
      <c r="A332" s="78"/>
      <c r="B332" s="75"/>
      <c r="C332" s="11" t="n">
        <v>41848</v>
      </c>
      <c r="D332" s="8" t="n">
        <v>17.9</v>
      </c>
      <c r="E332" s="8" t="n">
        <v>16.8</v>
      </c>
      <c r="F332" s="8" t="n">
        <v>18.9</v>
      </c>
      <c r="G332" s="8" t="n">
        <f aca="false">G331+D332</f>
        <v>3658.3</v>
      </c>
      <c r="H332" s="8" t="n">
        <f aca="false">H331+D332</f>
        <v>979.1</v>
      </c>
      <c r="J332" s="8" t="n">
        <v>6.1</v>
      </c>
      <c r="K332" s="8" t="n">
        <f aca="false">K331+J332</f>
        <v>851.800000000001</v>
      </c>
      <c r="L332" s="8" t="n">
        <v>2</v>
      </c>
      <c r="M332" s="8" t="n">
        <f aca="false">M331+L332</f>
        <v>643</v>
      </c>
      <c r="N332" s="8" t="n">
        <f aca="false">J332-L332</f>
        <v>4.1</v>
      </c>
      <c r="O332" s="74" t="n">
        <v>34</v>
      </c>
      <c r="P332" s="8" t="n">
        <v>327</v>
      </c>
      <c r="Q332" s="17" t="n">
        <f aca="false">1.15+((P332-254)/77)*(0.35-1.15)</f>
        <v>0.391558441558442</v>
      </c>
      <c r="R332" s="15" t="n">
        <f aca="false">Q332*L332</f>
        <v>0.783116883116883</v>
      </c>
      <c r="S332" s="15" t="n">
        <f aca="false">J332-R332</f>
        <v>5.31688311688312</v>
      </c>
      <c r="T332" s="15" t="n">
        <f aca="false">MIN(153.6,(T331+S332))</f>
        <v>64.4103920378687</v>
      </c>
      <c r="V332" s="8" t="n">
        <v>785.4</v>
      </c>
      <c r="W332" s="8" t="n">
        <f aca="false">V332/D332</f>
        <v>43.877094972067</v>
      </c>
      <c r="X332" s="8" t="n">
        <f aca="false">X331+V332</f>
        <v>298049.2</v>
      </c>
      <c r="Y332" s="8" t="n">
        <f aca="false">Y331+V332</f>
        <v>85571.4</v>
      </c>
      <c r="AA332" s="8" t="n">
        <v>15.5561597146345</v>
      </c>
    </row>
    <row r="333" s="8" customFormat="true" ht="15" hidden="false" customHeight="false" outlineLevel="0" collapsed="false">
      <c r="A333" s="78"/>
      <c r="B333" s="75"/>
      <c r="C333" s="11" t="n">
        <v>41849</v>
      </c>
      <c r="D333" s="8" t="n">
        <v>18.6</v>
      </c>
      <c r="E333" s="8" t="n">
        <v>15.9</v>
      </c>
      <c r="F333" s="8" t="n">
        <v>22.1</v>
      </c>
      <c r="G333" s="8" t="n">
        <f aca="false">G332+D333</f>
        <v>3676.9</v>
      </c>
      <c r="H333" s="8" t="n">
        <f aca="false">H332+D333</f>
        <v>997.7</v>
      </c>
      <c r="J333" s="8" t="n">
        <v>0.1</v>
      </c>
      <c r="K333" s="8" t="n">
        <f aca="false">K332+J333</f>
        <v>851.900000000001</v>
      </c>
      <c r="L333" s="8" t="n">
        <v>1.7</v>
      </c>
      <c r="M333" s="8" t="n">
        <f aca="false">M332+L333</f>
        <v>644.7</v>
      </c>
      <c r="N333" s="14" t="n">
        <f aca="false">J333-L333</f>
        <v>-1.6</v>
      </c>
      <c r="O333" s="74" t="n">
        <v>32.4</v>
      </c>
      <c r="P333" s="8" t="n">
        <v>328</v>
      </c>
      <c r="Q333" s="17" t="n">
        <f aca="false">1.15+((P333-254)/77)*(0.35-1.15)</f>
        <v>0.381168831168831</v>
      </c>
      <c r="R333" s="15" t="n">
        <f aca="false">Q333*L333</f>
        <v>0.647987012987013</v>
      </c>
      <c r="S333" s="15" t="n">
        <f aca="false">J333-R333</f>
        <v>-0.547987012987013</v>
      </c>
      <c r="T333" s="15" t="n">
        <f aca="false">MIN(153.6,(T332+S333))</f>
        <v>63.8624050248816</v>
      </c>
      <c r="V333" s="8" t="n">
        <v>612.9</v>
      </c>
      <c r="W333" s="8" t="n">
        <f aca="false">V333/D333</f>
        <v>32.9516129032258</v>
      </c>
      <c r="X333" s="8" t="n">
        <f aca="false">X332+V333</f>
        <v>298662.1</v>
      </c>
      <c r="Y333" s="8" t="n">
        <f aca="false">Y332+V333</f>
        <v>86184.3</v>
      </c>
      <c r="AA333" s="8" t="n">
        <v>15.5091249810414</v>
      </c>
    </row>
    <row r="334" s="8" customFormat="true" ht="15" hidden="false" customHeight="false" outlineLevel="0" collapsed="false">
      <c r="A334" s="78"/>
      <c r="B334" s="75"/>
      <c r="C334" s="11" t="n">
        <v>41850</v>
      </c>
      <c r="D334" s="8" t="n">
        <v>17.9</v>
      </c>
      <c r="E334" s="8" t="n">
        <v>14.9</v>
      </c>
      <c r="F334" s="8" t="n">
        <v>21.8</v>
      </c>
      <c r="G334" s="8" t="n">
        <f aca="false">G333+D334</f>
        <v>3694.8</v>
      </c>
      <c r="H334" s="8" t="n">
        <f aca="false">H333+D334</f>
        <v>1015.6</v>
      </c>
      <c r="J334" s="8" t="n">
        <v>0</v>
      </c>
      <c r="K334" s="8" t="n">
        <f aca="false">K333+J334</f>
        <v>851.900000000001</v>
      </c>
      <c r="L334" s="8" t="n">
        <v>4</v>
      </c>
      <c r="M334" s="8" t="n">
        <f aca="false">M333+L334</f>
        <v>648.7</v>
      </c>
      <c r="N334" s="14" t="n">
        <f aca="false">J334-L334</f>
        <v>-4</v>
      </c>
      <c r="O334" s="74" t="n">
        <v>28.4</v>
      </c>
      <c r="P334" s="8" t="n">
        <v>329</v>
      </c>
      <c r="Q334" s="17" t="n">
        <f aca="false">1.15+((P334-254)/77)*(0.35-1.15)</f>
        <v>0.370779220779221</v>
      </c>
      <c r="R334" s="15" t="n">
        <f aca="false">Q334*L334</f>
        <v>1.48311688311688</v>
      </c>
      <c r="S334" s="15" t="n">
        <f aca="false">J334-R334</f>
        <v>-1.48311688311688</v>
      </c>
      <c r="T334" s="15" t="n">
        <f aca="false">MIN(153.6,(T333+S334))</f>
        <v>62.3792881417648</v>
      </c>
      <c r="V334" s="8" t="n">
        <v>2147.3</v>
      </c>
      <c r="W334" s="8" t="n">
        <f aca="false">V334/D334</f>
        <v>119.960893854749</v>
      </c>
      <c r="X334" s="8" t="n">
        <f aca="false">X333+V334</f>
        <v>300809.4</v>
      </c>
      <c r="Y334" s="8" t="n">
        <f aca="false">Y333+V334</f>
        <v>88331.6</v>
      </c>
      <c r="AA334" s="8" t="n">
        <v>15.4613089855818</v>
      </c>
    </row>
    <row r="335" s="8" customFormat="true" ht="15" hidden="false" customHeight="false" outlineLevel="0" collapsed="false">
      <c r="A335" s="78"/>
      <c r="B335" s="75"/>
      <c r="C335" s="11" t="n">
        <v>41851</v>
      </c>
      <c r="D335" s="8" t="n">
        <v>19.1</v>
      </c>
      <c r="E335" s="8" t="n">
        <v>13.9</v>
      </c>
      <c r="F335" s="8" t="n">
        <v>24.4</v>
      </c>
      <c r="G335" s="8" t="n">
        <f aca="false">G334+D335</f>
        <v>3713.9</v>
      </c>
      <c r="H335" s="8" t="n">
        <f aca="false">H334+D335</f>
        <v>1034.7</v>
      </c>
      <c r="J335" s="8" t="n">
        <v>0</v>
      </c>
      <c r="K335" s="8" t="n">
        <f aca="false">K334+J335</f>
        <v>851.900000000001</v>
      </c>
      <c r="L335" s="8" t="n">
        <v>4.2</v>
      </c>
      <c r="M335" s="8" t="n">
        <f aca="false">M334+L335</f>
        <v>652.9</v>
      </c>
      <c r="N335" s="14" t="n">
        <f aca="false">J335-L335</f>
        <v>-4.2</v>
      </c>
      <c r="O335" s="74" t="n">
        <v>24.2</v>
      </c>
      <c r="P335" s="8" t="n">
        <v>330</v>
      </c>
      <c r="Q335" s="17" t="n">
        <f aca="false">1.15+((P335-254)/77)*(0.35-1.15)</f>
        <v>0.36038961038961</v>
      </c>
      <c r="R335" s="15" t="n">
        <f aca="false">Q335*L335</f>
        <v>1.51363636363636</v>
      </c>
      <c r="S335" s="15" t="n">
        <f aca="false">J335-R335</f>
        <v>-1.51363636363636</v>
      </c>
      <c r="T335" s="15" t="n">
        <f aca="false">MIN(153.6,(T334+S335))</f>
        <v>60.8656517781284</v>
      </c>
      <c r="V335" s="8" t="n">
        <v>2180.8</v>
      </c>
      <c r="W335" s="8" t="n">
        <f aca="false">V335/D335</f>
        <v>114.178010471204</v>
      </c>
      <c r="X335" s="8" t="n">
        <f aca="false">X334+V335</f>
        <v>302990.2</v>
      </c>
      <c r="Y335" s="8" t="n">
        <f aca="false">Y334+V335</f>
        <v>90512.4</v>
      </c>
      <c r="AA335" s="8" t="n">
        <v>15.4127395247007</v>
      </c>
    </row>
    <row r="336" s="8" customFormat="true" ht="15" hidden="false" customHeight="false" outlineLevel="0" collapsed="false">
      <c r="A336" s="78"/>
      <c r="B336" s="75"/>
      <c r="C336" s="11" t="n">
        <v>41852</v>
      </c>
      <c r="D336" s="8" t="n">
        <v>20.6</v>
      </c>
      <c r="E336" s="8" t="n">
        <v>13</v>
      </c>
      <c r="F336" s="8" t="n">
        <v>25</v>
      </c>
      <c r="G336" s="8" t="n">
        <f aca="false">G335+D336</f>
        <v>3734.5</v>
      </c>
      <c r="H336" s="8" t="n">
        <f aca="false">H335+D336</f>
        <v>1055.3</v>
      </c>
      <c r="J336" s="8" t="n">
        <v>0</v>
      </c>
      <c r="K336" s="8" t="n">
        <f aca="false">K335+J336</f>
        <v>851.900000000001</v>
      </c>
      <c r="L336" s="8" t="n">
        <v>3.8</v>
      </c>
      <c r="M336" s="8" t="n">
        <f aca="false">M335+L336</f>
        <v>656.7</v>
      </c>
      <c r="N336" s="14" t="n">
        <f aca="false">J336-L336</f>
        <v>-3.8</v>
      </c>
      <c r="O336" s="74" t="n">
        <v>20.4</v>
      </c>
      <c r="P336" s="8" t="n">
        <v>331</v>
      </c>
      <c r="Q336" s="17" t="n">
        <f aca="false">1.15+((P336-254)/77)*(0.35-1.15)</f>
        <v>0.35</v>
      </c>
      <c r="R336" s="15" t="n">
        <f aca="false">Q336*L336</f>
        <v>1.33</v>
      </c>
      <c r="S336" s="15" t="n">
        <f aca="false">J336-R336</f>
        <v>-1.33</v>
      </c>
      <c r="T336" s="15" t="n">
        <f aca="false">MIN(153.6,(T335+S336))</f>
        <v>59.5356517781284</v>
      </c>
      <c r="V336" s="8" t="n">
        <v>2149.6</v>
      </c>
      <c r="W336" s="8" t="n">
        <f aca="false">V336/D336</f>
        <v>104.349514563107</v>
      </c>
      <c r="X336" s="8" t="n">
        <f aca="false">X335+V336</f>
        <v>305139.8</v>
      </c>
      <c r="Y336" s="8" t="n">
        <f aca="false">Y335+V336</f>
        <v>92662</v>
      </c>
      <c r="AA336" s="8" t="n">
        <v>15.3634439090721</v>
      </c>
    </row>
    <row r="337" s="8" customFormat="true" ht="15" hidden="false" customHeight="false" outlineLevel="0" collapsed="false">
      <c r="A337" s="79" t="s">
        <v>56</v>
      </c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</sheetData>
  <mergeCells count="13">
    <mergeCell ref="D1:I2"/>
    <mergeCell ref="J1:U2"/>
    <mergeCell ref="V1:Z2"/>
    <mergeCell ref="G4:H4"/>
    <mergeCell ref="X4:Y4"/>
    <mergeCell ref="A5:Z5"/>
    <mergeCell ref="A6:A81"/>
    <mergeCell ref="A82:A106"/>
    <mergeCell ref="A107:A213"/>
    <mergeCell ref="A235:A259"/>
    <mergeCell ref="A260:A279"/>
    <mergeCell ref="A280:A302"/>
    <mergeCell ref="A337:Z337"/>
  </mergeCells>
  <conditionalFormatting sqref="T5:T337">
    <cfRule type="cellIs" priority="2" operator="equal" aboveAverage="0" equalAverage="0" bottom="0" percent="0" rank="0" text="" dxfId="5">
      <formula>0</formula>
    </cfRule>
    <cfRule type="cellIs" priority="3" operator="lessThanOrEqual" aboveAverage="0" equalAverage="0" bottom="0" percent="0" rank="0" text="" dxfId="6">
      <formula>51.2</formula>
    </cfRule>
  </conditionalFormatting>
  <conditionalFormatting sqref="S6:S336">
    <cfRule type="cellIs" priority="4" operator="lessThanOrEqual" aboveAverage="0" equalAverage="0" bottom="0" percent="0" rank="0" text="" dxfId="7">
      <formula>0</formula>
    </cfRule>
  </conditionalFormatting>
  <conditionalFormatting sqref="T1:T4">
    <cfRule type="cellIs" priority="5" operator="equal" aboveAverage="0" equalAverage="0" bottom="0" percent="0" rank="0" text="" dxfId="8">
      <formula>0</formula>
    </cfRule>
    <cfRule type="cellIs" priority="6" operator="lessThanOrEqual" aboveAverage="0" equalAverage="0" bottom="0" percent="0" rank="0" text="" dxfId="9">
      <formula>51.2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2019-10-22T08:48:01Z</dcterms:created>
  <dc:creator>adminigepp</dc:creator>
  <dc:description/>
  <dc:language>fr-FR</dc:language>
  <cp:lastModifiedBy/>
  <dcterms:modified xsi:type="dcterms:W3CDTF">2025-12-09T13:49:21Z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